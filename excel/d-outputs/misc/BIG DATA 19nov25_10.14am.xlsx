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A33F7282-2F8C-4BAF-8843-C09533B3613D}" xr6:coauthVersionLast="47" xr6:coauthVersionMax="47" xr10:uidLastSave="{00000000-0000-0000-0000-000000000000}"/>
  <bookViews>
    <workbookView xWindow="-108" yWindow="-108" windowWidth="23256" windowHeight="12456" xr2:uid="{00000000-000D-0000-FFFF-FFFF00000000}"/>
  </bookViews>
  <sheets>
    <sheet name="JED-CAI" sheetId="1" r:id="rId1"/>
    <sheet name="JED-CAI LF LEGACY" sheetId="2" r:id="rId2"/>
    <sheet name="JED-CAI - FOCUS MODE" sheetId="3" r:id="rId3"/>
    <sheet name="JED-CAI - OAL Threats Alert" sheetId="4" r:id="rId4"/>
    <sheet name="LF_ALL_ROUT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8" i="5" l="1"/>
  <c r="E18" i="5"/>
  <c r="G18" i="5"/>
  <c r="H18" i="5"/>
  <c r="I18" i="5"/>
  <c r="J18" i="5"/>
  <c r="M18" i="5"/>
  <c r="N18" i="5"/>
  <c r="O18" i="5"/>
  <c r="Q18" i="5"/>
  <c r="R18" i="5"/>
  <c r="S18" i="5"/>
  <c r="T18" i="5"/>
  <c r="U18" i="5"/>
  <c r="V18" i="5"/>
  <c r="W18" i="5"/>
  <c r="X18" i="5"/>
  <c r="Y18" i="5"/>
  <c r="Z18" i="5"/>
  <c r="AA18" i="5"/>
  <c r="AB18" i="5"/>
  <c r="AC18" i="5"/>
  <c r="AD18" i="5"/>
  <c r="AE18" i="5"/>
  <c r="AF18" i="5"/>
  <c r="AG18" i="5"/>
  <c r="AH18" i="5"/>
  <c r="AI18" i="5"/>
  <c r="AJ18" i="5"/>
  <c r="C18" i="2"/>
  <c r="E18" i="2"/>
  <c r="G18" i="2"/>
  <c r="H18" i="2"/>
  <c r="I18" i="2"/>
  <c r="J18" i="2"/>
  <c r="M18" i="2"/>
  <c r="N18" i="2"/>
  <c r="O18" i="2"/>
  <c r="Q18" i="2"/>
  <c r="R18" i="2"/>
  <c r="S18" i="2"/>
  <c r="T18" i="2"/>
  <c r="U18" i="2"/>
  <c r="V18" i="2"/>
  <c r="W18" i="2"/>
  <c r="X18" i="2"/>
  <c r="Y18" i="2"/>
  <c r="Z18" i="2"/>
  <c r="AA18" i="2"/>
  <c r="AB18" i="2"/>
  <c r="AC18" i="2"/>
  <c r="AD18" i="2"/>
  <c r="AE18" i="2"/>
  <c r="AF18" i="2"/>
  <c r="AG18" i="2"/>
  <c r="AH18" i="2"/>
  <c r="AI18" i="2"/>
  <c r="AJ1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5" authorId="0" shapeId="0" xr:uid="{E671A1B9-1963-48FA-B045-484F7DF16FD1}">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B25" authorId="0" shapeId="0" xr:uid="{D446C760-67BD-4578-BA3F-B261CF4BABB0}">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C25" authorId="0" shapeId="0" xr:uid="{8294D76B-127A-47BB-B0AC-BFC0761FE3B4}">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D25" authorId="0" shapeId="0" xr:uid="{3755527C-6130-4902-B6D8-3ADE5A841456}">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E25" authorId="0" shapeId="0" xr:uid="{2F6111EC-E379-4DF8-8640-0B8535EAE286}">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F25" authorId="0" shapeId="0" xr:uid="{6354135D-39CB-428A-9384-26D716F81971}">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G25" authorId="0" shapeId="0" xr:uid="{E5CCC1A8-EC36-4740-A32E-798D19C2FAEF}">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H25" authorId="0" shapeId="0" xr:uid="{01F8E384-4D1F-42C1-9577-2F3E7694C134}">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A26" authorId="0" shapeId="0" xr:uid="{34B527C4-B81E-4C72-83DE-E79A37DC2B9D}">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B26" authorId="0" shapeId="0" xr:uid="{50C070EC-C53E-4536-AC0B-B51787A19936}">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C26" authorId="0" shapeId="0" xr:uid="{DC1BF3FA-04C0-4B22-B5C3-6A176D00F681}">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D26" authorId="0" shapeId="0" xr:uid="{566E9C53-2CE3-4EFC-A7DC-02AE0C5D6C25}">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E26" authorId="0" shapeId="0" xr:uid="{23EB173A-5AEA-4566-882D-D74301310356}">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F26" authorId="0" shapeId="0" xr:uid="{0CF6A374-BA02-4F86-AC12-58CB3E60C5AB}">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G26" authorId="0" shapeId="0" xr:uid="{B41B3B56-AFAA-45BC-9492-7A7370C2F062}">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H26" authorId="0" shapeId="0" xr:uid="{76D794A0-7EB6-46DB-BF31-AFD464276CF6}">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A27" authorId="0" shapeId="0" xr:uid="{5A4102C1-5AA5-4BEE-A7AE-F01C3851526E}">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B27" authorId="0" shapeId="0" xr:uid="{195FC335-7F4F-4FF6-AD8F-23F45739EB88}">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C27" authorId="0" shapeId="0" xr:uid="{C82C5F03-3176-47DE-8DFE-F0B927EAEE13}">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D27" authorId="0" shapeId="0" xr:uid="{380719A7-1FBD-4A1C-BC10-5C657C69BCA0}">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E27" authorId="0" shapeId="0" xr:uid="{6EC3C757-0B2A-4692-BA11-89E53B6B9DA0}">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F27" authorId="0" shapeId="0" xr:uid="{F9D6FB24-5EE1-4198-9BF0-C6FBFB647E00}">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G27" authorId="0" shapeId="0" xr:uid="{443A9810-E02D-4254-AC97-20EF4448B501}">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H27" authorId="0" shapeId="0" xr:uid="{D1591509-50A7-4B00-91A8-D92F23949BBC}">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A28" authorId="0" shapeId="0" xr:uid="{63B4BA0B-6B8B-4E3A-AC3B-20B8627B9523}">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B28" authorId="0" shapeId="0" xr:uid="{6BC2BA29-769C-42EF-88B2-06100CF669CB}">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C28" authorId="0" shapeId="0" xr:uid="{ED3FDDE1-07E3-437B-9D7B-C1BBAC4E5210}">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D28" authorId="0" shapeId="0" xr:uid="{F00A8CF7-D82C-4C05-83E4-14CCB9126BDA}">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E28" authorId="0" shapeId="0" xr:uid="{814FBE0C-9222-446B-8463-CD633C94EF6C}">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F28" authorId="0" shapeId="0" xr:uid="{BD16ED95-1FA1-4A31-BC1E-52C0CD91EF6A}">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G28" authorId="0" shapeId="0" xr:uid="{527E07F6-5B3F-49CD-9464-49579CF5D889}">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H28" authorId="0" shapeId="0" xr:uid="{0D93CC4B-9509-436A-9682-8198C567E083}">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A29" authorId="0" shapeId="0" xr:uid="{92598E12-1FD3-42A4-8832-F29A7187FF7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B29" authorId="0" shapeId="0" xr:uid="{D65C3E65-29AF-4F61-A784-BC9434B47B0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C29" authorId="0" shapeId="0" xr:uid="{DD53C7AC-F8A2-4945-8F10-60B1D44303B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D29" authorId="0" shapeId="0" xr:uid="{47C2C1C3-1292-456A-B15B-B7EDF3F039E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E29" authorId="0" shapeId="0" xr:uid="{F8122C8D-4A45-4201-80DB-7199EAFEAAE0}">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F29" authorId="0" shapeId="0" xr:uid="{52D4DFF7-09FC-48A0-8764-15F1DE505CE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G29" authorId="0" shapeId="0" xr:uid="{4E044245-F573-40E1-B867-3D593A323C4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H29" authorId="0" shapeId="0" xr:uid="{3BBCC8A7-95F8-4BEF-808B-5B06BD3F8B0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A44" authorId="0" shapeId="0" xr:uid="{D5D1BEF9-D9BA-4EFE-980D-C9698B3E624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B44" authorId="0" shapeId="0" xr:uid="{6404AE3E-3F81-42A1-B07D-6E321C409580}">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C44" authorId="0" shapeId="0" xr:uid="{F6C0167F-1C01-49C6-A0E7-9D8F397F7135}">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D44" authorId="0" shapeId="0" xr:uid="{1F54641D-2912-46D3-981A-0A44405C067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E44" authorId="0" shapeId="0" xr:uid="{7AE68999-3AE9-447B-A0A8-CC3493B6371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F44" authorId="0" shapeId="0" xr:uid="{7ACC637E-E6C3-4370-864F-76CD707E0A85}">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G44" authorId="0" shapeId="0" xr:uid="{2F53F0E7-A450-4980-916E-48761A57A405}">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H44" authorId="0" shapeId="0" xr:uid="{072ADBD1-25C7-492C-A65F-41015427D0F0}">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A55" authorId="0" shapeId="0" xr:uid="{7432472C-DCB8-4FB5-AEFC-A864E0B4D46C}">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B55" authorId="0" shapeId="0" xr:uid="{6E6AC017-8B83-40CC-90F0-899A8805136C}">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C55" authorId="0" shapeId="0" xr:uid="{46E370C6-77E9-4BEE-B2C2-C12991C21AC2}">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D55" authorId="0" shapeId="0" xr:uid="{221C5D2E-207A-4FC6-BC04-4CCA8399540F}">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E55" authorId="0" shapeId="0" xr:uid="{D1CD1792-DF11-4AB8-B060-22FB0798C812}">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F55" authorId="0" shapeId="0" xr:uid="{924C6350-9348-4492-9049-A0912C9B993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G55" authorId="0" shapeId="0" xr:uid="{7C358D29-0987-4615-881F-A3A6065D5589}">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H55" authorId="0" shapeId="0" xr:uid="{563298B7-E866-44A4-A9F7-89A25886BB73}">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A100" authorId="0" shapeId="0" xr:uid="{BCFFD17B-FBF1-447E-BF72-F65D228BD6FD}">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B100" authorId="0" shapeId="0" xr:uid="{900E9F74-87D3-4A83-952A-756A7ED16D4A}">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C100" authorId="0" shapeId="0" xr:uid="{96600549-12DF-41CE-8D6C-3CDAFFF71233}">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D100" authorId="0" shapeId="0" xr:uid="{740822D0-B7DB-4F8F-9C47-118C2CCBA54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E100" authorId="0" shapeId="0" xr:uid="{4F6FE800-C6C9-4345-990C-7D2A18C606D9}">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F100" authorId="0" shapeId="0" xr:uid="{E24563CF-9DE9-4D41-AEF0-B6CF9E02D998}">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G100" authorId="0" shapeId="0" xr:uid="{63388CB2-E06F-4430-9868-41ED8E46634B}">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H100" authorId="0" shapeId="0" xr:uid="{7D3805C5-5D4C-456C-88C1-E09AD9AC88F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A101" authorId="0" shapeId="0" xr:uid="{C62A3E47-A497-4382-8208-A39E7B3FAB04}">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B101" authorId="0" shapeId="0" xr:uid="{E885FF40-BFE6-4839-8C2D-B5AA7B59769F}">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C101" authorId="0" shapeId="0" xr:uid="{0B80547D-4BD9-4B28-9312-15DA7D37C546}">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D101" authorId="0" shapeId="0" xr:uid="{FCAD98F4-737B-49DA-9F34-52E3B4C662A0}">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E101" authorId="0" shapeId="0" xr:uid="{9AB3A6AA-EA50-473C-8AD6-232AA32BCC38}">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F101" authorId="0" shapeId="0" xr:uid="{1727FFFF-C1BE-4EB6-A14F-247E55CA788F}">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G101" authorId="0" shapeId="0" xr:uid="{789192D1-4C95-4229-9C3C-CC4453E90F89}">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H101" authorId="0" shapeId="0" xr:uid="{35D79F66-15C1-4A10-9E00-1ABF037F2D49}">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A102" authorId="0" shapeId="0" xr:uid="{A1794AE7-8857-4575-9F9D-B07EDE010F7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B102" authorId="0" shapeId="0" xr:uid="{7D269751-13AE-4146-8A0D-840EE292DED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C102" authorId="0" shapeId="0" xr:uid="{BA8FF81D-BA63-4C09-BC45-95BC13309B7D}">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D102" authorId="0" shapeId="0" xr:uid="{9537F429-C133-4212-9D15-4616FF1A0250}">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E102" authorId="0" shapeId="0" xr:uid="{FBCF7188-D6CA-4F08-9386-08390912640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F102" authorId="0" shapeId="0" xr:uid="{4833E1FB-4161-4B35-8503-E60D5D84EE1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G102" authorId="0" shapeId="0" xr:uid="{C65A82BF-79C1-4AE7-9C9E-88CEF4FDCCE7}">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H102" authorId="0" shapeId="0" xr:uid="{081ADD11-9B80-4682-93EB-50070B3FE8BA}">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A103" authorId="0" shapeId="0" xr:uid="{FEA42DBD-6B52-43FA-8086-ED6987DCA97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B103" authorId="0" shapeId="0" xr:uid="{35A87F68-565F-4BDD-AEDF-EE04E3BC1069}">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C103" authorId="0" shapeId="0" xr:uid="{9AC4201D-C6A3-4DE3-80DD-5C5616EFDF91}">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D103" authorId="0" shapeId="0" xr:uid="{2628CFEE-BACA-423E-8EF5-0B2E28E8D04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E103" authorId="0" shapeId="0" xr:uid="{B4512348-A969-4621-BCA9-D7BA23D9D50C}">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F103" authorId="0" shapeId="0" xr:uid="{924FC3F7-AE3C-4D62-8CFF-BB2B000DF78C}">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G103" authorId="0" shapeId="0" xr:uid="{D6ED34F0-36AC-4A2F-A113-8F4989B4082D}">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H103" authorId="0" shapeId="0" xr:uid="{1CBBAF71-E90B-4584-9A38-AE25BD1EA795}">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A112" authorId="0" shapeId="0" xr:uid="{FBF244C3-8B19-4857-A641-B17B25E261CB}">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B112" authorId="0" shapeId="0" xr:uid="{0D0C451F-2B24-4F67-BF77-3A885EAA75AD}">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C112" authorId="0" shapeId="0" xr:uid="{C3281751-CB04-4BB4-B1DB-5D28FA1CE61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D112" authorId="0" shapeId="0" xr:uid="{48D49454-68A0-4704-9A09-D8824AA3C3E8}">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E112" authorId="0" shapeId="0" xr:uid="{B6365F4D-1A79-4B86-A8F1-531BAA88EE2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F112" authorId="0" shapeId="0" xr:uid="{0BE9B773-7314-4E80-A572-81E424030D3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G112" authorId="0" shapeId="0" xr:uid="{08286135-15E6-41C2-BEC0-1869AA6CEADA}">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H112" authorId="0" shapeId="0" xr:uid="{59C141FE-F45F-4B4E-9D12-EF2BC7FA447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A146" authorId="0" shapeId="0" xr:uid="{E09221ED-1BCC-4355-B702-935D37234A22}">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B146" authorId="0" shapeId="0" xr:uid="{DB3979FF-2679-4B4F-B00C-9FC1A00565C9}">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C146" authorId="0" shapeId="0" xr:uid="{459C5AF6-08C3-4D24-A741-8FC515E526EC}">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D146" authorId="0" shapeId="0" xr:uid="{AFA3B977-204E-446F-9155-80928C8B1B8D}">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E146" authorId="0" shapeId="0" xr:uid="{75963965-5443-4962-9C2D-E727BE4938ED}">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F146" authorId="0" shapeId="0" xr:uid="{DC023A7D-AF65-4CB3-925F-D36FC07EDEF5}">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G146" authorId="0" shapeId="0" xr:uid="{9DA5C9D4-10B4-483A-925A-FC16941C754A}">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H146" authorId="0" shapeId="0" xr:uid="{4702E5E0-F205-498F-BDEB-6FB4025800EB}">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A213" authorId="0" shapeId="0" xr:uid="{78FA8660-0E2F-4221-9833-EB4D59D6C79B}">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B213" authorId="0" shapeId="0" xr:uid="{7EE75641-A485-4F84-878F-B791B12D6248}">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C213" authorId="0" shapeId="0" xr:uid="{7F02A423-2FEB-4B0C-89F1-E2CBFFE40000}">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D213" authorId="0" shapeId="0" xr:uid="{EEBEF509-C66B-4DDF-805B-DC7A6F3BD99D}">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E213" authorId="0" shapeId="0" xr:uid="{AB0D4C3A-D65C-44B1-BF15-0CA30E4C6728}">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F213" authorId="0" shapeId="0" xr:uid="{FCC3CF87-AD92-44F9-9260-A4ECCC1686A3}">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G213" authorId="0" shapeId="0" xr:uid="{E19935B1-C15C-4EAE-BE04-0DC496B6ABC0}">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H213" authorId="0" shapeId="0" xr:uid="{01298086-F6F4-45EA-975C-AB108D61C527}">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A214" authorId="0" shapeId="0" xr:uid="{24D0E333-552F-4DBA-A08A-7D48EF78DC0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B214" authorId="0" shapeId="0" xr:uid="{D648293E-8CA4-4BA8-85D1-ECD29E65CC0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C214" authorId="0" shapeId="0" xr:uid="{BE0F8962-69C1-4014-B185-6702E578E26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D214" authorId="0" shapeId="0" xr:uid="{C376EAAF-9F3F-40BC-B78D-82111E946388}">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E214" authorId="0" shapeId="0" xr:uid="{C4FCBA72-7DFB-463B-869F-D4D0AD460C1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F214" authorId="0" shapeId="0" xr:uid="{66F89ABB-9A6B-4CD7-ACCA-72BABBA30F1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G214" authorId="0" shapeId="0" xr:uid="{C34439AC-0A7E-470A-A0B1-5E9F173E5A1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H214" authorId="0" shapeId="0" xr:uid="{0E5E1783-AE61-45F6-A187-B9B671F4AC8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A215" authorId="0" shapeId="0" xr:uid="{D05B2510-8BE3-46BD-9D60-B26793149EF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B215" authorId="0" shapeId="0" xr:uid="{04304B48-9D3F-4318-9987-A3FC4DDA8B87}">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C215" authorId="0" shapeId="0" xr:uid="{E920C8E0-42E9-4889-81C1-81543136830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D215" authorId="0" shapeId="0" xr:uid="{6E489FA9-D8C6-43A4-AAD6-E96EFD3CECA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E215" authorId="0" shapeId="0" xr:uid="{AC90FDC7-6BF2-4726-8015-0B643267292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F215" authorId="0" shapeId="0" xr:uid="{8B674F63-AAA1-4B10-9268-A56EF6976AA5}">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G215" authorId="0" shapeId="0" xr:uid="{475731D8-B670-4A79-89A7-D31FCF3134F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H215" authorId="0" shapeId="0" xr:uid="{44A71C9E-0350-4C25-911A-27EA77EBFEC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2" authorId="0" shapeId="0" xr:uid="{8063D567-1504-4D2F-B361-0CF2425CD1DC}">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B12" authorId="0" shapeId="0" xr:uid="{848A8D67-6CF7-4E55-988D-A477F6C56878}">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C12" authorId="0" shapeId="0" xr:uid="{0DBCAF66-9CCC-4ABE-9EB4-738891FA7DD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D12" authorId="0" shapeId="0" xr:uid="{D1F5048D-E3E6-49E8-9BF9-C0B096961339}">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E12" authorId="0" shapeId="0" xr:uid="{34FE9B14-EED1-4406-A1E3-126C61E8D2CB}">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F12" authorId="0" shapeId="0" xr:uid="{832FC275-4AF5-4C2F-9822-6E8BF7A77C00}">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G12" authorId="0" shapeId="0" xr:uid="{D6467C1D-69F5-460D-A1CD-7EBE8E1C2E67}">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H12" authorId="0" shapeId="0" xr:uid="{57B4CAC1-156E-43E9-ABB3-15ED0B3DBED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A13" authorId="0" shapeId="0" xr:uid="{53965756-D4F5-4AA8-A772-6DB98C6EF3F6}">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B13" authorId="0" shapeId="0" xr:uid="{5650A1A9-8CF1-4597-B90F-6BFD9037B0C3}">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C13" authorId="0" shapeId="0" xr:uid="{2B4243C9-880A-42AE-B417-803BB25568A1}">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D13" authorId="0" shapeId="0" xr:uid="{2FF1EEA1-0F2D-4925-AC47-FB17EAFC6C07}">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E13" authorId="0" shapeId="0" xr:uid="{4E9F155A-BFD7-4B93-B6C2-5959B1DDD453}">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F13" authorId="0" shapeId="0" xr:uid="{DCDD1A08-F941-471F-8F15-8A48B4658505}">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G13" authorId="0" shapeId="0" xr:uid="{4CC529F8-96CD-4943-9566-A35A2AB0943B}">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H13" authorId="0" shapeId="0" xr:uid="{6A7E541B-9913-46F4-AFC6-8D40544BE213}">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A14" authorId="0" shapeId="0" xr:uid="{16DF6B15-AEF4-40FD-BCF3-907D373A9A26}">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B14" authorId="0" shapeId="0" xr:uid="{39A0A549-3B2A-4479-AD26-7A828062AB88}">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C14" authorId="0" shapeId="0" xr:uid="{8F48BFE1-C7BF-433D-904A-9308A460ACD3}">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D14" authorId="0" shapeId="0" xr:uid="{33680AD7-8B35-48B4-B403-CF936891DB78}">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E14" authorId="0" shapeId="0" xr:uid="{39D64AD9-AE3B-42F7-8EA5-E6567844AFA0}">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F14" authorId="0" shapeId="0" xr:uid="{9465E817-F78D-48C8-9AA1-A6660E6A26C5}">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G14" authorId="0" shapeId="0" xr:uid="{D702F758-E260-4971-AC77-6226942021D8}">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H14" authorId="0" shapeId="0" xr:uid="{2721DF9A-AAF4-4434-A728-CD1178AD35F3}">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A15" authorId="0" shapeId="0" xr:uid="{694E11DD-F7B2-4FA3-982F-26391CFF9EA3}">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B15" authorId="0" shapeId="0" xr:uid="{E24FF19A-48BA-46A8-A6B9-7C1FC3BAE64D}">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C15" authorId="0" shapeId="0" xr:uid="{F86CAD8F-EF97-4E60-A777-39588042E0C7}">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D15" authorId="0" shapeId="0" xr:uid="{0B3AC6F2-4038-4B95-97F9-C2C2E08DD13F}">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E15" authorId="0" shapeId="0" xr:uid="{C837D7F7-B068-45FE-B1D7-27EC3CAB808E}">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F15" authorId="0" shapeId="0" xr:uid="{DDCE8BC3-0C1E-4C39-8CB5-AD1481A9B422}">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G15" authorId="0" shapeId="0" xr:uid="{A634757A-7A06-4588-92CC-B853C0FED564}">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H15" authorId="0" shapeId="0" xr:uid="{606A9D23-1A32-45CA-B01A-23829E2E9E1C}">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A16" authorId="0" shapeId="0" xr:uid="{44AEAD5B-E2FD-47DD-A9F4-29BD935A9E6D}">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B16" authorId="0" shapeId="0" xr:uid="{76D7DD3A-8A95-42BB-A9FB-1B2B476A57B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C16" authorId="0" shapeId="0" xr:uid="{20A6D9AE-434E-47FC-A887-838346182D3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D16" authorId="0" shapeId="0" xr:uid="{9BCFF956-4790-4C56-A281-CD160F27EB9F}">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E16" authorId="0" shapeId="0" xr:uid="{4D16862D-419C-46E5-B2DD-7540B92B11C0}">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F16" authorId="0" shapeId="0" xr:uid="{86B671EF-1803-44FC-99DD-660FBECD14A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G16" authorId="0" shapeId="0" xr:uid="{C0002A91-6F23-4F04-B1A1-2BE390570E5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H16" authorId="0" shapeId="0" xr:uid="{24245337-C2AD-4B82-B658-D6173CE3D79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A18" authorId="0" shapeId="0" xr:uid="{D147AF88-A663-4BBD-A382-DADEC99AF81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B18" authorId="0" shapeId="0" xr:uid="{4E22FBE0-8C55-40A4-8231-65305D66221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C18" authorId="0" shapeId="0" xr:uid="{8CF7FE86-2CB6-4FC4-A173-D870B6F6C06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D18" authorId="0" shapeId="0" xr:uid="{94C04346-5BF8-40B5-AF14-ECEFA43B110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E18" authorId="0" shapeId="0" xr:uid="{873C2E97-47AE-4EE7-95C5-7605DC720BB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F18" authorId="0" shapeId="0" xr:uid="{EBB6A142-1CD8-424F-AEC2-F135EFC73CC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G18" authorId="0" shapeId="0" xr:uid="{D79D4754-4AEE-47C4-AD41-00586996CCF0}">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H18" authorId="0" shapeId="0" xr:uid="{93B917B3-A698-42C4-ACCD-15505183DEB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A19" authorId="0" shapeId="0" xr:uid="{B88CAAA6-7372-4B83-A459-8224A7A5E534}">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B19" authorId="0" shapeId="0" xr:uid="{153FDCB7-956D-4752-A403-1C959FCFAE4E}">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C19" authorId="0" shapeId="0" xr:uid="{1B7A8CF5-8CB8-4BF3-97CD-C81A8A3D6C3F}">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D19" authorId="0" shapeId="0" xr:uid="{14A484E1-1866-4220-9733-3EE2C032EC87}">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E19" authorId="0" shapeId="0" xr:uid="{D35EAE27-A59C-4454-904B-727E16C232FB}">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F19" authorId="0" shapeId="0" xr:uid="{DD975DE8-50F8-4D5C-A45A-74B9E0EF5106}">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G19" authorId="0" shapeId="0" xr:uid="{50755AF3-0467-46CE-8C12-66C3796AEFD0}">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H19" authorId="0" shapeId="0" xr:uid="{E42B19FB-8B7B-43CA-8DB3-7805601D7A35}">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A31" authorId="0" shapeId="0" xr:uid="{7FA66BAF-ED2B-4086-8CD8-12E97ABD9E43}">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B31" authorId="0" shapeId="0" xr:uid="{65A73EAE-D4F4-4C38-AAA9-3DD26482ABB7}">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C31" authorId="0" shapeId="0" xr:uid="{6C8AC944-3CF4-4BBD-8137-4ABABE1FD522}">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D31" authorId="0" shapeId="0" xr:uid="{8E69B761-164B-49ED-90C5-13D54091632B}">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E31" authorId="0" shapeId="0" xr:uid="{505E1240-31EF-414E-8A4F-7EEEE2BBEE96}">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F31" authorId="0" shapeId="0" xr:uid="{8CFABC85-CCD1-4DE2-8E3B-F63257BCEE7A}">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G31" authorId="0" shapeId="0" xr:uid="{820CB9A0-926E-4246-BF44-595E250CA14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H31" authorId="0" shapeId="0" xr:uid="{2A3818B5-AD7C-4B7D-A881-216051E75B8A}">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A32" authorId="0" shapeId="0" xr:uid="{3F346A68-B3AC-4C4E-9EB1-90C46FE606C4}">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B32" authorId="0" shapeId="0" xr:uid="{9D68A33E-B3DA-43F3-9CC2-C559240C8B80}">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C32" authorId="0" shapeId="0" xr:uid="{3D834E78-4747-4B69-9438-8AE5E2E387F4}">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D32" authorId="0" shapeId="0" xr:uid="{34CC9318-6DA1-440C-B117-9BB14461B320}">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E32" authorId="0" shapeId="0" xr:uid="{8B03722A-4175-4C46-BAA6-FE296B12DB67}">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F32" authorId="0" shapeId="0" xr:uid="{6EE2B9BF-2279-4C22-B2B2-3C110DE5BF4E}">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G32" authorId="0" shapeId="0" xr:uid="{DC0F33D2-BE51-4A63-8D3A-64E86050962D}">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H32" authorId="0" shapeId="0" xr:uid="{AF812A95-A809-4FB1-B786-75D4F97AF88B}">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A33" authorId="0" shapeId="0" xr:uid="{48526143-D233-454B-9BF0-C8C58A81C11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B33" authorId="0" shapeId="0" xr:uid="{9388F135-C135-49C9-ACB2-48474977D08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C33" authorId="0" shapeId="0" xr:uid="{DF356BCC-9776-4FE4-A079-02CF4F3A0C7A}">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D33" authorId="0" shapeId="0" xr:uid="{11078EE2-20A3-46F2-B5E7-E349156A822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E33" authorId="0" shapeId="0" xr:uid="{3DAC04A1-78BA-4434-81B0-0987B6E6279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F33" authorId="0" shapeId="0" xr:uid="{0D2C075E-7C98-43FD-B987-8B08D347307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G33" authorId="0" shapeId="0" xr:uid="{23198C50-2A56-4D65-B34C-A1CA1C12035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H33" authorId="0" shapeId="0" xr:uid="{01DAFD8C-E96B-4BF6-946A-D54D0DC5C02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A34" authorId="0" shapeId="0" xr:uid="{8035410B-3102-4158-AEFC-B1D8202908D5}">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B34" authorId="0" shapeId="0" xr:uid="{97BEF478-DD68-454D-9DE6-1C627563B1FE}">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C34" authorId="0" shapeId="0" xr:uid="{5E6E0704-7C49-4112-96AF-5A474F42E5D5}">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D34" authorId="0" shapeId="0" xr:uid="{A469F472-78D7-43C5-A035-EDCD1E79D1B4}">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E34" authorId="0" shapeId="0" xr:uid="{3D65D9F0-67BF-421F-9D13-EC806644BDB3}">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F34" authorId="0" shapeId="0" xr:uid="{3FDC69DF-75B5-49EA-A948-39DA1137870B}">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G34" authorId="0" shapeId="0" xr:uid="{E27FE221-6F53-410E-8170-BA600B39B79E}">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H34" authorId="0" shapeId="0" xr:uid="{061EEF2D-1D37-4E81-ABF2-E66931F23019}">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A36" authorId="0" shapeId="0" xr:uid="{8CCA28FD-FF2F-479A-8888-959E4AFBDBB0}">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B36" authorId="0" shapeId="0" xr:uid="{67D9CD86-7B47-414D-A993-BEE2E64965E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C36" authorId="0" shapeId="0" xr:uid="{9D0BEF33-4FC4-4017-853A-72EA6230D75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D36" authorId="0" shapeId="0" xr:uid="{3412A067-D2A9-4F9D-B8AD-71A2CEF67A2D}">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E36" authorId="0" shapeId="0" xr:uid="{996CB398-F955-411A-B15C-5F8FD81EF83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F36" authorId="0" shapeId="0" xr:uid="{7D52FED3-B1F0-4E46-983B-4705E11CC840}">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G36" authorId="0" shapeId="0" xr:uid="{7EE2AB71-1C26-4B18-873F-706C1B468098}">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H36" authorId="0" shapeId="0" xr:uid="{97810FE2-A779-4BB1-9CC3-BD2FC532E3BD}">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A37" authorId="0" shapeId="0" xr:uid="{6D411033-D74E-4EED-B32A-E3A65779219B}">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B37" authorId="0" shapeId="0" xr:uid="{130061F3-D090-4982-8BA3-A5033FE00E3A}">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C37" authorId="0" shapeId="0" xr:uid="{64CD5FCA-1750-4DC0-9D7F-1D18D77B1BD9}">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D37" authorId="0" shapeId="0" xr:uid="{EA765BFB-669F-42D3-8690-5376157DA1E4}">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E37" authorId="0" shapeId="0" xr:uid="{CDE79B1F-712B-467B-A335-071E05BF7B3E}">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F37" authorId="0" shapeId="0" xr:uid="{A2AF7763-C64E-47B5-989C-D043BAE99C09}">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G37" authorId="0" shapeId="0" xr:uid="{09F78D9E-ADE2-4962-97FC-205FCDB2683F}">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H37" authorId="0" shapeId="0" xr:uid="{56E7FAC9-E281-4E3C-9921-173ACD1FF127}">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A38" authorId="0" shapeId="0" xr:uid="{AB42EF20-1D58-4F73-AB58-222597E98E71}">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B38" authorId="0" shapeId="0" xr:uid="{8FB4DFF3-42C9-4A1C-A8F0-83F4D944F43B}">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C38" authorId="0" shapeId="0" xr:uid="{941D0B5D-6455-45BB-880E-FCC1D2B26FFA}">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D38" authorId="0" shapeId="0" xr:uid="{FA59AF84-592A-46ED-85A6-69EFBF96F81E}">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E38" authorId="0" shapeId="0" xr:uid="{1CC92988-DECF-47E7-985B-04B4D61B5993}">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F38" authorId="0" shapeId="0" xr:uid="{3632D104-1679-4996-AE7B-7F0D4FDC3F42}">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G38" authorId="0" shapeId="0" xr:uid="{ED81256C-0A29-4C8B-B6A7-81AF45DB85E3}">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H38" authorId="0" shapeId="0" xr:uid="{F7487B10-D0EA-462C-8F85-9AABDABF4FDF}">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A39" authorId="0" shapeId="0" xr:uid="{55DEECE8-8B86-427A-A5E7-17E3E73AA4A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B39" authorId="0" shapeId="0" xr:uid="{C180552B-A186-443F-A8EA-3A7D960FE61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C39" authorId="0" shapeId="0" xr:uid="{C64C23B7-405C-423D-8439-BDF666B348CB}">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D39" authorId="0" shapeId="0" xr:uid="{266FC472-FDCF-4700-91E2-A62A30F0BE3C}">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E39" authorId="0" shapeId="0" xr:uid="{5D6405B4-205A-4F5A-9AC7-FE16CEDA94F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F39" authorId="0" shapeId="0" xr:uid="{AD15BF6D-54AE-427C-BB3A-4D013E7A1008}">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G39" authorId="0" shapeId="0" xr:uid="{BABE40CD-1325-45B2-B6DD-B7091314225C}">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H39" authorId="0" shapeId="0" xr:uid="{BBADDD9A-BC8E-4A4A-8531-D534B8E334A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A40" authorId="0" shapeId="0" xr:uid="{39BE38B5-2AA3-41BE-A84E-E6CC53EEC15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B40" authorId="0" shapeId="0" xr:uid="{06E7F31E-F760-4E2B-9BDC-178F93B4798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C40" authorId="0" shapeId="0" xr:uid="{243B1CA9-FC0F-4268-8320-24A36F60F69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D40" authorId="0" shapeId="0" xr:uid="{14DB0444-3630-4EBF-A38D-6A56A72E2E17}">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E40" authorId="0" shapeId="0" xr:uid="{FA015D24-1AD6-41D6-A76B-4574BCF9641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F40" authorId="0" shapeId="0" xr:uid="{851E6317-E93A-425D-B15D-10440528E95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G40" authorId="0" shapeId="0" xr:uid="{5A009DC3-D5CB-45A2-BE7B-DB016187AD4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H40" authorId="0" shapeId="0" xr:uid="{E91804F1-107D-4980-82DE-A1A675129EA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List>
</comments>
</file>

<file path=xl/sharedStrings.xml><?xml version="1.0" encoding="utf-8"?>
<sst xmlns="http://schemas.openxmlformats.org/spreadsheetml/2006/main" count="2813" uniqueCount="382">
  <si>
    <t>COMPREHENSIVE REPORT</t>
  </si>
  <si>
    <t>JED-CAI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</si>
  <si>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</si>
  <si>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</si>
  <si>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</si>
  <si>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</si>
  <si>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</si>
  <si>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</si>
  <si>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</si>
  <si>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</si>
  <si>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</si>
  <si>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</si>
  <si>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</si>
  <si>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</si>
  <si>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</si>
  <si>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</si>
  <si>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</si>
  <si>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</si>
  <si>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</si>
  <si>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</si>
  <si>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</si>
  <si>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</si>
  <si>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</si>
  <si>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</si>
  <si>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</si>
  <si>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</si>
  <si>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flynas</t>
  </si>
  <si>
    <t>XY-565</t>
  </si>
  <si>
    <t>Cabin: 7 KG / Check-in: 20 KG</t>
  </si>
  <si>
    <r>
      <rPr>
        <b/>
        <i/>
        <sz val="13"/>
        <color rgb="FFBC0000"/>
        <rFont val="Calibri"/>
        <family val="2"/>
      </rPr>
      <t>9</t>
    </r>
    <r>
      <rPr>
        <b/>
        <i/>
        <sz val="10"/>
        <color rgb="FFBC0000"/>
        <rFont val="Calibri"/>
        <family val="2"/>
      </rPr>
      <t xml:space="preserve"> FOR SAME CLASS</t>
    </r>
  </si>
  <si>
    <t>589 SAR</t>
  </si>
  <si>
    <t>Cabin: 7 KG / Check-in: 30 KG</t>
  </si>
  <si>
    <r>
      <rPr>
        <i/>
        <sz val="13"/>
        <rFont val="Calibri"/>
        <family val="2"/>
      </rPr>
      <t>9</t>
    </r>
    <r>
      <rPr>
        <i/>
        <sz val="10"/>
        <rFont val="Calibri"/>
        <family val="2"/>
      </rPr>
      <t xml:space="preserve"> FOR SAME CLASS</t>
    </r>
  </si>
  <si>
    <t>689 SAR</t>
  </si>
  <si>
    <t>Cabin: 7 KG / Check-in: 2 x 40 KG</t>
  </si>
  <si>
    <t>779 SAR</t>
  </si>
  <si>
    <t>XY-583</t>
  </si>
  <si>
    <r>
      <rPr>
        <b/>
        <i/>
        <sz val="13"/>
        <rFont val="Calibri"/>
        <family val="2"/>
      </rPr>
      <t>7</t>
    </r>
    <r>
      <rPr>
        <b/>
        <i/>
        <sz val="10"/>
        <rFont val="Calibri"/>
        <family val="2"/>
      </rPr>
      <t xml:space="preserve"> FOR SAME CLASS</t>
    </r>
  </si>
  <si>
    <r>
      <rPr>
        <i/>
        <sz val="13"/>
        <rFont val="Calibri"/>
        <family val="2"/>
      </rPr>
      <t>7</t>
    </r>
    <r>
      <rPr>
        <i/>
        <sz val="10"/>
        <rFont val="Calibri"/>
        <family val="2"/>
      </rPr>
      <t xml:space="preserve"> FOR SAME CLASS</t>
    </r>
  </si>
  <si>
    <t>XY-567</t>
  </si>
  <si>
    <r>
      <rPr>
        <b/>
        <i/>
        <sz val="13"/>
        <rFont val="Calibri"/>
        <family val="2"/>
      </rPr>
      <t>9</t>
    </r>
    <r>
      <rPr>
        <b/>
        <i/>
        <sz val="10"/>
        <rFont val="Calibri"/>
        <family val="2"/>
      </rPr>
      <t xml:space="preserve"> FOR SAME CLASS</t>
    </r>
  </si>
  <si>
    <t>669 SAR</t>
  </si>
  <si>
    <t>769 SAR</t>
  </si>
  <si>
    <t>859 SAR</t>
  </si>
  <si>
    <t>XY-573</t>
  </si>
  <si>
    <t>XY-577</t>
  </si>
  <si>
    <t>XY-589</t>
  </si>
  <si>
    <t>XY-569</t>
  </si>
  <si>
    <r>
      <rPr>
        <b/>
        <i/>
        <sz val="13"/>
        <rFont val="Calibri"/>
        <family val="2"/>
      </rPr>
      <t>5</t>
    </r>
    <r>
      <rPr>
        <b/>
        <i/>
        <sz val="10"/>
        <rFont val="Calibri"/>
        <family val="2"/>
      </rPr>
      <t xml:space="preserve"> FOR SAME CLASS</t>
    </r>
  </si>
  <si>
    <t>719 SAR</t>
  </si>
  <si>
    <r>
      <rPr>
        <i/>
        <sz val="13"/>
        <rFont val="Calibri"/>
        <family val="2"/>
      </rPr>
      <t>5</t>
    </r>
    <r>
      <rPr>
        <i/>
        <sz val="10"/>
        <rFont val="Calibri"/>
        <family val="2"/>
      </rPr>
      <t xml:space="preserve"> FOR SAME CLASS</t>
    </r>
  </si>
  <si>
    <t>819 SAR</t>
  </si>
  <si>
    <t>909 SAR</t>
  </si>
  <si>
    <t>XY-571</t>
  </si>
  <si>
    <t>829 SAR</t>
  </si>
  <si>
    <t>929 SAR</t>
  </si>
  <si>
    <t>1,019 SAR</t>
  </si>
  <si>
    <t>flyadeal</t>
  </si>
  <si>
    <t>F3-753</t>
  </si>
  <si>
    <t>Check-in: 15 KG</t>
  </si>
  <si>
    <r>
      <rPr>
        <b/>
        <i/>
        <sz val="13"/>
        <color rgb="FFBC0000"/>
        <rFont val="Calibri"/>
        <family val="2"/>
      </rPr>
      <t>11</t>
    </r>
    <r>
      <rPr>
        <b/>
        <i/>
        <sz val="10"/>
        <color rgb="FFBC0000"/>
        <rFont val="Calibri"/>
        <family val="2"/>
      </rPr>
      <t xml:space="preserve"> FOR SAME CLASS</t>
    </r>
  </si>
  <si>
    <t>Cabin: 10 KG / Check-in: 25 KG</t>
  </si>
  <si>
    <r>
      <rPr>
        <i/>
        <sz val="13"/>
        <rFont val="Calibri"/>
        <family val="2"/>
      </rPr>
      <t>11</t>
    </r>
    <r>
      <rPr>
        <i/>
        <sz val="10"/>
        <rFont val="Calibri"/>
        <family val="2"/>
      </rPr>
      <t xml:space="preserve"> FOR SAME CLASS</t>
    </r>
  </si>
  <si>
    <t>839 SAR</t>
  </si>
  <si>
    <t>Cabin: 10 KG / Check-in: 2 x 40 KG</t>
  </si>
  <si>
    <t>1,099 SAR</t>
  </si>
  <si>
    <t>F3-761</t>
  </si>
  <si>
    <r>
      <rPr>
        <b/>
        <i/>
        <sz val="13"/>
        <rFont val="Calibri"/>
        <family val="2"/>
      </rPr>
      <t>20</t>
    </r>
    <r>
      <rPr>
        <b/>
        <i/>
        <sz val="10"/>
        <rFont val="Calibri"/>
        <family val="2"/>
      </rPr>
      <t xml:space="preserve"> FOR SAME CLASS</t>
    </r>
  </si>
  <si>
    <r>
      <rPr>
        <i/>
        <sz val="13"/>
        <rFont val="Calibri"/>
        <family val="2"/>
      </rPr>
      <t>20</t>
    </r>
    <r>
      <rPr>
        <i/>
        <sz val="10"/>
        <rFont val="Calibri"/>
        <family val="2"/>
      </rPr>
      <t xml:space="preserve"> FOR SAME CLASS</t>
    </r>
  </si>
  <si>
    <t>F3-763</t>
  </si>
  <si>
    <r>
      <rPr>
        <b/>
        <i/>
        <sz val="13"/>
        <rFont val="Calibri"/>
        <family val="2"/>
      </rPr>
      <t>16</t>
    </r>
    <r>
      <rPr>
        <b/>
        <i/>
        <sz val="10"/>
        <rFont val="Calibri"/>
        <family val="2"/>
      </rPr>
      <t xml:space="preserve"> FOR SAME CLASS</t>
    </r>
  </si>
  <si>
    <r>
      <rPr>
        <i/>
        <sz val="13"/>
        <rFont val="Calibri"/>
        <family val="2"/>
      </rPr>
      <t>16</t>
    </r>
    <r>
      <rPr>
        <i/>
        <sz val="10"/>
        <rFont val="Calibri"/>
        <family val="2"/>
      </rPr>
      <t xml:space="preserve"> FOR SAME CLASS</t>
    </r>
  </si>
  <si>
    <t>F3-755</t>
  </si>
  <si>
    <r>
      <rPr>
        <b/>
        <i/>
        <sz val="13"/>
        <rFont val="Calibri"/>
        <family val="2"/>
      </rPr>
      <t>6</t>
    </r>
    <r>
      <rPr>
        <b/>
        <i/>
        <sz val="10"/>
        <rFont val="Calibri"/>
        <family val="2"/>
      </rPr>
      <t xml:space="preserve"> FOR SAME CLASS</t>
    </r>
  </si>
  <si>
    <t>749 SAR</t>
  </si>
  <si>
    <r>
      <rPr>
        <i/>
        <sz val="13"/>
        <rFont val="Calibri"/>
        <family val="2"/>
      </rPr>
      <t>6</t>
    </r>
    <r>
      <rPr>
        <i/>
        <sz val="10"/>
        <rFont val="Calibri"/>
        <family val="2"/>
      </rPr>
      <t xml:space="preserve"> FOR SAME CLASS</t>
    </r>
  </si>
  <si>
    <t>899 SAR</t>
  </si>
  <si>
    <t>Nesma Airlines</t>
  </si>
  <si>
    <t>NE-173</t>
  </si>
  <si>
    <t>Cabin: 7 KG | Check-in: 30 KG</t>
  </si>
  <si>
    <r>
      <rPr>
        <b/>
        <i/>
        <sz val="13"/>
        <color rgb="FFBC0000"/>
        <rFont val="Calibri"/>
        <family val="2"/>
      </rPr>
      <t>1</t>
    </r>
    <r>
      <rPr>
        <b/>
        <i/>
        <sz val="10"/>
        <color rgb="FFBC0000"/>
        <rFont val="Calibri"/>
        <family val="2"/>
      </rPr>
      <t xml:space="preserve"> FOR SAME CLASS</t>
    </r>
  </si>
  <si>
    <t>695 SAR</t>
  </si>
  <si>
    <t>NE-171</t>
  </si>
  <si>
    <r>
      <rPr>
        <b/>
        <i/>
        <sz val="13"/>
        <rFont val="Calibri"/>
        <family val="2"/>
      </rPr>
      <t>4</t>
    </r>
    <r>
      <rPr>
        <b/>
        <i/>
        <sz val="10"/>
        <rFont val="Calibri"/>
        <family val="2"/>
      </rPr>
      <t xml:space="preserve"> FOR SAME CLASS</t>
    </r>
  </si>
  <si>
    <t>745 SAR</t>
  </si>
  <si>
    <t>NE-175</t>
  </si>
  <si>
    <r>
      <rPr>
        <b/>
        <i/>
        <sz val="13"/>
        <rFont val="Calibri"/>
        <family val="2"/>
      </rPr>
      <t>2</t>
    </r>
    <r>
      <rPr>
        <b/>
        <i/>
        <sz val="10"/>
        <rFont val="Calibri"/>
        <family val="2"/>
      </rPr>
      <t xml:space="preserve"> FOR SAME CLASS</t>
    </r>
  </si>
  <si>
    <t>835 SAR</t>
  </si>
  <si>
    <t>Air Arabia Egypt</t>
  </si>
  <si>
    <t>E5-328</t>
  </si>
  <si>
    <t>Cabin: 10 KG / Check-in: 30 KG</t>
  </si>
  <si>
    <t>706 SAR</t>
  </si>
  <si>
    <t>Nile Air</t>
  </si>
  <si>
    <t>NP-128</t>
  </si>
  <si>
    <r>
      <rPr>
        <b/>
        <i/>
        <sz val="13"/>
        <color rgb="FFBC0000"/>
        <rFont val="Calibri"/>
        <family val="2"/>
      </rPr>
      <t>+9</t>
    </r>
    <r>
      <rPr>
        <b/>
        <i/>
        <sz val="10"/>
        <color rgb="FFBC0000"/>
        <rFont val="Calibri"/>
        <family val="2"/>
      </rPr>
      <t xml:space="preserve"> FOR SAME CLASS</t>
    </r>
  </si>
  <si>
    <t>Air Cairo</t>
  </si>
  <si>
    <t>SM-424</t>
  </si>
  <si>
    <t>Cabin: 7 KG | Check-in: 40 KG</t>
  </si>
  <si>
    <r>
      <rPr>
        <b/>
        <i/>
        <sz val="13"/>
        <color rgb="FFBC0000"/>
        <rFont val="Calibri"/>
        <family val="2"/>
      </rPr>
      <t>8</t>
    </r>
    <r>
      <rPr>
        <b/>
        <i/>
        <sz val="10"/>
        <color rgb="FFBC0000"/>
        <rFont val="Calibri"/>
        <family val="2"/>
      </rPr>
      <t xml:space="preserve"> FOR SAME CLASS</t>
    </r>
  </si>
  <si>
    <t>781 SAR</t>
  </si>
  <si>
    <t>SM424</t>
  </si>
  <si>
    <t>G8</t>
  </si>
  <si>
    <t>L16 &amp; G28 &amp; S36 &amp; W29 &amp; P28</t>
  </si>
  <si>
    <t>SM-432</t>
  </si>
  <si>
    <t>SM432</t>
  </si>
  <si>
    <t>G7</t>
  </si>
  <si>
    <t>V4 &amp; L28 &amp; G19 &amp; S10 &amp; W10 &amp; T9 &amp; X6 &amp; U1 &amp; O5 &amp; I6 &amp; P2 &amp; N2</t>
  </si>
  <si>
    <t>SM-450</t>
  </si>
  <si>
    <t>SM450</t>
  </si>
  <si>
    <t>V1 &amp; L11 &amp; G21 &amp; S23 &amp; W31 &amp; E69 &amp; P1 &amp; N2</t>
  </si>
  <si>
    <t>SM-472</t>
  </si>
  <si>
    <t>SM472</t>
  </si>
  <si>
    <t>G6</t>
  </si>
  <si>
    <t>L13 &amp; G42 &amp; S15 &amp; W13 &amp; T10 &amp; X5 &amp; U5 &amp; O5 &amp; I5 &amp; P60</t>
  </si>
  <si>
    <t>SM-476</t>
  </si>
  <si>
    <t>SM476</t>
  </si>
  <si>
    <t>G4</t>
  </si>
  <si>
    <t>V1 &amp; L10 &amp; G11 &amp; S16 &amp; W5 &amp; P104</t>
  </si>
  <si>
    <t>SM-478</t>
  </si>
  <si>
    <t>952 SAR</t>
  </si>
  <si>
    <t>SM478</t>
  </si>
  <si>
    <t>V7</t>
  </si>
  <si>
    <t>Q1 &amp; K6 &amp; V5 &amp; L16 &amp; G26 &amp; S16 &amp; W4 &amp; E1 &amp; P97</t>
  </si>
  <si>
    <t>SM-480</t>
  </si>
  <si>
    <t>1,366 SAR</t>
  </si>
  <si>
    <t>SM480</t>
  </si>
  <si>
    <t>H6</t>
  </si>
  <si>
    <t>M6 &amp; Q4 &amp; K4 &amp; V14 &amp; L16 &amp; G16 &amp; S16 &amp; W5 &amp; I2 &amp; P90</t>
  </si>
  <si>
    <t>Saudia</t>
  </si>
  <si>
    <t>SV-335</t>
  </si>
  <si>
    <t>Cabin: 7 KG / Check-in: 23 KG</t>
  </si>
  <si>
    <t>1,193 SAR</t>
  </si>
  <si>
    <t>Cabin: 7 KG / Check-in: 2 x 46 KG</t>
  </si>
  <si>
    <r>
      <rPr>
        <i/>
        <sz val="13"/>
        <rFont val="Calibri"/>
        <family val="2"/>
      </rPr>
      <t>+9</t>
    </r>
    <r>
      <rPr>
        <i/>
        <sz val="10"/>
        <rFont val="Calibri"/>
        <family val="2"/>
      </rPr>
      <t xml:space="preserve"> FOR SAME CLASS</t>
    </r>
  </si>
  <si>
    <t>1,326 SAR</t>
  </si>
  <si>
    <t>SV-383</t>
  </si>
  <si>
    <r>
      <rPr>
        <b/>
        <i/>
        <sz val="13"/>
        <rFont val="Calibri"/>
        <family val="2"/>
      </rPr>
      <t>+9</t>
    </r>
    <r>
      <rPr>
        <b/>
        <i/>
        <sz val="10"/>
        <rFont val="Calibri"/>
        <family val="2"/>
      </rPr>
      <t xml:space="preserve"> FOR SAME CLASS</t>
    </r>
  </si>
  <si>
    <t>SV-309</t>
  </si>
  <si>
    <t>1,586 SAR</t>
  </si>
  <si>
    <t>1,719 SAR</t>
  </si>
  <si>
    <t>SV-301</t>
  </si>
  <si>
    <t>1,828 SAR</t>
  </si>
  <si>
    <t>1,961 SAR</t>
  </si>
  <si>
    <t>SV-387</t>
  </si>
  <si>
    <t>SV-6664</t>
  </si>
  <si>
    <t>1,944 SAR</t>
  </si>
  <si>
    <t>SV-6891</t>
  </si>
  <si>
    <t>SV-6893</t>
  </si>
  <si>
    <t>SV-6895</t>
  </si>
  <si>
    <t>SV-389</t>
  </si>
  <si>
    <t>2,237 SAR</t>
  </si>
  <si>
    <t>2,370 SAR</t>
  </si>
  <si>
    <t>EgyptAir</t>
  </si>
  <si>
    <t>MS-644</t>
  </si>
  <si>
    <t>Cabin: 7 KG | Check-in: 2 PIECE</t>
  </si>
  <si>
    <t>1,253 SAR</t>
  </si>
  <si>
    <t>MS-662</t>
  </si>
  <si>
    <t>1,413 SAR</t>
  </si>
  <si>
    <t>MS-668</t>
  </si>
  <si>
    <t>MS-674</t>
  </si>
  <si>
    <t>1,417 SAR</t>
  </si>
  <si>
    <t>MS-664</t>
  </si>
  <si>
    <t>2,005 SAR</t>
  </si>
  <si>
    <t>MS-666</t>
  </si>
  <si>
    <t>MS-670</t>
  </si>
  <si>
    <t>MS-672</t>
  </si>
  <si>
    <r>
      <rPr>
        <b/>
        <i/>
        <sz val="13"/>
        <color rgb="FFBC0000"/>
        <rFont val="Calibri"/>
        <family val="2"/>
      </rPr>
      <t>13</t>
    </r>
    <r>
      <rPr>
        <b/>
        <i/>
        <sz val="10"/>
        <color rgb="FFBC0000"/>
        <rFont val="Calibri"/>
        <family val="2"/>
      </rPr>
      <t xml:space="preserve"> FOR SAME CLASS</t>
    </r>
  </si>
  <si>
    <t>639 SAR</t>
  </si>
  <si>
    <r>
      <rPr>
        <i/>
        <sz val="13"/>
        <rFont val="Calibri"/>
        <family val="2"/>
      </rPr>
      <t>13</t>
    </r>
    <r>
      <rPr>
        <i/>
        <sz val="10"/>
        <rFont val="Calibri"/>
        <family val="2"/>
      </rPr>
      <t xml:space="preserve"> FOR SAME CLASS</t>
    </r>
  </si>
  <si>
    <t>789 SAR</t>
  </si>
  <si>
    <r>
      <rPr>
        <b/>
        <i/>
        <sz val="13"/>
        <rFont val="Calibri"/>
        <family val="2"/>
      </rPr>
      <t>13</t>
    </r>
    <r>
      <rPr>
        <b/>
        <i/>
        <sz val="10"/>
        <rFont val="Calibri"/>
        <family val="2"/>
      </rPr>
      <t xml:space="preserve"> FOR SAME CLASS</t>
    </r>
  </si>
  <si>
    <r>
      <rPr>
        <b/>
        <i/>
        <sz val="13"/>
        <rFont val="Calibri"/>
        <family val="2"/>
      </rPr>
      <t>12</t>
    </r>
    <r>
      <rPr>
        <b/>
        <i/>
        <sz val="10"/>
        <rFont val="Calibri"/>
        <family val="2"/>
      </rPr>
      <t xml:space="preserve"> FOR SAME CLASS</t>
    </r>
  </si>
  <si>
    <r>
      <rPr>
        <i/>
        <sz val="13"/>
        <rFont val="Calibri"/>
        <family val="2"/>
      </rPr>
      <t>12</t>
    </r>
    <r>
      <rPr>
        <i/>
        <sz val="10"/>
        <rFont val="Calibri"/>
        <family val="2"/>
      </rPr>
      <t xml:space="preserve"> FOR SAME CLASS</t>
    </r>
  </si>
  <si>
    <t>1,499 SAR</t>
  </si>
  <si>
    <r>
      <rPr>
        <b/>
        <i/>
        <sz val="13"/>
        <rFont val="Calibri"/>
        <family val="2"/>
      </rPr>
      <t>21</t>
    </r>
    <r>
      <rPr>
        <b/>
        <i/>
        <sz val="10"/>
        <rFont val="Calibri"/>
        <family val="2"/>
      </rPr>
      <t xml:space="preserve"> FOR SAME CLASS</t>
    </r>
  </si>
  <si>
    <r>
      <rPr>
        <i/>
        <sz val="13"/>
        <rFont val="Calibri"/>
        <family val="2"/>
      </rPr>
      <t>21</t>
    </r>
    <r>
      <rPr>
        <i/>
        <sz val="10"/>
        <rFont val="Calibri"/>
        <family val="2"/>
      </rPr>
      <t xml:space="preserve"> FOR SAME CLASS</t>
    </r>
  </si>
  <si>
    <t>E5-322</t>
  </si>
  <si>
    <t>640 SAR</t>
  </si>
  <si>
    <t>866 SAR</t>
  </si>
  <si>
    <t>733 SAR</t>
  </si>
  <si>
    <t>959 SAR</t>
  </si>
  <si>
    <r>
      <rPr>
        <i/>
        <sz val="13"/>
        <rFont val="Calibri"/>
        <family val="2"/>
      </rPr>
      <t>1</t>
    </r>
    <r>
      <rPr>
        <i/>
        <sz val="10"/>
        <rFont val="Calibri"/>
        <family val="2"/>
      </rPr>
      <t xml:space="preserve"> FOR SAME CLASS</t>
    </r>
  </si>
  <si>
    <r>
      <rPr>
        <i/>
        <sz val="13"/>
        <rFont val="Calibri"/>
        <family val="2"/>
      </rPr>
      <t>2</t>
    </r>
    <r>
      <rPr>
        <i/>
        <sz val="10"/>
        <rFont val="Calibri"/>
        <family val="2"/>
      </rPr>
      <t xml:space="preserve"> FOR SAME CLASS</t>
    </r>
  </si>
  <si>
    <r>
      <rPr>
        <i/>
        <sz val="13"/>
        <rFont val="Calibri"/>
        <family val="2"/>
      </rPr>
      <t>4</t>
    </r>
    <r>
      <rPr>
        <i/>
        <sz val="10"/>
        <rFont val="Calibri"/>
        <family val="2"/>
      </rPr>
      <t xml:space="preserve"> FOR SAME CLASS</t>
    </r>
  </si>
  <si>
    <t>834 SAR</t>
  </si>
  <si>
    <t>NP-228</t>
  </si>
  <si>
    <r>
      <rPr>
        <b/>
        <i/>
        <sz val="13"/>
        <rFont val="Calibri"/>
        <family val="2"/>
      </rPr>
      <t>1</t>
    </r>
    <r>
      <rPr>
        <b/>
        <i/>
        <sz val="10"/>
        <rFont val="Calibri"/>
        <family val="2"/>
      </rPr>
      <t xml:space="preserve"> FOR SAME CLASS</t>
    </r>
  </si>
  <si>
    <r>
      <rPr>
        <b/>
        <i/>
        <sz val="13"/>
        <color rgb="FFBC0000"/>
        <rFont val="Calibri"/>
        <family val="2"/>
      </rPr>
      <t>3</t>
    </r>
    <r>
      <rPr>
        <b/>
        <i/>
        <sz val="10"/>
        <color rgb="FFBC0000"/>
        <rFont val="Calibri"/>
        <family val="2"/>
      </rPr>
      <t xml:space="preserve"> FOR SAME CLASS</t>
    </r>
  </si>
  <si>
    <t>856 SAR</t>
  </si>
  <si>
    <t>L3</t>
  </si>
  <si>
    <t>K3 &amp; V30 &amp; L20 &amp; G17 &amp; S16 &amp; W5</t>
  </si>
  <si>
    <t>L5</t>
  </si>
  <si>
    <t>V22 &amp; L16 &amp; G22 &amp; S31 &amp; W5</t>
  </si>
  <si>
    <t>L7</t>
  </si>
  <si>
    <t>V20 &amp; L16 &amp; G24 &amp; S32 &amp; W5</t>
  </si>
  <si>
    <t>L6</t>
  </si>
  <si>
    <t>V16 &amp; L44 &amp; G17 &amp; S13 &amp; W5</t>
  </si>
  <si>
    <t>K6 &amp; V30 &amp; L15 &amp; G17 &amp; S11 &amp; W5 &amp; T2 &amp; X5 &amp; U6 &amp; O4 &amp; I5 &amp; P1</t>
  </si>
  <si>
    <t>SM460</t>
  </si>
  <si>
    <t>30KG + 7KG CABIN</t>
  </si>
  <si>
    <t>FULLY BOOKED</t>
  </si>
  <si>
    <t>CLOSED</t>
  </si>
  <si>
    <t>V7 &amp; G1 &amp; S17 &amp; W10 &amp; T10 &amp; X10 &amp; U10 &amp; O10 &amp; I10 &amp; P92</t>
  </si>
  <si>
    <t>1,257 SAR</t>
  </si>
  <si>
    <t>SV-303</t>
  </si>
  <si>
    <t>1,721 SAR</t>
  </si>
  <si>
    <t>SV-305</t>
  </si>
  <si>
    <r>
      <rPr>
        <b/>
        <i/>
        <sz val="13"/>
        <color rgb="FFBC0000"/>
        <rFont val="Calibri"/>
        <family val="2"/>
      </rPr>
      <t>15</t>
    </r>
    <r>
      <rPr>
        <b/>
        <i/>
        <sz val="10"/>
        <color rgb="FFBC0000"/>
        <rFont val="Calibri"/>
        <family val="2"/>
      </rPr>
      <t xml:space="preserve"> FOR SAME CLASS</t>
    </r>
  </si>
  <si>
    <r>
      <rPr>
        <i/>
        <sz val="13"/>
        <rFont val="Calibri"/>
        <family val="2"/>
      </rPr>
      <t>15</t>
    </r>
    <r>
      <rPr>
        <i/>
        <sz val="10"/>
        <rFont val="Calibri"/>
        <family val="2"/>
      </rPr>
      <t xml:space="preserve"> FOR SAME CLASS</t>
    </r>
  </si>
  <si>
    <t>739 SAR</t>
  </si>
  <si>
    <r>
      <rPr>
        <b/>
        <i/>
        <sz val="13"/>
        <rFont val="Calibri"/>
        <family val="2"/>
      </rPr>
      <t>14</t>
    </r>
    <r>
      <rPr>
        <b/>
        <i/>
        <sz val="10"/>
        <rFont val="Calibri"/>
        <family val="2"/>
      </rPr>
      <t xml:space="preserve"> FOR SAME CLASS</t>
    </r>
  </si>
  <si>
    <r>
      <rPr>
        <i/>
        <sz val="13"/>
        <rFont val="Calibri"/>
        <family val="2"/>
      </rPr>
      <t>14</t>
    </r>
    <r>
      <rPr>
        <i/>
        <sz val="10"/>
        <rFont val="Calibri"/>
        <family val="2"/>
      </rPr>
      <t xml:space="preserve"> FOR SAME CLASS</t>
    </r>
  </si>
  <si>
    <t>E5-362</t>
  </si>
  <si>
    <t>700 SAR</t>
  </si>
  <si>
    <t>927 SAR</t>
  </si>
  <si>
    <r>
      <rPr>
        <b/>
        <i/>
        <sz val="13"/>
        <rFont val="Calibri"/>
        <family val="2"/>
      </rPr>
      <t>8</t>
    </r>
    <r>
      <rPr>
        <b/>
        <i/>
        <sz val="10"/>
        <rFont val="Calibri"/>
        <family val="2"/>
      </rPr>
      <t xml:space="preserve"> FOR SAME CLASS</t>
    </r>
  </si>
  <si>
    <r>
      <rPr>
        <i/>
        <sz val="13"/>
        <rFont val="Calibri"/>
        <family val="2"/>
      </rPr>
      <t>8</t>
    </r>
    <r>
      <rPr>
        <i/>
        <sz val="10"/>
        <rFont val="Calibri"/>
        <family val="2"/>
      </rPr>
      <t xml:space="preserve"> FOR SAME CLASS</t>
    </r>
  </si>
  <si>
    <t>V3 &amp; G16 &amp; S17 &amp; W22 &amp; T10 &amp; X10 &amp; U17 &amp; O17 &amp; I17 &amp; P50</t>
  </si>
  <si>
    <t>K5 &amp; L6 &amp; S24 &amp; W5 &amp; P135 &amp; N4</t>
  </si>
  <si>
    <t>K3 &amp; L1 &amp; G3 &amp; S3 &amp; W4 &amp; T10 &amp; X12 &amp; U5 &amp; O6 &amp; I4 &amp; E45 &amp; P82 &amp; N1</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</si>
  <si>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</si>
  <si>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</si>
  <si>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</si>
  <si>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</si>
  <si>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</si>
  <si>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</si>
  <si>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</si>
  <si>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</si>
  <si>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</si>
  <si>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</si>
  <si>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</si>
  <si>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</si>
  <si>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</si>
  <si>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</si>
  <si>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</si>
  <si>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</si>
  <si>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</si>
  <si>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</si>
  <si>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</si>
  <si>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</si>
  <si>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</si>
  <si>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</si>
  <si>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</si>
  <si>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</si>
  <si>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</si>
  <si>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</si>
  <si>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</si>
  <si>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</si>
  <si>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</si>
  <si>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THURSDAY</t>
  </si>
  <si>
    <t>01:10</t>
  </si>
  <si>
    <t>320</t>
  </si>
  <si>
    <t>UPCOMING</t>
  </si>
  <si>
    <t>L16</t>
  </si>
  <si>
    <t>G28</t>
  </si>
  <si>
    <t>S36</t>
  </si>
  <si>
    <t>W29</t>
  </si>
  <si>
    <t>P28</t>
  </si>
  <si>
    <t>02:45</t>
  </si>
  <si>
    <t>L13</t>
  </si>
  <si>
    <t>G42</t>
  </si>
  <si>
    <t>S15</t>
  </si>
  <si>
    <t>W13</t>
  </si>
  <si>
    <t>T10</t>
  </si>
  <si>
    <t>X5</t>
  </si>
  <si>
    <t>U5</t>
  </si>
  <si>
    <t>O5</t>
  </si>
  <si>
    <t>I5</t>
  </si>
  <si>
    <t>P60</t>
  </si>
  <si>
    <t>06:05</t>
  </si>
  <si>
    <t>V1</t>
  </si>
  <si>
    <t>L11</t>
  </si>
  <si>
    <t>G21</t>
  </si>
  <si>
    <t>S23</t>
  </si>
  <si>
    <t>W31</t>
  </si>
  <si>
    <t>E69</t>
  </si>
  <si>
    <t>P1</t>
  </si>
  <si>
    <t>N2</t>
  </si>
  <si>
    <t>08:00</t>
  </si>
  <si>
    <t>L10</t>
  </si>
  <si>
    <t>G11</t>
  </si>
  <si>
    <t>S16</t>
  </si>
  <si>
    <t>W5</t>
  </si>
  <si>
    <t>P104</t>
  </si>
  <si>
    <t>08:45</t>
  </si>
  <si>
    <t>V4</t>
  </si>
  <si>
    <t>L28</t>
  </si>
  <si>
    <t>G19</t>
  </si>
  <si>
    <t>S10</t>
  </si>
  <si>
    <t>W10</t>
  </si>
  <si>
    <t>T9</t>
  </si>
  <si>
    <t>X6</t>
  </si>
  <si>
    <t>U1</t>
  </si>
  <si>
    <t>I6</t>
  </si>
  <si>
    <t>P2</t>
  </si>
  <si>
    <t>14:00</t>
  </si>
  <si>
    <t>Q1</t>
  </si>
  <si>
    <t>K6</t>
  </si>
  <si>
    <t>V5</t>
  </si>
  <si>
    <t>G26</t>
  </si>
  <si>
    <t>W4</t>
  </si>
  <si>
    <t>E1</t>
  </si>
  <si>
    <t>P97</t>
  </si>
  <si>
    <t>17:45</t>
  </si>
  <si>
    <t>M6</t>
  </si>
  <si>
    <t>Q4</t>
  </si>
  <si>
    <t>K4</t>
  </si>
  <si>
    <t>V14</t>
  </si>
  <si>
    <t>G16</t>
  </si>
  <si>
    <t>I2</t>
  </si>
  <si>
    <t>P90</t>
  </si>
  <si>
    <t>FRIDAY</t>
  </si>
  <si>
    <t>K3</t>
  </si>
  <si>
    <t>V30</t>
  </si>
  <si>
    <t>L20</t>
  </si>
  <si>
    <t>G17</t>
  </si>
  <si>
    <t>07:40</t>
  </si>
  <si>
    <t>L15</t>
  </si>
  <si>
    <t>S11</t>
  </si>
  <si>
    <t>T2</t>
  </si>
  <si>
    <t>U6</t>
  </si>
  <si>
    <t>O4</t>
  </si>
  <si>
    <t>11:00</t>
  </si>
  <si>
    <t>V20</t>
  </si>
  <si>
    <t>G24</t>
  </si>
  <si>
    <t>S32</t>
  </si>
  <si>
    <t>14:45</t>
  </si>
  <si>
    <t>V16</t>
  </si>
  <si>
    <t>L44</t>
  </si>
  <si>
    <t>S13</t>
  </si>
  <si>
    <t>17:40</t>
  </si>
  <si>
    <t>V22</t>
  </si>
  <si>
    <t>G22</t>
  </si>
  <si>
    <t>S31</t>
  </si>
  <si>
    <t>22:30</t>
  </si>
  <si>
    <t>G1</t>
  </si>
  <si>
    <t>S17</t>
  </si>
  <si>
    <t>X10</t>
  </si>
  <si>
    <t>U10</t>
  </si>
  <si>
    <t>O10</t>
  </si>
  <si>
    <t>I10</t>
  </si>
  <si>
    <t>P92</t>
  </si>
  <si>
    <t>SATURDAY</t>
  </si>
  <si>
    <t>05:40</t>
  </si>
  <si>
    <t>V3</t>
  </si>
  <si>
    <t>W22</t>
  </si>
  <si>
    <t>U17</t>
  </si>
  <si>
    <t>O17</t>
  </si>
  <si>
    <t>I17</t>
  </si>
  <si>
    <t>P50</t>
  </si>
  <si>
    <t>K5</t>
  </si>
  <si>
    <t>S24</t>
  </si>
  <si>
    <t>P135</t>
  </si>
  <si>
    <t>N4</t>
  </si>
  <si>
    <t>16:20</t>
  </si>
  <si>
    <t>L1</t>
  </si>
  <si>
    <t>G3</t>
  </si>
  <si>
    <t>S3</t>
  </si>
  <si>
    <t>X12</t>
  </si>
  <si>
    <t>O6</t>
  </si>
  <si>
    <t>I4</t>
  </si>
  <si>
    <t>E45</t>
  </si>
  <si>
    <t>P82</t>
  </si>
  <si>
    <t>N1</t>
  </si>
  <si>
    <t>DATE</t>
  </si>
  <si>
    <t>ROUTE</t>
  </si>
  <si>
    <t>2025-11-20</t>
  </si>
  <si>
    <t>06:10</t>
  </si>
  <si>
    <t>07:15</t>
  </si>
  <si>
    <t>21:40</t>
  </si>
  <si>
    <t>20:30</t>
  </si>
  <si>
    <t>09:30</t>
  </si>
  <si>
    <t>19:10</t>
  </si>
  <si>
    <t>18:55</t>
  </si>
  <si>
    <t>21:20</t>
  </si>
  <si>
    <t>14:15</t>
  </si>
  <si>
    <t>07:55</t>
  </si>
  <si>
    <t>15:50</t>
  </si>
  <si>
    <t>07:00</t>
  </si>
  <si>
    <t>16:00</t>
  </si>
  <si>
    <t>03:05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</si>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</sst>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F800]dddd\,\ mmmm\ dd\,\ yyyy"/>
    <numFmt numFmtId="165" formatCode="dddd\,\ mmmm\ dd\,\ yyyy"/>
    <numFmt numFmtId="166" formatCode="0.0%"/>
    <numFmt numFmtId="167" formatCode="h:mm;@"/>
    <numFmt numFmtId="168" formatCode="[$-409]dddd"/>
    <numFmt numFmtId="169" formatCode="#,##0\ &quot;SAR&quot;"/>
    <numFmt numFmtId="170" formatCode="dd\-mmm\-yy"/>
    <numFmt numFmtId="171" formatCode="hh:mm"/>
  </numFmts>
  <fonts count="39" x14ac:knownFonts="1">
    <font>
      <sz val="11"/>
      <color theme="1"/>
      <name val="Calibri"/>
      <family val="2"/>
      <scheme val="minor"/>
    </font>
    <font>
      <b/>
      <i/>
      <sz val="22"/>
      <color rgb="FFFFFFFF"/>
      <name val="Calibri"/>
      <family val="2"/>
    </font>
    <font>
      <b/>
      <i/>
      <sz val="16"/>
      <color rgb="FFED7D31"/>
      <name val="Calibri"/>
      <family val="2"/>
    </font>
    <font>
      <b/>
      <i/>
      <sz val="18"/>
      <name val="Calibri"/>
      <family val="2"/>
    </font>
    <font>
      <i/>
      <sz val="13"/>
      <name val="Calibri"/>
      <family val="2"/>
    </font>
    <font>
      <b/>
      <i/>
      <sz val="18"/>
      <color rgb="FFFFFFFF"/>
      <name val="Calibri"/>
      <family val="2"/>
    </font>
    <font>
      <b/>
      <i/>
      <sz val="14"/>
      <color rgb="FF000000"/>
      <name val="Calibri"/>
      <family val="2"/>
    </font>
    <font>
      <b/>
      <i/>
      <sz val="16"/>
      <color rgb="FF000000"/>
      <name val="Calibri"/>
      <family val="2"/>
    </font>
    <font>
      <b/>
      <i/>
      <sz val="13"/>
      <name val="Calibri"/>
      <family val="2"/>
    </font>
    <font>
      <b/>
      <i/>
      <sz val="14"/>
      <name val="Calibri"/>
      <family val="2"/>
    </font>
    <font>
      <b/>
      <i/>
      <u/>
      <sz val="18"/>
      <name val="Calibri"/>
      <family val="2"/>
    </font>
    <font>
      <b/>
      <i/>
      <sz val="20"/>
      <color rgb="FFFFFFFF"/>
      <name val="Calibri"/>
      <family val="2"/>
    </font>
    <font>
      <sz val="20"/>
      <color theme="1"/>
      <name val="Calibri"/>
      <family val="2"/>
    </font>
    <font>
      <b/>
      <i/>
      <sz val="12"/>
      <color rgb="FFBC0000"/>
      <name val="Calibri"/>
      <family val="2"/>
    </font>
    <font>
      <b/>
      <sz val="13"/>
      <color theme="1"/>
      <name val="Calibri"/>
      <family val="2"/>
    </font>
    <font>
      <b/>
      <sz val="14"/>
      <color theme="1"/>
      <name val="Calibri"/>
      <family val="2"/>
    </font>
    <font>
      <i/>
      <sz val="12"/>
      <name val="Calibri"/>
      <family val="2"/>
    </font>
    <font>
      <b/>
      <i/>
      <sz val="12"/>
      <name val="Calibri"/>
      <family val="2"/>
    </font>
    <font>
      <b/>
      <i/>
      <sz val="13"/>
      <color rgb="FF006100"/>
      <name val="Calibri"/>
      <family val="2"/>
    </font>
    <font>
      <sz val="12"/>
      <color theme="1"/>
      <name val="Calibri"/>
      <family val="2"/>
    </font>
    <font>
      <b/>
      <i/>
      <sz val="13"/>
      <color rgb="FF9C0006"/>
      <name val="Calibri"/>
      <family val="2"/>
    </font>
    <font>
      <i/>
      <sz val="18"/>
      <color rgb="FFFF0000"/>
      <name val="Calibri"/>
      <family val="2"/>
    </font>
    <font>
      <b/>
      <i/>
      <sz val="20"/>
      <color theme="1"/>
      <name val="Calibri"/>
      <family val="2"/>
    </font>
    <font>
      <b/>
      <i/>
      <sz val="20"/>
      <name val="Calibri"/>
      <family val="2"/>
    </font>
    <font>
      <b/>
      <sz val="14"/>
      <color rgb="FFFFFFFF"/>
      <name val="Calibri"/>
      <family val="2"/>
    </font>
    <font>
      <i/>
      <sz val="12"/>
      <color rgb="FF494529"/>
      <name val="Calibri"/>
      <family val="2"/>
    </font>
    <font>
      <b/>
      <sz val="12"/>
      <color rgb="FF000000"/>
      <name val="Calibri"/>
      <family val="2"/>
    </font>
    <font>
      <b/>
      <i/>
      <sz val="13"/>
      <color rgb="FFBC0000"/>
      <name val="Calibri"/>
      <family val="2"/>
    </font>
    <font>
      <b/>
      <i/>
      <sz val="10"/>
      <color rgb="FFBC0000"/>
      <name val="Calibri"/>
      <family val="2"/>
    </font>
    <font>
      <i/>
      <sz val="10"/>
      <name val="Calibri"/>
      <family val="2"/>
    </font>
    <font>
      <b/>
      <i/>
      <sz val="10"/>
      <name val="Calibri"/>
      <family val="2"/>
    </font>
    <font>
      <b/>
      <i/>
      <sz val="12"/>
      <color theme="1"/>
      <name val="Calibri"/>
      <family val="2"/>
      <scheme val="minor"/>
    </font>
    <font>
      <b/>
      <i/>
      <sz val="16"/>
      <color rgb="FFFFFFFF"/>
      <name val="Calibri"/>
      <family val="2"/>
      <scheme val="minor"/>
    </font>
    <font>
      <b/>
      <sz val="14"/>
      <color rgb="FFFFFFFF"/>
      <name val="Calibri"/>
      <family val="2"/>
      <scheme val="minor"/>
    </font>
    <font>
      <b/>
      <sz val="8.5"/>
      <color indexed="8"/>
      <name val="Calibri"/>
      <family val="2"/>
    </font>
    <font>
      <b/>
      <sz val="8.5"/>
      <color indexed="48"/>
      <name val="Calibri"/>
      <family val="2"/>
    </font>
    <font>
      <b/>
      <sz val="8.5"/>
      <color indexed="21"/>
      <name val="Calibri"/>
      <family val="2"/>
    </font>
    <font>
      <b/>
      <sz val="8.5"/>
      <color indexed="10"/>
      <name val="Calibri"/>
      <family val="2"/>
    </font>
    <font>
      <b/>
      <sz val="10"/>
      <color indexed="10"/>
      <name val="Calibri"/>
      <family val="2"/>
    </font>
  </fonts>
  <fills count="18">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A8F0BD"/>
      </patternFill>
    </fill>
    <fill>
      <patternFill patternType="solid">
        <fgColor rgb="FF00B0F0"/>
      </patternFill>
    </fill>
    <fill>
      <patternFill patternType="solid">
        <fgColor rgb="FFF2CA93"/>
      </patternFill>
    </fill>
    <fill>
      <patternFill patternType="solid">
        <fgColor rgb="FFFFE4B5"/>
      </patternFill>
    </fill>
    <fill>
      <patternFill patternType="solid">
        <fgColor rgb="FFB5E7D3"/>
      </patternFill>
    </fill>
    <fill>
      <patternFill patternType="solid">
        <fgColor rgb="FFC7FFFF"/>
      </patternFill>
    </fill>
    <fill>
      <patternFill patternType="solid">
        <fgColor rgb="FFE6D5E6"/>
      </patternFill>
    </fill>
    <fill>
      <patternFill patternType="solid">
        <fgColor rgb="FFD8E4BC"/>
      </patternFill>
    </fill>
    <fill>
      <patternFill patternType="solid">
        <fgColor rgb="FFCCCCCC"/>
        <bgColor rgb="FFCCCCCC"/>
      </patternFill>
    </fill>
    <fill>
      <patternFill patternType="solid">
        <fgColor rgb="FFC5D9F1"/>
      </patternFill>
    </fill>
    <fill>
      <patternFill patternType="solid">
        <fgColor rgb="FF366092"/>
      </patternFill>
    </fill>
    <fill>
      <patternFill patternType="solid">
        <fgColor rgb="FF365492"/>
        <bgColor indexed="64"/>
      </patternFill>
    </fill>
  </fills>
  <borders count="34">
    <border>
      <left/>
      <right/>
      <top/>
      <bottom/>
      <diagonal/>
    </border>
    <border>
      <left/>
      <right/>
      <top/>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D040E3"/>
      </left>
      <right style="thick">
        <color rgb="FFD040E3"/>
      </right>
      <top style="thick">
        <color rgb="FFD040E3"/>
      </top>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ck">
        <color rgb="FFFF0000"/>
      </bottom>
      <diagonal/>
    </border>
    <border>
      <left style="thick">
        <color rgb="FFFFFFFF"/>
      </left>
      <right style="thick">
        <color rgb="FFFFFFFF"/>
      </right>
      <top style="thick">
        <color rgb="FFFF0000"/>
      </top>
      <bottom style="thick">
        <color rgb="FFFFFFFF"/>
      </bottom>
      <diagonal/>
    </border>
    <border>
      <left style="thick">
        <color rgb="FFFF0000"/>
      </left>
      <right style="thick">
        <color rgb="FFFFFFFF"/>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ck">
        <color rgb="FFFF0000"/>
      </left>
      <right style="thin">
        <color auto="1"/>
      </right>
      <top style="thin">
        <color auto="1"/>
      </top>
      <bottom style="thick">
        <color rgb="FFFF0000"/>
      </bottom>
      <diagonal/>
    </border>
    <border>
      <left style="thick">
        <color rgb="FFFFFFFF"/>
      </left>
      <right style="thick">
        <color rgb="FFFF0000"/>
      </right>
      <top style="thick">
        <color rgb="FFFF0000"/>
      </top>
      <bottom style="thick">
        <color rgb="FFFFFFFF"/>
      </bottom>
      <diagonal/>
    </border>
    <border>
      <left style="thin">
        <color auto="1"/>
      </left>
      <right style="thick">
        <color rgb="FFFF0000"/>
      </right>
      <top style="thin">
        <color auto="1"/>
      </top>
      <bottom style="thin">
        <color auto="1"/>
      </bottom>
      <diagonal/>
    </border>
    <border>
      <left style="thin">
        <color auto="1"/>
      </left>
      <right style="thick">
        <color rgb="FFFF0000"/>
      </right>
      <top style="thin">
        <color auto="1"/>
      </top>
      <bottom style="thick">
        <color rgb="FFFF0000"/>
      </bottom>
      <diagonal/>
    </border>
    <border>
      <left style="thick">
        <color rgb="FFA0A0A0"/>
      </left>
      <right/>
      <top/>
      <bottom style="thick">
        <color rgb="FFA0A0A0"/>
      </bottom>
      <diagonal/>
    </border>
    <border>
      <left/>
      <right/>
      <top/>
      <bottom style="thick">
        <color rgb="FFA0A0A0"/>
      </bottom>
      <diagonal/>
    </border>
    <border>
      <left/>
      <right style="thick">
        <color rgb="FFA0A0A0"/>
      </right>
      <top/>
      <bottom style="thick">
        <color rgb="FFA0A0A0"/>
      </bottom>
      <diagonal/>
    </border>
  </borders>
  <cellStyleXfs count="1">
    <xf numFmtId="0" fontId="0" fillId="0" borderId="0"/>
  </cellStyleXfs>
  <cellXfs count="204">
    <xf numFmtId="0" fontId="0" fillId="0" borderId="0" xfId="0"/>
    <xf numFmtId="0" fontId="1" fillId="2" borderId="0" xfId="0" applyFont="1" applyFill="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xf numFmtId="165" fontId="23" fillId="5" borderId="3" xfId="0" applyNumberFormat="1" applyFont="1" applyFill="1" applyBorder="1" applyAlignment="1">
      <alignment horizontal="center" vertical="center"/>
    </xf>
    <xf numFmtId="0" fontId="6" fillId="7" borderId="3" xfId="0" applyFont="1" applyFill="1" applyBorder="1" applyAlignment="1">
      <alignment horizontal="center" vertical="center"/>
    </xf>
    <xf numFmtId="0" fontId="7" fillId="7" borderId="3" xfId="0" applyFont="1" applyFill="1" applyBorder="1" applyAlignment="1">
      <alignment horizontal="center" vertical="center"/>
    </xf>
    <xf numFmtId="0" fontId="7" fillId="6" borderId="2" xfId="0" applyFont="1" applyFill="1" applyBorder="1" applyAlignment="1">
      <alignment horizontal="center" vertical="center"/>
    </xf>
    <xf numFmtId="49" fontId="13" fillId="0" borderId="13" xfId="0" applyNumberFormat="1" applyFont="1" applyBorder="1" applyAlignment="1">
      <alignment horizontal="center" vertical="center"/>
    </xf>
    <xf numFmtId="167" fontId="13" fillId="0" borderId="13" xfId="0" applyNumberFormat="1"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5" fillId="0" borderId="4"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49" fontId="16" fillId="0" borderId="14" xfId="0" applyNumberFormat="1" applyFont="1" applyBorder="1" applyAlignment="1">
      <alignment horizontal="center" vertical="center"/>
    </xf>
    <xf numFmtId="167" fontId="16" fillId="0" borderId="14" xfId="0" applyNumberFormat="1" applyFont="1" applyBorder="1" applyAlignment="1">
      <alignment horizontal="center" vertical="center"/>
    </xf>
    <xf numFmtId="49" fontId="17" fillId="0" borderId="14" xfId="0" applyNumberFormat="1" applyFont="1" applyBorder="1" applyAlignment="1">
      <alignment horizontal="center" vertical="center"/>
    </xf>
    <xf numFmtId="167" fontId="17" fillId="0" borderId="14" xfId="0" applyNumberFormat="1" applyFont="1" applyBorder="1" applyAlignment="1">
      <alignment horizontal="center" vertical="center"/>
    </xf>
    <xf numFmtId="49" fontId="13" fillId="0" borderId="14" xfId="0" applyNumberFormat="1" applyFont="1" applyBorder="1" applyAlignment="1">
      <alignment horizontal="center" vertical="center"/>
    </xf>
    <xf numFmtId="167" fontId="13" fillId="0" borderId="14" xfId="0" applyNumberFormat="1" applyFont="1" applyBorder="1" applyAlignment="1">
      <alignment horizontal="center" vertical="center"/>
    </xf>
    <xf numFmtId="49" fontId="13" fillId="8" borderId="3" xfId="0" applyNumberFormat="1" applyFont="1" applyFill="1" applyBorder="1" applyAlignment="1">
      <alignment horizontal="center" vertical="center"/>
    </xf>
    <xf numFmtId="167" fontId="13" fillId="8" borderId="3" xfId="0" applyNumberFormat="1" applyFont="1" applyFill="1" applyBorder="1" applyAlignment="1">
      <alignment horizontal="center" vertical="center"/>
    </xf>
    <xf numFmtId="49" fontId="8" fillId="8" borderId="7" xfId="0" applyNumberFormat="1" applyFont="1" applyFill="1" applyBorder="1" applyAlignment="1">
      <alignment horizontal="center" vertical="center"/>
    </xf>
    <xf numFmtId="166" fontId="8" fillId="8" borderId="8" xfId="0" applyNumberFormat="1" applyFont="1" applyFill="1" applyBorder="1" applyAlignment="1">
      <alignment horizontal="center" vertical="center"/>
    </xf>
    <xf numFmtId="1" fontId="8" fillId="8" borderId="8" xfId="0" applyNumberFormat="1" applyFont="1" applyFill="1" applyBorder="1" applyAlignment="1">
      <alignment horizontal="center" vertical="center"/>
    </xf>
    <xf numFmtId="16" fontId="8" fillId="8" borderId="8" xfId="0" applyNumberFormat="1" applyFont="1" applyFill="1" applyBorder="1" applyAlignment="1">
      <alignment horizontal="center" vertical="center"/>
    </xf>
    <xf numFmtId="49" fontId="9" fillId="8" borderId="8" xfId="0" applyNumberFormat="1" applyFont="1" applyFill="1" applyBorder="1" applyAlignment="1">
      <alignment horizontal="center" vertical="center"/>
    </xf>
    <xf numFmtId="167" fontId="8" fillId="8" borderId="8" xfId="0" applyNumberFormat="1" applyFont="1" applyFill="1" applyBorder="1" applyAlignment="1">
      <alignment horizontal="center" vertical="center"/>
    </xf>
    <xf numFmtId="49" fontId="8" fillId="8" borderId="9" xfId="0" applyNumberFormat="1" applyFont="1" applyFill="1" applyBorder="1" applyAlignment="1">
      <alignment horizontal="center" vertical="center"/>
    </xf>
    <xf numFmtId="49" fontId="17" fillId="9" borderId="3" xfId="0" applyNumberFormat="1" applyFont="1" applyFill="1" applyBorder="1" applyAlignment="1">
      <alignment horizontal="center" vertical="center"/>
    </xf>
    <xf numFmtId="167" fontId="17" fillId="9" borderId="3" xfId="0" applyNumberFormat="1" applyFont="1" applyFill="1" applyBorder="1" applyAlignment="1">
      <alignment horizontal="center" vertical="center"/>
    </xf>
    <xf numFmtId="49" fontId="8" fillId="9" borderId="7" xfId="0" applyNumberFormat="1" applyFont="1" applyFill="1" applyBorder="1" applyAlignment="1">
      <alignment horizontal="center" vertical="center"/>
    </xf>
    <xf numFmtId="166" fontId="8" fillId="9" borderId="8" xfId="0" applyNumberFormat="1" applyFont="1" applyFill="1" applyBorder="1" applyAlignment="1">
      <alignment horizontal="center" vertical="center"/>
    </xf>
    <xf numFmtId="1" fontId="8" fillId="9" borderId="8" xfId="0" applyNumberFormat="1" applyFont="1" applyFill="1" applyBorder="1" applyAlignment="1">
      <alignment horizontal="center" vertical="center"/>
    </xf>
    <xf numFmtId="16" fontId="8" fillId="9" borderId="8" xfId="0" applyNumberFormat="1" applyFont="1" applyFill="1" applyBorder="1" applyAlignment="1">
      <alignment horizontal="center" vertical="center"/>
    </xf>
    <xf numFmtId="49" fontId="9" fillId="9" borderId="8" xfId="0" applyNumberFormat="1" applyFont="1" applyFill="1" applyBorder="1" applyAlignment="1">
      <alignment horizontal="center" vertical="center"/>
    </xf>
    <xf numFmtId="167" fontId="8" fillId="9" borderId="8" xfId="0" applyNumberFormat="1" applyFont="1" applyFill="1" applyBorder="1" applyAlignment="1">
      <alignment horizontal="center" vertical="center"/>
    </xf>
    <xf numFmtId="49" fontId="8" fillId="9" borderId="9" xfId="0" applyNumberFormat="1" applyFont="1" applyFill="1" applyBorder="1" applyAlignment="1">
      <alignment horizontal="center" vertical="center"/>
    </xf>
    <xf numFmtId="49" fontId="17" fillId="10" borderId="3" xfId="0" applyNumberFormat="1" applyFont="1" applyFill="1" applyBorder="1" applyAlignment="1">
      <alignment horizontal="center" vertical="center"/>
    </xf>
    <xf numFmtId="167" fontId="17" fillId="10" borderId="3" xfId="0" applyNumberFormat="1" applyFont="1" applyFill="1" applyBorder="1" applyAlignment="1">
      <alignment horizontal="center" vertical="center"/>
    </xf>
    <xf numFmtId="49" fontId="8" fillId="10" borderId="7" xfId="0" applyNumberFormat="1" applyFont="1" applyFill="1" applyBorder="1" applyAlignment="1">
      <alignment horizontal="center" vertical="center"/>
    </xf>
    <xf numFmtId="166" fontId="18" fillId="10" borderId="8" xfId="0" applyNumberFormat="1" applyFont="1" applyFill="1" applyBorder="1" applyAlignment="1">
      <alignment horizontal="center" vertical="center"/>
    </xf>
    <xf numFmtId="1" fontId="8" fillId="10" borderId="8" xfId="0" applyNumberFormat="1" applyFont="1" applyFill="1" applyBorder="1" applyAlignment="1">
      <alignment horizontal="center" vertical="center"/>
    </xf>
    <xf numFmtId="16" fontId="8" fillId="10" borderId="8" xfId="0" applyNumberFormat="1" applyFont="1" applyFill="1" applyBorder="1" applyAlignment="1">
      <alignment horizontal="center" vertical="center"/>
    </xf>
    <xf numFmtId="49" fontId="9" fillId="10" borderId="8" xfId="0" applyNumberFormat="1" applyFont="1" applyFill="1" applyBorder="1" applyAlignment="1">
      <alignment horizontal="center" vertical="center"/>
    </xf>
    <xf numFmtId="167" fontId="8" fillId="10" borderId="8" xfId="0" applyNumberFormat="1" applyFont="1" applyFill="1" applyBorder="1" applyAlignment="1">
      <alignment horizontal="center" vertical="center"/>
    </xf>
    <xf numFmtId="49" fontId="8" fillId="10" borderId="9" xfId="0" applyNumberFormat="1" applyFont="1" applyFill="1" applyBorder="1" applyAlignment="1">
      <alignment horizontal="center" vertical="center"/>
    </xf>
    <xf numFmtId="49" fontId="17" fillId="11" borderId="3" xfId="0" applyNumberFormat="1" applyFont="1" applyFill="1" applyBorder="1" applyAlignment="1">
      <alignment horizontal="center" vertical="center"/>
    </xf>
    <xf numFmtId="167" fontId="17" fillId="11" borderId="3" xfId="0" applyNumberFormat="1" applyFont="1" applyFill="1" applyBorder="1" applyAlignment="1">
      <alignment horizontal="center" vertical="center"/>
    </xf>
    <xf numFmtId="49" fontId="8" fillId="11" borderId="7" xfId="0" applyNumberFormat="1" applyFont="1" applyFill="1" applyBorder="1" applyAlignment="1">
      <alignment horizontal="center" vertical="center"/>
    </xf>
    <xf numFmtId="166" fontId="18" fillId="11" borderId="8" xfId="0" applyNumberFormat="1" applyFont="1" applyFill="1" applyBorder="1" applyAlignment="1">
      <alignment horizontal="center" vertical="center"/>
    </xf>
    <xf numFmtId="1" fontId="8" fillId="11" borderId="8" xfId="0" applyNumberFormat="1" applyFont="1" applyFill="1" applyBorder="1" applyAlignment="1">
      <alignment horizontal="center" vertical="center"/>
    </xf>
    <xf numFmtId="16" fontId="8" fillId="11" borderId="8" xfId="0" applyNumberFormat="1" applyFont="1" applyFill="1" applyBorder="1" applyAlignment="1">
      <alignment horizontal="center" vertical="center"/>
    </xf>
    <xf numFmtId="49" fontId="9" fillId="11" borderId="8" xfId="0" applyNumberFormat="1" applyFont="1" applyFill="1" applyBorder="1" applyAlignment="1">
      <alignment horizontal="center" vertical="center"/>
    </xf>
    <xf numFmtId="167" fontId="8" fillId="11" borderId="8" xfId="0" applyNumberFormat="1" applyFont="1" applyFill="1" applyBorder="1" applyAlignment="1">
      <alignment horizontal="center" vertical="center"/>
    </xf>
    <xf numFmtId="49" fontId="8" fillId="11" borderId="9" xfId="0" applyNumberFormat="1" applyFont="1" applyFill="1" applyBorder="1" applyAlignment="1">
      <alignment horizontal="center" vertical="center"/>
    </xf>
    <xf numFmtId="49" fontId="17" fillId="8" borderId="3" xfId="0" applyNumberFormat="1" applyFont="1" applyFill="1" applyBorder="1" applyAlignment="1">
      <alignment horizontal="center" vertical="center"/>
    </xf>
    <xf numFmtId="167" fontId="17" fillId="8" borderId="3" xfId="0" applyNumberFormat="1" applyFont="1" applyFill="1" applyBorder="1" applyAlignment="1">
      <alignment horizontal="center" vertical="center"/>
    </xf>
    <xf numFmtId="49" fontId="17" fillId="12" borderId="3" xfId="0" applyNumberFormat="1" applyFont="1" applyFill="1" applyBorder="1" applyAlignment="1">
      <alignment horizontal="center" vertical="center"/>
    </xf>
    <xf numFmtId="167" fontId="17" fillId="12" borderId="3" xfId="0" applyNumberFormat="1" applyFont="1" applyFill="1" applyBorder="1" applyAlignment="1">
      <alignment horizontal="center" vertical="center"/>
    </xf>
    <xf numFmtId="49" fontId="8" fillId="12" borderId="7" xfId="0" applyNumberFormat="1" applyFont="1" applyFill="1" applyBorder="1" applyAlignment="1">
      <alignment horizontal="center" vertical="center"/>
    </xf>
    <xf numFmtId="166" fontId="18" fillId="12" borderId="8" xfId="0" applyNumberFormat="1" applyFont="1" applyFill="1" applyBorder="1" applyAlignment="1">
      <alignment horizontal="center" vertical="center"/>
    </xf>
    <xf numFmtId="1" fontId="8" fillId="12" borderId="8" xfId="0" applyNumberFormat="1" applyFont="1" applyFill="1" applyBorder="1" applyAlignment="1">
      <alignment horizontal="center" vertical="center"/>
    </xf>
    <xf numFmtId="16" fontId="8" fillId="12" borderId="8" xfId="0" applyNumberFormat="1" applyFont="1" applyFill="1" applyBorder="1" applyAlignment="1">
      <alignment horizontal="center" vertical="center"/>
    </xf>
    <xf numFmtId="49" fontId="9" fillId="12" borderId="8" xfId="0" applyNumberFormat="1" applyFont="1" applyFill="1" applyBorder="1" applyAlignment="1">
      <alignment horizontal="center" vertical="center"/>
    </xf>
    <xf numFmtId="167" fontId="8" fillId="12" borderId="8" xfId="0" applyNumberFormat="1" applyFont="1" applyFill="1" applyBorder="1" applyAlignment="1">
      <alignment horizontal="center" vertical="center"/>
    </xf>
    <xf numFmtId="49" fontId="8" fillId="12" borderId="9" xfId="0" applyNumberFormat="1" applyFont="1" applyFill="1" applyBorder="1" applyAlignment="1">
      <alignment horizontal="center" vertical="center"/>
    </xf>
    <xf numFmtId="49" fontId="17" fillId="13" borderId="3" xfId="0" applyNumberFormat="1" applyFont="1" applyFill="1" applyBorder="1" applyAlignment="1">
      <alignment horizontal="center" vertical="center"/>
    </xf>
    <xf numFmtId="167" fontId="17" fillId="13" borderId="3" xfId="0" applyNumberFormat="1" applyFont="1" applyFill="1" applyBorder="1" applyAlignment="1">
      <alignment horizontal="center" vertical="center"/>
    </xf>
    <xf numFmtId="49" fontId="8" fillId="13" borderId="7" xfId="0" applyNumberFormat="1" applyFont="1" applyFill="1" applyBorder="1" applyAlignment="1">
      <alignment horizontal="center" vertical="center"/>
    </xf>
    <xf numFmtId="166" fontId="18" fillId="13" borderId="8" xfId="0" applyNumberFormat="1" applyFont="1" applyFill="1" applyBorder="1" applyAlignment="1">
      <alignment horizontal="center" vertical="center"/>
    </xf>
    <xf numFmtId="1" fontId="8" fillId="13" borderId="8" xfId="0" applyNumberFormat="1" applyFont="1" applyFill="1" applyBorder="1" applyAlignment="1">
      <alignment horizontal="center" vertical="center"/>
    </xf>
    <xf numFmtId="16" fontId="8" fillId="13" borderId="8" xfId="0" applyNumberFormat="1" applyFont="1" applyFill="1" applyBorder="1" applyAlignment="1">
      <alignment horizontal="center" vertical="center"/>
    </xf>
    <xf numFmtId="49" fontId="9" fillId="13" borderId="8" xfId="0" applyNumberFormat="1" applyFont="1" applyFill="1" applyBorder="1" applyAlignment="1">
      <alignment horizontal="center" vertical="center"/>
    </xf>
    <xf numFmtId="167" fontId="8" fillId="13" borderId="8" xfId="0" applyNumberFormat="1" applyFont="1" applyFill="1" applyBorder="1" applyAlignment="1">
      <alignment horizontal="center" vertical="center"/>
    </xf>
    <xf numFmtId="49" fontId="8" fillId="13" borderId="9" xfId="0" applyNumberFormat="1" applyFont="1" applyFill="1" applyBorder="1" applyAlignment="1">
      <alignment horizontal="center" vertical="center"/>
    </xf>
    <xf numFmtId="49" fontId="17" fillId="0" borderId="15" xfId="0" applyNumberFormat="1" applyFont="1" applyBorder="1" applyAlignment="1">
      <alignment horizontal="center" vertical="center"/>
    </xf>
    <xf numFmtId="167" fontId="17" fillId="0" borderId="15" xfId="0" applyNumberFormat="1" applyFont="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15" fillId="0" borderId="11" xfId="0" applyFon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165" fontId="3" fillId="5" borderId="3" xfId="0" applyNumberFormat="1" applyFont="1" applyFill="1" applyBorder="1" applyAlignment="1">
      <alignment horizontal="center" vertical="center"/>
    </xf>
    <xf numFmtId="49" fontId="6" fillId="7" borderId="3" xfId="0" applyNumberFormat="1" applyFont="1" applyFill="1" applyBorder="1" applyAlignment="1">
      <alignment horizontal="center" vertical="center"/>
    </xf>
    <xf numFmtId="167" fontId="6" fillId="7" borderId="3" xfId="0" applyNumberFormat="1" applyFont="1" applyFill="1" applyBorder="1" applyAlignment="1">
      <alignment horizontal="center" vertical="center"/>
    </xf>
    <xf numFmtId="49" fontId="7" fillId="7" borderId="3" xfId="0" applyNumberFormat="1" applyFont="1" applyFill="1" applyBorder="1" applyAlignment="1">
      <alignment horizontal="center" vertical="center"/>
    </xf>
    <xf numFmtId="49" fontId="7" fillId="6" borderId="2" xfId="0" applyNumberFormat="1" applyFont="1" applyFill="1" applyBorder="1" applyAlignment="1">
      <alignment horizontal="center" vertical="center"/>
    </xf>
    <xf numFmtId="166" fontId="6" fillId="7" borderId="3" xfId="0" applyNumberFormat="1" applyFont="1" applyFill="1" applyBorder="1" applyAlignment="1">
      <alignment horizontal="center" vertical="center"/>
    </xf>
    <xf numFmtId="1" fontId="6" fillId="7" borderId="3" xfId="0" applyNumberFormat="1" applyFont="1" applyFill="1" applyBorder="1" applyAlignment="1">
      <alignment horizontal="center" vertical="center"/>
    </xf>
    <xf numFmtId="16" fontId="6" fillId="7" borderId="3" xfId="0" applyNumberFormat="1" applyFont="1" applyFill="1" applyBorder="1" applyAlignment="1">
      <alignment horizontal="center" vertical="center"/>
    </xf>
    <xf numFmtId="49" fontId="13" fillId="15" borderId="3" xfId="0" applyNumberFormat="1" applyFont="1" applyFill="1" applyBorder="1" applyAlignment="1">
      <alignment horizontal="center" vertical="center"/>
    </xf>
    <xf numFmtId="167" fontId="13" fillId="15" borderId="3" xfId="0" applyNumberFormat="1" applyFont="1" applyFill="1" applyBorder="1" applyAlignment="1">
      <alignment horizontal="center" vertical="center"/>
    </xf>
    <xf numFmtId="49" fontId="8" fillId="15" borderId="7" xfId="0" applyNumberFormat="1" applyFont="1" applyFill="1" applyBorder="1" applyAlignment="1">
      <alignment horizontal="center" vertical="center"/>
    </xf>
    <xf numFmtId="166" fontId="20" fillId="15" borderId="8" xfId="0" applyNumberFormat="1" applyFont="1" applyFill="1" applyBorder="1" applyAlignment="1">
      <alignment horizontal="center" vertical="center"/>
    </xf>
    <xf numFmtId="1" fontId="8" fillId="15" borderId="8" xfId="0" applyNumberFormat="1" applyFont="1" applyFill="1" applyBorder="1" applyAlignment="1">
      <alignment horizontal="center" vertical="center"/>
    </xf>
    <xf numFmtId="16" fontId="8" fillId="15" borderId="8" xfId="0" applyNumberFormat="1" applyFont="1" applyFill="1" applyBorder="1" applyAlignment="1">
      <alignment horizontal="center" vertical="center"/>
    </xf>
    <xf numFmtId="49" fontId="9" fillId="15" borderId="8" xfId="0" applyNumberFormat="1" applyFont="1" applyFill="1" applyBorder="1" applyAlignment="1">
      <alignment horizontal="center" vertical="center"/>
    </xf>
    <xf numFmtId="167" fontId="8" fillId="15" borderId="8" xfId="0" applyNumberFormat="1" applyFont="1" applyFill="1" applyBorder="1" applyAlignment="1">
      <alignment horizontal="center" vertical="center"/>
    </xf>
    <xf numFmtId="49" fontId="8" fillId="15" borderId="9" xfId="0" applyNumberFormat="1" applyFont="1" applyFill="1" applyBorder="1" applyAlignment="1">
      <alignment horizontal="center" vertical="center"/>
    </xf>
    <xf numFmtId="166" fontId="20" fillId="9" borderId="8" xfId="0" applyNumberFormat="1" applyFont="1" applyFill="1" applyBorder="1" applyAlignment="1">
      <alignment horizontal="center" vertical="center"/>
    </xf>
    <xf numFmtId="166" fontId="20" fillId="12" borderId="8" xfId="0" applyNumberFormat="1" applyFont="1" applyFill="1" applyBorder="1" applyAlignment="1">
      <alignment horizontal="center" vertical="center"/>
    </xf>
    <xf numFmtId="166" fontId="20" fillId="13" borderId="8" xfId="0" applyNumberFormat="1" applyFont="1" applyFill="1" applyBorder="1" applyAlignment="1">
      <alignment horizontal="center" vertical="center"/>
    </xf>
    <xf numFmtId="166" fontId="8" fillId="11" borderId="8" xfId="0" applyNumberFormat="1" applyFont="1" applyFill="1" applyBorder="1" applyAlignment="1">
      <alignment horizontal="center" vertical="center"/>
    </xf>
    <xf numFmtId="0" fontId="17" fillId="9" borderId="3" xfId="0" applyFont="1" applyFill="1" applyBorder="1" applyAlignment="1">
      <alignment horizontal="center" vertical="center"/>
    </xf>
    <xf numFmtId="166" fontId="18" fillId="9" borderId="8" xfId="0" applyNumberFormat="1" applyFont="1" applyFill="1" applyBorder="1" applyAlignment="1">
      <alignment horizontal="center" vertical="center"/>
    </xf>
    <xf numFmtId="49" fontId="16" fillId="0" borderId="15" xfId="0" applyNumberFormat="1" applyFont="1" applyBorder="1" applyAlignment="1">
      <alignment horizontal="center" vertical="center"/>
    </xf>
    <xf numFmtId="167" fontId="16" fillId="0" borderId="15" xfId="0" applyNumberFormat="1" applyFont="1" applyBorder="1" applyAlignment="1">
      <alignment horizontal="center" vertical="center"/>
    </xf>
    <xf numFmtId="0" fontId="13" fillId="15" borderId="3" xfId="0" applyFont="1" applyFill="1" applyBorder="1" applyAlignment="1">
      <alignment horizontal="center" vertical="center"/>
    </xf>
    <xf numFmtId="166" fontId="18" fillId="15" borderId="8" xfId="0" applyNumberFormat="1" applyFont="1" applyFill="1" applyBorder="1" applyAlignment="1">
      <alignment horizontal="center" vertical="center"/>
    </xf>
    <xf numFmtId="0" fontId="17" fillId="13" borderId="3" xfId="0" applyFont="1" applyFill="1" applyBorder="1" applyAlignment="1">
      <alignment horizontal="center" vertical="center"/>
    </xf>
    <xf numFmtId="49" fontId="17" fillId="9" borderId="15" xfId="0" applyNumberFormat="1" applyFont="1" applyFill="1" applyBorder="1" applyAlignment="1">
      <alignment horizontal="center" vertical="center"/>
    </xf>
    <xf numFmtId="167" fontId="17" fillId="9" borderId="15" xfId="0" applyNumberFormat="1" applyFont="1" applyFill="1" applyBorder="1" applyAlignment="1">
      <alignment horizontal="center" vertical="center"/>
    </xf>
    <xf numFmtId="0" fontId="17" fillId="9" borderId="15" xfId="0" applyFont="1" applyFill="1" applyBorder="1" applyAlignment="1">
      <alignment horizontal="center" vertical="center"/>
    </xf>
    <xf numFmtId="49" fontId="8" fillId="9" borderId="16" xfId="0" applyNumberFormat="1" applyFont="1" applyFill="1" applyBorder="1" applyAlignment="1">
      <alignment horizontal="center" vertical="center"/>
    </xf>
    <xf numFmtId="166" fontId="18" fillId="9" borderId="17" xfId="0" applyNumberFormat="1" applyFont="1" applyFill="1" applyBorder="1" applyAlignment="1">
      <alignment horizontal="center" vertical="center"/>
    </xf>
    <xf numFmtId="1" fontId="8" fillId="9" borderId="17" xfId="0" applyNumberFormat="1" applyFont="1" applyFill="1" applyBorder="1" applyAlignment="1">
      <alignment horizontal="center" vertical="center"/>
    </xf>
    <xf numFmtId="16" fontId="8" fillId="9" borderId="17" xfId="0" applyNumberFormat="1" applyFont="1" applyFill="1" applyBorder="1" applyAlignment="1">
      <alignment horizontal="center" vertical="center"/>
    </xf>
    <xf numFmtId="49" fontId="9" fillId="9" borderId="17" xfId="0" applyNumberFormat="1" applyFont="1" applyFill="1" applyBorder="1" applyAlignment="1">
      <alignment horizontal="center" vertical="center"/>
    </xf>
    <xf numFmtId="167" fontId="8" fillId="9" borderId="17" xfId="0" applyNumberFormat="1" applyFont="1" applyFill="1" applyBorder="1" applyAlignment="1">
      <alignment horizontal="center" vertical="center"/>
    </xf>
    <xf numFmtId="49" fontId="8" fillId="9" borderId="18" xfId="0" applyNumberFormat="1" applyFont="1" applyFill="1" applyBorder="1" applyAlignment="1">
      <alignment horizontal="center" vertical="center"/>
    </xf>
    <xf numFmtId="168" fontId="0" fillId="0" borderId="0" xfId="0" applyNumberFormat="1" applyAlignment="1">
      <alignment horizontal="center" vertical="center"/>
    </xf>
    <xf numFmtId="15" fontId="0" fillId="0" borderId="0" xfId="0" applyNumberFormat="1" applyAlignment="1">
      <alignment horizontal="center" vertical="center"/>
    </xf>
    <xf numFmtId="49" fontId="0" fillId="0" borderId="0" xfId="0" applyNumberFormat="1" applyAlignment="1">
      <alignment horizontal="center" vertical="center"/>
    </xf>
    <xf numFmtId="167" fontId="0" fillId="0" borderId="0" xfId="0" applyNumberFormat="1" applyAlignment="1">
      <alignment horizontal="center" vertical="center"/>
    </xf>
    <xf numFmtId="166" fontId="0" fillId="0" borderId="0" xfId="0" applyNumberFormat="1" applyAlignment="1">
      <alignment horizontal="center" vertical="center"/>
    </xf>
    <xf numFmtId="1" fontId="0" fillId="0" borderId="0" xfId="0" applyNumberFormat="1" applyAlignment="1">
      <alignment horizontal="center" vertical="center"/>
    </xf>
    <xf numFmtId="16" fontId="0" fillId="0" borderId="0" xfId="0" applyNumberFormat="1" applyAlignment="1">
      <alignment horizontal="center" vertical="center"/>
    </xf>
    <xf numFmtId="0" fontId="24" fillId="16" borderId="25" xfId="0" applyFont="1" applyFill="1" applyBorder="1" applyAlignment="1">
      <alignment horizontal="center" vertical="center"/>
    </xf>
    <xf numFmtId="0" fontId="24" fillId="16" borderId="24" xfId="0" applyFont="1" applyFill="1" applyBorder="1" applyAlignment="1">
      <alignment horizontal="center" vertical="center"/>
    </xf>
    <xf numFmtId="0" fontId="24" fillId="16" borderId="28" xfId="0" applyFont="1" applyFill="1" applyBorder="1" applyAlignment="1">
      <alignment horizontal="center" vertical="center"/>
    </xf>
    <xf numFmtId="0" fontId="25" fillId="0" borderId="26" xfId="0" applyFont="1" applyBorder="1" applyAlignment="1">
      <alignment horizontal="center" vertical="center"/>
    </xf>
    <xf numFmtId="0" fontId="25" fillId="0" borderId="22" xfId="0" applyFont="1" applyBorder="1" applyAlignment="1">
      <alignment horizontal="center" vertical="center"/>
    </xf>
    <xf numFmtId="49" fontId="25" fillId="0" borderId="22" xfId="0" applyNumberFormat="1" applyFont="1" applyBorder="1" applyAlignment="1">
      <alignment horizontal="center" vertical="center"/>
    </xf>
    <xf numFmtId="1" fontId="25" fillId="0" borderId="22" xfId="0" applyNumberFormat="1" applyFont="1" applyBorder="1" applyAlignment="1">
      <alignment horizontal="center" vertical="center"/>
    </xf>
    <xf numFmtId="169" fontId="25" fillId="0" borderId="29" xfId="0" applyNumberFormat="1" applyFont="1" applyBorder="1" applyAlignment="1">
      <alignment horizontal="center" vertical="center"/>
    </xf>
    <xf numFmtId="0" fontId="26" fillId="0" borderId="26" xfId="0" applyFont="1" applyBorder="1" applyAlignment="1">
      <alignment horizontal="center" vertical="center"/>
    </xf>
    <xf numFmtId="0" fontId="26" fillId="0" borderId="22" xfId="0" applyFont="1" applyBorder="1" applyAlignment="1">
      <alignment horizontal="center" vertical="center"/>
    </xf>
    <xf numFmtId="49" fontId="26" fillId="0" borderId="22" xfId="0" applyNumberFormat="1" applyFont="1" applyBorder="1" applyAlignment="1">
      <alignment horizontal="center" vertical="center"/>
    </xf>
    <xf numFmtId="1" fontId="26" fillId="0" borderId="22" xfId="0" applyNumberFormat="1" applyFont="1" applyBorder="1" applyAlignment="1">
      <alignment horizontal="center" vertical="center"/>
    </xf>
    <xf numFmtId="169" fontId="26" fillId="0" borderId="29" xfId="0" applyNumberFormat="1" applyFont="1" applyBorder="1" applyAlignment="1">
      <alignment horizontal="center" vertical="center"/>
    </xf>
    <xf numFmtId="170" fontId="26" fillId="0" borderId="26" xfId="0" applyNumberFormat="1" applyFont="1" applyBorder="1" applyAlignment="1">
      <alignment horizontal="center" vertical="center"/>
    </xf>
    <xf numFmtId="171" fontId="26" fillId="0" borderId="22" xfId="0" applyNumberFormat="1" applyFont="1" applyBorder="1" applyAlignment="1">
      <alignment horizontal="center" vertical="center"/>
    </xf>
    <xf numFmtId="170" fontId="25" fillId="0" borderId="26" xfId="0" applyNumberFormat="1" applyFont="1" applyBorder="1" applyAlignment="1">
      <alignment horizontal="center" vertical="center"/>
    </xf>
    <xf numFmtId="171" fontId="25" fillId="0" borderId="22" xfId="0" applyNumberFormat="1" applyFont="1" applyBorder="1" applyAlignment="1">
      <alignment horizontal="center" vertical="center"/>
    </xf>
    <xf numFmtId="0" fontId="25" fillId="0" borderId="29" xfId="0" applyFont="1" applyBorder="1" applyAlignment="1">
      <alignment horizontal="center" vertical="center"/>
    </xf>
    <xf numFmtId="0" fontId="26" fillId="0" borderId="29" xfId="0" applyFont="1" applyBorder="1" applyAlignment="1">
      <alignment horizontal="center" vertical="center"/>
    </xf>
    <xf numFmtId="170" fontId="25" fillId="0" borderId="27" xfId="0" applyNumberFormat="1" applyFont="1" applyBorder="1" applyAlignment="1">
      <alignment horizontal="center" vertical="center"/>
    </xf>
    <xf numFmtId="0" fontId="25" fillId="0" borderId="23" xfId="0" applyFont="1" applyBorder="1" applyAlignment="1">
      <alignment horizontal="center" vertical="center"/>
    </xf>
    <xf numFmtId="49" fontId="25" fillId="0" borderId="23" xfId="0" applyNumberFormat="1" applyFont="1" applyBorder="1" applyAlignment="1">
      <alignment horizontal="center" vertical="center"/>
    </xf>
    <xf numFmtId="171" fontId="25" fillId="0" borderId="23" xfId="0" applyNumberFormat="1" applyFont="1" applyBorder="1" applyAlignment="1">
      <alignment horizontal="center" vertical="center"/>
    </xf>
    <xf numFmtId="1" fontId="25" fillId="0" borderId="23" xfId="0" applyNumberFormat="1" applyFont="1" applyBorder="1" applyAlignment="1">
      <alignment horizontal="center" vertical="center"/>
    </xf>
    <xf numFmtId="0" fontId="25" fillId="0" borderId="30" xfId="0" applyFont="1" applyBorder="1" applyAlignment="1">
      <alignment horizontal="center" vertical="center"/>
    </xf>
    <xf numFmtId="170" fontId="26" fillId="0" borderId="27" xfId="0" applyNumberFormat="1" applyFont="1" applyBorder="1" applyAlignment="1">
      <alignment horizontal="center" vertical="center"/>
    </xf>
    <xf numFmtId="0" fontId="26" fillId="0" borderId="23" xfId="0" applyFont="1" applyBorder="1" applyAlignment="1">
      <alignment horizontal="center" vertical="center"/>
    </xf>
    <xf numFmtId="49" fontId="26" fillId="0" borderId="23" xfId="0" applyNumberFormat="1" applyFont="1" applyBorder="1" applyAlignment="1">
      <alignment horizontal="center" vertical="center"/>
    </xf>
    <xf numFmtId="171" fontId="26" fillId="0" borderId="23" xfId="0" applyNumberFormat="1" applyFont="1" applyBorder="1" applyAlignment="1">
      <alignment horizontal="center" vertical="center"/>
    </xf>
    <xf numFmtId="0" fontId="26" fillId="0" borderId="30" xfId="0" applyFont="1" applyBorder="1" applyAlignment="1">
      <alignment horizontal="center" vertical="center"/>
    </xf>
    <xf numFmtId="0" fontId="31" fillId="0" borderId="0" xfId="0" applyFont="1" applyAlignment="1">
      <alignment horizontal="center" vertical="center"/>
    </xf>
    <xf numFmtId="0" fontId="31" fillId="0" borderId="0" xfId="0" applyFont="1"/>
    <xf numFmtId="168" fontId="31" fillId="0" borderId="0" xfId="0" applyNumberFormat="1" applyFont="1" applyAlignment="1">
      <alignment horizontal="center" vertical="center"/>
    </xf>
    <xf numFmtId="15" fontId="31" fillId="0" borderId="0" xfId="0" applyNumberFormat="1" applyFont="1" applyAlignment="1">
      <alignment horizontal="center" vertical="center"/>
    </xf>
    <xf numFmtId="49" fontId="31" fillId="0" borderId="0" xfId="0" applyNumberFormat="1" applyFont="1" applyAlignment="1">
      <alignment horizontal="center" vertical="center"/>
    </xf>
    <xf numFmtId="167" fontId="31" fillId="0" borderId="0" xfId="0" applyNumberFormat="1" applyFont="1" applyAlignment="1">
      <alignment horizontal="center" vertical="center"/>
    </xf>
    <xf numFmtId="166" fontId="31" fillId="0" borderId="0" xfId="0" applyNumberFormat="1" applyFont="1" applyAlignment="1">
      <alignment horizontal="center" vertical="center"/>
    </xf>
    <xf numFmtId="1" fontId="31" fillId="0" borderId="0" xfId="0" applyNumberFormat="1" applyFont="1" applyAlignment="1">
      <alignment horizontal="center" vertical="center"/>
    </xf>
    <xf numFmtId="16" fontId="31" fillId="0" borderId="0" xfId="0" applyNumberFormat="1" applyFont="1" applyAlignment="1">
      <alignment horizontal="center" vertical="center"/>
    </xf>
    <xf numFmtId="0" fontId="32" fillId="17" borderId="0" xfId="0" applyFont="1" applyFill="1" applyAlignment="1">
      <alignment horizontal="center" vertical="center"/>
    </xf>
    <xf numFmtId="15" fontId="32" fillId="17" borderId="0" xfId="0" applyNumberFormat="1" applyFont="1" applyFill="1" applyAlignment="1">
      <alignment horizontal="center" vertical="center"/>
    </xf>
    <xf numFmtId="166" fontId="32" fillId="17" borderId="0" xfId="0" applyNumberFormat="1" applyFont="1" applyFill="1" applyAlignment="1">
      <alignment horizontal="center" vertical="center"/>
    </xf>
    <xf numFmtId="1" fontId="32" fillId="17" borderId="0" xfId="0" applyNumberFormat="1" applyFont="1" applyFill="1" applyAlignment="1">
      <alignment horizontal="center" vertical="center"/>
    </xf>
    <xf numFmtId="0" fontId="32" fillId="17" borderId="0" xfId="0" applyNumberFormat="1" applyFont="1" applyFill="1" applyAlignment="1">
      <alignment horizontal="center" vertical="center"/>
    </xf>
    <xf numFmtId="0" fontId="33" fillId="17" borderId="0" xfId="0" applyFont="1" applyFill="1" applyAlignment="1">
      <alignment horizontal="center"/>
    </xf>
    <xf numFmtId="15" fontId="33" fillId="17" borderId="0" xfId="0" applyNumberFormat="1" applyFont="1" applyFill="1" applyAlignment="1">
      <alignment horizontal="center"/>
    </xf>
    <xf numFmtId="166" fontId="33" fillId="17" borderId="0" xfId="0" applyNumberFormat="1" applyFont="1" applyFill="1" applyAlignment="1">
      <alignment horizontal="center"/>
    </xf>
    <xf numFmtId="1" fontId="33" fillId="17" borderId="0" xfId="0" applyNumberFormat="1" applyFont="1" applyFill="1" applyAlignment="1">
      <alignment horizontal="center"/>
    </xf>
    <xf numFmtId="0" fontId="33" fillId="17" borderId="0" xfId="0" applyNumberFormat="1" applyFont="1" applyFill="1" applyAlignment="1">
      <alignment horizontal="center"/>
    </xf>
    <xf numFmtId="0" fontId="21" fillId="0" borderId="19" xfId="0" applyFont="1" applyBorder="1" applyAlignment="1">
      <alignment horizontal="center" vertical="center"/>
    </xf>
    <xf numFmtId="0" fontId="0" fillId="0" borderId="20" xfId="0" applyBorder="1"/>
    <xf numFmtId="0" fontId="0" fillId="0" borderId="21" xfId="0" applyBorder="1"/>
    <xf numFmtId="49" fontId="11" fillId="4" borderId="3" xfId="0" applyNumberFormat="1" applyFont="1" applyFill="1" applyBorder="1" applyAlignment="1">
      <alignment horizontal="center" vertical="center"/>
    </xf>
    <xf numFmtId="0" fontId="12" fillId="0" borderId="3" xfId="0" applyFont="1" applyBorder="1"/>
    <xf numFmtId="164" fontId="2" fillId="2" borderId="0" xfId="0" applyNumberFormat="1" applyFont="1" applyFill="1" applyAlignment="1">
      <alignment horizontal="center" vertical="center"/>
    </xf>
    <xf numFmtId="0" fontId="0" fillId="2" borderId="0" xfId="0" applyFill="1" applyAlignment="1">
      <alignment horizontal="center" vertical="center"/>
    </xf>
    <xf numFmtId="0" fontId="1" fillId="2" borderId="0" xfId="0" applyFont="1" applyFill="1" applyAlignment="1">
      <alignment horizontal="center" vertical="center"/>
    </xf>
    <xf numFmtId="165" fontId="10" fillId="3" borderId="0" xfId="0" applyNumberFormat="1" applyFont="1" applyFill="1" applyAlignment="1">
      <alignment horizontal="left" vertical="center"/>
    </xf>
    <xf numFmtId="0" fontId="10" fillId="3" borderId="0" xfId="0" applyFont="1" applyFill="1"/>
    <xf numFmtId="18" fontId="10" fillId="3" borderId="0" xfId="0" applyNumberFormat="1" applyFont="1" applyFill="1" applyAlignment="1">
      <alignment horizontal="left" vertical="center"/>
    </xf>
    <xf numFmtId="0" fontId="3" fillId="3" borderId="0" xfId="0" applyFont="1" applyFill="1"/>
    <xf numFmtId="0" fontId="11" fillId="4" borderId="3" xfId="0" applyFont="1" applyFill="1" applyBorder="1" applyAlignment="1">
      <alignment horizontal="center" vertical="center"/>
    </xf>
    <xf numFmtId="0" fontId="22" fillId="0" borderId="3" xfId="0" applyFont="1" applyBorder="1"/>
    <xf numFmtId="0" fontId="5" fillId="4" borderId="3" xfId="0" applyFont="1" applyFill="1" applyBorder="1" applyAlignment="1">
      <alignment horizontal="center" vertical="center"/>
    </xf>
    <xf numFmtId="0" fontId="0" fillId="0" borderId="3" xfId="0" applyBorder="1"/>
    <xf numFmtId="164" fontId="2" fillId="2" borderId="0" xfId="0" applyNumberFormat="1" applyFont="1" applyFill="1" applyAlignment="1">
      <alignment horizontal="left" vertical="center"/>
    </xf>
    <xf numFmtId="0" fontId="10" fillId="3" borderId="0" xfId="0" applyFont="1" applyFill="1" applyAlignment="1">
      <alignment horizontal="right" vertical="center"/>
    </xf>
    <xf numFmtId="0" fontId="4" fillId="0" borderId="0" xfId="0" applyFont="1" applyAlignment="1">
      <alignment horizontal="right" vertical="center"/>
    </xf>
    <xf numFmtId="0" fontId="0" fillId="0" borderId="0" xfId="0"/>
    <xf numFmtId="0" fontId="0" fillId="0" borderId="19" xfId="0" applyBorder="1" applyAlignment="1">
      <alignment horizontal="center" vertical="center"/>
    </xf>
    <xf numFmtId="0" fontId="19" fillId="14" borderId="31" xfId="0" applyFont="1" applyFill="1" applyBorder="1" applyAlignment="1">
      <alignment horizontal="center" vertical="center"/>
    </xf>
    <xf numFmtId="0" fontId="19" fillId="14" borderId="32" xfId="0" applyFont="1" applyFill="1" applyBorder="1" applyAlignment="1">
      <alignment horizontal="center" vertical="center"/>
    </xf>
    <xf numFmtId="0" fontId="19" fillId="14" borderId="33" xfId="0" applyFont="1" applyFill="1" applyBorder="1" applyAlignment="1">
      <alignment horizontal="center" vertical="center"/>
    </xf>
    <xf numFmtId="49" fontId="5" fillId="4" borderId="3" xfId="0" applyNumberFormat="1" applyFont="1" applyFill="1" applyBorder="1" applyAlignment="1">
      <alignment horizontal="center" vertical="center"/>
    </xf>
  </cellXfs>
  <cellStyles count="1">
    <cellStyle name="Normal" xfId="0" builtinId="0"/>
  </cellStyles>
  <dxfs count="112">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0" formatCode="General"/>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20" formatCode="d\-mmm\-yy"/>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66" formatCode="0.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20" formatCode="d\-mmm\-yy"/>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6"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JED_CAI_LF_LEGACY" displayName="JED_CAI_LF_LEGACY" ref="A1:AJ18" totalsRowCount="1" headerRowDxfId="111" dataDxfId="110" totalsRowDxfId="109">
  <tableColumns count="36">
    <tableColumn id="1" xr3:uid="{00000000-0010-0000-0000-000001000000}" name="Day" totalsRowLabel="TOTAL" dataDxfId="108" totalsRowDxfId="107"/>
    <tableColumn id="2" xr3:uid="{00000000-0010-0000-0000-000002000000}" name="Flt Dt" dataDxfId="106" totalsRowDxfId="105"/>
    <tableColumn id="3" xr3:uid="{00000000-0010-0000-0000-000003000000}" name="Flt" totalsRowFunction="count" dataDxfId="104" totalsRowDxfId="103"/>
    <tableColumn id="4" xr3:uid="{00000000-0010-0000-0000-000004000000}" name="DEP" dataDxfId="102" totalsRowDxfId="101"/>
    <tableColumn id="5" xr3:uid="{00000000-0010-0000-0000-000005000000}" name="Brd-Off" totalsRowFunction="count" dataDxfId="100" totalsRowDxfId="99"/>
    <tableColumn id="6" xr3:uid="{00000000-0010-0000-0000-000006000000}" name="Eqp" dataDxfId="98" totalsRowDxfId="97"/>
    <tableColumn id="7" xr3:uid="{00000000-0010-0000-0000-000007000000}" name="LF%" totalsRowFunction="average" dataDxfId="96" totalsRowDxfId="95"/>
    <tableColumn id="8" xr3:uid="{00000000-0010-0000-0000-000008000000}" name="CAP" totalsRowFunction="sum" dataDxfId="94" totalsRowDxfId="93"/>
    <tableColumn id="9" xr3:uid="{00000000-0010-0000-0000-000009000000}" name="BKG(Y)" totalsRowFunction="sum" dataDxfId="92" totalsRowDxfId="91"/>
    <tableColumn id="10" xr3:uid="{00000000-0010-0000-0000-00000A000000}" name="GRP(Y)" totalsRowFunction="sum" dataDxfId="90" totalsRowDxfId="89"/>
    <tableColumn id="11" xr3:uid="{00000000-0010-0000-0000-00000B000000}" name="FLT ST" dataDxfId="88" totalsRowDxfId="87"/>
    <tableColumn id="12" xr3:uid="{00000000-0010-0000-0000-00000C000000}" name="LST-SOLD" dataDxfId="86" totalsRowDxfId="85"/>
    <tableColumn id="13" xr3:uid="{00000000-0010-0000-0000-00000D000000}" name="TO-DAY" totalsRowFunction="sum" dataDxfId="84" totalsRowDxfId="83"/>
    <tableColumn id="14" xr3:uid="{00000000-0010-0000-0000-00000E000000}" name="Y-DAY" totalsRowFunction="sum" dataDxfId="82" totalsRowDxfId="81"/>
    <tableColumn id="15" xr3:uid="{00000000-0010-0000-0000-00000F000000}" name="WEEKLY" totalsRowFunction="sum" dataDxfId="80" totalsRowDxfId="79"/>
    <tableColumn id="16" xr3:uid="{00000000-0010-0000-0000-000010000000}" name="LOWEST AVAIL" dataDxfId="78" totalsRowDxfId="77"/>
    <tableColumn id="17" xr3:uid="{00000000-0010-0000-0000-000011000000}" name="Y" totalsRowFunction="sum" dataDxfId="76" totalsRowDxfId="75"/>
    <tableColumn id="18" xr3:uid="{00000000-0010-0000-0000-000012000000}" name="B" totalsRowFunction="sum" dataDxfId="74" totalsRowDxfId="73"/>
    <tableColumn id="19" xr3:uid="{00000000-0010-0000-0000-000013000000}" name="M" totalsRowFunction="sum" dataDxfId="72" totalsRowDxfId="71"/>
    <tableColumn id="20" xr3:uid="{00000000-0010-0000-0000-000014000000}" name="H" totalsRowFunction="sum" dataDxfId="70" totalsRowDxfId="69"/>
    <tableColumn id="21" xr3:uid="{00000000-0010-0000-0000-000015000000}" name="Q" totalsRowFunction="sum" dataDxfId="68" totalsRowDxfId="67"/>
    <tableColumn id="22" xr3:uid="{00000000-0010-0000-0000-000016000000}" name="K" totalsRowFunction="sum" dataDxfId="66" totalsRowDxfId="65"/>
    <tableColumn id="23" xr3:uid="{00000000-0010-0000-0000-000017000000}" name="V" totalsRowFunction="sum" dataDxfId="64" totalsRowDxfId="63"/>
    <tableColumn id="24" xr3:uid="{00000000-0010-0000-0000-000018000000}" name="L" totalsRowFunction="sum" dataDxfId="62" totalsRowDxfId="61"/>
    <tableColumn id="25" xr3:uid="{00000000-0010-0000-0000-000019000000}" name="G" totalsRowFunction="sum" dataDxfId="60" totalsRowDxfId="59"/>
    <tableColumn id="26" xr3:uid="{00000000-0010-0000-0000-00001A000000}" name="S" totalsRowFunction="sum" dataDxfId="58" totalsRowDxfId="57"/>
    <tableColumn id="27" xr3:uid="{00000000-0010-0000-0000-00001B000000}" name="W" totalsRowFunction="sum" dataDxfId="56" totalsRowDxfId="55"/>
    <tableColumn id="28" xr3:uid="{00000000-0010-0000-0000-00001C000000}" name="T" totalsRowFunction="sum" dataDxfId="54" totalsRowDxfId="53"/>
    <tableColumn id="29" xr3:uid="{00000000-0010-0000-0000-00001D000000}" name="X" totalsRowFunction="sum" dataDxfId="52" totalsRowDxfId="51"/>
    <tableColumn id="30" xr3:uid="{00000000-0010-0000-0000-00001E000000}" name="U" totalsRowFunction="sum" dataDxfId="50" totalsRowDxfId="49"/>
    <tableColumn id="31" xr3:uid="{00000000-0010-0000-0000-00001F000000}" name="O" totalsRowFunction="sum" dataDxfId="48" totalsRowDxfId="47"/>
    <tableColumn id="32" xr3:uid="{00000000-0010-0000-0000-000020000000}" name="I" totalsRowFunction="sum" dataDxfId="46" totalsRowDxfId="45"/>
    <tableColumn id="33" xr3:uid="{00000000-0010-0000-0000-000021000000}" name="E" totalsRowFunction="sum" dataDxfId="44" totalsRowDxfId="43"/>
    <tableColumn id="34" xr3:uid="{00000000-0010-0000-0000-000022000000}" name="A" totalsRowFunction="sum" dataDxfId="42" totalsRowDxfId="41"/>
    <tableColumn id="35" xr3:uid="{00000000-0010-0000-0000-000023000000}" name="P" totalsRowFunction="sum" dataDxfId="40" totalsRowDxfId="39"/>
    <tableColumn id="36" xr3:uid="{00000000-0010-0000-0000-000024000000}" name="N" totalsRowFunction="count" dataDxfId="38" totalsRowDxfId="3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JED_CAI" displayName="FocusMode_JED_CAI" ref="A1:H215" totalsRowShown="0">
  <autoFilter ref="A1:H215"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JED_CAI" displayName="ThreatsAlert_JED_CAI" ref="A1:H40" totalsRowShown="0">
  <autoFilter ref="A1:H40"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F_ALL_ROUTES" displayName="LF_ALL_ROUTES" ref="A1:AJ18" totalsRowCount="1" totalsRowDxfId="36">
  <tableColumns count="36">
    <tableColumn id="1" xr3:uid="{00000000-0010-0000-0300-000001000000}" name="Day" totalsRowLabel="TOTAL" totalsRowDxfId="35"/>
    <tableColumn id="2" xr3:uid="{00000000-0010-0000-0300-000002000000}" name="Flt Dt" totalsRowDxfId="34"/>
    <tableColumn id="3" xr3:uid="{00000000-0010-0000-0300-000003000000}" name="Flt" totalsRowFunction="count" totalsRowDxfId="33"/>
    <tableColumn id="4" xr3:uid="{00000000-0010-0000-0300-000004000000}" name="DEP" totalsRowDxfId="32"/>
    <tableColumn id="5" xr3:uid="{00000000-0010-0000-0300-000005000000}" name="Brd-Off" totalsRowFunction="count" totalsRowDxfId="31"/>
    <tableColumn id="6" xr3:uid="{00000000-0010-0000-0300-000006000000}" name="Eqp" totalsRowDxfId="30"/>
    <tableColumn id="7" xr3:uid="{00000000-0010-0000-0300-000007000000}" name="LF%" totalsRowFunction="average" totalsRowDxfId="29"/>
    <tableColumn id="8" xr3:uid="{00000000-0010-0000-0300-000008000000}" name="CAP" totalsRowFunction="sum" totalsRowDxfId="28"/>
    <tableColumn id="9" xr3:uid="{00000000-0010-0000-0300-000009000000}" name="BKG(Y)" totalsRowFunction="sum" totalsRowDxfId="27"/>
    <tableColumn id="10" xr3:uid="{00000000-0010-0000-0300-00000A000000}" name="GRP(Y)" totalsRowFunction="sum" totalsRowDxfId="26"/>
    <tableColumn id="11" xr3:uid="{00000000-0010-0000-0300-00000B000000}" name="FLT ST" totalsRowDxfId="25"/>
    <tableColumn id="12" xr3:uid="{00000000-0010-0000-0300-00000C000000}" name="LST-SOLD" totalsRowDxfId="24"/>
    <tableColumn id="13" xr3:uid="{00000000-0010-0000-0300-00000D000000}" name="TO-DAY" totalsRowFunction="sum" totalsRowDxfId="23"/>
    <tableColumn id="14" xr3:uid="{00000000-0010-0000-0300-00000E000000}" name="Y-DAY" totalsRowFunction="sum" totalsRowDxfId="22"/>
    <tableColumn id="15" xr3:uid="{00000000-0010-0000-0300-00000F000000}" name="WEEKLY" totalsRowFunction="sum" totalsRowDxfId="21"/>
    <tableColumn id="16" xr3:uid="{00000000-0010-0000-0300-000010000000}" name="LOWEST AVAIL" totalsRowDxfId="20"/>
    <tableColumn id="17" xr3:uid="{00000000-0010-0000-0300-000011000000}" name="Y" totalsRowFunction="sum" totalsRowDxfId="19"/>
    <tableColumn id="18" xr3:uid="{00000000-0010-0000-0300-000012000000}" name="B" totalsRowFunction="sum" totalsRowDxfId="18"/>
    <tableColumn id="19" xr3:uid="{00000000-0010-0000-0300-000013000000}" name="M" totalsRowFunction="sum" totalsRowDxfId="17"/>
    <tableColumn id="20" xr3:uid="{00000000-0010-0000-0300-000014000000}" name="H" totalsRowFunction="sum" totalsRowDxfId="16"/>
    <tableColumn id="21" xr3:uid="{00000000-0010-0000-0300-000015000000}" name="Q" totalsRowFunction="sum" totalsRowDxfId="15"/>
    <tableColumn id="22" xr3:uid="{00000000-0010-0000-0300-000016000000}" name="K" totalsRowFunction="sum" totalsRowDxfId="14"/>
    <tableColumn id="23" xr3:uid="{00000000-0010-0000-0300-000017000000}" name="V" totalsRowFunction="sum" totalsRowDxfId="13"/>
    <tableColumn id="24" xr3:uid="{00000000-0010-0000-0300-000018000000}" name="L" totalsRowFunction="sum" totalsRowDxfId="12"/>
    <tableColumn id="25" xr3:uid="{00000000-0010-0000-0300-000019000000}" name="G" totalsRowFunction="sum" totalsRowDxfId="11"/>
    <tableColumn id="26" xr3:uid="{00000000-0010-0000-0300-00001A000000}" name="S" totalsRowFunction="sum" totalsRowDxfId="10"/>
    <tableColumn id="27" xr3:uid="{00000000-0010-0000-0300-00001B000000}" name="W" totalsRowFunction="sum" totalsRowDxfId="9"/>
    <tableColumn id="28" xr3:uid="{00000000-0010-0000-0300-00001C000000}" name="T" totalsRowFunction="sum" totalsRowDxfId="8"/>
    <tableColumn id="29" xr3:uid="{00000000-0010-0000-0300-00001D000000}" name="X" totalsRowFunction="sum" totalsRowDxfId="7"/>
    <tableColumn id="30" xr3:uid="{00000000-0010-0000-0300-00001E000000}" name="U" totalsRowFunction="sum" totalsRowDxfId="6"/>
    <tableColumn id="31" xr3:uid="{00000000-0010-0000-0300-00001F000000}" name="O" totalsRowFunction="sum" totalsRowDxfId="5"/>
    <tableColumn id="32" xr3:uid="{00000000-0010-0000-0300-000020000000}" name="I" totalsRowFunction="sum" totalsRowDxfId="4"/>
    <tableColumn id="33" xr3:uid="{00000000-0010-0000-0300-000021000000}" name="E" totalsRowFunction="sum" totalsRowDxfId="3"/>
    <tableColumn id="34" xr3:uid="{00000000-0010-0000-0300-000022000000}" name="A" totalsRowFunction="sum" totalsRowDxfId="2"/>
    <tableColumn id="35" xr3:uid="{00000000-0010-0000-0300-000023000000}" name="P" totalsRowFunction="sum" totalsRowDxfId="1"/>
    <tableColumn id="36" xr3:uid="{00000000-0010-0000-0300-000024000000}" name="N" totalsRowFunction="sum"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225"/>
  <sheetViews>
    <sheetView tabSelected="1" zoomScale="85" workbookViewId="0">
      <selection sqref="A1:E1"/>
    </sheetView>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5546875" bestFit="1" customWidth="1"/>
    <col min="6" max="6" width="23.77734375" bestFit="1" customWidth="1"/>
    <col min="7" max="7" width="49.1093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76.88671875" bestFit="1" customWidth="1"/>
  </cols>
  <sheetData>
    <row r="1" spans="1:92" ht="28.8" customHeight="1" x14ac:dyDescent="0.3">
      <c r="A1" s="186" t="s">
        <v>0</v>
      </c>
      <c r="B1" s="185"/>
      <c r="C1" s="185"/>
      <c r="D1" s="185"/>
      <c r="E1" s="185"/>
      <c r="F1" s="1" t="s">
        <v>1</v>
      </c>
      <c r="G1" s="1" t="s">
        <v>2</v>
      </c>
      <c r="H1" s="184">
        <v>45981</v>
      </c>
      <c r="I1" s="185"/>
      <c r="J1" s="185"/>
      <c r="K1" s="185"/>
      <c r="L1" s="185"/>
      <c r="M1" s="1" t="s">
        <v>3</v>
      </c>
      <c r="N1" s="195">
        <v>45983</v>
      </c>
      <c r="O1" s="185"/>
      <c r="P1" s="185"/>
      <c r="Q1" s="185"/>
      <c r="R1" s="185"/>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3"/>
      <c r="CB1" s="3"/>
      <c r="CC1" s="3"/>
      <c r="CD1" s="3"/>
      <c r="CE1" s="3"/>
      <c r="CF1" s="3"/>
      <c r="CG1" s="3"/>
      <c r="CH1" s="3"/>
      <c r="CI1" s="3"/>
      <c r="CJ1" s="3"/>
      <c r="CK1" s="3"/>
      <c r="CL1" s="3"/>
      <c r="CM1" s="3"/>
      <c r="CN1" s="3"/>
    </row>
    <row r="2" spans="1:92" ht="23.4" customHeight="1" x14ac:dyDescent="0.45">
      <c r="A2" s="196" t="s">
        <v>4</v>
      </c>
      <c r="B2" s="188"/>
      <c r="C2" s="188"/>
      <c r="D2" s="188"/>
      <c r="E2" s="188"/>
      <c r="F2" s="188"/>
      <c r="G2" s="187">
        <v>45980.426455271598</v>
      </c>
      <c r="H2" s="188"/>
      <c r="I2" s="188"/>
      <c r="J2" s="188"/>
      <c r="K2" s="189">
        <v>45980.426455272107</v>
      </c>
      <c r="L2" s="188"/>
      <c r="M2" s="188"/>
      <c r="N2" s="188"/>
      <c r="O2" s="188"/>
      <c r="P2" s="188"/>
      <c r="Q2" s="190"/>
      <c r="R2" s="190"/>
      <c r="CA2" s="4"/>
      <c r="CB2" s="4"/>
      <c r="CC2" s="4"/>
      <c r="CD2" s="4"/>
      <c r="CE2" s="4"/>
      <c r="CF2" s="4"/>
      <c r="CG2" s="4"/>
      <c r="CH2" s="4"/>
      <c r="CI2" s="4"/>
      <c r="CJ2" s="4"/>
      <c r="CK2" s="4"/>
      <c r="CL2" s="4"/>
      <c r="CM2" s="4"/>
      <c r="CN2" s="4"/>
    </row>
    <row r="3" spans="1:92" ht="24" customHeight="1" x14ac:dyDescent="0.3">
      <c r="A3" s="197" t="s">
        <v>5</v>
      </c>
      <c r="B3" s="198"/>
      <c r="C3" s="198"/>
      <c r="D3" s="198"/>
      <c r="E3" s="198"/>
      <c r="F3" s="198"/>
      <c r="G3" s="198"/>
      <c r="H3" s="198"/>
      <c r="I3" s="198"/>
      <c r="J3" s="198"/>
      <c r="K3" s="198"/>
      <c r="L3" s="198"/>
      <c r="M3" s="198"/>
      <c r="N3" s="198"/>
      <c r="O3" s="198"/>
      <c r="P3" s="198"/>
      <c r="Q3" s="198"/>
      <c r="R3" s="198"/>
      <c r="CA3" s="4"/>
      <c r="CB3" s="4"/>
      <c r="CC3" s="4"/>
      <c r="CD3" s="4"/>
      <c r="CE3" s="4"/>
      <c r="CF3" s="4"/>
      <c r="CG3" s="4"/>
      <c r="CH3" s="4"/>
      <c r="CI3" s="4"/>
      <c r="CJ3" s="4"/>
      <c r="CK3" s="4"/>
      <c r="CL3" s="4"/>
      <c r="CM3" s="4"/>
      <c r="CN3" s="4"/>
    </row>
    <row r="4" spans="1:92" ht="22.05" customHeight="1" x14ac:dyDescent="0.5">
      <c r="A4" s="191" t="s">
        <v>6</v>
      </c>
      <c r="B4" s="192"/>
      <c r="C4" s="192"/>
      <c r="D4" s="192"/>
      <c r="E4" s="192"/>
      <c r="F4" s="192"/>
      <c r="G4" s="5">
        <v>45981</v>
      </c>
      <c r="H4" s="193" t="s">
        <v>7</v>
      </c>
      <c r="I4" s="194"/>
      <c r="J4" s="194"/>
      <c r="K4" s="194"/>
      <c r="L4" s="194"/>
      <c r="M4" s="194"/>
      <c r="N4" s="194"/>
      <c r="O4" s="194"/>
      <c r="P4" s="194"/>
      <c r="Q4" s="194"/>
      <c r="R4" s="194"/>
      <c r="CA4" s="4"/>
      <c r="CB4" s="4"/>
      <c r="CC4" s="4"/>
      <c r="CD4" s="4"/>
      <c r="CE4" s="4"/>
      <c r="CF4" s="4"/>
      <c r="CG4" s="4"/>
      <c r="CH4" s="4"/>
      <c r="CI4" s="4"/>
      <c r="CJ4" s="4"/>
      <c r="CK4" s="4"/>
      <c r="CL4" s="4"/>
      <c r="CM4" s="4"/>
      <c r="CN4" s="4"/>
    </row>
    <row r="5" spans="1:92" ht="24" customHeight="1" x14ac:dyDescent="0.3">
      <c r="A5" s="6" t="s">
        <v>8</v>
      </c>
      <c r="B5" s="6" t="s">
        <v>9</v>
      </c>
      <c r="C5" s="6" t="s">
        <v>10</v>
      </c>
      <c r="D5" s="6" t="s">
        <v>11</v>
      </c>
      <c r="E5" s="6" t="s">
        <v>12</v>
      </c>
      <c r="F5" s="7" t="s">
        <v>13</v>
      </c>
      <c r="G5" s="8" t="s">
        <v>14</v>
      </c>
      <c r="H5" s="6" t="s">
        <v>15</v>
      </c>
      <c r="I5" s="6" t="s">
        <v>16</v>
      </c>
      <c r="J5" s="6" t="s">
        <v>17</v>
      </c>
      <c r="K5" s="6" t="s">
        <v>18</v>
      </c>
      <c r="L5" s="6" t="s">
        <v>19</v>
      </c>
      <c r="M5" s="6" t="s">
        <v>20</v>
      </c>
      <c r="N5" s="6" t="s">
        <v>21</v>
      </c>
      <c r="O5" s="6" t="s">
        <v>22</v>
      </c>
      <c r="P5" s="6" t="s">
        <v>23</v>
      </c>
      <c r="Q5" s="6" t="s">
        <v>24</v>
      </c>
      <c r="R5" s="6" t="s">
        <v>25</v>
      </c>
      <c r="CA5" s="4"/>
      <c r="CB5" s="4"/>
      <c r="CC5" s="4"/>
      <c r="CD5" s="4"/>
      <c r="CE5" s="4"/>
      <c r="CF5" s="4"/>
      <c r="CG5" s="4"/>
      <c r="CH5" s="4"/>
      <c r="CI5" s="4"/>
      <c r="CJ5" s="4"/>
      <c r="CK5" s="4"/>
      <c r="CL5" s="4"/>
      <c r="CM5" s="4"/>
      <c r="CN5" s="4"/>
    </row>
    <row r="6" spans="1:92" ht="15" customHeight="1" x14ac:dyDescent="0.3">
      <c r="A6" s="9" t="s">
        <v>26</v>
      </c>
      <c r="B6" s="9" t="s">
        <v>27</v>
      </c>
      <c r="C6" s="10">
        <v>0.25694444444444448</v>
      </c>
      <c r="D6" s="9" t="s">
        <v>28</v>
      </c>
      <c r="E6" s="9" t="s">
        <v>29</v>
      </c>
      <c r="F6" s="9" t="s">
        <v>30</v>
      </c>
      <c r="G6" s="199"/>
      <c r="H6" s="11"/>
      <c r="I6" s="12"/>
      <c r="J6" s="12"/>
      <c r="K6" s="12"/>
      <c r="L6" s="12"/>
      <c r="M6" s="12"/>
      <c r="N6" s="12"/>
      <c r="O6" s="13"/>
      <c r="P6" s="12"/>
      <c r="Q6" s="14"/>
      <c r="R6" s="15"/>
    </row>
    <row r="7" spans="1:92" ht="15" customHeight="1" x14ac:dyDescent="0.3">
      <c r="A7" s="16" t="s">
        <v>26</v>
      </c>
      <c r="B7" s="16" t="s">
        <v>27</v>
      </c>
      <c r="C7" s="17">
        <v>0.25694444444444448</v>
      </c>
      <c r="D7" s="16" t="s">
        <v>31</v>
      </c>
      <c r="E7" s="16" t="s">
        <v>32</v>
      </c>
      <c r="F7" s="16" t="s">
        <v>33</v>
      </c>
      <c r="G7" s="180"/>
      <c r="H7" s="11"/>
      <c r="I7" s="12"/>
      <c r="J7" s="12"/>
      <c r="K7" s="12"/>
      <c r="L7" s="12"/>
      <c r="M7" s="12"/>
      <c r="N7" s="12"/>
      <c r="O7" s="13"/>
      <c r="P7" s="12"/>
      <c r="Q7" s="14"/>
      <c r="R7" s="15"/>
    </row>
    <row r="8" spans="1:92" ht="15" customHeight="1" x14ac:dyDescent="0.3">
      <c r="A8" s="16" t="s">
        <v>26</v>
      </c>
      <c r="B8" s="16" t="s">
        <v>27</v>
      </c>
      <c r="C8" s="17">
        <v>0.25694444444444448</v>
      </c>
      <c r="D8" s="16" t="s">
        <v>34</v>
      </c>
      <c r="E8" s="16" t="s">
        <v>32</v>
      </c>
      <c r="F8" s="16" t="s">
        <v>35</v>
      </c>
      <c r="G8" s="180"/>
      <c r="H8" s="11"/>
      <c r="I8" s="12"/>
      <c r="J8" s="12"/>
      <c r="K8" s="12"/>
      <c r="L8" s="12"/>
      <c r="M8" s="12"/>
      <c r="N8" s="12"/>
      <c r="O8" s="13"/>
      <c r="P8" s="12"/>
      <c r="Q8" s="14"/>
      <c r="R8" s="15"/>
    </row>
    <row r="9" spans="1:92" ht="15" customHeight="1" x14ac:dyDescent="0.3">
      <c r="A9" s="18" t="s">
        <v>26</v>
      </c>
      <c r="B9" s="18" t="s">
        <v>36</v>
      </c>
      <c r="C9" s="19">
        <v>0.30208333333333331</v>
      </c>
      <c r="D9" s="18" t="s">
        <v>28</v>
      </c>
      <c r="E9" s="18" t="s">
        <v>37</v>
      </c>
      <c r="F9" s="18" t="s">
        <v>30</v>
      </c>
      <c r="G9" s="180"/>
      <c r="H9" s="11"/>
      <c r="I9" s="12"/>
      <c r="J9" s="12"/>
      <c r="K9" s="12"/>
      <c r="L9" s="12"/>
      <c r="M9" s="12"/>
      <c r="N9" s="12"/>
      <c r="O9" s="13"/>
      <c r="P9" s="12"/>
      <c r="Q9" s="14"/>
      <c r="R9" s="15"/>
    </row>
    <row r="10" spans="1:92" ht="15" customHeight="1" x14ac:dyDescent="0.3">
      <c r="A10" s="16" t="s">
        <v>26</v>
      </c>
      <c r="B10" s="16" t="s">
        <v>36</v>
      </c>
      <c r="C10" s="17">
        <v>0.30208333333333331</v>
      </c>
      <c r="D10" s="16" t="s">
        <v>31</v>
      </c>
      <c r="E10" s="16" t="s">
        <v>38</v>
      </c>
      <c r="F10" s="16" t="s">
        <v>33</v>
      </c>
      <c r="G10" s="180"/>
      <c r="H10" s="11"/>
      <c r="I10" s="12"/>
      <c r="J10" s="12"/>
      <c r="K10" s="12"/>
      <c r="L10" s="12"/>
      <c r="M10" s="12"/>
      <c r="N10" s="12"/>
      <c r="O10" s="13"/>
      <c r="P10" s="12"/>
      <c r="Q10" s="14"/>
      <c r="R10" s="15"/>
    </row>
    <row r="11" spans="1:92" ht="15" customHeight="1" x14ac:dyDescent="0.3">
      <c r="A11" s="16" t="s">
        <v>26</v>
      </c>
      <c r="B11" s="16" t="s">
        <v>36</v>
      </c>
      <c r="C11" s="17">
        <v>0.30208333333333331</v>
      </c>
      <c r="D11" s="16" t="s">
        <v>34</v>
      </c>
      <c r="E11" s="16" t="s">
        <v>38</v>
      </c>
      <c r="F11" s="16" t="s">
        <v>35</v>
      </c>
      <c r="G11" s="180"/>
      <c r="H11" s="11"/>
      <c r="I11" s="12"/>
      <c r="J11" s="12"/>
      <c r="K11" s="12"/>
      <c r="L11" s="12"/>
      <c r="M11" s="12"/>
      <c r="N11" s="12"/>
      <c r="O11" s="13"/>
      <c r="P11" s="12"/>
      <c r="Q11" s="14"/>
      <c r="R11" s="15"/>
    </row>
    <row r="12" spans="1:92" ht="15" customHeight="1" x14ac:dyDescent="0.3">
      <c r="A12" s="18" t="s">
        <v>26</v>
      </c>
      <c r="B12" s="18" t="s">
        <v>39</v>
      </c>
      <c r="C12" s="19">
        <v>0.90277777777777779</v>
      </c>
      <c r="D12" s="18" t="s">
        <v>28</v>
      </c>
      <c r="E12" s="18" t="s">
        <v>40</v>
      </c>
      <c r="F12" s="18" t="s">
        <v>41</v>
      </c>
      <c r="G12" s="180"/>
      <c r="H12" s="11"/>
      <c r="I12" s="12"/>
      <c r="J12" s="12"/>
      <c r="K12" s="12"/>
      <c r="L12" s="12"/>
      <c r="M12" s="12"/>
      <c r="N12" s="12"/>
      <c r="O12" s="13"/>
      <c r="P12" s="12"/>
      <c r="Q12" s="14"/>
      <c r="R12" s="15"/>
    </row>
    <row r="13" spans="1:92" ht="15" customHeight="1" x14ac:dyDescent="0.3">
      <c r="A13" s="16" t="s">
        <v>26</v>
      </c>
      <c r="B13" s="16" t="s">
        <v>39</v>
      </c>
      <c r="C13" s="17">
        <v>0.90277777777777779</v>
      </c>
      <c r="D13" s="16" t="s">
        <v>31</v>
      </c>
      <c r="E13" s="16" t="s">
        <v>32</v>
      </c>
      <c r="F13" s="16" t="s">
        <v>42</v>
      </c>
      <c r="G13" s="180"/>
      <c r="H13" s="11"/>
      <c r="I13" s="12"/>
      <c r="J13" s="12"/>
      <c r="K13" s="12"/>
      <c r="L13" s="12"/>
      <c r="M13" s="12"/>
      <c r="N13" s="12"/>
      <c r="O13" s="13"/>
      <c r="P13" s="12"/>
      <c r="Q13" s="14"/>
      <c r="R13" s="15"/>
    </row>
    <row r="14" spans="1:92" ht="15" customHeight="1" x14ac:dyDescent="0.3">
      <c r="A14" s="16" t="s">
        <v>26</v>
      </c>
      <c r="B14" s="16" t="s">
        <v>39</v>
      </c>
      <c r="C14" s="17">
        <v>0.90277777777777779</v>
      </c>
      <c r="D14" s="16" t="s">
        <v>34</v>
      </c>
      <c r="E14" s="16" t="s">
        <v>32</v>
      </c>
      <c r="F14" s="16" t="s">
        <v>43</v>
      </c>
      <c r="G14" s="180"/>
      <c r="H14" s="11"/>
      <c r="I14" s="12"/>
      <c r="J14" s="12"/>
      <c r="K14" s="12"/>
      <c r="L14" s="12"/>
      <c r="M14" s="12"/>
      <c r="N14" s="12"/>
      <c r="O14" s="13"/>
      <c r="P14" s="12"/>
      <c r="Q14" s="14"/>
      <c r="R14" s="15"/>
    </row>
    <row r="15" spans="1:92" ht="15" customHeight="1" x14ac:dyDescent="0.3">
      <c r="A15" s="18" t="s">
        <v>26</v>
      </c>
      <c r="B15" s="18" t="s">
        <v>44</v>
      </c>
      <c r="C15" s="19">
        <v>0.85416666666666663</v>
      </c>
      <c r="D15" s="18" t="s">
        <v>28</v>
      </c>
      <c r="E15" s="18" t="s">
        <v>40</v>
      </c>
      <c r="F15" s="18" t="s">
        <v>41</v>
      </c>
      <c r="G15" s="180"/>
      <c r="H15" s="11"/>
      <c r="I15" s="12"/>
      <c r="J15" s="12"/>
      <c r="K15" s="12"/>
      <c r="L15" s="12"/>
      <c r="M15" s="12"/>
      <c r="N15" s="12"/>
      <c r="O15" s="13"/>
      <c r="P15" s="12"/>
      <c r="Q15" s="14"/>
      <c r="R15" s="15"/>
    </row>
    <row r="16" spans="1:92" ht="15" customHeight="1" x14ac:dyDescent="0.3">
      <c r="A16" s="16" t="s">
        <v>26</v>
      </c>
      <c r="B16" s="16" t="s">
        <v>44</v>
      </c>
      <c r="C16" s="17">
        <v>0.85416666666666663</v>
      </c>
      <c r="D16" s="16" t="s">
        <v>31</v>
      </c>
      <c r="E16" s="16" t="s">
        <v>32</v>
      </c>
      <c r="F16" s="16" t="s">
        <v>42</v>
      </c>
      <c r="G16" s="180"/>
      <c r="H16" s="11"/>
      <c r="I16" s="12"/>
      <c r="J16" s="12"/>
      <c r="K16" s="12"/>
      <c r="L16" s="12"/>
      <c r="M16" s="12"/>
      <c r="N16" s="12"/>
      <c r="O16" s="13"/>
      <c r="P16" s="12"/>
      <c r="Q16" s="14"/>
      <c r="R16" s="15"/>
    </row>
    <row r="17" spans="1:18" ht="15" customHeight="1" x14ac:dyDescent="0.3">
      <c r="A17" s="16" t="s">
        <v>26</v>
      </c>
      <c r="B17" s="16" t="s">
        <v>44</v>
      </c>
      <c r="C17" s="17">
        <v>0.85416666666666663</v>
      </c>
      <c r="D17" s="16" t="s">
        <v>34</v>
      </c>
      <c r="E17" s="16" t="s">
        <v>32</v>
      </c>
      <c r="F17" s="16" t="s">
        <v>43</v>
      </c>
      <c r="G17" s="180"/>
      <c r="H17" s="11"/>
      <c r="I17" s="12"/>
      <c r="J17" s="12"/>
      <c r="K17" s="12"/>
      <c r="L17" s="12"/>
      <c r="M17" s="12"/>
      <c r="N17" s="12"/>
      <c r="O17" s="13"/>
      <c r="P17" s="12"/>
      <c r="Q17" s="14"/>
      <c r="R17" s="15"/>
    </row>
    <row r="18" spans="1:18" ht="15" customHeight="1" x14ac:dyDescent="0.3">
      <c r="A18" s="18" t="s">
        <v>26</v>
      </c>
      <c r="B18" s="18" t="s">
        <v>45</v>
      </c>
      <c r="C18" s="19">
        <v>0.39583333333333331</v>
      </c>
      <c r="D18" s="18" t="s">
        <v>28</v>
      </c>
      <c r="E18" s="18" t="s">
        <v>40</v>
      </c>
      <c r="F18" s="18" t="s">
        <v>41</v>
      </c>
      <c r="G18" s="180"/>
      <c r="H18" s="11"/>
      <c r="I18" s="12"/>
      <c r="J18" s="12"/>
      <c r="K18" s="12"/>
      <c r="L18" s="12"/>
      <c r="M18" s="12"/>
      <c r="N18" s="12"/>
      <c r="O18" s="13"/>
      <c r="P18" s="12"/>
      <c r="Q18" s="14"/>
      <c r="R18" s="15"/>
    </row>
    <row r="19" spans="1:18" ht="15" customHeight="1" x14ac:dyDescent="0.3">
      <c r="A19" s="16" t="s">
        <v>26</v>
      </c>
      <c r="B19" s="16" t="s">
        <v>45</v>
      </c>
      <c r="C19" s="17">
        <v>0.39583333333333331</v>
      </c>
      <c r="D19" s="16" t="s">
        <v>31</v>
      </c>
      <c r="E19" s="16" t="s">
        <v>32</v>
      </c>
      <c r="F19" s="16" t="s">
        <v>42</v>
      </c>
      <c r="G19" s="180"/>
      <c r="H19" s="11"/>
      <c r="I19" s="12"/>
      <c r="J19" s="12"/>
      <c r="K19" s="12"/>
      <c r="L19" s="12"/>
      <c r="M19" s="12"/>
      <c r="N19" s="12"/>
      <c r="O19" s="13"/>
      <c r="P19" s="12"/>
      <c r="Q19" s="14"/>
      <c r="R19" s="15"/>
    </row>
    <row r="20" spans="1:18" ht="15" customHeight="1" x14ac:dyDescent="0.3">
      <c r="A20" s="16" t="s">
        <v>26</v>
      </c>
      <c r="B20" s="16" t="s">
        <v>45</v>
      </c>
      <c r="C20" s="17">
        <v>0.39583333333333331</v>
      </c>
      <c r="D20" s="16" t="s">
        <v>34</v>
      </c>
      <c r="E20" s="16" t="s">
        <v>32</v>
      </c>
      <c r="F20" s="16" t="s">
        <v>43</v>
      </c>
      <c r="G20" s="180"/>
      <c r="H20" s="11"/>
      <c r="I20" s="12"/>
      <c r="J20" s="12"/>
      <c r="K20" s="12"/>
      <c r="L20" s="12"/>
      <c r="M20" s="12"/>
      <c r="N20" s="12"/>
      <c r="O20" s="13"/>
      <c r="P20" s="12"/>
      <c r="Q20" s="14"/>
      <c r="R20" s="15"/>
    </row>
    <row r="21" spans="1:18" ht="15" customHeight="1" x14ac:dyDescent="0.3">
      <c r="A21" s="18" t="s">
        <v>26</v>
      </c>
      <c r="B21" s="18" t="s">
        <v>46</v>
      </c>
      <c r="C21" s="19">
        <v>0.79861111111111116</v>
      </c>
      <c r="D21" s="18" t="s">
        <v>28</v>
      </c>
      <c r="E21" s="18" t="s">
        <v>40</v>
      </c>
      <c r="F21" s="18" t="s">
        <v>41</v>
      </c>
      <c r="G21" s="180"/>
      <c r="H21" s="11"/>
      <c r="I21" s="12"/>
      <c r="J21" s="12"/>
      <c r="K21" s="12"/>
      <c r="L21" s="12"/>
      <c r="M21" s="12"/>
      <c r="N21" s="12"/>
      <c r="O21" s="13"/>
      <c r="P21" s="12"/>
      <c r="Q21" s="14"/>
      <c r="R21" s="15"/>
    </row>
    <row r="22" spans="1:18" ht="15" customHeight="1" x14ac:dyDescent="0.3">
      <c r="A22" s="16" t="s">
        <v>26</v>
      </c>
      <c r="B22" s="16" t="s">
        <v>46</v>
      </c>
      <c r="C22" s="17">
        <v>0.79861111111111116</v>
      </c>
      <c r="D22" s="16" t="s">
        <v>31</v>
      </c>
      <c r="E22" s="16" t="s">
        <v>32</v>
      </c>
      <c r="F22" s="16" t="s">
        <v>42</v>
      </c>
      <c r="G22" s="180"/>
      <c r="H22" s="11"/>
      <c r="I22" s="12"/>
      <c r="J22" s="12"/>
      <c r="K22" s="12"/>
      <c r="L22" s="12"/>
      <c r="M22" s="12"/>
      <c r="N22" s="12"/>
      <c r="O22" s="13"/>
      <c r="P22" s="12"/>
      <c r="Q22" s="14"/>
      <c r="R22" s="15"/>
    </row>
    <row r="23" spans="1:18" ht="15" customHeight="1" x14ac:dyDescent="0.3">
      <c r="A23" s="16" t="s">
        <v>26</v>
      </c>
      <c r="B23" s="16" t="s">
        <v>46</v>
      </c>
      <c r="C23" s="17">
        <v>0.79861111111111116</v>
      </c>
      <c r="D23" s="16" t="s">
        <v>34</v>
      </c>
      <c r="E23" s="16" t="s">
        <v>32</v>
      </c>
      <c r="F23" s="16" t="s">
        <v>43</v>
      </c>
      <c r="G23" s="180"/>
      <c r="H23" s="11"/>
      <c r="I23" s="12"/>
      <c r="J23" s="12"/>
      <c r="K23" s="12"/>
      <c r="L23" s="12"/>
      <c r="M23" s="12"/>
      <c r="N23" s="12"/>
      <c r="O23" s="13"/>
      <c r="P23" s="12"/>
      <c r="Q23" s="14"/>
      <c r="R23" s="15"/>
    </row>
    <row r="24" spans="1:18" ht="15" customHeight="1" x14ac:dyDescent="0.3">
      <c r="A24" s="18" t="s">
        <v>26</v>
      </c>
      <c r="B24" s="18" t="s">
        <v>47</v>
      </c>
      <c r="C24" s="19">
        <v>0.65972222222222221</v>
      </c>
      <c r="D24" s="18" t="s">
        <v>28</v>
      </c>
      <c r="E24" s="18" t="s">
        <v>48</v>
      </c>
      <c r="F24" s="18" t="s">
        <v>49</v>
      </c>
      <c r="G24" s="180"/>
      <c r="H24" s="11"/>
      <c r="I24" s="12"/>
      <c r="J24" s="12"/>
      <c r="K24" s="12"/>
      <c r="L24" s="12"/>
      <c r="M24" s="12"/>
      <c r="N24" s="12"/>
      <c r="O24" s="13"/>
      <c r="P24" s="12"/>
      <c r="Q24" s="14"/>
      <c r="R24" s="15"/>
    </row>
    <row r="25" spans="1:18" ht="15" customHeight="1" x14ac:dyDescent="0.3">
      <c r="A25" s="16" t="s">
        <v>26</v>
      </c>
      <c r="B25" s="16" t="s">
        <v>47</v>
      </c>
      <c r="C25" s="17">
        <v>0.65972222222222221</v>
      </c>
      <c r="D25" s="16" t="s">
        <v>31</v>
      </c>
      <c r="E25" s="16" t="s">
        <v>50</v>
      </c>
      <c r="F25" s="16" t="s">
        <v>51</v>
      </c>
      <c r="G25" s="180"/>
      <c r="H25" s="11"/>
      <c r="I25" s="12"/>
      <c r="J25" s="12"/>
      <c r="K25" s="12"/>
      <c r="L25" s="12"/>
      <c r="M25" s="12"/>
      <c r="N25" s="12"/>
      <c r="O25" s="13"/>
      <c r="P25" s="12"/>
      <c r="Q25" s="14"/>
      <c r="R25" s="15"/>
    </row>
    <row r="26" spans="1:18" ht="15" customHeight="1" x14ac:dyDescent="0.3">
      <c r="A26" s="16" t="s">
        <v>26</v>
      </c>
      <c r="B26" s="16" t="s">
        <v>47</v>
      </c>
      <c r="C26" s="17">
        <v>0.65972222222222221</v>
      </c>
      <c r="D26" s="16" t="s">
        <v>34</v>
      </c>
      <c r="E26" s="16" t="s">
        <v>50</v>
      </c>
      <c r="F26" s="16" t="s">
        <v>52</v>
      </c>
      <c r="G26" s="180"/>
      <c r="H26" s="11"/>
      <c r="I26" s="12"/>
      <c r="J26" s="12"/>
      <c r="K26" s="12"/>
      <c r="L26" s="12"/>
      <c r="M26" s="12"/>
      <c r="N26" s="12"/>
      <c r="O26" s="13"/>
      <c r="P26" s="12"/>
      <c r="Q26" s="14"/>
      <c r="R26" s="15"/>
    </row>
    <row r="27" spans="1:18" ht="15" customHeight="1" x14ac:dyDescent="0.3">
      <c r="A27" s="18" t="s">
        <v>26</v>
      </c>
      <c r="B27" s="18" t="s">
        <v>53</v>
      </c>
      <c r="C27" s="19">
        <v>0.51736111111111105</v>
      </c>
      <c r="D27" s="18" t="s">
        <v>28</v>
      </c>
      <c r="E27" s="18" t="s">
        <v>48</v>
      </c>
      <c r="F27" s="18" t="s">
        <v>54</v>
      </c>
      <c r="G27" s="180"/>
      <c r="H27" s="11"/>
      <c r="I27" s="12"/>
      <c r="J27" s="12"/>
      <c r="K27" s="12"/>
      <c r="L27" s="12"/>
      <c r="M27" s="12"/>
      <c r="N27" s="12"/>
      <c r="O27" s="13"/>
      <c r="P27" s="12"/>
      <c r="Q27" s="14"/>
      <c r="R27" s="15"/>
    </row>
    <row r="28" spans="1:18" ht="15" customHeight="1" x14ac:dyDescent="0.3">
      <c r="A28" s="16" t="s">
        <v>26</v>
      </c>
      <c r="B28" s="16" t="s">
        <v>53</v>
      </c>
      <c r="C28" s="17">
        <v>0.51736111111111105</v>
      </c>
      <c r="D28" s="16" t="s">
        <v>31</v>
      </c>
      <c r="E28" s="16" t="s">
        <v>50</v>
      </c>
      <c r="F28" s="16" t="s">
        <v>55</v>
      </c>
      <c r="G28" s="180"/>
      <c r="H28" s="11"/>
      <c r="I28" s="12"/>
      <c r="J28" s="12"/>
      <c r="K28" s="12"/>
      <c r="L28" s="12"/>
      <c r="M28" s="12"/>
      <c r="N28" s="12"/>
      <c r="O28" s="13"/>
      <c r="P28" s="12"/>
      <c r="Q28" s="14"/>
      <c r="R28" s="15"/>
    </row>
    <row r="29" spans="1:18" ht="15" customHeight="1" x14ac:dyDescent="0.3">
      <c r="A29" s="16" t="s">
        <v>26</v>
      </c>
      <c r="B29" s="16" t="s">
        <v>53</v>
      </c>
      <c r="C29" s="17">
        <v>0.51736111111111105</v>
      </c>
      <c r="D29" s="16" t="s">
        <v>34</v>
      </c>
      <c r="E29" s="16" t="s">
        <v>50</v>
      </c>
      <c r="F29" s="16" t="s">
        <v>56</v>
      </c>
      <c r="G29" s="180"/>
      <c r="H29" s="11"/>
      <c r="I29" s="12"/>
      <c r="J29" s="12"/>
      <c r="K29" s="12"/>
      <c r="L29" s="12"/>
      <c r="M29" s="12"/>
      <c r="N29" s="12"/>
      <c r="O29" s="13"/>
      <c r="P29" s="12"/>
      <c r="Q29" s="14"/>
      <c r="R29" s="15"/>
    </row>
    <row r="30" spans="1:18" ht="15" customHeight="1" x14ac:dyDescent="0.3">
      <c r="A30" s="20" t="s">
        <v>57</v>
      </c>
      <c r="B30" s="20" t="s">
        <v>58</v>
      </c>
      <c r="C30" s="21">
        <v>0.30208333333333331</v>
      </c>
      <c r="D30" s="20" t="s">
        <v>59</v>
      </c>
      <c r="E30" s="20" t="s">
        <v>60</v>
      </c>
      <c r="F30" s="20" t="s">
        <v>33</v>
      </c>
      <c r="G30" s="180"/>
      <c r="H30" s="11"/>
      <c r="I30" s="12"/>
      <c r="J30" s="12"/>
      <c r="K30" s="12"/>
      <c r="L30" s="12"/>
      <c r="M30" s="12"/>
      <c r="N30" s="12"/>
      <c r="O30" s="13"/>
      <c r="P30" s="12"/>
      <c r="Q30" s="14"/>
      <c r="R30" s="15"/>
    </row>
    <row r="31" spans="1:18" ht="15" customHeight="1" x14ac:dyDescent="0.3">
      <c r="A31" s="16" t="s">
        <v>57</v>
      </c>
      <c r="B31" s="16" t="s">
        <v>58</v>
      </c>
      <c r="C31" s="17">
        <v>0.30208333333333331</v>
      </c>
      <c r="D31" s="16" t="s">
        <v>61</v>
      </c>
      <c r="E31" s="16" t="s">
        <v>62</v>
      </c>
      <c r="F31" s="16" t="s">
        <v>63</v>
      </c>
      <c r="G31" s="180"/>
      <c r="H31" s="11"/>
      <c r="I31" s="12"/>
      <c r="J31" s="12"/>
      <c r="K31" s="12"/>
      <c r="L31" s="12"/>
      <c r="M31" s="12"/>
      <c r="N31" s="12"/>
      <c r="O31" s="13"/>
      <c r="P31" s="12"/>
      <c r="Q31" s="14"/>
      <c r="R31" s="15"/>
    </row>
    <row r="32" spans="1:18" ht="15" customHeight="1" x14ac:dyDescent="0.3">
      <c r="A32" s="16" t="s">
        <v>57</v>
      </c>
      <c r="B32" s="16" t="s">
        <v>58</v>
      </c>
      <c r="C32" s="17">
        <v>0.30208333333333331</v>
      </c>
      <c r="D32" s="16" t="s">
        <v>64</v>
      </c>
      <c r="E32" s="16" t="s">
        <v>62</v>
      </c>
      <c r="F32" s="16" t="s">
        <v>65</v>
      </c>
      <c r="G32" s="180"/>
      <c r="H32" s="11"/>
      <c r="I32" s="12"/>
      <c r="J32" s="12"/>
      <c r="K32" s="12"/>
      <c r="L32" s="12"/>
      <c r="M32" s="12"/>
      <c r="N32" s="12"/>
      <c r="O32" s="13"/>
      <c r="P32" s="12"/>
      <c r="Q32" s="14"/>
      <c r="R32" s="15"/>
    </row>
    <row r="33" spans="1:18" ht="15" customHeight="1" x14ac:dyDescent="0.3">
      <c r="A33" s="18" t="s">
        <v>57</v>
      </c>
      <c r="B33" s="18" t="s">
        <v>66</v>
      </c>
      <c r="C33" s="19">
        <v>0.78819444444444453</v>
      </c>
      <c r="D33" s="18" t="s">
        <v>59</v>
      </c>
      <c r="E33" s="18" t="s">
        <v>67</v>
      </c>
      <c r="F33" s="18" t="s">
        <v>33</v>
      </c>
      <c r="G33" s="180"/>
      <c r="H33" s="11"/>
      <c r="I33" s="12"/>
      <c r="J33" s="12"/>
      <c r="K33" s="12"/>
      <c r="L33" s="12"/>
      <c r="M33" s="12"/>
      <c r="N33" s="12"/>
      <c r="O33" s="13"/>
      <c r="P33" s="12"/>
      <c r="Q33" s="14"/>
      <c r="R33" s="15"/>
    </row>
    <row r="34" spans="1:18" ht="15" customHeight="1" x14ac:dyDescent="0.3">
      <c r="A34" s="16" t="s">
        <v>57</v>
      </c>
      <c r="B34" s="16" t="s">
        <v>66</v>
      </c>
      <c r="C34" s="17">
        <v>0.78819444444444453</v>
      </c>
      <c r="D34" s="16" t="s">
        <v>61</v>
      </c>
      <c r="E34" s="16" t="s">
        <v>68</v>
      </c>
      <c r="F34" s="16" t="s">
        <v>63</v>
      </c>
      <c r="G34" s="180"/>
      <c r="H34" s="11"/>
      <c r="I34" s="12"/>
      <c r="J34" s="12"/>
      <c r="K34" s="12"/>
      <c r="L34" s="12"/>
      <c r="M34" s="12"/>
      <c r="N34" s="12"/>
      <c r="O34" s="13"/>
      <c r="P34" s="12"/>
      <c r="Q34" s="14"/>
      <c r="R34" s="15"/>
    </row>
    <row r="35" spans="1:18" ht="15" customHeight="1" x14ac:dyDescent="0.3">
      <c r="A35" s="16" t="s">
        <v>57</v>
      </c>
      <c r="B35" s="16" t="s">
        <v>66</v>
      </c>
      <c r="C35" s="17">
        <v>0.78819444444444453</v>
      </c>
      <c r="D35" s="16" t="s">
        <v>64</v>
      </c>
      <c r="E35" s="16" t="s">
        <v>68</v>
      </c>
      <c r="F35" s="16" t="s">
        <v>65</v>
      </c>
      <c r="G35" s="180"/>
      <c r="H35" s="11"/>
      <c r="I35" s="12"/>
      <c r="J35" s="12"/>
      <c r="K35" s="12"/>
      <c r="L35" s="12"/>
      <c r="M35" s="12"/>
      <c r="N35" s="12"/>
      <c r="O35" s="13"/>
      <c r="P35" s="12"/>
      <c r="Q35" s="14"/>
      <c r="R35" s="15"/>
    </row>
    <row r="36" spans="1:18" ht="15" customHeight="1" x14ac:dyDescent="0.3">
      <c r="A36" s="18" t="s">
        <v>57</v>
      </c>
      <c r="B36" s="18" t="s">
        <v>69</v>
      </c>
      <c r="C36" s="19">
        <v>0.88888888888888884</v>
      </c>
      <c r="D36" s="18" t="s">
        <v>59</v>
      </c>
      <c r="E36" s="18" t="s">
        <v>70</v>
      </c>
      <c r="F36" s="18" t="s">
        <v>33</v>
      </c>
      <c r="G36" s="180"/>
      <c r="H36" s="11"/>
      <c r="I36" s="12"/>
      <c r="J36" s="12"/>
      <c r="K36" s="12"/>
      <c r="L36" s="12"/>
      <c r="M36" s="12"/>
      <c r="N36" s="12"/>
      <c r="O36" s="13"/>
      <c r="P36" s="12"/>
      <c r="Q36" s="14"/>
      <c r="R36" s="15"/>
    </row>
    <row r="37" spans="1:18" ht="15" customHeight="1" x14ac:dyDescent="0.3">
      <c r="A37" s="16" t="s">
        <v>57</v>
      </c>
      <c r="B37" s="16" t="s">
        <v>69</v>
      </c>
      <c r="C37" s="17">
        <v>0.88888888888888884</v>
      </c>
      <c r="D37" s="16" t="s">
        <v>61</v>
      </c>
      <c r="E37" s="16" t="s">
        <v>71</v>
      </c>
      <c r="F37" s="16" t="s">
        <v>63</v>
      </c>
      <c r="G37" s="180"/>
      <c r="H37" s="11"/>
      <c r="I37" s="12"/>
      <c r="J37" s="12"/>
      <c r="K37" s="12"/>
      <c r="L37" s="12"/>
      <c r="M37" s="12"/>
      <c r="N37" s="12"/>
      <c r="O37" s="13"/>
      <c r="P37" s="12"/>
      <c r="Q37" s="14"/>
      <c r="R37" s="15"/>
    </row>
    <row r="38" spans="1:18" ht="15" customHeight="1" x14ac:dyDescent="0.3">
      <c r="A38" s="16" t="s">
        <v>57</v>
      </c>
      <c r="B38" s="16" t="s">
        <v>69</v>
      </c>
      <c r="C38" s="17">
        <v>0.88888888888888884</v>
      </c>
      <c r="D38" s="16" t="s">
        <v>64</v>
      </c>
      <c r="E38" s="16" t="s">
        <v>71</v>
      </c>
      <c r="F38" s="16" t="s">
        <v>65</v>
      </c>
      <c r="G38" s="180"/>
      <c r="H38" s="11"/>
      <c r="I38" s="12"/>
      <c r="J38" s="12"/>
      <c r="K38" s="12"/>
      <c r="L38" s="12"/>
      <c r="M38" s="12"/>
      <c r="N38" s="12"/>
      <c r="O38" s="13"/>
      <c r="P38" s="12"/>
      <c r="Q38" s="14"/>
      <c r="R38" s="15"/>
    </row>
    <row r="39" spans="1:18" ht="15" customHeight="1" x14ac:dyDescent="0.3">
      <c r="A39" s="18" t="s">
        <v>57</v>
      </c>
      <c r="B39" s="18" t="s">
        <v>72</v>
      </c>
      <c r="C39" s="19">
        <v>0.12847222222222221</v>
      </c>
      <c r="D39" s="18" t="s">
        <v>59</v>
      </c>
      <c r="E39" s="18" t="s">
        <v>73</v>
      </c>
      <c r="F39" s="18" t="s">
        <v>74</v>
      </c>
      <c r="G39" s="180"/>
      <c r="H39" s="11"/>
      <c r="I39" s="12"/>
      <c r="J39" s="12"/>
      <c r="K39" s="12"/>
      <c r="L39" s="12"/>
      <c r="M39" s="12"/>
      <c r="N39" s="12"/>
      <c r="O39" s="13"/>
      <c r="P39" s="12"/>
      <c r="Q39" s="14"/>
      <c r="R39" s="15"/>
    </row>
    <row r="40" spans="1:18" ht="15" customHeight="1" x14ac:dyDescent="0.3">
      <c r="A40" s="16" t="s">
        <v>57</v>
      </c>
      <c r="B40" s="16" t="s">
        <v>72</v>
      </c>
      <c r="C40" s="17">
        <v>0.12847222222222221</v>
      </c>
      <c r="D40" s="16" t="s">
        <v>61</v>
      </c>
      <c r="E40" s="16" t="s">
        <v>75</v>
      </c>
      <c r="F40" s="16" t="s">
        <v>76</v>
      </c>
      <c r="G40" s="180"/>
      <c r="H40" s="11"/>
      <c r="I40" s="12"/>
      <c r="J40" s="12"/>
      <c r="K40" s="12"/>
      <c r="L40" s="12"/>
      <c r="M40" s="12"/>
      <c r="N40" s="12"/>
      <c r="O40" s="13"/>
      <c r="P40" s="12"/>
      <c r="Q40" s="14"/>
      <c r="R40" s="15"/>
    </row>
    <row r="41" spans="1:18" ht="15" customHeight="1" x14ac:dyDescent="0.3">
      <c r="A41" s="16" t="s">
        <v>57</v>
      </c>
      <c r="B41" s="16" t="s">
        <v>72</v>
      </c>
      <c r="C41" s="17">
        <v>0.12847222222222221</v>
      </c>
      <c r="D41" s="16" t="s">
        <v>64</v>
      </c>
      <c r="E41" s="16" t="s">
        <v>75</v>
      </c>
      <c r="F41" s="16" t="s">
        <v>65</v>
      </c>
      <c r="G41" s="180"/>
      <c r="H41" s="11"/>
      <c r="I41" s="12"/>
      <c r="J41" s="12"/>
      <c r="K41" s="12"/>
      <c r="L41" s="12"/>
      <c r="M41" s="12"/>
      <c r="N41" s="12"/>
      <c r="O41" s="13"/>
      <c r="P41" s="12"/>
      <c r="Q41" s="14"/>
      <c r="R41" s="15"/>
    </row>
    <row r="42" spans="1:18" ht="15" customHeight="1" x14ac:dyDescent="0.3">
      <c r="A42" s="20" t="s">
        <v>77</v>
      </c>
      <c r="B42" s="20" t="s">
        <v>78</v>
      </c>
      <c r="C42" s="21">
        <v>0.59375</v>
      </c>
      <c r="D42" s="20" t="s">
        <v>79</v>
      </c>
      <c r="E42" s="20" t="s">
        <v>80</v>
      </c>
      <c r="F42" s="20" t="s">
        <v>81</v>
      </c>
      <c r="G42" s="180"/>
      <c r="H42" s="11"/>
      <c r="I42" s="12"/>
      <c r="J42" s="12"/>
      <c r="K42" s="12"/>
      <c r="L42" s="12"/>
      <c r="M42" s="12"/>
      <c r="N42" s="12"/>
      <c r="O42" s="13"/>
      <c r="P42" s="12"/>
      <c r="Q42" s="14"/>
      <c r="R42" s="15"/>
    </row>
    <row r="43" spans="1:18" ht="15" customHeight="1" x14ac:dyDescent="0.3">
      <c r="A43" s="18" t="s">
        <v>77</v>
      </c>
      <c r="B43" s="18" t="s">
        <v>82</v>
      </c>
      <c r="C43" s="19">
        <v>0.29166666666666669</v>
      </c>
      <c r="D43" s="18" t="s">
        <v>79</v>
      </c>
      <c r="E43" s="18" t="s">
        <v>83</v>
      </c>
      <c r="F43" s="18" t="s">
        <v>84</v>
      </c>
      <c r="G43" s="180"/>
      <c r="H43" s="11"/>
      <c r="I43" s="12"/>
      <c r="J43" s="12"/>
      <c r="K43" s="12"/>
      <c r="L43" s="12"/>
      <c r="M43" s="12"/>
      <c r="N43" s="12"/>
      <c r="O43" s="13"/>
      <c r="P43" s="12"/>
      <c r="Q43" s="14"/>
      <c r="R43" s="15"/>
    </row>
    <row r="44" spans="1:18" ht="15" customHeight="1" x14ac:dyDescent="0.3">
      <c r="A44" s="18" t="s">
        <v>77</v>
      </c>
      <c r="B44" s="18" t="s">
        <v>85</v>
      </c>
      <c r="C44" s="19">
        <v>0.85069444444444453</v>
      </c>
      <c r="D44" s="18" t="s">
        <v>79</v>
      </c>
      <c r="E44" s="18" t="s">
        <v>86</v>
      </c>
      <c r="F44" s="18" t="s">
        <v>87</v>
      </c>
      <c r="G44" s="180"/>
      <c r="H44" s="11"/>
      <c r="I44" s="12"/>
      <c r="J44" s="12"/>
      <c r="K44" s="12"/>
      <c r="L44" s="12"/>
      <c r="M44" s="12"/>
      <c r="N44" s="12"/>
      <c r="O44" s="13"/>
      <c r="P44" s="12"/>
      <c r="Q44" s="14"/>
      <c r="R44" s="15"/>
    </row>
    <row r="45" spans="1:18" ht="15" customHeight="1" x14ac:dyDescent="0.3">
      <c r="A45" s="20" t="s">
        <v>88</v>
      </c>
      <c r="B45" s="20" t="s">
        <v>89</v>
      </c>
      <c r="C45" s="21">
        <v>0.3298611111111111</v>
      </c>
      <c r="D45" s="20" t="s">
        <v>90</v>
      </c>
      <c r="E45" s="20" t="s">
        <v>29</v>
      </c>
      <c r="F45" s="20" t="s">
        <v>91</v>
      </c>
      <c r="G45" s="180"/>
      <c r="H45" s="11"/>
      <c r="I45" s="12"/>
      <c r="J45" s="12"/>
      <c r="K45" s="12"/>
      <c r="L45" s="12"/>
      <c r="M45" s="12"/>
      <c r="N45" s="12"/>
      <c r="O45" s="13"/>
      <c r="P45" s="12"/>
      <c r="Q45" s="14"/>
      <c r="R45" s="15"/>
    </row>
    <row r="46" spans="1:18" ht="15" customHeight="1" x14ac:dyDescent="0.3">
      <c r="A46" s="16" t="s">
        <v>88</v>
      </c>
      <c r="B46" s="16" t="s">
        <v>89</v>
      </c>
      <c r="C46" s="17">
        <v>0.3298611111111111</v>
      </c>
      <c r="D46" s="16" t="s">
        <v>64</v>
      </c>
      <c r="E46" s="16" t="s">
        <v>32</v>
      </c>
      <c r="F46" s="16" t="s">
        <v>54</v>
      </c>
      <c r="G46" s="180"/>
      <c r="H46" s="11"/>
      <c r="I46" s="12"/>
      <c r="J46" s="12"/>
      <c r="K46" s="12"/>
      <c r="L46" s="12"/>
      <c r="M46" s="12"/>
      <c r="N46" s="12"/>
      <c r="O46" s="13"/>
      <c r="P46" s="12"/>
      <c r="Q46" s="14"/>
      <c r="R46" s="15"/>
    </row>
    <row r="47" spans="1:18" ht="15" customHeight="1" x14ac:dyDescent="0.3">
      <c r="A47" s="20" t="s">
        <v>92</v>
      </c>
      <c r="B47" s="20" t="s">
        <v>93</v>
      </c>
      <c r="C47" s="21">
        <v>0.66666666666666663</v>
      </c>
      <c r="D47" s="20" t="s">
        <v>79</v>
      </c>
      <c r="E47" s="20" t="s">
        <v>94</v>
      </c>
      <c r="F47" s="20" t="s">
        <v>74</v>
      </c>
      <c r="G47" s="180"/>
      <c r="H47" s="11"/>
      <c r="I47" s="12"/>
      <c r="J47" s="12"/>
      <c r="K47" s="12"/>
      <c r="L47" s="12"/>
      <c r="M47" s="12"/>
      <c r="N47" s="12"/>
      <c r="O47" s="13"/>
      <c r="P47" s="12"/>
      <c r="Q47" s="14"/>
      <c r="R47" s="15"/>
    </row>
    <row r="48" spans="1:18" ht="15" customHeight="1" x14ac:dyDescent="0.3">
      <c r="A48" s="22" t="s">
        <v>95</v>
      </c>
      <c r="B48" s="22" t="s">
        <v>96</v>
      </c>
      <c r="C48" s="23">
        <v>4.8611111111111112E-2</v>
      </c>
      <c r="D48" s="22" t="s">
        <v>97</v>
      </c>
      <c r="E48" s="22" t="s">
        <v>98</v>
      </c>
      <c r="F48" s="22" t="s">
        <v>99</v>
      </c>
      <c r="G48" s="180"/>
      <c r="H48" s="24" t="s">
        <v>100</v>
      </c>
      <c r="I48" s="25">
        <v>0.76539999999999997</v>
      </c>
      <c r="J48" s="26">
        <v>137</v>
      </c>
      <c r="K48" s="27">
        <v>45980</v>
      </c>
      <c r="L48" s="26">
        <v>36</v>
      </c>
      <c r="M48" s="26">
        <v>1</v>
      </c>
      <c r="N48" s="26">
        <v>9</v>
      </c>
      <c r="O48" s="28" t="s">
        <v>101</v>
      </c>
      <c r="P48" s="29">
        <v>4.8611111111111112E-2</v>
      </c>
      <c r="Q48" s="26">
        <v>179</v>
      </c>
      <c r="R48" s="30" t="s">
        <v>102</v>
      </c>
    </row>
    <row r="49" spans="1:18" ht="15" customHeight="1" x14ac:dyDescent="0.3">
      <c r="A49" s="31" t="s">
        <v>95</v>
      </c>
      <c r="B49" s="31" t="s">
        <v>103</v>
      </c>
      <c r="C49" s="32">
        <v>0.36458333333333331</v>
      </c>
      <c r="D49" s="31" t="s">
        <v>97</v>
      </c>
      <c r="E49" s="31" t="s">
        <v>37</v>
      </c>
      <c r="F49" s="31" t="s">
        <v>99</v>
      </c>
      <c r="G49" s="180"/>
      <c r="H49" s="33" t="s">
        <v>104</v>
      </c>
      <c r="I49" s="34">
        <v>0.56979999999999997</v>
      </c>
      <c r="J49" s="35">
        <v>102</v>
      </c>
      <c r="K49" s="36">
        <v>45978</v>
      </c>
      <c r="L49" s="35">
        <v>16</v>
      </c>
      <c r="M49" s="35">
        <v>0</v>
      </c>
      <c r="N49" s="35">
        <v>0</v>
      </c>
      <c r="O49" s="37" t="s">
        <v>105</v>
      </c>
      <c r="P49" s="38">
        <v>0.36458333333333331</v>
      </c>
      <c r="Q49" s="35">
        <v>179</v>
      </c>
      <c r="R49" s="39" t="s">
        <v>106</v>
      </c>
    </row>
    <row r="50" spans="1:18" ht="15" customHeight="1" x14ac:dyDescent="0.3">
      <c r="A50" s="40" t="s">
        <v>95</v>
      </c>
      <c r="B50" s="40" t="s">
        <v>107</v>
      </c>
      <c r="C50" s="41">
        <v>0.25347222222222221</v>
      </c>
      <c r="D50" s="40" t="s">
        <v>97</v>
      </c>
      <c r="E50" s="40" t="s">
        <v>37</v>
      </c>
      <c r="F50" s="40" t="s">
        <v>99</v>
      </c>
      <c r="G50" s="180"/>
      <c r="H50" s="42" t="s">
        <v>108</v>
      </c>
      <c r="I50" s="43">
        <v>0.88829999999999998</v>
      </c>
      <c r="J50" s="44">
        <v>159</v>
      </c>
      <c r="K50" s="45">
        <v>45980</v>
      </c>
      <c r="L50" s="44">
        <v>15</v>
      </c>
      <c r="M50" s="44">
        <v>4</v>
      </c>
      <c r="N50" s="44">
        <v>5</v>
      </c>
      <c r="O50" s="46" t="s">
        <v>105</v>
      </c>
      <c r="P50" s="47">
        <v>0.25347222222222221</v>
      </c>
      <c r="Q50" s="44">
        <v>179</v>
      </c>
      <c r="R50" s="48" t="s">
        <v>109</v>
      </c>
    </row>
    <row r="51" spans="1:18" ht="15" customHeight="1" x14ac:dyDescent="0.3">
      <c r="A51" s="49" t="s">
        <v>95</v>
      </c>
      <c r="B51" s="49" t="s">
        <v>110</v>
      </c>
      <c r="C51" s="50">
        <v>0.1145833333333333</v>
      </c>
      <c r="D51" s="49" t="s">
        <v>97</v>
      </c>
      <c r="E51" s="49" t="s">
        <v>73</v>
      </c>
      <c r="F51" s="49" t="s">
        <v>99</v>
      </c>
      <c r="G51" s="180"/>
      <c r="H51" s="51" t="s">
        <v>111</v>
      </c>
      <c r="I51" s="52">
        <v>0.92510000000000003</v>
      </c>
      <c r="J51" s="53">
        <v>173</v>
      </c>
      <c r="K51" s="54">
        <v>45979</v>
      </c>
      <c r="L51" s="53">
        <v>15</v>
      </c>
      <c r="M51" s="53">
        <v>0</v>
      </c>
      <c r="N51" s="53">
        <v>4</v>
      </c>
      <c r="O51" s="55" t="s">
        <v>112</v>
      </c>
      <c r="P51" s="56">
        <v>0.1145833333333333</v>
      </c>
      <c r="Q51" s="53">
        <v>187</v>
      </c>
      <c r="R51" s="57" t="s">
        <v>113</v>
      </c>
    </row>
    <row r="52" spans="1:18" ht="15" customHeight="1" x14ac:dyDescent="0.3">
      <c r="A52" s="58" t="s">
        <v>95</v>
      </c>
      <c r="B52" s="58" t="s">
        <v>114</v>
      </c>
      <c r="C52" s="59">
        <v>0.33333333333333331</v>
      </c>
      <c r="D52" s="58" t="s">
        <v>97</v>
      </c>
      <c r="E52" s="58" t="s">
        <v>83</v>
      </c>
      <c r="F52" s="58" t="s">
        <v>99</v>
      </c>
      <c r="G52" s="180"/>
      <c r="H52" s="24" t="s">
        <v>115</v>
      </c>
      <c r="I52" s="25">
        <v>0.82120000000000004</v>
      </c>
      <c r="J52" s="26">
        <v>147</v>
      </c>
      <c r="K52" s="27">
        <v>45980</v>
      </c>
      <c r="L52" s="26">
        <v>16</v>
      </c>
      <c r="M52" s="26">
        <v>3</v>
      </c>
      <c r="N52" s="26">
        <v>5</v>
      </c>
      <c r="O52" s="28" t="s">
        <v>116</v>
      </c>
      <c r="P52" s="29">
        <v>0.33333333333333331</v>
      </c>
      <c r="Q52" s="26">
        <v>179</v>
      </c>
      <c r="R52" s="30" t="s">
        <v>117</v>
      </c>
    </row>
    <row r="53" spans="1:18" ht="15" customHeight="1" x14ac:dyDescent="0.3">
      <c r="A53" s="60" t="s">
        <v>95</v>
      </c>
      <c r="B53" s="60" t="s">
        <v>118</v>
      </c>
      <c r="C53" s="61">
        <v>0.58333333333333337</v>
      </c>
      <c r="D53" s="60" t="s">
        <v>97</v>
      </c>
      <c r="E53" s="60" t="s">
        <v>37</v>
      </c>
      <c r="F53" s="60" t="s">
        <v>119</v>
      </c>
      <c r="G53" s="180"/>
      <c r="H53" s="62" t="s">
        <v>120</v>
      </c>
      <c r="I53" s="63">
        <v>0.96089999999999998</v>
      </c>
      <c r="J53" s="64">
        <v>172</v>
      </c>
      <c r="K53" s="65">
        <v>45977</v>
      </c>
      <c r="L53" s="64">
        <v>9</v>
      </c>
      <c r="M53" s="64">
        <v>0</v>
      </c>
      <c r="N53" s="64">
        <v>0</v>
      </c>
      <c r="O53" s="66" t="s">
        <v>121</v>
      </c>
      <c r="P53" s="67">
        <v>0.58333333333333337</v>
      </c>
      <c r="Q53" s="64">
        <v>179</v>
      </c>
      <c r="R53" s="68" t="s">
        <v>122</v>
      </c>
    </row>
    <row r="54" spans="1:18" ht="15" customHeight="1" x14ac:dyDescent="0.3">
      <c r="A54" s="69" t="s">
        <v>95</v>
      </c>
      <c r="B54" s="69" t="s">
        <v>123</v>
      </c>
      <c r="C54" s="70">
        <v>0.73958333333333337</v>
      </c>
      <c r="D54" s="69" t="s">
        <v>97</v>
      </c>
      <c r="E54" s="69" t="s">
        <v>73</v>
      </c>
      <c r="F54" s="69" t="s">
        <v>124</v>
      </c>
      <c r="G54" s="180"/>
      <c r="H54" s="71" t="s">
        <v>125</v>
      </c>
      <c r="I54" s="72">
        <v>0.96650000000000003</v>
      </c>
      <c r="J54" s="73">
        <v>173</v>
      </c>
      <c r="K54" s="74">
        <v>45978</v>
      </c>
      <c r="L54" s="73">
        <v>3</v>
      </c>
      <c r="M54" s="73">
        <v>0</v>
      </c>
      <c r="N54" s="73">
        <v>0</v>
      </c>
      <c r="O54" s="75" t="s">
        <v>126</v>
      </c>
      <c r="P54" s="76">
        <v>0.73958333333333337</v>
      </c>
      <c r="Q54" s="73">
        <v>179</v>
      </c>
      <c r="R54" s="77" t="s">
        <v>127</v>
      </c>
    </row>
    <row r="55" spans="1:18" ht="15" customHeight="1" x14ac:dyDescent="0.3">
      <c r="A55" s="20" t="s">
        <v>128</v>
      </c>
      <c r="B55" s="20" t="s">
        <v>129</v>
      </c>
      <c r="C55" s="21">
        <v>0.24305555555555561</v>
      </c>
      <c r="D55" s="20" t="s">
        <v>130</v>
      </c>
      <c r="E55" s="20" t="s">
        <v>94</v>
      </c>
      <c r="F55" s="20" t="s">
        <v>131</v>
      </c>
      <c r="G55" s="180"/>
      <c r="H55" s="11"/>
      <c r="I55" s="12"/>
      <c r="J55" s="12"/>
      <c r="K55" s="12"/>
      <c r="L55" s="12"/>
      <c r="M55" s="12"/>
      <c r="N55" s="12"/>
      <c r="O55" s="13"/>
      <c r="P55" s="12"/>
      <c r="Q55" s="14"/>
      <c r="R55" s="15"/>
    </row>
    <row r="56" spans="1:18" ht="15" customHeight="1" x14ac:dyDescent="0.3">
      <c r="A56" s="16" t="s">
        <v>128</v>
      </c>
      <c r="B56" s="16" t="s">
        <v>129</v>
      </c>
      <c r="C56" s="17">
        <v>0.24305555555555561</v>
      </c>
      <c r="D56" s="16" t="s">
        <v>132</v>
      </c>
      <c r="E56" s="16" t="s">
        <v>133</v>
      </c>
      <c r="F56" s="16" t="s">
        <v>134</v>
      </c>
      <c r="G56" s="180"/>
      <c r="H56" s="11"/>
      <c r="I56" s="12"/>
      <c r="J56" s="12"/>
      <c r="K56" s="12"/>
      <c r="L56" s="12"/>
      <c r="M56" s="12"/>
      <c r="N56" s="12"/>
      <c r="O56" s="13"/>
      <c r="P56" s="12"/>
      <c r="Q56" s="14"/>
      <c r="R56" s="15"/>
    </row>
    <row r="57" spans="1:18" ht="15" customHeight="1" x14ac:dyDescent="0.3">
      <c r="A57" s="18" t="s">
        <v>128</v>
      </c>
      <c r="B57" s="18" t="s">
        <v>135</v>
      </c>
      <c r="C57" s="19">
        <v>0.1423611111111111</v>
      </c>
      <c r="D57" s="18" t="s">
        <v>130</v>
      </c>
      <c r="E57" s="18" t="s">
        <v>136</v>
      </c>
      <c r="F57" s="18" t="s">
        <v>131</v>
      </c>
      <c r="G57" s="180"/>
      <c r="H57" s="11"/>
      <c r="I57" s="12"/>
      <c r="J57" s="12"/>
      <c r="K57" s="12"/>
      <c r="L57" s="12"/>
      <c r="M57" s="12"/>
      <c r="N57" s="12"/>
      <c r="O57" s="13"/>
      <c r="P57" s="12"/>
      <c r="Q57" s="14"/>
      <c r="R57" s="15"/>
    </row>
    <row r="58" spans="1:18" ht="15" customHeight="1" x14ac:dyDescent="0.3">
      <c r="A58" s="16" t="s">
        <v>128</v>
      </c>
      <c r="B58" s="16" t="s">
        <v>135</v>
      </c>
      <c r="C58" s="17">
        <v>0.1423611111111111</v>
      </c>
      <c r="D58" s="16" t="s">
        <v>132</v>
      </c>
      <c r="E58" s="16" t="s">
        <v>133</v>
      </c>
      <c r="F58" s="16" t="s">
        <v>134</v>
      </c>
      <c r="G58" s="180"/>
      <c r="H58" s="11"/>
      <c r="I58" s="12"/>
      <c r="J58" s="12"/>
      <c r="K58" s="12"/>
      <c r="L58" s="12"/>
      <c r="M58" s="12"/>
      <c r="N58" s="12"/>
      <c r="O58" s="13"/>
      <c r="P58" s="12"/>
      <c r="Q58" s="14"/>
      <c r="R58" s="15"/>
    </row>
    <row r="59" spans="1:18" ht="15" customHeight="1" x14ac:dyDescent="0.3">
      <c r="A59" s="18" t="s">
        <v>128</v>
      </c>
      <c r="B59" s="18" t="s">
        <v>137</v>
      </c>
      <c r="C59" s="19">
        <v>6.9444444444444441E-3</v>
      </c>
      <c r="D59" s="18" t="s">
        <v>130</v>
      </c>
      <c r="E59" s="18" t="s">
        <v>136</v>
      </c>
      <c r="F59" s="18" t="s">
        <v>138</v>
      </c>
      <c r="G59" s="180"/>
      <c r="H59" s="11"/>
      <c r="I59" s="12"/>
      <c r="J59" s="12"/>
      <c r="K59" s="12"/>
      <c r="L59" s="12"/>
      <c r="M59" s="12"/>
      <c r="N59" s="12"/>
      <c r="O59" s="13"/>
      <c r="P59" s="12"/>
      <c r="Q59" s="14"/>
      <c r="R59" s="15"/>
    </row>
    <row r="60" spans="1:18" ht="15" customHeight="1" x14ac:dyDescent="0.3">
      <c r="A60" s="16" t="s">
        <v>128</v>
      </c>
      <c r="B60" s="16" t="s">
        <v>137</v>
      </c>
      <c r="C60" s="17">
        <v>6.9444444444444441E-3</v>
      </c>
      <c r="D60" s="16" t="s">
        <v>132</v>
      </c>
      <c r="E60" s="16" t="s">
        <v>133</v>
      </c>
      <c r="F60" s="16" t="s">
        <v>139</v>
      </c>
      <c r="G60" s="180"/>
      <c r="H60" s="11"/>
      <c r="I60" s="12"/>
      <c r="J60" s="12"/>
      <c r="K60" s="12"/>
      <c r="L60" s="12"/>
      <c r="M60" s="12"/>
      <c r="N60" s="12"/>
      <c r="O60" s="13"/>
      <c r="P60" s="12"/>
      <c r="Q60" s="14"/>
      <c r="R60" s="15"/>
    </row>
    <row r="61" spans="1:18" ht="15" customHeight="1" x14ac:dyDescent="0.3">
      <c r="A61" s="18" t="s">
        <v>128</v>
      </c>
      <c r="B61" s="18" t="s">
        <v>140</v>
      </c>
      <c r="C61" s="19">
        <v>0.37847222222222232</v>
      </c>
      <c r="D61" s="18" t="s">
        <v>130</v>
      </c>
      <c r="E61" s="18" t="s">
        <v>136</v>
      </c>
      <c r="F61" s="18" t="s">
        <v>141</v>
      </c>
      <c r="G61" s="180"/>
      <c r="H61" s="11"/>
      <c r="I61" s="12"/>
      <c r="J61" s="12"/>
      <c r="K61" s="12"/>
      <c r="L61" s="12"/>
      <c r="M61" s="12"/>
      <c r="N61" s="12"/>
      <c r="O61" s="13"/>
      <c r="P61" s="12"/>
      <c r="Q61" s="14"/>
      <c r="R61" s="15"/>
    </row>
    <row r="62" spans="1:18" ht="15" customHeight="1" x14ac:dyDescent="0.3">
      <c r="A62" s="16" t="s">
        <v>128</v>
      </c>
      <c r="B62" s="16" t="s">
        <v>140</v>
      </c>
      <c r="C62" s="17">
        <v>0.37847222222222232</v>
      </c>
      <c r="D62" s="16" t="s">
        <v>132</v>
      </c>
      <c r="E62" s="16" t="s">
        <v>133</v>
      </c>
      <c r="F62" s="16" t="s">
        <v>142</v>
      </c>
      <c r="G62" s="180"/>
      <c r="H62" s="11"/>
      <c r="I62" s="12"/>
      <c r="J62" s="12"/>
      <c r="K62" s="12"/>
      <c r="L62" s="12"/>
      <c r="M62" s="12"/>
      <c r="N62" s="12"/>
      <c r="O62" s="13"/>
      <c r="P62" s="12"/>
      <c r="Q62" s="14"/>
      <c r="R62" s="15"/>
    </row>
    <row r="63" spans="1:18" ht="15" customHeight="1" x14ac:dyDescent="0.3">
      <c r="A63" s="18" t="s">
        <v>128</v>
      </c>
      <c r="B63" s="18" t="s">
        <v>143</v>
      </c>
      <c r="C63" s="19">
        <v>0.93055555555555547</v>
      </c>
      <c r="D63" s="18" t="s">
        <v>130</v>
      </c>
      <c r="E63" s="18" t="s">
        <v>136</v>
      </c>
      <c r="F63" s="18" t="s">
        <v>141</v>
      </c>
      <c r="G63" s="180"/>
      <c r="H63" s="11"/>
      <c r="I63" s="12"/>
      <c r="J63" s="12"/>
      <c r="K63" s="12"/>
      <c r="L63" s="12"/>
      <c r="M63" s="12"/>
      <c r="N63" s="12"/>
      <c r="O63" s="13"/>
      <c r="P63" s="12"/>
      <c r="Q63" s="14"/>
      <c r="R63" s="15"/>
    </row>
    <row r="64" spans="1:18" ht="15" customHeight="1" x14ac:dyDescent="0.3">
      <c r="A64" s="16" t="s">
        <v>128</v>
      </c>
      <c r="B64" s="16" t="s">
        <v>143</v>
      </c>
      <c r="C64" s="17">
        <v>0.93055555555555547</v>
      </c>
      <c r="D64" s="16" t="s">
        <v>132</v>
      </c>
      <c r="E64" s="16" t="s">
        <v>133</v>
      </c>
      <c r="F64" s="16" t="s">
        <v>142</v>
      </c>
      <c r="G64" s="180"/>
      <c r="H64" s="11"/>
      <c r="I64" s="12"/>
      <c r="J64" s="12"/>
      <c r="K64" s="12"/>
      <c r="L64" s="12"/>
      <c r="M64" s="12"/>
      <c r="N64" s="12"/>
      <c r="O64" s="13"/>
      <c r="P64" s="12"/>
      <c r="Q64" s="14"/>
      <c r="R64" s="15"/>
    </row>
    <row r="65" spans="1:18" ht="15" customHeight="1" x14ac:dyDescent="0.3">
      <c r="A65" s="18" t="s">
        <v>128</v>
      </c>
      <c r="B65" s="18" t="s">
        <v>144</v>
      </c>
      <c r="C65" s="19">
        <v>0.88888888888888884</v>
      </c>
      <c r="D65" s="18" t="s">
        <v>132</v>
      </c>
      <c r="E65" s="18" t="s">
        <v>83</v>
      </c>
      <c r="F65" s="18" t="s">
        <v>145</v>
      </c>
      <c r="G65" s="180"/>
      <c r="H65" s="11"/>
      <c r="I65" s="12"/>
      <c r="J65" s="12"/>
      <c r="K65" s="12"/>
      <c r="L65" s="12"/>
      <c r="M65" s="12"/>
      <c r="N65" s="12"/>
      <c r="O65" s="13"/>
      <c r="P65" s="12"/>
      <c r="Q65" s="14"/>
      <c r="R65" s="15"/>
    </row>
    <row r="66" spans="1:18" ht="15" customHeight="1" x14ac:dyDescent="0.3">
      <c r="A66" s="18" t="s">
        <v>128</v>
      </c>
      <c r="B66" s="18" t="s">
        <v>146</v>
      </c>
      <c r="C66" s="19">
        <v>0.30208333333333331</v>
      </c>
      <c r="D66" s="18" t="s">
        <v>132</v>
      </c>
      <c r="E66" s="18" t="s">
        <v>83</v>
      </c>
      <c r="F66" s="18" t="s">
        <v>145</v>
      </c>
      <c r="G66" s="180"/>
      <c r="H66" s="11"/>
      <c r="I66" s="12"/>
      <c r="J66" s="12"/>
      <c r="K66" s="12"/>
      <c r="L66" s="12"/>
      <c r="M66" s="12"/>
      <c r="N66" s="12"/>
      <c r="O66" s="13"/>
      <c r="P66" s="12"/>
      <c r="Q66" s="14"/>
      <c r="R66" s="15"/>
    </row>
    <row r="67" spans="1:18" ht="15" customHeight="1" x14ac:dyDescent="0.3">
      <c r="A67" s="18" t="s">
        <v>128</v>
      </c>
      <c r="B67" s="18" t="s">
        <v>147</v>
      </c>
      <c r="C67" s="19">
        <v>0.12847222222222221</v>
      </c>
      <c r="D67" s="18" t="s">
        <v>132</v>
      </c>
      <c r="E67" s="18" t="s">
        <v>83</v>
      </c>
      <c r="F67" s="18" t="s">
        <v>145</v>
      </c>
      <c r="G67" s="180"/>
      <c r="H67" s="11"/>
      <c r="I67" s="12"/>
      <c r="J67" s="12"/>
      <c r="K67" s="12"/>
      <c r="L67" s="12"/>
      <c r="M67" s="12"/>
      <c r="N67" s="12"/>
      <c r="O67" s="13"/>
      <c r="P67" s="12"/>
      <c r="Q67" s="14"/>
      <c r="R67" s="15"/>
    </row>
    <row r="68" spans="1:18" ht="15" customHeight="1" x14ac:dyDescent="0.3">
      <c r="A68" s="18" t="s">
        <v>128</v>
      </c>
      <c r="B68" s="18" t="s">
        <v>148</v>
      </c>
      <c r="C68" s="19">
        <v>0.78819444444444453</v>
      </c>
      <c r="D68" s="18" t="s">
        <v>132</v>
      </c>
      <c r="E68" s="18" t="s">
        <v>83</v>
      </c>
      <c r="F68" s="18" t="s">
        <v>145</v>
      </c>
      <c r="G68" s="180"/>
      <c r="H68" s="11"/>
      <c r="I68" s="12"/>
      <c r="J68" s="12"/>
      <c r="K68" s="12"/>
      <c r="L68" s="12"/>
      <c r="M68" s="12"/>
      <c r="N68" s="12"/>
      <c r="O68" s="13"/>
      <c r="P68" s="12"/>
      <c r="Q68" s="14"/>
      <c r="R68" s="15"/>
    </row>
    <row r="69" spans="1:18" ht="15" customHeight="1" x14ac:dyDescent="0.3">
      <c r="A69" s="18" t="s">
        <v>128</v>
      </c>
      <c r="B69" s="18" t="s">
        <v>149</v>
      </c>
      <c r="C69" s="19">
        <v>0.82986111111111116</v>
      </c>
      <c r="D69" s="18" t="s">
        <v>130</v>
      </c>
      <c r="E69" s="18" t="s">
        <v>37</v>
      </c>
      <c r="F69" s="18" t="s">
        <v>150</v>
      </c>
      <c r="G69" s="180"/>
      <c r="H69" s="11"/>
      <c r="I69" s="12"/>
      <c r="J69" s="12"/>
      <c r="K69" s="12"/>
      <c r="L69" s="12"/>
      <c r="M69" s="12"/>
      <c r="N69" s="12"/>
      <c r="O69" s="13"/>
      <c r="P69" s="12"/>
      <c r="Q69" s="14"/>
      <c r="R69" s="15"/>
    </row>
    <row r="70" spans="1:18" ht="15" customHeight="1" x14ac:dyDescent="0.3">
      <c r="A70" s="16" t="s">
        <v>128</v>
      </c>
      <c r="B70" s="16" t="s">
        <v>149</v>
      </c>
      <c r="C70" s="17">
        <v>0.82986111111111116</v>
      </c>
      <c r="D70" s="16" t="s">
        <v>132</v>
      </c>
      <c r="E70" s="16" t="s">
        <v>38</v>
      </c>
      <c r="F70" s="16" t="s">
        <v>151</v>
      </c>
      <c r="G70" s="180"/>
      <c r="H70" s="11"/>
      <c r="I70" s="12"/>
      <c r="J70" s="12"/>
      <c r="K70" s="12"/>
      <c r="L70" s="12"/>
      <c r="M70" s="12"/>
      <c r="N70" s="12"/>
      <c r="O70" s="13"/>
      <c r="P70" s="12"/>
      <c r="Q70" s="14"/>
      <c r="R70" s="15"/>
    </row>
    <row r="71" spans="1:18" ht="15" customHeight="1" x14ac:dyDescent="0.3">
      <c r="A71" s="20" t="s">
        <v>152</v>
      </c>
      <c r="B71" s="20" t="s">
        <v>153</v>
      </c>
      <c r="C71" s="21">
        <v>1.388888888888889E-2</v>
      </c>
      <c r="D71" s="20" t="s">
        <v>154</v>
      </c>
      <c r="E71" s="20" t="s">
        <v>94</v>
      </c>
      <c r="F71" s="20" t="s">
        <v>155</v>
      </c>
      <c r="G71" s="180"/>
      <c r="H71" s="11"/>
      <c r="I71" s="12"/>
      <c r="J71" s="12"/>
      <c r="K71" s="12"/>
      <c r="L71" s="12"/>
      <c r="M71" s="12"/>
      <c r="N71" s="12"/>
      <c r="O71" s="13"/>
      <c r="P71" s="12"/>
      <c r="Q71" s="14"/>
      <c r="R71" s="15"/>
    </row>
    <row r="72" spans="1:18" ht="15" customHeight="1" x14ac:dyDescent="0.3">
      <c r="A72" s="18" t="s">
        <v>152</v>
      </c>
      <c r="B72" s="18" t="s">
        <v>156</v>
      </c>
      <c r="C72" s="19">
        <v>0.4861111111111111</v>
      </c>
      <c r="D72" s="18" t="s">
        <v>154</v>
      </c>
      <c r="E72" s="18" t="s">
        <v>136</v>
      </c>
      <c r="F72" s="18" t="s">
        <v>157</v>
      </c>
      <c r="G72" s="180"/>
      <c r="H72" s="11"/>
      <c r="I72" s="12"/>
      <c r="J72" s="12"/>
      <c r="K72" s="12"/>
      <c r="L72" s="12"/>
      <c r="M72" s="12"/>
      <c r="N72" s="12"/>
      <c r="O72" s="13"/>
      <c r="P72" s="12"/>
      <c r="Q72" s="14"/>
      <c r="R72" s="15"/>
    </row>
    <row r="73" spans="1:18" ht="15" customHeight="1" x14ac:dyDescent="0.3">
      <c r="A73" s="18" t="s">
        <v>152</v>
      </c>
      <c r="B73" s="18" t="s">
        <v>158</v>
      </c>
      <c r="C73" s="19">
        <v>0.51388888888888895</v>
      </c>
      <c r="D73" s="18" t="s">
        <v>154</v>
      </c>
      <c r="E73" s="18" t="s">
        <v>136</v>
      </c>
      <c r="F73" s="18" t="s">
        <v>157</v>
      </c>
      <c r="G73" s="180"/>
      <c r="H73" s="11"/>
      <c r="I73" s="12"/>
      <c r="J73" s="12"/>
      <c r="K73" s="12"/>
      <c r="L73" s="12"/>
      <c r="M73" s="12"/>
      <c r="N73" s="12"/>
      <c r="O73" s="13"/>
      <c r="P73" s="12"/>
      <c r="Q73" s="14"/>
      <c r="R73" s="15"/>
    </row>
    <row r="74" spans="1:18" ht="15" customHeight="1" x14ac:dyDescent="0.3">
      <c r="A74" s="18" t="s">
        <v>152</v>
      </c>
      <c r="B74" s="18" t="s">
        <v>159</v>
      </c>
      <c r="C74" s="19">
        <v>0.22222222222222221</v>
      </c>
      <c r="D74" s="18" t="s">
        <v>154</v>
      </c>
      <c r="E74" s="18" t="s">
        <v>136</v>
      </c>
      <c r="F74" s="18" t="s">
        <v>160</v>
      </c>
      <c r="G74" s="180"/>
      <c r="H74" s="11"/>
      <c r="I74" s="12"/>
      <c r="J74" s="12"/>
      <c r="K74" s="12"/>
      <c r="L74" s="12"/>
      <c r="M74" s="12"/>
      <c r="N74" s="12"/>
      <c r="O74" s="13"/>
      <c r="P74" s="12"/>
      <c r="Q74" s="14"/>
      <c r="R74" s="15"/>
    </row>
    <row r="75" spans="1:18" ht="15" customHeight="1" x14ac:dyDescent="0.3">
      <c r="A75" s="18" t="s">
        <v>152</v>
      </c>
      <c r="B75" s="18" t="s">
        <v>161</v>
      </c>
      <c r="C75" s="19">
        <v>0.14583333333333329</v>
      </c>
      <c r="D75" s="18" t="s">
        <v>154</v>
      </c>
      <c r="E75" s="18" t="s">
        <v>136</v>
      </c>
      <c r="F75" s="18" t="s">
        <v>162</v>
      </c>
      <c r="G75" s="180"/>
      <c r="H75" s="11"/>
      <c r="I75" s="12"/>
      <c r="J75" s="12"/>
      <c r="K75" s="12"/>
      <c r="L75" s="12"/>
      <c r="M75" s="12"/>
      <c r="N75" s="12"/>
      <c r="O75" s="13"/>
      <c r="P75" s="12"/>
      <c r="Q75" s="14"/>
      <c r="R75" s="15"/>
    </row>
    <row r="76" spans="1:18" ht="15" customHeight="1" x14ac:dyDescent="0.3">
      <c r="A76" s="18" t="s">
        <v>152</v>
      </c>
      <c r="B76" s="18" t="s">
        <v>163</v>
      </c>
      <c r="C76" s="19">
        <v>0.27777777777777779</v>
      </c>
      <c r="D76" s="18" t="s">
        <v>154</v>
      </c>
      <c r="E76" s="18" t="s">
        <v>136</v>
      </c>
      <c r="F76" s="18" t="s">
        <v>162</v>
      </c>
      <c r="G76" s="180"/>
      <c r="H76" s="11"/>
      <c r="I76" s="12"/>
      <c r="J76" s="12"/>
      <c r="K76" s="12"/>
      <c r="L76" s="12"/>
      <c r="M76" s="12"/>
      <c r="N76" s="12"/>
      <c r="O76" s="13"/>
      <c r="P76" s="12"/>
      <c r="Q76" s="14"/>
      <c r="R76" s="15"/>
    </row>
    <row r="77" spans="1:18" ht="15" customHeight="1" x14ac:dyDescent="0.3">
      <c r="A77" s="18" t="s">
        <v>152</v>
      </c>
      <c r="B77" s="18" t="s">
        <v>164</v>
      </c>
      <c r="C77" s="19">
        <v>0.95833333333333337</v>
      </c>
      <c r="D77" s="18" t="s">
        <v>154</v>
      </c>
      <c r="E77" s="18" t="s">
        <v>37</v>
      </c>
      <c r="F77" s="18" t="s">
        <v>162</v>
      </c>
      <c r="G77" s="180"/>
      <c r="H77" s="11"/>
      <c r="I77" s="12"/>
      <c r="J77" s="12"/>
      <c r="K77" s="12"/>
      <c r="L77" s="12"/>
      <c r="M77" s="12"/>
      <c r="N77" s="12"/>
      <c r="O77" s="13"/>
      <c r="P77" s="12"/>
      <c r="Q77" s="14"/>
      <c r="R77" s="15"/>
    </row>
    <row r="78" spans="1:18" ht="15" customHeight="1" thickBot="1" x14ac:dyDescent="0.35">
      <c r="A78" s="78" t="s">
        <v>152</v>
      </c>
      <c r="B78" s="78" t="s">
        <v>165</v>
      </c>
      <c r="C78" s="79">
        <v>0.77430555555555547</v>
      </c>
      <c r="D78" s="78" t="s">
        <v>154</v>
      </c>
      <c r="E78" s="78" t="s">
        <v>83</v>
      </c>
      <c r="F78" s="78" t="s">
        <v>162</v>
      </c>
      <c r="G78" s="181"/>
      <c r="H78" s="80"/>
      <c r="I78" s="81"/>
      <c r="J78" s="81"/>
      <c r="K78" s="81"/>
      <c r="L78" s="81"/>
      <c r="M78" s="81"/>
      <c r="N78" s="81"/>
      <c r="O78" s="82"/>
      <c r="P78" s="81"/>
      <c r="Q78" s="83"/>
      <c r="R78" s="84"/>
    </row>
    <row r="79" spans="1:18" ht="17.399999999999999" customHeight="1" thickBot="1" x14ac:dyDescent="0.35">
      <c r="A79" s="200"/>
      <c r="B79" s="201"/>
      <c r="C79" s="201"/>
      <c r="D79" s="201"/>
      <c r="E79" s="201"/>
      <c r="F79" s="201"/>
      <c r="G79" s="201"/>
      <c r="H79" s="201"/>
      <c r="I79" s="201"/>
      <c r="J79" s="201"/>
      <c r="K79" s="201"/>
      <c r="L79" s="201"/>
      <c r="M79" s="201"/>
      <c r="N79" s="201"/>
      <c r="O79" s="201"/>
      <c r="P79" s="201"/>
      <c r="Q79" s="201"/>
      <c r="R79" s="202"/>
    </row>
    <row r="80" spans="1:18" ht="22.05" customHeight="1" thickTop="1" thickBot="1" x14ac:dyDescent="0.55000000000000004">
      <c r="A80" s="182" t="s">
        <v>6</v>
      </c>
      <c r="B80" s="183"/>
      <c r="C80" s="183"/>
      <c r="D80" s="183"/>
      <c r="E80" s="183"/>
      <c r="F80" s="183"/>
      <c r="G80" s="85">
        <v>45982</v>
      </c>
      <c r="H80" s="203" t="s">
        <v>7</v>
      </c>
      <c r="I80" s="194"/>
      <c r="J80" s="194"/>
      <c r="K80" s="194"/>
      <c r="L80" s="194"/>
      <c r="M80" s="194"/>
      <c r="N80" s="194"/>
      <c r="O80" s="194"/>
      <c r="P80" s="194"/>
      <c r="Q80" s="194"/>
      <c r="R80" s="194"/>
    </row>
    <row r="81" spans="1:18" ht="24" customHeight="1" x14ac:dyDescent="0.3">
      <c r="A81" s="86" t="s">
        <v>8</v>
      </c>
      <c r="B81" s="86" t="s">
        <v>9</v>
      </c>
      <c r="C81" s="87" t="s">
        <v>10</v>
      </c>
      <c r="D81" s="86" t="s">
        <v>11</v>
      </c>
      <c r="E81" s="86" t="s">
        <v>12</v>
      </c>
      <c r="F81" s="88" t="s">
        <v>13</v>
      </c>
      <c r="G81" s="89" t="s">
        <v>14</v>
      </c>
      <c r="H81" s="86" t="s">
        <v>15</v>
      </c>
      <c r="I81" s="90" t="s">
        <v>16</v>
      </c>
      <c r="J81" s="91" t="s">
        <v>17</v>
      </c>
      <c r="K81" s="92" t="s">
        <v>18</v>
      </c>
      <c r="L81" s="91" t="s">
        <v>19</v>
      </c>
      <c r="M81" s="91" t="s">
        <v>20</v>
      </c>
      <c r="N81" s="91" t="s">
        <v>21</v>
      </c>
      <c r="O81" s="86" t="s">
        <v>22</v>
      </c>
      <c r="P81" s="87" t="s">
        <v>23</v>
      </c>
      <c r="Q81" s="91" t="s">
        <v>24</v>
      </c>
      <c r="R81" s="86" t="s">
        <v>25</v>
      </c>
    </row>
    <row r="82" spans="1:18" ht="15" customHeight="1" x14ac:dyDescent="0.3">
      <c r="A82" s="9" t="s">
        <v>57</v>
      </c>
      <c r="B82" s="9" t="s">
        <v>58</v>
      </c>
      <c r="C82" s="10">
        <v>0.30208333333333331</v>
      </c>
      <c r="D82" s="9" t="s">
        <v>59</v>
      </c>
      <c r="E82" s="9" t="s">
        <v>166</v>
      </c>
      <c r="F82" s="9" t="s">
        <v>167</v>
      </c>
      <c r="G82" s="179"/>
      <c r="H82" s="11"/>
      <c r="I82" s="12"/>
      <c r="J82" s="12"/>
      <c r="K82" s="12"/>
      <c r="L82" s="12"/>
      <c r="M82" s="12"/>
      <c r="N82" s="12"/>
      <c r="O82" s="13"/>
      <c r="P82" s="12"/>
      <c r="Q82" s="14"/>
      <c r="R82" s="15"/>
    </row>
    <row r="83" spans="1:18" ht="15" customHeight="1" x14ac:dyDescent="0.3">
      <c r="A83" s="16" t="s">
        <v>57</v>
      </c>
      <c r="B83" s="16" t="s">
        <v>58</v>
      </c>
      <c r="C83" s="17">
        <v>0.30208333333333331</v>
      </c>
      <c r="D83" s="16" t="s">
        <v>61</v>
      </c>
      <c r="E83" s="16" t="s">
        <v>168</v>
      </c>
      <c r="F83" s="16" t="s">
        <v>169</v>
      </c>
      <c r="G83" s="180"/>
      <c r="H83" s="11"/>
      <c r="I83" s="12"/>
      <c r="J83" s="12"/>
      <c r="K83" s="12"/>
      <c r="L83" s="12"/>
      <c r="M83" s="12"/>
      <c r="N83" s="12"/>
      <c r="O83" s="13"/>
      <c r="P83" s="12"/>
      <c r="Q83" s="14"/>
      <c r="R83" s="15"/>
    </row>
    <row r="84" spans="1:18" ht="15" customHeight="1" x14ac:dyDescent="0.3">
      <c r="A84" s="16" t="s">
        <v>57</v>
      </c>
      <c r="B84" s="16" t="s">
        <v>58</v>
      </c>
      <c r="C84" s="17">
        <v>0.30208333333333331</v>
      </c>
      <c r="D84" s="16" t="s">
        <v>64</v>
      </c>
      <c r="E84" s="16" t="s">
        <v>168</v>
      </c>
      <c r="F84" s="16" t="s">
        <v>65</v>
      </c>
      <c r="G84" s="180"/>
      <c r="H84" s="11"/>
      <c r="I84" s="12"/>
      <c r="J84" s="12"/>
      <c r="K84" s="12"/>
      <c r="L84" s="12"/>
      <c r="M84" s="12"/>
      <c r="N84" s="12"/>
      <c r="O84" s="13"/>
      <c r="P84" s="12"/>
      <c r="Q84" s="14"/>
      <c r="R84" s="15"/>
    </row>
    <row r="85" spans="1:18" ht="15" customHeight="1" x14ac:dyDescent="0.3">
      <c r="A85" s="18" t="s">
        <v>57</v>
      </c>
      <c r="B85" s="18" t="s">
        <v>72</v>
      </c>
      <c r="C85" s="19">
        <v>0.12847222222222221</v>
      </c>
      <c r="D85" s="18" t="s">
        <v>59</v>
      </c>
      <c r="E85" s="18" t="s">
        <v>170</v>
      </c>
      <c r="F85" s="18" t="s">
        <v>167</v>
      </c>
      <c r="G85" s="180"/>
      <c r="H85" s="11"/>
      <c r="I85" s="12"/>
      <c r="J85" s="12"/>
      <c r="K85" s="12"/>
      <c r="L85" s="12"/>
      <c r="M85" s="12"/>
      <c r="N85" s="12"/>
      <c r="O85" s="13"/>
      <c r="P85" s="12"/>
      <c r="Q85" s="14"/>
      <c r="R85" s="15"/>
    </row>
    <row r="86" spans="1:18" ht="15" customHeight="1" x14ac:dyDescent="0.3">
      <c r="A86" s="16" t="s">
        <v>57</v>
      </c>
      <c r="B86" s="16" t="s">
        <v>72</v>
      </c>
      <c r="C86" s="17">
        <v>0.12847222222222221</v>
      </c>
      <c r="D86" s="16" t="s">
        <v>61</v>
      </c>
      <c r="E86" s="16" t="s">
        <v>168</v>
      </c>
      <c r="F86" s="16" t="s">
        <v>169</v>
      </c>
      <c r="G86" s="180"/>
      <c r="H86" s="11"/>
      <c r="I86" s="12"/>
      <c r="J86" s="12"/>
      <c r="K86" s="12"/>
      <c r="L86" s="12"/>
      <c r="M86" s="12"/>
      <c r="N86" s="12"/>
      <c r="O86" s="13"/>
      <c r="P86" s="12"/>
      <c r="Q86" s="14"/>
      <c r="R86" s="15"/>
    </row>
    <row r="87" spans="1:18" ht="15" customHeight="1" x14ac:dyDescent="0.3">
      <c r="A87" s="16" t="s">
        <v>57</v>
      </c>
      <c r="B87" s="16" t="s">
        <v>72</v>
      </c>
      <c r="C87" s="17">
        <v>0.12847222222222221</v>
      </c>
      <c r="D87" s="16" t="s">
        <v>64</v>
      </c>
      <c r="E87" s="16" t="s">
        <v>168</v>
      </c>
      <c r="F87" s="16" t="s">
        <v>65</v>
      </c>
      <c r="G87" s="180"/>
      <c r="H87" s="11"/>
      <c r="I87" s="12"/>
      <c r="J87" s="12"/>
      <c r="K87" s="12"/>
      <c r="L87" s="12"/>
      <c r="M87" s="12"/>
      <c r="N87" s="12"/>
      <c r="O87" s="13"/>
      <c r="P87" s="12"/>
      <c r="Q87" s="14"/>
      <c r="R87" s="15"/>
    </row>
    <row r="88" spans="1:18" ht="15" customHeight="1" x14ac:dyDescent="0.3">
      <c r="A88" s="18" t="s">
        <v>57</v>
      </c>
      <c r="B88" s="18" t="s">
        <v>66</v>
      </c>
      <c r="C88" s="19">
        <v>0.78819444444444453</v>
      </c>
      <c r="D88" s="18" t="s">
        <v>59</v>
      </c>
      <c r="E88" s="18" t="s">
        <v>171</v>
      </c>
      <c r="F88" s="18" t="s">
        <v>167</v>
      </c>
      <c r="G88" s="180"/>
      <c r="H88" s="11"/>
      <c r="I88" s="12"/>
      <c r="J88" s="12"/>
      <c r="K88" s="12"/>
      <c r="L88" s="12"/>
      <c r="M88" s="12"/>
      <c r="N88" s="12"/>
      <c r="O88" s="13"/>
      <c r="P88" s="12"/>
      <c r="Q88" s="14"/>
      <c r="R88" s="15"/>
    </row>
    <row r="89" spans="1:18" ht="15" customHeight="1" x14ac:dyDescent="0.3">
      <c r="A89" s="16" t="s">
        <v>57</v>
      </c>
      <c r="B89" s="16" t="s">
        <v>66</v>
      </c>
      <c r="C89" s="17">
        <v>0.78819444444444453</v>
      </c>
      <c r="D89" s="16" t="s">
        <v>61</v>
      </c>
      <c r="E89" s="16" t="s">
        <v>172</v>
      </c>
      <c r="F89" s="16" t="s">
        <v>169</v>
      </c>
      <c r="G89" s="180"/>
      <c r="H89" s="11"/>
      <c r="I89" s="12"/>
      <c r="J89" s="12"/>
      <c r="K89" s="12"/>
      <c r="L89" s="12"/>
      <c r="M89" s="12"/>
      <c r="N89" s="12"/>
      <c r="O89" s="13"/>
      <c r="P89" s="12"/>
      <c r="Q89" s="14"/>
      <c r="R89" s="15"/>
    </row>
    <row r="90" spans="1:18" ht="15" customHeight="1" x14ac:dyDescent="0.3">
      <c r="A90" s="16" t="s">
        <v>57</v>
      </c>
      <c r="B90" s="16" t="s">
        <v>66</v>
      </c>
      <c r="C90" s="17">
        <v>0.78819444444444453</v>
      </c>
      <c r="D90" s="16" t="s">
        <v>64</v>
      </c>
      <c r="E90" s="16" t="s">
        <v>172</v>
      </c>
      <c r="F90" s="16" t="s">
        <v>173</v>
      </c>
      <c r="G90" s="180"/>
      <c r="H90" s="11"/>
      <c r="I90" s="12"/>
      <c r="J90" s="12"/>
      <c r="K90" s="12"/>
      <c r="L90" s="12"/>
      <c r="M90" s="12"/>
      <c r="N90" s="12"/>
      <c r="O90" s="13"/>
      <c r="P90" s="12"/>
      <c r="Q90" s="14"/>
      <c r="R90" s="15"/>
    </row>
    <row r="91" spans="1:18" ht="15" customHeight="1" x14ac:dyDescent="0.3">
      <c r="A91" s="18" t="s">
        <v>57</v>
      </c>
      <c r="B91" s="18" t="s">
        <v>69</v>
      </c>
      <c r="C91" s="19">
        <v>0.88888888888888884</v>
      </c>
      <c r="D91" s="18" t="s">
        <v>59</v>
      </c>
      <c r="E91" s="18" t="s">
        <v>174</v>
      </c>
      <c r="F91" s="18" t="s">
        <v>167</v>
      </c>
      <c r="G91" s="180"/>
      <c r="H91" s="11"/>
      <c r="I91" s="12"/>
      <c r="J91" s="12"/>
      <c r="K91" s="12"/>
      <c r="L91" s="12"/>
      <c r="M91" s="12"/>
      <c r="N91" s="12"/>
      <c r="O91" s="13"/>
      <c r="P91" s="12"/>
      <c r="Q91" s="14"/>
      <c r="R91" s="15"/>
    </row>
    <row r="92" spans="1:18" ht="15" customHeight="1" x14ac:dyDescent="0.3">
      <c r="A92" s="16" t="s">
        <v>57</v>
      </c>
      <c r="B92" s="16" t="s">
        <v>69</v>
      </c>
      <c r="C92" s="17">
        <v>0.88888888888888884</v>
      </c>
      <c r="D92" s="16" t="s">
        <v>61</v>
      </c>
      <c r="E92" s="16" t="s">
        <v>175</v>
      </c>
      <c r="F92" s="16" t="s">
        <v>169</v>
      </c>
      <c r="G92" s="180"/>
      <c r="H92" s="11"/>
      <c r="I92" s="12"/>
      <c r="J92" s="12"/>
      <c r="K92" s="12"/>
      <c r="L92" s="12"/>
      <c r="M92" s="12"/>
      <c r="N92" s="12"/>
      <c r="O92" s="13"/>
      <c r="P92" s="12"/>
      <c r="Q92" s="14"/>
      <c r="R92" s="15"/>
    </row>
    <row r="93" spans="1:18" ht="15" customHeight="1" x14ac:dyDescent="0.3">
      <c r="A93" s="16" t="s">
        <v>57</v>
      </c>
      <c r="B93" s="16" t="s">
        <v>69</v>
      </c>
      <c r="C93" s="17">
        <v>0.88888888888888884</v>
      </c>
      <c r="D93" s="16" t="s">
        <v>64</v>
      </c>
      <c r="E93" s="16" t="s">
        <v>175</v>
      </c>
      <c r="F93" s="16" t="s">
        <v>65</v>
      </c>
      <c r="G93" s="180"/>
      <c r="H93" s="11"/>
      <c r="I93" s="12"/>
      <c r="J93" s="12"/>
      <c r="K93" s="12"/>
      <c r="L93" s="12"/>
      <c r="M93" s="12"/>
      <c r="N93" s="12"/>
      <c r="O93" s="13"/>
      <c r="P93" s="12"/>
      <c r="Q93" s="14"/>
      <c r="R93" s="15"/>
    </row>
    <row r="94" spans="1:18" ht="15" customHeight="1" x14ac:dyDescent="0.3">
      <c r="A94" s="20" t="s">
        <v>88</v>
      </c>
      <c r="B94" s="20" t="s">
        <v>176</v>
      </c>
      <c r="C94" s="21">
        <v>0.97569444444444453</v>
      </c>
      <c r="D94" s="20" t="s">
        <v>90</v>
      </c>
      <c r="E94" s="20" t="s">
        <v>29</v>
      </c>
      <c r="F94" s="20" t="s">
        <v>177</v>
      </c>
      <c r="G94" s="180"/>
      <c r="H94" s="11"/>
      <c r="I94" s="12"/>
      <c r="J94" s="12"/>
      <c r="K94" s="12"/>
      <c r="L94" s="12"/>
      <c r="M94" s="12"/>
      <c r="N94" s="12"/>
      <c r="O94" s="13"/>
      <c r="P94" s="12"/>
      <c r="Q94" s="14"/>
      <c r="R94" s="15"/>
    </row>
    <row r="95" spans="1:18" ht="15" customHeight="1" x14ac:dyDescent="0.3">
      <c r="A95" s="16" t="s">
        <v>88</v>
      </c>
      <c r="B95" s="16" t="s">
        <v>176</v>
      </c>
      <c r="C95" s="17">
        <v>0.97569444444444453</v>
      </c>
      <c r="D95" s="16" t="s">
        <v>64</v>
      </c>
      <c r="E95" s="16" t="s">
        <v>32</v>
      </c>
      <c r="F95" s="16" t="s">
        <v>178</v>
      </c>
      <c r="G95" s="180"/>
      <c r="H95" s="11"/>
      <c r="I95" s="12"/>
      <c r="J95" s="12"/>
      <c r="K95" s="12"/>
      <c r="L95" s="12"/>
      <c r="M95" s="12"/>
      <c r="N95" s="12"/>
      <c r="O95" s="13"/>
      <c r="P95" s="12"/>
      <c r="Q95" s="14"/>
      <c r="R95" s="15"/>
    </row>
    <row r="96" spans="1:18" ht="15" customHeight="1" x14ac:dyDescent="0.3">
      <c r="A96" s="18" t="s">
        <v>88</v>
      </c>
      <c r="B96" s="18" t="s">
        <v>89</v>
      </c>
      <c r="C96" s="19">
        <v>0.3923611111111111</v>
      </c>
      <c r="D96" s="18" t="s">
        <v>90</v>
      </c>
      <c r="E96" s="18" t="s">
        <v>40</v>
      </c>
      <c r="F96" s="18" t="s">
        <v>179</v>
      </c>
      <c r="G96" s="180"/>
      <c r="H96" s="11"/>
      <c r="I96" s="12"/>
      <c r="J96" s="12"/>
      <c r="K96" s="12"/>
      <c r="L96" s="12"/>
      <c r="M96" s="12"/>
      <c r="N96" s="12"/>
      <c r="O96" s="13"/>
      <c r="P96" s="12"/>
      <c r="Q96" s="14"/>
      <c r="R96" s="15"/>
    </row>
    <row r="97" spans="1:18" ht="15" customHeight="1" x14ac:dyDescent="0.3">
      <c r="A97" s="16" t="s">
        <v>88</v>
      </c>
      <c r="B97" s="16" t="s">
        <v>89</v>
      </c>
      <c r="C97" s="17">
        <v>0.3923611111111111</v>
      </c>
      <c r="D97" s="16" t="s">
        <v>64</v>
      </c>
      <c r="E97" s="16" t="s">
        <v>32</v>
      </c>
      <c r="F97" s="16" t="s">
        <v>180</v>
      </c>
      <c r="G97" s="180"/>
      <c r="H97" s="11"/>
      <c r="I97" s="12"/>
      <c r="J97" s="12"/>
      <c r="K97" s="12"/>
      <c r="L97" s="12"/>
      <c r="M97" s="12"/>
      <c r="N97" s="12"/>
      <c r="O97" s="13"/>
      <c r="P97" s="12"/>
      <c r="Q97" s="14"/>
      <c r="R97" s="15"/>
    </row>
    <row r="98" spans="1:18" ht="15" customHeight="1" x14ac:dyDescent="0.3">
      <c r="A98" s="20" t="s">
        <v>26</v>
      </c>
      <c r="B98" s="20" t="s">
        <v>39</v>
      </c>
      <c r="C98" s="21">
        <v>0.90277777777777779</v>
      </c>
      <c r="D98" s="20" t="s">
        <v>28</v>
      </c>
      <c r="E98" s="20" t="s">
        <v>80</v>
      </c>
      <c r="F98" s="20" t="s">
        <v>41</v>
      </c>
      <c r="G98" s="180"/>
      <c r="H98" s="11"/>
      <c r="I98" s="12"/>
      <c r="J98" s="12"/>
      <c r="K98" s="12"/>
      <c r="L98" s="12"/>
      <c r="M98" s="12"/>
      <c r="N98" s="12"/>
      <c r="O98" s="13"/>
      <c r="P98" s="12"/>
      <c r="Q98" s="14"/>
      <c r="R98" s="15"/>
    </row>
    <row r="99" spans="1:18" ht="15" customHeight="1" x14ac:dyDescent="0.3">
      <c r="A99" s="16" t="s">
        <v>26</v>
      </c>
      <c r="B99" s="16" t="s">
        <v>39</v>
      </c>
      <c r="C99" s="17">
        <v>0.90277777777777779</v>
      </c>
      <c r="D99" s="16" t="s">
        <v>31</v>
      </c>
      <c r="E99" s="16" t="s">
        <v>181</v>
      </c>
      <c r="F99" s="16" t="s">
        <v>42</v>
      </c>
      <c r="G99" s="180"/>
      <c r="H99" s="11"/>
      <c r="I99" s="12"/>
      <c r="J99" s="12"/>
      <c r="K99" s="12"/>
      <c r="L99" s="12"/>
      <c r="M99" s="12"/>
      <c r="N99" s="12"/>
      <c r="O99" s="13"/>
      <c r="P99" s="12"/>
      <c r="Q99" s="14"/>
      <c r="R99" s="15"/>
    </row>
    <row r="100" spans="1:18" ht="15" customHeight="1" x14ac:dyDescent="0.3">
      <c r="A100" s="16" t="s">
        <v>26</v>
      </c>
      <c r="B100" s="16" t="s">
        <v>39</v>
      </c>
      <c r="C100" s="17">
        <v>0.90277777777777779</v>
      </c>
      <c r="D100" s="16" t="s">
        <v>34</v>
      </c>
      <c r="E100" s="16" t="s">
        <v>181</v>
      </c>
      <c r="F100" s="16" t="s">
        <v>43</v>
      </c>
      <c r="G100" s="180"/>
      <c r="H100" s="11"/>
      <c r="I100" s="12"/>
      <c r="J100" s="12"/>
      <c r="K100" s="12"/>
      <c r="L100" s="12"/>
      <c r="M100" s="12"/>
      <c r="N100" s="12"/>
      <c r="O100" s="13"/>
      <c r="P100" s="12"/>
      <c r="Q100" s="14"/>
      <c r="R100" s="15"/>
    </row>
    <row r="101" spans="1:18" ht="15" customHeight="1" x14ac:dyDescent="0.3">
      <c r="A101" s="18" t="s">
        <v>26</v>
      </c>
      <c r="B101" s="18" t="s">
        <v>46</v>
      </c>
      <c r="C101" s="19">
        <v>0.79861111111111116</v>
      </c>
      <c r="D101" s="18" t="s">
        <v>28</v>
      </c>
      <c r="E101" s="18" t="s">
        <v>86</v>
      </c>
      <c r="F101" s="18" t="s">
        <v>41</v>
      </c>
      <c r="G101" s="180"/>
      <c r="H101" s="11"/>
      <c r="I101" s="12"/>
      <c r="J101" s="12"/>
      <c r="K101" s="12"/>
      <c r="L101" s="12"/>
      <c r="M101" s="12"/>
      <c r="N101" s="12"/>
      <c r="O101" s="13"/>
      <c r="P101" s="12"/>
      <c r="Q101" s="14"/>
      <c r="R101" s="15"/>
    </row>
    <row r="102" spans="1:18" ht="15" customHeight="1" x14ac:dyDescent="0.3">
      <c r="A102" s="16" t="s">
        <v>26</v>
      </c>
      <c r="B102" s="16" t="s">
        <v>46</v>
      </c>
      <c r="C102" s="17">
        <v>0.79861111111111116</v>
      </c>
      <c r="D102" s="16" t="s">
        <v>31</v>
      </c>
      <c r="E102" s="16" t="s">
        <v>182</v>
      </c>
      <c r="F102" s="16" t="s">
        <v>42</v>
      </c>
      <c r="G102" s="180"/>
      <c r="H102" s="11"/>
      <c r="I102" s="12"/>
      <c r="J102" s="12"/>
      <c r="K102" s="12"/>
      <c r="L102" s="12"/>
      <c r="M102" s="12"/>
      <c r="N102" s="12"/>
      <c r="O102" s="13"/>
      <c r="P102" s="12"/>
      <c r="Q102" s="14"/>
      <c r="R102" s="15"/>
    </row>
    <row r="103" spans="1:18" ht="15" customHeight="1" x14ac:dyDescent="0.3">
      <c r="A103" s="16" t="s">
        <v>26</v>
      </c>
      <c r="B103" s="16" t="s">
        <v>46</v>
      </c>
      <c r="C103" s="17">
        <v>0.79861111111111116</v>
      </c>
      <c r="D103" s="16" t="s">
        <v>34</v>
      </c>
      <c r="E103" s="16" t="s">
        <v>182</v>
      </c>
      <c r="F103" s="16" t="s">
        <v>43</v>
      </c>
      <c r="G103" s="180"/>
      <c r="H103" s="11"/>
      <c r="I103" s="12"/>
      <c r="J103" s="12"/>
      <c r="K103" s="12"/>
      <c r="L103" s="12"/>
      <c r="M103" s="12"/>
      <c r="N103" s="12"/>
      <c r="O103" s="13"/>
      <c r="P103" s="12"/>
      <c r="Q103" s="14"/>
      <c r="R103" s="15"/>
    </row>
    <row r="104" spans="1:18" ht="15" customHeight="1" x14ac:dyDescent="0.3">
      <c r="A104" s="18" t="s">
        <v>26</v>
      </c>
      <c r="B104" s="18" t="s">
        <v>47</v>
      </c>
      <c r="C104" s="19">
        <v>0.64583333333333337</v>
      </c>
      <c r="D104" s="18" t="s">
        <v>28</v>
      </c>
      <c r="E104" s="18" t="s">
        <v>40</v>
      </c>
      <c r="F104" s="18" t="s">
        <v>49</v>
      </c>
      <c r="G104" s="180"/>
      <c r="H104" s="11"/>
      <c r="I104" s="12"/>
      <c r="J104" s="12"/>
      <c r="K104" s="12"/>
      <c r="L104" s="12"/>
      <c r="M104" s="12"/>
      <c r="N104" s="12"/>
      <c r="O104" s="13"/>
      <c r="P104" s="12"/>
      <c r="Q104" s="14"/>
      <c r="R104" s="15"/>
    </row>
    <row r="105" spans="1:18" ht="15" customHeight="1" x14ac:dyDescent="0.3">
      <c r="A105" s="16" t="s">
        <v>26</v>
      </c>
      <c r="B105" s="16" t="s">
        <v>47</v>
      </c>
      <c r="C105" s="17">
        <v>0.64583333333333337</v>
      </c>
      <c r="D105" s="16" t="s">
        <v>31</v>
      </c>
      <c r="E105" s="16" t="s">
        <v>32</v>
      </c>
      <c r="F105" s="16" t="s">
        <v>51</v>
      </c>
      <c r="G105" s="180"/>
      <c r="H105" s="11"/>
      <c r="I105" s="12"/>
      <c r="J105" s="12"/>
      <c r="K105" s="12"/>
      <c r="L105" s="12"/>
      <c r="M105" s="12"/>
      <c r="N105" s="12"/>
      <c r="O105" s="13"/>
      <c r="P105" s="12"/>
      <c r="Q105" s="14"/>
      <c r="R105" s="15"/>
    </row>
    <row r="106" spans="1:18" ht="15" customHeight="1" x14ac:dyDescent="0.3">
      <c r="A106" s="16" t="s">
        <v>26</v>
      </c>
      <c r="B106" s="16" t="s">
        <v>47</v>
      </c>
      <c r="C106" s="17">
        <v>0.64583333333333337</v>
      </c>
      <c r="D106" s="16" t="s">
        <v>34</v>
      </c>
      <c r="E106" s="16" t="s">
        <v>32</v>
      </c>
      <c r="F106" s="16" t="s">
        <v>52</v>
      </c>
      <c r="G106" s="180"/>
      <c r="H106" s="11"/>
      <c r="I106" s="12"/>
      <c r="J106" s="12"/>
      <c r="K106" s="12"/>
      <c r="L106" s="12"/>
      <c r="M106" s="12"/>
      <c r="N106" s="12"/>
      <c r="O106" s="13"/>
      <c r="P106" s="12"/>
      <c r="Q106" s="14"/>
      <c r="R106" s="15"/>
    </row>
    <row r="107" spans="1:18" ht="15" customHeight="1" x14ac:dyDescent="0.3">
      <c r="A107" s="18" t="s">
        <v>26</v>
      </c>
      <c r="B107" s="18" t="s">
        <v>53</v>
      </c>
      <c r="C107" s="19">
        <v>0.51736111111111105</v>
      </c>
      <c r="D107" s="18" t="s">
        <v>28</v>
      </c>
      <c r="E107" s="18" t="s">
        <v>83</v>
      </c>
      <c r="F107" s="18" t="s">
        <v>49</v>
      </c>
      <c r="G107" s="180"/>
      <c r="H107" s="11"/>
      <c r="I107" s="12"/>
      <c r="J107" s="12"/>
      <c r="K107" s="12"/>
      <c r="L107" s="12"/>
      <c r="M107" s="12"/>
      <c r="N107" s="12"/>
      <c r="O107" s="13"/>
      <c r="P107" s="12"/>
      <c r="Q107" s="14"/>
      <c r="R107" s="15"/>
    </row>
    <row r="108" spans="1:18" ht="15" customHeight="1" x14ac:dyDescent="0.3">
      <c r="A108" s="16" t="s">
        <v>26</v>
      </c>
      <c r="B108" s="16" t="s">
        <v>53</v>
      </c>
      <c r="C108" s="17">
        <v>0.51736111111111105</v>
      </c>
      <c r="D108" s="16" t="s">
        <v>31</v>
      </c>
      <c r="E108" s="16" t="s">
        <v>183</v>
      </c>
      <c r="F108" s="16" t="s">
        <v>51</v>
      </c>
      <c r="G108" s="180"/>
      <c r="H108" s="11"/>
      <c r="I108" s="12"/>
      <c r="J108" s="12"/>
      <c r="K108" s="12"/>
      <c r="L108" s="12"/>
      <c r="M108" s="12"/>
      <c r="N108" s="12"/>
      <c r="O108" s="13"/>
      <c r="P108" s="12"/>
      <c r="Q108" s="14"/>
      <c r="R108" s="15"/>
    </row>
    <row r="109" spans="1:18" ht="15" customHeight="1" x14ac:dyDescent="0.3">
      <c r="A109" s="16" t="s">
        <v>26</v>
      </c>
      <c r="B109" s="16" t="s">
        <v>53</v>
      </c>
      <c r="C109" s="17">
        <v>0.51736111111111105</v>
      </c>
      <c r="D109" s="16" t="s">
        <v>34</v>
      </c>
      <c r="E109" s="16" t="s">
        <v>183</v>
      </c>
      <c r="F109" s="16" t="s">
        <v>52</v>
      </c>
      <c r="G109" s="180"/>
      <c r="H109" s="11"/>
      <c r="I109" s="12"/>
      <c r="J109" s="12"/>
      <c r="K109" s="12"/>
      <c r="L109" s="12"/>
      <c r="M109" s="12"/>
      <c r="N109" s="12"/>
      <c r="O109" s="13"/>
      <c r="P109" s="12"/>
      <c r="Q109" s="14"/>
      <c r="R109" s="15"/>
    </row>
    <row r="110" spans="1:18" ht="15" customHeight="1" x14ac:dyDescent="0.3">
      <c r="A110" s="18" t="s">
        <v>26</v>
      </c>
      <c r="B110" s="18" t="s">
        <v>44</v>
      </c>
      <c r="C110" s="19">
        <v>0.85416666666666663</v>
      </c>
      <c r="D110" s="18" t="s">
        <v>28</v>
      </c>
      <c r="E110" s="18" t="s">
        <v>40</v>
      </c>
      <c r="F110" s="18" t="s">
        <v>49</v>
      </c>
      <c r="G110" s="180"/>
      <c r="H110" s="11"/>
      <c r="I110" s="12"/>
      <c r="J110" s="12"/>
      <c r="K110" s="12"/>
      <c r="L110" s="12"/>
      <c r="M110" s="12"/>
      <c r="N110" s="12"/>
      <c r="O110" s="13"/>
      <c r="P110" s="12"/>
      <c r="Q110" s="14"/>
      <c r="R110" s="15"/>
    </row>
    <row r="111" spans="1:18" ht="15" customHeight="1" x14ac:dyDescent="0.3">
      <c r="A111" s="16" t="s">
        <v>26</v>
      </c>
      <c r="B111" s="16" t="s">
        <v>44</v>
      </c>
      <c r="C111" s="17">
        <v>0.85416666666666663</v>
      </c>
      <c r="D111" s="16" t="s">
        <v>31</v>
      </c>
      <c r="E111" s="16" t="s">
        <v>32</v>
      </c>
      <c r="F111" s="16" t="s">
        <v>51</v>
      </c>
      <c r="G111" s="180"/>
      <c r="H111" s="11"/>
      <c r="I111" s="12"/>
      <c r="J111" s="12"/>
      <c r="K111" s="12"/>
      <c r="L111" s="12"/>
      <c r="M111" s="12"/>
      <c r="N111" s="12"/>
      <c r="O111" s="13"/>
      <c r="P111" s="12"/>
      <c r="Q111" s="14"/>
      <c r="R111" s="15"/>
    </row>
    <row r="112" spans="1:18" ht="15" customHeight="1" x14ac:dyDescent="0.3">
      <c r="A112" s="16" t="s">
        <v>26</v>
      </c>
      <c r="B112" s="16" t="s">
        <v>44</v>
      </c>
      <c r="C112" s="17">
        <v>0.85416666666666663</v>
      </c>
      <c r="D112" s="16" t="s">
        <v>34</v>
      </c>
      <c r="E112" s="16" t="s">
        <v>32</v>
      </c>
      <c r="F112" s="16" t="s">
        <v>52</v>
      </c>
      <c r="G112" s="180"/>
      <c r="H112" s="11"/>
      <c r="I112" s="12"/>
      <c r="J112" s="12"/>
      <c r="K112" s="12"/>
      <c r="L112" s="12"/>
      <c r="M112" s="12"/>
      <c r="N112" s="12"/>
      <c r="O112" s="13"/>
      <c r="P112" s="12"/>
      <c r="Q112" s="14"/>
      <c r="R112" s="15"/>
    </row>
    <row r="113" spans="1:18" ht="15" customHeight="1" x14ac:dyDescent="0.3">
      <c r="A113" s="18" t="s">
        <v>26</v>
      </c>
      <c r="B113" s="18" t="s">
        <v>45</v>
      </c>
      <c r="C113" s="19">
        <v>0.39583333333333331</v>
      </c>
      <c r="D113" s="18" t="s">
        <v>28</v>
      </c>
      <c r="E113" s="18" t="s">
        <v>73</v>
      </c>
      <c r="F113" s="18" t="s">
        <v>49</v>
      </c>
      <c r="G113" s="180"/>
      <c r="H113" s="11"/>
      <c r="I113" s="12"/>
      <c r="J113" s="12"/>
      <c r="K113" s="12"/>
      <c r="L113" s="12"/>
      <c r="M113" s="12"/>
      <c r="N113" s="12"/>
      <c r="O113" s="13"/>
      <c r="P113" s="12"/>
      <c r="Q113" s="14"/>
      <c r="R113" s="15"/>
    </row>
    <row r="114" spans="1:18" ht="15" customHeight="1" x14ac:dyDescent="0.3">
      <c r="A114" s="16" t="s">
        <v>26</v>
      </c>
      <c r="B114" s="16" t="s">
        <v>45</v>
      </c>
      <c r="C114" s="17">
        <v>0.39583333333333331</v>
      </c>
      <c r="D114" s="16" t="s">
        <v>31</v>
      </c>
      <c r="E114" s="16" t="s">
        <v>75</v>
      </c>
      <c r="F114" s="16" t="s">
        <v>51</v>
      </c>
      <c r="G114" s="180"/>
      <c r="H114" s="11"/>
      <c r="I114" s="12"/>
      <c r="J114" s="12"/>
      <c r="K114" s="12"/>
      <c r="L114" s="12"/>
      <c r="M114" s="12"/>
      <c r="N114" s="12"/>
      <c r="O114" s="13"/>
      <c r="P114" s="12"/>
      <c r="Q114" s="14"/>
      <c r="R114" s="15"/>
    </row>
    <row r="115" spans="1:18" ht="15" customHeight="1" x14ac:dyDescent="0.3">
      <c r="A115" s="16" t="s">
        <v>26</v>
      </c>
      <c r="B115" s="16" t="s">
        <v>45</v>
      </c>
      <c r="C115" s="17">
        <v>0.39583333333333331</v>
      </c>
      <c r="D115" s="16" t="s">
        <v>34</v>
      </c>
      <c r="E115" s="16" t="s">
        <v>75</v>
      </c>
      <c r="F115" s="16" t="s">
        <v>52</v>
      </c>
      <c r="G115" s="180"/>
      <c r="H115" s="11"/>
      <c r="I115" s="12"/>
      <c r="J115" s="12"/>
      <c r="K115" s="12"/>
      <c r="L115" s="12"/>
      <c r="M115" s="12"/>
      <c r="N115" s="12"/>
      <c r="O115" s="13"/>
      <c r="P115" s="12"/>
      <c r="Q115" s="14"/>
      <c r="R115" s="15"/>
    </row>
    <row r="116" spans="1:18" ht="15" customHeight="1" x14ac:dyDescent="0.3">
      <c r="A116" s="18" t="s">
        <v>26</v>
      </c>
      <c r="B116" s="18" t="s">
        <v>27</v>
      </c>
      <c r="C116" s="19">
        <v>0.25694444444444448</v>
      </c>
      <c r="D116" s="18" t="s">
        <v>28</v>
      </c>
      <c r="E116" s="18" t="s">
        <v>83</v>
      </c>
      <c r="F116" s="18" t="s">
        <v>54</v>
      </c>
      <c r="G116" s="180"/>
      <c r="H116" s="11"/>
      <c r="I116" s="12"/>
      <c r="J116" s="12"/>
      <c r="K116" s="12"/>
      <c r="L116" s="12"/>
      <c r="M116" s="12"/>
      <c r="N116" s="12"/>
      <c r="O116" s="13"/>
      <c r="P116" s="12"/>
      <c r="Q116" s="14"/>
      <c r="R116" s="15"/>
    </row>
    <row r="117" spans="1:18" ht="15" customHeight="1" x14ac:dyDescent="0.3">
      <c r="A117" s="16" t="s">
        <v>26</v>
      </c>
      <c r="B117" s="16" t="s">
        <v>27</v>
      </c>
      <c r="C117" s="17">
        <v>0.25694444444444448</v>
      </c>
      <c r="D117" s="16" t="s">
        <v>31</v>
      </c>
      <c r="E117" s="16" t="s">
        <v>183</v>
      </c>
      <c r="F117" s="16" t="s">
        <v>55</v>
      </c>
      <c r="G117" s="180"/>
      <c r="H117" s="11"/>
      <c r="I117" s="12"/>
      <c r="J117" s="12"/>
      <c r="K117" s="12"/>
      <c r="L117" s="12"/>
      <c r="M117" s="12"/>
      <c r="N117" s="12"/>
      <c r="O117" s="13"/>
      <c r="P117" s="12"/>
      <c r="Q117" s="14"/>
      <c r="R117" s="15"/>
    </row>
    <row r="118" spans="1:18" ht="15" customHeight="1" x14ac:dyDescent="0.3">
      <c r="A118" s="16" t="s">
        <v>26</v>
      </c>
      <c r="B118" s="16" t="s">
        <v>27</v>
      </c>
      <c r="C118" s="17">
        <v>0.25694444444444448</v>
      </c>
      <c r="D118" s="16" t="s">
        <v>34</v>
      </c>
      <c r="E118" s="16" t="s">
        <v>183</v>
      </c>
      <c r="F118" s="16" t="s">
        <v>56</v>
      </c>
      <c r="G118" s="180"/>
      <c r="H118" s="11"/>
      <c r="I118" s="12"/>
      <c r="J118" s="12"/>
      <c r="K118" s="12"/>
      <c r="L118" s="12"/>
      <c r="M118" s="12"/>
      <c r="N118" s="12"/>
      <c r="O118" s="13"/>
      <c r="P118" s="12"/>
      <c r="Q118" s="14"/>
      <c r="R118" s="15"/>
    </row>
    <row r="119" spans="1:18" ht="15" customHeight="1" x14ac:dyDescent="0.3">
      <c r="A119" s="20" t="s">
        <v>92</v>
      </c>
      <c r="B119" s="20" t="s">
        <v>93</v>
      </c>
      <c r="C119" s="21">
        <v>0.71527777777777779</v>
      </c>
      <c r="D119" s="20" t="s">
        <v>79</v>
      </c>
      <c r="E119" s="20" t="s">
        <v>80</v>
      </c>
      <c r="F119" s="20" t="s">
        <v>184</v>
      </c>
      <c r="G119" s="180"/>
      <c r="H119" s="11"/>
      <c r="I119" s="12"/>
      <c r="J119" s="12"/>
      <c r="K119" s="12"/>
      <c r="L119" s="12"/>
      <c r="M119" s="12"/>
      <c r="N119" s="12"/>
      <c r="O119" s="13"/>
      <c r="P119" s="12"/>
      <c r="Q119" s="14"/>
      <c r="R119" s="15"/>
    </row>
    <row r="120" spans="1:18" ht="15" customHeight="1" x14ac:dyDescent="0.3">
      <c r="A120" s="18" t="s">
        <v>92</v>
      </c>
      <c r="B120" s="18" t="s">
        <v>185</v>
      </c>
      <c r="C120" s="19">
        <v>0.41666666666666669</v>
      </c>
      <c r="D120" s="18" t="s">
        <v>79</v>
      </c>
      <c r="E120" s="18" t="s">
        <v>186</v>
      </c>
      <c r="F120" s="18" t="s">
        <v>184</v>
      </c>
      <c r="G120" s="180"/>
      <c r="H120" s="11"/>
      <c r="I120" s="12"/>
      <c r="J120" s="12"/>
      <c r="K120" s="12"/>
      <c r="L120" s="12"/>
      <c r="M120" s="12"/>
      <c r="N120" s="12"/>
      <c r="O120" s="13"/>
      <c r="P120" s="12"/>
      <c r="Q120" s="14"/>
      <c r="R120" s="15"/>
    </row>
    <row r="121" spans="1:18" ht="15" customHeight="1" x14ac:dyDescent="0.3">
      <c r="A121" s="93" t="s">
        <v>95</v>
      </c>
      <c r="B121" s="93" t="s">
        <v>96</v>
      </c>
      <c r="C121" s="94">
        <v>0.1145833333333333</v>
      </c>
      <c r="D121" s="93" t="s">
        <v>97</v>
      </c>
      <c r="E121" s="93" t="s">
        <v>187</v>
      </c>
      <c r="F121" s="93" t="s">
        <v>188</v>
      </c>
      <c r="G121" s="180"/>
      <c r="H121" s="95" t="s">
        <v>100</v>
      </c>
      <c r="I121" s="96">
        <v>0.50839999999999996</v>
      </c>
      <c r="J121" s="97">
        <v>91</v>
      </c>
      <c r="K121" s="98">
        <v>45980</v>
      </c>
      <c r="L121" s="97">
        <v>24</v>
      </c>
      <c r="M121" s="97">
        <v>1</v>
      </c>
      <c r="N121" s="97">
        <v>7</v>
      </c>
      <c r="O121" s="99" t="s">
        <v>189</v>
      </c>
      <c r="P121" s="100">
        <v>0.1145833333333333</v>
      </c>
      <c r="Q121" s="97">
        <v>179</v>
      </c>
      <c r="R121" s="101" t="s">
        <v>190</v>
      </c>
    </row>
    <row r="122" spans="1:18" ht="15" customHeight="1" x14ac:dyDescent="0.3">
      <c r="A122" s="31" t="s">
        <v>95</v>
      </c>
      <c r="B122" s="31" t="s">
        <v>110</v>
      </c>
      <c r="C122" s="32">
        <v>0.73611111111111116</v>
      </c>
      <c r="D122" s="31" t="s">
        <v>97</v>
      </c>
      <c r="E122" s="31" t="s">
        <v>48</v>
      </c>
      <c r="F122" s="31" t="s">
        <v>188</v>
      </c>
      <c r="G122" s="180"/>
      <c r="H122" s="33" t="s">
        <v>111</v>
      </c>
      <c r="I122" s="102">
        <v>0.5363</v>
      </c>
      <c r="J122" s="35">
        <v>96</v>
      </c>
      <c r="K122" s="36">
        <v>45979</v>
      </c>
      <c r="L122" s="35">
        <v>15</v>
      </c>
      <c r="M122" s="35">
        <v>0</v>
      </c>
      <c r="N122" s="35">
        <v>3</v>
      </c>
      <c r="O122" s="37" t="s">
        <v>191</v>
      </c>
      <c r="P122" s="38">
        <v>0.73611111111111116</v>
      </c>
      <c r="Q122" s="35">
        <v>179</v>
      </c>
      <c r="R122" s="39" t="s">
        <v>192</v>
      </c>
    </row>
    <row r="123" spans="1:18" ht="15" customHeight="1" x14ac:dyDescent="0.3">
      <c r="A123" s="60" t="s">
        <v>95</v>
      </c>
      <c r="B123" s="60" t="s">
        <v>118</v>
      </c>
      <c r="C123" s="61">
        <v>0.45833333333333331</v>
      </c>
      <c r="D123" s="60" t="s">
        <v>97</v>
      </c>
      <c r="E123" s="60" t="s">
        <v>37</v>
      </c>
      <c r="F123" s="60" t="s">
        <v>188</v>
      </c>
      <c r="G123" s="180"/>
      <c r="H123" s="62" t="s">
        <v>120</v>
      </c>
      <c r="I123" s="103">
        <v>0.54190000000000005</v>
      </c>
      <c r="J123" s="64">
        <v>97</v>
      </c>
      <c r="K123" s="65">
        <v>45976</v>
      </c>
      <c r="L123" s="64">
        <v>7</v>
      </c>
      <c r="M123" s="64">
        <v>0</v>
      </c>
      <c r="N123" s="64">
        <v>0</v>
      </c>
      <c r="O123" s="66" t="s">
        <v>193</v>
      </c>
      <c r="P123" s="67">
        <v>0.45833333333333331</v>
      </c>
      <c r="Q123" s="64">
        <v>179</v>
      </c>
      <c r="R123" s="68" t="s">
        <v>194</v>
      </c>
    </row>
    <row r="124" spans="1:18" ht="15" customHeight="1" x14ac:dyDescent="0.3">
      <c r="A124" s="69" t="s">
        <v>95</v>
      </c>
      <c r="B124" s="69" t="s">
        <v>123</v>
      </c>
      <c r="C124" s="70">
        <v>0.61458333333333337</v>
      </c>
      <c r="D124" s="69" t="s">
        <v>97</v>
      </c>
      <c r="E124" s="69" t="s">
        <v>73</v>
      </c>
      <c r="F124" s="69" t="s">
        <v>188</v>
      </c>
      <c r="G124" s="180"/>
      <c r="H124" s="71" t="s">
        <v>125</v>
      </c>
      <c r="I124" s="104">
        <v>0.53069999999999995</v>
      </c>
      <c r="J124" s="73">
        <v>95</v>
      </c>
      <c r="K124" s="74">
        <v>45979</v>
      </c>
      <c r="L124" s="73">
        <v>19</v>
      </c>
      <c r="M124" s="73">
        <v>0</v>
      </c>
      <c r="N124" s="73">
        <v>1</v>
      </c>
      <c r="O124" s="75" t="s">
        <v>195</v>
      </c>
      <c r="P124" s="76">
        <v>0.61458333333333337</v>
      </c>
      <c r="Q124" s="73">
        <v>179</v>
      </c>
      <c r="R124" s="77" t="s">
        <v>196</v>
      </c>
    </row>
    <row r="125" spans="1:18" ht="15" customHeight="1" x14ac:dyDescent="0.3">
      <c r="A125" s="49" t="s">
        <v>95</v>
      </c>
      <c r="B125" s="49" t="s">
        <v>114</v>
      </c>
      <c r="C125" s="50">
        <v>0.31944444444444448</v>
      </c>
      <c r="D125" s="49" t="s">
        <v>97</v>
      </c>
      <c r="E125" s="49" t="s">
        <v>37</v>
      </c>
      <c r="F125" s="49" t="s">
        <v>119</v>
      </c>
      <c r="G125" s="180"/>
      <c r="H125" s="51" t="s">
        <v>115</v>
      </c>
      <c r="I125" s="105">
        <v>0.5978</v>
      </c>
      <c r="J125" s="53">
        <v>107</v>
      </c>
      <c r="K125" s="54">
        <v>45978</v>
      </c>
      <c r="L125" s="53">
        <v>21</v>
      </c>
      <c r="M125" s="53">
        <v>0</v>
      </c>
      <c r="N125" s="53">
        <v>0</v>
      </c>
      <c r="O125" s="55" t="s">
        <v>121</v>
      </c>
      <c r="P125" s="56">
        <v>0.31944444444444448</v>
      </c>
      <c r="Q125" s="53">
        <v>179</v>
      </c>
      <c r="R125" s="57" t="s">
        <v>197</v>
      </c>
    </row>
    <row r="126" spans="1:18" ht="15" customHeight="1" x14ac:dyDescent="0.3">
      <c r="A126" s="31" t="s">
        <v>95</v>
      </c>
      <c r="B126" s="31" t="s">
        <v>198</v>
      </c>
      <c r="C126" s="32">
        <v>0.9375</v>
      </c>
      <c r="D126" s="31" t="s">
        <v>199</v>
      </c>
      <c r="E126" s="106"/>
      <c r="F126" s="31" t="s">
        <v>200</v>
      </c>
      <c r="G126" s="180"/>
      <c r="H126" s="33" t="s">
        <v>198</v>
      </c>
      <c r="I126" s="107">
        <v>1.0172000000000001</v>
      </c>
      <c r="J126" s="35">
        <v>177</v>
      </c>
      <c r="K126" s="36">
        <v>45979</v>
      </c>
      <c r="L126" s="35">
        <v>7</v>
      </c>
      <c r="M126" s="35">
        <v>0</v>
      </c>
      <c r="N126" s="35">
        <v>1</v>
      </c>
      <c r="O126" s="37" t="s">
        <v>201</v>
      </c>
      <c r="P126" s="38">
        <v>0.9375</v>
      </c>
      <c r="Q126" s="35">
        <v>174</v>
      </c>
      <c r="R126" s="39" t="s">
        <v>202</v>
      </c>
    </row>
    <row r="127" spans="1:18" ht="15" customHeight="1" x14ac:dyDescent="0.3">
      <c r="A127" s="20" t="s">
        <v>152</v>
      </c>
      <c r="B127" s="20" t="s">
        <v>159</v>
      </c>
      <c r="C127" s="21">
        <v>0.22916666666666671</v>
      </c>
      <c r="D127" s="20" t="s">
        <v>154</v>
      </c>
      <c r="E127" s="20" t="s">
        <v>94</v>
      </c>
      <c r="F127" s="20" t="s">
        <v>203</v>
      </c>
      <c r="G127" s="180"/>
      <c r="H127" s="11"/>
      <c r="I127" s="12"/>
      <c r="J127" s="12"/>
      <c r="K127" s="12"/>
      <c r="L127" s="12"/>
      <c r="M127" s="12"/>
      <c r="N127" s="12"/>
      <c r="O127" s="13"/>
      <c r="P127" s="12"/>
      <c r="Q127" s="14"/>
      <c r="R127" s="15"/>
    </row>
    <row r="128" spans="1:18" ht="15" customHeight="1" x14ac:dyDescent="0.3">
      <c r="A128" s="18" t="s">
        <v>152</v>
      </c>
      <c r="B128" s="18" t="s">
        <v>164</v>
      </c>
      <c r="C128" s="19">
        <v>0.96527777777777779</v>
      </c>
      <c r="D128" s="18" t="s">
        <v>154</v>
      </c>
      <c r="E128" s="18" t="s">
        <v>136</v>
      </c>
      <c r="F128" s="18" t="s">
        <v>157</v>
      </c>
      <c r="G128" s="180"/>
      <c r="H128" s="11"/>
      <c r="I128" s="12"/>
      <c r="J128" s="12"/>
      <c r="K128" s="12"/>
      <c r="L128" s="12"/>
      <c r="M128" s="12"/>
      <c r="N128" s="12"/>
      <c r="O128" s="13"/>
      <c r="P128" s="12"/>
      <c r="Q128" s="14"/>
      <c r="R128" s="15"/>
    </row>
    <row r="129" spans="1:18" ht="15" customHeight="1" x14ac:dyDescent="0.3">
      <c r="A129" s="18" t="s">
        <v>152</v>
      </c>
      <c r="B129" s="18" t="s">
        <v>153</v>
      </c>
      <c r="C129" s="19">
        <v>1.388888888888889E-2</v>
      </c>
      <c r="D129" s="18" t="s">
        <v>154</v>
      </c>
      <c r="E129" s="18" t="s">
        <v>136</v>
      </c>
      <c r="F129" s="18" t="s">
        <v>160</v>
      </c>
      <c r="G129" s="180"/>
      <c r="H129" s="11"/>
      <c r="I129" s="12"/>
      <c r="J129" s="12"/>
      <c r="K129" s="12"/>
      <c r="L129" s="12"/>
      <c r="M129" s="12"/>
      <c r="N129" s="12"/>
      <c r="O129" s="13"/>
      <c r="P129" s="12"/>
      <c r="Q129" s="14"/>
      <c r="R129" s="15"/>
    </row>
    <row r="130" spans="1:18" ht="15" customHeight="1" x14ac:dyDescent="0.3">
      <c r="A130" s="18" t="s">
        <v>152</v>
      </c>
      <c r="B130" s="18" t="s">
        <v>161</v>
      </c>
      <c r="C130" s="19">
        <v>0.14583333333333329</v>
      </c>
      <c r="D130" s="18" t="s">
        <v>154</v>
      </c>
      <c r="E130" s="18" t="s">
        <v>136</v>
      </c>
      <c r="F130" s="18" t="s">
        <v>138</v>
      </c>
      <c r="G130" s="180"/>
      <c r="H130" s="11"/>
      <c r="I130" s="12"/>
      <c r="J130" s="12"/>
      <c r="K130" s="12"/>
      <c r="L130" s="12"/>
      <c r="M130" s="12"/>
      <c r="N130" s="12"/>
      <c r="O130" s="13"/>
      <c r="P130" s="12"/>
      <c r="Q130" s="14"/>
      <c r="R130" s="15"/>
    </row>
    <row r="131" spans="1:18" ht="15" customHeight="1" x14ac:dyDescent="0.3">
      <c r="A131" s="18" t="s">
        <v>152</v>
      </c>
      <c r="B131" s="18" t="s">
        <v>163</v>
      </c>
      <c r="C131" s="19">
        <v>0.27777777777777779</v>
      </c>
      <c r="D131" s="18" t="s">
        <v>154</v>
      </c>
      <c r="E131" s="18" t="s">
        <v>136</v>
      </c>
      <c r="F131" s="18" t="s">
        <v>138</v>
      </c>
      <c r="G131" s="180"/>
      <c r="H131" s="11"/>
      <c r="I131" s="12"/>
      <c r="J131" s="12"/>
      <c r="K131" s="12"/>
      <c r="L131" s="12"/>
      <c r="M131" s="12"/>
      <c r="N131" s="12"/>
      <c r="O131" s="13"/>
      <c r="P131" s="12"/>
      <c r="Q131" s="14"/>
      <c r="R131" s="15"/>
    </row>
    <row r="132" spans="1:18" ht="15" customHeight="1" x14ac:dyDescent="0.3">
      <c r="A132" s="18" t="s">
        <v>152</v>
      </c>
      <c r="B132" s="18" t="s">
        <v>165</v>
      </c>
      <c r="C132" s="19">
        <v>0.79166666666666663</v>
      </c>
      <c r="D132" s="18" t="s">
        <v>154</v>
      </c>
      <c r="E132" s="18" t="s">
        <v>136</v>
      </c>
      <c r="F132" s="18" t="s">
        <v>138</v>
      </c>
      <c r="G132" s="180"/>
      <c r="H132" s="11"/>
      <c r="I132" s="12"/>
      <c r="J132" s="12"/>
      <c r="K132" s="12"/>
      <c r="L132" s="12"/>
      <c r="M132" s="12"/>
      <c r="N132" s="12"/>
      <c r="O132" s="13"/>
      <c r="P132" s="12"/>
      <c r="Q132" s="14"/>
      <c r="R132" s="15"/>
    </row>
    <row r="133" spans="1:18" ht="15" customHeight="1" x14ac:dyDescent="0.3">
      <c r="A133" s="18" t="s">
        <v>152</v>
      </c>
      <c r="B133" s="18" t="s">
        <v>156</v>
      </c>
      <c r="C133" s="19">
        <v>0.50694444444444442</v>
      </c>
      <c r="D133" s="18" t="s">
        <v>154</v>
      </c>
      <c r="E133" s="18" t="s">
        <v>136</v>
      </c>
      <c r="F133" s="18" t="s">
        <v>162</v>
      </c>
      <c r="G133" s="180"/>
      <c r="H133" s="11"/>
      <c r="I133" s="12"/>
      <c r="J133" s="12"/>
      <c r="K133" s="12"/>
      <c r="L133" s="12"/>
      <c r="M133" s="12"/>
      <c r="N133" s="12"/>
      <c r="O133" s="13"/>
      <c r="P133" s="12"/>
      <c r="Q133" s="14"/>
      <c r="R133" s="15"/>
    </row>
    <row r="134" spans="1:18" ht="15" customHeight="1" x14ac:dyDescent="0.3">
      <c r="A134" s="20" t="s">
        <v>128</v>
      </c>
      <c r="B134" s="20" t="s">
        <v>204</v>
      </c>
      <c r="C134" s="21">
        <v>0.71875</v>
      </c>
      <c r="D134" s="20" t="s">
        <v>130</v>
      </c>
      <c r="E134" s="20" t="s">
        <v>94</v>
      </c>
      <c r="F134" s="20" t="s">
        <v>138</v>
      </c>
      <c r="G134" s="180"/>
      <c r="H134" s="11"/>
      <c r="I134" s="12"/>
      <c r="J134" s="12"/>
      <c r="K134" s="12"/>
      <c r="L134" s="12"/>
      <c r="M134" s="12"/>
      <c r="N134" s="12"/>
      <c r="O134" s="13"/>
      <c r="P134" s="12"/>
      <c r="Q134" s="14"/>
      <c r="R134" s="15"/>
    </row>
    <row r="135" spans="1:18" ht="15" customHeight="1" x14ac:dyDescent="0.3">
      <c r="A135" s="16" t="s">
        <v>128</v>
      </c>
      <c r="B135" s="16" t="s">
        <v>204</v>
      </c>
      <c r="C135" s="17">
        <v>0.71875</v>
      </c>
      <c r="D135" s="16" t="s">
        <v>132</v>
      </c>
      <c r="E135" s="16" t="s">
        <v>133</v>
      </c>
      <c r="F135" s="16" t="s">
        <v>139</v>
      </c>
      <c r="G135" s="180"/>
      <c r="H135" s="11"/>
      <c r="I135" s="12"/>
      <c r="J135" s="12"/>
      <c r="K135" s="12"/>
      <c r="L135" s="12"/>
      <c r="M135" s="12"/>
      <c r="N135" s="12"/>
      <c r="O135" s="13"/>
      <c r="P135" s="12"/>
      <c r="Q135" s="14"/>
      <c r="R135" s="15"/>
    </row>
    <row r="136" spans="1:18" ht="15" customHeight="1" x14ac:dyDescent="0.3">
      <c r="A136" s="18" t="s">
        <v>128</v>
      </c>
      <c r="B136" s="18" t="s">
        <v>129</v>
      </c>
      <c r="C136" s="19">
        <v>0.23958333333333329</v>
      </c>
      <c r="D136" s="18" t="s">
        <v>130</v>
      </c>
      <c r="E136" s="18" t="s">
        <v>136</v>
      </c>
      <c r="F136" s="18" t="s">
        <v>138</v>
      </c>
      <c r="G136" s="180"/>
      <c r="H136" s="11"/>
      <c r="I136" s="12"/>
      <c r="J136" s="12"/>
      <c r="K136" s="12"/>
      <c r="L136" s="12"/>
      <c r="M136" s="12"/>
      <c r="N136" s="12"/>
      <c r="O136" s="13"/>
      <c r="P136" s="12"/>
      <c r="Q136" s="14"/>
      <c r="R136" s="15"/>
    </row>
    <row r="137" spans="1:18" ht="15" customHeight="1" x14ac:dyDescent="0.3">
      <c r="A137" s="16" t="s">
        <v>128</v>
      </c>
      <c r="B137" s="16" t="s">
        <v>129</v>
      </c>
      <c r="C137" s="17">
        <v>0.23958333333333329</v>
      </c>
      <c r="D137" s="16" t="s">
        <v>132</v>
      </c>
      <c r="E137" s="16" t="s">
        <v>133</v>
      </c>
      <c r="F137" s="16" t="s">
        <v>139</v>
      </c>
      <c r="G137" s="180"/>
      <c r="H137" s="11"/>
      <c r="I137" s="12"/>
      <c r="J137" s="12"/>
      <c r="K137" s="12"/>
      <c r="L137" s="12"/>
      <c r="M137" s="12"/>
      <c r="N137" s="12"/>
      <c r="O137" s="13"/>
      <c r="P137" s="12"/>
      <c r="Q137" s="14"/>
      <c r="R137" s="15"/>
    </row>
    <row r="138" spans="1:18" ht="15" customHeight="1" x14ac:dyDescent="0.3">
      <c r="A138" s="18" t="s">
        <v>128</v>
      </c>
      <c r="B138" s="18" t="s">
        <v>135</v>
      </c>
      <c r="C138" s="19">
        <v>0.1423611111111111</v>
      </c>
      <c r="D138" s="18" t="s">
        <v>130</v>
      </c>
      <c r="E138" s="18" t="s">
        <v>136</v>
      </c>
      <c r="F138" s="18" t="s">
        <v>138</v>
      </c>
      <c r="G138" s="180"/>
      <c r="H138" s="11"/>
      <c r="I138" s="12"/>
      <c r="J138" s="12"/>
      <c r="K138" s="12"/>
      <c r="L138" s="12"/>
      <c r="M138" s="12"/>
      <c r="N138" s="12"/>
      <c r="O138" s="13"/>
      <c r="P138" s="12"/>
      <c r="Q138" s="14"/>
      <c r="R138" s="15"/>
    </row>
    <row r="139" spans="1:18" ht="15" customHeight="1" x14ac:dyDescent="0.3">
      <c r="A139" s="16" t="s">
        <v>128</v>
      </c>
      <c r="B139" s="16" t="s">
        <v>135</v>
      </c>
      <c r="C139" s="17">
        <v>0.1423611111111111</v>
      </c>
      <c r="D139" s="16" t="s">
        <v>132</v>
      </c>
      <c r="E139" s="16" t="s">
        <v>133</v>
      </c>
      <c r="F139" s="16" t="s">
        <v>139</v>
      </c>
      <c r="G139" s="180"/>
      <c r="H139" s="11"/>
      <c r="I139" s="12"/>
      <c r="J139" s="12"/>
      <c r="K139" s="12"/>
      <c r="L139" s="12"/>
      <c r="M139" s="12"/>
      <c r="N139" s="12"/>
      <c r="O139" s="13"/>
      <c r="P139" s="12"/>
      <c r="Q139" s="14"/>
      <c r="R139" s="15"/>
    </row>
    <row r="140" spans="1:18" ht="15" customHeight="1" x14ac:dyDescent="0.3">
      <c r="A140" s="18" t="s">
        <v>128</v>
      </c>
      <c r="B140" s="18" t="s">
        <v>143</v>
      </c>
      <c r="C140" s="19">
        <v>0.93055555555555547</v>
      </c>
      <c r="D140" s="18" t="s">
        <v>130</v>
      </c>
      <c r="E140" s="18" t="s">
        <v>136</v>
      </c>
      <c r="F140" s="18" t="s">
        <v>138</v>
      </c>
      <c r="G140" s="180"/>
      <c r="H140" s="11"/>
      <c r="I140" s="12"/>
      <c r="J140" s="12"/>
      <c r="K140" s="12"/>
      <c r="L140" s="12"/>
      <c r="M140" s="12"/>
      <c r="N140" s="12"/>
      <c r="O140" s="13"/>
      <c r="P140" s="12"/>
      <c r="Q140" s="14"/>
      <c r="R140" s="15"/>
    </row>
    <row r="141" spans="1:18" ht="15" customHeight="1" x14ac:dyDescent="0.3">
      <c r="A141" s="16" t="s">
        <v>128</v>
      </c>
      <c r="B141" s="16" t="s">
        <v>143</v>
      </c>
      <c r="C141" s="17">
        <v>0.93055555555555547</v>
      </c>
      <c r="D141" s="16" t="s">
        <v>132</v>
      </c>
      <c r="E141" s="16" t="s">
        <v>133</v>
      </c>
      <c r="F141" s="16" t="s">
        <v>139</v>
      </c>
      <c r="G141" s="180"/>
      <c r="H141" s="11"/>
      <c r="I141" s="12"/>
      <c r="J141" s="12"/>
      <c r="K141" s="12"/>
      <c r="L141" s="12"/>
      <c r="M141" s="12"/>
      <c r="N141" s="12"/>
      <c r="O141" s="13"/>
      <c r="P141" s="12"/>
      <c r="Q141" s="14"/>
      <c r="R141" s="15"/>
    </row>
    <row r="142" spans="1:18" ht="15" customHeight="1" x14ac:dyDescent="0.3">
      <c r="A142" s="18" t="s">
        <v>128</v>
      </c>
      <c r="B142" s="18" t="s">
        <v>149</v>
      </c>
      <c r="C142" s="19">
        <v>0.82986111111111116</v>
      </c>
      <c r="D142" s="18" t="s">
        <v>130</v>
      </c>
      <c r="E142" s="18" t="s">
        <v>136</v>
      </c>
      <c r="F142" s="18" t="s">
        <v>138</v>
      </c>
      <c r="G142" s="180"/>
      <c r="H142" s="11"/>
      <c r="I142" s="12"/>
      <c r="J142" s="12"/>
      <c r="K142" s="12"/>
      <c r="L142" s="12"/>
      <c r="M142" s="12"/>
      <c r="N142" s="12"/>
      <c r="O142" s="13"/>
      <c r="P142" s="12"/>
      <c r="Q142" s="14"/>
      <c r="R142" s="15"/>
    </row>
    <row r="143" spans="1:18" ht="15" customHeight="1" x14ac:dyDescent="0.3">
      <c r="A143" s="16" t="s">
        <v>128</v>
      </c>
      <c r="B143" s="16" t="s">
        <v>149</v>
      </c>
      <c r="C143" s="17">
        <v>0.82986111111111116</v>
      </c>
      <c r="D143" s="16" t="s">
        <v>132</v>
      </c>
      <c r="E143" s="16" t="s">
        <v>133</v>
      </c>
      <c r="F143" s="16" t="s">
        <v>139</v>
      </c>
      <c r="G143" s="180"/>
      <c r="H143" s="11"/>
      <c r="I143" s="12"/>
      <c r="J143" s="12"/>
      <c r="K143" s="12"/>
      <c r="L143" s="12"/>
      <c r="M143" s="12"/>
      <c r="N143" s="12"/>
      <c r="O143" s="13"/>
      <c r="P143" s="12"/>
      <c r="Q143" s="14"/>
      <c r="R143" s="15"/>
    </row>
    <row r="144" spans="1:18" ht="15" customHeight="1" x14ac:dyDescent="0.3">
      <c r="A144" s="18" t="s">
        <v>128</v>
      </c>
      <c r="B144" s="18" t="s">
        <v>144</v>
      </c>
      <c r="C144" s="19">
        <v>0.88888888888888884</v>
      </c>
      <c r="D144" s="18" t="s">
        <v>132</v>
      </c>
      <c r="E144" s="18" t="s">
        <v>83</v>
      </c>
      <c r="F144" s="18" t="s">
        <v>205</v>
      </c>
      <c r="G144" s="180"/>
      <c r="H144" s="11"/>
      <c r="I144" s="12"/>
      <c r="J144" s="12"/>
      <c r="K144" s="12"/>
      <c r="L144" s="12"/>
      <c r="M144" s="12"/>
      <c r="N144" s="12"/>
      <c r="O144" s="13"/>
      <c r="P144" s="12"/>
      <c r="Q144" s="14"/>
      <c r="R144" s="15"/>
    </row>
    <row r="145" spans="1:18" ht="15" customHeight="1" x14ac:dyDescent="0.3">
      <c r="A145" s="18" t="s">
        <v>128</v>
      </c>
      <c r="B145" s="18" t="s">
        <v>146</v>
      </c>
      <c r="C145" s="19">
        <v>0.30208333333333331</v>
      </c>
      <c r="D145" s="18" t="s">
        <v>132</v>
      </c>
      <c r="E145" s="18" t="s">
        <v>83</v>
      </c>
      <c r="F145" s="18" t="s">
        <v>205</v>
      </c>
      <c r="G145" s="180"/>
      <c r="H145" s="11"/>
      <c r="I145" s="12"/>
      <c r="J145" s="12"/>
      <c r="K145" s="12"/>
      <c r="L145" s="12"/>
      <c r="M145" s="12"/>
      <c r="N145" s="12"/>
      <c r="O145" s="13"/>
      <c r="P145" s="12"/>
      <c r="Q145" s="14"/>
      <c r="R145" s="15"/>
    </row>
    <row r="146" spans="1:18" ht="15" customHeight="1" x14ac:dyDescent="0.3">
      <c r="A146" s="18" t="s">
        <v>128</v>
      </c>
      <c r="B146" s="18" t="s">
        <v>147</v>
      </c>
      <c r="C146" s="19">
        <v>0.12847222222222221</v>
      </c>
      <c r="D146" s="18" t="s">
        <v>132</v>
      </c>
      <c r="E146" s="18" t="s">
        <v>83</v>
      </c>
      <c r="F146" s="18" t="s">
        <v>205</v>
      </c>
      <c r="G146" s="180"/>
      <c r="H146" s="11"/>
      <c r="I146" s="12"/>
      <c r="J146" s="12"/>
      <c r="K146" s="12"/>
      <c r="L146" s="12"/>
      <c r="M146" s="12"/>
      <c r="N146" s="12"/>
      <c r="O146" s="13"/>
      <c r="P146" s="12"/>
      <c r="Q146" s="14"/>
      <c r="R146" s="15"/>
    </row>
    <row r="147" spans="1:18" ht="15" customHeight="1" x14ac:dyDescent="0.3">
      <c r="A147" s="18" t="s">
        <v>128</v>
      </c>
      <c r="B147" s="18" t="s">
        <v>148</v>
      </c>
      <c r="C147" s="19">
        <v>0.78819444444444453</v>
      </c>
      <c r="D147" s="18" t="s">
        <v>132</v>
      </c>
      <c r="E147" s="18" t="s">
        <v>83</v>
      </c>
      <c r="F147" s="18" t="s">
        <v>205</v>
      </c>
      <c r="G147" s="180"/>
      <c r="H147" s="11"/>
      <c r="I147" s="12"/>
      <c r="J147" s="12"/>
      <c r="K147" s="12"/>
      <c r="L147" s="12"/>
      <c r="M147" s="12"/>
      <c r="N147" s="12"/>
      <c r="O147" s="13"/>
      <c r="P147" s="12"/>
      <c r="Q147" s="14"/>
      <c r="R147" s="15"/>
    </row>
    <row r="148" spans="1:18" ht="15" customHeight="1" x14ac:dyDescent="0.3">
      <c r="A148" s="18" t="s">
        <v>128</v>
      </c>
      <c r="B148" s="18" t="s">
        <v>140</v>
      </c>
      <c r="C148" s="19">
        <v>0.37847222222222232</v>
      </c>
      <c r="D148" s="18" t="s">
        <v>130</v>
      </c>
      <c r="E148" s="18" t="s">
        <v>136</v>
      </c>
      <c r="F148" s="18" t="s">
        <v>141</v>
      </c>
      <c r="G148" s="180"/>
      <c r="H148" s="11"/>
      <c r="I148" s="12"/>
      <c r="J148" s="12"/>
      <c r="K148" s="12"/>
      <c r="L148" s="12"/>
      <c r="M148" s="12"/>
      <c r="N148" s="12"/>
      <c r="O148" s="13"/>
      <c r="P148" s="12"/>
      <c r="Q148" s="14"/>
      <c r="R148" s="15"/>
    </row>
    <row r="149" spans="1:18" ht="15" customHeight="1" x14ac:dyDescent="0.3">
      <c r="A149" s="16" t="s">
        <v>128</v>
      </c>
      <c r="B149" s="16" t="s">
        <v>140</v>
      </c>
      <c r="C149" s="17">
        <v>0.37847222222222232</v>
      </c>
      <c r="D149" s="16" t="s">
        <v>132</v>
      </c>
      <c r="E149" s="16" t="s">
        <v>133</v>
      </c>
      <c r="F149" s="16" t="s">
        <v>142</v>
      </c>
      <c r="G149" s="180"/>
      <c r="H149" s="11"/>
      <c r="I149" s="12"/>
      <c r="J149" s="12"/>
      <c r="K149" s="12"/>
      <c r="L149" s="12"/>
      <c r="M149" s="12"/>
      <c r="N149" s="12"/>
      <c r="O149" s="13"/>
      <c r="P149" s="12"/>
      <c r="Q149" s="14"/>
      <c r="R149" s="15"/>
    </row>
    <row r="150" spans="1:18" ht="15" customHeight="1" x14ac:dyDescent="0.3">
      <c r="A150" s="18" t="s">
        <v>128</v>
      </c>
      <c r="B150" s="18" t="s">
        <v>206</v>
      </c>
      <c r="C150" s="19">
        <v>0.61111111111111105</v>
      </c>
      <c r="D150" s="18" t="s">
        <v>130</v>
      </c>
      <c r="E150" s="18" t="s">
        <v>136</v>
      </c>
      <c r="F150" s="18" t="s">
        <v>141</v>
      </c>
      <c r="G150" s="180"/>
      <c r="H150" s="11"/>
      <c r="I150" s="12"/>
      <c r="J150" s="12"/>
      <c r="K150" s="12"/>
      <c r="L150" s="12"/>
      <c r="M150" s="12"/>
      <c r="N150" s="12"/>
      <c r="O150" s="13"/>
      <c r="P150" s="12"/>
      <c r="Q150" s="14"/>
      <c r="R150" s="15"/>
    </row>
    <row r="151" spans="1:18" ht="15" customHeight="1" x14ac:dyDescent="0.3">
      <c r="A151" s="16" t="s">
        <v>128</v>
      </c>
      <c r="B151" s="16" t="s">
        <v>206</v>
      </c>
      <c r="C151" s="17">
        <v>0.61111111111111105</v>
      </c>
      <c r="D151" s="16" t="s">
        <v>132</v>
      </c>
      <c r="E151" s="16" t="s">
        <v>133</v>
      </c>
      <c r="F151" s="16" t="s">
        <v>142</v>
      </c>
      <c r="G151" s="180"/>
      <c r="H151" s="11"/>
      <c r="I151" s="12"/>
      <c r="J151" s="12"/>
      <c r="K151" s="12"/>
      <c r="L151" s="12"/>
      <c r="M151" s="12"/>
      <c r="N151" s="12"/>
      <c r="O151" s="13"/>
      <c r="P151" s="12"/>
      <c r="Q151" s="14"/>
      <c r="R151" s="15"/>
    </row>
    <row r="152" spans="1:18" ht="15" customHeight="1" x14ac:dyDescent="0.3">
      <c r="A152" s="18" t="s">
        <v>128</v>
      </c>
      <c r="B152" s="18" t="s">
        <v>137</v>
      </c>
      <c r="C152" s="19">
        <v>6.9444444444444441E-3</v>
      </c>
      <c r="D152" s="18" t="s">
        <v>130</v>
      </c>
      <c r="E152" s="18" t="s">
        <v>136</v>
      </c>
      <c r="F152" s="18" t="s">
        <v>141</v>
      </c>
      <c r="G152" s="180"/>
      <c r="H152" s="11"/>
      <c r="I152" s="12"/>
      <c r="J152" s="12"/>
      <c r="K152" s="12"/>
      <c r="L152" s="12"/>
      <c r="M152" s="12"/>
      <c r="N152" s="12"/>
      <c r="O152" s="13"/>
      <c r="P152" s="12"/>
      <c r="Q152" s="14"/>
      <c r="R152" s="15"/>
    </row>
    <row r="153" spans="1:18" ht="15" customHeight="1" thickBot="1" x14ac:dyDescent="0.35">
      <c r="A153" s="108" t="s">
        <v>128</v>
      </c>
      <c r="B153" s="108" t="s">
        <v>137</v>
      </c>
      <c r="C153" s="109">
        <v>6.9444444444444441E-3</v>
      </c>
      <c r="D153" s="108" t="s">
        <v>132</v>
      </c>
      <c r="E153" s="108" t="s">
        <v>133</v>
      </c>
      <c r="F153" s="108" t="s">
        <v>142</v>
      </c>
      <c r="G153" s="181"/>
      <c r="H153" s="80"/>
      <c r="I153" s="81"/>
      <c r="J153" s="81"/>
      <c r="K153" s="81"/>
      <c r="L153" s="81"/>
      <c r="M153" s="81"/>
      <c r="N153" s="81"/>
      <c r="O153" s="82"/>
      <c r="P153" s="81"/>
      <c r="Q153" s="83"/>
      <c r="R153" s="84"/>
    </row>
    <row r="154" spans="1:18" ht="17.399999999999999" customHeight="1" thickBot="1" x14ac:dyDescent="0.35">
      <c r="A154" s="200"/>
      <c r="B154" s="201"/>
      <c r="C154" s="201"/>
      <c r="D154" s="201"/>
      <c r="E154" s="201"/>
      <c r="F154" s="201"/>
      <c r="G154" s="201"/>
      <c r="H154" s="201"/>
      <c r="I154" s="201"/>
      <c r="J154" s="201"/>
      <c r="K154" s="201"/>
      <c r="L154" s="201"/>
      <c r="M154" s="201"/>
      <c r="N154" s="201"/>
      <c r="O154" s="201"/>
      <c r="P154" s="201"/>
      <c r="Q154" s="201"/>
      <c r="R154" s="202"/>
    </row>
    <row r="155" spans="1:18" ht="22.05" customHeight="1" thickTop="1" thickBot="1" x14ac:dyDescent="0.55000000000000004">
      <c r="A155" s="182" t="s">
        <v>6</v>
      </c>
      <c r="B155" s="183"/>
      <c r="C155" s="183"/>
      <c r="D155" s="183"/>
      <c r="E155" s="183"/>
      <c r="F155" s="183"/>
      <c r="G155" s="85">
        <v>45983</v>
      </c>
      <c r="H155" s="203" t="s">
        <v>7</v>
      </c>
      <c r="I155" s="194"/>
      <c r="J155" s="194"/>
      <c r="K155" s="194"/>
      <c r="L155" s="194"/>
      <c r="M155" s="194"/>
      <c r="N155" s="194"/>
      <c r="O155" s="194"/>
      <c r="P155" s="194"/>
      <c r="Q155" s="194"/>
      <c r="R155" s="194"/>
    </row>
    <row r="156" spans="1:18" ht="24" customHeight="1" x14ac:dyDescent="0.3">
      <c r="A156" s="86" t="s">
        <v>8</v>
      </c>
      <c r="B156" s="86" t="s">
        <v>9</v>
      </c>
      <c r="C156" s="87" t="s">
        <v>10</v>
      </c>
      <c r="D156" s="86" t="s">
        <v>11</v>
      </c>
      <c r="E156" s="86" t="s">
        <v>12</v>
      </c>
      <c r="F156" s="88" t="s">
        <v>13</v>
      </c>
      <c r="G156" s="89" t="s">
        <v>14</v>
      </c>
      <c r="H156" s="86" t="s">
        <v>15</v>
      </c>
      <c r="I156" s="90" t="s">
        <v>16</v>
      </c>
      <c r="J156" s="91" t="s">
        <v>17</v>
      </c>
      <c r="K156" s="92" t="s">
        <v>18</v>
      </c>
      <c r="L156" s="91" t="s">
        <v>19</v>
      </c>
      <c r="M156" s="91" t="s">
        <v>20</v>
      </c>
      <c r="N156" s="91" t="s">
        <v>21</v>
      </c>
      <c r="O156" s="86" t="s">
        <v>22</v>
      </c>
      <c r="P156" s="87" t="s">
        <v>23</v>
      </c>
      <c r="Q156" s="91" t="s">
        <v>24</v>
      </c>
      <c r="R156" s="86" t="s">
        <v>25</v>
      </c>
    </row>
    <row r="157" spans="1:18" ht="15" customHeight="1" x14ac:dyDescent="0.3">
      <c r="A157" s="9" t="s">
        <v>57</v>
      </c>
      <c r="B157" s="9" t="s">
        <v>58</v>
      </c>
      <c r="C157" s="10">
        <v>0.30208333333333331</v>
      </c>
      <c r="D157" s="9" t="s">
        <v>59</v>
      </c>
      <c r="E157" s="9" t="s">
        <v>207</v>
      </c>
      <c r="F157" s="9" t="s">
        <v>30</v>
      </c>
      <c r="G157" s="179"/>
      <c r="H157" s="11"/>
      <c r="I157" s="12"/>
      <c r="J157" s="12"/>
      <c r="K157" s="12"/>
      <c r="L157" s="12"/>
      <c r="M157" s="12"/>
      <c r="N157" s="12"/>
      <c r="O157" s="13"/>
      <c r="P157" s="12"/>
      <c r="Q157" s="14"/>
      <c r="R157" s="15"/>
    </row>
    <row r="158" spans="1:18" ht="15" customHeight="1" x14ac:dyDescent="0.3">
      <c r="A158" s="16" t="s">
        <v>57</v>
      </c>
      <c r="B158" s="16" t="s">
        <v>58</v>
      </c>
      <c r="C158" s="17">
        <v>0.30208333333333331</v>
      </c>
      <c r="D158" s="16" t="s">
        <v>61</v>
      </c>
      <c r="E158" s="16" t="s">
        <v>208</v>
      </c>
      <c r="F158" s="16" t="s">
        <v>209</v>
      </c>
      <c r="G158" s="180"/>
      <c r="H158" s="11"/>
      <c r="I158" s="12"/>
      <c r="J158" s="12"/>
      <c r="K158" s="12"/>
      <c r="L158" s="12"/>
      <c r="M158" s="12"/>
      <c r="N158" s="12"/>
      <c r="O158" s="13"/>
      <c r="P158" s="12"/>
      <c r="Q158" s="14"/>
      <c r="R158" s="15"/>
    </row>
    <row r="159" spans="1:18" ht="15" customHeight="1" x14ac:dyDescent="0.3">
      <c r="A159" s="16" t="s">
        <v>57</v>
      </c>
      <c r="B159" s="16" t="s">
        <v>58</v>
      </c>
      <c r="C159" s="17">
        <v>0.30208333333333331</v>
      </c>
      <c r="D159" s="16" t="s">
        <v>64</v>
      </c>
      <c r="E159" s="16" t="s">
        <v>208</v>
      </c>
      <c r="F159" s="16" t="s">
        <v>65</v>
      </c>
      <c r="G159" s="180"/>
      <c r="H159" s="11"/>
      <c r="I159" s="12"/>
      <c r="J159" s="12"/>
      <c r="K159" s="12"/>
      <c r="L159" s="12"/>
      <c r="M159" s="12"/>
      <c r="N159" s="12"/>
      <c r="O159" s="13"/>
      <c r="P159" s="12"/>
      <c r="Q159" s="14"/>
      <c r="R159" s="15"/>
    </row>
    <row r="160" spans="1:18" ht="15" customHeight="1" x14ac:dyDescent="0.3">
      <c r="A160" s="18" t="s">
        <v>57</v>
      </c>
      <c r="B160" s="18" t="s">
        <v>72</v>
      </c>
      <c r="C160" s="19">
        <v>0.12847222222222221</v>
      </c>
      <c r="D160" s="18" t="s">
        <v>59</v>
      </c>
      <c r="E160" s="18" t="s">
        <v>37</v>
      </c>
      <c r="F160" s="18" t="s">
        <v>30</v>
      </c>
      <c r="G160" s="180"/>
      <c r="H160" s="11"/>
      <c r="I160" s="12"/>
      <c r="J160" s="12"/>
      <c r="K160" s="12"/>
      <c r="L160" s="12"/>
      <c r="M160" s="12"/>
      <c r="N160" s="12"/>
      <c r="O160" s="13"/>
      <c r="P160" s="12"/>
      <c r="Q160" s="14"/>
      <c r="R160" s="15"/>
    </row>
    <row r="161" spans="1:18" ht="15" customHeight="1" x14ac:dyDescent="0.3">
      <c r="A161" s="16" t="s">
        <v>57</v>
      </c>
      <c r="B161" s="16" t="s">
        <v>72</v>
      </c>
      <c r="C161" s="17">
        <v>0.12847222222222221</v>
      </c>
      <c r="D161" s="16" t="s">
        <v>61</v>
      </c>
      <c r="E161" s="16" t="s">
        <v>38</v>
      </c>
      <c r="F161" s="16" t="s">
        <v>209</v>
      </c>
      <c r="G161" s="180"/>
      <c r="H161" s="11"/>
      <c r="I161" s="12"/>
      <c r="J161" s="12"/>
      <c r="K161" s="12"/>
      <c r="L161" s="12"/>
      <c r="M161" s="12"/>
      <c r="N161" s="12"/>
      <c r="O161" s="13"/>
      <c r="P161" s="12"/>
      <c r="Q161" s="14"/>
      <c r="R161" s="15"/>
    </row>
    <row r="162" spans="1:18" ht="15" customHeight="1" x14ac:dyDescent="0.3">
      <c r="A162" s="16" t="s">
        <v>57</v>
      </c>
      <c r="B162" s="16" t="s">
        <v>72</v>
      </c>
      <c r="C162" s="17">
        <v>0.12847222222222221</v>
      </c>
      <c r="D162" s="16" t="s">
        <v>64</v>
      </c>
      <c r="E162" s="16" t="s">
        <v>38</v>
      </c>
      <c r="F162" s="16" t="s">
        <v>65</v>
      </c>
      <c r="G162" s="180"/>
      <c r="H162" s="11"/>
      <c r="I162" s="12"/>
      <c r="J162" s="12"/>
      <c r="K162" s="12"/>
      <c r="L162" s="12"/>
      <c r="M162" s="12"/>
      <c r="N162" s="12"/>
      <c r="O162" s="13"/>
      <c r="P162" s="12"/>
      <c r="Q162" s="14"/>
      <c r="R162" s="15"/>
    </row>
    <row r="163" spans="1:18" ht="15" customHeight="1" x14ac:dyDescent="0.3">
      <c r="A163" s="18" t="s">
        <v>57</v>
      </c>
      <c r="B163" s="18" t="s">
        <v>69</v>
      </c>
      <c r="C163" s="19">
        <v>0.88888888888888884</v>
      </c>
      <c r="D163" s="18" t="s">
        <v>59</v>
      </c>
      <c r="E163" s="18" t="s">
        <v>210</v>
      </c>
      <c r="F163" s="18" t="s">
        <v>167</v>
      </c>
      <c r="G163" s="180"/>
      <c r="H163" s="11"/>
      <c r="I163" s="12"/>
      <c r="J163" s="12"/>
      <c r="K163" s="12"/>
      <c r="L163" s="12"/>
      <c r="M163" s="12"/>
      <c r="N163" s="12"/>
      <c r="O163" s="13"/>
      <c r="P163" s="12"/>
      <c r="Q163" s="14"/>
      <c r="R163" s="15"/>
    </row>
    <row r="164" spans="1:18" ht="15" customHeight="1" x14ac:dyDescent="0.3">
      <c r="A164" s="16" t="s">
        <v>57</v>
      </c>
      <c r="B164" s="16" t="s">
        <v>69</v>
      </c>
      <c r="C164" s="17">
        <v>0.88888888888888884</v>
      </c>
      <c r="D164" s="16" t="s">
        <v>61</v>
      </c>
      <c r="E164" s="16" t="s">
        <v>211</v>
      </c>
      <c r="F164" s="16" t="s">
        <v>169</v>
      </c>
      <c r="G164" s="180"/>
      <c r="H164" s="11"/>
      <c r="I164" s="12"/>
      <c r="J164" s="12"/>
      <c r="K164" s="12"/>
      <c r="L164" s="12"/>
      <c r="M164" s="12"/>
      <c r="N164" s="12"/>
      <c r="O164" s="13"/>
      <c r="P164" s="12"/>
      <c r="Q164" s="14"/>
      <c r="R164" s="15"/>
    </row>
    <row r="165" spans="1:18" ht="15" customHeight="1" x14ac:dyDescent="0.3">
      <c r="A165" s="16" t="s">
        <v>57</v>
      </c>
      <c r="B165" s="16" t="s">
        <v>69</v>
      </c>
      <c r="C165" s="17">
        <v>0.88888888888888884</v>
      </c>
      <c r="D165" s="16" t="s">
        <v>64</v>
      </c>
      <c r="E165" s="16" t="s">
        <v>211</v>
      </c>
      <c r="F165" s="16" t="s">
        <v>65</v>
      </c>
      <c r="G165" s="180"/>
      <c r="H165" s="11"/>
      <c r="I165" s="12"/>
      <c r="J165" s="12"/>
      <c r="K165" s="12"/>
      <c r="L165" s="12"/>
      <c r="M165" s="12"/>
      <c r="N165" s="12"/>
      <c r="O165" s="13"/>
      <c r="P165" s="12"/>
      <c r="Q165" s="14"/>
      <c r="R165" s="15"/>
    </row>
    <row r="166" spans="1:18" ht="15" customHeight="1" x14ac:dyDescent="0.3">
      <c r="A166" s="18" t="s">
        <v>57</v>
      </c>
      <c r="B166" s="18" t="s">
        <v>66</v>
      </c>
      <c r="C166" s="19">
        <v>0.78819444444444453</v>
      </c>
      <c r="D166" s="18" t="s">
        <v>59</v>
      </c>
      <c r="E166" s="18" t="s">
        <v>210</v>
      </c>
      <c r="F166" s="18" t="s">
        <v>33</v>
      </c>
      <c r="G166" s="180"/>
      <c r="H166" s="11"/>
      <c r="I166" s="12"/>
      <c r="J166" s="12"/>
      <c r="K166" s="12"/>
      <c r="L166" s="12"/>
      <c r="M166" s="12"/>
      <c r="N166" s="12"/>
      <c r="O166" s="13"/>
      <c r="P166" s="12"/>
      <c r="Q166" s="14"/>
      <c r="R166" s="15"/>
    </row>
    <row r="167" spans="1:18" ht="15" customHeight="1" x14ac:dyDescent="0.3">
      <c r="A167" s="16" t="s">
        <v>57</v>
      </c>
      <c r="B167" s="16" t="s">
        <v>66</v>
      </c>
      <c r="C167" s="17">
        <v>0.78819444444444453</v>
      </c>
      <c r="D167" s="16" t="s">
        <v>61</v>
      </c>
      <c r="E167" s="16" t="s">
        <v>211</v>
      </c>
      <c r="F167" s="16" t="s">
        <v>63</v>
      </c>
      <c r="G167" s="180"/>
      <c r="H167" s="11"/>
      <c r="I167" s="12"/>
      <c r="J167" s="12"/>
      <c r="K167" s="12"/>
      <c r="L167" s="12"/>
      <c r="M167" s="12"/>
      <c r="N167" s="12"/>
      <c r="O167" s="13"/>
      <c r="P167" s="12"/>
      <c r="Q167" s="14"/>
      <c r="R167" s="15"/>
    </row>
    <row r="168" spans="1:18" ht="15" customHeight="1" x14ac:dyDescent="0.3">
      <c r="A168" s="16" t="s">
        <v>57</v>
      </c>
      <c r="B168" s="16" t="s">
        <v>66</v>
      </c>
      <c r="C168" s="17">
        <v>0.78819444444444453</v>
      </c>
      <c r="D168" s="16" t="s">
        <v>64</v>
      </c>
      <c r="E168" s="16" t="s">
        <v>211</v>
      </c>
      <c r="F168" s="16" t="s">
        <v>65</v>
      </c>
      <c r="G168" s="180"/>
      <c r="H168" s="11"/>
      <c r="I168" s="12"/>
      <c r="J168" s="12"/>
      <c r="K168" s="12"/>
      <c r="L168" s="12"/>
      <c r="M168" s="12"/>
      <c r="N168" s="12"/>
      <c r="O168" s="13"/>
      <c r="P168" s="12"/>
      <c r="Q168" s="14"/>
      <c r="R168" s="15"/>
    </row>
    <row r="169" spans="1:18" ht="15" customHeight="1" x14ac:dyDescent="0.3">
      <c r="A169" s="20" t="s">
        <v>88</v>
      </c>
      <c r="B169" s="20" t="s">
        <v>89</v>
      </c>
      <c r="C169" s="21">
        <v>0.28819444444444448</v>
      </c>
      <c r="D169" s="20" t="s">
        <v>90</v>
      </c>
      <c r="E169" s="20" t="s">
        <v>29</v>
      </c>
      <c r="F169" s="20" t="s">
        <v>177</v>
      </c>
      <c r="G169" s="180"/>
      <c r="H169" s="11"/>
      <c r="I169" s="12"/>
      <c r="J169" s="12"/>
      <c r="K169" s="12"/>
      <c r="L169" s="12"/>
      <c r="M169" s="12"/>
      <c r="N169" s="12"/>
      <c r="O169" s="13"/>
      <c r="P169" s="12"/>
      <c r="Q169" s="14"/>
      <c r="R169" s="15"/>
    </row>
    <row r="170" spans="1:18" ht="15" customHeight="1" x14ac:dyDescent="0.3">
      <c r="A170" s="16" t="s">
        <v>88</v>
      </c>
      <c r="B170" s="16" t="s">
        <v>89</v>
      </c>
      <c r="C170" s="17">
        <v>0.28819444444444448</v>
      </c>
      <c r="D170" s="16" t="s">
        <v>64</v>
      </c>
      <c r="E170" s="16" t="s">
        <v>32</v>
      </c>
      <c r="F170" s="16" t="s">
        <v>178</v>
      </c>
      <c r="G170" s="180"/>
      <c r="H170" s="11"/>
      <c r="I170" s="12"/>
      <c r="J170" s="12"/>
      <c r="K170" s="12"/>
      <c r="L170" s="12"/>
      <c r="M170" s="12"/>
      <c r="N170" s="12"/>
      <c r="O170" s="13"/>
      <c r="P170" s="12"/>
      <c r="Q170" s="14"/>
      <c r="R170" s="15"/>
    </row>
    <row r="171" spans="1:18" ht="15" customHeight="1" x14ac:dyDescent="0.3">
      <c r="A171" s="18" t="s">
        <v>88</v>
      </c>
      <c r="B171" s="18" t="s">
        <v>212</v>
      </c>
      <c r="C171" s="19">
        <v>0.21527777777777779</v>
      </c>
      <c r="D171" s="18" t="s">
        <v>90</v>
      </c>
      <c r="E171" s="18" t="s">
        <v>40</v>
      </c>
      <c r="F171" s="18" t="s">
        <v>213</v>
      </c>
      <c r="G171" s="180"/>
      <c r="H171" s="11"/>
      <c r="I171" s="12"/>
      <c r="J171" s="12"/>
      <c r="K171" s="12"/>
      <c r="L171" s="12"/>
      <c r="M171" s="12"/>
      <c r="N171" s="12"/>
      <c r="O171" s="13"/>
      <c r="P171" s="12"/>
      <c r="Q171" s="14"/>
      <c r="R171" s="15"/>
    </row>
    <row r="172" spans="1:18" ht="15" customHeight="1" x14ac:dyDescent="0.3">
      <c r="A172" s="16" t="s">
        <v>88</v>
      </c>
      <c r="B172" s="16" t="s">
        <v>212</v>
      </c>
      <c r="C172" s="17">
        <v>0.21527777777777779</v>
      </c>
      <c r="D172" s="16" t="s">
        <v>64</v>
      </c>
      <c r="E172" s="16" t="s">
        <v>32</v>
      </c>
      <c r="F172" s="16" t="s">
        <v>214</v>
      </c>
      <c r="G172" s="180"/>
      <c r="H172" s="11"/>
      <c r="I172" s="12"/>
      <c r="J172" s="12"/>
      <c r="K172" s="12"/>
      <c r="L172" s="12"/>
      <c r="M172" s="12"/>
      <c r="N172" s="12"/>
      <c r="O172" s="13"/>
      <c r="P172" s="12"/>
      <c r="Q172" s="14"/>
      <c r="R172" s="15"/>
    </row>
    <row r="173" spans="1:18" ht="15" customHeight="1" x14ac:dyDescent="0.3">
      <c r="A173" s="20" t="s">
        <v>26</v>
      </c>
      <c r="B173" s="20" t="s">
        <v>27</v>
      </c>
      <c r="C173" s="21">
        <v>0.25694444444444448</v>
      </c>
      <c r="D173" s="20" t="s">
        <v>28</v>
      </c>
      <c r="E173" s="20" t="s">
        <v>29</v>
      </c>
      <c r="F173" s="20" t="s">
        <v>41</v>
      </c>
      <c r="G173" s="180"/>
      <c r="H173" s="11"/>
      <c r="I173" s="12"/>
      <c r="J173" s="12"/>
      <c r="K173" s="12"/>
      <c r="L173" s="12"/>
      <c r="M173" s="12"/>
      <c r="N173" s="12"/>
      <c r="O173" s="13"/>
      <c r="P173" s="12"/>
      <c r="Q173" s="14"/>
      <c r="R173" s="15"/>
    </row>
    <row r="174" spans="1:18" ht="15" customHeight="1" x14ac:dyDescent="0.3">
      <c r="A174" s="16" t="s">
        <v>26</v>
      </c>
      <c r="B174" s="16" t="s">
        <v>27</v>
      </c>
      <c r="C174" s="17">
        <v>0.25694444444444448</v>
      </c>
      <c r="D174" s="16" t="s">
        <v>31</v>
      </c>
      <c r="E174" s="16" t="s">
        <v>32</v>
      </c>
      <c r="F174" s="16" t="s">
        <v>42</v>
      </c>
      <c r="G174" s="180"/>
      <c r="H174" s="11"/>
      <c r="I174" s="12"/>
      <c r="J174" s="12"/>
      <c r="K174" s="12"/>
      <c r="L174" s="12"/>
      <c r="M174" s="12"/>
      <c r="N174" s="12"/>
      <c r="O174" s="13"/>
      <c r="P174" s="12"/>
      <c r="Q174" s="14"/>
      <c r="R174" s="15"/>
    </row>
    <row r="175" spans="1:18" ht="15" customHeight="1" x14ac:dyDescent="0.3">
      <c r="A175" s="16" t="s">
        <v>26</v>
      </c>
      <c r="B175" s="16" t="s">
        <v>27</v>
      </c>
      <c r="C175" s="17">
        <v>0.25694444444444448</v>
      </c>
      <c r="D175" s="16" t="s">
        <v>34</v>
      </c>
      <c r="E175" s="16" t="s">
        <v>32</v>
      </c>
      <c r="F175" s="16" t="s">
        <v>43</v>
      </c>
      <c r="G175" s="180"/>
      <c r="H175" s="11"/>
      <c r="I175" s="12"/>
      <c r="J175" s="12"/>
      <c r="K175" s="12"/>
      <c r="L175" s="12"/>
      <c r="M175" s="12"/>
      <c r="N175" s="12"/>
      <c r="O175" s="13"/>
      <c r="P175" s="12"/>
      <c r="Q175" s="14"/>
      <c r="R175" s="15"/>
    </row>
    <row r="176" spans="1:18" ht="15" customHeight="1" x14ac:dyDescent="0.3">
      <c r="A176" s="18" t="s">
        <v>26</v>
      </c>
      <c r="B176" s="18" t="s">
        <v>47</v>
      </c>
      <c r="C176" s="19">
        <v>0.65972222222222221</v>
      </c>
      <c r="D176" s="18" t="s">
        <v>28</v>
      </c>
      <c r="E176" s="18" t="s">
        <v>215</v>
      </c>
      <c r="F176" s="18" t="s">
        <v>41</v>
      </c>
      <c r="G176" s="180"/>
      <c r="H176" s="11"/>
      <c r="I176" s="12"/>
      <c r="J176" s="12"/>
      <c r="K176" s="12"/>
      <c r="L176" s="12"/>
      <c r="M176" s="12"/>
      <c r="N176" s="12"/>
      <c r="O176" s="13"/>
      <c r="P176" s="12"/>
      <c r="Q176" s="14"/>
      <c r="R176" s="15"/>
    </row>
    <row r="177" spans="1:18" ht="15" customHeight="1" x14ac:dyDescent="0.3">
      <c r="A177" s="16" t="s">
        <v>26</v>
      </c>
      <c r="B177" s="16" t="s">
        <v>47</v>
      </c>
      <c r="C177" s="17">
        <v>0.65972222222222221</v>
      </c>
      <c r="D177" s="16" t="s">
        <v>31</v>
      </c>
      <c r="E177" s="16" t="s">
        <v>216</v>
      </c>
      <c r="F177" s="16" t="s">
        <v>42</v>
      </c>
      <c r="G177" s="180"/>
      <c r="H177" s="11"/>
      <c r="I177" s="12"/>
      <c r="J177" s="12"/>
      <c r="K177" s="12"/>
      <c r="L177" s="12"/>
      <c r="M177" s="12"/>
      <c r="N177" s="12"/>
      <c r="O177" s="13"/>
      <c r="P177" s="12"/>
      <c r="Q177" s="14"/>
      <c r="R177" s="15"/>
    </row>
    <row r="178" spans="1:18" ht="15" customHeight="1" x14ac:dyDescent="0.3">
      <c r="A178" s="16" t="s">
        <v>26</v>
      </c>
      <c r="B178" s="16" t="s">
        <v>47</v>
      </c>
      <c r="C178" s="17">
        <v>0.65972222222222221</v>
      </c>
      <c r="D178" s="16" t="s">
        <v>34</v>
      </c>
      <c r="E178" s="16" t="s">
        <v>216</v>
      </c>
      <c r="F178" s="16" t="s">
        <v>43</v>
      </c>
      <c r="G178" s="180"/>
      <c r="H178" s="11"/>
      <c r="I178" s="12"/>
      <c r="J178" s="12"/>
      <c r="K178" s="12"/>
      <c r="L178" s="12"/>
      <c r="M178" s="12"/>
      <c r="N178" s="12"/>
      <c r="O178" s="13"/>
      <c r="P178" s="12"/>
      <c r="Q178" s="14"/>
      <c r="R178" s="15"/>
    </row>
    <row r="179" spans="1:18" ht="15" customHeight="1" x14ac:dyDescent="0.3">
      <c r="A179" s="18" t="s">
        <v>26</v>
      </c>
      <c r="B179" s="18" t="s">
        <v>53</v>
      </c>
      <c r="C179" s="19">
        <v>0.51736111111111105</v>
      </c>
      <c r="D179" s="18" t="s">
        <v>28</v>
      </c>
      <c r="E179" s="18" t="s">
        <v>83</v>
      </c>
      <c r="F179" s="18" t="s">
        <v>41</v>
      </c>
      <c r="G179" s="180"/>
      <c r="H179" s="11"/>
      <c r="I179" s="12"/>
      <c r="J179" s="12"/>
      <c r="K179" s="12"/>
      <c r="L179" s="12"/>
      <c r="M179" s="12"/>
      <c r="N179" s="12"/>
      <c r="O179" s="13"/>
      <c r="P179" s="12"/>
      <c r="Q179" s="14"/>
      <c r="R179" s="15"/>
    </row>
    <row r="180" spans="1:18" ht="15" customHeight="1" x14ac:dyDescent="0.3">
      <c r="A180" s="16" t="s">
        <v>26</v>
      </c>
      <c r="B180" s="16" t="s">
        <v>53</v>
      </c>
      <c r="C180" s="17">
        <v>0.51736111111111105</v>
      </c>
      <c r="D180" s="16" t="s">
        <v>31</v>
      </c>
      <c r="E180" s="16" t="s">
        <v>183</v>
      </c>
      <c r="F180" s="16" t="s">
        <v>42</v>
      </c>
      <c r="G180" s="180"/>
      <c r="H180" s="11"/>
      <c r="I180" s="12"/>
      <c r="J180" s="12"/>
      <c r="K180" s="12"/>
      <c r="L180" s="12"/>
      <c r="M180" s="12"/>
      <c r="N180" s="12"/>
      <c r="O180" s="13"/>
      <c r="P180" s="12"/>
      <c r="Q180" s="14"/>
      <c r="R180" s="15"/>
    </row>
    <row r="181" spans="1:18" ht="15" customHeight="1" x14ac:dyDescent="0.3">
      <c r="A181" s="16" t="s">
        <v>26</v>
      </c>
      <c r="B181" s="16" t="s">
        <v>53</v>
      </c>
      <c r="C181" s="17">
        <v>0.51736111111111105</v>
      </c>
      <c r="D181" s="16" t="s">
        <v>34</v>
      </c>
      <c r="E181" s="16" t="s">
        <v>183</v>
      </c>
      <c r="F181" s="16" t="s">
        <v>43</v>
      </c>
      <c r="G181" s="180"/>
      <c r="H181" s="11"/>
      <c r="I181" s="12"/>
      <c r="J181" s="12"/>
      <c r="K181" s="12"/>
      <c r="L181" s="12"/>
      <c r="M181" s="12"/>
      <c r="N181" s="12"/>
      <c r="O181" s="13"/>
      <c r="P181" s="12"/>
      <c r="Q181" s="14"/>
      <c r="R181" s="15"/>
    </row>
    <row r="182" spans="1:18" ht="15" customHeight="1" x14ac:dyDescent="0.3">
      <c r="A182" s="18" t="s">
        <v>26</v>
      </c>
      <c r="B182" s="18" t="s">
        <v>44</v>
      </c>
      <c r="C182" s="19">
        <v>0.85416666666666663</v>
      </c>
      <c r="D182" s="18" t="s">
        <v>28</v>
      </c>
      <c r="E182" s="18" t="s">
        <v>48</v>
      </c>
      <c r="F182" s="18" t="s">
        <v>41</v>
      </c>
      <c r="G182" s="180"/>
      <c r="H182" s="11"/>
      <c r="I182" s="12"/>
      <c r="J182" s="12"/>
      <c r="K182" s="12"/>
      <c r="L182" s="12"/>
      <c r="M182" s="12"/>
      <c r="N182" s="12"/>
      <c r="O182" s="13"/>
      <c r="P182" s="12"/>
      <c r="Q182" s="14"/>
      <c r="R182" s="15"/>
    </row>
    <row r="183" spans="1:18" ht="15" customHeight="1" x14ac:dyDescent="0.3">
      <c r="A183" s="16" t="s">
        <v>26</v>
      </c>
      <c r="B183" s="16" t="s">
        <v>44</v>
      </c>
      <c r="C183" s="17">
        <v>0.85416666666666663</v>
      </c>
      <c r="D183" s="16" t="s">
        <v>31</v>
      </c>
      <c r="E183" s="16" t="s">
        <v>50</v>
      </c>
      <c r="F183" s="16" t="s">
        <v>42</v>
      </c>
      <c r="G183" s="180"/>
      <c r="H183" s="11"/>
      <c r="I183" s="12"/>
      <c r="J183" s="12"/>
      <c r="K183" s="12"/>
      <c r="L183" s="12"/>
      <c r="M183" s="12"/>
      <c r="N183" s="12"/>
      <c r="O183" s="13"/>
      <c r="P183" s="12"/>
      <c r="Q183" s="14"/>
      <c r="R183" s="15"/>
    </row>
    <row r="184" spans="1:18" ht="15" customHeight="1" x14ac:dyDescent="0.3">
      <c r="A184" s="16" t="s">
        <v>26</v>
      </c>
      <c r="B184" s="16" t="s">
        <v>44</v>
      </c>
      <c r="C184" s="17">
        <v>0.85416666666666663</v>
      </c>
      <c r="D184" s="16" t="s">
        <v>34</v>
      </c>
      <c r="E184" s="16" t="s">
        <v>50</v>
      </c>
      <c r="F184" s="16" t="s">
        <v>43</v>
      </c>
      <c r="G184" s="180"/>
      <c r="H184" s="11"/>
      <c r="I184" s="12"/>
      <c r="J184" s="12"/>
      <c r="K184" s="12"/>
      <c r="L184" s="12"/>
      <c r="M184" s="12"/>
      <c r="N184" s="12"/>
      <c r="O184" s="13"/>
      <c r="P184" s="12"/>
      <c r="Q184" s="14"/>
      <c r="R184" s="15"/>
    </row>
    <row r="185" spans="1:18" ht="15" customHeight="1" x14ac:dyDescent="0.3">
      <c r="A185" s="18" t="s">
        <v>26</v>
      </c>
      <c r="B185" s="18" t="s">
        <v>45</v>
      </c>
      <c r="C185" s="19">
        <v>0.39583333333333331</v>
      </c>
      <c r="D185" s="18" t="s">
        <v>28</v>
      </c>
      <c r="E185" s="18" t="s">
        <v>83</v>
      </c>
      <c r="F185" s="18" t="s">
        <v>41</v>
      </c>
      <c r="G185" s="180"/>
      <c r="H185" s="11"/>
      <c r="I185" s="12"/>
      <c r="J185" s="12"/>
      <c r="K185" s="12"/>
      <c r="L185" s="12"/>
      <c r="M185" s="12"/>
      <c r="N185" s="12"/>
      <c r="O185" s="13"/>
      <c r="P185" s="12"/>
      <c r="Q185" s="14"/>
      <c r="R185" s="15"/>
    </row>
    <row r="186" spans="1:18" ht="15" customHeight="1" x14ac:dyDescent="0.3">
      <c r="A186" s="16" t="s">
        <v>26</v>
      </c>
      <c r="B186" s="16" t="s">
        <v>45</v>
      </c>
      <c r="C186" s="17">
        <v>0.39583333333333331</v>
      </c>
      <c r="D186" s="16" t="s">
        <v>31</v>
      </c>
      <c r="E186" s="16" t="s">
        <v>183</v>
      </c>
      <c r="F186" s="16" t="s">
        <v>42</v>
      </c>
      <c r="G186" s="180"/>
      <c r="H186" s="11"/>
      <c r="I186" s="12"/>
      <c r="J186" s="12"/>
      <c r="K186" s="12"/>
      <c r="L186" s="12"/>
      <c r="M186" s="12"/>
      <c r="N186" s="12"/>
      <c r="O186" s="13"/>
      <c r="P186" s="12"/>
      <c r="Q186" s="14"/>
      <c r="R186" s="15"/>
    </row>
    <row r="187" spans="1:18" ht="15" customHeight="1" x14ac:dyDescent="0.3">
      <c r="A187" s="16" t="s">
        <v>26</v>
      </c>
      <c r="B187" s="16" t="s">
        <v>45</v>
      </c>
      <c r="C187" s="17">
        <v>0.39583333333333331</v>
      </c>
      <c r="D187" s="16" t="s">
        <v>34</v>
      </c>
      <c r="E187" s="16" t="s">
        <v>183</v>
      </c>
      <c r="F187" s="16" t="s">
        <v>43</v>
      </c>
      <c r="G187" s="180"/>
      <c r="H187" s="11"/>
      <c r="I187" s="12"/>
      <c r="J187" s="12"/>
      <c r="K187" s="12"/>
      <c r="L187" s="12"/>
      <c r="M187" s="12"/>
      <c r="N187" s="12"/>
      <c r="O187" s="13"/>
      <c r="P187" s="12"/>
      <c r="Q187" s="14"/>
      <c r="R187" s="15"/>
    </row>
    <row r="188" spans="1:18" ht="15" customHeight="1" x14ac:dyDescent="0.3">
      <c r="A188" s="18" t="s">
        <v>26</v>
      </c>
      <c r="B188" s="18" t="s">
        <v>39</v>
      </c>
      <c r="C188" s="19">
        <v>0.90277777777777779</v>
      </c>
      <c r="D188" s="18" t="s">
        <v>28</v>
      </c>
      <c r="E188" s="18" t="s">
        <v>40</v>
      </c>
      <c r="F188" s="18" t="s">
        <v>49</v>
      </c>
      <c r="G188" s="180"/>
      <c r="H188" s="11"/>
      <c r="I188" s="12"/>
      <c r="J188" s="12"/>
      <c r="K188" s="12"/>
      <c r="L188" s="12"/>
      <c r="M188" s="12"/>
      <c r="N188" s="12"/>
      <c r="O188" s="13"/>
      <c r="P188" s="12"/>
      <c r="Q188" s="14"/>
      <c r="R188" s="15"/>
    </row>
    <row r="189" spans="1:18" ht="15" customHeight="1" x14ac:dyDescent="0.3">
      <c r="A189" s="16" t="s">
        <v>26</v>
      </c>
      <c r="B189" s="16" t="s">
        <v>39</v>
      </c>
      <c r="C189" s="17">
        <v>0.90277777777777779</v>
      </c>
      <c r="D189" s="16" t="s">
        <v>31</v>
      </c>
      <c r="E189" s="16" t="s">
        <v>32</v>
      </c>
      <c r="F189" s="16" t="s">
        <v>51</v>
      </c>
      <c r="G189" s="180"/>
      <c r="H189" s="11"/>
      <c r="I189" s="12"/>
      <c r="J189" s="12"/>
      <c r="K189" s="12"/>
      <c r="L189" s="12"/>
      <c r="M189" s="12"/>
      <c r="N189" s="12"/>
      <c r="O189" s="13"/>
      <c r="P189" s="12"/>
      <c r="Q189" s="14"/>
      <c r="R189" s="15"/>
    </row>
    <row r="190" spans="1:18" ht="15" customHeight="1" x14ac:dyDescent="0.3">
      <c r="A190" s="16" t="s">
        <v>26</v>
      </c>
      <c r="B190" s="16" t="s">
        <v>39</v>
      </c>
      <c r="C190" s="17">
        <v>0.90277777777777779</v>
      </c>
      <c r="D190" s="16" t="s">
        <v>34</v>
      </c>
      <c r="E190" s="16" t="s">
        <v>32</v>
      </c>
      <c r="F190" s="16" t="s">
        <v>52</v>
      </c>
      <c r="G190" s="180"/>
      <c r="H190" s="11"/>
      <c r="I190" s="12"/>
      <c r="J190" s="12"/>
      <c r="K190" s="12"/>
      <c r="L190" s="12"/>
      <c r="M190" s="12"/>
      <c r="N190" s="12"/>
      <c r="O190" s="13"/>
      <c r="P190" s="12"/>
      <c r="Q190" s="14"/>
      <c r="R190" s="15"/>
    </row>
    <row r="191" spans="1:18" ht="15" customHeight="1" x14ac:dyDescent="0.3">
      <c r="A191" s="18" t="s">
        <v>26</v>
      </c>
      <c r="B191" s="18" t="s">
        <v>46</v>
      </c>
      <c r="C191" s="19">
        <v>0.79861111111111116</v>
      </c>
      <c r="D191" s="18" t="s">
        <v>28</v>
      </c>
      <c r="E191" s="18" t="s">
        <v>40</v>
      </c>
      <c r="F191" s="18" t="s">
        <v>49</v>
      </c>
      <c r="G191" s="180"/>
      <c r="H191" s="11"/>
      <c r="I191" s="12"/>
      <c r="J191" s="12"/>
      <c r="K191" s="12"/>
      <c r="L191" s="12"/>
      <c r="M191" s="12"/>
      <c r="N191" s="12"/>
      <c r="O191" s="13"/>
      <c r="P191" s="12"/>
      <c r="Q191" s="14"/>
      <c r="R191" s="15"/>
    </row>
    <row r="192" spans="1:18" ht="15" customHeight="1" x14ac:dyDescent="0.3">
      <c r="A192" s="16" t="s">
        <v>26</v>
      </c>
      <c r="B192" s="16" t="s">
        <v>46</v>
      </c>
      <c r="C192" s="17">
        <v>0.79861111111111116</v>
      </c>
      <c r="D192" s="16" t="s">
        <v>31</v>
      </c>
      <c r="E192" s="16" t="s">
        <v>32</v>
      </c>
      <c r="F192" s="16" t="s">
        <v>51</v>
      </c>
      <c r="G192" s="180"/>
      <c r="H192" s="11"/>
      <c r="I192" s="12"/>
      <c r="J192" s="12"/>
      <c r="K192" s="12"/>
      <c r="L192" s="12"/>
      <c r="M192" s="12"/>
      <c r="N192" s="12"/>
      <c r="O192" s="13"/>
      <c r="P192" s="12"/>
      <c r="Q192" s="14"/>
      <c r="R192" s="15"/>
    </row>
    <row r="193" spans="1:18" ht="15" customHeight="1" x14ac:dyDescent="0.3">
      <c r="A193" s="16" t="s">
        <v>26</v>
      </c>
      <c r="B193" s="16" t="s">
        <v>46</v>
      </c>
      <c r="C193" s="17">
        <v>0.79861111111111116</v>
      </c>
      <c r="D193" s="16" t="s">
        <v>34</v>
      </c>
      <c r="E193" s="16" t="s">
        <v>32</v>
      </c>
      <c r="F193" s="16" t="s">
        <v>52</v>
      </c>
      <c r="G193" s="180"/>
      <c r="H193" s="11"/>
      <c r="I193" s="12"/>
      <c r="J193" s="12"/>
      <c r="K193" s="12"/>
      <c r="L193" s="12"/>
      <c r="M193" s="12"/>
      <c r="N193" s="12"/>
      <c r="O193" s="13"/>
      <c r="P193" s="12"/>
      <c r="Q193" s="14"/>
      <c r="R193" s="15"/>
    </row>
    <row r="194" spans="1:18" ht="15" customHeight="1" x14ac:dyDescent="0.3">
      <c r="A194" s="20" t="s">
        <v>92</v>
      </c>
      <c r="B194" s="20" t="s">
        <v>93</v>
      </c>
      <c r="C194" s="21">
        <v>0.66666666666666663</v>
      </c>
      <c r="D194" s="20" t="s">
        <v>79</v>
      </c>
      <c r="E194" s="20" t="s">
        <v>80</v>
      </c>
      <c r="F194" s="20" t="s">
        <v>74</v>
      </c>
      <c r="G194" s="180"/>
      <c r="H194" s="11"/>
      <c r="I194" s="12"/>
      <c r="J194" s="12"/>
      <c r="K194" s="12"/>
      <c r="L194" s="12"/>
      <c r="M194" s="12"/>
      <c r="N194" s="12"/>
      <c r="O194" s="13"/>
      <c r="P194" s="12"/>
      <c r="Q194" s="14"/>
      <c r="R194" s="15"/>
    </row>
    <row r="195" spans="1:18" ht="15" customHeight="1" x14ac:dyDescent="0.3">
      <c r="A195" s="20" t="s">
        <v>77</v>
      </c>
      <c r="B195" s="20" t="s">
        <v>82</v>
      </c>
      <c r="C195" s="21">
        <v>0.27083333333333331</v>
      </c>
      <c r="D195" s="20" t="s">
        <v>79</v>
      </c>
      <c r="E195" s="20" t="s">
        <v>80</v>
      </c>
      <c r="F195" s="20" t="s">
        <v>87</v>
      </c>
      <c r="G195" s="180"/>
      <c r="H195" s="11"/>
      <c r="I195" s="12"/>
      <c r="J195" s="12"/>
      <c r="K195" s="12"/>
      <c r="L195" s="12"/>
      <c r="M195" s="12"/>
      <c r="N195" s="12"/>
      <c r="O195" s="13"/>
      <c r="P195" s="12"/>
      <c r="Q195" s="14"/>
      <c r="R195" s="15"/>
    </row>
    <row r="196" spans="1:18" ht="15" customHeight="1" x14ac:dyDescent="0.3">
      <c r="A196" s="20" t="s">
        <v>128</v>
      </c>
      <c r="B196" s="20" t="s">
        <v>137</v>
      </c>
      <c r="C196" s="21">
        <v>6.9444444444444441E-3</v>
      </c>
      <c r="D196" s="20" t="s">
        <v>130</v>
      </c>
      <c r="E196" s="20" t="s">
        <v>94</v>
      </c>
      <c r="F196" s="20" t="s">
        <v>131</v>
      </c>
      <c r="G196" s="180"/>
      <c r="H196" s="11"/>
      <c r="I196" s="12"/>
      <c r="J196" s="12"/>
      <c r="K196" s="12"/>
      <c r="L196" s="12"/>
      <c r="M196" s="12"/>
      <c r="N196" s="12"/>
      <c r="O196" s="13"/>
      <c r="P196" s="12"/>
      <c r="Q196" s="14"/>
      <c r="R196" s="15"/>
    </row>
    <row r="197" spans="1:18" ht="15" customHeight="1" x14ac:dyDescent="0.3">
      <c r="A197" s="16" t="s">
        <v>128</v>
      </c>
      <c r="B197" s="16" t="s">
        <v>137</v>
      </c>
      <c r="C197" s="17">
        <v>6.9444444444444441E-3</v>
      </c>
      <c r="D197" s="16" t="s">
        <v>132</v>
      </c>
      <c r="E197" s="16" t="s">
        <v>133</v>
      </c>
      <c r="F197" s="16" t="s">
        <v>134</v>
      </c>
      <c r="G197" s="180"/>
      <c r="H197" s="11"/>
      <c r="I197" s="12"/>
      <c r="J197" s="12"/>
      <c r="K197" s="12"/>
      <c r="L197" s="12"/>
      <c r="M197" s="12"/>
      <c r="N197" s="12"/>
      <c r="O197" s="13"/>
      <c r="P197" s="12"/>
      <c r="Q197" s="14"/>
      <c r="R197" s="15"/>
    </row>
    <row r="198" spans="1:18" ht="15" customHeight="1" x14ac:dyDescent="0.3">
      <c r="A198" s="18" t="s">
        <v>128</v>
      </c>
      <c r="B198" s="18" t="s">
        <v>129</v>
      </c>
      <c r="C198" s="19">
        <v>0.24305555555555561</v>
      </c>
      <c r="D198" s="18" t="s">
        <v>130</v>
      </c>
      <c r="E198" s="18" t="s">
        <v>136</v>
      </c>
      <c r="F198" s="18" t="s">
        <v>131</v>
      </c>
      <c r="G198" s="180"/>
      <c r="H198" s="11"/>
      <c r="I198" s="12"/>
      <c r="J198" s="12"/>
      <c r="K198" s="12"/>
      <c r="L198" s="12"/>
      <c r="M198" s="12"/>
      <c r="N198" s="12"/>
      <c r="O198" s="13"/>
      <c r="P198" s="12"/>
      <c r="Q198" s="14"/>
      <c r="R198" s="15"/>
    </row>
    <row r="199" spans="1:18" ht="15" customHeight="1" x14ac:dyDescent="0.3">
      <c r="A199" s="16" t="s">
        <v>128</v>
      </c>
      <c r="B199" s="16" t="s">
        <v>129</v>
      </c>
      <c r="C199" s="17">
        <v>0.24305555555555561</v>
      </c>
      <c r="D199" s="16" t="s">
        <v>132</v>
      </c>
      <c r="E199" s="16" t="s">
        <v>133</v>
      </c>
      <c r="F199" s="16" t="s">
        <v>134</v>
      </c>
      <c r="G199" s="180"/>
      <c r="H199" s="11"/>
      <c r="I199" s="12"/>
      <c r="J199" s="12"/>
      <c r="K199" s="12"/>
      <c r="L199" s="12"/>
      <c r="M199" s="12"/>
      <c r="N199" s="12"/>
      <c r="O199" s="13"/>
      <c r="P199" s="12"/>
      <c r="Q199" s="14"/>
      <c r="R199" s="15"/>
    </row>
    <row r="200" spans="1:18" ht="15" customHeight="1" x14ac:dyDescent="0.3">
      <c r="A200" s="18" t="s">
        <v>128</v>
      </c>
      <c r="B200" s="18" t="s">
        <v>135</v>
      </c>
      <c r="C200" s="19">
        <v>0.1423611111111111</v>
      </c>
      <c r="D200" s="18" t="s">
        <v>130</v>
      </c>
      <c r="E200" s="18" t="s">
        <v>136</v>
      </c>
      <c r="F200" s="18" t="s">
        <v>131</v>
      </c>
      <c r="G200" s="180"/>
      <c r="H200" s="11"/>
      <c r="I200" s="12"/>
      <c r="J200" s="12"/>
      <c r="K200" s="12"/>
      <c r="L200" s="12"/>
      <c r="M200" s="12"/>
      <c r="N200" s="12"/>
      <c r="O200" s="13"/>
      <c r="P200" s="12"/>
      <c r="Q200" s="14"/>
      <c r="R200" s="15"/>
    </row>
    <row r="201" spans="1:18" ht="15" customHeight="1" x14ac:dyDescent="0.3">
      <c r="A201" s="16" t="s">
        <v>128</v>
      </c>
      <c r="B201" s="16" t="s">
        <v>135</v>
      </c>
      <c r="C201" s="17">
        <v>0.1423611111111111</v>
      </c>
      <c r="D201" s="16" t="s">
        <v>132</v>
      </c>
      <c r="E201" s="16" t="s">
        <v>133</v>
      </c>
      <c r="F201" s="16" t="s">
        <v>134</v>
      </c>
      <c r="G201" s="180"/>
      <c r="H201" s="11"/>
      <c r="I201" s="12"/>
      <c r="J201" s="12"/>
      <c r="K201" s="12"/>
      <c r="L201" s="12"/>
      <c r="M201" s="12"/>
      <c r="N201" s="12"/>
      <c r="O201" s="13"/>
      <c r="P201" s="12"/>
      <c r="Q201" s="14"/>
      <c r="R201" s="15"/>
    </row>
    <row r="202" spans="1:18" ht="15" customHeight="1" x14ac:dyDescent="0.3">
      <c r="A202" s="18" t="s">
        <v>128</v>
      </c>
      <c r="B202" s="18" t="s">
        <v>143</v>
      </c>
      <c r="C202" s="19">
        <v>0.93055555555555547</v>
      </c>
      <c r="D202" s="18" t="s">
        <v>130</v>
      </c>
      <c r="E202" s="18" t="s">
        <v>136</v>
      </c>
      <c r="F202" s="18" t="s">
        <v>131</v>
      </c>
      <c r="G202" s="180"/>
      <c r="H202" s="11"/>
      <c r="I202" s="12"/>
      <c r="J202" s="12"/>
      <c r="K202" s="12"/>
      <c r="L202" s="12"/>
      <c r="M202" s="12"/>
      <c r="N202" s="12"/>
      <c r="O202" s="13"/>
      <c r="P202" s="12"/>
      <c r="Q202" s="14"/>
      <c r="R202" s="15"/>
    </row>
    <row r="203" spans="1:18" ht="15" customHeight="1" x14ac:dyDescent="0.3">
      <c r="A203" s="16" t="s">
        <v>128</v>
      </c>
      <c r="B203" s="16" t="s">
        <v>143</v>
      </c>
      <c r="C203" s="17">
        <v>0.93055555555555547</v>
      </c>
      <c r="D203" s="16" t="s">
        <v>132</v>
      </c>
      <c r="E203" s="16" t="s">
        <v>133</v>
      </c>
      <c r="F203" s="16" t="s">
        <v>134</v>
      </c>
      <c r="G203" s="180"/>
      <c r="H203" s="11"/>
      <c r="I203" s="12"/>
      <c r="J203" s="12"/>
      <c r="K203" s="12"/>
      <c r="L203" s="12"/>
      <c r="M203" s="12"/>
      <c r="N203" s="12"/>
      <c r="O203" s="13"/>
      <c r="P203" s="12"/>
      <c r="Q203" s="14"/>
      <c r="R203" s="15"/>
    </row>
    <row r="204" spans="1:18" ht="15" customHeight="1" x14ac:dyDescent="0.3">
      <c r="A204" s="18" t="s">
        <v>128</v>
      </c>
      <c r="B204" s="18" t="s">
        <v>140</v>
      </c>
      <c r="C204" s="19">
        <v>0.37847222222222232</v>
      </c>
      <c r="D204" s="18" t="s">
        <v>130</v>
      </c>
      <c r="E204" s="18" t="s">
        <v>136</v>
      </c>
      <c r="F204" s="18" t="s">
        <v>138</v>
      </c>
      <c r="G204" s="180"/>
      <c r="H204" s="11"/>
      <c r="I204" s="12"/>
      <c r="J204" s="12"/>
      <c r="K204" s="12"/>
      <c r="L204" s="12"/>
      <c r="M204" s="12"/>
      <c r="N204" s="12"/>
      <c r="O204" s="13"/>
      <c r="P204" s="12"/>
      <c r="Q204" s="14"/>
      <c r="R204" s="15"/>
    </row>
    <row r="205" spans="1:18" ht="15" customHeight="1" x14ac:dyDescent="0.3">
      <c r="A205" s="16" t="s">
        <v>128</v>
      </c>
      <c r="B205" s="16" t="s">
        <v>140</v>
      </c>
      <c r="C205" s="17">
        <v>0.37847222222222232</v>
      </c>
      <c r="D205" s="16" t="s">
        <v>132</v>
      </c>
      <c r="E205" s="16" t="s">
        <v>133</v>
      </c>
      <c r="F205" s="16" t="s">
        <v>139</v>
      </c>
      <c r="G205" s="180"/>
      <c r="H205" s="11"/>
      <c r="I205" s="12"/>
      <c r="J205" s="12"/>
      <c r="K205" s="12"/>
      <c r="L205" s="12"/>
      <c r="M205" s="12"/>
      <c r="N205" s="12"/>
      <c r="O205" s="13"/>
      <c r="P205" s="12"/>
      <c r="Q205" s="14"/>
      <c r="R205" s="15"/>
    </row>
    <row r="206" spans="1:18" ht="15" customHeight="1" x14ac:dyDescent="0.3">
      <c r="A206" s="18" t="s">
        <v>128</v>
      </c>
      <c r="B206" s="18" t="s">
        <v>204</v>
      </c>
      <c r="C206" s="19">
        <v>0.71875</v>
      </c>
      <c r="D206" s="18" t="s">
        <v>130</v>
      </c>
      <c r="E206" s="18" t="s">
        <v>136</v>
      </c>
      <c r="F206" s="18" t="s">
        <v>138</v>
      </c>
      <c r="G206" s="180"/>
      <c r="H206" s="11"/>
      <c r="I206" s="12"/>
      <c r="J206" s="12"/>
      <c r="K206" s="12"/>
      <c r="L206" s="12"/>
      <c r="M206" s="12"/>
      <c r="N206" s="12"/>
      <c r="O206" s="13"/>
      <c r="P206" s="12"/>
      <c r="Q206" s="14"/>
      <c r="R206" s="15"/>
    </row>
    <row r="207" spans="1:18" ht="15" customHeight="1" x14ac:dyDescent="0.3">
      <c r="A207" s="16" t="s">
        <v>128</v>
      </c>
      <c r="B207" s="16" t="s">
        <v>204</v>
      </c>
      <c r="C207" s="17">
        <v>0.71875</v>
      </c>
      <c r="D207" s="16" t="s">
        <v>132</v>
      </c>
      <c r="E207" s="16" t="s">
        <v>133</v>
      </c>
      <c r="F207" s="16" t="s">
        <v>139</v>
      </c>
      <c r="G207" s="180"/>
      <c r="H207" s="11"/>
      <c r="I207" s="12"/>
      <c r="J207" s="12"/>
      <c r="K207" s="12"/>
      <c r="L207" s="12"/>
      <c r="M207" s="12"/>
      <c r="N207" s="12"/>
      <c r="O207" s="13"/>
      <c r="P207" s="12"/>
      <c r="Q207" s="14"/>
      <c r="R207" s="15"/>
    </row>
    <row r="208" spans="1:18" ht="15" customHeight="1" x14ac:dyDescent="0.3">
      <c r="A208" s="18" t="s">
        <v>128</v>
      </c>
      <c r="B208" s="18" t="s">
        <v>206</v>
      </c>
      <c r="C208" s="19">
        <v>0.61111111111111105</v>
      </c>
      <c r="D208" s="18" t="s">
        <v>130</v>
      </c>
      <c r="E208" s="18" t="s">
        <v>136</v>
      </c>
      <c r="F208" s="18" t="s">
        <v>138</v>
      </c>
      <c r="G208" s="180"/>
      <c r="H208" s="11"/>
      <c r="I208" s="12"/>
      <c r="J208" s="12"/>
      <c r="K208" s="12"/>
      <c r="L208" s="12"/>
      <c r="M208" s="12"/>
      <c r="N208" s="12"/>
      <c r="O208" s="13"/>
      <c r="P208" s="12"/>
      <c r="Q208" s="14"/>
      <c r="R208" s="15"/>
    </row>
    <row r="209" spans="1:18" ht="15" customHeight="1" x14ac:dyDescent="0.3">
      <c r="A209" s="16" t="s">
        <v>128</v>
      </c>
      <c r="B209" s="16" t="s">
        <v>206</v>
      </c>
      <c r="C209" s="17">
        <v>0.61111111111111105</v>
      </c>
      <c r="D209" s="16" t="s">
        <v>132</v>
      </c>
      <c r="E209" s="16" t="s">
        <v>133</v>
      </c>
      <c r="F209" s="16" t="s">
        <v>139</v>
      </c>
      <c r="G209" s="180"/>
      <c r="H209" s="11"/>
      <c r="I209" s="12"/>
      <c r="J209" s="12"/>
      <c r="K209" s="12"/>
      <c r="L209" s="12"/>
      <c r="M209" s="12"/>
      <c r="N209" s="12"/>
      <c r="O209" s="13"/>
      <c r="P209" s="12"/>
      <c r="Q209" s="14"/>
      <c r="R209" s="15"/>
    </row>
    <row r="210" spans="1:18" ht="15" customHeight="1" x14ac:dyDescent="0.3">
      <c r="A210" s="18" t="s">
        <v>128</v>
      </c>
      <c r="B210" s="18" t="s">
        <v>144</v>
      </c>
      <c r="C210" s="19">
        <v>0.88888888888888884</v>
      </c>
      <c r="D210" s="18" t="s">
        <v>132</v>
      </c>
      <c r="E210" s="18" t="s">
        <v>83</v>
      </c>
      <c r="F210" s="18" t="s">
        <v>205</v>
      </c>
      <c r="G210" s="180"/>
      <c r="H210" s="11"/>
      <c r="I210" s="12"/>
      <c r="J210" s="12"/>
      <c r="K210" s="12"/>
      <c r="L210" s="12"/>
      <c r="M210" s="12"/>
      <c r="N210" s="12"/>
      <c r="O210" s="13"/>
      <c r="P210" s="12"/>
      <c r="Q210" s="14"/>
      <c r="R210" s="15"/>
    </row>
    <row r="211" spans="1:18" ht="15" customHeight="1" x14ac:dyDescent="0.3">
      <c r="A211" s="18" t="s">
        <v>128</v>
      </c>
      <c r="B211" s="18" t="s">
        <v>146</v>
      </c>
      <c r="C211" s="19">
        <v>0.30208333333333331</v>
      </c>
      <c r="D211" s="18" t="s">
        <v>132</v>
      </c>
      <c r="E211" s="18" t="s">
        <v>83</v>
      </c>
      <c r="F211" s="18" t="s">
        <v>205</v>
      </c>
      <c r="G211" s="180"/>
      <c r="H211" s="11"/>
      <c r="I211" s="12"/>
      <c r="J211" s="12"/>
      <c r="K211" s="12"/>
      <c r="L211" s="12"/>
      <c r="M211" s="12"/>
      <c r="N211" s="12"/>
      <c r="O211" s="13"/>
      <c r="P211" s="12"/>
      <c r="Q211" s="14"/>
      <c r="R211" s="15"/>
    </row>
    <row r="212" spans="1:18" ht="15" customHeight="1" x14ac:dyDescent="0.3">
      <c r="A212" s="18" t="s">
        <v>128</v>
      </c>
      <c r="B212" s="18" t="s">
        <v>147</v>
      </c>
      <c r="C212" s="19">
        <v>0.12847222222222221</v>
      </c>
      <c r="D212" s="18" t="s">
        <v>132</v>
      </c>
      <c r="E212" s="18" t="s">
        <v>83</v>
      </c>
      <c r="F212" s="18" t="s">
        <v>205</v>
      </c>
      <c r="G212" s="180"/>
      <c r="H212" s="11"/>
      <c r="I212" s="12"/>
      <c r="J212" s="12"/>
      <c r="K212" s="12"/>
      <c r="L212" s="12"/>
      <c r="M212" s="12"/>
      <c r="N212" s="12"/>
      <c r="O212" s="13"/>
      <c r="P212" s="12"/>
      <c r="Q212" s="14"/>
      <c r="R212" s="15"/>
    </row>
    <row r="213" spans="1:18" ht="15" customHeight="1" x14ac:dyDescent="0.3">
      <c r="A213" s="18" t="s">
        <v>128</v>
      </c>
      <c r="B213" s="18" t="s">
        <v>149</v>
      </c>
      <c r="C213" s="19">
        <v>0.82986111111111116</v>
      </c>
      <c r="D213" s="18" t="s">
        <v>130</v>
      </c>
      <c r="E213" s="18" t="s">
        <v>136</v>
      </c>
      <c r="F213" s="18" t="s">
        <v>141</v>
      </c>
      <c r="G213" s="180"/>
      <c r="H213" s="11"/>
      <c r="I213" s="12"/>
      <c r="J213" s="12"/>
      <c r="K213" s="12"/>
      <c r="L213" s="12"/>
      <c r="M213" s="12"/>
      <c r="N213" s="12"/>
      <c r="O213" s="13"/>
      <c r="P213" s="12"/>
      <c r="Q213" s="14"/>
      <c r="R213" s="15"/>
    </row>
    <row r="214" spans="1:18" ht="15" customHeight="1" x14ac:dyDescent="0.3">
      <c r="A214" s="16" t="s">
        <v>128</v>
      </c>
      <c r="B214" s="16" t="s">
        <v>149</v>
      </c>
      <c r="C214" s="17">
        <v>0.82986111111111116</v>
      </c>
      <c r="D214" s="16" t="s">
        <v>132</v>
      </c>
      <c r="E214" s="16" t="s">
        <v>133</v>
      </c>
      <c r="F214" s="16" t="s">
        <v>142</v>
      </c>
      <c r="G214" s="180"/>
      <c r="H214" s="11"/>
      <c r="I214" s="12"/>
      <c r="J214" s="12"/>
      <c r="K214" s="12"/>
      <c r="L214" s="12"/>
      <c r="M214" s="12"/>
      <c r="N214" s="12"/>
      <c r="O214" s="13"/>
      <c r="P214" s="12"/>
      <c r="Q214" s="14"/>
      <c r="R214" s="15"/>
    </row>
    <row r="215" spans="1:18" ht="15" customHeight="1" x14ac:dyDescent="0.3">
      <c r="A215" s="18" t="s">
        <v>128</v>
      </c>
      <c r="B215" s="18" t="s">
        <v>148</v>
      </c>
      <c r="C215" s="19">
        <v>0.78819444444444453</v>
      </c>
      <c r="D215" s="18" t="s">
        <v>132</v>
      </c>
      <c r="E215" s="18" t="s">
        <v>83</v>
      </c>
      <c r="F215" s="18" t="s">
        <v>145</v>
      </c>
      <c r="G215" s="180"/>
      <c r="H215" s="11"/>
      <c r="I215" s="12"/>
      <c r="J215" s="12"/>
      <c r="K215" s="12"/>
      <c r="L215" s="12"/>
      <c r="M215" s="12"/>
      <c r="N215" s="12"/>
      <c r="O215" s="13"/>
      <c r="P215" s="12"/>
      <c r="Q215" s="14"/>
      <c r="R215" s="15"/>
    </row>
    <row r="216" spans="1:18" ht="15" customHeight="1" x14ac:dyDescent="0.3">
      <c r="A216" s="20" t="s">
        <v>152</v>
      </c>
      <c r="B216" s="20" t="s">
        <v>159</v>
      </c>
      <c r="C216" s="21">
        <v>0.22916666666666671</v>
      </c>
      <c r="D216" s="20" t="s">
        <v>154</v>
      </c>
      <c r="E216" s="20" t="s">
        <v>94</v>
      </c>
      <c r="F216" s="20" t="s">
        <v>155</v>
      </c>
      <c r="G216" s="180"/>
      <c r="H216" s="11"/>
      <c r="I216" s="12"/>
      <c r="J216" s="12"/>
      <c r="K216" s="12"/>
      <c r="L216" s="12"/>
      <c r="M216" s="12"/>
      <c r="N216" s="12"/>
      <c r="O216" s="13"/>
      <c r="P216" s="12"/>
      <c r="Q216" s="14"/>
      <c r="R216" s="15"/>
    </row>
    <row r="217" spans="1:18" ht="15" customHeight="1" x14ac:dyDescent="0.3">
      <c r="A217" s="18" t="s">
        <v>152</v>
      </c>
      <c r="B217" s="18" t="s">
        <v>163</v>
      </c>
      <c r="C217" s="19">
        <v>0.27777777777777779</v>
      </c>
      <c r="D217" s="18" t="s">
        <v>154</v>
      </c>
      <c r="E217" s="18" t="s">
        <v>136</v>
      </c>
      <c r="F217" s="18" t="s">
        <v>157</v>
      </c>
      <c r="G217" s="180"/>
      <c r="H217" s="11"/>
      <c r="I217" s="12"/>
      <c r="J217" s="12"/>
      <c r="K217" s="12"/>
      <c r="L217" s="12"/>
      <c r="M217" s="12"/>
      <c r="N217" s="12"/>
      <c r="O217" s="13"/>
      <c r="P217" s="12"/>
      <c r="Q217" s="14"/>
      <c r="R217" s="15"/>
    </row>
    <row r="218" spans="1:18" ht="15" customHeight="1" x14ac:dyDescent="0.3">
      <c r="A218" s="18" t="s">
        <v>152</v>
      </c>
      <c r="B218" s="18" t="s">
        <v>153</v>
      </c>
      <c r="C218" s="19">
        <v>1.388888888888889E-2</v>
      </c>
      <c r="D218" s="18" t="s">
        <v>154</v>
      </c>
      <c r="E218" s="18" t="s">
        <v>136</v>
      </c>
      <c r="F218" s="18" t="s">
        <v>160</v>
      </c>
      <c r="G218" s="180"/>
      <c r="H218" s="11"/>
      <c r="I218" s="12"/>
      <c r="J218" s="12"/>
      <c r="K218" s="12"/>
      <c r="L218" s="12"/>
      <c r="M218" s="12"/>
      <c r="N218" s="12"/>
      <c r="O218" s="13"/>
      <c r="P218" s="12"/>
      <c r="Q218" s="14"/>
      <c r="R218" s="15"/>
    </row>
    <row r="219" spans="1:18" ht="15" customHeight="1" x14ac:dyDescent="0.3">
      <c r="A219" s="18" t="s">
        <v>152</v>
      </c>
      <c r="B219" s="18" t="s">
        <v>156</v>
      </c>
      <c r="C219" s="19">
        <v>0.4861111111111111</v>
      </c>
      <c r="D219" s="18" t="s">
        <v>154</v>
      </c>
      <c r="E219" s="18" t="s">
        <v>73</v>
      </c>
      <c r="F219" s="18" t="s">
        <v>162</v>
      </c>
      <c r="G219" s="180"/>
      <c r="H219" s="11"/>
      <c r="I219" s="12"/>
      <c r="J219" s="12"/>
      <c r="K219" s="12"/>
      <c r="L219" s="12"/>
      <c r="M219" s="12"/>
      <c r="N219" s="12"/>
      <c r="O219" s="13"/>
      <c r="P219" s="12"/>
      <c r="Q219" s="14"/>
      <c r="R219" s="15"/>
    </row>
    <row r="220" spans="1:18" ht="15" customHeight="1" x14ac:dyDescent="0.3">
      <c r="A220" s="18" t="s">
        <v>152</v>
      </c>
      <c r="B220" s="18" t="s">
        <v>161</v>
      </c>
      <c r="C220" s="19">
        <v>0.14583333333333329</v>
      </c>
      <c r="D220" s="18" t="s">
        <v>154</v>
      </c>
      <c r="E220" s="18" t="s">
        <v>86</v>
      </c>
      <c r="F220" s="18" t="s">
        <v>162</v>
      </c>
      <c r="G220" s="180"/>
      <c r="H220" s="11"/>
      <c r="I220" s="12"/>
      <c r="J220" s="12"/>
      <c r="K220" s="12"/>
      <c r="L220" s="12"/>
      <c r="M220" s="12"/>
      <c r="N220" s="12"/>
      <c r="O220" s="13"/>
      <c r="P220" s="12"/>
      <c r="Q220" s="14"/>
      <c r="R220" s="15"/>
    </row>
    <row r="221" spans="1:18" ht="15" customHeight="1" x14ac:dyDescent="0.3">
      <c r="A221" s="18" t="s">
        <v>152</v>
      </c>
      <c r="B221" s="18" t="s">
        <v>158</v>
      </c>
      <c r="C221" s="19">
        <v>0.54166666666666663</v>
      </c>
      <c r="D221" s="18" t="s">
        <v>154</v>
      </c>
      <c r="E221" s="18" t="s">
        <v>73</v>
      </c>
      <c r="F221" s="18" t="s">
        <v>162</v>
      </c>
      <c r="G221" s="180"/>
      <c r="H221" s="11"/>
      <c r="I221" s="12"/>
      <c r="J221" s="12"/>
      <c r="K221" s="12"/>
      <c r="L221" s="12"/>
      <c r="M221" s="12"/>
      <c r="N221" s="12"/>
      <c r="O221" s="13"/>
      <c r="P221" s="12"/>
      <c r="Q221" s="14"/>
      <c r="R221" s="15"/>
    </row>
    <row r="222" spans="1:18" ht="15" customHeight="1" x14ac:dyDescent="0.3">
      <c r="A222" s="18" t="s">
        <v>152</v>
      </c>
      <c r="B222" s="18" t="s">
        <v>165</v>
      </c>
      <c r="C222" s="19">
        <v>0.77083333333333337</v>
      </c>
      <c r="D222" s="18" t="s">
        <v>154</v>
      </c>
      <c r="E222" s="18" t="s">
        <v>83</v>
      </c>
      <c r="F222" s="18" t="s">
        <v>162</v>
      </c>
      <c r="G222" s="180"/>
      <c r="H222" s="11"/>
      <c r="I222" s="12"/>
      <c r="J222" s="12"/>
      <c r="K222" s="12"/>
      <c r="L222" s="12"/>
      <c r="M222" s="12"/>
      <c r="N222" s="12"/>
      <c r="O222" s="13"/>
      <c r="P222" s="12"/>
      <c r="Q222" s="14"/>
      <c r="R222" s="15"/>
    </row>
    <row r="223" spans="1:18" ht="15" customHeight="1" x14ac:dyDescent="0.3">
      <c r="A223" s="93" t="s">
        <v>95</v>
      </c>
      <c r="B223" s="93" t="s">
        <v>108</v>
      </c>
      <c r="C223" s="94">
        <v>0.2361111111111111</v>
      </c>
      <c r="D223" s="93" t="s">
        <v>199</v>
      </c>
      <c r="E223" s="110"/>
      <c r="F223" s="93" t="s">
        <v>200</v>
      </c>
      <c r="G223" s="180"/>
      <c r="H223" s="95" t="s">
        <v>108</v>
      </c>
      <c r="I223" s="111">
        <v>1</v>
      </c>
      <c r="J223" s="97">
        <v>179</v>
      </c>
      <c r="K223" s="98">
        <v>45971</v>
      </c>
      <c r="L223" s="97">
        <v>0</v>
      </c>
      <c r="M223" s="97">
        <v>0</v>
      </c>
      <c r="N223" s="97">
        <v>0</v>
      </c>
      <c r="O223" s="99" t="s">
        <v>201</v>
      </c>
      <c r="P223" s="100">
        <v>0.2361111111111111</v>
      </c>
      <c r="Q223" s="97">
        <v>179</v>
      </c>
      <c r="R223" s="101" t="s">
        <v>217</v>
      </c>
    </row>
    <row r="224" spans="1:18" ht="15" customHeight="1" x14ac:dyDescent="0.3">
      <c r="A224" s="69" t="s">
        <v>95</v>
      </c>
      <c r="B224" s="69" t="s">
        <v>115</v>
      </c>
      <c r="C224" s="70">
        <v>0.33333333333333331</v>
      </c>
      <c r="D224" s="69" t="s">
        <v>199</v>
      </c>
      <c r="E224" s="112"/>
      <c r="F224" s="69" t="s">
        <v>200</v>
      </c>
      <c r="G224" s="180"/>
      <c r="H224" s="71" t="s">
        <v>115</v>
      </c>
      <c r="I224" s="72">
        <v>1</v>
      </c>
      <c r="J224" s="73">
        <v>179</v>
      </c>
      <c r="K224" s="74">
        <v>45979</v>
      </c>
      <c r="L224" s="73">
        <v>6</v>
      </c>
      <c r="M224" s="73">
        <v>0</v>
      </c>
      <c r="N224" s="73">
        <v>4</v>
      </c>
      <c r="O224" s="75" t="s">
        <v>201</v>
      </c>
      <c r="P224" s="76">
        <v>0.33333333333333331</v>
      </c>
      <c r="Q224" s="73">
        <v>179</v>
      </c>
      <c r="R224" s="77" t="s">
        <v>218</v>
      </c>
    </row>
    <row r="225" spans="1:18" ht="15" customHeight="1" x14ac:dyDescent="0.3">
      <c r="A225" s="113" t="s">
        <v>95</v>
      </c>
      <c r="B225" s="113" t="s">
        <v>120</v>
      </c>
      <c r="C225" s="114">
        <v>0.68055555555555547</v>
      </c>
      <c r="D225" s="113" t="s">
        <v>199</v>
      </c>
      <c r="E225" s="115"/>
      <c r="F225" s="113" t="s">
        <v>200</v>
      </c>
      <c r="G225" s="181"/>
      <c r="H225" s="116" t="s">
        <v>120</v>
      </c>
      <c r="I225" s="117">
        <v>1</v>
      </c>
      <c r="J225" s="118">
        <v>179</v>
      </c>
      <c r="K225" s="119">
        <v>45980</v>
      </c>
      <c r="L225" s="118">
        <v>4</v>
      </c>
      <c r="M225" s="118">
        <v>1</v>
      </c>
      <c r="N225" s="118">
        <v>0</v>
      </c>
      <c r="O225" s="120" t="s">
        <v>201</v>
      </c>
      <c r="P225" s="121">
        <v>0.68055555555555547</v>
      </c>
      <c r="Q225" s="118">
        <v>179</v>
      </c>
      <c r="R225" s="122" t="s">
        <v>219</v>
      </c>
    </row>
  </sheetData>
  <mergeCells count="18">
    <mergeCell ref="H155:R155"/>
    <mergeCell ref="A154:R154"/>
    <mergeCell ref="G157:G225"/>
    <mergeCell ref="A80:F80"/>
    <mergeCell ref="A155:F155"/>
    <mergeCell ref="G82:G153"/>
    <mergeCell ref="H1:L1"/>
    <mergeCell ref="A1:E1"/>
    <mergeCell ref="G2:J2"/>
    <mergeCell ref="K2:R2"/>
    <mergeCell ref="A4:F4"/>
    <mergeCell ref="H4:R4"/>
    <mergeCell ref="N1:R1"/>
    <mergeCell ref="A2:F2"/>
    <mergeCell ref="A3:R3"/>
    <mergeCell ref="G6:G78"/>
    <mergeCell ref="A79:R79"/>
    <mergeCell ref="H80:R8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8"/>
  <sheetViews>
    <sheetView workbookViewId="0"/>
  </sheetViews>
  <sheetFormatPr defaultRowHeight="15.6" outlineLevelCol="1" x14ac:dyDescent="0.3"/>
  <cols>
    <col min="1" max="1" width="9.88671875" style="161" bestFit="1" customWidth="1"/>
    <col min="2" max="2" width="10.44140625" style="161" bestFit="1" customWidth="1"/>
    <col min="3" max="3" width="6.77734375" style="161" bestFit="1" customWidth="1"/>
    <col min="4" max="4" width="5.5546875" style="161" bestFit="1" customWidth="1"/>
    <col min="5" max="5" width="7.5546875" style="161" bestFit="1" customWidth="1"/>
    <col min="6" max="6" width="4.21875" style="161" bestFit="1" customWidth="1"/>
    <col min="7" max="7" width="10" style="161" bestFit="1" customWidth="1"/>
    <col min="8" max="9" width="8.5546875" style="161" bestFit="1" customWidth="1"/>
    <col min="10" max="10" width="7" style="161" bestFit="1" customWidth="1"/>
    <col min="11" max="11" width="10.5546875" style="161" bestFit="1" customWidth="1"/>
    <col min="12" max="12" width="9.109375" style="161" bestFit="1" customWidth="1"/>
    <col min="13" max="13" width="7.6640625" style="161" bestFit="1" customWidth="1" outlineLevel="1"/>
    <col min="14" max="14" width="6.33203125" style="161" bestFit="1" customWidth="1" outlineLevel="1"/>
    <col min="15" max="15" width="8" style="161" bestFit="1" customWidth="1" outlineLevel="1"/>
    <col min="16" max="16" width="13.6640625" style="161" bestFit="1" customWidth="1"/>
    <col min="17" max="22" width="3.88671875" style="161" bestFit="1" customWidth="1"/>
    <col min="23" max="23" width="4.33203125" style="161" bestFit="1" customWidth="1"/>
    <col min="24" max="24" width="4.109375" style="161" bestFit="1" customWidth="1"/>
    <col min="25" max="25" width="4.44140625" style="161" bestFit="1" customWidth="1"/>
    <col min="26" max="26" width="4.109375" style="161" bestFit="1" customWidth="1"/>
    <col min="27" max="27" width="5" style="161" bestFit="1" customWidth="1"/>
    <col min="28" max="29" width="4.21875" style="161" bestFit="1" customWidth="1"/>
    <col min="30" max="31" width="4.5546875" style="161" bestFit="1" customWidth="1"/>
    <col min="32" max="32" width="3.88671875" style="161" bestFit="1" customWidth="1"/>
    <col min="33" max="33" width="4.21875" style="161" bestFit="1" customWidth="1"/>
    <col min="34" max="34" width="3.88671875" style="161" bestFit="1" customWidth="1"/>
    <col min="35" max="35" width="5.21875" style="161" bestFit="1" customWidth="1"/>
    <col min="36" max="36" width="3.88671875" style="161" bestFit="1" customWidth="1"/>
    <col min="37" max="16384" width="8.88671875" style="161"/>
  </cols>
  <sheetData>
    <row r="1" spans="1:36" x14ac:dyDescent="0.3">
      <c r="A1" s="160" t="s">
        <v>220</v>
      </c>
      <c r="B1" s="160" t="s">
        <v>221</v>
      </c>
      <c r="C1" s="160" t="s">
        <v>222</v>
      </c>
      <c r="D1" s="160" t="s">
        <v>23</v>
      </c>
      <c r="E1" s="160" t="s">
        <v>223</v>
      </c>
      <c r="F1" s="160" t="s">
        <v>224</v>
      </c>
      <c r="G1" s="160" t="s">
        <v>16</v>
      </c>
      <c r="H1" s="160" t="s">
        <v>225</v>
      </c>
      <c r="I1" s="160" t="s">
        <v>226</v>
      </c>
      <c r="J1" s="160" t="s">
        <v>227</v>
      </c>
      <c r="K1" s="160" t="s">
        <v>228</v>
      </c>
      <c r="L1" s="160" t="s">
        <v>18</v>
      </c>
      <c r="M1" s="160" t="s">
        <v>20</v>
      </c>
      <c r="N1" s="160" t="s">
        <v>21</v>
      </c>
      <c r="O1" s="160" t="s">
        <v>19</v>
      </c>
      <c r="P1" s="160" t="s">
        <v>22</v>
      </c>
      <c r="Q1" s="160" t="s">
        <v>229</v>
      </c>
      <c r="R1" s="160" t="s">
        <v>230</v>
      </c>
      <c r="S1" s="160" t="s">
        <v>231</v>
      </c>
      <c r="T1" s="160" t="s">
        <v>232</v>
      </c>
      <c r="U1" s="160" t="s">
        <v>233</v>
      </c>
      <c r="V1" s="160" t="s">
        <v>234</v>
      </c>
      <c r="W1" s="160" t="s">
        <v>235</v>
      </c>
      <c r="X1" s="160" t="s">
        <v>236</v>
      </c>
      <c r="Y1" s="160" t="s">
        <v>237</v>
      </c>
      <c r="Z1" s="160" t="s">
        <v>238</v>
      </c>
      <c r="AA1" s="160" t="s">
        <v>239</v>
      </c>
      <c r="AB1" s="160" t="s">
        <v>240</v>
      </c>
      <c r="AC1" s="160" t="s">
        <v>241</v>
      </c>
      <c r="AD1" s="160" t="s">
        <v>242</v>
      </c>
      <c r="AE1" s="160" t="s">
        <v>243</v>
      </c>
      <c r="AF1" s="160" t="s">
        <v>244</v>
      </c>
      <c r="AG1" s="160" t="s">
        <v>245</v>
      </c>
      <c r="AH1" s="160" t="s">
        <v>246</v>
      </c>
      <c r="AI1" s="160" t="s">
        <v>247</v>
      </c>
      <c r="AJ1" s="160" t="s">
        <v>248</v>
      </c>
    </row>
    <row r="2" spans="1:36" x14ac:dyDescent="0.3">
      <c r="A2" s="162" t="s">
        <v>249</v>
      </c>
      <c r="B2" s="163">
        <v>45981</v>
      </c>
      <c r="C2" s="164" t="s">
        <v>100</v>
      </c>
      <c r="D2" s="165" t="s">
        <v>250</v>
      </c>
      <c r="E2" s="164" t="s">
        <v>1</v>
      </c>
      <c r="F2" s="164" t="s">
        <v>251</v>
      </c>
      <c r="G2" s="166">
        <v>0.76539999999999997</v>
      </c>
      <c r="H2" s="167">
        <v>179</v>
      </c>
      <c r="I2" s="167">
        <v>137</v>
      </c>
      <c r="J2" s="167">
        <v>28</v>
      </c>
      <c r="K2" s="164" t="s">
        <v>252</v>
      </c>
      <c r="L2" s="168">
        <v>45980</v>
      </c>
      <c r="M2" s="167">
        <v>1</v>
      </c>
      <c r="N2" s="167">
        <v>9</v>
      </c>
      <c r="O2" s="167">
        <v>36</v>
      </c>
      <c r="P2" s="164" t="s">
        <v>101</v>
      </c>
      <c r="Q2" s="160"/>
      <c r="R2" s="160"/>
      <c r="S2" s="160"/>
      <c r="T2" s="160"/>
      <c r="U2" s="160"/>
      <c r="V2" s="160"/>
      <c r="W2" s="160"/>
      <c r="X2" s="167" t="s">
        <v>253</v>
      </c>
      <c r="Y2" s="167" t="s">
        <v>254</v>
      </c>
      <c r="Z2" s="167" t="s">
        <v>255</v>
      </c>
      <c r="AA2" s="167" t="s">
        <v>256</v>
      </c>
      <c r="AB2" s="160"/>
      <c r="AC2" s="160"/>
      <c r="AD2" s="160"/>
      <c r="AE2" s="160"/>
      <c r="AF2" s="160"/>
      <c r="AG2" s="160"/>
      <c r="AH2" s="160"/>
      <c r="AI2" s="167" t="s">
        <v>257</v>
      </c>
      <c r="AJ2" s="160"/>
    </row>
    <row r="3" spans="1:36" x14ac:dyDescent="0.3">
      <c r="A3" s="162" t="s">
        <v>249</v>
      </c>
      <c r="B3" s="163">
        <v>45981</v>
      </c>
      <c r="C3" s="164" t="s">
        <v>111</v>
      </c>
      <c r="D3" s="165" t="s">
        <v>258</v>
      </c>
      <c r="E3" s="164" t="s">
        <v>1</v>
      </c>
      <c r="F3" s="164" t="s">
        <v>251</v>
      </c>
      <c r="G3" s="166">
        <v>0.92510000000000003</v>
      </c>
      <c r="H3" s="167">
        <v>187</v>
      </c>
      <c r="I3" s="167">
        <v>173</v>
      </c>
      <c r="J3" s="167">
        <v>60</v>
      </c>
      <c r="K3" s="164" t="s">
        <v>252</v>
      </c>
      <c r="L3" s="168">
        <v>45979</v>
      </c>
      <c r="M3" s="167">
        <v>0</v>
      </c>
      <c r="N3" s="167">
        <v>4</v>
      </c>
      <c r="O3" s="167">
        <v>15</v>
      </c>
      <c r="P3" s="164" t="s">
        <v>112</v>
      </c>
      <c r="Q3" s="160"/>
      <c r="R3" s="160"/>
      <c r="S3" s="160"/>
      <c r="T3" s="160"/>
      <c r="U3" s="160"/>
      <c r="V3" s="160"/>
      <c r="W3" s="160"/>
      <c r="X3" s="167" t="s">
        <v>259</v>
      </c>
      <c r="Y3" s="167" t="s">
        <v>260</v>
      </c>
      <c r="Z3" s="167" t="s">
        <v>261</v>
      </c>
      <c r="AA3" s="167" t="s">
        <v>262</v>
      </c>
      <c r="AB3" s="167" t="s">
        <v>263</v>
      </c>
      <c r="AC3" s="167" t="s">
        <v>264</v>
      </c>
      <c r="AD3" s="167" t="s">
        <v>265</v>
      </c>
      <c r="AE3" s="167" t="s">
        <v>266</v>
      </c>
      <c r="AF3" s="167" t="s">
        <v>267</v>
      </c>
      <c r="AG3" s="160"/>
      <c r="AH3" s="160"/>
      <c r="AI3" s="167" t="s">
        <v>268</v>
      </c>
      <c r="AJ3" s="160"/>
    </row>
    <row r="4" spans="1:36" x14ac:dyDescent="0.3">
      <c r="A4" s="162" t="s">
        <v>249</v>
      </c>
      <c r="B4" s="163">
        <v>45981</v>
      </c>
      <c r="C4" s="164" t="s">
        <v>108</v>
      </c>
      <c r="D4" s="165" t="s">
        <v>269</v>
      </c>
      <c r="E4" s="164" t="s">
        <v>1</v>
      </c>
      <c r="F4" s="164" t="s">
        <v>251</v>
      </c>
      <c r="G4" s="166">
        <v>0.88829999999999998</v>
      </c>
      <c r="H4" s="167">
        <v>179</v>
      </c>
      <c r="I4" s="167">
        <v>159</v>
      </c>
      <c r="J4" s="167">
        <v>72</v>
      </c>
      <c r="K4" s="164" t="s">
        <v>252</v>
      </c>
      <c r="L4" s="168">
        <v>45980</v>
      </c>
      <c r="M4" s="167">
        <v>4</v>
      </c>
      <c r="N4" s="167">
        <v>5</v>
      </c>
      <c r="O4" s="167">
        <v>15</v>
      </c>
      <c r="P4" s="164" t="s">
        <v>105</v>
      </c>
      <c r="Q4" s="160"/>
      <c r="R4" s="160"/>
      <c r="S4" s="160"/>
      <c r="T4" s="160"/>
      <c r="U4" s="160"/>
      <c r="V4" s="160"/>
      <c r="W4" s="167" t="s">
        <v>270</v>
      </c>
      <c r="X4" s="167" t="s">
        <v>271</v>
      </c>
      <c r="Y4" s="167" t="s">
        <v>272</v>
      </c>
      <c r="Z4" s="167" t="s">
        <v>273</v>
      </c>
      <c r="AA4" s="167" t="s">
        <v>274</v>
      </c>
      <c r="AB4" s="160"/>
      <c r="AC4" s="160"/>
      <c r="AD4" s="160"/>
      <c r="AE4" s="160"/>
      <c r="AF4" s="160"/>
      <c r="AG4" s="167" t="s">
        <v>275</v>
      </c>
      <c r="AH4" s="160"/>
      <c r="AI4" s="167" t="s">
        <v>276</v>
      </c>
      <c r="AJ4" s="167" t="s">
        <v>277</v>
      </c>
    </row>
    <row r="5" spans="1:36" x14ac:dyDescent="0.3">
      <c r="A5" s="162" t="s">
        <v>249</v>
      </c>
      <c r="B5" s="163">
        <v>45981</v>
      </c>
      <c r="C5" s="164" t="s">
        <v>115</v>
      </c>
      <c r="D5" s="165" t="s">
        <v>278</v>
      </c>
      <c r="E5" s="164" t="s">
        <v>1</v>
      </c>
      <c r="F5" s="164" t="s">
        <v>251</v>
      </c>
      <c r="G5" s="166">
        <v>0.82120000000000004</v>
      </c>
      <c r="H5" s="167">
        <v>179</v>
      </c>
      <c r="I5" s="167">
        <v>147</v>
      </c>
      <c r="J5" s="167">
        <v>104</v>
      </c>
      <c r="K5" s="164" t="s">
        <v>252</v>
      </c>
      <c r="L5" s="168">
        <v>45980</v>
      </c>
      <c r="M5" s="167">
        <v>3</v>
      </c>
      <c r="N5" s="167">
        <v>5</v>
      </c>
      <c r="O5" s="167">
        <v>16</v>
      </c>
      <c r="P5" s="164" t="s">
        <v>116</v>
      </c>
      <c r="Q5" s="160"/>
      <c r="R5" s="160"/>
      <c r="S5" s="160"/>
      <c r="T5" s="160"/>
      <c r="U5" s="160"/>
      <c r="V5" s="160"/>
      <c r="W5" s="167" t="s">
        <v>270</v>
      </c>
      <c r="X5" s="167" t="s">
        <v>279</v>
      </c>
      <c r="Y5" s="167" t="s">
        <v>280</v>
      </c>
      <c r="Z5" s="167" t="s">
        <v>281</v>
      </c>
      <c r="AA5" s="167" t="s">
        <v>282</v>
      </c>
      <c r="AB5" s="160"/>
      <c r="AC5" s="160"/>
      <c r="AD5" s="160"/>
      <c r="AE5" s="160"/>
      <c r="AF5" s="160"/>
      <c r="AG5" s="160"/>
      <c r="AH5" s="160"/>
      <c r="AI5" s="167" t="s">
        <v>283</v>
      </c>
      <c r="AJ5" s="160"/>
    </row>
    <row r="6" spans="1:36" x14ac:dyDescent="0.3">
      <c r="A6" s="162" t="s">
        <v>249</v>
      </c>
      <c r="B6" s="163">
        <v>45981</v>
      </c>
      <c r="C6" s="164" t="s">
        <v>104</v>
      </c>
      <c r="D6" s="165" t="s">
        <v>284</v>
      </c>
      <c r="E6" s="164" t="s">
        <v>1</v>
      </c>
      <c r="F6" s="164" t="s">
        <v>251</v>
      </c>
      <c r="G6" s="166">
        <v>0.56979999999999997</v>
      </c>
      <c r="H6" s="167">
        <v>179</v>
      </c>
      <c r="I6" s="167">
        <v>102</v>
      </c>
      <c r="J6" s="167">
        <v>2</v>
      </c>
      <c r="K6" s="164" t="s">
        <v>252</v>
      </c>
      <c r="L6" s="168">
        <v>45978</v>
      </c>
      <c r="M6" s="167">
        <v>0</v>
      </c>
      <c r="N6" s="167">
        <v>0</v>
      </c>
      <c r="O6" s="167">
        <v>16</v>
      </c>
      <c r="P6" s="164" t="s">
        <v>105</v>
      </c>
      <c r="Q6" s="160"/>
      <c r="R6" s="160"/>
      <c r="S6" s="160"/>
      <c r="T6" s="160"/>
      <c r="U6" s="160"/>
      <c r="V6" s="160"/>
      <c r="W6" s="167" t="s">
        <v>285</v>
      </c>
      <c r="X6" s="167" t="s">
        <v>286</v>
      </c>
      <c r="Y6" s="167" t="s">
        <v>287</v>
      </c>
      <c r="Z6" s="167" t="s">
        <v>288</v>
      </c>
      <c r="AA6" s="167" t="s">
        <v>289</v>
      </c>
      <c r="AB6" s="167" t="s">
        <v>290</v>
      </c>
      <c r="AC6" s="167" t="s">
        <v>291</v>
      </c>
      <c r="AD6" s="167" t="s">
        <v>292</v>
      </c>
      <c r="AE6" s="167" t="s">
        <v>266</v>
      </c>
      <c r="AF6" s="167" t="s">
        <v>293</v>
      </c>
      <c r="AG6" s="160"/>
      <c r="AH6" s="160"/>
      <c r="AI6" s="167" t="s">
        <v>294</v>
      </c>
      <c r="AJ6" s="167" t="s">
        <v>277</v>
      </c>
    </row>
    <row r="7" spans="1:36" x14ac:dyDescent="0.3">
      <c r="A7" s="162" t="s">
        <v>249</v>
      </c>
      <c r="B7" s="163">
        <v>45981</v>
      </c>
      <c r="C7" s="164" t="s">
        <v>120</v>
      </c>
      <c r="D7" s="165" t="s">
        <v>295</v>
      </c>
      <c r="E7" s="164" t="s">
        <v>1</v>
      </c>
      <c r="F7" s="164" t="s">
        <v>251</v>
      </c>
      <c r="G7" s="166">
        <v>0.96089999999999998</v>
      </c>
      <c r="H7" s="167">
        <v>179</v>
      </c>
      <c r="I7" s="167">
        <v>172</v>
      </c>
      <c r="J7" s="167">
        <v>98</v>
      </c>
      <c r="K7" s="164" t="s">
        <v>252</v>
      </c>
      <c r="L7" s="168">
        <v>45977</v>
      </c>
      <c r="M7" s="167">
        <v>0</v>
      </c>
      <c r="N7" s="167">
        <v>0</v>
      </c>
      <c r="O7" s="167">
        <v>9</v>
      </c>
      <c r="P7" s="164" t="s">
        <v>121</v>
      </c>
      <c r="Q7" s="160"/>
      <c r="R7" s="160"/>
      <c r="S7" s="160"/>
      <c r="T7" s="160"/>
      <c r="U7" s="167" t="s">
        <v>296</v>
      </c>
      <c r="V7" s="167" t="s">
        <v>297</v>
      </c>
      <c r="W7" s="167" t="s">
        <v>298</v>
      </c>
      <c r="X7" s="167" t="s">
        <v>253</v>
      </c>
      <c r="Y7" s="167" t="s">
        <v>299</v>
      </c>
      <c r="Z7" s="167" t="s">
        <v>281</v>
      </c>
      <c r="AA7" s="167" t="s">
        <v>300</v>
      </c>
      <c r="AB7" s="160"/>
      <c r="AC7" s="160"/>
      <c r="AD7" s="160"/>
      <c r="AE7" s="160"/>
      <c r="AF7" s="160"/>
      <c r="AG7" s="167" t="s">
        <v>301</v>
      </c>
      <c r="AH7" s="160"/>
      <c r="AI7" s="167" t="s">
        <v>302</v>
      </c>
      <c r="AJ7" s="160"/>
    </row>
    <row r="8" spans="1:36" x14ac:dyDescent="0.3">
      <c r="A8" s="162" t="s">
        <v>249</v>
      </c>
      <c r="B8" s="163">
        <v>45981</v>
      </c>
      <c r="C8" s="164" t="s">
        <v>125</v>
      </c>
      <c r="D8" s="165" t="s">
        <v>303</v>
      </c>
      <c r="E8" s="164" t="s">
        <v>1</v>
      </c>
      <c r="F8" s="164" t="s">
        <v>251</v>
      </c>
      <c r="G8" s="166">
        <v>0.96650000000000003</v>
      </c>
      <c r="H8" s="167">
        <v>179</v>
      </c>
      <c r="I8" s="167">
        <v>173</v>
      </c>
      <c r="J8" s="167">
        <v>90</v>
      </c>
      <c r="K8" s="164" t="s">
        <v>252</v>
      </c>
      <c r="L8" s="168">
        <v>45978</v>
      </c>
      <c r="M8" s="167">
        <v>0</v>
      </c>
      <c r="N8" s="167">
        <v>0</v>
      </c>
      <c r="O8" s="167">
        <v>3</v>
      </c>
      <c r="P8" s="164" t="s">
        <v>126</v>
      </c>
      <c r="Q8" s="160"/>
      <c r="R8" s="160"/>
      <c r="S8" s="167" t="s">
        <v>304</v>
      </c>
      <c r="T8" s="160"/>
      <c r="U8" s="167" t="s">
        <v>305</v>
      </c>
      <c r="V8" s="167" t="s">
        <v>306</v>
      </c>
      <c r="W8" s="167" t="s">
        <v>307</v>
      </c>
      <c r="X8" s="167" t="s">
        <v>253</v>
      </c>
      <c r="Y8" s="167" t="s">
        <v>308</v>
      </c>
      <c r="Z8" s="167" t="s">
        <v>281</v>
      </c>
      <c r="AA8" s="167" t="s">
        <v>282</v>
      </c>
      <c r="AB8" s="160"/>
      <c r="AC8" s="160"/>
      <c r="AD8" s="160"/>
      <c r="AE8" s="160"/>
      <c r="AF8" s="167" t="s">
        <v>309</v>
      </c>
      <c r="AG8" s="160"/>
      <c r="AH8" s="160"/>
      <c r="AI8" s="167" t="s">
        <v>310</v>
      </c>
      <c r="AJ8" s="160"/>
    </row>
    <row r="9" spans="1:36" x14ac:dyDescent="0.3">
      <c r="A9" s="162" t="s">
        <v>311</v>
      </c>
      <c r="B9" s="163">
        <v>45982</v>
      </c>
      <c r="C9" s="164" t="s">
        <v>100</v>
      </c>
      <c r="D9" s="165" t="s">
        <v>258</v>
      </c>
      <c r="E9" s="164" t="s">
        <v>1</v>
      </c>
      <c r="F9" s="164" t="s">
        <v>251</v>
      </c>
      <c r="G9" s="166">
        <v>0.50839999999999996</v>
      </c>
      <c r="H9" s="167">
        <v>179</v>
      </c>
      <c r="I9" s="167">
        <v>91</v>
      </c>
      <c r="J9" s="167">
        <v>0</v>
      </c>
      <c r="K9" s="164" t="s">
        <v>252</v>
      </c>
      <c r="L9" s="168">
        <v>45980</v>
      </c>
      <c r="M9" s="167">
        <v>1</v>
      </c>
      <c r="N9" s="167">
        <v>7</v>
      </c>
      <c r="O9" s="167">
        <v>24</v>
      </c>
      <c r="P9" s="164" t="s">
        <v>189</v>
      </c>
      <c r="Q9" s="160"/>
      <c r="R9" s="160"/>
      <c r="S9" s="160"/>
      <c r="T9" s="160"/>
      <c r="U9" s="160"/>
      <c r="V9" s="167" t="s">
        <v>312</v>
      </c>
      <c r="W9" s="167" t="s">
        <v>313</v>
      </c>
      <c r="X9" s="167" t="s">
        <v>314</v>
      </c>
      <c r="Y9" s="167" t="s">
        <v>315</v>
      </c>
      <c r="Z9" s="167" t="s">
        <v>281</v>
      </c>
      <c r="AA9" s="167" t="s">
        <v>282</v>
      </c>
      <c r="AB9" s="160"/>
      <c r="AC9" s="160"/>
      <c r="AD9" s="160"/>
      <c r="AE9" s="160"/>
      <c r="AF9" s="160"/>
      <c r="AG9" s="160"/>
      <c r="AH9" s="160"/>
      <c r="AI9" s="160"/>
      <c r="AJ9" s="160"/>
    </row>
    <row r="10" spans="1:36" x14ac:dyDescent="0.3">
      <c r="A10" s="162" t="s">
        <v>311</v>
      </c>
      <c r="B10" s="163">
        <v>45982</v>
      </c>
      <c r="C10" s="164" t="s">
        <v>115</v>
      </c>
      <c r="D10" s="165" t="s">
        <v>316</v>
      </c>
      <c r="E10" s="164" t="s">
        <v>1</v>
      </c>
      <c r="F10" s="164" t="s">
        <v>251</v>
      </c>
      <c r="G10" s="166">
        <v>0.5978</v>
      </c>
      <c r="H10" s="167">
        <v>179</v>
      </c>
      <c r="I10" s="167">
        <v>107</v>
      </c>
      <c r="J10" s="167">
        <v>1</v>
      </c>
      <c r="K10" s="164" t="s">
        <v>252</v>
      </c>
      <c r="L10" s="168">
        <v>45978</v>
      </c>
      <c r="M10" s="167">
        <v>0</v>
      </c>
      <c r="N10" s="167">
        <v>0</v>
      </c>
      <c r="O10" s="167">
        <v>21</v>
      </c>
      <c r="P10" s="164" t="s">
        <v>121</v>
      </c>
      <c r="Q10" s="160"/>
      <c r="R10" s="160"/>
      <c r="S10" s="160"/>
      <c r="T10" s="160"/>
      <c r="U10" s="160"/>
      <c r="V10" s="167" t="s">
        <v>297</v>
      </c>
      <c r="W10" s="167" t="s">
        <v>313</v>
      </c>
      <c r="X10" s="167" t="s">
        <v>317</v>
      </c>
      <c r="Y10" s="167" t="s">
        <v>315</v>
      </c>
      <c r="Z10" s="167" t="s">
        <v>318</v>
      </c>
      <c r="AA10" s="167" t="s">
        <v>282</v>
      </c>
      <c r="AB10" s="167" t="s">
        <v>319</v>
      </c>
      <c r="AC10" s="167" t="s">
        <v>264</v>
      </c>
      <c r="AD10" s="167" t="s">
        <v>320</v>
      </c>
      <c r="AE10" s="167" t="s">
        <v>321</v>
      </c>
      <c r="AF10" s="167" t="s">
        <v>267</v>
      </c>
      <c r="AG10" s="160"/>
      <c r="AH10" s="160"/>
      <c r="AI10" s="167" t="s">
        <v>276</v>
      </c>
      <c r="AJ10" s="160"/>
    </row>
    <row r="11" spans="1:36" x14ac:dyDescent="0.3">
      <c r="A11" s="162" t="s">
        <v>311</v>
      </c>
      <c r="B11" s="163">
        <v>45982</v>
      </c>
      <c r="C11" s="164" t="s">
        <v>120</v>
      </c>
      <c r="D11" s="165" t="s">
        <v>322</v>
      </c>
      <c r="E11" s="164" t="s">
        <v>1</v>
      </c>
      <c r="F11" s="164" t="s">
        <v>251</v>
      </c>
      <c r="G11" s="166">
        <v>0.54190000000000005</v>
      </c>
      <c r="H11" s="167">
        <v>179</v>
      </c>
      <c r="I11" s="167">
        <v>97</v>
      </c>
      <c r="J11" s="167">
        <v>0</v>
      </c>
      <c r="K11" s="164" t="s">
        <v>252</v>
      </c>
      <c r="L11" s="168">
        <v>45976</v>
      </c>
      <c r="M11" s="167">
        <v>0</v>
      </c>
      <c r="N11" s="167">
        <v>0</v>
      </c>
      <c r="O11" s="167">
        <v>7</v>
      </c>
      <c r="P11" s="164" t="s">
        <v>193</v>
      </c>
      <c r="Q11" s="160"/>
      <c r="R11" s="160"/>
      <c r="S11" s="160"/>
      <c r="T11" s="160"/>
      <c r="U11" s="160"/>
      <c r="V11" s="160"/>
      <c r="W11" s="167" t="s">
        <v>323</v>
      </c>
      <c r="X11" s="167" t="s">
        <v>253</v>
      </c>
      <c r="Y11" s="167" t="s">
        <v>324</v>
      </c>
      <c r="Z11" s="167" t="s">
        <v>325</v>
      </c>
      <c r="AA11" s="167" t="s">
        <v>282</v>
      </c>
      <c r="AB11" s="160"/>
      <c r="AC11" s="160"/>
      <c r="AD11" s="160"/>
      <c r="AE11" s="160"/>
      <c r="AF11" s="160"/>
      <c r="AG11" s="160"/>
      <c r="AH11" s="160"/>
      <c r="AI11" s="160"/>
      <c r="AJ11" s="160"/>
    </row>
    <row r="12" spans="1:36" x14ac:dyDescent="0.3">
      <c r="A12" s="162" t="s">
        <v>311</v>
      </c>
      <c r="B12" s="163">
        <v>45982</v>
      </c>
      <c r="C12" s="164" t="s">
        <v>125</v>
      </c>
      <c r="D12" s="165" t="s">
        <v>326</v>
      </c>
      <c r="E12" s="164" t="s">
        <v>1</v>
      </c>
      <c r="F12" s="164" t="s">
        <v>251</v>
      </c>
      <c r="G12" s="166">
        <v>0.53069999999999995</v>
      </c>
      <c r="H12" s="167">
        <v>179</v>
      </c>
      <c r="I12" s="167">
        <v>95</v>
      </c>
      <c r="J12" s="167">
        <v>0</v>
      </c>
      <c r="K12" s="164" t="s">
        <v>252</v>
      </c>
      <c r="L12" s="168">
        <v>45979</v>
      </c>
      <c r="M12" s="167">
        <v>0</v>
      </c>
      <c r="N12" s="167">
        <v>1</v>
      </c>
      <c r="O12" s="167">
        <v>19</v>
      </c>
      <c r="P12" s="164" t="s">
        <v>195</v>
      </c>
      <c r="Q12" s="160"/>
      <c r="R12" s="160"/>
      <c r="S12" s="160"/>
      <c r="T12" s="160"/>
      <c r="U12" s="160"/>
      <c r="V12" s="160"/>
      <c r="W12" s="167" t="s">
        <v>327</v>
      </c>
      <c r="X12" s="167" t="s">
        <v>328</v>
      </c>
      <c r="Y12" s="167" t="s">
        <v>315</v>
      </c>
      <c r="Z12" s="167" t="s">
        <v>329</v>
      </c>
      <c r="AA12" s="167" t="s">
        <v>282</v>
      </c>
      <c r="AB12" s="160"/>
      <c r="AC12" s="160"/>
      <c r="AD12" s="160"/>
      <c r="AE12" s="160"/>
      <c r="AF12" s="160"/>
      <c r="AG12" s="160"/>
      <c r="AH12" s="160"/>
      <c r="AI12" s="160"/>
      <c r="AJ12" s="160"/>
    </row>
    <row r="13" spans="1:36" x14ac:dyDescent="0.3">
      <c r="A13" s="162" t="s">
        <v>311</v>
      </c>
      <c r="B13" s="163">
        <v>45982</v>
      </c>
      <c r="C13" s="164" t="s">
        <v>111</v>
      </c>
      <c r="D13" s="165" t="s">
        <v>330</v>
      </c>
      <c r="E13" s="164" t="s">
        <v>1</v>
      </c>
      <c r="F13" s="164" t="s">
        <v>251</v>
      </c>
      <c r="G13" s="166">
        <v>0.5363</v>
      </c>
      <c r="H13" s="167">
        <v>179</v>
      </c>
      <c r="I13" s="167">
        <v>96</v>
      </c>
      <c r="J13" s="167">
        <v>0</v>
      </c>
      <c r="K13" s="164" t="s">
        <v>252</v>
      </c>
      <c r="L13" s="168">
        <v>45979</v>
      </c>
      <c r="M13" s="167">
        <v>0</v>
      </c>
      <c r="N13" s="167">
        <v>3</v>
      </c>
      <c r="O13" s="167">
        <v>15</v>
      </c>
      <c r="P13" s="164" t="s">
        <v>191</v>
      </c>
      <c r="Q13" s="160"/>
      <c r="R13" s="160"/>
      <c r="S13" s="160"/>
      <c r="T13" s="160"/>
      <c r="U13" s="160"/>
      <c r="V13" s="160"/>
      <c r="W13" s="167" t="s">
        <v>331</v>
      </c>
      <c r="X13" s="167" t="s">
        <v>253</v>
      </c>
      <c r="Y13" s="167" t="s">
        <v>332</v>
      </c>
      <c r="Z13" s="167" t="s">
        <v>333</v>
      </c>
      <c r="AA13" s="167" t="s">
        <v>282</v>
      </c>
      <c r="AB13" s="160"/>
      <c r="AC13" s="160"/>
      <c r="AD13" s="160"/>
      <c r="AE13" s="160"/>
      <c r="AF13" s="160"/>
      <c r="AG13" s="160"/>
      <c r="AH13" s="160"/>
      <c r="AI13" s="160"/>
      <c r="AJ13" s="160"/>
    </row>
    <row r="14" spans="1:36" x14ac:dyDescent="0.3">
      <c r="A14" s="162" t="s">
        <v>311</v>
      </c>
      <c r="B14" s="163">
        <v>45982</v>
      </c>
      <c r="C14" s="164" t="s">
        <v>198</v>
      </c>
      <c r="D14" s="165" t="s">
        <v>334</v>
      </c>
      <c r="E14" s="164" t="s">
        <v>1</v>
      </c>
      <c r="F14" s="164" t="s">
        <v>251</v>
      </c>
      <c r="G14" s="166">
        <v>1.0172000000000001</v>
      </c>
      <c r="H14" s="167">
        <v>174</v>
      </c>
      <c r="I14" s="167">
        <v>177</v>
      </c>
      <c r="J14" s="167">
        <v>92</v>
      </c>
      <c r="K14" s="164" t="s">
        <v>252</v>
      </c>
      <c r="L14" s="168">
        <v>45979</v>
      </c>
      <c r="M14" s="167">
        <v>0</v>
      </c>
      <c r="N14" s="167">
        <v>1</v>
      </c>
      <c r="O14" s="167">
        <v>7</v>
      </c>
      <c r="P14" s="164" t="s">
        <v>201</v>
      </c>
      <c r="Q14" s="160"/>
      <c r="R14" s="160"/>
      <c r="S14" s="160"/>
      <c r="T14" s="160"/>
      <c r="U14" s="160"/>
      <c r="V14" s="160"/>
      <c r="W14" s="167" t="s">
        <v>121</v>
      </c>
      <c r="X14" s="160"/>
      <c r="Y14" s="167" t="s">
        <v>335</v>
      </c>
      <c r="Z14" s="167" t="s">
        <v>336</v>
      </c>
      <c r="AA14" s="167" t="s">
        <v>289</v>
      </c>
      <c r="AB14" s="167" t="s">
        <v>263</v>
      </c>
      <c r="AC14" s="167" t="s">
        <v>337</v>
      </c>
      <c r="AD14" s="167" t="s">
        <v>338</v>
      </c>
      <c r="AE14" s="167" t="s">
        <v>339</v>
      </c>
      <c r="AF14" s="167" t="s">
        <v>340</v>
      </c>
      <c r="AG14" s="160"/>
      <c r="AH14" s="160"/>
      <c r="AI14" s="167" t="s">
        <v>341</v>
      </c>
      <c r="AJ14" s="160"/>
    </row>
    <row r="15" spans="1:36" x14ac:dyDescent="0.3">
      <c r="A15" s="162" t="s">
        <v>342</v>
      </c>
      <c r="B15" s="163">
        <v>45983</v>
      </c>
      <c r="C15" s="164" t="s">
        <v>108</v>
      </c>
      <c r="D15" s="165" t="s">
        <v>343</v>
      </c>
      <c r="E15" s="164" t="s">
        <v>1</v>
      </c>
      <c r="F15" s="164" t="s">
        <v>251</v>
      </c>
      <c r="G15" s="166">
        <v>1</v>
      </c>
      <c r="H15" s="167">
        <v>179</v>
      </c>
      <c r="I15" s="167">
        <v>179</v>
      </c>
      <c r="J15" s="167">
        <v>50</v>
      </c>
      <c r="K15" s="164" t="s">
        <v>252</v>
      </c>
      <c r="L15" s="168">
        <v>45971</v>
      </c>
      <c r="M15" s="167">
        <v>0</v>
      </c>
      <c r="N15" s="167">
        <v>0</v>
      </c>
      <c r="O15" s="167">
        <v>0</v>
      </c>
      <c r="P15" s="164" t="s">
        <v>201</v>
      </c>
      <c r="Q15" s="160"/>
      <c r="R15" s="160"/>
      <c r="S15" s="160"/>
      <c r="T15" s="160"/>
      <c r="U15" s="160"/>
      <c r="V15" s="160"/>
      <c r="W15" s="167" t="s">
        <v>344</v>
      </c>
      <c r="X15" s="160"/>
      <c r="Y15" s="167" t="s">
        <v>308</v>
      </c>
      <c r="Z15" s="167" t="s">
        <v>336</v>
      </c>
      <c r="AA15" s="167" t="s">
        <v>345</v>
      </c>
      <c r="AB15" s="167" t="s">
        <v>263</v>
      </c>
      <c r="AC15" s="167" t="s">
        <v>337</v>
      </c>
      <c r="AD15" s="167" t="s">
        <v>346</v>
      </c>
      <c r="AE15" s="167" t="s">
        <v>347</v>
      </c>
      <c r="AF15" s="167" t="s">
        <v>348</v>
      </c>
      <c r="AG15" s="160"/>
      <c r="AH15" s="160"/>
      <c r="AI15" s="167" t="s">
        <v>349</v>
      </c>
      <c r="AJ15" s="160"/>
    </row>
    <row r="16" spans="1:36" x14ac:dyDescent="0.3">
      <c r="A16" s="162" t="s">
        <v>342</v>
      </c>
      <c r="B16" s="163">
        <v>45983</v>
      </c>
      <c r="C16" s="164" t="s">
        <v>115</v>
      </c>
      <c r="D16" s="165" t="s">
        <v>278</v>
      </c>
      <c r="E16" s="164" t="s">
        <v>1</v>
      </c>
      <c r="F16" s="164" t="s">
        <v>251</v>
      </c>
      <c r="G16" s="166">
        <v>1</v>
      </c>
      <c r="H16" s="167">
        <v>179</v>
      </c>
      <c r="I16" s="167">
        <v>179</v>
      </c>
      <c r="J16" s="167">
        <v>134</v>
      </c>
      <c r="K16" s="164" t="s">
        <v>252</v>
      </c>
      <c r="L16" s="168">
        <v>45979</v>
      </c>
      <c r="M16" s="167">
        <v>0</v>
      </c>
      <c r="N16" s="167">
        <v>4</v>
      </c>
      <c r="O16" s="167">
        <v>6</v>
      </c>
      <c r="P16" s="164" t="s">
        <v>201</v>
      </c>
      <c r="Q16" s="160"/>
      <c r="R16" s="160"/>
      <c r="S16" s="160"/>
      <c r="T16" s="160"/>
      <c r="U16" s="160"/>
      <c r="V16" s="167" t="s">
        <v>350</v>
      </c>
      <c r="W16" s="160"/>
      <c r="X16" s="167" t="s">
        <v>195</v>
      </c>
      <c r="Y16" s="160"/>
      <c r="Z16" s="167" t="s">
        <v>351</v>
      </c>
      <c r="AA16" s="167" t="s">
        <v>282</v>
      </c>
      <c r="AB16" s="160"/>
      <c r="AC16" s="160"/>
      <c r="AD16" s="160"/>
      <c r="AE16" s="160"/>
      <c r="AF16" s="160"/>
      <c r="AG16" s="160"/>
      <c r="AH16" s="160"/>
      <c r="AI16" s="167" t="s">
        <v>352</v>
      </c>
      <c r="AJ16" s="167" t="s">
        <v>353</v>
      </c>
    </row>
    <row r="17" spans="1:36" x14ac:dyDescent="0.3">
      <c r="A17" s="162" t="s">
        <v>342</v>
      </c>
      <c r="B17" s="163">
        <v>45983</v>
      </c>
      <c r="C17" s="164" t="s">
        <v>120</v>
      </c>
      <c r="D17" s="165" t="s">
        <v>354</v>
      </c>
      <c r="E17" s="164" t="s">
        <v>1</v>
      </c>
      <c r="F17" s="164" t="s">
        <v>251</v>
      </c>
      <c r="G17" s="166">
        <v>1</v>
      </c>
      <c r="H17" s="167">
        <v>179</v>
      </c>
      <c r="I17" s="167">
        <v>179</v>
      </c>
      <c r="J17" s="167">
        <v>127</v>
      </c>
      <c r="K17" s="164" t="s">
        <v>252</v>
      </c>
      <c r="L17" s="168">
        <v>45980</v>
      </c>
      <c r="M17" s="167">
        <v>1</v>
      </c>
      <c r="N17" s="167">
        <v>0</v>
      </c>
      <c r="O17" s="167">
        <v>4</v>
      </c>
      <c r="P17" s="164" t="s">
        <v>201</v>
      </c>
      <c r="Q17" s="160"/>
      <c r="R17" s="160"/>
      <c r="S17" s="160"/>
      <c r="T17" s="160"/>
      <c r="U17" s="160"/>
      <c r="V17" s="167" t="s">
        <v>312</v>
      </c>
      <c r="W17" s="160"/>
      <c r="X17" s="167" t="s">
        <v>355</v>
      </c>
      <c r="Y17" s="167" t="s">
        <v>356</v>
      </c>
      <c r="Z17" s="167" t="s">
        <v>357</v>
      </c>
      <c r="AA17" s="167" t="s">
        <v>300</v>
      </c>
      <c r="AB17" s="167" t="s">
        <v>263</v>
      </c>
      <c r="AC17" s="167" t="s">
        <v>358</v>
      </c>
      <c r="AD17" s="167" t="s">
        <v>265</v>
      </c>
      <c r="AE17" s="167" t="s">
        <v>359</v>
      </c>
      <c r="AF17" s="167" t="s">
        <v>360</v>
      </c>
      <c r="AG17" s="167" t="s">
        <v>361</v>
      </c>
      <c r="AH17" s="160"/>
      <c r="AI17" s="167" t="s">
        <v>362</v>
      </c>
      <c r="AJ17" s="167" t="s">
        <v>363</v>
      </c>
    </row>
    <row r="18" spans="1:36" ht="21" x14ac:dyDescent="0.3">
      <c r="A18" s="169" t="s">
        <v>381</v>
      </c>
      <c r="B18" s="170"/>
      <c r="C18" s="169">
        <f>SUBTOTAL(103,JED_CAI_LF_LEGACY[Flt])</f>
        <v>16</v>
      </c>
      <c r="D18" s="169"/>
      <c r="E18" s="169">
        <f>SUBTOTAL(103,JED_CAI_LF_LEGACY[Brd-Off])</f>
        <v>16</v>
      </c>
      <c r="F18" s="169"/>
      <c r="G18" s="171">
        <f>SUBTOTAL(101,JED_CAI_LF_LEGACY[LF%])</f>
        <v>0.78934375000000012</v>
      </c>
      <c r="H18" s="172">
        <f>SUBTOTAL(109,JED_CAI_LF_LEGACY[CAP])</f>
        <v>2867</v>
      </c>
      <c r="I18" s="172">
        <f>SUBTOTAL(109,JED_CAI_LF_LEGACY[BKG(Y)])</f>
        <v>2263</v>
      </c>
      <c r="J18" s="172">
        <f>SUBTOTAL(109,JED_CAI_LF_LEGACY[GRP(Y)])</f>
        <v>858</v>
      </c>
      <c r="K18" s="169"/>
      <c r="L18" s="170"/>
      <c r="M18" s="172">
        <f>SUBTOTAL(109,JED_CAI_LF_LEGACY[TO-DAY])</f>
        <v>10</v>
      </c>
      <c r="N18" s="172">
        <f>SUBTOTAL(109,JED_CAI_LF_LEGACY[Y-DAY])</f>
        <v>39</v>
      </c>
      <c r="O18" s="172">
        <f>SUBTOTAL(109,JED_CAI_LF_LEGACY[WEEKLY])</f>
        <v>213</v>
      </c>
      <c r="P18" s="173"/>
      <c r="Q18" s="172">
        <f>SUBTOTAL(109,JED_CAI_LF_LEGACY[Y])</f>
        <v>0</v>
      </c>
      <c r="R18" s="172">
        <f>SUBTOTAL(109,JED_CAI_LF_LEGACY[B])</f>
        <v>0</v>
      </c>
      <c r="S18" s="172">
        <f>SUBTOTAL(109,JED_CAI_LF_LEGACY[M])</f>
        <v>0</v>
      </c>
      <c r="T18" s="172">
        <f>SUBTOTAL(109,JED_CAI_LF_LEGACY[H])</f>
        <v>0</v>
      </c>
      <c r="U18" s="172">
        <f>SUBTOTAL(109,JED_CAI_LF_LEGACY[Q])</f>
        <v>0</v>
      </c>
      <c r="V18" s="172">
        <f>SUBTOTAL(109,JED_CAI_LF_LEGACY[K])</f>
        <v>0</v>
      </c>
      <c r="W18" s="172">
        <f>SUBTOTAL(109,JED_CAI_LF_LEGACY[V])</f>
        <v>0</v>
      </c>
      <c r="X18" s="172">
        <f>SUBTOTAL(109,JED_CAI_LF_LEGACY[L])</f>
        <v>0</v>
      </c>
      <c r="Y18" s="172">
        <f>SUBTOTAL(109,JED_CAI_LF_LEGACY[G])</f>
        <v>0</v>
      </c>
      <c r="Z18" s="172">
        <f>SUBTOTAL(109,JED_CAI_LF_LEGACY[S])</f>
        <v>0</v>
      </c>
      <c r="AA18" s="172">
        <f>SUBTOTAL(109,JED_CAI_LF_LEGACY[W])</f>
        <v>0</v>
      </c>
      <c r="AB18" s="172">
        <f>SUBTOTAL(109,JED_CAI_LF_LEGACY[T])</f>
        <v>0</v>
      </c>
      <c r="AC18" s="172">
        <f>SUBTOTAL(109,JED_CAI_LF_LEGACY[X])</f>
        <v>0</v>
      </c>
      <c r="AD18" s="172">
        <f>SUBTOTAL(109,JED_CAI_LF_LEGACY[U])</f>
        <v>0</v>
      </c>
      <c r="AE18" s="172">
        <f>SUBTOTAL(109,JED_CAI_LF_LEGACY[O])</f>
        <v>0</v>
      </c>
      <c r="AF18" s="172">
        <f>SUBTOTAL(109,JED_CAI_LF_LEGACY[I])</f>
        <v>0</v>
      </c>
      <c r="AG18" s="172">
        <f>SUBTOTAL(109,JED_CAI_LF_LEGACY[E])</f>
        <v>0</v>
      </c>
      <c r="AH18" s="172">
        <f>SUBTOTAL(109,JED_CAI_LF_LEGACY[A])</f>
        <v>0</v>
      </c>
      <c r="AI18" s="172">
        <f>SUBTOTAL(109,JED_CAI_LF_LEGACY[P])</f>
        <v>0</v>
      </c>
      <c r="AJ18" s="172">
        <f>SUBTOTAL(103,JED_CAI_LF_LEGACY[N])</f>
        <v>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1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11.21875" hidden="1" customWidth="1"/>
  </cols>
  <sheetData>
    <row r="1" spans="1:9" ht="18" x14ac:dyDescent="0.3">
      <c r="A1" s="130" t="s">
        <v>364</v>
      </c>
      <c r="B1" s="131" t="s">
        <v>8</v>
      </c>
      <c r="C1" s="131" t="s">
        <v>9</v>
      </c>
      <c r="D1" s="131" t="s">
        <v>365</v>
      </c>
      <c r="E1" s="131" t="s">
        <v>10</v>
      </c>
      <c r="F1" s="131" t="s">
        <v>11</v>
      </c>
      <c r="G1" s="131" t="s">
        <v>12</v>
      </c>
      <c r="H1" s="132" t="s">
        <v>13</v>
      </c>
      <c r="I1" s="2"/>
    </row>
    <row r="2" spans="1:9" ht="19.8" customHeight="1" x14ac:dyDescent="0.3">
      <c r="A2" s="133" t="s">
        <v>366</v>
      </c>
      <c r="B2" s="134" t="s">
        <v>26</v>
      </c>
      <c r="C2" s="135" t="s">
        <v>27</v>
      </c>
      <c r="D2" s="134" t="s">
        <v>1</v>
      </c>
      <c r="E2" s="134" t="s">
        <v>367</v>
      </c>
      <c r="F2" s="134" t="s">
        <v>28</v>
      </c>
      <c r="G2" s="136">
        <v>9</v>
      </c>
      <c r="H2" s="137">
        <v>589</v>
      </c>
      <c r="I2" s="2"/>
    </row>
    <row r="3" spans="1:9" ht="19.8" customHeight="1" x14ac:dyDescent="0.3">
      <c r="A3" s="133" t="s">
        <v>366</v>
      </c>
      <c r="B3" s="134" t="s">
        <v>26</v>
      </c>
      <c r="C3" s="135" t="s">
        <v>36</v>
      </c>
      <c r="D3" s="134" t="s">
        <v>1</v>
      </c>
      <c r="E3" s="134" t="s">
        <v>368</v>
      </c>
      <c r="F3" s="134" t="s">
        <v>28</v>
      </c>
      <c r="G3" s="136">
        <v>7</v>
      </c>
      <c r="H3" s="137">
        <v>589</v>
      </c>
      <c r="I3" s="2"/>
    </row>
    <row r="4" spans="1:9" ht="19.8" customHeight="1" x14ac:dyDescent="0.3">
      <c r="A4" s="133" t="s">
        <v>366</v>
      </c>
      <c r="B4" s="134" t="s">
        <v>26</v>
      </c>
      <c r="C4" s="135" t="s">
        <v>39</v>
      </c>
      <c r="D4" s="134" t="s">
        <v>1</v>
      </c>
      <c r="E4" s="134" t="s">
        <v>369</v>
      </c>
      <c r="F4" s="134" t="s">
        <v>28</v>
      </c>
      <c r="G4" s="136">
        <v>9</v>
      </c>
      <c r="H4" s="137">
        <v>669</v>
      </c>
      <c r="I4" s="2"/>
    </row>
    <row r="5" spans="1:9" ht="19.8" customHeight="1" x14ac:dyDescent="0.3">
      <c r="A5" s="133" t="s">
        <v>366</v>
      </c>
      <c r="B5" s="134" t="s">
        <v>26</v>
      </c>
      <c r="C5" s="135" t="s">
        <v>44</v>
      </c>
      <c r="D5" s="134" t="s">
        <v>1</v>
      </c>
      <c r="E5" s="134" t="s">
        <v>370</v>
      </c>
      <c r="F5" s="134" t="s">
        <v>28</v>
      </c>
      <c r="G5" s="136">
        <v>9</v>
      </c>
      <c r="H5" s="137">
        <v>669</v>
      </c>
      <c r="I5" s="2"/>
    </row>
    <row r="6" spans="1:9" ht="19.8" customHeight="1" x14ac:dyDescent="0.3">
      <c r="A6" s="133" t="s">
        <v>366</v>
      </c>
      <c r="B6" s="134" t="s">
        <v>26</v>
      </c>
      <c r="C6" s="135" t="s">
        <v>45</v>
      </c>
      <c r="D6" s="134" t="s">
        <v>1</v>
      </c>
      <c r="E6" s="134" t="s">
        <v>371</v>
      </c>
      <c r="F6" s="134" t="s">
        <v>28</v>
      </c>
      <c r="G6" s="136">
        <v>9</v>
      </c>
      <c r="H6" s="137">
        <v>669</v>
      </c>
      <c r="I6" s="2"/>
    </row>
    <row r="7" spans="1:9" ht="19.8" customHeight="1" x14ac:dyDescent="0.3">
      <c r="A7" s="133" t="s">
        <v>366</v>
      </c>
      <c r="B7" s="134" t="s">
        <v>26</v>
      </c>
      <c r="C7" s="135" t="s">
        <v>46</v>
      </c>
      <c r="D7" s="134" t="s">
        <v>1</v>
      </c>
      <c r="E7" s="134" t="s">
        <v>372</v>
      </c>
      <c r="F7" s="134" t="s">
        <v>28</v>
      </c>
      <c r="G7" s="136">
        <v>9</v>
      </c>
      <c r="H7" s="137">
        <v>669</v>
      </c>
      <c r="I7" s="2"/>
    </row>
    <row r="8" spans="1:9" ht="19.8" customHeight="1" x14ac:dyDescent="0.3">
      <c r="A8" s="133" t="s">
        <v>366</v>
      </c>
      <c r="B8" s="134" t="s">
        <v>57</v>
      </c>
      <c r="C8" s="135" t="s">
        <v>58</v>
      </c>
      <c r="D8" s="134" t="s">
        <v>1</v>
      </c>
      <c r="E8" s="134" t="s">
        <v>368</v>
      </c>
      <c r="F8" s="134" t="s">
        <v>59</v>
      </c>
      <c r="G8" s="136">
        <v>11</v>
      </c>
      <c r="H8" s="137">
        <v>689</v>
      </c>
      <c r="I8" s="2"/>
    </row>
    <row r="9" spans="1:9" ht="19.8" customHeight="1" x14ac:dyDescent="0.3">
      <c r="A9" s="133" t="s">
        <v>366</v>
      </c>
      <c r="B9" s="134" t="s">
        <v>57</v>
      </c>
      <c r="C9" s="135" t="s">
        <v>66</v>
      </c>
      <c r="D9" s="134" t="s">
        <v>1</v>
      </c>
      <c r="E9" s="134" t="s">
        <v>373</v>
      </c>
      <c r="F9" s="134" t="s">
        <v>59</v>
      </c>
      <c r="G9" s="136">
        <v>20</v>
      </c>
      <c r="H9" s="137">
        <v>689</v>
      </c>
      <c r="I9" s="2"/>
    </row>
    <row r="10" spans="1:9" ht="19.8" customHeight="1" x14ac:dyDescent="0.3">
      <c r="A10" s="133" t="s">
        <v>366</v>
      </c>
      <c r="B10" s="134" t="s">
        <v>57</v>
      </c>
      <c r="C10" s="135" t="s">
        <v>69</v>
      </c>
      <c r="D10" s="134" t="s">
        <v>1</v>
      </c>
      <c r="E10" s="134" t="s">
        <v>374</v>
      </c>
      <c r="F10" s="134" t="s">
        <v>59</v>
      </c>
      <c r="G10" s="136">
        <v>16</v>
      </c>
      <c r="H10" s="137">
        <v>689</v>
      </c>
      <c r="I10" s="2"/>
    </row>
    <row r="11" spans="1:9" ht="19.8" customHeight="1" x14ac:dyDescent="0.3">
      <c r="A11" s="133" t="s">
        <v>366</v>
      </c>
      <c r="B11" s="134" t="s">
        <v>26</v>
      </c>
      <c r="C11" s="135" t="s">
        <v>27</v>
      </c>
      <c r="D11" s="134" t="s">
        <v>1</v>
      </c>
      <c r="E11" s="134" t="s">
        <v>367</v>
      </c>
      <c r="F11" s="134" t="s">
        <v>31</v>
      </c>
      <c r="G11" s="136">
        <v>9</v>
      </c>
      <c r="H11" s="137">
        <v>689</v>
      </c>
      <c r="I11" s="2"/>
    </row>
    <row r="12" spans="1:9" ht="19.8" customHeight="1" x14ac:dyDescent="0.3">
      <c r="A12" s="133" t="s">
        <v>366</v>
      </c>
      <c r="B12" s="134" t="s">
        <v>26</v>
      </c>
      <c r="C12" s="135" t="s">
        <v>36</v>
      </c>
      <c r="D12" s="134" t="s">
        <v>1</v>
      </c>
      <c r="E12" s="134" t="s">
        <v>368</v>
      </c>
      <c r="F12" s="134" t="s">
        <v>31</v>
      </c>
      <c r="G12" s="136">
        <v>7</v>
      </c>
      <c r="H12" s="137">
        <v>689</v>
      </c>
      <c r="I12" s="2"/>
    </row>
    <row r="13" spans="1:9" ht="19.8" customHeight="1" x14ac:dyDescent="0.3">
      <c r="A13" s="133" t="s">
        <v>366</v>
      </c>
      <c r="B13" s="134" t="s">
        <v>77</v>
      </c>
      <c r="C13" s="135" t="s">
        <v>78</v>
      </c>
      <c r="D13" s="134" t="s">
        <v>1</v>
      </c>
      <c r="E13" s="134" t="s">
        <v>375</v>
      </c>
      <c r="F13" s="134" t="s">
        <v>79</v>
      </c>
      <c r="G13" s="136">
        <v>1</v>
      </c>
      <c r="H13" s="137">
        <v>695</v>
      </c>
      <c r="I13" s="2"/>
    </row>
    <row r="14" spans="1:9" ht="19.8" customHeight="1" x14ac:dyDescent="0.3">
      <c r="A14" s="133" t="s">
        <v>366</v>
      </c>
      <c r="B14" s="134" t="s">
        <v>88</v>
      </c>
      <c r="C14" s="135" t="s">
        <v>89</v>
      </c>
      <c r="D14" s="134" t="s">
        <v>1</v>
      </c>
      <c r="E14" s="134" t="s">
        <v>376</v>
      </c>
      <c r="F14" s="134" t="s">
        <v>90</v>
      </c>
      <c r="G14" s="136">
        <v>9</v>
      </c>
      <c r="H14" s="137">
        <v>706</v>
      </c>
      <c r="I14" s="2"/>
    </row>
    <row r="15" spans="1:9" ht="19.8" customHeight="1" x14ac:dyDescent="0.3">
      <c r="A15" s="133" t="s">
        <v>366</v>
      </c>
      <c r="B15" s="134" t="s">
        <v>26</v>
      </c>
      <c r="C15" s="135" t="s">
        <v>47</v>
      </c>
      <c r="D15" s="134" t="s">
        <v>1</v>
      </c>
      <c r="E15" s="134" t="s">
        <v>377</v>
      </c>
      <c r="F15" s="134" t="s">
        <v>28</v>
      </c>
      <c r="G15" s="136">
        <v>5</v>
      </c>
      <c r="H15" s="137">
        <v>719</v>
      </c>
      <c r="I15" s="2"/>
    </row>
    <row r="16" spans="1:9" ht="19.8" customHeight="1" x14ac:dyDescent="0.3">
      <c r="A16" s="133" t="s">
        <v>366</v>
      </c>
      <c r="B16" s="134" t="s">
        <v>77</v>
      </c>
      <c r="C16" s="135" t="s">
        <v>82</v>
      </c>
      <c r="D16" s="134" t="s">
        <v>1</v>
      </c>
      <c r="E16" s="134" t="s">
        <v>378</v>
      </c>
      <c r="F16" s="134" t="s">
        <v>79</v>
      </c>
      <c r="G16" s="136">
        <v>4</v>
      </c>
      <c r="H16" s="137">
        <v>745</v>
      </c>
      <c r="I16" s="2"/>
    </row>
    <row r="17" spans="1:9" ht="19.8" customHeight="1" x14ac:dyDescent="0.3">
      <c r="A17" s="133" t="s">
        <v>366</v>
      </c>
      <c r="B17" s="134" t="s">
        <v>92</v>
      </c>
      <c r="C17" s="135" t="s">
        <v>93</v>
      </c>
      <c r="D17" s="134" t="s">
        <v>1</v>
      </c>
      <c r="E17" s="134" t="s">
        <v>379</v>
      </c>
      <c r="F17" s="134" t="s">
        <v>79</v>
      </c>
      <c r="G17" s="136">
        <v>9</v>
      </c>
      <c r="H17" s="137">
        <v>749</v>
      </c>
      <c r="I17" s="2"/>
    </row>
    <row r="18" spans="1:9" ht="19.8" customHeight="1" x14ac:dyDescent="0.3">
      <c r="A18" s="133" t="s">
        <v>366</v>
      </c>
      <c r="B18" s="134" t="s">
        <v>57</v>
      </c>
      <c r="C18" s="135" t="s">
        <v>72</v>
      </c>
      <c r="D18" s="134" t="s">
        <v>1</v>
      </c>
      <c r="E18" s="134" t="s">
        <v>380</v>
      </c>
      <c r="F18" s="134" t="s">
        <v>59</v>
      </c>
      <c r="G18" s="136">
        <v>6</v>
      </c>
      <c r="H18" s="137">
        <v>749</v>
      </c>
      <c r="I18" s="2"/>
    </row>
    <row r="19" spans="1:9" ht="19.8" customHeight="1" x14ac:dyDescent="0.3">
      <c r="A19" s="133" t="s">
        <v>366</v>
      </c>
      <c r="B19" s="134" t="s">
        <v>26</v>
      </c>
      <c r="C19" s="135" t="s">
        <v>39</v>
      </c>
      <c r="D19" s="134" t="s">
        <v>1</v>
      </c>
      <c r="E19" s="134" t="s">
        <v>369</v>
      </c>
      <c r="F19" s="134" t="s">
        <v>31</v>
      </c>
      <c r="G19" s="136">
        <v>9</v>
      </c>
      <c r="H19" s="137">
        <v>769</v>
      </c>
      <c r="I19" s="2"/>
    </row>
    <row r="20" spans="1:9" ht="19.8" customHeight="1" x14ac:dyDescent="0.3">
      <c r="A20" s="133" t="s">
        <v>366</v>
      </c>
      <c r="B20" s="134" t="s">
        <v>26</v>
      </c>
      <c r="C20" s="135" t="s">
        <v>44</v>
      </c>
      <c r="D20" s="134" t="s">
        <v>1</v>
      </c>
      <c r="E20" s="134" t="s">
        <v>370</v>
      </c>
      <c r="F20" s="134" t="s">
        <v>31</v>
      </c>
      <c r="G20" s="136">
        <v>9</v>
      </c>
      <c r="H20" s="137">
        <v>769</v>
      </c>
      <c r="I20" s="2"/>
    </row>
    <row r="21" spans="1:9" ht="19.8" customHeight="1" x14ac:dyDescent="0.3">
      <c r="A21" s="133" t="s">
        <v>366</v>
      </c>
      <c r="B21" s="134" t="s">
        <v>26</v>
      </c>
      <c r="C21" s="135" t="s">
        <v>45</v>
      </c>
      <c r="D21" s="134" t="s">
        <v>1</v>
      </c>
      <c r="E21" s="134" t="s">
        <v>371</v>
      </c>
      <c r="F21" s="134" t="s">
        <v>31</v>
      </c>
      <c r="G21" s="136">
        <v>9</v>
      </c>
      <c r="H21" s="137">
        <v>769</v>
      </c>
      <c r="I21" s="2"/>
    </row>
    <row r="22" spans="1:9" ht="19.8" customHeight="1" x14ac:dyDescent="0.3">
      <c r="A22" s="133" t="s">
        <v>366</v>
      </c>
      <c r="B22" s="134" t="s">
        <v>26</v>
      </c>
      <c r="C22" s="135" t="s">
        <v>46</v>
      </c>
      <c r="D22" s="134" t="s">
        <v>1</v>
      </c>
      <c r="E22" s="134" t="s">
        <v>372</v>
      </c>
      <c r="F22" s="134" t="s">
        <v>31</v>
      </c>
      <c r="G22" s="136">
        <v>9</v>
      </c>
      <c r="H22" s="137">
        <v>769</v>
      </c>
      <c r="I22" s="2"/>
    </row>
    <row r="23" spans="1:9" ht="19.8" customHeight="1" x14ac:dyDescent="0.3">
      <c r="A23" s="133" t="s">
        <v>366</v>
      </c>
      <c r="B23" s="134" t="s">
        <v>26</v>
      </c>
      <c r="C23" s="135" t="s">
        <v>27</v>
      </c>
      <c r="D23" s="134" t="s">
        <v>1</v>
      </c>
      <c r="E23" s="134" t="s">
        <v>367</v>
      </c>
      <c r="F23" s="134" t="s">
        <v>34</v>
      </c>
      <c r="G23" s="136">
        <v>9</v>
      </c>
      <c r="H23" s="137">
        <v>779</v>
      </c>
      <c r="I23" s="2"/>
    </row>
    <row r="24" spans="1:9" ht="19.8" customHeight="1" x14ac:dyDescent="0.3">
      <c r="A24" s="133" t="s">
        <v>366</v>
      </c>
      <c r="B24" s="134" t="s">
        <v>26</v>
      </c>
      <c r="C24" s="135" t="s">
        <v>36</v>
      </c>
      <c r="D24" s="134" t="s">
        <v>1</v>
      </c>
      <c r="E24" s="134" t="s">
        <v>368</v>
      </c>
      <c r="F24" s="134" t="s">
        <v>34</v>
      </c>
      <c r="G24" s="136">
        <v>7</v>
      </c>
      <c r="H24" s="137">
        <v>779</v>
      </c>
      <c r="I24" s="2"/>
    </row>
    <row r="25" spans="1:9" ht="19.8" customHeight="1" x14ac:dyDescent="0.3">
      <c r="A25" s="138" t="s">
        <v>366</v>
      </c>
      <c r="B25" s="139" t="s">
        <v>95</v>
      </c>
      <c r="C25" s="140" t="s">
        <v>96</v>
      </c>
      <c r="D25" s="139" t="s">
        <v>1</v>
      </c>
      <c r="E25" s="139" t="s">
        <v>250</v>
      </c>
      <c r="F25" s="139" t="s">
        <v>97</v>
      </c>
      <c r="G25" s="141">
        <v>8</v>
      </c>
      <c r="H25" s="142">
        <v>781</v>
      </c>
      <c r="I25" s="2"/>
    </row>
    <row r="26" spans="1:9" ht="19.8" customHeight="1" x14ac:dyDescent="0.3">
      <c r="A26" s="143">
        <v>45981</v>
      </c>
      <c r="B26" s="139" t="s">
        <v>95</v>
      </c>
      <c r="C26" s="140" t="s">
        <v>103</v>
      </c>
      <c r="D26" s="139" t="s">
        <v>1</v>
      </c>
      <c r="E26" s="144">
        <v>1.364583333333333</v>
      </c>
      <c r="F26" s="139" t="s">
        <v>97</v>
      </c>
      <c r="G26" s="141">
        <v>7</v>
      </c>
      <c r="H26" s="142">
        <v>781</v>
      </c>
      <c r="I26" s="2"/>
    </row>
    <row r="27" spans="1:9" ht="19.8" customHeight="1" x14ac:dyDescent="0.3">
      <c r="A27" s="143">
        <v>45981</v>
      </c>
      <c r="B27" s="139" t="s">
        <v>95</v>
      </c>
      <c r="C27" s="140" t="s">
        <v>107</v>
      </c>
      <c r="D27" s="139" t="s">
        <v>1</v>
      </c>
      <c r="E27" s="144">
        <v>1.2534722222222221</v>
      </c>
      <c r="F27" s="139" t="s">
        <v>97</v>
      </c>
      <c r="G27" s="141">
        <v>7</v>
      </c>
      <c r="H27" s="142">
        <v>781</v>
      </c>
      <c r="I27" s="2"/>
    </row>
    <row r="28" spans="1:9" ht="19.8" customHeight="1" x14ac:dyDescent="0.3">
      <c r="A28" s="143">
        <v>45981</v>
      </c>
      <c r="B28" s="139" t="s">
        <v>95</v>
      </c>
      <c r="C28" s="140" t="s">
        <v>110</v>
      </c>
      <c r="D28" s="139" t="s">
        <v>1</v>
      </c>
      <c r="E28" s="144">
        <v>1.114583333333333</v>
      </c>
      <c r="F28" s="139" t="s">
        <v>97</v>
      </c>
      <c r="G28" s="141">
        <v>6</v>
      </c>
      <c r="H28" s="142">
        <v>781</v>
      </c>
      <c r="I28" s="2"/>
    </row>
    <row r="29" spans="1:9" ht="19.8" customHeight="1" x14ac:dyDescent="0.3">
      <c r="A29" s="143">
        <v>45981</v>
      </c>
      <c r="B29" s="139" t="s">
        <v>95</v>
      </c>
      <c r="C29" s="140" t="s">
        <v>114</v>
      </c>
      <c r="D29" s="139" t="s">
        <v>1</v>
      </c>
      <c r="E29" s="144">
        <v>1.333333333333333</v>
      </c>
      <c r="F29" s="139" t="s">
        <v>97</v>
      </c>
      <c r="G29" s="141">
        <v>4</v>
      </c>
      <c r="H29" s="142">
        <v>781</v>
      </c>
      <c r="I29" s="2"/>
    </row>
    <row r="30" spans="1:9" ht="19.8" customHeight="1" x14ac:dyDescent="0.3">
      <c r="A30" s="145">
        <v>45981</v>
      </c>
      <c r="B30" s="134" t="s">
        <v>26</v>
      </c>
      <c r="C30" s="135" t="s">
        <v>47</v>
      </c>
      <c r="D30" s="134" t="s">
        <v>1</v>
      </c>
      <c r="E30" s="146">
        <v>1.6597222222222221</v>
      </c>
      <c r="F30" s="134" t="s">
        <v>31</v>
      </c>
      <c r="G30" s="136">
        <v>5</v>
      </c>
      <c r="H30" s="137">
        <v>819</v>
      </c>
      <c r="I30" s="2"/>
    </row>
    <row r="31" spans="1:9" ht="19.8" customHeight="1" x14ac:dyDescent="0.3">
      <c r="A31" s="145">
        <v>45981</v>
      </c>
      <c r="B31" s="134" t="s">
        <v>26</v>
      </c>
      <c r="C31" s="135" t="s">
        <v>53</v>
      </c>
      <c r="D31" s="134" t="s">
        <v>1</v>
      </c>
      <c r="E31" s="146">
        <v>1.5173611111111109</v>
      </c>
      <c r="F31" s="134" t="s">
        <v>28</v>
      </c>
      <c r="G31" s="136">
        <v>5</v>
      </c>
      <c r="H31" s="137">
        <v>829</v>
      </c>
      <c r="I31" s="2"/>
    </row>
    <row r="32" spans="1:9" ht="19.8" customHeight="1" x14ac:dyDescent="0.3">
      <c r="A32" s="145">
        <v>45981</v>
      </c>
      <c r="B32" s="134" t="s">
        <v>88</v>
      </c>
      <c r="C32" s="135" t="s">
        <v>89</v>
      </c>
      <c r="D32" s="134" t="s">
        <v>1</v>
      </c>
      <c r="E32" s="146">
        <v>1.3298611111111109</v>
      </c>
      <c r="F32" s="134" t="s">
        <v>64</v>
      </c>
      <c r="G32" s="136">
        <v>9</v>
      </c>
      <c r="H32" s="137">
        <v>829</v>
      </c>
      <c r="I32" s="2"/>
    </row>
    <row r="33" spans="1:9" ht="19.8" customHeight="1" x14ac:dyDescent="0.3">
      <c r="A33" s="145">
        <v>45981</v>
      </c>
      <c r="B33" s="134" t="s">
        <v>77</v>
      </c>
      <c r="C33" s="135" t="s">
        <v>85</v>
      </c>
      <c r="D33" s="134" t="s">
        <v>1</v>
      </c>
      <c r="E33" s="146">
        <v>1.850694444444444</v>
      </c>
      <c r="F33" s="134" t="s">
        <v>79</v>
      </c>
      <c r="G33" s="136">
        <v>2</v>
      </c>
      <c r="H33" s="137">
        <v>835</v>
      </c>
      <c r="I33" s="2"/>
    </row>
    <row r="34" spans="1:9" ht="19.8" customHeight="1" x14ac:dyDescent="0.3">
      <c r="A34" s="145">
        <v>45981</v>
      </c>
      <c r="B34" s="134" t="s">
        <v>57</v>
      </c>
      <c r="C34" s="135" t="s">
        <v>58</v>
      </c>
      <c r="D34" s="134" t="s">
        <v>1</v>
      </c>
      <c r="E34" s="146">
        <v>1.302083333333333</v>
      </c>
      <c r="F34" s="134" t="s">
        <v>61</v>
      </c>
      <c r="G34" s="136">
        <v>11</v>
      </c>
      <c r="H34" s="137">
        <v>839</v>
      </c>
      <c r="I34" s="2"/>
    </row>
    <row r="35" spans="1:9" ht="19.8" customHeight="1" x14ac:dyDescent="0.3">
      <c r="A35" s="145">
        <v>45981</v>
      </c>
      <c r="B35" s="134" t="s">
        <v>57</v>
      </c>
      <c r="C35" s="135" t="s">
        <v>66</v>
      </c>
      <c r="D35" s="134" t="s">
        <v>1</v>
      </c>
      <c r="E35" s="146">
        <v>1.788194444444444</v>
      </c>
      <c r="F35" s="134" t="s">
        <v>61</v>
      </c>
      <c r="G35" s="136">
        <v>20</v>
      </c>
      <c r="H35" s="137">
        <v>839</v>
      </c>
      <c r="I35" s="2"/>
    </row>
    <row r="36" spans="1:9" ht="19.8" customHeight="1" x14ac:dyDescent="0.3">
      <c r="A36" s="145">
        <v>45981</v>
      </c>
      <c r="B36" s="134" t="s">
        <v>57</v>
      </c>
      <c r="C36" s="135" t="s">
        <v>69</v>
      </c>
      <c r="D36" s="134" t="s">
        <v>1</v>
      </c>
      <c r="E36" s="146">
        <v>1.8888888888888891</v>
      </c>
      <c r="F36" s="134" t="s">
        <v>61</v>
      </c>
      <c r="G36" s="136">
        <v>16</v>
      </c>
      <c r="H36" s="137">
        <v>839</v>
      </c>
      <c r="I36" s="2"/>
    </row>
    <row r="37" spans="1:9" ht="19.8" customHeight="1" x14ac:dyDescent="0.3">
      <c r="A37" s="145">
        <v>45981</v>
      </c>
      <c r="B37" s="134" t="s">
        <v>26</v>
      </c>
      <c r="C37" s="135" t="s">
        <v>39</v>
      </c>
      <c r="D37" s="134" t="s">
        <v>1</v>
      </c>
      <c r="E37" s="146">
        <v>1.9027777777777779</v>
      </c>
      <c r="F37" s="134" t="s">
        <v>34</v>
      </c>
      <c r="G37" s="136">
        <v>9</v>
      </c>
      <c r="H37" s="137">
        <v>859</v>
      </c>
      <c r="I37" s="2"/>
    </row>
    <row r="38" spans="1:9" ht="19.8" customHeight="1" x14ac:dyDescent="0.3">
      <c r="A38" s="145">
        <v>45981</v>
      </c>
      <c r="B38" s="134" t="s">
        <v>26</v>
      </c>
      <c r="C38" s="135" t="s">
        <v>44</v>
      </c>
      <c r="D38" s="134" t="s">
        <v>1</v>
      </c>
      <c r="E38" s="146">
        <v>1.854166666666667</v>
      </c>
      <c r="F38" s="134" t="s">
        <v>34</v>
      </c>
      <c r="G38" s="136">
        <v>9</v>
      </c>
      <c r="H38" s="137">
        <v>859</v>
      </c>
      <c r="I38" s="2"/>
    </row>
    <row r="39" spans="1:9" ht="19.8" customHeight="1" x14ac:dyDescent="0.3">
      <c r="A39" s="145">
        <v>45981</v>
      </c>
      <c r="B39" s="134" t="s">
        <v>26</v>
      </c>
      <c r="C39" s="135" t="s">
        <v>45</v>
      </c>
      <c r="D39" s="134" t="s">
        <v>1</v>
      </c>
      <c r="E39" s="146">
        <v>1.395833333333333</v>
      </c>
      <c r="F39" s="134" t="s">
        <v>34</v>
      </c>
      <c r="G39" s="136">
        <v>9</v>
      </c>
      <c r="H39" s="137">
        <v>859</v>
      </c>
      <c r="I39" s="2"/>
    </row>
    <row r="40" spans="1:9" ht="19.8" customHeight="1" x14ac:dyDescent="0.3">
      <c r="A40" s="145">
        <v>45981</v>
      </c>
      <c r="B40" s="134" t="s">
        <v>26</v>
      </c>
      <c r="C40" s="135" t="s">
        <v>46</v>
      </c>
      <c r="D40" s="134" t="s">
        <v>1</v>
      </c>
      <c r="E40" s="146">
        <v>1.7986111111111109</v>
      </c>
      <c r="F40" s="134" t="s">
        <v>34</v>
      </c>
      <c r="G40" s="136">
        <v>9</v>
      </c>
      <c r="H40" s="137">
        <v>859</v>
      </c>
      <c r="I40" s="2"/>
    </row>
    <row r="41" spans="1:9" ht="19.8" customHeight="1" x14ac:dyDescent="0.3">
      <c r="A41" s="145">
        <v>45981</v>
      </c>
      <c r="B41" s="134" t="s">
        <v>57</v>
      </c>
      <c r="C41" s="135" t="s">
        <v>72</v>
      </c>
      <c r="D41" s="134" t="s">
        <v>1</v>
      </c>
      <c r="E41" s="146">
        <v>1.1284722222222221</v>
      </c>
      <c r="F41" s="134" t="s">
        <v>61</v>
      </c>
      <c r="G41" s="136">
        <v>6</v>
      </c>
      <c r="H41" s="137">
        <v>899</v>
      </c>
      <c r="I41" s="2"/>
    </row>
    <row r="42" spans="1:9" ht="19.8" customHeight="1" x14ac:dyDescent="0.3">
      <c r="A42" s="145">
        <v>45981</v>
      </c>
      <c r="B42" s="134" t="s">
        <v>26</v>
      </c>
      <c r="C42" s="135" t="s">
        <v>47</v>
      </c>
      <c r="D42" s="134" t="s">
        <v>1</v>
      </c>
      <c r="E42" s="146">
        <v>1.6597222222222221</v>
      </c>
      <c r="F42" s="134" t="s">
        <v>34</v>
      </c>
      <c r="G42" s="136">
        <v>5</v>
      </c>
      <c r="H42" s="137">
        <v>909</v>
      </c>
      <c r="I42" s="2"/>
    </row>
    <row r="43" spans="1:9" ht="19.8" customHeight="1" x14ac:dyDescent="0.3">
      <c r="A43" s="145">
        <v>45981</v>
      </c>
      <c r="B43" s="134" t="s">
        <v>26</v>
      </c>
      <c r="C43" s="135" t="s">
        <v>53</v>
      </c>
      <c r="D43" s="134" t="s">
        <v>1</v>
      </c>
      <c r="E43" s="146">
        <v>1.5173611111111109</v>
      </c>
      <c r="F43" s="134" t="s">
        <v>31</v>
      </c>
      <c r="G43" s="136">
        <v>5</v>
      </c>
      <c r="H43" s="137">
        <v>929</v>
      </c>
      <c r="I43" s="2"/>
    </row>
    <row r="44" spans="1:9" ht="19.8" customHeight="1" x14ac:dyDescent="0.3">
      <c r="A44" s="143">
        <v>45981</v>
      </c>
      <c r="B44" s="139" t="s">
        <v>95</v>
      </c>
      <c r="C44" s="140" t="s">
        <v>118</v>
      </c>
      <c r="D44" s="139" t="s">
        <v>1</v>
      </c>
      <c r="E44" s="144">
        <v>1.583333333333333</v>
      </c>
      <c r="F44" s="139" t="s">
        <v>97</v>
      </c>
      <c r="G44" s="141">
        <v>7</v>
      </c>
      <c r="H44" s="142">
        <v>952</v>
      </c>
      <c r="I44" s="2"/>
    </row>
    <row r="45" spans="1:9" ht="19.8" customHeight="1" x14ac:dyDescent="0.3">
      <c r="A45" s="145">
        <v>45981</v>
      </c>
      <c r="B45" s="134" t="s">
        <v>26</v>
      </c>
      <c r="C45" s="135" t="s">
        <v>53</v>
      </c>
      <c r="D45" s="134" t="s">
        <v>1</v>
      </c>
      <c r="E45" s="146">
        <v>1.5173611111111109</v>
      </c>
      <c r="F45" s="134" t="s">
        <v>34</v>
      </c>
      <c r="G45" s="136">
        <v>5</v>
      </c>
      <c r="H45" s="147" t="s">
        <v>56</v>
      </c>
      <c r="I45" s="2"/>
    </row>
    <row r="46" spans="1:9" ht="19.8" customHeight="1" x14ac:dyDescent="0.3">
      <c r="A46" s="145">
        <v>45981</v>
      </c>
      <c r="B46" s="134" t="s">
        <v>57</v>
      </c>
      <c r="C46" s="135" t="s">
        <v>58</v>
      </c>
      <c r="D46" s="134" t="s">
        <v>1</v>
      </c>
      <c r="E46" s="146">
        <v>1.302083333333333</v>
      </c>
      <c r="F46" s="134" t="s">
        <v>64</v>
      </c>
      <c r="G46" s="136">
        <v>11</v>
      </c>
      <c r="H46" s="147" t="s">
        <v>65</v>
      </c>
      <c r="I46" s="2"/>
    </row>
    <row r="47" spans="1:9" ht="19.8" customHeight="1" x14ac:dyDescent="0.3">
      <c r="A47" s="145">
        <v>45981</v>
      </c>
      <c r="B47" s="134" t="s">
        <v>57</v>
      </c>
      <c r="C47" s="135" t="s">
        <v>72</v>
      </c>
      <c r="D47" s="134" t="s">
        <v>1</v>
      </c>
      <c r="E47" s="146">
        <v>1.1284722222222221</v>
      </c>
      <c r="F47" s="134" t="s">
        <v>64</v>
      </c>
      <c r="G47" s="136">
        <v>6</v>
      </c>
      <c r="H47" s="147" t="s">
        <v>65</v>
      </c>
      <c r="I47" s="2"/>
    </row>
    <row r="48" spans="1:9" ht="19.8" customHeight="1" x14ac:dyDescent="0.3">
      <c r="A48" s="145">
        <v>45981</v>
      </c>
      <c r="B48" s="134" t="s">
        <v>57</v>
      </c>
      <c r="C48" s="135" t="s">
        <v>66</v>
      </c>
      <c r="D48" s="134" t="s">
        <v>1</v>
      </c>
      <c r="E48" s="146">
        <v>1.788194444444444</v>
      </c>
      <c r="F48" s="134" t="s">
        <v>64</v>
      </c>
      <c r="G48" s="136">
        <v>20</v>
      </c>
      <c r="H48" s="147" t="s">
        <v>65</v>
      </c>
      <c r="I48" s="2"/>
    </row>
    <row r="49" spans="1:9" ht="19.8" customHeight="1" x14ac:dyDescent="0.3">
      <c r="A49" s="145">
        <v>45981</v>
      </c>
      <c r="B49" s="134" t="s">
        <v>57</v>
      </c>
      <c r="C49" s="135" t="s">
        <v>69</v>
      </c>
      <c r="D49" s="134" t="s">
        <v>1</v>
      </c>
      <c r="E49" s="146">
        <v>1.8888888888888891</v>
      </c>
      <c r="F49" s="134" t="s">
        <v>64</v>
      </c>
      <c r="G49" s="136">
        <v>16</v>
      </c>
      <c r="H49" s="147" t="s">
        <v>65</v>
      </c>
      <c r="I49" s="2"/>
    </row>
    <row r="50" spans="1:9" ht="19.8" customHeight="1" x14ac:dyDescent="0.3">
      <c r="A50" s="145">
        <v>45981</v>
      </c>
      <c r="B50" s="134" t="s">
        <v>128</v>
      </c>
      <c r="C50" s="135" t="s">
        <v>129</v>
      </c>
      <c r="D50" s="134" t="s">
        <v>1</v>
      </c>
      <c r="E50" s="146">
        <v>1.243055555555556</v>
      </c>
      <c r="F50" s="134" t="s">
        <v>130</v>
      </c>
      <c r="G50" s="136">
        <v>9</v>
      </c>
      <c r="H50" s="147" t="s">
        <v>131</v>
      </c>
      <c r="I50" s="2"/>
    </row>
    <row r="51" spans="1:9" ht="19.8" customHeight="1" x14ac:dyDescent="0.3">
      <c r="A51" s="145">
        <v>45981</v>
      </c>
      <c r="B51" s="134" t="s">
        <v>128</v>
      </c>
      <c r="C51" s="135" t="s">
        <v>135</v>
      </c>
      <c r="D51" s="134" t="s">
        <v>1</v>
      </c>
      <c r="E51" s="146">
        <v>1.1423611111111109</v>
      </c>
      <c r="F51" s="134" t="s">
        <v>130</v>
      </c>
      <c r="G51" s="136">
        <v>9</v>
      </c>
      <c r="H51" s="147" t="s">
        <v>131</v>
      </c>
      <c r="I51" s="2"/>
    </row>
    <row r="52" spans="1:9" ht="19.8" customHeight="1" x14ac:dyDescent="0.3">
      <c r="A52" s="145">
        <v>45981</v>
      </c>
      <c r="B52" s="134" t="s">
        <v>152</v>
      </c>
      <c r="C52" s="135" t="s">
        <v>153</v>
      </c>
      <c r="D52" s="134" t="s">
        <v>1</v>
      </c>
      <c r="E52" s="146">
        <v>1.0138888888888891</v>
      </c>
      <c r="F52" s="134" t="s">
        <v>154</v>
      </c>
      <c r="G52" s="136">
        <v>9</v>
      </c>
      <c r="H52" s="147" t="s">
        <v>155</v>
      </c>
      <c r="I52" s="2"/>
    </row>
    <row r="53" spans="1:9" ht="19.8" customHeight="1" x14ac:dyDescent="0.3">
      <c r="A53" s="145">
        <v>45981</v>
      </c>
      <c r="B53" s="134" t="s">
        <v>128</v>
      </c>
      <c r="C53" s="135" t="s">
        <v>129</v>
      </c>
      <c r="D53" s="134" t="s">
        <v>1</v>
      </c>
      <c r="E53" s="146">
        <v>1.243055555555556</v>
      </c>
      <c r="F53" s="134" t="s">
        <v>132</v>
      </c>
      <c r="G53" s="136">
        <v>9</v>
      </c>
      <c r="H53" s="147" t="s">
        <v>134</v>
      </c>
      <c r="I53" s="2"/>
    </row>
    <row r="54" spans="1:9" ht="19.8" customHeight="1" x14ac:dyDescent="0.3">
      <c r="A54" s="145">
        <v>45981</v>
      </c>
      <c r="B54" s="134" t="s">
        <v>128</v>
      </c>
      <c r="C54" s="135" t="s">
        <v>135</v>
      </c>
      <c r="D54" s="134" t="s">
        <v>1</v>
      </c>
      <c r="E54" s="146">
        <v>1.1423611111111109</v>
      </c>
      <c r="F54" s="134" t="s">
        <v>132</v>
      </c>
      <c r="G54" s="136">
        <v>9</v>
      </c>
      <c r="H54" s="147" t="s">
        <v>134</v>
      </c>
      <c r="I54" s="2"/>
    </row>
    <row r="55" spans="1:9" ht="19.8" customHeight="1" x14ac:dyDescent="0.3">
      <c r="A55" s="143">
        <v>45981</v>
      </c>
      <c r="B55" s="139" t="s">
        <v>95</v>
      </c>
      <c r="C55" s="140" t="s">
        <v>123</v>
      </c>
      <c r="D55" s="139" t="s">
        <v>1</v>
      </c>
      <c r="E55" s="144">
        <v>1.739583333333333</v>
      </c>
      <c r="F55" s="139" t="s">
        <v>97</v>
      </c>
      <c r="G55" s="141">
        <v>6</v>
      </c>
      <c r="H55" s="148" t="s">
        <v>124</v>
      </c>
      <c r="I55" s="2"/>
    </row>
    <row r="56" spans="1:9" ht="19.8" customHeight="1" x14ac:dyDescent="0.3">
      <c r="A56" s="145">
        <v>45981</v>
      </c>
      <c r="B56" s="134" t="s">
        <v>152</v>
      </c>
      <c r="C56" s="135" t="s">
        <v>156</v>
      </c>
      <c r="D56" s="134" t="s">
        <v>1</v>
      </c>
      <c r="E56" s="146">
        <v>1.4861111111111109</v>
      </c>
      <c r="F56" s="134" t="s">
        <v>154</v>
      </c>
      <c r="G56" s="136">
        <v>9</v>
      </c>
      <c r="H56" s="147" t="s">
        <v>157</v>
      </c>
      <c r="I56" s="2"/>
    </row>
    <row r="57" spans="1:9" ht="19.8" customHeight="1" x14ac:dyDescent="0.3">
      <c r="A57" s="145">
        <v>45981</v>
      </c>
      <c r="B57" s="134" t="s">
        <v>152</v>
      </c>
      <c r="C57" s="135" t="s">
        <v>158</v>
      </c>
      <c r="D57" s="134" t="s">
        <v>1</v>
      </c>
      <c r="E57" s="146">
        <v>1.5138888888888891</v>
      </c>
      <c r="F57" s="134" t="s">
        <v>154</v>
      </c>
      <c r="G57" s="136">
        <v>9</v>
      </c>
      <c r="H57" s="147" t="s">
        <v>157</v>
      </c>
      <c r="I57" s="2"/>
    </row>
    <row r="58" spans="1:9" ht="19.8" customHeight="1" x14ac:dyDescent="0.3">
      <c r="A58" s="145">
        <v>45981</v>
      </c>
      <c r="B58" s="134" t="s">
        <v>152</v>
      </c>
      <c r="C58" s="135" t="s">
        <v>159</v>
      </c>
      <c r="D58" s="134" t="s">
        <v>1</v>
      </c>
      <c r="E58" s="146">
        <v>1.2222222222222221</v>
      </c>
      <c r="F58" s="134" t="s">
        <v>154</v>
      </c>
      <c r="G58" s="136">
        <v>9</v>
      </c>
      <c r="H58" s="147" t="s">
        <v>160</v>
      </c>
      <c r="I58" s="2"/>
    </row>
    <row r="59" spans="1:9" ht="19.8" customHeight="1" x14ac:dyDescent="0.3">
      <c r="A59" s="145">
        <v>45981</v>
      </c>
      <c r="B59" s="134" t="s">
        <v>128</v>
      </c>
      <c r="C59" s="135" t="s">
        <v>137</v>
      </c>
      <c r="D59" s="134" t="s">
        <v>1</v>
      </c>
      <c r="E59" s="146">
        <v>1.006944444444444</v>
      </c>
      <c r="F59" s="134" t="s">
        <v>130</v>
      </c>
      <c r="G59" s="136">
        <v>9</v>
      </c>
      <c r="H59" s="147" t="s">
        <v>138</v>
      </c>
      <c r="I59" s="2"/>
    </row>
    <row r="60" spans="1:9" ht="19.8" customHeight="1" x14ac:dyDescent="0.3">
      <c r="A60" s="145">
        <v>45981</v>
      </c>
      <c r="B60" s="134" t="s">
        <v>128</v>
      </c>
      <c r="C60" s="135" t="s">
        <v>137</v>
      </c>
      <c r="D60" s="134" t="s">
        <v>1</v>
      </c>
      <c r="E60" s="146">
        <v>1.006944444444444</v>
      </c>
      <c r="F60" s="134" t="s">
        <v>132</v>
      </c>
      <c r="G60" s="136">
        <v>9</v>
      </c>
      <c r="H60" s="147" t="s">
        <v>139</v>
      </c>
      <c r="I60" s="2"/>
    </row>
    <row r="61" spans="1:9" ht="19.8" customHeight="1" x14ac:dyDescent="0.3">
      <c r="A61" s="145">
        <v>45981</v>
      </c>
      <c r="B61" s="134" t="s">
        <v>128</v>
      </c>
      <c r="C61" s="135" t="s">
        <v>140</v>
      </c>
      <c r="D61" s="134" t="s">
        <v>1</v>
      </c>
      <c r="E61" s="146">
        <v>1.3784722222222221</v>
      </c>
      <c r="F61" s="134" t="s">
        <v>130</v>
      </c>
      <c r="G61" s="136">
        <v>9</v>
      </c>
      <c r="H61" s="147" t="s">
        <v>141</v>
      </c>
      <c r="I61" s="2"/>
    </row>
    <row r="62" spans="1:9" ht="19.8" customHeight="1" x14ac:dyDescent="0.3">
      <c r="A62" s="145">
        <v>45981</v>
      </c>
      <c r="B62" s="134" t="s">
        <v>128</v>
      </c>
      <c r="C62" s="135" t="s">
        <v>143</v>
      </c>
      <c r="D62" s="134" t="s">
        <v>1</v>
      </c>
      <c r="E62" s="146">
        <v>1.930555555555556</v>
      </c>
      <c r="F62" s="134" t="s">
        <v>130</v>
      </c>
      <c r="G62" s="136">
        <v>9</v>
      </c>
      <c r="H62" s="147" t="s">
        <v>141</v>
      </c>
      <c r="I62" s="2"/>
    </row>
    <row r="63" spans="1:9" ht="19.8" customHeight="1" x14ac:dyDescent="0.3">
      <c r="A63" s="145">
        <v>45981</v>
      </c>
      <c r="B63" s="134" t="s">
        <v>128</v>
      </c>
      <c r="C63" s="135" t="s">
        <v>144</v>
      </c>
      <c r="D63" s="134" t="s">
        <v>1</v>
      </c>
      <c r="E63" s="146">
        <v>1.8888888888888891</v>
      </c>
      <c r="F63" s="134" t="s">
        <v>132</v>
      </c>
      <c r="G63" s="136">
        <v>4</v>
      </c>
      <c r="H63" s="147" t="s">
        <v>145</v>
      </c>
      <c r="I63" s="2"/>
    </row>
    <row r="64" spans="1:9" ht="19.8" customHeight="1" x14ac:dyDescent="0.3">
      <c r="A64" s="145">
        <v>45981</v>
      </c>
      <c r="B64" s="134" t="s">
        <v>128</v>
      </c>
      <c r="C64" s="135" t="s">
        <v>146</v>
      </c>
      <c r="D64" s="134" t="s">
        <v>1</v>
      </c>
      <c r="E64" s="146">
        <v>1.302083333333333</v>
      </c>
      <c r="F64" s="134" t="s">
        <v>132</v>
      </c>
      <c r="G64" s="136">
        <v>4</v>
      </c>
      <c r="H64" s="147" t="s">
        <v>145</v>
      </c>
      <c r="I64" s="2"/>
    </row>
    <row r="65" spans="1:9" ht="19.8" customHeight="1" x14ac:dyDescent="0.3">
      <c r="A65" s="145">
        <v>45981</v>
      </c>
      <c r="B65" s="134" t="s">
        <v>128</v>
      </c>
      <c r="C65" s="135" t="s">
        <v>147</v>
      </c>
      <c r="D65" s="134" t="s">
        <v>1</v>
      </c>
      <c r="E65" s="146">
        <v>1.1284722222222221</v>
      </c>
      <c r="F65" s="134" t="s">
        <v>132</v>
      </c>
      <c r="G65" s="136">
        <v>4</v>
      </c>
      <c r="H65" s="147" t="s">
        <v>145</v>
      </c>
      <c r="I65" s="2"/>
    </row>
    <row r="66" spans="1:9" ht="19.8" customHeight="1" x14ac:dyDescent="0.3">
      <c r="A66" s="145">
        <v>45981</v>
      </c>
      <c r="B66" s="134" t="s">
        <v>128</v>
      </c>
      <c r="C66" s="135" t="s">
        <v>148</v>
      </c>
      <c r="D66" s="134" t="s">
        <v>1</v>
      </c>
      <c r="E66" s="146">
        <v>1.788194444444444</v>
      </c>
      <c r="F66" s="134" t="s">
        <v>132</v>
      </c>
      <c r="G66" s="136">
        <v>4</v>
      </c>
      <c r="H66" s="147" t="s">
        <v>145</v>
      </c>
      <c r="I66" s="2"/>
    </row>
    <row r="67" spans="1:9" ht="19.8" customHeight="1" x14ac:dyDescent="0.3">
      <c r="A67" s="145">
        <v>45981</v>
      </c>
      <c r="B67" s="134" t="s">
        <v>128</v>
      </c>
      <c r="C67" s="135" t="s">
        <v>140</v>
      </c>
      <c r="D67" s="134" t="s">
        <v>1</v>
      </c>
      <c r="E67" s="146">
        <v>1.3784722222222221</v>
      </c>
      <c r="F67" s="134" t="s">
        <v>132</v>
      </c>
      <c r="G67" s="136">
        <v>9</v>
      </c>
      <c r="H67" s="147" t="s">
        <v>142</v>
      </c>
      <c r="I67" s="2"/>
    </row>
    <row r="68" spans="1:9" ht="19.8" customHeight="1" x14ac:dyDescent="0.3">
      <c r="A68" s="145">
        <v>45981</v>
      </c>
      <c r="B68" s="134" t="s">
        <v>128</v>
      </c>
      <c r="C68" s="135" t="s">
        <v>143</v>
      </c>
      <c r="D68" s="134" t="s">
        <v>1</v>
      </c>
      <c r="E68" s="146">
        <v>1.930555555555556</v>
      </c>
      <c r="F68" s="134" t="s">
        <v>132</v>
      </c>
      <c r="G68" s="136">
        <v>9</v>
      </c>
      <c r="H68" s="147" t="s">
        <v>142</v>
      </c>
      <c r="I68" s="2"/>
    </row>
    <row r="69" spans="1:9" ht="19.8" customHeight="1" x14ac:dyDescent="0.3">
      <c r="A69" s="145">
        <v>45981</v>
      </c>
      <c r="B69" s="134" t="s">
        <v>152</v>
      </c>
      <c r="C69" s="135" t="s">
        <v>161</v>
      </c>
      <c r="D69" s="134" t="s">
        <v>1</v>
      </c>
      <c r="E69" s="146">
        <v>1.145833333333333</v>
      </c>
      <c r="F69" s="134" t="s">
        <v>154</v>
      </c>
      <c r="G69" s="136">
        <v>9</v>
      </c>
      <c r="H69" s="147" t="s">
        <v>162</v>
      </c>
      <c r="I69" s="2"/>
    </row>
    <row r="70" spans="1:9" ht="19.8" customHeight="1" x14ac:dyDescent="0.3">
      <c r="A70" s="145">
        <v>45981</v>
      </c>
      <c r="B70" s="134" t="s">
        <v>152</v>
      </c>
      <c r="C70" s="135" t="s">
        <v>163</v>
      </c>
      <c r="D70" s="134" t="s">
        <v>1</v>
      </c>
      <c r="E70" s="146">
        <v>1.2777777777777779</v>
      </c>
      <c r="F70" s="134" t="s">
        <v>154</v>
      </c>
      <c r="G70" s="136">
        <v>9</v>
      </c>
      <c r="H70" s="147" t="s">
        <v>162</v>
      </c>
      <c r="I70" s="2"/>
    </row>
    <row r="71" spans="1:9" ht="19.8" customHeight="1" x14ac:dyDescent="0.3">
      <c r="A71" s="145">
        <v>45981</v>
      </c>
      <c r="B71" s="134" t="s">
        <v>152</v>
      </c>
      <c r="C71" s="135" t="s">
        <v>164</v>
      </c>
      <c r="D71" s="134" t="s">
        <v>1</v>
      </c>
      <c r="E71" s="146">
        <v>1.958333333333333</v>
      </c>
      <c r="F71" s="134" t="s">
        <v>154</v>
      </c>
      <c r="G71" s="136">
        <v>7</v>
      </c>
      <c r="H71" s="147" t="s">
        <v>162</v>
      </c>
      <c r="I71" s="2"/>
    </row>
    <row r="72" spans="1:9" ht="19.8" customHeight="1" x14ac:dyDescent="0.3">
      <c r="A72" s="145">
        <v>45981</v>
      </c>
      <c r="B72" s="134" t="s">
        <v>152</v>
      </c>
      <c r="C72" s="135" t="s">
        <v>165</v>
      </c>
      <c r="D72" s="134" t="s">
        <v>1</v>
      </c>
      <c r="E72" s="146">
        <v>1.774305555555556</v>
      </c>
      <c r="F72" s="134" t="s">
        <v>154</v>
      </c>
      <c r="G72" s="136">
        <v>4</v>
      </c>
      <c r="H72" s="147" t="s">
        <v>162</v>
      </c>
      <c r="I72" s="2"/>
    </row>
    <row r="73" spans="1:9" ht="19.8" customHeight="1" x14ac:dyDescent="0.3">
      <c r="A73" s="145">
        <v>45981</v>
      </c>
      <c r="B73" s="134" t="s">
        <v>128</v>
      </c>
      <c r="C73" s="135" t="s">
        <v>149</v>
      </c>
      <c r="D73" s="134" t="s">
        <v>1</v>
      </c>
      <c r="E73" s="146">
        <v>1.8298611111111109</v>
      </c>
      <c r="F73" s="134" t="s">
        <v>130</v>
      </c>
      <c r="G73" s="136">
        <v>7</v>
      </c>
      <c r="H73" s="147" t="s">
        <v>150</v>
      </c>
      <c r="I73" s="2"/>
    </row>
    <row r="74" spans="1:9" ht="19.8" customHeight="1" x14ac:dyDescent="0.3">
      <c r="A74" s="149">
        <v>45981</v>
      </c>
      <c r="B74" s="150" t="s">
        <v>128</v>
      </c>
      <c r="C74" s="151" t="s">
        <v>149</v>
      </c>
      <c r="D74" s="150" t="s">
        <v>1</v>
      </c>
      <c r="E74" s="152">
        <v>1.8298611111111109</v>
      </c>
      <c r="F74" s="150" t="s">
        <v>132</v>
      </c>
      <c r="G74" s="153">
        <v>7</v>
      </c>
      <c r="H74" s="154" t="s">
        <v>151</v>
      </c>
      <c r="I74" s="2"/>
    </row>
    <row r="75" spans="1:9" ht="19.8" customHeight="1" x14ac:dyDescent="0.3">
      <c r="A75" s="145">
        <v>45982</v>
      </c>
      <c r="B75" s="134" t="s">
        <v>57</v>
      </c>
      <c r="C75" s="135" t="s">
        <v>58</v>
      </c>
      <c r="D75" s="134" t="s">
        <v>1</v>
      </c>
      <c r="E75" s="146">
        <v>1.302083333333333</v>
      </c>
      <c r="F75" s="134" t="s">
        <v>59</v>
      </c>
      <c r="G75" s="136">
        <v>13</v>
      </c>
      <c r="H75" s="137">
        <v>639</v>
      </c>
      <c r="I75" s="2"/>
    </row>
    <row r="76" spans="1:9" ht="19.8" customHeight="1" x14ac:dyDescent="0.3">
      <c r="A76" s="145">
        <v>45982</v>
      </c>
      <c r="B76" s="134" t="s">
        <v>57</v>
      </c>
      <c r="C76" s="135" t="s">
        <v>72</v>
      </c>
      <c r="D76" s="134" t="s">
        <v>1</v>
      </c>
      <c r="E76" s="146">
        <v>1.1284722222222221</v>
      </c>
      <c r="F76" s="134" t="s">
        <v>59</v>
      </c>
      <c r="G76" s="136">
        <v>13</v>
      </c>
      <c r="H76" s="137">
        <v>639</v>
      </c>
      <c r="I76" s="2"/>
    </row>
    <row r="77" spans="1:9" ht="19.8" customHeight="1" x14ac:dyDescent="0.3">
      <c r="A77" s="145">
        <v>45982</v>
      </c>
      <c r="B77" s="134" t="s">
        <v>57</v>
      </c>
      <c r="C77" s="135" t="s">
        <v>66</v>
      </c>
      <c r="D77" s="134" t="s">
        <v>1</v>
      </c>
      <c r="E77" s="146">
        <v>1.788194444444444</v>
      </c>
      <c r="F77" s="134" t="s">
        <v>59</v>
      </c>
      <c r="G77" s="136">
        <v>12</v>
      </c>
      <c r="H77" s="137">
        <v>639</v>
      </c>
      <c r="I77" s="2"/>
    </row>
    <row r="78" spans="1:9" ht="19.8" customHeight="1" x14ac:dyDescent="0.3">
      <c r="A78" s="145">
        <v>45982</v>
      </c>
      <c r="B78" s="134" t="s">
        <v>57</v>
      </c>
      <c r="C78" s="135" t="s">
        <v>69</v>
      </c>
      <c r="D78" s="134" t="s">
        <v>1</v>
      </c>
      <c r="E78" s="146">
        <v>1.8888888888888891</v>
      </c>
      <c r="F78" s="134" t="s">
        <v>59</v>
      </c>
      <c r="G78" s="136">
        <v>21</v>
      </c>
      <c r="H78" s="137">
        <v>639</v>
      </c>
      <c r="I78" s="2"/>
    </row>
    <row r="79" spans="1:9" ht="19.8" customHeight="1" x14ac:dyDescent="0.3">
      <c r="A79" s="145">
        <v>45982</v>
      </c>
      <c r="B79" s="134" t="s">
        <v>88</v>
      </c>
      <c r="C79" s="135" t="s">
        <v>176</v>
      </c>
      <c r="D79" s="134" t="s">
        <v>1</v>
      </c>
      <c r="E79" s="146">
        <v>1.975694444444444</v>
      </c>
      <c r="F79" s="134" t="s">
        <v>90</v>
      </c>
      <c r="G79" s="136">
        <v>9</v>
      </c>
      <c r="H79" s="137">
        <v>640</v>
      </c>
      <c r="I79" s="2"/>
    </row>
    <row r="80" spans="1:9" ht="19.8" customHeight="1" x14ac:dyDescent="0.3">
      <c r="A80" s="145">
        <v>45982</v>
      </c>
      <c r="B80" s="134" t="s">
        <v>26</v>
      </c>
      <c r="C80" s="135" t="s">
        <v>39</v>
      </c>
      <c r="D80" s="134" t="s">
        <v>1</v>
      </c>
      <c r="E80" s="146">
        <v>1.9027777777777779</v>
      </c>
      <c r="F80" s="134" t="s">
        <v>28</v>
      </c>
      <c r="G80" s="136">
        <v>1</v>
      </c>
      <c r="H80" s="137">
        <v>669</v>
      </c>
      <c r="I80" s="2"/>
    </row>
    <row r="81" spans="1:9" ht="19.8" customHeight="1" x14ac:dyDescent="0.3">
      <c r="A81" s="145">
        <v>45982</v>
      </c>
      <c r="B81" s="134" t="s">
        <v>26</v>
      </c>
      <c r="C81" s="135" t="s">
        <v>46</v>
      </c>
      <c r="D81" s="134" t="s">
        <v>1</v>
      </c>
      <c r="E81" s="146">
        <v>1.7986111111111109</v>
      </c>
      <c r="F81" s="134" t="s">
        <v>28</v>
      </c>
      <c r="G81" s="136">
        <v>2</v>
      </c>
      <c r="H81" s="137">
        <v>669</v>
      </c>
      <c r="I81" s="2"/>
    </row>
    <row r="82" spans="1:9" ht="19.8" customHeight="1" x14ac:dyDescent="0.3">
      <c r="A82" s="145">
        <v>45982</v>
      </c>
      <c r="B82" s="134" t="s">
        <v>26</v>
      </c>
      <c r="C82" s="135" t="s">
        <v>47</v>
      </c>
      <c r="D82" s="134" t="s">
        <v>1</v>
      </c>
      <c r="E82" s="146">
        <v>1.645833333333333</v>
      </c>
      <c r="F82" s="134" t="s">
        <v>28</v>
      </c>
      <c r="G82" s="136">
        <v>9</v>
      </c>
      <c r="H82" s="137">
        <v>719</v>
      </c>
      <c r="I82" s="2"/>
    </row>
    <row r="83" spans="1:9" ht="19.8" customHeight="1" x14ac:dyDescent="0.3">
      <c r="A83" s="145">
        <v>45982</v>
      </c>
      <c r="B83" s="134" t="s">
        <v>26</v>
      </c>
      <c r="C83" s="135" t="s">
        <v>53</v>
      </c>
      <c r="D83" s="134" t="s">
        <v>1</v>
      </c>
      <c r="E83" s="146">
        <v>1.5173611111111109</v>
      </c>
      <c r="F83" s="134" t="s">
        <v>28</v>
      </c>
      <c r="G83" s="136">
        <v>4</v>
      </c>
      <c r="H83" s="137">
        <v>719</v>
      </c>
      <c r="I83" s="2"/>
    </row>
    <row r="84" spans="1:9" ht="19.8" customHeight="1" x14ac:dyDescent="0.3">
      <c r="A84" s="145">
        <v>45982</v>
      </c>
      <c r="B84" s="134" t="s">
        <v>26</v>
      </c>
      <c r="C84" s="135" t="s">
        <v>44</v>
      </c>
      <c r="D84" s="134" t="s">
        <v>1</v>
      </c>
      <c r="E84" s="146">
        <v>1.854166666666667</v>
      </c>
      <c r="F84" s="134" t="s">
        <v>28</v>
      </c>
      <c r="G84" s="136">
        <v>9</v>
      </c>
      <c r="H84" s="137">
        <v>719</v>
      </c>
      <c r="I84" s="2"/>
    </row>
    <row r="85" spans="1:9" ht="19.8" customHeight="1" x14ac:dyDescent="0.3">
      <c r="A85" s="145">
        <v>45982</v>
      </c>
      <c r="B85" s="134" t="s">
        <v>26</v>
      </c>
      <c r="C85" s="135" t="s">
        <v>45</v>
      </c>
      <c r="D85" s="134" t="s">
        <v>1</v>
      </c>
      <c r="E85" s="146">
        <v>1.395833333333333</v>
      </c>
      <c r="F85" s="134" t="s">
        <v>28</v>
      </c>
      <c r="G85" s="136">
        <v>6</v>
      </c>
      <c r="H85" s="137">
        <v>719</v>
      </c>
      <c r="I85" s="2"/>
    </row>
    <row r="86" spans="1:9" ht="19.8" customHeight="1" x14ac:dyDescent="0.3">
      <c r="A86" s="145">
        <v>45982</v>
      </c>
      <c r="B86" s="134" t="s">
        <v>88</v>
      </c>
      <c r="C86" s="135" t="s">
        <v>89</v>
      </c>
      <c r="D86" s="134" t="s">
        <v>1</v>
      </c>
      <c r="E86" s="146">
        <v>1.3923611111111109</v>
      </c>
      <c r="F86" s="134" t="s">
        <v>90</v>
      </c>
      <c r="G86" s="136">
        <v>9</v>
      </c>
      <c r="H86" s="137">
        <v>733</v>
      </c>
      <c r="I86" s="2"/>
    </row>
    <row r="87" spans="1:9" ht="19.8" customHeight="1" x14ac:dyDescent="0.3">
      <c r="A87" s="145">
        <v>45982</v>
      </c>
      <c r="B87" s="134" t="s">
        <v>26</v>
      </c>
      <c r="C87" s="135" t="s">
        <v>39</v>
      </c>
      <c r="D87" s="134" t="s">
        <v>1</v>
      </c>
      <c r="E87" s="146">
        <v>1.9027777777777779</v>
      </c>
      <c r="F87" s="134" t="s">
        <v>31</v>
      </c>
      <c r="G87" s="136">
        <v>1</v>
      </c>
      <c r="H87" s="137">
        <v>769</v>
      </c>
      <c r="I87" s="2"/>
    </row>
    <row r="88" spans="1:9" ht="19.8" customHeight="1" x14ac:dyDescent="0.3">
      <c r="A88" s="145">
        <v>45982</v>
      </c>
      <c r="B88" s="134" t="s">
        <v>26</v>
      </c>
      <c r="C88" s="135" t="s">
        <v>46</v>
      </c>
      <c r="D88" s="134" t="s">
        <v>1</v>
      </c>
      <c r="E88" s="146">
        <v>1.7986111111111109</v>
      </c>
      <c r="F88" s="134" t="s">
        <v>31</v>
      </c>
      <c r="G88" s="136">
        <v>2</v>
      </c>
      <c r="H88" s="137">
        <v>769</v>
      </c>
      <c r="I88" s="2"/>
    </row>
    <row r="89" spans="1:9" ht="19.8" customHeight="1" x14ac:dyDescent="0.3">
      <c r="A89" s="145">
        <v>45982</v>
      </c>
      <c r="B89" s="134" t="s">
        <v>57</v>
      </c>
      <c r="C89" s="135" t="s">
        <v>58</v>
      </c>
      <c r="D89" s="134" t="s">
        <v>1</v>
      </c>
      <c r="E89" s="146">
        <v>1.302083333333333</v>
      </c>
      <c r="F89" s="134" t="s">
        <v>61</v>
      </c>
      <c r="G89" s="136">
        <v>13</v>
      </c>
      <c r="H89" s="137">
        <v>789</v>
      </c>
      <c r="I89" s="2"/>
    </row>
    <row r="90" spans="1:9" ht="19.8" customHeight="1" x14ac:dyDescent="0.3">
      <c r="A90" s="145">
        <v>45982</v>
      </c>
      <c r="B90" s="134" t="s">
        <v>57</v>
      </c>
      <c r="C90" s="135" t="s">
        <v>72</v>
      </c>
      <c r="D90" s="134" t="s">
        <v>1</v>
      </c>
      <c r="E90" s="146">
        <v>1.1284722222222221</v>
      </c>
      <c r="F90" s="134" t="s">
        <v>61</v>
      </c>
      <c r="G90" s="136">
        <v>13</v>
      </c>
      <c r="H90" s="137">
        <v>789</v>
      </c>
      <c r="I90" s="2"/>
    </row>
    <row r="91" spans="1:9" ht="19.8" customHeight="1" x14ac:dyDescent="0.3">
      <c r="A91" s="145">
        <v>45982</v>
      </c>
      <c r="B91" s="134" t="s">
        <v>57</v>
      </c>
      <c r="C91" s="135" t="s">
        <v>66</v>
      </c>
      <c r="D91" s="134" t="s">
        <v>1</v>
      </c>
      <c r="E91" s="146">
        <v>1.788194444444444</v>
      </c>
      <c r="F91" s="134" t="s">
        <v>61</v>
      </c>
      <c r="G91" s="136">
        <v>12</v>
      </c>
      <c r="H91" s="137">
        <v>789</v>
      </c>
      <c r="I91" s="2"/>
    </row>
    <row r="92" spans="1:9" ht="19.8" customHeight="1" x14ac:dyDescent="0.3">
      <c r="A92" s="145">
        <v>45982</v>
      </c>
      <c r="B92" s="134" t="s">
        <v>57</v>
      </c>
      <c r="C92" s="135" t="s">
        <v>69</v>
      </c>
      <c r="D92" s="134" t="s">
        <v>1</v>
      </c>
      <c r="E92" s="146">
        <v>1.8888888888888891</v>
      </c>
      <c r="F92" s="134" t="s">
        <v>61</v>
      </c>
      <c r="G92" s="136">
        <v>21</v>
      </c>
      <c r="H92" s="137">
        <v>789</v>
      </c>
      <c r="I92" s="2"/>
    </row>
    <row r="93" spans="1:9" ht="19.8" customHeight="1" x14ac:dyDescent="0.3">
      <c r="A93" s="145">
        <v>45982</v>
      </c>
      <c r="B93" s="134" t="s">
        <v>26</v>
      </c>
      <c r="C93" s="135" t="s">
        <v>47</v>
      </c>
      <c r="D93" s="134" t="s">
        <v>1</v>
      </c>
      <c r="E93" s="146">
        <v>1.645833333333333</v>
      </c>
      <c r="F93" s="134" t="s">
        <v>31</v>
      </c>
      <c r="G93" s="136">
        <v>9</v>
      </c>
      <c r="H93" s="137">
        <v>819</v>
      </c>
      <c r="I93" s="2"/>
    </row>
    <row r="94" spans="1:9" ht="19.8" customHeight="1" x14ac:dyDescent="0.3">
      <c r="A94" s="145">
        <v>45982</v>
      </c>
      <c r="B94" s="134" t="s">
        <v>26</v>
      </c>
      <c r="C94" s="135" t="s">
        <v>53</v>
      </c>
      <c r="D94" s="134" t="s">
        <v>1</v>
      </c>
      <c r="E94" s="146">
        <v>1.5173611111111109</v>
      </c>
      <c r="F94" s="134" t="s">
        <v>31</v>
      </c>
      <c r="G94" s="136">
        <v>4</v>
      </c>
      <c r="H94" s="137">
        <v>819</v>
      </c>
      <c r="I94" s="2"/>
    </row>
    <row r="95" spans="1:9" ht="19.8" customHeight="1" x14ac:dyDescent="0.3">
      <c r="A95" s="145">
        <v>45982</v>
      </c>
      <c r="B95" s="134" t="s">
        <v>26</v>
      </c>
      <c r="C95" s="135" t="s">
        <v>44</v>
      </c>
      <c r="D95" s="134" t="s">
        <v>1</v>
      </c>
      <c r="E95" s="146">
        <v>1.854166666666667</v>
      </c>
      <c r="F95" s="134" t="s">
        <v>31</v>
      </c>
      <c r="G95" s="136">
        <v>9</v>
      </c>
      <c r="H95" s="137">
        <v>819</v>
      </c>
      <c r="I95" s="2"/>
    </row>
    <row r="96" spans="1:9" ht="19.8" customHeight="1" x14ac:dyDescent="0.3">
      <c r="A96" s="145">
        <v>45982</v>
      </c>
      <c r="B96" s="134" t="s">
        <v>26</v>
      </c>
      <c r="C96" s="135" t="s">
        <v>45</v>
      </c>
      <c r="D96" s="134" t="s">
        <v>1</v>
      </c>
      <c r="E96" s="146">
        <v>1.395833333333333</v>
      </c>
      <c r="F96" s="134" t="s">
        <v>31</v>
      </c>
      <c r="G96" s="136">
        <v>6</v>
      </c>
      <c r="H96" s="137">
        <v>819</v>
      </c>
      <c r="I96" s="2"/>
    </row>
    <row r="97" spans="1:9" ht="19.8" customHeight="1" x14ac:dyDescent="0.3">
      <c r="A97" s="145">
        <v>45982</v>
      </c>
      <c r="B97" s="134" t="s">
        <v>26</v>
      </c>
      <c r="C97" s="135" t="s">
        <v>27</v>
      </c>
      <c r="D97" s="134" t="s">
        <v>1</v>
      </c>
      <c r="E97" s="146">
        <v>1.256944444444444</v>
      </c>
      <c r="F97" s="134" t="s">
        <v>28</v>
      </c>
      <c r="G97" s="136">
        <v>4</v>
      </c>
      <c r="H97" s="137">
        <v>829</v>
      </c>
      <c r="I97" s="2"/>
    </row>
    <row r="98" spans="1:9" ht="19.8" customHeight="1" x14ac:dyDescent="0.3">
      <c r="A98" s="145">
        <v>45982</v>
      </c>
      <c r="B98" s="134" t="s">
        <v>92</v>
      </c>
      <c r="C98" s="135" t="s">
        <v>93</v>
      </c>
      <c r="D98" s="134" t="s">
        <v>1</v>
      </c>
      <c r="E98" s="146">
        <v>1.7152777777777779</v>
      </c>
      <c r="F98" s="134" t="s">
        <v>79</v>
      </c>
      <c r="G98" s="136">
        <v>1</v>
      </c>
      <c r="H98" s="137">
        <v>834</v>
      </c>
      <c r="I98" s="2"/>
    </row>
    <row r="99" spans="1:9" ht="19.8" customHeight="1" x14ac:dyDescent="0.3">
      <c r="A99" s="145">
        <v>45982</v>
      </c>
      <c r="B99" s="134" t="s">
        <v>92</v>
      </c>
      <c r="C99" s="135" t="s">
        <v>185</v>
      </c>
      <c r="D99" s="134" t="s">
        <v>1</v>
      </c>
      <c r="E99" s="146">
        <v>1.416666666666667</v>
      </c>
      <c r="F99" s="134" t="s">
        <v>79</v>
      </c>
      <c r="G99" s="136">
        <v>1</v>
      </c>
      <c r="H99" s="137">
        <v>834</v>
      </c>
      <c r="I99" s="2"/>
    </row>
    <row r="100" spans="1:9" ht="19.8" customHeight="1" x14ac:dyDescent="0.3">
      <c r="A100" s="143">
        <v>45982</v>
      </c>
      <c r="B100" s="139" t="s">
        <v>95</v>
      </c>
      <c r="C100" s="140" t="s">
        <v>96</v>
      </c>
      <c r="D100" s="139" t="s">
        <v>1</v>
      </c>
      <c r="E100" s="144">
        <v>1.114583333333333</v>
      </c>
      <c r="F100" s="139" t="s">
        <v>97</v>
      </c>
      <c r="G100" s="141">
        <v>3</v>
      </c>
      <c r="H100" s="142">
        <v>856</v>
      </c>
      <c r="I100" s="2"/>
    </row>
    <row r="101" spans="1:9" ht="19.8" customHeight="1" x14ac:dyDescent="0.3">
      <c r="A101" s="143">
        <v>45982</v>
      </c>
      <c r="B101" s="139" t="s">
        <v>95</v>
      </c>
      <c r="C101" s="140" t="s">
        <v>110</v>
      </c>
      <c r="D101" s="139" t="s">
        <v>1</v>
      </c>
      <c r="E101" s="144">
        <v>1.7361111111111109</v>
      </c>
      <c r="F101" s="139" t="s">
        <v>97</v>
      </c>
      <c r="G101" s="141">
        <v>5</v>
      </c>
      <c r="H101" s="142">
        <v>856</v>
      </c>
      <c r="I101" s="2"/>
    </row>
    <row r="102" spans="1:9" ht="19.8" customHeight="1" x14ac:dyDescent="0.3">
      <c r="A102" s="143">
        <v>45982</v>
      </c>
      <c r="B102" s="139" t="s">
        <v>95</v>
      </c>
      <c r="C102" s="140" t="s">
        <v>118</v>
      </c>
      <c r="D102" s="139" t="s">
        <v>1</v>
      </c>
      <c r="E102" s="144">
        <v>1.458333333333333</v>
      </c>
      <c r="F102" s="139" t="s">
        <v>97</v>
      </c>
      <c r="G102" s="141">
        <v>7</v>
      </c>
      <c r="H102" s="142">
        <v>856</v>
      </c>
      <c r="I102" s="2"/>
    </row>
    <row r="103" spans="1:9" ht="19.8" customHeight="1" x14ac:dyDescent="0.3">
      <c r="A103" s="143">
        <v>45982</v>
      </c>
      <c r="B103" s="139" t="s">
        <v>95</v>
      </c>
      <c r="C103" s="140" t="s">
        <v>123</v>
      </c>
      <c r="D103" s="139" t="s">
        <v>1</v>
      </c>
      <c r="E103" s="144">
        <v>1.614583333333333</v>
      </c>
      <c r="F103" s="139" t="s">
        <v>97</v>
      </c>
      <c r="G103" s="141">
        <v>6</v>
      </c>
      <c r="H103" s="142">
        <v>856</v>
      </c>
      <c r="I103" s="2"/>
    </row>
    <row r="104" spans="1:9" ht="19.8" customHeight="1" x14ac:dyDescent="0.3">
      <c r="A104" s="145">
        <v>45982</v>
      </c>
      <c r="B104" s="134" t="s">
        <v>26</v>
      </c>
      <c r="C104" s="135" t="s">
        <v>39</v>
      </c>
      <c r="D104" s="134" t="s">
        <v>1</v>
      </c>
      <c r="E104" s="146">
        <v>1.9027777777777779</v>
      </c>
      <c r="F104" s="134" t="s">
        <v>34</v>
      </c>
      <c r="G104" s="136">
        <v>1</v>
      </c>
      <c r="H104" s="137">
        <v>859</v>
      </c>
      <c r="I104" s="2"/>
    </row>
    <row r="105" spans="1:9" ht="19.8" customHeight="1" x14ac:dyDescent="0.3">
      <c r="A105" s="145">
        <v>45982</v>
      </c>
      <c r="B105" s="134" t="s">
        <v>26</v>
      </c>
      <c r="C105" s="135" t="s">
        <v>46</v>
      </c>
      <c r="D105" s="134" t="s">
        <v>1</v>
      </c>
      <c r="E105" s="146">
        <v>1.7986111111111109</v>
      </c>
      <c r="F105" s="134" t="s">
        <v>34</v>
      </c>
      <c r="G105" s="136">
        <v>2</v>
      </c>
      <c r="H105" s="137">
        <v>859</v>
      </c>
      <c r="I105" s="2"/>
    </row>
    <row r="106" spans="1:9" ht="19.8" customHeight="1" x14ac:dyDescent="0.3">
      <c r="A106" s="145">
        <v>45982</v>
      </c>
      <c r="B106" s="134" t="s">
        <v>88</v>
      </c>
      <c r="C106" s="135" t="s">
        <v>176</v>
      </c>
      <c r="D106" s="134" t="s">
        <v>1</v>
      </c>
      <c r="E106" s="146">
        <v>1.975694444444444</v>
      </c>
      <c r="F106" s="134" t="s">
        <v>64</v>
      </c>
      <c r="G106" s="136">
        <v>9</v>
      </c>
      <c r="H106" s="137">
        <v>866</v>
      </c>
      <c r="I106" s="2"/>
    </row>
    <row r="107" spans="1:9" ht="19.8" customHeight="1" x14ac:dyDescent="0.3">
      <c r="A107" s="145">
        <v>45982</v>
      </c>
      <c r="B107" s="134" t="s">
        <v>26</v>
      </c>
      <c r="C107" s="135" t="s">
        <v>47</v>
      </c>
      <c r="D107" s="134" t="s">
        <v>1</v>
      </c>
      <c r="E107" s="146">
        <v>1.645833333333333</v>
      </c>
      <c r="F107" s="134" t="s">
        <v>34</v>
      </c>
      <c r="G107" s="136">
        <v>9</v>
      </c>
      <c r="H107" s="137">
        <v>909</v>
      </c>
      <c r="I107" s="2"/>
    </row>
    <row r="108" spans="1:9" ht="19.8" customHeight="1" x14ac:dyDescent="0.3">
      <c r="A108" s="145">
        <v>45982</v>
      </c>
      <c r="B108" s="134" t="s">
        <v>26</v>
      </c>
      <c r="C108" s="135" t="s">
        <v>53</v>
      </c>
      <c r="D108" s="134" t="s">
        <v>1</v>
      </c>
      <c r="E108" s="146">
        <v>1.5173611111111109</v>
      </c>
      <c r="F108" s="134" t="s">
        <v>34</v>
      </c>
      <c r="G108" s="136">
        <v>4</v>
      </c>
      <c r="H108" s="137">
        <v>909</v>
      </c>
      <c r="I108" s="2"/>
    </row>
    <row r="109" spans="1:9" ht="19.8" customHeight="1" x14ac:dyDescent="0.3">
      <c r="A109" s="145">
        <v>45982</v>
      </c>
      <c r="B109" s="134" t="s">
        <v>26</v>
      </c>
      <c r="C109" s="135" t="s">
        <v>44</v>
      </c>
      <c r="D109" s="134" t="s">
        <v>1</v>
      </c>
      <c r="E109" s="146">
        <v>1.854166666666667</v>
      </c>
      <c r="F109" s="134" t="s">
        <v>34</v>
      </c>
      <c r="G109" s="136">
        <v>9</v>
      </c>
      <c r="H109" s="137">
        <v>909</v>
      </c>
      <c r="I109" s="2"/>
    </row>
    <row r="110" spans="1:9" ht="19.8" customHeight="1" x14ac:dyDescent="0.3">
      <c r="A110" s="145">
        <v>45982</v>
      </c>
      <c r="B110" s="134" t="s">
        <v>26</v>
      </c>
      <c r="C110" s="135" t="s">
        <v>45</v>
      </c>
      <c r="D110" s="134" t="s">
        <v>1</v>
      </c>
      <c r="E110" s="146">
        <v>1.395833333333333</v>
      </c>
      <c r="F110" s="134" t="s">
        <v>34</v>
      </c>
      <c r="G110" s="136">
        <v>6</v>
      </c>
      <c r="H110" s="137">
        <v>909</v>
      </c>
      <c r="I110" s="2"/>
    </row>
    <row r="111" spans="1:9" ht="19.8" customHeight="1" x14ac:dyDescent="0.3">
      <c r="A111" s="145">
        <v>45982</v>
      </c>
      <c r="B111" s="134" t="s">
        <v>26</v>
      </c>
      <c r="C111" s="135" t="s">
        <v>27</v>
      </c>
      <c r="D111" s="134" t="s">
        <v>1</v>
      </c>
      <c r="E111" s="146">
        <v>1.256944444444444</v>
      </c>
      <c r="F111" s="134" t="s">
        <v>31</v>
      </c>
      <c r="G111" s="136">
        <v>4</v>
      </c>
      <c r="H111" s="137">
        <v>929</v>
      </c>
      <c r="I111" s="2"/>
    </row>
    <row r="112" spans="1:9" ht="19.8" customHeight="1" x14ac:dyDescent="0.3">
      <c r="A112" s="143">
        <v>45982</v>
      </c>
      <c r="B112" s="139" t="s">
        <v>95</v>
      </c>
      <c r="C112" s="140" t="s">
        <v>114</v>
      </c>
      <c r="D112" s="139" t="s">
        <v>1</v>
      </c>
      <c r="E112" s="144">
        <v>1.319444444444444</v>
      </c>
      <c r="F112" s="139" t="s">
        <v>97</v>
      </c>
      <c r="G112" s="141">
        <v>7</v>
      </c>
      <c r="H112" s="142">
        <v>952</v>
      </c>
      <c r="I112" s="2"/>
    </row>
    <row r="113" spans="1:9" ht="19.8" customHeight="1" x14ac:dyDescent="0.3">
      <c r="A113" s="145">
        <v>45982</v>
      </c>
      <c r="B113" s="134" t="s">
        <v>88</v>
      </c>
      <c r="C113" s="135" t="s">
        <v>89</v>
      </c>
      <c r="D113" s="134" t="s">
        <v>1</v>
      </c>
      <c r="E113" s="146">
        <v>1.3923611111111109</v>
      </c>
      <c r="F113" s="134" t="s">
        <v>64</v>
      </c>
      <c r="G113" s="136">
        <v>9</v>
      </c>
      <c r="H113" s="137">
        <v>959</v>
      </c>
      <c r="I113" s="2"/>
    </row>
    <row r="114" spans="1:9" ht="19.8" customHeight="1" x14ac:dyDescent="0.3">
      <c r="A114" s="145">
        <v>45982</v>
      </c>
      <c r="B114" s="134" t="s">
        <v>26</v>
      </c>
      <c r="C114" s="135" t="s">
        <v>27</v>
      </c>
      <c r="D114" s="134" t="s">
        <v>1</v>
      </c>
      <c r="E114" s="146">
        <v>1.256944444444444</v>
      </c>
      <c r="F114" s="134" t="s">
        <v>34</v>
      </c>
      <c r="G114" s="136">
        <v>4</v>
      </c>
      <c r="H114" s="147" t="s">
        <v>56</v>
      </c>
      <c r="I114" s="2"/>
    </row>
    <row r="115" spans="1:9" ht="19.8" customHeight="1" x14ac:dyDescent="0.3">
      <c r="A115" s="145">
        <v>45982</v>
      </c>
      <c r="B115" s="134" t="s">
        <v>57</v>
      </c>
      <c r="C115" s="135" t="s">
        <v>58</v>
      </c>
      <c r="D115" s="134" t="s">
        <v>1</v>
      </c>
      <c r="E115" s="146">
        <v>1.302083333333333</v>
      </c>
      <c r="F115" s="134" t="s">
        <v>64</v>
      </c>
      <c r="G115" s="136">
        <v>13</v>
      </c>
      <c r="H115" s="147" t="s">
        <v>65</v>
      </c>
      <c r="I115" s="2"/>
    </row>
    <row r="116" spans="1:9" ht="19.8" customHeight="1" x14ac:dyDescent="0.3">
      <c r="A116" s="145">
        <v>45982</v>
      </c>
      <c r="B116" s="134" t="s">
        <v>57</v>
      </c>
      <c r="C116" s="135" t="s">
        <v>72</v>
      </c>
      <c r="D116" s="134" t="s">
        <v>1</v>
      </c>
      <c r="E116" s="146">
        <v>1.1284722222222221</v>
      </c>
      <c r="F116" s="134" t="s">
        <v>64</v>
      </c>
      <c r="G116" s="136">
        <v>13</v>
      </c>
      <c r="H116" s="147" t="s">
        <v>65</v>
      </c>
      <c r="I116" s="2"/>
    </row>
    <row r="117" spans="1:9" ht="19.8" customHeight="1" x14ac:dyDescent="0.3">
      <c r="A117" s="145">
        <v>45982</v>
      </c>
      <c r="B117" s="134" t="s">
        <v>57</v>
      </c>
      <c r="C117" s="135" t="s">
        <v>69</v>
      </c>
      <c r="D117" s="134" t="s">
        <v>1</v>
      </c>
      <c r="E117" s="146">
        <v>1.8888888888888891</v>
      </c>
      <c r="F117" s="134" t="s">
        <v>64</v>
      </c>
      <c r="G117" s="136">
        <v>21</v>
      </c>
      <c r="H117" s="147" t="s">
        <v>65</v>
      </c>
      <c r="I117" s="2"/>
    </row>
    <row r="118" spans="1:9" ht="19.8" customHeight="1" x14ac:dyDescent="0.3">
      <c r="A118" s="145">
        <v>45982</v>
      </c>
      <c r="B118" s="134" t="s">
        <v>152</v>
      </c>
      <c r="C118" s="135" t="s">
        <v>159</v>
      </c>
      <c r="D118" s="134" t="s">
        <v>1</v>
      </c>
      <c r="E118" s="146">
        <v>1.229166666666667</v>
      </c>
      <c r="F118" s="134" t="s">
        <v>154</v>
      </c>
      <c r="G118" s="136">
        <v>9</v>
      </c>
      <c r="H118" s="147" t="s">
        <v>203</v>
      </c>
      <c r="I118" s="2"/>
    </row>
    <row r="119" spans="1:9" ht="19.8" customHeight="1" x14ac:dyDescent="0.3">
      <c r="A119" s="145">
        <v>45982</v>
      </c>
      <c r="B119" s="134" t="s">
        <v>152</v>
      </c>
      <c r="C119" s="135" t="s">
        <v>164</v>
      </c>
      <c r="D119" s="134" t="s">
        <v>1</v>
      </c>
      <c r="E119" s="146">
        <v>1.9652777777777779</v>
      </c>
      <c r="F119" s="134" t="s">
        <v>154</v>
      </c>
      <c r="G119" s="136">
        <v>9</v>
      </c>
      <c r="H119" s="147" t="s">
        <v>157</v>
      </c>
      <c r="I119" s="2"/>
    </row>
    <row r="120" spans="1:9" ht="19.8" customHeight="1" x14ac:dyDescent="0.3">
      <c r="A120" s="145">
        <v>45982</v>
      </c>
      <c r="B120" s="134" t="s">
        <v>152</v>
      </c>
      <c r="C120" s="135" t="s">
        <v>153</v>
      </c>
      <c r="D120" s="134" t="s">
        <v>1</v>
      </c>
      <c r="E120" s="146">
        <v>1.0138888888888891</v>
      </c>
      <c r="F120" s="134" t="s">
        <v>154</v>
      </c>
      <c r="G120" s="136">
        <v>9</v>
      </c>
      <c r="H120" s="147" t="s">
        <v>160</v>
      </c>
      <c r="I120" s="2"/>
    </row>
    <row r="121" spans="1:9" ht="19.8" customHeight="1" x14ac:dyDescent="0.3">
      <c r="A121" s="145">
        <v>45982</v>
      </c>
      <c r="B121" s="134" t="s">
        <v>57</v>
      </c>
      <c r="C121" s="135" t="s">
        <v>66</v>
      </c>
      <c r="D121" s="134" t="s">
        <v>1</v>
      </c>
      <c r="E121" s="146">
        <v>1.788194444444444</v>
      </c>
      <c r="F121" s="134" t="s">
        <v>64</v>
      </c>
      <c r="G121" s="136">
        <v>12</v>
      </c>
      <c r="H121" s="147" t="s">
        <v>173</v>
      </c>
      <c r="I121" s="2"/>
    </row>
    <row r="122" spans="1:9" ht="19.8" customHeight="1" x14ac:dyDescent="0.3">
      <c r="A122" s="145">
        <v>45982</v>
      </c>
      <c r="B122" s="134" t="s">
        <v>152</v>
      </c>
      <c r="C122" s="135" t="s">
        <v>161</v>
      </c>
      <c r="D122" s="134" t="s">
        <v>1</v>
      </c>
      <c r="E122" s="146">
        <v>1.145833333333333</v>
      </c>
      <c r="F122" s="134" t="s">
        <v>154</v>
      </c>
      <c r="G122" s="136">
        <v>9</v>
      </c>
      <c r="H122" s="147" t="s">
        <v>138</v>
      </c>
      <c r="I122" s="2"/>
    </row>
    <row r="123" spans="1:9" ht="19.8" customHeight="1" x14ac:dyDescent="0.3">
      <c r="A123" s="145">
        <v>45982</v>
      </c>
      <c r="B123" s="134" t="s">
        <v>152</v>
      </c>
      <c r="C123" s="135" t="s">
        <v>163</v>
      </c>
      <c r="D123" s="134" t="s">
        <v>1</v>
      </c>
      <c r="E123" s="146">
        <v>1.2777777777777779</v>
      </c>
      <c r="F123" s="134" t="s">
        <v>154</v>
      </c>
      <c r="G123" s="136">
        <v>9</v>
      </c>
      <c r="H123" s="147" t="s">
        <v>138</v>
      </c>
      <c r="I123" s="2"/>
    </row>
    <row r="124" spans="1:9" ht="19.8" customHeight="1" x14ac:dyDescent="0.3">
      <c r="A124" s="145">
        <v>45982</v>
      </c>
      <c r="B124" s="134" t="s">
        <v>152</v>
      </c>
      <c r="C124" s="135" t="s">
        <v>165</v>
      </c>
      <c r="D124" s="134" t="s">
        <v>1</v>
      </c>
      <c r="E124" s="146">
        <v>1.791666666666667</v>
      </c>
      <c r="F124" s="134" t="s">
        <v>154</v>
      </c>
      <c r="G124" s="136">
        <v>9</v>
      </c>
      <c r="H124" s="147" t="s">
        <v>138</v>
      </c>
      <c r="I124" s="2"/>
    </row>
    <row r="125" spans="1:9" ht="19.8" customHeight="1" x14ac:dyDescent="0.3">
      <c r="A125" s="145">
        <v>45982</v>
      </c>
      <c r="B125" s="134" t="s">
        <v>128</v>
      </c>
      <c r="C125" s="135" t="s">
        <v>204</v>
      </c>
      <c r="D125" s="134" t="s">
        <v>1</v>
      </c>
      <c r="E125" s="146">
        <v>1.71875</v>
      </c>
      <c r="F125" s="134" t="s">
        <v>130</v>
      </c>
      <c r="G125" s="136">
        <v>9</v>
      </c>
      <c r="H125" s="147" t="s">
        <v>138</v>
      </c>
      <c r="I125" s="2"/>
    </row>
    <row r="126" spans="1:9" ht="19.8" customHeight="1" x14ac:dyDescent="0.3">
      <c r="A126" s="145">
        <v>45982</v>
      </c>
      <c r="B126" s="134" t="s">
        <v>128</v>
      </c>
      <c r="C126" s="135" t="s">
        <v>129</v>
      </c>
      <c r="D126" s="134" t="s">
        <v>1</v>
      </c>
      <c r="E126" s="146">
        <v>1.239583333333333</v>
      </c>
      <c r="F126" s="134" t="s">
        <v>130</v>
      </c>
      <c r="G126" s="136">
        <v>9</v>
      </c>
      <c r="H126" s="147" t="s">
        <v>138</v>
      </c>
      <c r="I126" s="2"/>
    </row>
    <row r="127" spans="1:9" ht="19.8" customHeight="1" x14ac:dyDescent="0.3">
      <c r="A127" s="145">
        <v>45982</v>
      </c>
      <c r="B127" s="134" t="s">
        <v>128</v>
      </c>
      <c r="C127" s="135" t="s">
        <v>135</v>
      </c>
      <c r="D127" s="134" t="s">
        <v>1</v>
      </c>
      <c r="E127" s="146">
        <v>1.1423611111111109</v>
      </c>
      <c r="F127" s="134" t="s">
        <v>130</v>
      </c>
      <c r="G127" s="136">
        <v>9</v>
      </c>
      <c r="H127" s="147" t="s">
        <v>138</v>
      </c>
      <c r="I127" s="2"/>
    </row>
    <row r="128" spans="1:9" ht="19.8" customHeight="1" x14ac:dyDescent="0.3">
      <c r="A128" s="145">
        <v>45982</v>
      </c>
      <c r="B128" s="134" t="s">
        <v>128</v>
      </c>
      <c r="C128" s="135" t="s">
        <v>143</v>
      </c>
      <c r="D128" s="134" t="s">
        <v>1</v>
      </c>
      <c r="E128" s="146">
        <v>1.930555555555556</v>
      </c>
      <c r="F128" s="134" t="s">
        <v>130</v>
      </c>
      <c r="G128" s="136">
        <v>9</v>
      </c>
      <c r="H128" s="147" t="s">
        <v>138</v>
      </c>
      <c r="I128" s="2"/>
    </row>
    <row r="129" spans="1:9" ht="19.8" customHeight="1" x14ac:dyDescent="0.3">
      <c r="A129" s="145">
        <v>45982</v>
      </c>
      <c r="B129" s="134" t="s">
        <v>128</v>
      </c>
      <c r="C129" s="135" t="s">
        <v>149</v>
      </c>
      <c r="D129" s="134" t="s">
        <v>1</v>
      </c>
      <c r="E129" s="146">
        <v>1.8298611111111109</v>
      </c>
      <c r="F129" s="134" t="s">
        <v>130</v>
      </c>
      <c r="G129" s="136">
        <v>9</v>
      </c>
      <c r="H129" s="147" t="s">
        <v>138</v>
      </c>
      <c r="I129" s="2"/>
    </row>
    <row r="130" spans="1:9" ht="19.8" customHeight="1" x14ac:dyDescent="0.3">
      <c r="A130" s="145">
        <v>45982</v>
      </c>
      <c r="B130" s="134" t="s">
        <v>128</v>
      </c>
      <c r="C130" s="135" t="s">
        <v>204</v>
      </c>
      <c r="D130" s="134" t="s">
        <v>1</v>
      </c>
      <c r="E130" s="146">
        <v>1.71875</v>
      </c>
      <c r="F130" s="134" t="s">
        <v>132</v>
      </c>
      <c r="G130" s="136">
        <v>9</v>
      </c>
      <c r="H130" s="147" t="s">
        <v>139</v>
      </c>
      <c r="I130" s="2"/>
    </row>
    <row r="131" spans="1:9" ht="19.8" customHeight="1" x14ac:dyDescent="0.3">
      <c r="A131" s="145">
        <v>45982</v>
      </c>
      <c r="B131" s="134" t="s">
        <v>128</v>
      </c>
      <c r="C131" s="135" t="s">
        <v>129</v>
      </c>
      <c r="D131" s="134" t="s">
        <v>1</v>
      </c>
      <c r="E131" s="146">
        <v>1.239583333333333</v>
      </c>
      <c r="F131" s="134" t="s">
        <v>132</v>
      </c>
      <c r="G131" s="136">
        <v>9</v>
      </c>
      <c r="H131" s="147" t="s">
        <v>139</v>
      </c>
      <c r="I131" s="2"/>
    </row>
    <row r="132" spans="1:9" ht="19.8" customHeight="1" x14ac:dyDescent="0.3">
      <c r="A132" s="145">
        <v>45982</v>
      </c>
      <c r="B132" s="134" t="s">
        <v>128</v>
      </c>
      <c r="C132" s="135" t="s">
        <v>135</v>
      </c>
      <c r="D132" s="134" t="s">
        <v>1</v>
      </c>
      <c r="E132" s="146">
        <v>1.1423611111111109</v>
      </c>
      <c r="F132" s="134" t="s">
        <v>132</v>
      </c>
      <c r="G132" s="136">
        <v>9</v>
      </c>
      <c r="H132" s="147" t="s">
        <v>139</v>
      </c>
      <c r="I132" s="2"/>
    </row>
    <row r="133" spans="1:9" ht="19.8" customHeight="1" x14ac:dyDescent="0.3">
      <c r="A133" s="145">
        <v>45982</v>
      </c>
      <c r="B133" s="134" t="s">
        <v>128</v>
      </c>
      <c r="C133" s="135" t="s">
        <v>143</v>
      </c>
      <c r="D133" s="134" t="s">
        <v>1</v>
      </c>
      <c r="E133" s="146">
        <v>1.930555555555556</v>
      </c>
      <c r="F133" s="134" t="s">
        <v>132</v>
      </c>
      <c r="G133" s="136">
        <v>9</v>
      </c>
      <c r="H133" s="147" t="s">
        <v>139</v>
      </c>
      <c r="I133" s="2"/>
    </row>
    <row r="134" spans="1:9" ht="19.8" customHeight="1" x14ac:dyDescent="0.3">
      <c r="A134" s="145">
        <v>45982</v>
      </c>
      <c r="B134" s="134" t="s">
        <v>128</v>
      </c>
      <c r="C134" s="135" t="s">
        <v>149</v>
      </c>
      <c r="D134" s="134" t="s">
        <v>1</v>
      </c>
      <c r="E134" s="146">
        <v>1.8298611111111109</v>
      </c>
      <c r="F134" s="134" t="s">
        <v>132</v>
      </c>
      <c r="G134" s="136">
        <v>9</v>
      </c>
      <c r="H134" s="147" t="s">
        <v>139</v>
      </c>
      <c r="I134" s="2"/>
    </row>
    <row r="135" spans="1:9" ht="19.8" customHeight="1" x14ac:dyDescent="0.3">
      <c r="A135" s="145">
        <v>45982</v>
      </c>
      <c r="B135" s="134" t="s">
        <v>128</v>
      </c>
      <c r="C135" s="135" t="s">
        <v>144</v>
      </c>
      <c r="D135" s="134" t="s">
        <v>1</v>
      </c>
      <c r="E135" s="146">
        <v>1.8888888888888891</v>
      </c>
      <c r="F135" s="134" t="s">
        <v>132</v>
      </c>
      <c r="G135" s="136">
        <v>4</v>
      </c>
      <c r="H135" s="147" t="s">
        <v>205</v>
      </c>
      <c r="I135" s="2"/>
    </row>
    <row r="136" spans="1:9" ht="19.8" customHeight="1" x14ac:dyDescent="0.3">
      <c r="A136" s="145">
        <v>45982</v>
      </c>
      <c r="B136" s="134" t="s">
        <v>128</v>
      </c>
      <c r="C136" s="135" t="s">
        <v>146</v>
      </c>
      <c r="D136" s="134" t="s">
        <v>1</v>
      </c>
      <c r="E136" s="146">
        <v>1.302083333333333</v>
      </c>
      <c r="F136" s="134" t="s">
        <v>132</v>
      </c>
      <c r="G136" s="136">
        <v>4</v>
      </c>
      <c r="H136" s="147" t="s">
        <v>205</v>
      </c>
      <c r="I136" s="2"/>
    </row>
    <row r="137" spans="1:9" ht="19.8" customHeight="1" x14ac:dyDescent="0.3">
      <c r="A137" s="145">
        <v>45982</v>
      </c>
      <c r="B137" s="134" t="s">
        <v>128</v>
      </c>
      <c r="C137" s="135" t="s">
        <v>147</v>
      </c>
      <c r="D137" s="134" t="s">
        <v>1</v>
      </c>
      <c r="E137" s="146">
        <v>1.1284722222222221</v>
      </c>
      <c r="F137" s="134" t="s">
        <v>132</v>
      </c>
      <c r="G137" s="136">
        <v>4</v>
      </c>
      <c r="H137" s="147" t="s">
        <v>205</v>
      </c>
      <c r="I137" s="2"/>
    </row>
    <row r="138" spans="1:9" ht="19.8" customHeight="1" x14ac:dyDescent="0.3">
      <c r="A138" s="145">
        <v>45982</v>
      </c>
      <c r="B138" s="134" t="s">
        <v>128</v>
      </c>
      <c r="C138" s="135" t="s">
        <v>148</v>
      </c>
      <c r="D138" s="134" t="s">
        <v>1</v>
      </c>
      <c r="E138" s="146">
        <v>1.788194444444444</v>
      </c>
      <c r="F138" s="134" t="s">
        <v>132</v>
      </c>
      <c r="G138" s="136">
        <v>4</v>
      </c>
      <c r="H138" s="147" t="s">
        <v>205</v>
      </c>
      <c r="I138" s="2"/>
    </row>
    <row r="139" spans="1:9" ht="19.8" customHeight="1" x14ac:dyDescent="0.3">
      <c r="A139" s="145">
        <v>45982</v>
      </c>
      <c r="B139" s="134" t="s">
        <v>128</v>
      </c>
      <c r="C139" s="135" t="s">
        <v>140</v>
      </c>
      <c r="D139" s="134" t="s">
        <v>1</v>
      </c>
      <c r="E139" s="146">
        <v>1.3784722222222221</v>
      </c>
      <c r="F139" s="134" t="s">
        <v>130</v>
      </c>
      <c r="G139" s="136">
        <v>9</v>
      </c>
      <c r="H139" s="147" t="s">
        <v>141</v>
      </c>
      <c r="I139" s="2"/>
    </row>
    <row r="140" spans="1:9" ht="19.8" customHeight="1" x14ac:dyDescent="0.3">
      <c r="A140" s="145">
        <v>45982</v>
      </c>
      <c r="B140" s="134" t="s">
        <v>128</v>
      </c>
      <c r="C140" s="135" t="s">
        <v>206</v>
      </c>
      <c r="D140" s="134" t="s">
        <v>1</v>
      </c>
      <c r="E140" s="146">
        <v>1.6111111111111109</v>
      </c>
      <c r="F140" s="134" t="s">
        <v>130</v>
      </c>
      <c r="G140" s="136">
        <v>9</v>
      </c>
      <c r="H140" s="147" t="s">
        <v>141</v>
      </c>
      <c r="I140" s="2"/>
    </row>
    <row r="141" spans="1:9" ht="19.8" customHeight="1" x14ac:dyDescent="0.3">
      <c r="A141" s="145">
        <v>45982</v>
      </c>
      <c r="B141" s="134" t="s">
        <v>128</v>
      </c>
      <c r="C141" s="135" t="s">
        <v>137</v>
      </c>
      <c r="D141" s="134" t="s">
        <v>1</v>
      </c>
      <c r="E141" s="146">
        <v>1.006944444444444</v>
      </c>
      <c r="F141" s="134" t="s">
        <v>130</v>
      </c>
      <c r="G141" s="136">
        <v>9</v>
      </c>
      <c r="H141" s="147" t="s">
        <v>141</v>
      </c>
      <c r="I141" s="2"/>
    </row>
    <row r="142" spans="1:9" ht="19.8" customHeight="1" x14ac:dyDescent="0.3">
      <c r="A142" s="145">
        <v>45982</v>
      </c>
      <c r="B142" s="134" t="s">
        <v>128</v>
      </c>
      <c r="C142" s="135" t="s">
        <v>140</v>
      </c>
      <c r="D142" s="134" t="s">
        <v>1</v>
      </c>
      <c r="E142" s="146">
        <v>1.3784722222222221</v>
      </c>
      <c r="F142" s="134" t="s">
        <v>132</v>
      </c>
      <c r="G142" s="136">
        <v>9</v>
      </c>
      <c r="H142" s="147" t="s">
        <v>142</v>
      </c>
      <c r="I142" s="2"/>
    </row>
    <row r="143" spans="1:9" ht="19.8" customHeight="1" x14ac:dyDescent="0.3">
      <c r="A143" s="145">
        <v>45982</v>
      </c>
      <c r="B143" s="134" t="s">
        <v>128</v>
      </c>
      <c r="C143" s="135" t="s">
        <v>206</v>
      </c>
      <c r="D143" s="134" t="s">
        <v>1</v>
      </c>
      <c r="E143" s="146">
        <v>1.6111111111111109</v>
      </c>
      <c r="F143" s="134" t="s">
        <v>132</v>
      </c>
      <c r="G143" s="136">
        <v>9</v>
      </c>
      <c r="H143" s="147" t="s">
        <v>142</v>
      </c>
      <c r="I143" s="2"/>
    </row>
    <row r="144" spans="1:9" ht="19.8" customHeight="1" x14ac:dyDescent="0.3">
      <c r="A144" s="145">
        <v>45982</v>
      </c>
      <c r="B144" s="134" t="s">
        <v>128</v>
      </c>
      <c r="C144" s="135" t="s">
        <v>137</v>
      </c>
      <c r="D144" s="134" t="s">
        <v>1</v>
      </c>
      <c r="E144" s="146">
        <v>1.006944444444444</v>
      </c>
      <c r="F144" s="134" t="s">
        <v>132</v>
      </c>
      <c r="G144" s="136">
        <v>9</v>
      </c>
      <c r="H144" s="147" t="s">
        <v>142</v>
      </c>
      <c r="I144" s="2"/>
    </row>
    <row r="145" spans="1:9" ht="19.8" customHeight="1" x14ac:dyDescent="0.3">
      <c r="A145" s="145">
        <v>45982</v>
      </c>
      <c r="B145" s="134" t="s">
        <v>152</v>
      </c>
      <c r="C145" s="135" t="s">
        <v>156</v>
      </c>
      <c r="D145" s="134" t="s">
        <v>1</v>
      </c>
      <c r="E145" s="146">
        <v>1.506944444444444</v>
      </c>
      <c r="F145" s="134" t="s">
        <v>154</v>
      </c>
      <c r="G145" s="136">
        <v>9</v>
      </c>
      <c r="H145" s="147" t="s">
        <v>162</v>
      </c>
      <c r="I145" s="2"/>
    </row>
    <row r="146" spans="1:9" ht="19.8" customHeight="1" x14ac:dyDescent="0.3">
      <c r="A146" s="155">
        <v>45982</v>
      </c>
      <c r="B146" s="156" t="s">
        <v>95</v>
      </c>
      <c r="C146" s="157" t="s">
        <v>198</v>
      </c>
      <c r="D146" s="156" t="s">
        <v>1</v>
      </c>
      <c r="E146" s="158">
        <v>1.9375</v>
      </c>
      <c r="F146" s="156" t="s">
        <v>199</v>
      </c>
      <c r="G146" s="156"/>
      <c r="H146" s="159" t="s">
        <v>200</v>
      </c>
      <c r="I146" s="2"/>
    </row>
    <row r="147" spans="1:9" ht="19.8" customHeight="1" x14ac:dyDescent="0.3">
      <c r="A147" s="145">
        <v>45983</v>
      </c>
      <c r="B147" s="134" t="s">
        <v>57</v>
      </c>
      <c r="C147" s="135" t="s">
        <v>58</v>
      </c>
      <c r="D147" s="134" t="s">
        <v>1</v>
      </c>
      <c r="E147" s="146">
        <v>1.302083333333333</v>
      </c>
      <c r="F147" s="134" t="s">
        <v>59</v>
      </c>
      <c r="G147" s="136">
        <v>15</v>
      </c>
      <c r="H147" s="137">
        <v>589</v>
      </c>
      <c r="I147" s="2"/>
    </row>
    <row r="148" spans="1:9" ht="19.8" customHeight="1" x14ac:dyDescent="0.3">
      <c r="A148" s="145">
        <v>45983</v>
      </c>
      <c r="B148" s="134" t="s">
        <v>57</v>
      </c>
      <c r="C148" s="135" t="s">
        <v>72</v>
      </c>
      <c r="D148" s="134" t="s">
        <v>1</v>
      </c>
      <c r="E148" s="146">
        <v>1.1284722222222221</v>
      </c>
      <c r="F148" s="134" t="s">
        <v>59</v>
      </c>
      <c r="G148" s="136">
        <v>7</v>
      </c>
      <c r="H148" s="137">
        <v>589</v>
      </c>
      <c r="I148" s="2"/>
    </row>
    <row r="149" spans="1:9" ht="19.8" customHeight="1" x14ac:dyDescent="0.3">
      <c r="A149" s="145">
        <v>45983</v>
      </c>
      <c r="B149" s="134" t="s">
        <v>57</v>
      </c>
      <c r="C149" s="135" t="s">
        <v>69</v>
      </c>
      <c r="D149" s="134" t="s">
        <v>1</v>
      </c>
      <c r="E149" s="146">
        <v>1.8888888888888891</v>
      </c>
      <c r="F149" s="134" t="s">
        <v>59</v>
      </c>
      <c r="G149" s="136">
        <v>14</v>
      </c>
      <c r="H149" s="137">
        <v>639</v>
      </c>
      <c r="I149" s="2"/>
    </row>
    <row r="150" spans="1:9" ht="19.8" customHeight="1" x14ac:dyDescent="0.3">
      <c r="A150" s="145">
        <v>45983</v>
      </c>
      <c r="B150" s="134" t="s">
        <v>88</v>
      </c>
      <c r="C150" s="135" t="s">
        <v>89</v>
      </c>
      <c r="D150" s="134" t="s">
        <v>1</v>
      </c>
      <c r="E150" s="146">
        <v>1.288194444444444</v>
      </c>
      <c r="F150" s="134" t="s">
        <v>90</v>
      </c>
      <c r="G150" s="136">
        <v>9</v>
      </c>
      <c r="H150" s="137">
        <v>640</v>
      </c>
      <c r="I150" s="2"/>
    </row>
    <row r="151" spans="1:9" ht="19.8" customHeight="1" x14ac:dyDescent="0.3">
      <c r="A151" s="145">
        <v>45983</v>
      </c>
      <c r="B151" s="134" t="s">
        <v>26</v>
      </c>
      <c r="C151" s="135" t="s">
        <v>27</v>
      </c>
      <c r="D151" s="134" t="s">
        <v>1</v>
      </c>
      <c r="E151" s="146">
        <v>1.256944444444444</v>
      </c>
      <c r="F151" s="134" t="s">
        <v>28</v>
      </c>
      <c r="G151" s="136">
        <v>9</v>
      </c>
      <c r="H151" s="137">
        <v>669</v>
      </c>
      <c r="I151" s="2"/>
    </row>
    <row r="152" spans="1:9" ht="19.8" customHeight="1" x14ac:dyDescent="0.3">
      <c r="A152" s="145">
        <v>45983</v>
      </c>
      <c r="B152" s="134" t="s">
        <v>26</v>
      </c>
      <c r="C152" s="135" t="s">
        <v>47</v>
      </c>
      <c r="D152" s="134" t="s">
        <v>1</v>
      </c>
      <c r="E152" s="146">
        <v>1.6597222222222221</v>
      </c>
      <c r="F152" s="134" t="s">
        <v>28</v>
      </c>
      <c r="G152" s="136">
        <v>8</v>
      </c>
      <c r="H152" s="137">
        <v>669</v>
      </c>
      <c r="I152" s="2"/>
    </row>
    <row r="153" spans="1:9" ht="19.8" customHeight="1" x14ac:dyDescent="0.3">
      <c r="A153" s="145">
        <v>45983</v>
      </c>
      <c r="B153" s="134" t="s">
        <v>26</v>
      </c>
      <c r="C153" s="135" t="s">
        <v>53</v>
      </c>
      <c r="D153" s="134" t="s">
        <v>1</v>
      </c>
      <c r="E153" s="146">
        <v>1.5173611111111109</v>
      </c>
      <c r="F153" s="134" t="s">
        <v>28</v>
      </c>
      <c r="G153" s="136">
        <v>4</v>
      </c>
      <c r="H153" s="137">
        <v>669</v>
      </c>
      <c r="I153" s="2"/>
    </row>
    <row r="154" spans="1:9" ht="19.8" customHeight="1" x14ac:dyDescent="0.3">
      <c r="A154" s="145">
        <v>45983</v>
      </c>
      <c r="B154" s="134" t="s">
        <v>26</v>
      </c>
      <c r="C154" s="135" t="s">
        <v>44</v>
      </c>
      <c r="D154" s="134" t="s">
        <v>1</v>
      </c>
      <c r="E154" s="146">
        <v>1.854166666666667</v>
      </c>
      <c r="F154" s="134" t="s">
        <v>28</v>
      </c>
      <c r="G154" s="136">
        <v>5</v>
      </c>
      <c r="H154" s="137">
        <v>669</v>
      </c>
      <c r="I154" s="2"/>
    </row>
    <row r="155" spans="1:9" ht="19.8" customHeight="1" x14ac:dyDescent="0.3">
      <c r="A155" s="145">
        <v>45983</v>
      </c>
      <c r="B155" s="134" t="s">
        <v>26</v>
      </c>
      <c r="C155" s="135" t="s">
        <v>45</v>
      </c>
      <c r="D155" s="134" t="s">
        <v>1</v>
      </c>
      <c r="E155" s="146">
        <v>1.395833333333333</v>
      </c>
      <c r="F155" s="134" t="s">
        <v>28</v>
      </c>
      <c r="G155" s="136">
        <v>4</v>
      </c>
      <c r="H155" s="137">
        <v>669</v>
      </c>
      <c r="I155" s="2"/>
    </row>
    <row r="156" spans="1:9" ht="19.8" customHeight="1" x14ac:dyDescent="0.3">
      <c r="A156" s="145">
        <v>45983</v>
      </c>
      <c r="B156" s="134" t="s">
        <v>57</v>
      </c>
      <c r="C156" s="135" t="s">
        <v>66</v>
      </c>
      <c r="D156" s="134" t="s">
        <v>1</v>
      </c>
      <c r="E156" s="146">
        <v>1.788194444444444</v>
      </c>
      <c r="F156" s="134" t="s">
        <v>59</v>
      </c>
      <c r="G156" s="136">
        <v>14</v>
      </c>
      <c r="H156" s="137">
        <v>689</v>
      </c>
      <c r="I156" s="2"/>
    </row>
    <row r="157" spans="1:9" ht="19.8" customHeight="1" x14ac:dyDescent="0.3">
      <c r="A157" s="145">
        <v>45983</v>
      </c>
      <c r="B157" s="134" t="s">
        <v>88</v>
      </c>
      <c r="C157" s="135" t="s">
        <v>212</v>
      </c>
      <c r="D157" s="134" t="s">
        <v>1</v>
      </c>
      <c r="E157" s="146">
        <v>1.2152777777777779</v>
      </c>
      <c r="F157" s="134" t="s">
        <v>90</v>
      </c>
      <c r="G157" s="136">
        <v>9</v>
      </c>
      <c r="H157" s="137">
        <v>700</v>
      </c>
      <c r="I157" s="2"/>
    </row>
    <row r="158" spans="1:9" ht="19.8" customHeight="1" x14ac:dyDescent="0.3">
      <c r="A158" s="145">
        <v>45983</v>
      </c>
      <c r="B158" s="134" t="s">
        <v>26</v>
      </c>
      <c r="C158" s="135" t="s">
        <v>39</v>
      </c>
      <c r="D158" s="134" t="s">
        <v>1</v>
      </c>
      <c r="E158" s="146">
        <v>1.9027777777777779</v>
      </c>
      <c r="F158" s="134" t="s">
        <v>28</v>
      </c>
      <c r="G158" s="136">
        <v>9</v>
      </c>
      <c r="H158" s="137">
        <v>719</v>
      </c>
      <c r="I158" s="2"/>
    </row>
    <row r="159" spans="1:9" ht="19.8" customHeight="1" x14ac:dyDescent="0.3">
      <c r="A159" s="145">
        <v>45983</v>
      </c>
      <c r="B159" s="134" t="s">
        <v>26</v>
      </c>
      <c r="C159" s="135" t="s">
        <v>46</v>
      </c>
      <c r="D159" s="134" t="s">
        <v>1</v>
      </c>
      <c r="E159" s="146">
        <v>1.7986111111111109</v>
      </c>
      <c r="F159" s="134" t="s">
        <v>28</v>
      </c>
      <c r="G159" s="136">
        <v>9</v>
      </c>
      <c r="H159" s="137">
        <v>719</v>
      </c>
      <c r="I159" s="2"/>
    </row>
    <row r="160" spans="1:9" ht="19.8" customHeight="1" x14ac:dyDescent="0.3">
      <c r="A160" s="145">
        <v>45983</v>
      </c>
      <c r="B160" s="134" t="s">
        <v>57</v>
      </c>
      <c r="C160" s="135" t="s">
        <v>58</v>
      </c>
      <c r="D160" s="134" t="s">
        <v>1</v>
      </c>
      <c r="E160" s="146">
        <v>1.302083333333333</v>
      </c>
      <c r="F160" s="134" t="s">
        <v>61</v>
      </c>
      <c r="G160" s="136">
        <v>15</v>
      </c>
      <c r="H160" s="137">
        <v>739</v>
      </c>
      <c r="I160" s="2"/>
    </row>
    <row r="161" spans="1:9" ht="19.8" customHeight="1" x14ac:dyDescent="0.3">
      <c r="A161" s="145">
        <v>45983</v>
      </c>
      <c r="B161" s="134" t="s">
        <v>57</v>
      </c>
      <c r="C161" s="135" t="s">
        <v>72</v>
      </c>
      <c r="D161" s="134" t="s">
        <v>1</v>
      </c>
      <c r="E161" s="146">
        <v>1.1284722222222221</v>
      </c>
      <c r="F161" s="134" t="s">
        <v>61</v>
      </c>
      <c r="G161" s="136">
        <v>7</v>
      </c>
      <c r="H161" s="137">
        <v>739</v>
      </c>
      <c r="I161" s="2"/>
    </row>
    <row r="162" spans="1:9" ht="19.8" customHeight="1" x14ac:dyDescent="0.3">
      <c r="A162" s="145">
        <v>45983</v>
      </c>
      <c r="B162" s="134" t="s">
        <v>92</v>
      </c>
      <c r="C162" s="135" t="s">
        <v>93</v>
      </c>
      <c r="D162" s="134" t="s">
        <v>1</v>
      </c>
      <c r="E162" s="146">
        <v>1.666666666666667</v>
      </c>
      <c r="F162" s="134" t="s">
        <v>79</v>
      </c>
      <c r="G162" s="136">
        <v>1</v>
      </c>
      <c r="H162" s="137">
        <v>749</v>
      </c>
      <c r="I162" s="2"/>
    </row>
    <row r="163" spans="1:9" ht="19.8" customHeight="1" x14ac:dyDescent="0.3">
      <c r="A163" s="145">
        <v>45983</v>
      </c>
      <c r="B163" s="134" t="s">
        <v>26</v>
      </c>
      <c r="C163" s="135" t="s">
        <v>27</v>
      </c>
      <c r="D163" s="134" t="s">
        <v>1</v>
      </c>
      <c r="E163" s="146">
        <v>1.256944444444444</v>
      </c>
      <c r="F163" s="134" t="s">
        <v>31</v>
      </c>
      <c r="G163" s="136">
        <v>9</v>
      </c>
      <c r="H163" s="137">
        <v>769</v>
      </c>
      <c r="I163" s="2"/>
    </row>
    <row r="164" spans="1:9" ht="19.8" customHeight="1" x14ac:dyDescent="0.3">
      <c r="A164" s="145">
        <v>45983</v>
      </c>
      <c r="B164" s="134" t="s">
        <v>26</v>
      </c>
      <c r="C164" s="135" t="s">
        <v>47</v>
      </c>
      <c r="D164" s="134" t="s">
        <v>1</v>
      </c>
      <c r="E164" s="146">
        <v>1.6597222222222221</v>
      </c>
      <c r="F164" s="134" t="s">
        <v>31</v>
      </c>
      <c r="G164" s="136">
        <v>8</v>
      </c>
      <c r="H164" s="137">
        <v>769</v>
      </c>
      <c r="I164" s="2"/>
    </row>
    <row r="165" spans="1:9" ht="19.8" customHeight="1" x14ac:dyDescent="0.3">
      <c r="A165" s="145">
        <v>45983</v>
      </c>
      <c r="B165" s="134" t="s">
        <v>26</v>
      </c>
      <c r="C165" s="135" t="s">
        <v>53</v>
      </c>
      <c r="D165" s="134" t="s">
        <v>1</v>
      </c>
      <c r="E165" s="146">
        <v>1.5173611111111109</v>
      </c>
      <c r="F165" s="134" t="s">
        <v>31</v>
      </c>
      <c r="G165" s="136">
        <v>4</v>
      </c>
      <c r="H165" s="137">
        <v>769</v>
      </c>
      <c r="I165" s="2"/>
    </row>
    <row r="166" spans="1:9" ht="19.8" customHeight="1" x14ac:dyDescent="0.3">
      <c r="A166" s="145">
        <v>45983</v>
      </c>
      <c r="B166" s="134" t="s">
        <v>26</v>
      </c>
      <c r="C166" s="135" t="s">
        <v>44</v>
      </c>
      <c r="D166" s="134" t="s">
        <v>1</v>
      </c>
      <c r="E166" s="146">
        <v>1.854166666666667</v>
      </c>
      <c r="F166" s="134" t="s">
        <v>31</v>
      </c>
      <c r="G166" s="136">
        <v>5</v>
      </c>
      <c r="H166" s="137">
        <v>769</v>
      </c>
      <c r="I166" s="2"/>
    </row>
    <row r="167" spans="1:9" ht="19.8" customHeight="1" x14ac:dyDescent="0.3">
      <c r="A167" s="145">
        <v>45983</v>
      </c>
      <c r="B167" s="134" t="s">
        <v>26</v>
      </c>
      <c r="C167" s="135" t="s">
        <v>45</v>
      </c>
      <c r="D167" s="134" t="s">
        <v>1</v>
      </c>
      <c r="E167" s="146">
        <v>1.395833333333333</v>
      </c>
      <c r="F167" s="134" t="s">
        <v>31</v>
      </c>
      <c r="G167" s="136">
        <v>4</v>
      </c>
      <c r="H167" s="137">
        <v>769</v>
      </c>
      <c r="I167" s="2"/>
    </row>
    <row r="168" spans="1:9" ht="19.8" customHeight="1" x14ac:dyDescent="0.3">
      <c r="A168" s="145">
        <v>45983</v>
      </c>
      <c r="B168" s="134" t="s">
        <v>57</v>
      </c>
      <c r="C168" s="135" t="s">
        <v>69</v>
      </c>
      <c r="D168" s="134" t="s">
        <v>1</v>
      </c>
      <c r="E168" s="146">
        <v>1.8888888888888891</v>
      </c>
      <c r="F168" s="134" t="s">
        <v>61</v>
      </c>
      <c r="G168" s="136">
        <v>14</v>
      </c>
      <c r="H168" s="137">
        <v>789</v>
      </c>
      <c r="I168" s="2"/>
    </row>
    <row r="169" spans="1:9" ht="19.8" customHeight="1" x14ac:dyDescent="0.3">
      <c r="A169" s="145">
        <v>45983</v>
      </c>
      <c r="B169" s="134" t="s">
        <v>26</v>
      </c>
      <c r="C169" s="135" t="s">
        <v>39</v>
      </c>
      <c r="D169" s="134" t="s">
        <v>1</v>
      </c>
      <c r="E169" s="146">
        <v>1.9027777777777779</v>
      </c>
      <c r="F169" s="134" t="s">
        <v>31</v>
      </c>
      <c r="G169" s="136">
        <v>9</v>
      </c>
      <c r="H169" s="137">
        <v>819</v>
      </c>
      <c r="I169" s="2"/>
    </row>
    <row r="170" spans="1:9" ht="19.8" customHeight="1" x14ac:dyDescent="0.3">
      <c r="A170" s="145">
        <v>45983</v>
      </c>
      <c r="B170" s="134" t="s">
        <v>26</v>
      </c>
      <c r="C170" s="135" t="s">
        <v>46</v>
      </c>
      <c r="D170" s="134" t="s">
        <v>1</v>
      </c>
      <c r="E170" s="146">
        <v>1.7986111111111109</v>
      </c>
      <c r="F170" s="134" t="s">
        <v>31</v>
      </c>
      <c r="G170" s="136">
        <v>9</v>
      </c>
      <c r="H170" s="137">
        <v>819</v>
      </c>
      <c r="I170" s="2"/>
    </row>
    <row r="171" spans="1:9" ht="19.8" customHeight="1" x14ac:dyDescent="0.3">
      <c r="A171" s="145">
        <v>45983</v>
      </c>
      <c r="B171" s="134" t="s">
        <v>77</v>
      </c>
      <c r="C171" s="135" t="s">
        <v>82</v>
      </c>
      <c r="D171" s="134" t="s">
        <v>1</v>
      </c>
      <c r="E171" s="146">
        <v>1.270833333333333</v>
      </c>
      <c r="F171" s="134" t="s">
        <v>79</v>
      </c>
      <c r="G171" s="136">
        <v>1</v>
      </c>
      <c r="H171" s="137">
        <v>835</v>
      </c>
      <c r="I171" s="2"/>
    </row>
    <row r="172" spans="1:9" ht="19.8" customHeight="1" x14ac:dyDescent="0.3">
      <c r="A172" s="145">
        <v>45983</v>
      </c>
      <c r="B172" s="134" t="s">
        <v>57</v>
      </c>
      <c r="C172" s="135" t="s">
        <v>66</v>
      </c>
      <c r="D172" s="134" t="s">
        <v>1</v>
      </c>
      <c r="E172" s="146">
        <v>1.788194444444444</v>
      </c>
      <c r="F172" s="134" t="s">
        <v>61</v>
      </c>
      <c r="G172" s="136">
        <v>14</v>
      </c>
      <c r="H172" s="137">
        <v>839</v>
      </c>
      <c r="I172" s="2"/>
    </row>
    <row r="173" spans="1:9" ht="19.8" customHeight="1" x14ac:dyDescent="0.3">
      <c r="A173" s="145">
        <v>45983</v>
      </c>
      <c r="B173" s="134" t="s">
        <v>26</v>
      </c>
      <c r="C173" s="135" t="s">
        <v>27</v>
      </c>
      <c r="D173" s="134" t="s">
        <v>1</v>
      </c>
      <c r="E173" s="146">
        <v>1.256944444444444</v>
      </c>
      <c r="F173" s="134" t="s">
        <v>34</v>
      </c>
      <c r="G173" s="136">
        <v>9</v>
      </c>
      <c r="H173" s="137">
        <v>859</v>
      </c>
      <c r="I173" s="2"/>
    </row>
    <row r="174" spans="1:9" ht="19.8" customHeight="1" x14ac:dyDescent="0.3">
      <c r="A174" s="145">
        <v>45983</v>
      </c>
      <c r="B174" s="134" t="s">
        <v>26</v>
      </c>
      <c r="C174" s="135" t="s">
        <v>47</v>
      </c>
      <c r="D174" s="134" t="s">
        <v>1</v>
      </c>
      <c r="E174" s="146">
        <v>1.6597222222222221</v>
      </c>
      <c r="F174" s="134" t="s">
        <v>34</v>
      </c>
      <c r="G174" s="136">
        <v>8</v>
      </c>
      <c r="H174" s="137">
        <v>859</v>
      </c>
      <c r="I174" s="2"/>
    </row>
    <row r="175" spans="1:9" ht="19.8" customHeight="1" x14ac:dyDescent="0.3">
      <c r="A175" s="145">
        <v>45983</v>
      </c>
      <c r="B175" s="134" t="s">
        <v>26</v>
      </c>
      <c r="C175" s="135" t="s">
        <v>53</v>
      </c>
      <c r="D175" s="134" t="s">
        <v>1</v>
      </c>
      <c r="E175" s="146">
        <v>1.5173611111111109</v>
      </c>
      <c r="F175" s="134" t="s">
        <v>34</v>
      </c>
      <c r="G175" s="136">
        <v>4</v>
      </c>
      <c r="H175" s="137">
        <v>859</v>
      </c>
      <c r="I175" s="2"/>
    </row>
    <row r="176" spans="1:9" ht="19.8" customHeight="1" x14ac:dyDescent="0.3">
      <c r="A176" s="145">
        <v>45983</v>
      </c>
      <c r="B176" s="134" t="s">
        <v>26</v>
      </c>
      <c r="C176" s="135" t="s">
        <v>44</v>
      </c>
      <c r="D176" s="134" t="s">
        <v>1</v>
      </c>
      <c r="E176" s="146">
        <v>1.854166666666667</v>
      </c>
      <c r="F176" s="134" t="s">
        <v>34</v>
      </c>
      <c r="G176" s="136">
        <v>5</v>
      </c>
      <c r="H176" s="137">
        <v>859</v>
      </c>
      <c r="I176" s="2"/>
    </row>
    <row r="177" spans="1:9" ht="19.8" customHeight="1" x14ac:dyDescent="0.3">
      <c r="A177" s="145">
        <v>45983</v>
      </c>
      <c r="B177" s="134" t="s">
        <v>26</v>
      </c>
      <c r="C177" s="135" t="s">
        <v>45</v>
      </c>
      <c r="D177" s="134" t="s">
        <v>1</v>
      </c>
      <c r="E177" s="146">
        <v>1.395833333333333</v>
      </c>
      <c r="F177" s="134" t="s">
        <v>34</v>
      </c>
      <c r="G177" s="136">
        <v>4</v>
      </c>
      <c r="H177" s="137">
        <v>859</v>
      </c>
      <c r="I177" s="2"/>
    </row>
    <row r="178" spans="1:9" ht="19.8" customHeight="1" x14ac:dyDescent="0.3">
      <c r="A178" s="145">
        <v>45983</v>
      </c>
      <c r="B178" s="134" t="s">
        <v>88</v>
      </c>
      <c r="C178" s="135" t="s">
        <v>89</v>
      </c>
      <c r="D178" s="134" t="s">
        <v>1</v>
      </c>
      <c r="E178" s="146">
        <v>1.288194444444444</v>
      </c>
      <c r="F178" s="134" t="s">
        <v>64</v>
      </c>
      <c r="G178" s="136">
        <v>9</v>
      </c>
      <c r="H178" s="137">
        <v>866</v>
      </c>
      <c r="I178" s="2"/>
    </row>
    <row r="179" spans="1:9" ht="19.8" customHeight="1" x14ac:dyDescent="0.3">
      <c r="A179" s="145">
        <v>45983</v>
      </c>
      <c r="B179" s="134" t="s">
        <v>26</v>
      </c>
      <c r="C179" s="135" t="s">
        <v>39</v>
      </c>
      <c r="D179" s="134" t="s">
        <v>1</v>
      </c>
      <c r="E179" s="146">
        <v>1.9027777777777779</v>
      </c>
      <c r="F179" s="134" t="s">
        <v>34</v>
      </c>
      <c r="G179" s="136">
        <v>9</v>
      </c>
      <c r="H179" s="137">
        <v>909</v>
      </c>
      <c r="I179" s="2"/>
    </row>
    <row r="180" spans="1:9" ht="19.8" customHeight="1" x14ac:dyDescent="0.3">
      <c r="A180" s="145">
        <v>45983</v>
      </c>
      <c r="B180" s="134" t="s">
        <v>26</v>
      </c>
      <c r="C180" s="135" t="s">
        <v>46</v>
      </c>
      <c r="D180" s="134" t="s">
        <v>1</v>
      </c>
      <c r="E180" s="146">
        <v>1.7986111111111109</v>
      </c>
      <c r="F180" s="134" t="s">
        <v>34</v>
      </c>
      <c r="G180" s="136">
        <v>9</v>
      </c>
      <c r="H180" s="137">
        <v>909</v>
      </c>
      <c r="I180" s="2"/>
    </row>
    <row r="181" spans="1:9" ht="19.8" customHeight="1" x14ac:dyDescent="0.3">
      <c r="A181" s="145">
        <v>45983</v>
      </c>
      <c r="B181" s="134" t="s">
        <v>88</v>
      </c>
      <c r="C181" s="135" t="s">
        <v>212</v>
      </c>
      <c r="D181" s="134" t="s">
        <v>1</v>
      </c>
      <c r="E181" s="146">
        <v>1.2152777777777779</v>
      </c>
      <c r="F181" s="134" t="s">
        <v>64</v>
      </c>
      <c r="G181" s="136">
        <v>9</v>
      </c>
      <c r="H181" s="137">
        <v>927</v>
      </c>
      <c r="I181" s="2"/>
    </row>
    <row r="182" spans="1:9" ht="19.8" customHeight="1" x14ac:dyDescent="0.3">
      <c r="A182" s="145">
        <v>45983</v>
      </c>
      <c r="B182" s="134" t="s">
        <v>57</v>
      </c>
      <c r="C182" s="135" t="s">
        <v>58</v>
      </c>
      <c r="D182" s="134" t="s">
        <v>1</v>
      </c>
      <c r="E182" s="146">
        <v>1.302083333333333</v>
      </c>
      <c r="F182" s="134" t="s">
        <v>64</v>
      </c>
      <c r="G182" s="136">
        <v>15</v>
      </c>
      <c r="H182" s="147" t="s">
        <v>65</v>
      </c>
      <c r="I182" s="2"/>
    </row>
    <row r="183" spans="1:9" ht="19.8" customHeight="1" x14ac:dyDescent="0.3">
      <c r="A183" s="145">
        <v>45983</v>
      </c>
      <c r="B183" s="134" t="s">
        <v>57</v>
      </c>
      <c r="C183" s="135" t="s">
        <v>72</v>
      </c>
      <c r="D183" s="134" t="s">
        <v>1</v>
      </c>
      <c r="E183" s="146">
        <v>1.1284722222222221</v>
      </c>
      <c r="F183" s="134" t="s">
        <v>64</v>
      </c>
      <c r="G183" s="136">
        <v>7</v>
      </c>
      <c r="H183" s="147" t="s">
        <v>65</v>
      </c>
      <c r="I183" s="2"/>
    </row>
    <row r="184" spans="1:9" ht="19.8" customHeight="1" x14ac:dyDescent="0.3">
      <c r="A184" s="145">
        <v>45983</v>
      </c>
      <c r="B184" s="134" t="s">
        <v>57</v>
      </c>
      <c r="C184" s="135" t="s">
        <v>66</v>
      </c>
      <c r="D184" s="134" t="s">
        <v>1</v>
      </c>
      <c r="E184" s="146">
        <v>1.788194444444444</v>
      </c>
      <c r="F184" s="134" t="s">
        <v>64</v>
      </c>
      <c r="G184" s="136">
        <v>14</v>
      </c>
      <c r="H184" s="147" t="s">
        <v>65</v>
      </c>
      <c r="I184" s="2"/>
    </row>
    <row r="185" spans="1:9" ht="19.8" customHeight="1" x14ac:dyDescent="0.3">
      <c r="A185" s="145">
        <v>45983</v>
      </c>
      <c r="B185" s="134" t="s">
        <v>57</v>
      </c>
      <c r="C185" s="135" t="s">
        <v>69</v>
      </c>
      <c r="D185" s="134" t="s">
        <v>1</v>
      </c>
      <c r="E185" s="146">
        <v>1.8888888888888891</v>
      </c>
      <c r="F185" s="134" t="s">
        <v>64</v>
      </c>
      <c r="G185" s="136">
        <v>14</v>
      </c>
      <c r="H185" s="147" t="s">
        <v>65</v>
      </c>
      <c r="I185" s="2"/>
    </row>
    <row r="186" spans="1:9" ht="19.8" customHeight="1" x14ac:dyDescent="0.3">
      <c r="A186" s="145">
        <v>45983</v>
      </c>
      <c r="B186" s="134" t="s">
        <v>128</v>
      </c>
      <c r="C186" s="135" t="s">
        <v>137</v>
      </c>
      <c r="D186" s="134" t="s">
        <v>1</v>
      </c>
      <c r="E186" s="146">
        <v>1.006944444444444</v>
      </c>
      <c r="F186" s="134" t="s">
        <v>130</v>
      </c>
      <c r="G186" s="136">
        <v>9</v>
      </c>
      <c r="H186" s="147" t="s">
        <v>131</v>
      </c>
      <c r="I186" s="2"/>
    </row>
    <row r="187" spans="1:9" ht="19.8" customHeight="1" x14ac:dyDescent="0.3">
      <c r="A187" s="145">
        <v>45983</v>
      </c>
      <c r="B187" s="134" t="s">
        <v>128</v>
      </c>
      <c r="C187" s="135" t="s">
        <v>129</v>
      </c>
      <c r="D187" s="134" t="s">
        <v>1</v>
      </c>
      <c r="E187" s="146">
        <v>1.243055555555556</v>
      </c>
      <c r="F187" s="134" t="s">
        <v>130</v>
      </c>
      <c r="G187" s="136">
        <v>9</v>
      </c>
      <c r="H187" s="147" t="s">
        <v>131</v>
      </c>
      <c r="I187" s="2"/>
    </row>
    <row r="188" spans="1:9" ht="19.8" customHeight="1" x14ac:dyDescent="0.3">
      <c r="A188" s="145">
        <v>45983</v>
      </c>
      <c r="B188" s="134" t="s">
        <v>128</v>
      </c>
      <c r="C188" s="135" t="s">
        <v>135</v>
      </c>
      <c r="D188" s="134" t="s">
        <v>1</v>
      </c>
      <c r="E188" s="146">
        <v>1.1423611111111109</v>
      </c>
      <c r="F188" s="134" t="s">
        <v>130</v>
      </c>
      <c r="G188" s="136">
        <v>9</v>
      </c>
      <c r="H188" s="147" t="s">
        <v>131</v>
      </c>
      <c r="I188" s="2"/>
    </row>
    <row r="189" spans="1:9" ht="19.8" customHeight="1" x14ac:dyDescent="0.3">
      <c r="A189" s="145">
        <v>45983</v>
      </c>
      <c r="B189" s="134" t="s">
        <v>128</v>
      </c>
      <c r="C189" s="135" t="s">
        <v>143</v>
      </c>
      <c r="D189" s="134" t="s">
        <v>1</v>
      </c>
      <c r="E189" s="146">
        <v>1.930555555555556</v>
      </c>
      <c r="F189" s="134" t="s">
        <v>130</v>
      </c>
      <c r="G189" s="136">
        <v>9</v>
      </c>
      <c r="H189" s="147" t="s">
        <v>131</v>
      </c>
      <c r="I189" s="2"/>
    </row>
    <row r="190" spans="1:9" ht="19.8" customHeight="1" x14ac:dyDescent="0.3">
      <c r="A190" s="145">
        <v>45983</v>
      </c>
      <c r="B190" s="134" t="s">
        <v>152</v>
      </c>
      <c r="C190" s="135" t="s">
        <v>159</v>
      </c>
      <c r="D190" s="134" t="s">
        <v>1</v>
      </c>
      <c r="E190" s="146">
        <v>1.229166666666667</v>
      </c>
      <c r="F190" s="134" t="s">
        <v>154</v>
      </c>
      <c r="G190" s="136">
        <v>9</v>
      </c>
      <c r="H190" s="147" t="s">
        <v>155</v>
      </c>
      <c r="I190" s="2"/>
    </row>
    <row r="191" spans="1:9" ht="19.8" customHeight="1" x14ac:dyDescent="0.3">
      <c r="A191" s="145">
        <v>45983</v>
      </c>
      <c r="B191" s="134" t="s">
        <v>128</v>
      </c>
      <c r="C191" s="135" t="s">
        <v>137</v>
      </c>
      <c r="D191" s="134" t="s">
        <v>1</v>
      </c>
      <c r="E191" s="146">
        <v>1.006944444444444</v>
      </c>
      <c r="F191" s="134" t="s">
        <v>132</v>
      </c>
      <c r="G191" s="136">
        <v>9</v>
      </c>
      <c r="H191" s="147" t="s">
        <v>134</v>
      </c>
      <c r="I191" s="2"/>
    </row>
    <row r="192" spans="1:9" ht="19.8" customHeight="1" x14ac:dyDescent="0.3">
      <c r="A192" s="145">
        <v>45983</v>
      </c>
      <c r="B192" s="134" t="s">
        <v>128</v>
      </c>
      <c r="C192" s="135" t="s">
        <v>129</v>
      </c>
      <c r="D192" s="134" t="s">
        <v>1</v>
      </c>
      <c r="E192" s="146">
        <v>1.243055555555556</v>
      </c>
      <c r="F192" s="134" t="s">
        <v>132</v>
      </c>
      <c r="G192" s="136">
        <v>9</v>
      </c>
      <c r="H192" s="147" t="s">
        <v>134</v>
      </c>
      <c r="I192" s="2"/>
    </row>
    <row r="193" spans="1:9" ht="19.8" customHeight="1" x14ac:dyDescent="0.3">
      <c r="A193" s="145">
        <v>45983</v>
      </c>
      <c r="B193" s="134" t="s">
        <v>128</v>
      </c>
      <c r="C193" s="135" t="s">
        <v>135</v>
      </c>
      <c r="D193" s="134" t="s">
        <v>1</v>
      </c>
      <c r="E193" s="146">
        <v>1.1423611111111109</v>
      </c>
      <c r="F193" s="134" t="s">
        <v>132</v>
      </c>
      <c r="G193" s="136">
        <v>9</v>
      </c>
      <c r="H193" s="147" t="s">
        <v>134</v>
      </c>
      <c r="I193" s="2"/>
    </row>
    <row r="194" spans="1:9" ht="19.8" customHeight="1" x14ac:dyDescent="0.3">
      <c r="A194" s="145">
        <v>45983</v>
      </c>
      <c r="B194" s="134" t="s">
        <v>128</v>
      </c>
      <c r="C194" s="135" t="s">
        <v>143</v>
      </c>
      <c r="D194" s="134" t="s">
        <v>1</v>
      </c>
      <c r="E194" s="146">
        <v>1.930555555555556</v>
      </c>
      <c r="F194" s="134" t="s">
        <v>132</v>
      </c>
      <c r="G194" s="136">
        <v>9</v>
      </c>
      <c r="H194" s="147" t="s">
        <v>134</v>
      </c>
      <c r="I194" s="2"/>
    </row>
    <row r="195" spans="1:9" ht="19.8" customHeight="1" x14ac:dyDescent="0.3">
      <c r="A195" s="145">
        <v>45983</v>
      </c>
      <c r="B195" s="134" t="s">
        <v>152</v>
      </c>
      <c r="C195" s="135" t="s">
        <v>163</v>
      </c>
      <c r="D195" s="134" t="s">
        <v>1</v>
      </c>
      <c r="E195" s="146">
        <v>1.2777777777777779</v>
      </c>
      <c r="F195" s="134" t="s">
        <v>154</v>
      </c>
      <c r="G195" s="136">
        <v>9</v>
      </c>
      <c r="H195" s="147" t="s">
        <v>157</v>
      </c>
      <c r="I195" s="2"/>
    </row>
    <row r="196" spans="1:9" ht="19.8" customHeight="1" x14ac:dyDescent="0.3">
      <c r="A196" s="145">
        <v>45983</v>
      </c>
      <c r="B196" s="134" t="s">
        <v>152</v>
      </c>
      <c r="C196" s="135" t="s">
        <v>153</v>
      </c>
      <c r="D196" s="134" t="s">
        <v>1</v>
      </c>
      <c r="E196" s="146">
        <v>1.0138888888888891</v>
      </c>
      <c r="F196" s="134" t="s">
        <v>154</v>
      </c>
      <c r="G196" s="136">
        <v>9</v>
      </c>
      <c r="H196" s="147" t="s">
        <v>160</v>
      </c>
      <c r="I196" s="2"/>
    </row>
    <row r="197" spans="1:9" ht="19.8" customHeight="1" x14ac:dyDescent="0.3">
      <c r="A197" s="145">
        <v>45983</v>
      </c>
      <c r="B197" s="134" t="s">
        <v>128</v>
      </c>
      <c r="C197" s="135" t="s">
        <v>140</v>
      </c>
      <c r="D197" s="134" t="s">
        <v>1</v>
      </c>
      <c r="E197" s="146">
        <v>1.3784722222222221</v>
      </c>
      <c r="F197" s="134" t="s">
        <v>130</v>
      </c>
      <c r="G197" s="136">
        <v>9</v>
      </c>
      <c r="H197" s="147" t="s">
        <v>138</v>
      </c>
      <c r="I197" s="2"/>
    </row>
    <row r="198" spans="1:9" ht="19.8" customHeight="1" x14ac:dyDescent="0.3">
      <c r="A198" s="145">
        <v>45983</v>
      </c>
      <c r="B198" s="134" t="s">
        <v>128</v>
      </c>
      <c r="C198" s="135" t="s">
        <v>204</v>
      </c>
      <c r="D198" s="134" t="s">
        <v>1</v>
      </c>
      <c r="E198" s="146">
        <v>1.71875</v>
      </c>
      <c r="F198" s="134" t="s">
        <v>130</v>
      </c>
      <c r="G198" s="136">
        <v>9</v>
      </c>
      <c r="H198" s="147" t="s">
        <v>138</v>
      </c>
      <c r="I198" s="2"/>
    </row>
    <row r="199" spans="1:9" ht="19.8" customHeight="1" x14ac:dyDescent="0.3">
      <c r="A199" s="145">
        <v>45983</v>
      </c>
      <c r="B199" s="134" t="s">
        <v>128</v>
      </c>
      <c r="C199" s="135" t="s">
        <v>206</v>
      </c>
      <c r="D199" s="134" t="s">
        <v>1</v>
      </c>
      <c r="E199" s="146">
        <v>1.6111111111111109</v>
      </c>
      <c r="F199" s="134" t="s">
        <v>130</v>
      </c>
      <c r="G199" s="136">
        <v>9</v>
      </c>
      <c r="H199" s="147" t="s">
        <v>138</v>
      </c>
      <c r="I199" s="2"/>
    </row>
    <row r="200" spans="1:9" ht="19.8" customHeight="1" x14ac:dyDescent="0.3">
      <c r="A200" s="145">
        <v>45983</v>
      </c>
      <c r="B200" s="134" t="s">
        <v>128</v>
      </c>
      <c r="C200" s="135" t="s">
        <v>140</v>
      </c>
      <c r="D200" s="134" t="s">
        <v>1</v>
      </c>
      <c r="E200" s="146">
        <v>1.3784722222222221</v>
      </c>
      <c r="F200" s="134" t="s">
        <v>132</v>
      </c>
      <c r="G200" s="136">
        <v>9</v>
      </c>
      <c r="H200" s="147" t="s">
        <v>139</v>
      </c>
      <c r="I200" s="2"/>
    </row>
    <row r="201" spans="1:9" ht="19.8" customHeight="1" x14ac:dyDescent="0.3">
      <c r="A201" s="145">
        <v>45983</v>
      </c>
      <c r="B201" s="134" t="s">
        <v>128</v>
      </c>
      <c r="C201" s="135" t="s">
        <v>204</v>
      </c>
      <c r="D201" s="134" t="s">
        <v>1</v>
      </c>
      <c r="E201" s="146">
        <v>1.71875</v>
      </c>
      <c r="F201" s="134" t="s">
        <v>132</v>
      </c>
      <c r="G201" s="136">
        <v>9</v>
      </c>
      <c r="H201" s="147" t="s">
        <v>139</v>
      </c>
      <c r="I201" s="2"/>
    </row>
    <row r="202" spans="1:9" ht="19.8" customHeight="1" x14ac:dyDescent="0.3">
      <c r="A202" s="145">
        <v>45983</v>
      </c>
      <c r="B202" s="134" t="s">
        <v>128</v>
      </c>
      <c r="C202" s="135" t="s">
        <v>206</v>
      </c>
      <c r="D202" s="134" t="s">
        <v>1</v>
      </c>
      <c r="E202" s="146">
        <v>1.6111111111111109</v>
      </c>
      <c r="F202" s="134" t="s">
        <v>132</v>
      </c>
      <c r="G202" s="136">
        <v>9</v>
      </c>
      <c r="H202" s="147" t="s">
        <v>139</v>
      </c>
      <c r="I202" s="2"/>
    </row>
    <row r="203" spans="1:9" ht="19.8" customHeight="1" x14ac:dyDescent="0.3">
      <c r="A203" s="145">
        <v>45983</v>
      </c>
      <c r="B203" s="134" t="s">
        <v>128</v>
      </c>
      <c r="C203" s="135" t="s">
        <v>144</v>
      </c>
      <c r="D203" s="134" t="s">
        <v>1</v>
      </c>
      <c r="E203" s="146">
        <v>1.8888888888888891</v>
      </c>
      <c r="F203" s="134" t="s">
        <v>132</v>
      </c>
      <c r="G203" s="136">
        <v>4</v>
      </c>
      <c r="H203" s="147" t="s">
        <v>205</v>
      </c>
      <c r="I203" s="2"/>
    </row>
    <row r="204" spans="1:9" ht="19.8" customHeight="1" x14ac:dyDescent="0.3">
      <c r="A204" s="145">
        <v>45983</v>
      </c>
      <c r="B204" s="134" t="s">
        <v>128</v>
      </c>
      <c r="C204" s="135" t="s">
        <v>146</v>
      </c>
      <c r="D204" s="134" t="s">
        <v>1</v>
      </c>
      <c r="E204" s="146">
        <v>1.302083333333333</v>
      </c>
      <c r="F204" s="134" t="s">
        <v>132</v>
      </c>
      <c r="G204" s="136">
        <v>4</v>
      </c>
      <c r="H204" s="147" t="s">
        <v>205</v>
      </c>
      <c r="I204" s="2"/>
    </row>
    <row r="205" spans="1:9" ht="19.8" customHeight="1" x14ac:dyDescent="0.3">
      <c r="A205" s="145">
        <v>45983</v>
      </c>
      <c r="B205" s="134" t="s">
        <v>128</v>
      </c>
      <c r="C205" s="135" t="s">
        <v>147</v>
      </c>
      <c r="D205" s="134" t="s">
        <v>1</v>
      </c>
      <c r="E205" s="146">
        <v>1.1284722222222221</v>
      </c>
      <c r="F205" s="134" t="s">
        <v>132</v>
      </c>
      <c r="G205" s="136">
        <v>4</v>
      </c>
      <c r="H205" s="147" t="s">
        <v>205</v>
      </c>
      <c r="I205" s="2"/>
    </row>
    <row r="206" spans="1:9" ht="19.8" customHeight="1" x14ac:dyDescent="0.3">
      <c r="A206" s="145">
        <v>45983</v>
      </c>
      <c r="B206" s="134" t="s">
        <v>128</v>
      </c>
      <c r="C206" s="135" t="s">
        <v>149</v>
      </c>
      <c r="D206" s="134" t="s">
        <v>1</v>
      </c>
      <c r="E206" s="146">
        <v>1.8298611111111109</v>
      </c>
      <c r="F206" s="134" t="s">
        <v>130</v>
      </c>
      <c r="G206" s="136">
        <v>9</v>
      </c>
      <c r="H206" s="147" t="s">
        <v>141</v>
      </c>
      <c r="I206" s="2"/>
    </row>
    <row r="207" spans="1:9" ht="19.8" customHeight="1" x14ac:dyDescent="0.3">
      <c r="A207" s="145">
        <v>45983</v>
      </c>
      <c r="B207" s="134" t="s">
        <v>128</v>
      </c>
      <c r="C207" s="135" t="s">
        <v>148</v>
      </c>
      <c r="D207" s="134" t="s">
        <v>1</v>
      </c>
      <c r="E207" s="146">
        <v>1.788194444444444</v>
      </c>
      <c r="F207" s="134" t="s">
        <v>132</v>
      </c>
      <c r="G207" s="136">
        <v>4</v>
      </c>
      <c r="H207" s="147" t="s">
        <v>145</v>
      </c>
      <c r="I207" s="2"/>
    </row>
    <row r="208" spans="1:9" ht="19.8" customHeight="1" x14ac:dyDescent="0.3">
      <c r="A208" s="145">
        <v>45983</v>
      </c>
      <c r="B208" s="134" t="s">
        <v>128</v>
      </c>
      <c r="C208" s="135" t="s">
        <v>149</v>
      </c>
      <c r="D208" s="134" t="s">
        <v>1</v>
      </c>
      <c r="E208" s="146">
        <v>1.8298611111111109</v>
      </c>
      <c r="F208" s="134" t="s">
        <v>132</v>
      </c>
      <c r="G208" s="136">
        <v>9</v>
      </c>
      <c r="H208" s="147" t="s">
        <v>142</v>
      </c>
      <c r="I208" s="2"/>
    </row>
    <row r="209" spans="1:9" ht="19.8" customHeight="1" x14ac:dyDescent="0.3">
      <c r="A209" s="145">
        <v>45983</v>
      </c>
      <c r="B209" s="134" t="s">
        <v>152</v>
      </c>
      <c r="C209" s="135" t="s">
        <v>156</v>
      </c>
      <c r="D209" s="134" t="s">
        <v>1</v>
      </c>
      <c r="E209" s="146">
        <v>1.4861111111111109</v>
      </c>
      <c r="F209" s="134" t="s">
        <v>154</v>
      </c>
      <c r="G209" s="136">
        <v>6</v>
      </c>
      <c r="H209" s="147" t="s">
        <v>162</v>
      </c>
      <c r="I209" s="2"/>
    </row>
    <row r="210" spans="1:9" ht="19.8" customHeight="1" x14ac:dyDescent="0.3">
      <c r="A210" s="145">
        <v>45983</v>
      </c>
      <c r="B210" s="134" t="s">
        <v>152</v>
      </c>
      <c r="C210" s="135" t="s">
        <v>161</v>
      </c>
      <c r="D210" s="134" t="s">
        <v>1</v>
      </c>
      <c r="E210" s="146">
        <v>1.145833333333333</v>
      </c>
      <c r="F210" s="134" t="s">
        <v>154</v>
      </c>
      <c r="G210" s="136">
        <v>2</v>
      </c>
      <c r="H210" s="147" t="s">
        <v>162</v>
      </c>
      <c r="I210" s="2"/>
    </row>
    <row r="211" spans="1:9" ht="19.8" customHeight="1" x14ac:dyDescent="0.3">
      <c r="A211" s="145">
        <v>45983</v>
      </c>
      <c r="B211" s="134" t="s">
        <v>152</v>
      </c>
      <c r="C211" s="135" t="s">
        <v>158</v>
      </c>
      <c r="D211" s="134" t="s">
        <v>1</v>
      </c>
      <c r="E211" s="146">
        <v>1.541666666666667</v>
      </c>
      <c r="F211" s="134" t="s">
        <v>154</v>
      </c>
      <c r="G211" s="136">
        <v>6</v>
      </c>
      <c r="H211" s="147" t="s">
        <v>162</v>
      </c>
      <c r="I211" s="2"/>
    </row>
    <row r="212" spans="1:9" ht="19.8" customHeight="1" x14ac:dyDescent="0.3">
      <c r="A212" s="145">
        <v>45983</v>
      </c>
      <c r="B212" s="134" t="s">
        <v>152</v>
      </c>
      <c r="C212" s="135" t="s">
        <v>165</v>
      </c>
      <c r="D212" s="134" t="s">
        <v>1</v>
      </c>
      <c r="E212" s="146">
        <v>1.770833333333333</v>
      </c>
      <c r="F212" s="134" t="s">
        <v>154</v>
      </c>
      <c r="G212" s="136">
        <v>4</v>
      </c>
      <c r="H212" s="147" t="s">
        <v>162</v>
      </c>
      <c r="I212" s="2"/>
    </row>
    <row r="213" spans="1:9" ht="19.8" customHeight="1" x14ac:dyDescent="0.3">
      <c r="A213" s="143">
        <v>45983</v>
      </c>
      <c r="B213" s="139" t="s">
        <v>95</v>
      </c>
      <c r="C213" s="140" t="s">
        <v>108</v>
      </c>
      <c r="D213" s="139" t="s">
        <v>1</v>
      </c>
      <c r="E213" s="144">
        <v>1.2361111111111109</v>
      </c>
      <c r="F213" s="139" t="s">
        <v>199</v>
      </c>
      <c r="G213" s="139"/>
      <c r="H213" s="148" t="s">
        <v>200</v>
      </c>
      <c r="I213" s="2"/>
    </row>
    <row r="214" spans="1:9" ht="19.8" customHeight="1" x14ac:dyDescent="0.3">
      <c r="A214" s="143">
        <v>45983</v>
      </c>
      <c r="B214" s="139" t="s">
        <v>95</v>
      </c>
      <c r="C214" s="140" t="s">
        <v>115</v>
      </c>
      <c r="D214" s="139" t="s">
        <v>1</v>
      </c>
      <c r="E214" s="144">
        <v>1.333333333333333</v>
      </c>
      <c r="F214" s="139" t="s">
        <v>199</v>
      </c>
      <c r="G214" s="139"/>
      <c r="H214" s="148" t="s">
        <v>200</v>
      </c>
      <c r="I214" s="2"/>
    </row>
    <row r="215" spans="1:9" ht="19.8" customHeight="1" x14ac:dyDescent="0.3">
      <c r="A215" s="155">
        <v>45983</v>
      </c>
      <c r="B215" s="156" t="s">
        <v>95</v>
      </c>
      <c r="C215" s="157" t="s">
        <v>120</v>
      </c>
      <c r="D215" s="156" t="s">
        <v>1</v>
      </c>
      <c r="E215" s="158">
        <v>1.680555555555556</v>
      </c>
      <c r="F215" s="156" t="s">
        <v>199</v>
      </c>
      <c r="G215" s="156"/>
      <c r="H215" s="159" t="s">
        <v>200</v>
      </c>
      <c r="I215" s="2"/>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0"/>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211.21875" hidden="1" customWidth="1"/>
  </cols>
  <sheetData>
    <row r="1" spans="1:9" ht="18" x14ac:dyDescent="0.3">
      <c r="A1" s="130" t="s">
        <v>364</v>
      </c>
      <c r="B1" s="131" t="s">
        <v>8</v>
      </c>
      <c r="C1" s="131" t="s">
        <v>9</v>
      </c>
      <c r="D1" s="131" t="s">
        <v>365</v>
      </c>
      <c r="E1" s="131" t="s">
        <v>10</v>
      </c>
      <c r="F1" s="131" t="s">
        <v>11</v>
      </c>
      <c r="G1" s="131" t="s">
        <v>12</v>
      </c>
      <c r="H1" s="132" t="s">
        <v>13</v>
      </c>
      <c r="I1" s="2"/>
    </row>
    <row r="2" spans="1:9" ht="19.8" customHeight="1" x14ac:dyDescent="0.3">
      <c r="A2" s="133" t="s">
        <v>366</v>
      </c>
      <c r="B2" s="134" t="s">
        <v>26</v>
      </c>
      <c r="C2" s="135" t="s">
        <v>27</v>
      </c>
      <c r="D2" s="134" t="s">
        <v>1</v>
      </c>
      <c r="E2" s="134" t="s">
        <v>367</v>
      </c>
      <c r="F2" s="134" t="s">
        <v>31</v>
      </c>
      <c r="G2" s="136">
        <v>9</v>
      </c>
      <c r="H2" s="137">
        <v>689</v>
      </c>
      <c r="I2" s="2"/>
    </row>
    <row r="3" spans="1:9" ht="19.8" customHeight="1" x14ac:dyDescent="0.3">
      <c r="A3" s="133" t="s">
        <v>366</v>
      </c>
      <c r="B3" s="134" t="s">
        <v>26</v>
      </c>
      <c r="C3" s="135" t="s">
        <v>36</v>
      </c>
      <c r="D3" s="134" t="s">
        <v>1</v>
      </c>
      <c r="E3" s="134" t="s">
        <v>368</v>
      </c>
      <c r="F3" s="134" t="s">
        <v>31</v>
      </c>
      <c r="G3" s="136">
        <v>7</v>
      </c>
      <c r="H3" s="137">
        <v>689</v>
      </c>
      <c r="I3" s="2"/>
    </row>
    <row r="4" spans="1:9" ht="19.8" customHeight="1" x14ac:dyDescent="0.3">
      <c r="A4" s="133" t="s">
        <v>366</v>
      </c>
      <c r="B4" s="134" t="s">
        <v>77</v>
      </c>
      <c r="C4" s="135" t="s">
        <v>78</v>
      </c>
      <c r="D4" s="134" t="s">
        <v>1</v>
      </c>
      <c r="E4" s="134" t="s">
        <v>375</v>
      </c>
      <c r="F4" s="134" t="s">
        <v>79</v>
      </c>
      <c r="G4" s="136">
        <v>1</v>
      </c>
      <c r="H4" s="137">
        <v>695</v>
      </c>
      <c r="I4" s="2"/>
    </row>
    <row r="5" spans="1:9" ht="19.8" customHeight="1" x14ac:dyDescent="0.3">
      <c r="A5" s="133" t="s">
        <v>366</v>
      </c>
      <c r="B5" s="134" t="s">
        <v>88</v>
      </c>
      <c r="C5" s="135" t="s">
        <v>89</v>
      </c>
      <c r="D5" s="134" t="s">
        <v>1</v>
      </c>
      <c r="E5" s="134" t="s">
        <v>376</v>
      </c>
      <c r="F5" s="134" t="s">
        <v>90</v>
      </c>
      <c r="G5" s="136">
        <v>9</v>
      </c>
      <c r="H5" s="137">
        <v>706</v>
      </c>
      <c r="I5" s="2"/>
    </row>
    <row r="6" spans="1:9" ht="19.8" customHeight="1" x14ac:dyDescent="0.3">
      <c r="A6" s="133" t="s">
        <v>366</v>
      </c>
      <c r="B6" s="134" t="s">
        <v>77</v>
      </c>
      <c r="C6" s="135" t="s">
        <v>82</v>
      </c>
      <c r="D6" s="134" t="s">
        <v>1</v>
      </c>
      <c r="E6" s="134" t="s">
        <v>378</v>
      </c>
      <c r="F6" s="134" t="s">
        <v>79</v>
      </c>
      <c r="G6" s="136">
        <v>4</v>
      </c>
      <c r="H6" s="137">
        <v>745</v>
      </c>
      <c r="I6" s="2"/>
    </row>
    <row r="7" spans="1:9" ht="19.8" customHeight="1" x14ac:dyDescent="0.3">
      <c r="A7" s="133" t="s">
        <v>366</v>
      </c>
      <c r="B7" s="134" t="s">
        <v>92</v>
      </c>
      <c r="C7" s="135" t="s">
        <v>93</v>
      </c>
      <c r="D7" s="134" t="s">
        <v>1</v>
      </c>
      <c r="E7" s="134" t="s">
        <v>379</v>
      </c>
      <c r="F7" s="134" t="s">
        <v>79</v>
      </c>
      <c r="G7" s="136">
        <v>9</v>
      </c>
      <c r="H7" s="137">
        <v>749</v>
      </c>
      <c r="I7" s="2"/>
    </row>
    <row r="8" spans="1:9" ht="19.8" customHeight="1" x14ac:dyDescent="0.3">
      <c r="A8" s="133" t="s">
        <v>366</v>
      </c>
      <c r="B8" s="134" t="s">
        <v>26</v>
      </c>
      <c r="C8" s="135" t="s">
        <v>39</v>
      </c>
      <c r="D8" s="134" t="s">
        <v>1</v>
      </c>
      <c r="E8" s="134" t="s">
        <v>369</v>
      </c>
      <c r="F8" s="134" t="s">
        <v>31</v>
      </c>
      <c r="G8" s="136">
        <v>9</v>
      </c>
      <c r="H8" s="137">
        <v>769</v>
      </c>
      <c r="I8" s="2"/>
    </row>
    <row r="9" spans="1:9" ht="19.8" customHeight="1" x14ac:dyDescent="0.3">
      <c r="A9" s="133" t="s">
        <v>366</v>
      </c>
      <c r="B9" s="134" t="s">
        <v>26</v>
      </c>
      <c r="C9" s="135" t="s">
        <v>44</v>
      </c>
      <c r="D9" s="134" t="s">
        <v>1</v>
      </c>
      <c r="E9" s="134" t="s">
        <v>370</v>
      </c>
      <c r="F9" s="134" t="s">
        <v>31</v>
      </c>
      <c r="G9" s="136">
        <v>9</v>
      </c>
      <c r="H9" s="137">
        <v>769</v>
      </c>
      <c r="I9" s="2"/>
    </row>
    <row r="10" spans="1:9" ht="19.8" customHeight="1" x14ac:dyDescent="0.3">
      <c r="A10" s="133" t="s">
        <v>366</v>
      </c>
      <c r="B10" s="134" t="s">
        <v>26</v>
      </c>
      <c r="C10" s="135" t="s">
        <v>45</v>
      </c>
      <c r="D10" s="134" t="s">
        <v>1</v>
      </c>
      <c r="E10" s="134" t="s">
        <v>371</v>
      </c>
      <c r="F10" s="134" t="s">
        <v>31</v>
      </c>
      <c r="G10" s="136">
        <v>9</v>
      </c>
      <c r="H10" s="137">
        <v>769</v>
      </c>
      <c r="I10" s="2"/>
    </row>
    <row r="11" spans="1:9" ht="19.8" customHeight="1" x14ac:dyDescent="0.3">
      <c r="A11" s="133" t="s">
        <v>366</v>
      </c>
      <c r="B11" s="134" t="s">
        <v>26</v>
      </c>
      <c r="C11" s="135" t="s">
        <v>46</v>
      </c>
      <c r="D11" s="134" t="s">
        <v>1</v>
      </c>
      <c r="E11" s="134" t="s">
        <v>372</v>
      </c>
      <c r="F11" s="134" t="s">
        <v>31</v>
      </c>
      <c r="G11" s="136">
        <v>9</v>
      </c>
      <c r="H11" s="137">
        <v>769</v>
      </c>
      <c r="I11" s="2"/>
    </row>
    <row r="12" spans="1:9" ht="19.8" customHeight="1" x14ac:dyDescent="0.3">
      <c r="A12" s="138" t="s">
        <v>366</v>
      </c>
      <c r="B12" s="139" t="s">
        <v>95</v>
      </c>
      <c r="C12" s="140" t="s">
        <v>96</v>
      </c>
      <c r="D12" s="139" t="s">
        <v>1</v>
      </c>
      <c r="E12" s="139" t="s">
        <v>250</v>
      </c>
      <c r="F12" s="139" t="s">
        <v>97</v>
      </c>
      <c r="G12" s="141">
        <v>8</v>
      </c>
      <c r="H12" s="142">
        <v>781</v>
      </c>
      <c r="I12" s="2"/>
    </row>
    <row r="13" spans="1:9" ht="19.8" customHeight="1" x14ac:dyDescent="0.3">
      <c r="A13" s="143">
        <v>45981</v>
      </c>
      <c r="B13" s="139" t="s">
        <v>95</v>
      </c>
      <c r="C13" s="140" t="s">
        <v>103</v>
      </c>
      <c r="D13" s="139" t="s">
        <v>1</v>
      </c>
      <c r="E13" s="144">
        <v>1.364583333333333</v>
      </c>
      <c r="F13" s="139" t="s">
        <v>97</v>
      </c>
      <c r="G13" s="141">
        <v>7</v>
      </c>
      <c r="H13" s="142">
        <v>781</v>
      </c>
      <c r="I13" s="2"/>
    </row>
    <row r="14" spans="1:9" ht="19.8" customHeight="1" x14ac:dyDescent="0.3">
      <c r="A14" s="143">
        <v>45981</v>
      </c>
      <c r="B14" s="139" t="s">
        <v>95</v>
      </c>
      <c r="C14" s="140" t="s">
        <v>107</v>
      </c>
      <c r="D14" s="139" t="s">
        <v>1</v>
      </c>
      <c r="E14" s="144">
        <v>1.2534722222222221</v>
      </c>
      <c r="F14" s="139" t="s">
        <v>97</v>
      </c>
      <c r="G14" s="141">
        <v>7</v>
      </c>
      <c r="H14" s="142">
        <v>781</v>
      </c>
      <c r="I14" s="2"/>
    </row>
    <row r="15" spans="1:9" ht="19.8" customHeight="1" x14ac:dyDescent="0.3">
      <c r="A15" s="143">
        <v>45981</v>
      </c>
      <c r="B15" s="139" t="s">
        <v>95</v>
      </c>
      <c r="C15" s="140" t="s">
        <v>110</v>
      </c>
      <c r="D15" s="139" t="s">
        <v>1</v>
      </c>
      <c r="E15" s="144">
        <v>1.114583333333333</v>
      </c>
      <c r="F15" s="139" t="s">
        <v>97</v>
      </c>
      <c r="G15" s="141">
        <v>6</v>
      </c>
      <c r="H15" s="142">
        <v>781</v>
      </c>
      <c r="I15" s="2"/>
    </row>
    <row r="16" spans="1:9" ht="19.8" customHeight="1" x14ac:dyDescent="0.3">
      <c r="A16" s="143">
        <v>45981</v>
      </c>
      <c r="B16" s="139" t="s">
        <v>95</v>
      </c>
      <c r="C16" s="140" t="s">
        <v>114</v>
      </c>
      <c r="D16" s="139" t="s">
        <v>1</v>
      </c>
      <c r="E16" s="144">
        <v>1.333333333333333</v>
      </c>
      <c r="F16" s="139" t="s">
        <v>97</v>
      </c>
      <c r="G16" s="141">
        <v>4</v>
      </c>
      <c r="H16" s="142">
        <v>781</v>
      </c>
      <c r="I16" s="2"/>
    </row>
    <row r="17" spans="1:9" ht="19.8" customHeight="1" x14ac:dyDescent="0.3">
      <c r="A17" s="145">
        <v>45981</v>
      </c>
      <c r="B17" s="134" t="s">
        <v>26</v>
      </c>
      <c r="C17" s="135" t="s">
        <v>53</v>
      </c>
      <c r="D17" s="134" t="s">
        <v>1</v>
      </c>
      <c r="E17" s="146">
        <v>1.5173611111111109</v>
      </c>
      <c r="F17" s="134" t="s">
        <v>31</v>
      </c>
      <c r="G17" s="136">
        <v>5</v>
      </c>
      <c r="H17" s="137">
        <v>929</v>
      </c>
      <c r="I17" s="2"/>
    </row>
    <row r="18" spans="1:9" ht="19.8" customHeight="1" x14ac:dyDescent="0.3">
      <c r="A18" s="143">
        <v>45981</v>
      </c>
      <c r="B18" s="139" t="s">
        <v>95</v>
      </c>
      <c r="C18" s="140" t="s">
        <v>118</v>
      </c>
      <c r="D18" s="139" t="s">
        <v>1</v>
      </c>
      <c r="E18" s="144">
        <v>1.583333333333333</v>
      </c>
      <c r="F18" s="139" t="s">
        <v>97</v>
      </c>
      <c r="G18" s="141">
        <v>7</v>
      </c>
      <c r="H18" s="142">
        <v>952</v>
      </c>
      <c r="I18" s="2"/>
    </row>
    <row r="19" spans="1:9" ht="19.8" customHeight="1" x14ac:dyDescent="0.3">
      <c r="A19" s="143">
        <v>45981</v>
      </c>
      <c r="B19" s="139" t="s">
        <v>95</v>
      </c>
      <c r="C19" s="140" t="s">
        <v>123</v>
      </c>
      <c r="D19" s="139" t="s">
        <v>1</v>
      </c>
      <c r="E19" s="144">
        <v>1.739583333333333</v>
      </c>
      <c r="F19" s="139" t="s">
        <v>97</v>
      </c>
      <c r="G19" s="141">
        <v>6</v>
      </c>
      <c r="H19" s="148" t="s">
        <v>124</v>
      </c>
      <c r="I19" s="2"/>
    </row>
    <row r="20" spans="1:9" ht="19.8" customHeight="1" x14ac:dyDescent="0.3">
      <c r="A20" s="145">
        <v>45981</v>
      </c>
      <c r="B20" s="134" t="s">
        <v>152</v>
      </c>
      <c r="C20" s="135" t="s">
        <v>156</v>
      </c>
      <c r="D20" s="134" t="s">
        <v>1</v>
      </c>
      <c r="E20" s="146">
        <v>1.4861111111111109</v>
      </c>
      <c r="F20" s="134" t="s">
        <v>154</v>
      </c>
      <c r="G20" s="136">
        <v>9</v>
      </c>
      <c r="H20" s="147" t="s">
        <v>157</v>
      </c>
      <c r="I20" s="2"/>
    </row>
    <row r="21" spans="1:9" ht="19.8" customHeight="1" x14ac:dyDescent="0.3">
      <c r="A21" s="145">
        <v>45981</v>
      </c>
      <c r="B21" s="134" t="s">
        <v>152</v>
      </c>
      <c r="C21" s="135" t="s">
        <v>158</v>
      </c>
      <c r="D21" s="134" t="s">
        <v>1</v>
      </c>
      <c r="E21" s="146">
        <v>1.5138888888888891</v>
      </c>
      <c r="F21" s="134" t="s">
        <v>154</v>
      </c>
      <c r="G21" s="136">
        <v>9</v>
      </c>
      <c r="H21" s="147" t="s">
        <v>157</v>
      </c>
      <c r="I21" s="2"/>
    </row>
    <row r="22" spans="1:9" ht="19.8" customHeight="1" x14ac:dyDescent="0.3">
      <c r="A22" s="149">
        <v>45981</v>
      </c>
      <c r="B22" s="150" t="s">
        <v>152</v>
      </c>
      <c r="C22" s="151" t="s">
        <v>159</v>
      </c>
      <c r="D22" s="150" t="s">
        <v>1</v>
      </c>
      <c r="E22" s="152">
        <v>1.2222222222222221</v>
      </c>
      <c r="F22" s="150" t="s">
        <v>154</v>
      </c>
      <c r="G22" s="153">
        <v>9</v>
      </c>
      <c r="H22" s="154" t="s">
        <v>160</v>
      </c>
      <c r="I22" s="2"/>
    </row>
    <row r="23" spans="1:9" ht="19.8" customHeight="1" x14ac:dyDescent="0.3">
      <c r="A23" s="145">
        <v>45982</v>
      </c>
      <c r="B23" s="134" t="s">
        <v>26</v>
      </c>
      <c r="C23" s="135" t="s">
        <v>39</v>
      </c>
      <c r="D23" s="134" t="s">
        <v>1</v>
      </c>
      <c r="E23" s="146">
        <v>1.9027777777777779</v>
      </c>
      <c r="F23" s="134" t="s">
        <v>31</v>
      </c>
      <c r="G23" s="136">
        <v>1</v>
      </c>
      <c r="H23" s="137">
        <v>769</v>
      </c>
      <c r="I23" s="2"/>
    </row>
    <row r="24" spans="1:9" ht="19.8" customHeight="1" x14ac:dyDescent="0.3">
      <c r="A24" s="145">
        <v>45982</v>
      </c>
      <c r="B24" s="134" t="s">
        <v>26</v>
      </c>
      <c r="C24" s="135" t="s">
        <v>46</v>
      </c>
      <c r="D24" s="134" t="s">
        <v>1</v>
      </c>
      <c r="E24" s="146">
        <v>1.7986111111111109</v>
      </c>
      <c r="F24" s="134" t="s">
        <v>31</v>
      </c>
      <c r="G24" s="136">
        <v>2</v>
      </c>
      <c r="H24" s="137">
        <v>769</v>
      </c>
      <c r="I24" s="2"/>
    </row>
    <row r="25" spans="1:9" ht="19.8" customHeight="1" x14ac:dyDescent="0.3">
      <c r="A25" s="145">
        <v>45982</v>
      </c>
      <c r="B25" s="134" t="s">
        <v>26</v>
      </c>
      <c r="C25" s="135" t="s">
        <v>47</v>
      </c>
      <c r="D25" s="134" t="s">
        <v>1</v>
      </c>
      <c r="E25" s="146">
        <v>1.645833333333333</v>
      </c>
      <c r="F25" s="134" t="s">
        <v>31</v>
      </c>
      <c r="G25" s="136">
        <v>9</v>
      </c>
      <c r="H25" s="137">
        <v>819</v>
      </c>
      <c r="I25" s="2"/>
    </row>
    <row r="26" spans="1:9" ht="19.8" customHeight="1" x14ac:dyDescent="0.3">
      <c r="A26" s="145">
        <v>45982</v>
      </c>
      <c r="B26" s="134" t="s">
        <v>26</v>
      </c>
      <c r="C26" s="135" t="s">
        <v>53</v>
      </c>
      <c r="D26" s="134" t="s">
        <v>1</v>
      </c>
      <c r="E26" s="146">
        <v>1.5173611111111109</v>
      </c>
      <c r="F26" s="134" t="s">
        <v>31</v>
      </c>
      <c r="G26" s="136">
        <v>4</v>
      </c>
      <c r="H26" s="137">
        <v>819</v>
      </c>
      <c r="I26" s="2"/>
    </row>
    <row r="27" spans="1:9" ht="19.8" customHeight="1" x14ac:dyDescent="0.3">
      <c r="A27" s="145">
        <v>45982</v>
      </c>
      <c r="B27" s="134" t="s">
        <v>26</v>
      </c>
      <c r="C27" s="135" t="s">
        <v>44</v>
      </c>
      <c r="D27" s="134" t="s">
        <v>1</v>
      </c>
      <c r="E27" s="146">
        <v>1.854166666666667</v>
      </c>
      <c r="F27" s="134" t="s">
        <v>31</v>
      </c>
      <c r="G27" s="136">
        <v>9</v>
      </c>
      <c r="H27" s="137">
        <v>819</v>
      </c>
      <c r="I27" s="2"/>
    </row>
    <row r="28" spans="1:9" ht="19.8" customHeight="1" x14ac:dyDescent="0.3">
      <c r="A28" s="145">
        <v>45982</v>
      </c>
      <c r="B28" s="134" t="s">
        <v>26</v>
      </c>
      <c r="C28" s="135" t="s">
        <v>45</v>
      </c>
      <c r="D28" s="134" t="s">
        <v>1</v>
      </c>
      <c r="E28" s="146">
        <v>1.395833333333333</v>
      </c>
      <c r="F28" s="134" t="s">
        <v>31</v>
      </c>
      <c r="G28" s="136">
        <v>6</v>
      </c>
      <c r="H28" s="137">
        <v>819</v>
      </c>
      <c r="I28" s="2"/>
    </row>
    <row r="29" spans="1:9" ht="19.8" customHeight="1" x14ac:dyDescent="0.3">
      <c r="A29" s="145">
        <v>45982</v>
      </c>
      <c r="B29" s="134" t="s">
        <v>92</v>
      </c>
      <c r="C29" s="135" t="s">
        <v>93</v>
      </c>
      <c r="D29" s="134" t="s">
        <v>1</v>
      </c>
      <c r="E29" s="146">
        <v>1.7152777777777779</v>
      </c>
      <c r="F29" s="134" t="s">
        <v>79</v>
      </c>
      <c r="G29" s="136">
        <v>1</v>
      </c>
      <c r="H29" s="137">
        <v>834</v>
      </c>
      <c r="I29" s="2"/>
    </row>
    <row r="30" spans="1:9" ht="19.8" customHeight="1" x14ac:dyDescent="0.3">
      <c r="A30" s="145">
        <v>45982</v>
      </c>
      <c r="B30" s="134" t="s">
        <v>92</v>
      </c>
      <c r="C30" s="135" t="s">
        <v>185</v>
      </c>
      <c r="D30" s="134" t="s">
        <v>1</v>
      </c>
      <c r="E30" s="146">
        <v>1.416666666666667</v>
      </c>
      <c r="F30" s="134" t="s">
        <v>79</v>
      </c>
      <c r="G30" s="136">
        <v>1</v>
      </c>
      <c r="H30" s="137">
        <v>834</v>
      </c>
      <c r="I30" s="2"/>
    </row>
    <row r="31" spans="1:9" ht="19.8" customHeight="1" x14ac:dyDescent="0.3">
      <c r="A31" s="143">
        <v>45982</v>
      </c>
      <c r="B31" s="139" t="s">
        <v>95</v>
      </c>
      <c r="C31" s="140" t="s">
        <v>96</v>
      </c>
      <c r="D31" s="139" t="s">
        <v>1</v>
      </c>
      <c r="E31" s="144">
        <v>1.114583333333333</v>
      </c>
      <c r="F31" s="139" t="s">
        <v>97</v>
      </c>
      <c r="G31" s="141">
        <v>3</v>
      </c>
      <c r="H31" s="142">
        <v>856</v>
      </c>
      <c r="I31" s="2"/>
    </row>
    <row r="32" spans="1:9" ht="19.8" customHeight="1" x14ac:dyDescent="0.3">
      <c r="A32" s="143">
        <v>45982</v>
      </c>
      <c r="B32" s="139" t="s">
        <v>95</v>
      </c>
      <c r="C32" s="140" t="s">
        <v>110</v>
      </c>
      <c r="D32" s="139" t="s">
        <v>1</v>
      </c>
      <c r="E32" s="144">
        <v>1.7361111111111109</v>
      </c>
      <c r="F32" s="139" t="s">
        <v>97</v>
      </c>
      <c r="G32" s="141">
        <v>5</v>
      </c>
      <c r="H32" s="142">
        <v>856</v>
      </c>
      <c r="I32" s="2"/>
    </row>
    <row r="33" spans="1:9" ht="19.8" customHeight="1" x14ac:dyDescent="0.3">
      <c r="A33" s="143">
        <v>45982</v>
      </c>
      <c r="B33" s="139" t="s">
        <v>95</v>
      </c>
      <c r="C33" s="140" t="s">
        <v>118</v>
      </c>
      <c r="D33" s="139" t="s">
        <v>1</v>
      </c>
      <c r="E33" s="144">
        <v>1.458333333333333</v>
      </c>
      <c r="F33" s="139" t="s">
        <v>97</v>
      </c>
      <c r="G33" s="141">
        <v>7</v>
      </c>
      <c r="H33" s="142">
        <v>856</v>
      </c>
      <c r="I33" s="2"/>
    </row>
    <row r="34" spans="1:9" ht="19.8" customHeight="1" x14ac:dyDescent="0.3">
      <c r="A34" s="143">
        <v>45982</v>
      </c>
      <c r="B34" s="139" t="s">
        <v>95</v>
      </c>
      <c r="C34" s="140" t="s">
        <v>123</v>
      </c>
      <c r="D34" s="139" t="s">
        <v>1</v>
      </c>
      <c r="E34" s="144">
        <v>1.614583333333333</v>
      </c>
      <c r="F34" s="139" t="s">
        <v>97</v>
      </c>
      <c r="G34" s="141">
        <v>6</v>
      </c>
      <c r="H34" s="142">
        <v>856</v>
      </c>
      <c r="I34" s="2"/>
    </row>
    <row r="35" spans="1:9" ht="19.8" customHeight="1" x14ac:dyDescent="0.3">
      <c r="A35" s="145">
        <v>45982</v>
      </c>
      <c r="B35" s="134" t="s">
        <v>26</v>
      </c>
      <c r="C35" s="135" t="s">
        <v>27</v>
      </c>
      <c r="D35" s="134" t="s">
        <v>1</v>
      </c>
      <c r="E35" s="146">
        <v>1.256944444444444</v>
      </c>
      <c r="F35" s="134" t="s">
        <v>31</v>
      </c>
      <c r="G35" s="136">
        <v>4</v>
      </c>
      <c r="H35" s="137">
        <v>929</v>
      </c>
      <c r="I35" s="2"/>
    </row>
    <row r="36" spans="1:9" ht="19.8" customHeight="1" x14ac:dyDescent="0.3">
      <c r="A36" s="143">
        <v>45982</v>
      </c>
      <c r="B36" s="139" t="s">
        <v>95</v>
      </c>
      <c r="C36" s="140" t="s">
        <v>114</v>
      </c>
      <c r="D36" s="139" t="s">
        <v>1</v>
      </c>
      <c r="E36" s="144">
        <v>1.319444444444444</v>
      </c>
      <c r="F36" s="139" t="s">
        <v>97</v>
      </c>
      <c r="G36" s="141">
        <v>7</v>
      </c>
      <c r="H36" s="142">
        <v>952</v>
      </c>
      <c r="I36" s="2"/>
    </row>
    <row r="37" spans="1:9" ht="19.8" customHeight="1" x14ac:dyDescent="0.3">
      <c r="A37" s="155">
        <v>45982</v>
      </c>
      <c r="B37" s="156" t="s">
        <v>95</v>
      </c>
      <c r="C37" s="157" t="s">
        <v>198</v>
      </c>
      <c r="D37" s="156" t="s">
        <v>1</v>
      </c>
      <c r="E37" s="158">
        <v>1.9375</v>
      </c>
      <c r="F37" s="156" t="s">
        <v>199</v>
      </c>
      <c r="G37" s="156"/>
      <c r="H37" s="159" t="s">
        <v>200</v>
      </c>
      <c r="I37" s="2"/>
    </row>
    <row r="38" spans="1:9" ht="19.8" customHeight="1" x14ac:dyDescent="0.3">
      <c r="A38" s="143">
        <v>45983</v>
      </c>
      <c r="B38" s="139" t="s">
        <v>95</v>
      </c>
      <c r="C38" s="140" t="s">
        <v>108</v>
      </c>
      <c r="D38" s="139" t="s">
        <v>1</v>
      </c>
      <c r="E38" s="144">
        <v>1.2361111111111109</v>
      </c>
      <c r="F38" s="139" t="s">
        <v>199</v>
      </c>
      <c r="G38" s="139"/>
      <c r="H38" s="148" t="s">
        <v>200</v>
      </c>
      <c r="I38" s="2"/>
    </row>
    <row r="39" spans="1:9" ht="19.8" customHeight="1" x14ac:dyDescent="0.3">
      <c r="A39" s="143">
        <v>45983</v>
      </c>
      <c r="B39" s="139" t="s">
        <v>95</v>
      </c>
      <c r="C39" s="140" t="s">
        <v>115</v>
      </c>
      <c r="D39" s="139" t="s">
        <v>1</v>
      </c>
      <c r="E39" s="144">
        <v>1.333333333333333</v>
      </c>
      <c r="F39" s="139" t="s">
        <v>199</v>
      </c>
      <c r="G39" s="139"/>
      <c r="H39" s="148" t="s">
        <v>200</v>
      </c>
      <c r="I39" s="2"/>
    </row>
    <row r="40" spans="1:9" ht="19.8" customHeight="1" x14ac:dyDescent="0.3">
      <c r="A40" s="155">
        <v>45983</v>
      </c>
      <c r="B40" s="156" t="s">
        <v>95</v>
      </c>
      <c r="C40" s="157" t="s">
        <v>120</v>
      </c>
      <c r="D40" s="156" t="s">
        <v>1</v>
      </c>
      <c r="E40" s="158">
        <v>1.680555555555556</v>
      </c>
      <c r="F40" s="156" t="s">
        <v>199</v>
      </c>
      <c r="G40" s="156"/>
      <c r="H40" s="159" t="s">
        <v>200</v>
      </c>
      <c r="I40" s="2"/>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8"/>
  <sheetViews>
    <sheetView workbookViewId="0"/>
  </sheetViews>
  <sheetFormatPr defaultRowHeight="14.4" outlineLevelCol="1" x14ac:dyDescent="0.3"/>
  <cols>
    <col min="1" max="1" width="9.88671875" bestFit="1" customWidth="1"/>
    <col min="2" max="2" width="9.6640625" bestFit="1" customWidth="1"/>
    <col min="3" max="3" width="6.6640625" bestFit="1" customWidth="1"/>
    <col min="4" max="4" width="5.5546875" bestFit="1" customWidth="1"/>
    <col min="5" max="5" width="7.44140625" bestFit="1" customWidth="1"/>
    <col min="6" max="6" width="4.21875" bestFit="1" customWidth="1"/>
    <col min="7" max="7" width="7.5546875" bestFit="1" customWidth="1"/>
    <col min="8" max="8" width="6.33203125" bestFit="1" customWidth="1"/>
    <col min="9" max="10" width="6.88671875" bestFit="1" customWidth="1"/>
    <col min="11" max="11" width="10.5546875" bestFit="1" customWidth="1"/>
    <col min="12" max="12" width="9" bestFit="1" customWidth="1"/>
    <col min="13" max="13" width="7.5546875" bestFit="1" customWidth="1" outlineLevel="1"/>
    <col min="14" max="14" width="6.21875" bestFit="1" customWidth="1" outlineLevel="1"/>
    <col min="15" max="15" width="7.88671875" bestFit="1" customWidth="1" outlineLevel="1"/>
    <col min="16" max="16" width="13.6640625" bestFit="1" customWidth="1"/>
    <col min="17" max="18" width="2.33203125" bestFit="1" customWidth="1"/>
    <col min="19" max="19" width="2.88671875" bestFit="1" customWidth="1"/>
    <col min="20" max="20" width="2.33203125" bestFit="1" customWidth="1"/>
    <col min="21" max="21" width="2.44140625" bestFit="1" customWidth="1"/>
    <col min="22" max="22" width="3.6640625" bestFit="1" customWidth="1"/>
    <col min="23" max="27" width="5" bestFit="1" customWidth="1"/>
    <col min="28" max="32" width="3.6640625" bestFit="1" customWidth="1"/>
    <col min="33" max="33" width="5" bestFit="1" customWidth="1"/>
    <col min="34" max="34" width="2.33203125" bestFit="1" customWidth="1"/>
    <col min="35" max="35" width="5" bestFit="1" customWidth="1"/>
    <col min="36" max="36" width="2.44140625" bestFit="1" customWidth="1"/>
  </cols>
  <sheetData>
    <row r="1" spans="1:36" x14ac:dyDescent="0.3">
      <c r="A1" s="2" t="s">
        <v>220</v>
      </c>
      <c r="B1" s="2" t="s">
        <v>221</v>
      </c>
      <c r="C1" s="2" t="s">
        <v>222</v>
      </c>
      <c r="D1" s="2" t="s">
        <v>23</v>
      </c>
      <c r="E1" s="2" t="s">
        <v>223</v>
      </c>
      <c r="F1" s="2" t="s">
        <v>224</v>
      </c>
      <c r="G1" s="2" t="s">
        <v>16</v>
      </c>
      <c r="H1" s="2" t="s">
        <v>225</v>
      </c>
      <c r="I1" s="2" t="s">
        <v>226</v>
      </c>
      <c r="J1" s="2" t="s">
        <v>227</v>
      </c>
      <c r="K1" s="2" t="s">
        <v>228</v>
      </c>
      <c r="L1" s="2" t="s">
        <v>18</v>
      </c>
      <c r="M1" s="2" t="s">
        <v>20</v>
      </c>
      <c r="N1" s="2" t="s">
        <v>21</v>
      </c>
      <c r="O1" s="2" t="s">
        <v>19</v>
      </c>
      <c r="P1" s="2" t="s">
        <v>22</v>
      </c>
      <c r="Q1" s="2" t="s">
        <v>229</v>
      </c>
      <c r="R1" s="2" t="s">
        <v>230</v>
      </c>
      <c r="S1" s="2" t="s">
        <v>231</v>
      </c>
      <c r="T1" s="2" t="s">
        <v>232</v>
      </c>
      <c r="U1" s="2" t="s">
        <v>233</v>
      </c>
      <c r="V1" s="2" t="s">
        <v>234</v>
      </c>
      <c r="W1" s="2" t="s">
        <v>235</v>
      </c>
      <c r="X1" s="2" t="s">
        <v>236</v>
      </c>
      <c r="Y1" s="2" t="s">
        <v>237</v>
      </c>
      <c r="Z1" s="2" t="s">
        <v>238</v>
      </c>
      <c r="AA1" s="2" t="s">
        <v>239</v>
      </c>
      <c r="AB1" s="2" t="s">
        <v>240</v>
      </c>
      <c r="AC1" s="2" t="s">
        <v>241</v>
      </c>
      <c r="AD1" s="2" t="s">
        <v>242</v>
      </c>
      <c r="AE1" s="2" t="s">
        <v>243</v>
      </c>
      <c r="AF1" s="2" t="s">
        <v>244</v>
      </c>
      <c r="AG1" s="2" t="s">
        <v>245</v>
      </c>
      <c r="AH1" s="2" t="s">
        <v>246</v>
      </c>
      <c r="AI1" s="2" t="s">
        <v>247</v>
      </c>
      <c r="AJ1" s="2" t="s">
        <v>248</v>
      </c>
    </row>
    <row r="2" spans="1:36" x14ac:dyDescent="0.3">
      <c r="A2" s="123" t="s">
        <v>249</v>
      </c>
      <c r="B2" s="124">
        <v>45981</v>
      </c>
      <c r="C2" s="125" t="s">
        <v>100</v>
      </c>
      <c r="D2" s="126" t="s">
        <v>250</v>
      </c>
      <c r="E2" s="125" t="s">
        <v>1</v>
      </c>
      <c r="F2" s="125" t="s">
        <v>251</v>
      </c>
      <c r="G2" s="127">
        <v>0.76539999999999997</v>
      </c>
      <c r="H2" s="128">
        <v>179</v>
      </c>
      <c r="I2" s="128">
        <v>137</v>
      </c>
      <c r="J2" s="128">
        <v>28</v>
      </c>
      <c r="K2" s="125" t="s">
        <v>252</v>
      </c>
      <c r="L2" s="129">
        <v>45980</v>
      </c>
      <c r="M2" s="128">
        <v>1</v>
      </c>
      <c r="N2" s="128">
        <v>9</v>
      </c>
      <c r="O2" s="128">
        <v>36</v>
      </c>
      <c r="P2" s="125" t="s">
        <v>101</v>
      </c>
      <c r="Q2" s="128">
        <v>0</v>
      </c>
      <c r="R2" s="128">
        <v>0</v>
      </c>
      <c r="S2" s="128">
        <v>0</v>
      </c>
      <c r="T2" s="128">
        <v>0</v>
      </c>
      <c r="U2" s="128">
        <v>0</v>
      </c>
      <c r="V2" s="128">
        <v>0</v>
      </c>
      <c r="W2" s="128">
        <v>0</v>
      </c>
      <c r="X2" s="128">
        <v>16</v>
      </c>
      <c r="Y2" s="128">
        <v>28</v>
      </c>
      <c r="Z2" s="128">
        <v>36</v>
      </c>
      <c r="AA2" s="128">
        <v>29</v>
      </c>
      <c r="AB2" s="128">
        <v>0</v>
      </c>
      <c r="AC2" s="128">
        <v>0</v>
      </c>
      <c r="AD2" s="128">
        <v>0</v>
      </c>
      <c r="AE2" s="128">
        <v>0</v>
      </c>
      <c r="AF2" s="128">
        <v>0</v>
      </c>
      <c r="AG2" s="128">
        <v>0</v>
      </c>
      <c r="AH2" s="128">
        <v>0</v>
      </c>
      <c r="AI2" s="128">
        <v>28</v>
      </c>
      <c r="AJ2" s="128">
        <v>0</v>
      </c>
    </row>
    <row r="3" spans="1:36" x14ac:dyDescent="0.3">
      <c r="A3" s="123" t="s">
        <v>249</v>
      </c>
      <c r="B3" s="124">
        <v>45981</v>
      </c>
      <c r="C3" s="125" t="s">
        <v>104</v>
      </c>
      <c r="D3" s="126" t="s">
        <v>284</v>
      </c>
      <c r="E3" s="125" t="s">
        <v>1</v>
      </c>
      <c r="F3" s="125" t="s">
        <v>251</v>
      </c>
      <c r="G3" s="127">
        <v>0.56979999999999997</v>
      </c>
      <c r="H3" s="128">
        <v>179</v>
      </c>
      <c r="I3" s="128">
        <v>102</v>
      </c>
      <c r="J3" s="128">
        <v>2</v>
      </c>
      <c r="K3" s="125" t="s">
        <v>252</v>
      </c>
      <c r="L3" s="129">
        <v>45978</v>
      </c>
      <c r="M3" s="128">
        <v>0</v>
      </c>
      <c r="N3" s="128">
        <v>0</v>
      </c>
      <c r="O3" s="128">
        <v>16</v>
      </c>
      <c r="P3" s="125" t="s">
        <v>105</v>
      </c>
      <c r="Q3" s="128">
        <v>0</v>
      </c>
      <c r="R3" s="128">
        <v>0</v>
      </c>
      <c r="S3" s="128">
        <v>0</v>
      </c>
      <c r="T3" s="128">
        <v>0</v>
      </c>
      <c r="U3" s="128">
        <v>0</v>
      </c>
      <c r="V3" s="128">
        <v>0</v>
      </c>
      <c r="W3" s="128">
        <v>4</v>
      </c>
      <c r="X3" s="128">
        <v>28</v>
      </c>
      <c r="Y3" s="128">
        <v>19</v>
      </c>
      <c r="Z3" s="128">
        <v>10</v>
      </c>
      <c r="AA3" s="128">
        <v>10</v>
      </c>
      <c r="AB3" s="128">
        <v>9</v>
      </c>
      <c r="AC3" s="128">
        <v>6</v>
      </c>
      <c r="AD3" s="128">
        <v>1</v>
      </c>
      <c r="AE3" s="128">
        <v>5</v>
      </c>
      <c r="AF3" s="128">
        <v>6</v>
      </c>
      <c r="AG3" s="128">
        <v>0</v>
      </c>
      <c r="AH3" s="128">
        <v>0</v>
      </c>
      <c r="AI3" s="128">
        <v>2</v>
      </c>
      <c r="AJ3" s="128">
        <v>2</v>
      </c>
    </row>
    <row r="4" spans="1:36" x14ac:dyDescent="0.3">
      <c r="A4" s="123" t="s">
        <v>249</v>
      </c>
      <c r="B4" s="124">
        <v>45981</v>
      </c>
      <c r="C4" s="125" t="s">
        <v>108</v>
      </c>
      <c r="D4" s="126" t="s">
        <v>269</v>
      </c>
      <c r="E4" s="125" t="s">
        <v>1</v>
      </c>
      <c r="F4" s="125" t="s">
        <v>251</v>
      </c>
      <c r="G4" s="127">
        <v>0.88829999999999998</v>
      </c>
      <c r="H4" s="128">
        <v>179</v>
      </c>
      <c r="I4" s="128">
        <v>159</v>
      </c>
      <c r="J4" s="128">
        <v>72</v>
      </c>
      <c r="K4" s="125" t="s">
        <v>252</v>
      </c>
      <c r="L4" s="129">
        <v>45980</v>
      </c>
      <c r="M4" s="128">
        <v>4</v>
      </c>
      <c r="N4" s="128">
        <v>5</v>
      </c>
      <c r="O4" s="128">
        <v>15</v>
      </c>
      <c r="P4" s="125" t="s">
        <v>105</v>
      </c>
      <c r="Q4" s="128">
        <v>0</v>
      </c>
      <c r="R4" s="128">
        <v>0</v>
      </c>
      <c r="S4" s="128">
        <v>0</v>
      </c>
      <c r="T4" s="128">
        <v>0</v>
      </c>
      <c r="U4" s="128">
        <v>0</v>
      </c>
      <c r="V4" s="128">
        <v>0</v>
      </c>
      <c r="W4" s="128">
        <v>1</v>
      </c>
      <c r="X4" s="128">
        <v>11</v>
      </c>
      <c r="Y4" s="128">
        <v>21</v>
      </c>
      <c r="Z4" s="128">
        <v>23</v>
      </c>
      <c r="AA4" s="128">
        <v>31</v>
      </c>
      <c r="AB4" s="128">
        <v>0</v>
      </c>
      <c r="AC4" s="128">
        <v>0</v>
      </c>
      <c r="AD4" s="128">
        <v>0</v>
      </c>
      <c r="AE4" s="128">
        <v>0</v>
      </c>
      <c r="AF4" s="128">
        <v>0</v>
      </c>
      <c r="AG4" s="128">
        <v>69</v>
      </c>
      <c r="AH4" s="128">
        <v>0</v>
      </c>
      <c r="AI4" s="128">
        <v>1</v>
      </c>
      <c r="AJ4" s="128">
        <v>2</v>
      </c>
    </row>
    <row r="5" spans="1:36" x14ac:dyDescent="0.3">
      <c r="A5" s="123" t="s">
        <v>249</v>
      </c>
      <c r="B5" s="124">
        <v>45981</v>
      </c>
      <c r="C5" s="125" t="s">
        <v>111</v>
      </c>
      <c r="D5" s="126" t="s">
        <v>258</v>
      </c>
      <c r="E5" s="125" t="s">
        <v>1</v>
      </c>
      <c r="F5" s="125" t="s">
        <v>251</v>
      </c>
      <c r="G5" s="127">
        <v>0.92510000000000003</v>
      </c>
      <c r="H5" s="128">
        <v>187</v>
      </c>
      <c r="I5" s="128">
        <v>173</v>
      </c>
      <c r="J5" s="128">
        <v>60</v>
      </c>
      <c r="K5" s="125" t="s">
        <v>252</v>
      </c>
      <c r="L5" s="129">
        <v>45979</v>
      </c>
      <c r="M5" s="128">
        <v>0</v>
      </c>
      <c r="N5" s="128">
        <v>4</v>
      </c>
      <c r="O5" s="128">
        <v>15</v>
      </c>
      <c r="P5" s="125" t="s">
        <v>112</v>
      </c>
      <c r="Q5" s="128">
        <v>0</v>
      </c>
      <c r="R5" s="128">
        <v>0</v>
      </c>
      <c r="S5" s="128">
        <v>0</v>
      </c>
      <c r="T5" s="128">
        <v>0</v>
      </c>
      <c r="U5" s="128">
        <v>0</v>
      </c>
      <c r="V5" s="128">
        <v>0</v>
      </c>
      <c r="W5" s="128">
        <v>0</v>
      </c>
      <c r="X5" s="128">
        <v>13</v>
      </c>
      <c r="Y5" s="128">
        <v>42</v>
      </c>
      <c r="Z5" s="128">
        <v>15</v>
      </c>
      <c r="AA5" s="128">
        <v>13</v>
      </c>
      <c r="AB5" s="128">
        <v>10</v>
      </c>
      <c r="AC5" s="128">
        <v>5</v>
      </c>
      <c r="AD5" s="128">
        <v>5</v>
      </c>
      <c r="AE5" s="128">
        <v>5</v>
      </c>
      <c r="AF5" s="128">
        <v>5</v>
      </c>
      <c r="AG5" s="128">
        <v>0</v>
      </c>
      <c r="AH5" s="128">
        <v>0</v>
      </c>
      <c r="AI5" s="128">
        <v>60</v>
      </c>
      <c r="AJ5" s="128">
        <v>0</v>
      </c>
    </row>
    <row r="6" spans="1:36" x14ac:dyDescent="0.3">
      <c r="A6" s="123" t="s">
        <v>249</v>
      </c>
      <c r="B6" s="124">
        <v>45981</v>
      </c>
      <c r="C6" s="125" t="s">
        <v>115</v>
      </c>
      <c r="D6" s="126" t="s">
        <v>278</v>
      </c>
      <c r="E6" s="125" t="s">
        <v>1</v>
      </c>
      <c r="F6" s="125" t="s">
        <v>251</v>
      </c>
      <c r="G6" s="127">
        <v>0.82120000000000004</v>
      </c>
      <c r="H6" s="128">
        <v>179</v>
      </c>
      <c r="I6" s="128">
        <v>147</v>
      </c>
      <c r="J6" s="128">
        <v>104</v>
      </c>
      <c r="K6" s="125" t="s">
        <v>252</v>
      </c>
      <c r="L6" s="129">
        <v>45980</v>
      </c>
      <c r="M6" s="128">
        <v>3</v>
      </c>
      <c r="N6" s="128">
        <v>5</v>
      </c>
      <c r="O6" s="128">
        <v>16</v>
      </c>
      <c r="P6" s="125" t="s">
        <v>116</v>
      </c>
      <c r="Q6" s="128">
        <v>0</v>
      </c>
      <c r="R6" s="128">
        <v>0</v>
      </c>
      <c r="S6" s="128">
        <v>0</v>
      </c>
      <c r="T6" s="128">
        <v>0</v>
      </c>
      <c r="U6" s="128">
        <v>0</v>
      </c>
      <c r="V6" s="128">
        <v>0</v>
      </c>
      <c r="W6" s="128">
        <v>1</v>
      </c>
      <c r="X6" s="128">
        <v>10</v>
      </c>
      <c r="Y6" s="128">
        <v>11</v>
      </c>
      <c r="Z6" s="128">
        <v>16</v>
      </c>
      <c r="AA6" s="128">
        <v>5</v>
      </c>
      <c r="AB6" s="128">
        <v>0</v>
      </c>
      <c r="AC6" s="128">
        <v>0</v>
      </c>
      <c r="AD6" s="128">
        <v>0</v>
      </c>
      <c r="AE6" s="128">
        <v>0</v>
      </c>
      <c r="AF6" s="128">
        <v>0</v>
      </c>
      <c r="AG6" s="128">
        <v>0</v>
      </c>
      <c r="AH6" s="128">
        <v>0</v>
      </c>
      <c r="AI6" s="128">
        <v>104</v>
      </c>
      <c r="AJ6" s="128">
        <v>0</v>
      </c>
    </row>
    <row r="7" spans="1:36" x14ac:dyDescent="0.3">
      <c r="A7" s="123" t="s">
        <v>249</v>
      </c>
      <c r="B7" s="124">
        <v>45981</v>
      </c>
      <c r="C7" s="125" t="s">
        <v>120</v>
      </c>
      <c r="D7" s="126" t="s">
        <v>295</v>
      </c>
      <c r="E7" s="125" t="s">
        <v>1</v>
      </c>
      <c r="F7" s="125" t="s">
        <v>251</v>
      </c>
      <c r="G7" s="127">
        <v>0.96089999999999998</v>
      </c>
      <c r="H7" s="128">
        <v>179</v>
      </c>
      <c r="I7" s="128">
        <v>172</v>
      </c>
      <c r="J7" s="128">
        <v>98</v>
      </c>
      <c r="K7" s="125" t="s">
        <v>252</v>
      </c>
      <c r="L7" s="129">
        <v>45977</v>
      </c>
      <c r="M7" s="128">
        <v>0</v>
      </c>
      <c r="N7" s="128">
        <v>0</v>
      </c>
      <c r="O7" s="128">
        <v>9</v>
      </c>
      <c r="P7" s="125" t="s">
        <v>121</v>
      </c>
      <c r="Q7" s="128">
        <v>0</v>
      </c>
      <c r="R7" s="128">
        <v>0</v>
      </c>
      <c r="S7" s="128">
        <v>0</v>
      </c>
      <c r="T7" s="128">
        <v>0</v>
      </c>
      <c r="U7" s="128">
        <v>1</v>
      </c>
      <c r="V7" s="128">
        <v>6</v>
      </c>
      <c r="W7" s="128">
        <v>5</v>
      </c>
      <c r="X7" s="128">
        <v>16</v>
      </c>
      <c r="Y7" s="128">
        <v>26</v>
      </c>
      <c r="Z7" s="128">
        <v>16</v>
      </c>
      <c r="AA7" s="128">
        <v>4</v>
      </c>
      <c r="AB7" s="128">
        <v>0</v>
      </c>
      <c r="AC7" s="128">
        <v>0</v>
      </c>
      <c r="AD7" s="128">
        <v>0</v>
      </c>
      <c r="AE7" s="128">
        <v>0</v>
      </c>
      <c r="AF7" s="128">
        <v>0</v>
      </c>
      <c r="AG7" s="128">
        <v>1</v>
      </c>
      <c r="AH7" s="128">
        <v>0</v>
      </c>
      <c r="AI7" s="128">
        <v>97</v>
      </c>
      <c r="AJ7" s="128">
        <v>0</v>
      </c>
    </row>
    <row r="8" spans="1:36" x14ac:dyDescent="0.3">
      <c r="A8" s="123" t="s">
        <v>249</v>
      </c>
      <c r="B8" s="124">
        <v>45981</v>
      </c>
      <c r="C8" s="125" t="s">
        <v>125</v>
      </c>
      <c r="D8" s="126" t="s">
        <v>303</v>
      </c>
      <c r="E8" s="125" t="s">
        <v>1</v>
      </c>
      <c r="F8" s="125" t="s">
        <v>251</v>
      </c>
      <c r="G8" s="127">
        <v>0.96650000000000003</v>
      </c>
      <c r="H8" s="128">
        <v>179</v>
      </c>
      <c r="I8" s="128">
        <v>173</v>
      </c>
      <c r="J8" s="128">
        <v>90</v>
      </c>
      <c r="K8" s="125" t="s">
        <v>252</v>
      </c>
      <c r="L8" s="129">
        <v>45978</v>
      </c>
      <c r="M8" s="128">
        <v>0</v>
      </c>
      <c r="N8" s="128">
        <v>0</v>
      </c>
      <c r="O8" s="128">
        <v>3</v>
      </c>
      <c r="P8" s="125" t="s">
        <v>126</v>
      </c>
      <c r="Q8" s="128">
        <v>0</v>
      </c>
      <c r="R8" s="128">
        <v>0</v>
      </c>
      <c r="S8" s="128">
        <v>6</v>
      </c>
      <c r="T8" s="128">
        <v>0</v>
      </c>
      <c r="U8" s="128">
        <v>4</v>
      </c>
      <c r="V8" s="128">
        <v>4</v>
      </c>
      <c r="W8" s="128">
        <v>14</v>
      </c>
      <c r="X8" s="128">
        <v>16</v>
      </c>
      <c r="Y8" s="128">
        <v>16</v>
      </c>
      <c r="Z8" s="128">
        <v>16</v>
      </c>
      <c r="AA8" s="128">
        <v>5</v>
      </c>
      <c r="AB8" s="128">
        <v>0</v>
      </c>
      <c r="AC8" s="128">
        <v>0</v>
      </c>
      <c r="AD8" s="128">
        <v>0</v>
      </c>
      <c r="AE8" s="128">
        <v>0</v>
      </c>
      <c r="AF8" s="128">
        <v>2</v>
      </c>
      <c r="AG8" s="128">
        <v>0</v>
      </c>
      <c r="AH8" s="128">
        <v>0</v>
      </c>
      <c r="AI8" s="128">
        <v>90</v>
      </c>
      <c r="AJ8" s="128">
        <v>0</v>
      </c>
    </row>
    <row r="9" spans="1:36" x14ac:dyDescent="0.3">
      <c r="A9" s="123" t="s">
        <v>311</v>
      </c>
      <c r="B9" s="124">
        <v>45982</v>
      </c>
      <c r="C9" s="125" t="s">
        <v>100</v>
      </c>
      <c r="D9" s="126" t="s">
        <v>258</v>
      </c>
      <c r="E9" s="125" t="s">
        <v>1</v>
      </c>
      <c r="F9" s="125" t="s">
        <v>251</v>
      </c>
      <c r="G9" s="127">
        <v>0.50839999999999996</v>
      </c>
      <c r="H9" s="128">
        <v>179</v>
      </c>
      <c r="I9" s="128">
        <v>91</v>
      </c>
      <c r="J9" s="128">
        <v>0</v>
      </c>
      <c r="K9" s="125" t="s">
        <v>252</v>
      </c>
      <c r="L9" s="129">
        <v>45980</v>
      </c>
      <c r="M9" s="128">
        <v>1</v>
      </c>
      <c r="N9" s="128">
        <v>7</v>
      </c>
      <c r="O9" s="128">
        <v>24</v>
      </c>
      <c r="P9" s="125" t="s">
        <v>189</v>
      </c>
      <c r="Q9" s="128">
        <v>0</v>
      </c>
      <c r="R9" s="128">
        <v>0</v>
      </c>
      <c r="S9" s="128">
        <v>0</v>
      </c>
      <c r="T9" s="128">
        <v>0</v>
      </c>
      <c r="U9" s="128">
        <v>0</v>
      </c>
      <c r="V9" s="128">
        <v>3</v>
      </c>
      <c r="W9" s="128">
        <v>30</v>
      </c>
      <c r="X9" s="128">
        <v>20</v>
      </c>
      <c r="Y9" s="128">
        <v>17</v>
      </c>
      <c r="Z9" s="128">
        <v>16</v>
      </c>
      <c r="AA9" s="128">
        <v>5</v>
      </c>
      <c r="AB9" s="128">
        <v>0</v>
      </c>
      <c r="AC9" s="128">
        <v>0</v>
      </c>
      <c r="AD9" s="128">
        <v>0</v>
      </c>
      <c r="AE9" s="128">
        <v>0</v>
      </c>
      <c r="AF9" s="128">
        <v>0</v>
      </c>
      <c r="AG9" s="128">
        <v>0</v>
      </c>
      <c r="AH9" s="128">
        <v>0</v>
      </c>
      <c r="AI9" s="128">
        <v>0</v>
      </c>
      <c r="AJ9" s="128">
        <v>0</v>
      </c>
    </row>
    <row r="10" spans="1:36" x14ac:dyDescent="0.3">
      <c r="A10" s="123" t="s">
        <v>311</v>
      </c>
      <c r="B10" s="124">
        <v>45982</v>
      </c>
      <c r="C10" s="125" t="s">
        <v>198</v>
      </c>
      <c r="D10" s="126" t="s">
        <v>334</v>
      </c>
      <c r="E10" s="125" t="s">
        <v>1</v>
      </c>
      <c r="F10" s="125" t="s">
        <v>251</v>
      </c>
      <c r="G10" s="127">
        <v>1.0172000000000001</v>
      </c>
      <c r="H10" s="128">
        <v>174</v>
      </c>
      <c r="I10" s="128">
        <v>177</v>
      </c>
      <c r="J10" s="128">
        <v>92</v>
      </c>
      <c r="K10" s="125" t="s">
        <v>252</v>
      </c>
      <c r="L10" s="129">
        <v>45979</v>
      </c>
      <c r="M10" s="128">
        <v>0</v>
      </c>
      <c r="N10" s="128">
        <v>1</v>
      </c>
      <c r="O10" s="128">
        <v>7</v>
      </c>
      <c r="P10" s="125" t="s">
        <v>201</v>
      </c>
      <c r="Q10" s="128">
        <v>0</v>
      </c>
      <c r="R10" s="128">
        <v>0</v>
      </c>
      <c r="S10" s="128">
        <v>0</v>
      </c>
      <c r="T10" s="128">
        <v>0</v>
      </c>
      <c r="U10" s="128">
        <v>0</v>
      </c>
      <c r="V10" s="128">
        <v>0</v>
      </c>
      <c r="W10" s="128">
        <v>7</v>
      </c>
      <c r="X10" s="128">
        <v>0</v>
      </c>
      <c r="Y10" s="128">
        <v>1</v>
      </c>
      <c r="Z10" s="128">
        <v>17</v>
      </c>
      <c r="AA10" s="128">
        <v>10</v>
      </c>
      <c r="AB10" s="128">
        <v>10</v>
      </c>
      <c r="AC10" s="128">
        <v>10</v>
      </c>
      <c r="AD10" s="128">
        <v>10</v>
      </c>
      <c r="AE10" s="128">
        <v>10</v>
      </c>
      <c r="AF10" s="128">
        <v>10</v>
      </c>
      <c r="AG10" s="128">
        <v>0</v>
      </c>
      <c r="AH10" s="128">
        <v>0</v>
      </c>
      <c r="AI10" s="128">
        <v>92</v>
      </c>
      <c r="AJ10" s="128">
        <v>0</v>
      </c>
    </row>
    <row r="11" spans="1:36" x14ac:dyDescent="0.3">
      <c r="A11" s="123" t="s">
        <v>311</v>
      </c>
      <c r="B11" s="124">
        <v>45982</v>
      </c>
      <c r="C11" s="125" t="s">
        <v>111</v>
      </c>
      <c r="D11" s="126" t="s">
        <v>330</v>
      </c>
      <c r="E11" s="125" t="s">
        <v>1</v>
      </c>
      <c r="F11" s="125" t="s">
        <v>251</v>
      </c>
      <c r="G11" s="127">
        <v>0.5363</v>
      </c>
      <c r="H11" s="128">
        <v>179</v>
      </c>
      <c r="I11" s="128">
        <v>96</v>
      </c>
      <c r="J11" s="128">
        <v>0</v>
      </c>
      <c r="K11" s="125" t="s">
        <v>252</v>
      </c>
      <c r="L11" s="129">
        <v>45979</v>
      </c>
      <c r="M11" s="128">
        <v>0</v>
      </c>
      <c r="N11" s="128">
        <v>3</v>
      </c>
      <c r="O11" s="128">
        <v>15</v>
      </c>
      <c r="P11" s="125" t="s">
        <v>191</v>
      </c>
      <c r="Q11" s="128">
        <v>0</v>
      </c>
      <c r="R11" s="128">
        <v>0</v>
      </c>
      <c r="S11" s="128">
        <v>0</v>
      </c>
      <c r="T11" s="128">
        <v>0</v>
      </c>
      <c r="U11" s="128">
        <v>0</v>
      </c>
      <c r="V11" s="128">
        <v>0</v>
      </c>
      <c r="W11" s="128">
        <v>22</v>
      </c>
      <c r="X11" s="128">
        <v>16</v>
      </c>
      <c r="Y11" s="128">
        <v>22</v>
      </c>
      <c r="Z11" s="128">
        <v>31</v>
      </c>
      <c r="AA11" s="128">
        <v>5</v>
      </c>
      <c r="AB11" s="128">
        <v>0</v>
      </c>
      <c r="AC11" s="128">
        <v>0</v>
      </c>
      <c r="AD11" s="128">
        <v>0</v>
      </c>
      <c r="AE11" s="128">
        <v>0</v>
      </c>
      <c r="AF11" s="128">
        <v>0</v>
      </c>
      <c r="AG11" s="128">
        <v>0</v>
      </c>
      <c r="AH11" s="128">
        <v>0</v>
      </c>
      <c r="AI11" s="128">
        <v>0</v>
      </c>
      <c r="AJ11" s="128">
        <v>0</v>
      </c>
    </row>
    <row r="12" spans="1:36" x14ac:dyDescent="0.3">
      <c r="A12" s="123" t="s">
        <v>311</v>
      </c>
      <c r="B12" s="124">
        <v>45982</v>
      </c>
      <c r="C12" s="125" t="s">
        <v>115</v>
      </c>
      <c r="D12" s="126" t="s">
        <v>316</v>
      </c>
      <c r="E12" s="125" t="s">
        <v>1</v>
      </c>
      <c r="F12" s="125" t="s">
        <v>251</v>
      </c>
      <c r="G12" s="127">
        <v>0.5978</v>
      </c>
      <c r="H12" s="128">
        <v>179</v>
      </c>
      <c r="I12" s="128">
        <v>107</v>
      </c>
      <c r="J12" s="128">
        <v>1</v>
      </c>
      <c r="K12" s="125" t="s">
        <v>252</v>
      </c>
      <c r="L12" s="129">
        <v>45978</v>
      </c>
      <c r="M12" s="128">
        <v>0</v>
      </c>
      <c r="N12" s="128">
        <v>0</v>
      </c>
      <c r="O12" s="128">
        <v>21</v>
      </c>
      <c r="P12" s="125" t="s">
        <v>121</v>
      </c>
      <c r="Q12" s="128">
        <v>0</v>
      </c>
      <c r="R12" s="128">
        <v>0</v>
      </c>
      <c r="S12" s="128">
        <v>0</v>
      </c>
      <c r="T12" s="128">
        <v>0</v>
      </c>
      <c r="U12" s="128">
        <v>0</v>
      </c>
      <c r="V12" s="128">
        <v>6</v>
      </c>
      <c r="W12" s="128">
        <v>30</v>
      </c>
      <c r="X12" s="128">
        <v>15</v>
      </c>
      <c r="Y12" s="128">
        <v>17</v>
      </c>
      <c r="Z12" s="128">
        <v>11</v>
      </c>
      <c r="AA12" s="128">
        <v>5</v>
      </c>
      <c r="AB12" s="128">
        <v>2</v>
      </c>
      <c r="AC12" s="128">
        <v>5</v>
      </c>
      <c r="AD12" s="128">
        <v>6</v>
      </c>
      <c r="AE12" s="128">
        <v>4</v>
      </c>
      <c r="AF12" s="128">
        <v>5</v>
      </c>
      <c r="AG12" s="128">
        <v>0</v>
      </c>
      <c r="AH12" s="128">
        <v>0</v>
      </c>
      <c r="AI12" s="128">
        <v>1</v>
      </c>
      <c r="AJ12" s="128">
        <v>0</v>
      </c>
    </row>
    <row r="13" spans="1:36" x14ac:dyDescent="0.3">
      <c r="A13" s="123" t="s">
        <v>311</v>
      </c>
      <c r="B13" s="124">
        <v>45982</v>
      </c>
      <c r="C13" s="125" t="s">
        <v>120</v>
      </c>
      <c r="D13" s="126" t="s">
        <v>322</v>
      </c>
      <c r="E13" s="125" t="s">
        <v>1</v>
      </c>
      <c r="F13" s="125" t="s">
        <v>251</v>
      </c>
      <c r="G13" s="127">
        <v>0.54190000000000005</v>
      </c>
      <c r="H13" s="128">
        <v>179</v>
      </c>
      <c r="I13" s="128">
        <v>97</v>
      </c>
      <c r="J13" s="128">
        <v>0</v>
      </c>
      <c r="K13" s="125" t="s">
        <v>252</v>
      </c>
      <c r="L13" s="129">
        <v>45976</v>
      </c>
      <c r="M13" s="128">
        <v>0</v>
      </c>
      <c r="N13" s="128">
        <v>0</v>
      </c>
      <c r="O13" s="128">
        <v>7</v>
      </c>
      <c r="P13" s="125" t="s">
        <v>193</v>
      </c>
      <c r="Q13" s="128">
        <v>0</v>
      </c>
      <c r="R13" s="128">
        <v>0</v>
      </c>
      <c r="S13" s="128">
        <v>0</v>
      </c>
      <c r="T13" s="128">
        <v>0</v>
      </c>
      <c r="U13" s="128">
        <v>0</v>
      </c>
      <c r="V13" s="128">
        <v>0</v>
      </c>
      <c r="W13" s="128">
        <v>20</v>
      </c>
      <c r="X13" s="128">
        <v>16</v>
      </c>
      <c r="Y13" s="128">
        <v>24</v>
      </c>
      <c r="Z13" s="128">
        <v>32</v>
      </c>
      <c r="AA13" s="128">
        <v>5</v>
      </c>
      <c r="AB13" s="128">
        <v>0</v>
      </c>
      <c r="AC13" s="128">
        <v>0</v>
      </c>
      <c r="AD13" s="128">
        <v>0</v>
      </c>
      <c r="AE13" s="128">
        <v>0</v>
      </c>
      <c r="AF13" s="128">
        <v>0</v>
      </c>
      <c r="AG13" s="128">
        <v>0</v>
      </c>
      <c r="AH13" s="128">
        <v>0</v>
      </c>
      <c r="AI13" s="128">
        <v>0</v>
      </c>
      <c r="AJ13" s="128">
        <v>0</v>
      </c>
    </row>
    <row r="14" spans="1:36" x14ac:dyDescent="0.3">
      <c r="A14" s="123" t="s">
        <v>311</v>
      </c>
      <c r="B14" s="124">
        <v>45982</v>
      </c>
      <c r="C14" s="125" t="s">
        <v>125</v>
      </c>
      <c r="D14" s="126" t="s">
        <v>326</v>
      </c>
      <c r="E14" s="125" t="s">
        <v>1</v>
      </c>
      <c r="F14" s="125" t="s">
        <v>251</v>
      </c>
      <c r="G14" s="127">
        <v>0.53069999999999995</v>
      </c>
      <c r="H14" s="128">
        <v>179</v>
      </c>
      <c r="I14" s="128">
        <v>95</v>
      </c>
      <c r="J14" s="128">
        <v>0</v>
      </c>
      <c r="K14" s="125" t="s">
        <v>252</v>
      </c>
      <c r="L14" s="129">
        <v>45979</v>
      </c>
      <c r="M14" s="128">
        <v>0</v>
      </c>
      <c r="N14" s="128">
        <v>1</v>
      </c>
      <c r="O14" s="128">
        <v>19</v>
      </c>
      <c r="P14" s="125" t="s">
        <v>195</v>
      </c>
      <c r="Q14" s="128">
        <v>0</v>
      </c>
      <c r="R14" s="128">
        <v>0</v>
      </c>
      <c r="S14" s="128">
        <v>0</v>
      </c>
      <c r="T14" s="128">
        <v>0</v>
      </c>
      <c r="U14" s="128">
        <v>0</v>
      </c>
      <c r="V14" s="128">
        <v>0</v>
      </c>
      <c r="W14" s="128">
        <v>16</v>
      </c>
      <c r="X14" s="128">
        <v>44</v>
      </c>
      <c r="Y14" s="128">
        <v>17</v>
      </c>
      <c r="Z14" s="128">
        <v>13</v>
      </c>
      <c r="AA14" s="128">
        <v>5</v>
      </c>
      <c r="AB14" s="128">
        <v>0</v>
      </c>
      <c r="AC14" s="128">
        <v>0</v>
      </c>
      <c r="AD14" s="128">
        <v>0</v>
      </c>
      <c r="AE14" s="128">
        <v>0</v>
      </c>
      <c r="AF14" s="128">
        <v>0</v>
      </c>
      <c r="AG14" s="128">
        <v>0</v>
      </c>
      <c r="AH14" s="128">
        <v>0</v>
      </c>
      <c r="AI14" s="128">
        <v>0</v>
      </c>
      <c r="AJ14" s="128">
        <v>0</v>
      </c>
    </row>
    <row r="15" spans="1:36" x14ac:dyDescent="0.3">
      <c r="A15" s="123" t="s">
        <v>342</v>
      </c>
      <c r="B15" s="124">
        <v>45983</v>
      </c>
      <c r="C15" s="125" t="s">
        <v>108</v>
      </c>
      <c r="D15" s="126" t="s">
        <v>343</v>
      </c>
      <c r="E15" s="125" t="s">
        <v>1</v>
      </c>
      <c r="F15" s="125" t="s">
        <v>251</v>
      </c>
      <c r="G15" s="127">
        <v>1</v>
      </c>
      <c r="H15" s="128">
        <v>179</v>
      </c>
      <c r="I15" s="128">
        <v>179</v>
      </c>
      <c r="J15" s="128">
        <v>50</v>
      </c>
      <c r="K15" s="125" t="s">
        <v>252</v>
      </c>
      <c r="L15" s="129">
        <v>45971</v>
      </c>
      <c r="M15" s="128">
        <v>0</v>
      </c>
      <c r="N15" s="128">
        <v>0</v>
      </c>
      <c r="O15" s="128">
        <v>0</v>
      </c>
      <c r="P15" s="125" t="s">
        <v>201</v>
      </c>
      <c r="Q15" s="128">
        <v>0</v>
      </c>
      <c r="R15" s="128">
        <v>0</v>
      </c>
      <c r="S15" s="128">
        <v>0</v>
      </c>
      <c r="T15" s="128">
        <v>0</v>
      </c>
      <c r="U15" s="128">
        <v>0</v>
      </c>
      <c r="V15" s="128">
        <v>0</v>
      </c>
      <c r="W15" s="128">
        <v>3</v>
      </c>
      <c r="X15" s="128">
        <v>0</v>
      </c>
      <c r="Y15" s="128">
        <v>16</v>
      </c>
      <c r="Z15" s="128">
        <v>17</v>
      </c>
      <c r="AA15" s="128">
        <v>22</v>
      </c>
      <c r="AB15" s="128">
        <v>10</v>
      </c>
      <c r="AC15" s="128">
        <v>10</v>
      </c>
      <c r="AD15" s="128">
        <v>17</v>
      </c>
      <c r="AE15" s="128">
        <v>17</v>
      </c>
      <c r="AF15" s="128">
        <v>17</v>
      </c>
      <c r="AG15" s="128">
        <v>0</v>
      </c>
      <c r="AH15" s="128">
        <v>0</v>
      </c>
      <c r="AI15" s="128">
        <v>50</v>
      </c>
      <c r="AJ15" s="128">
        <v>0</v>
      </c>
    </row>
    <row r="16" spans="1:36" x14ac:dyDescent="0.3">
      <c r="A16" s="123" t="s">
        <v>342</v>
      </c>
      <c r="B16" s="124">
        <v>45983</v>
      </c>
      <c r="C16" s="125" t="s">
        <v>115</v>
      </c>
      <c r="D16" s="126" t="s">
        <v>278</v>
      </c>
      <c r="E16" s="125" t="s">
        <v>1</v>
      </c>
      <c r="F16" s="125" t="s">
        <v>251</v>
      </c>
      <c r="G16" s="127">
        <v>1</v>
      </c>
      <c r="H16" s="128">
        <v>179</v>
      </c>
      <c r="I16" s="128">
        <v>179</v>
      </c>
      <c r="J16" s="128">
        <v>134</v>
      </c>
      <c r="K16" s="125" t="s">
        <v>252</v>
      </c>
      <c r="L16" s="129">
        <v>45979</v>
      </c>
      <c r="M16" s="128">
        <v>0</v>
      </c>
      <c r="N16" s="128">
        <v>4</v>
      </c>
      <c r="O16" s="128">
        <v>6</v>
      </c>
      <c r="P16" s="125" t="s">
        <v>201</v>
      </c>
      <c r="Q16" s="128">
        <v>0</v>
      </c>
      <c r="R16" s="128">
        <v>0</v>
      </c>
      <c r="S16" s="128">
        <v>0</v>
      </c>
      <c r="T16" s="128">
        <v>0</v>
      </c>
      <c r="U16" s="128">
        <v>0</v>
      </c>
      <c r="V16" s="128">
        <v>5</v>
      </c>
      <c r="W16" s="128">
        <v>0</v>
      </c>
      <c r="X16" s="128">
        <v>6</v>
      </c>
      <c r="Y16" s="128">
        <v>0</v>
      </c>
      <c r="Z16" s="128">
        <v>24</v>
      </c>
      <c r="AA16" s="128">
        <v>5</v>
      </c>
      <c r="AB16" s="128">
        <v>0</v>
      </c>
      <c r="AC16" s="128">
        <v>0</v>
      </c>
      <c r="AD16" s="128">
        <v>0</v>
      </c>
      <c r="AE16" s="128">
        <v>0</v>
      </c>
      <c r="AF16" s="128">
        <v>0</v>
      </c>
      <c r="AG16" s="128">
        <v>0</v>
      </c>
      <c r="AH16" s="128">
        <v>0</v>
      </c>
      <c r="AI16" s="128">
        <v>135</v>
      </c>
      <c r="AJ16" s="128">
        <v>4</v>
      </c>
    </row>
    <row r="17" spans="1:36" x14ac:dyDescent="0.3">
      <c r="A17" s="123" t="s">
        <v>342</v>
      </c>
      <c r="B17" s="124">
        <v>45983</v>
      </c>
      <c r="C17" s="125" t="s">
        <v>120</v>
      </c>
      <c r="D17" s="126" t="s">
        <v>354</v>
      </c>
      <c r="E17" s="125" t="s">
        <v>1</v>
      </c>
      <c r="F17" s="125" t="s">
        <v>251</v>
      </c>
      <c r="G17" s="127">
        <v>1</v>
      </c>
      <c r="H17" s="128">
        <v>179</v>
      </c>
      <c r="I17" s="128">
        <v>179</v>
      </c>
      <c r="J17" s="128">
        <v>127</v>
      </c>
      <c r="K17" s="125" t="s">
        <v>252</v>
      </c>
      <c r="L17" s="129">
        <v>45980</v>
      </c>
      <c r="M17" s="128">
        <v>1</v>
      </c>
      <c r="N17" s="128">
        <v>0</v>
      </c>
      <c r="O17" s="128">
        <v>4</v>
      </c>
      <c r="P17" s="125" t="s">
        <v>201</v>
      </c>
      <c r="Q17" s="128">
        <v>0</v>
      </c>
      <c r="R17" s="128">
        <v>0</v>
      </c>
      <c r="S17" s="128">
        <v>0</v>
      </c>
      <c r="T17" s="128">
        <v>0</v>
      </c>
      <c r="U17" s="128">
        <v>0</v>
      </c>
      <c r="V17" s="128">
        <v>3</v>
      </c>
      <c r="W17" s="128">
        <v>0</v>
      </c>
      <c r="X17" s="128">
        <v>1</v>
      </c>
      <c r="Y17" s="128">
        <v>3</v>
      </c>
      <c r="Z17" s="128">
        <v>3</v>
      </c>
      <c r="AA17" s="128">
        <v>4</v>
      </c>
      <c r="AB17" s="128">
        <v>10</v>
      </c>
      <c r="AC17" s="128">
        <v>12</v>
      </c>
      <c r="AD17" s="128">
        <v>5</v>
      </c>
      <c r="AE17" s="128">
        <v>6</v>
      </c>
      <c r="AF17" s="128">
        <v>4</v>
      </c>
      <c r="AG17" s="128">
        <v>45</v>
      </c>
      <c r="AH17" s="128">
        <v>0</v>
      </c>
      <c r="AI17" s="128">
        <v>82</v>
      </c>
      <c r="AJ17" s="128">
        <v>1</v>
      </c>
    </row>
    <row r="18" spans="1:36" ht="18" x14ac:dyDescent="0.35">
      <c r="A18" s="174" t="s">
        <v>381</v>
      </c>
      <c r="B18" s="175"/>
      <c r="C18" s="174">
        <f>SUBTOTAL(103,LF_ALL_ROUTES[Flt])</f>
        <v>16</v>
      </c>
      <c r="D18" s="174"/>
      <c r="E18" s="174">
        <f>SUBTOTAL(103,LF_ALL_ROUTES[Brd-Off])</f>
        <v>16</v>
      </c>
      <c r="F18" s="174"/>
      <c r="G18" s="176">
        <f>SUBTOTAL(101,LF_ALL_ROUTES[LF%])</f>
        <v>0.7893437499999999</v>
      </c>
      <c r="H18" s="177">
        <f>SUBTOTAL(109,LF_ALL_ROUTES[CAP])</f>
        <v>2867</v>
      </c>
      <c r="I18" s="177">
        <f>SUBTOTAL(109,LF_ALL_ROUTES[BKG(Y)])</f>
        <v>2263</v>
      </c>
      <c r="J18" s="177">
        <f>SUBTOTAL(109,LF_ALL_ROUTES[GRP(Y)])</f>
        <v>858</v>
      </c>
      <c r="K18" s="174"/>
      <c r="L18" s="175"/>
      <c r="M18" s="177">
        <f>SUBTOTAL(109,LF_ALL_ROUTES[TO-DAY])</f>
        <v>10</v>
      </c>
      <c r="N18" s="177">
        <f>SUBTOTAL(109,LF_ALL_ROUTES[Y-DAY])</f>
        <v>39</v>
      </c>
      <c r="O18" s="177">
        <f>SUBTOTAL(109,LF_ALL_ROUTES[WEEKLY])</f>
        <v>213</v>
      </c>
      <c r="P18" s="178"/>
      <c r="Q18" s="177">
        <f>SUBTOTAL(109,LF_ALL_ROUTES[Y])</f>
        <v>0</v>
      </c>
      <c r="R18" s="177">
        <f>SUBTOTAL(109,LF_ALL_ROUTES[B])</f>
        <v>0</v>
      </c>
      <c r="S18" s="177">
        <f>SUBTOTAL(109,LF_ALL_ROUTES[M])</f>
        <v>6</v>
      </c>
      <c r="T18" s="177">
        <f>SUBTOTAL(109,LF_ALL_ROUTES[H])</f>
        <v>0</v>
      </c>
      <c r="U18" s="177">
        <f>SUBTOTAL(109,LF_ALL_ROUTES[Q])</f>
        <v>5</v>
      </c>
      <c r="V18" s="177">
        <f>SUBTOTAL(109,LF_ALL_ROUTES[K])</f>
        <v>27</v>
      </c>
      <c r="W18" s="177">
        <f>SUBTOTAL(109,LF_ALL_ROUTES[V])</f>
        <v>153</v>
      </c>
      <c r="X18" s="177">
        <f>SUBTOTAL(109,LF_ALL_ROUTES[L])</f>
        <v>228</v>
      </c>
      <c r="Y18" s="177">
        <f>SUBTOTAL(109,LF_ALL_ROUTES[G])</f>
        <v>280</v>
      </c>
      <c r="Z18" s="177">
        <f>SUBTOTAL(109,LF_ALL_ROUTES[S])</f>
        <v>296</v>
      </c>
      <c r="AA18" s="177">
        <f>SUBTOTAL(109,LF_ALL_ROUTES[W])</f>
        <v>163</v>
      </c>
      <c r="AB18" s="177">
        <f>SUBTOTAL(109,LF_ALL_ROUTES[T])</f>
        <v>51</v>
      </c>
      <c r="AC18" s="177">
        <f>SUBTOTAL(109,LF_ALL_ROUTES[X])</f>
        <v>48</v>
      </c>
      <c r="AD18" s="177">
        <f>SUBTOTAL(109,LF_ALL_ROUTES[U])</f>
        <v>44</v>
      </c>
      <c r="AE18" s="177">
        <f>SUBTOTAL(109,LF_ALL_ROUTES[O])</f>
        <v>47</v>
      </c>
      <c r="AF18" s="177">
        <f>SUBTOTAL(109,LF_ALL_ROUTES[I])</f>
        <v>49</v>
      </c>
      <c r="AG18" s="177">
        <f>SUBTOTAL(109,LF_ALL_ROUTES[E])</f>
        <v>115</v>
      </c>
      <c r="AH18" s="177">
        <f>SUBTOTAL(109,LF_ALL_ROUTES[A])</f>
        <v>0</v>
      </c>
      <c r="AI18" s="177">
        <f>SUBTOTAL(109,LF_ALL_ROUTES[P])</f>
        <v>742</v>
      </c>
      <c r="AJ18" s="177">
        <f>SUBTOTAL(109,LF_ALL_ROUTES[N])</f>
        <v>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JED-CAI</vt:lpstr>
      <vt:lpstr>JED-CAI LF LEGACY</vt:lpstr>
      <vt:lpstr>JED-CAI - FOCUS MODE</vt:lpstr>
      <vt:lpstr>JED-CAI - OAL Threats Alert</vt:lpstr>
      <vt:lpstr>LF_ALL_ROUTES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2025-11-19T07:14:05Z</dcterms:created>
  <dcterms:modified xsi:type="dcterms:W3CDTF">2025-11-19T07:18:14Z</dcterms:modified>
</cp:coreProperties>
</file>