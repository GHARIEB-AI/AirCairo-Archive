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5EF8624-3AC6-429E-BDBC-125BFB36E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RUH-CAI" sheetId="3" r:id="rId3"/>
    <sheet name="RUH-CAI LF LEGACY" sheetId="4" r:id="rId4"/>
    <sheet name="MED-CAI" sheetId="5" r:id="rId5"/>
    <sheet name="MED-CAI LF LEGACY" sheetId="6" r:id="rId6"/>
    <sheet name="DMM-CAI" sheetId="7" r:id="rId7"/>
    <sheet name="DMM-CAI LF LEGACY" sheetId="8" r:id="rId8"/>
    <sheet name="KSA_TO_EGY_ALL_ROU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8" l="1"/>
  <c r="E7" i="8"/>
  <c r="G7" i="8"/>
  <c r="H7" i="8"/>
  <c r="I7" i="8"/>
  <c r="J7" i="8"/>
  <c r="M7" i="8"/>
  <c r="N7" i="8"/>
  <c r="O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C11" i="6"/>
  <c r="E11" i="6"/>
  <c r="G11" i="6"/>
  <c r="H11" i="6"/>
  <c r="I11" i="6"/>
  <c r="J11" i="6"/>
  <c r="M11" i="6"/>
  <c r="N11" i="6"/>
  <c r="O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C15" i="4"/>
  <c r="E15" i="4"/>
  <c r="G15" i="4"/>
  <c r="H15" i="4"/>
  <c r="I15" i="4"/>
  <c r="J15" i="4"/>
  <c r="M15" i="4"/>
  <c r="N15" i="4"/>
  <c r="O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C49" i="2"/>
  <c r="E49" i="2"/>
  <c r="G49" i="2"/>
  <c r="H49" i="2"/>
  <c r="I49" i="2"/>
  <c r="J49" i="2"/>
  <c r="M49" i="2"/>
  <c r="N49" i="2"/>
  <c r="O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</calcChain>
</file>

<file path=xl/sharedStrings.xml><?xml version="1.0" encoding="utf-8"?>
<sst xmlns="http://schemas.openxmlformats.org/spreadsheetml/2006/main" count="2918" uniqueCount="370">
  <si>
    <t>COMPREHENSIVE REPORT</t>
  </si>
  <si>
    <t>JED-CAI</t>
  </si>
  <si>
    <t>FROM</t>
  </si>
  <si>
    <t>2025-12-01</t>
  </si>
  <si>
    <t>TO</t>
  </si>
  <si>
    <t>2025-12-10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</si>
  <si>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</si>
  <si>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</si>
  <si>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</si>
  <si>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</si>
  <si>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</si>
  <si>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</si>
  <si>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</si>
  <si>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</si>
  <si>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</si>
  <si>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</si>
  <si>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</si>
  <si>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</si>
  <si>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</si>
  <si>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</si>
  <si>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</si>
  <si>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</si>
  <si>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</si>
  <si>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</si>
  <si>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</si>
  <si>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</si>
  <si>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</si>
  <si>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</si>
  <si>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</si>
  <si>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SM-480</t>
  </si>
  <si>
    <t>30KG + 7KG CABIN</t>
  </si>
  <si>
    <t>HIGH DEMAND</t>
  </si>
  <si>
    <t>SM480</t>
  </si>
  <si>
    <t>2025-11-16 00:00:00</t>
  </si>
  <si>
    <t>W8</t>
  </si>
  <si>
    <t>S4 &amp; U3 &amp; O8 &amp; I10 &amp; P132</t>
  </si>
  <si>
    <t>SM-476</t>
  </si>
  <si>
    <t>SM476</t>
  </si>
  <si>
    <t>2025-11-20 00:00:00</t>
  </si>
  <si>
    <t>W7</t>
  </si>
  <si>
    <t>S2 &amp; O19 &amp; I10 &amp; P135</t>
  </si>
  <si>
    <t>SM-478</t>
  </si>
  <si>
    <t>SM478</t>
  </si>
  <si>
    <t>2025-11-22 00:00:00</t>
  </si>
  <si>
    <t>X2</t>
  </si>
  <si>
    <t>Y1 &amp; S4 &amp; X8 &amp; U11 &amp; O15 &amp; I10 &amp; P102 &amp; N4</t>
  </si>
  <si>
    <t>SM-460</t>
  </si>
  <si>
    <t>SM460</t>
  </si>
  <si>
    <t>U1</t>
  </si>
  <si>
    <t>S1 &amp; X2 &amp; U9 &amp; O20 &amp; I20 &amp; E41 &amp; P75</t>
  </si>
  <si>
    <t>SM-472</t>
  </si>
  <si>
    <t>LOW DEMAND</t>
  </si>
  <si>
    <t>SM472</t>
  </si>
  <si>
    <t>O9</t>
  </si>
  <si>
    <t>S2 &amp; O1 &amp; I30</t>
  </si>
  <si>
    <t>SEATS AVAILABLE</t>
  </si>
  <si>
    <t>O1</t>
  </si>
  <si>
    <t>O14 &amp; I10 &amp; P90</t>
  </si>
  <si>
    <t>U3</t>
  </si>
  <si>
    <t>S3 &amp; U8 &amp; O10 &amp; I10 &amp; P84</t>
  </si>
  <si>
    <t>U9</t>
  </si>
  <si>
    <t>U1 &amp; O10 &amp; I10 &amp; P96 &amp; N1</t>
  </si>
  <si>
    <t>SM-424</t>
  </si>
  <si>
    <t>SM424</t>
  </si>
  <si>
    <t>U3 &amp; O14 &amp; I10 &amp; P42</t>
  </si>
  <si>
    <t>U2 &amp; O10 &amp; I15 &amp; P92</t>
  </si>
  <si>
    <t>U2</t>
  </si>
  <si>
    <t>S4 &amp; U9 &amp; O10 &amp; I10 &amp; P82</t>
  </si>
  <si>
    <t>2025-11-14 00:00:00</t>
  </si>
  <si>
    <t>Q8</t>
  </si>
  <si>
    <t>S1 &amp; X2 &amp; O1 &amp; I13 &amp; P150</t>
  </si>
  <si>
    <t>2025-11-21 00:00:00</t>
  </si>
  <si>
    <t>X9</t>
  </si>
  <si>
    <t>U11 &amp; O10 &amp; I10 &amp; P84</t>
  </si>
  <si>
    <t>I7</t>
  </si>
  <si>
    <t>S1 &amp; O10 &amp; I23 &amp; P75</t>
  </si>
  <si>
    <t>O8</t>
  </si>
  <si>
    <t>S1 &amp; O2 &amp; I20</t>
  </si>
  <si>
    <t>SM-450</t>
  </si>
  <si>
    <t>SM450</t>
  </si>
  <si>
    <t>I3</t>
  </si>
  <si>
    <t>S1 &amp; I27 &amp; P37</t>
  </si>
  <si>
    <t>I1</t>
  </si>
  <si>
    <t>S4 &amp; I24 &amp; P116</t>
  </si>
  <si>
    <t>SM-432</t>
  </si>
  <si>
    <t>SM432</t>
  </si>
  <si>
    <t>I15</t>
  </si>
  <si>
    <t>2025-11-19 00:00:00</t>
  </si>
  <si>
    <t>W9</t>
  </si>
  <si>
    <t>S8 &amp; U5 &amp; O10 &amp; I10 &amp; E34 &amp; P89</t>
  </si>
  <si>
    <t>U6</t>
  </si>
  <si>
    <t>S7 &amp; U9 &amp; O15 &amp; I10 &amp; P99</t>
  </si>
  <si>
    <t>I2</t>
  </si>
  <si>
    <t>S1 &amp; O10 &amp; I18</t>
  </si>
  <si>
    <t>O11 &amp; I10</t>
  </si>
  <si>
    <t>O19 &amp; I10</t>
  </si>
  <si>
    <t>2025-11-15 00:00:00</t>
  </si>
  <si>
    <t>U4 &amp; O10 &amp; I10 &amp; P46</t>
  </si>
  <si>
    <t>S2 &amp; X1 &amp; U20 &amp; O8 &amp; I12 &amp; P45</t>
  </si>
  <si>
    <t>2025-11-11 00:00:00</t>
  </si>
  <si>
    <t>G9</t>
  </si>
  <si>
    <t>S5 &amp; O9 &amp; I10 &amp; P140</t>
  </si>
  <si>
    <t>S3 &amp; U2 &amp; O20 &amp; I10 &amp; P29</t>
  </si>
  <si>
    <t>S2 &amp; X1 &amp; U9 &amp; O20 &amp; I10 &amp; P113</t>
  </si>
  <si>
    <t>FULLY BOOKED</t>
  </si>
  <si>
    <t>2025-11-18 00:00:00</t>
  </si>
  <si>
    <t>CLOSED</t>
  </si>
  <si>
    <t>I5 &amp; E45 &amp; P130 &amp; N3</t>
  </si>
  <si>
    <t>X7 &amp; U1 &amp; O10 &amp; I10 &amp; E25 &amp; P36</t>
  </si>
  <si>
    <t>O10 &amp; I20</t>
  </si>
  <si>
    <t>S9 &amp; O9 &amp; I10</t>
  </si>
  <si>
    <t>S9</t>
  </si>
  <si>
    <t>S3 &amp; U3 &amp; O9 &amp; I9 &amp; P130</t>
  </si>
  <si>
    <t>LAST SEATS</t>
  </si>
  <si>
    <t>Y6</t>
  </si>
  <si>
    <t>O8 &amp; I10 &amp; P155</t>
  </si>
  <si>
    <t>U1 &amp; O10 &amp; I10 &amp; P133</t>
  </si>
  <si>
    <t>U7</t>
  </si>
  <si>
    <t>S1 &amp; U3 &amp; O10 &amp; I10 &amp; P134</t>
  </si>
  <si>
    <t>U4 &amp; O10 &amp; I10 &amp; P120</t>
  </si>
  <si>
    <t>U5</t>
  </si>
  <si>
    <t>U1 &amp; O10 &amp; I13 &amp; P136</t>
  </si>
  <si>
    <t>X2 &amp; I17</t>
  </si>
  <si>
    <t>I6</t>
  </si>
  <si>
    <t>I14 &amp; P90</t>
  </si>
  <si>
    <t>O5</t>
  </si>
  <si>
    <t>O5 &amp; I10 &amp; E45 &amp; P87</t>
  </si>
  <si>
    <t>S2 &amp; X1 &amp; O8 &amp; I10 &amp; P76</t>
  </si>
  <si>
    <t>O2 &amp; I20 &amp; P133</t>
  </si>
  <si>
    <t>2025-11-17 00:00:00</t>
  </si>
  <si>
    <t>U2 &amp; O9 &amp; I10</t>
  </si>
  <si>
    <t>U8</t>
  </si>
  <si>
    <t>S5 &amp; U3 &amp; O10 &amp; I10 &amp; P137</t>
  </si>
  <si>
    <t>S2 &amp; O19 &amp; I10 &amp; P3</t>
  </si>
  <si>
    <t>O4</t>
  </si>
  <si>
    <t>S3 &amp; U3 &amp; O16 &amp; I10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</si>
  <si>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</si>
  <si>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</si>
  <si>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</si>
  <si>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</si>
  <si>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</si>
  <si>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</si>
  <si>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</si>
  <si>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</si>
  <si>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</si>
  <si>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</si>
  <si>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</si>
  <si>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</si>
  <si>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</si>
  <si>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</si>
  <si>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</si>
  <si>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</si>
  <si>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</si>
  <si>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</si>
  <si>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</si>
  <si>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</si>
  <si>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</si>
  <si>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</si>
  <si>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</si>
  <si>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</si>
  <si>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</si>
  <si>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</si>
  <si>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</si>
  <si>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</si>
  <si>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</si>
  <si>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</si>
  <si>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</si>
  <si>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</si>
  <si>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</si>
  <si>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S4</t>
  </si>
  <si>
    <t>I10</t>
  </si>
  <si>
    <t>P132</t>
  </si>
  <si>
    <t>10:10</t>
  </si>
  <si>
    <t>S2</t>
  </si>
  <si>
    <t>O19</t>
  </si>
  <si>
    <t>P135</t>
  </si>
  <si>
    <t>14:45</t>
  </si>
  <si>
    <t>Y1</t>
  </si>
  <si>
    <t>X8</t>
  </si>
  <si>
    <t>U11</t>
  </si>
  <si>
    <t>O15</t>
  </si>
  <si>
    <t>P102</t>
  </si>
  <si>
    <t>N4</t>
  </si>
  <si>
    <t>23:30</t>
  </si>
  <si>
    <t>S1</t>
  </si>
  <si>
    <t>O20</t>
  </si>
  <si>
    <t>I20</t>
  </si>
  <si>
    <t>E41</t>
  </si>
  <si>
    <t>P75</t>
  </si>
  <si>
    <t>TUESDAY</t>
  </si>
  <si>
    <t>05:30</t>
  </si>
  <si>
    <t>I30</t>
  </si>
  <si>
    <t>13:25</t>
  </si>
  <si>
    <t>O14</t>
  </si>
  <si>
    <t>P90</t>
  </si>
  <si>
    <t>S3</t>
  </si>
  <si>
    <t>O10</t>
  </si>
  <si>
    <t>P84</t>
  </si>
  <si>
    <t>17:30</t>
  </si>
  <si>
    <t>P96</t>
  </si>
  <si>
    <t>N1</t>
  </si>
  <si>
    <t>22:25</t>
  </si>
  <si>
    <t>P42</t>
  </si>
  <si>
    <t>23:15</t>
  </si>
  <si>
    <t>P92</t>
  </si>
  <si>
    <t>WEDNESDAY</t>
  </si>
  <si>
    <t>12:25</t>
  </si>
  <si>
    <t>P82</t>
  </si>
  <si>
    <t>12:30</t>
  </si>
  <si>
    <t>I13</t>
  </si>
  <si>
    <t>P150</t>
  </si>
  <si>
    <t>THURSDAY</t>
  </si>
  <si>
    <t>01:10</t>
  </si>
  <si>
    <t>I23</t>
  </si>
  <si>
    <t>02:45</t>
  </si>
  <si>
    <t>O2</t>
  </si>
  <si>
    <t>06:05</t>
  </si>
  <si>
    <t>I27</t>
  </si>
  <si>
    <t>P37</t>
  </si>
  <si>
    <t>08:00</t>
  </si>
  <si>
    <t>I24</t>
  </si>
  <si>
    <t>P116</t>
  </si>
  <si>
    <t>08:45</t>
  </si>
  <si>
    <t>14:00</t>
  </si>
  <si>
    <t>S8</t>
  </si>
  <si>
    <t>E34</t>
  </si>
  <si>
    <t>P89</t>
  </si>
  <si>
    <t>17:45</t>
  </si>
  <si>
    <t>S7</t>
  </si>
  <si>
    <t>P99</t>
  </si>
  <si>
    <t>FRIDAY</t>
  </si>
  <si>
    <t>I18</t>
  </si>
  <si>
    <t>07:40</t>
  </si>
  <si>
    <t>O11</t>
  </si>
  <si>
    <t>11:00</t>
  </si>
  <si>
    <t>U4</t>
  </si>
  <si>
    <t>P46</t>
  </si>
  <si>
    <t>17:40</t>
  </si>
  <si>
    <t>X1</t>
  </si>
  <si>
    <t>U20</t>
  </si>
  <si>
    <t>I12</t>
  </si>
  <si>
    <t>P45</t>
  </si>
  <si>
    <t>22:30</t>
  </si>
  <si>
    <t>S5</t>
  </si>
  <si>
    <t>P140</t>
  </si>
  <si>
    <t>SATURDAY</t>
  </si>
  <si>
    <t>05:40</t>
  </si>
  <si>
    <t>P29</t>
  </si>
  <si>
    <t>P113</t>
  </si>
  <si>
    <t>16:20</t>
  </si>
  <si>
    <t>I5</t>
  </si>
  <si>
    <t>E45</t>
  </si>
  <si>
    <t>P130</t>
  </si>
  <si>
    <t>N3</t>
  </si>
  <si>
    <t>SUNDAY</t>
  </si>
  <si>
    <t>02:00</t>
  </si>
  <si>
    <t>X7</t>
  </si>
  <si>
    <t>E25</t>
  </si>
  <si>
    <t>P36</t>
  </si>
  <si>
    <t>12:15</t>
  </si>
  <si>
    <t>I9</t>
  </si>
  <si>
    <t>15:10</t>
  </si>
  <si>
    <t>P155</t>
  </si>
  <si>
    <t>P133</t>
  </si>
  <si>
    <t>P134</t>
  </si>
  <si>
    <t>P120</t>
  </si>
  <si>
    <t>P136</t>
  </si>
  <si>
    <t>I17</t>
  </si>
  <si>
    <t>I14</t>
  </si>
  <si>
    <t>P87</t>
  </si>
  <si>
    <t>P76</t>
  </si>
  <si>
    <t>P137</t>
  </si>
  <si>
    <t>P3</t>
  </si>
  <si>
    <t>O16</t>
  </si>
  <si>
    <t>RUH-CAI</t>
  </si>
  <si>
    <t>SM-470</t>
  </si>
  <si>
    <t>SM470</t>
  </si>
  <si>
    <t>K1 &amp; I5</t>
  </si>
  <si>
    <t>S1 &amp; I13 &amp; N1</t>
  </si>
  <si>
    <t>SM-462</t>
  </si>
  <si>
    <t>SM462</t>
  </si>
  <si>
    <t>K1 &amp; S1 &amp; O2 &amp; I20</t>
  </si>
  <si>
    <t>2025-11-23 00:00:00</t>
  </si>
  <si>
    <t>I8</t>
  </si>
  <si>
    <t>O2 &amp; I12</t>
  </si>
  <si>
    <t>U5 &amp; O20 &amp; I3</t>
  </si>
  <si>
    <t>K1 &amp; S1 &amp; O7 &amp; I17</t>
  </si>
  <si>
    <t>O13 &amp; I17</t>
  </si>
  <si>
    <t>K1 &amp; I12</t>
  </si>
  <si>
    <t>O1 &amp; I6</t>
  </si>
  <si>
    <t>S1 &amp; U4 &amp; O1 &amp; I9</t>
  </si>
  <si>
    <t>S1 &amp; U5 &amp; O2 &amp; I7</t>
  </si>
  <si>
    <t>K1 &amp; X1 &amp; U1 &amp; O5 &amp; I15</t>
  </si>
  <si>
    <t>U1 &amp; O5 &amp; I14</t>
  </si>
  <si>
    <t>22:10</t>
  </si>
  <si>
    <t>K1</t>
  </si>
  <si>
    <t>21:55</t>
  </si>
  <si>
    <t>14:40</t>
  </si>
  <si>
    <t>14:30</t>
  </si>
  <si>
    <t>O7</t>
  </si>
  <si>
    <t>O13</t>
  </si>
  <si>
    <t>15:00</t>
  </si>
  <si>
    <t>MED-CAI</t>
  </si>
  <si>
    <t>SM-496</t>
  </si>
  <si>
    <t>SM496</t>
  </si>
  <si>
    <t>2025-11-13 00:00:00</t>
  </si>
  <si>
    <t>K6</t>
  </si>
  <si>
    <t>S6 &amp; X9 &amp; U8 &amp; O8 &amp; I17 &amp; E29 &amp; P90 &amp; N1</t>
  </si>
  <si>
    <t>SM-488</t>
  </si>
  <si>
    <t>SM488</t>
  </si>
  <si>
    <t>V9</t>
  </si>
  <si>
    <t>L10 &amp; G10 &amp; S10 &amp; W10 &amp; T10 &amp; X10 &amp; U10 &amp; O10 &amp; I10 &amp; P41</t>
  </si>
  <si>
    <t>SM-494</t>
  </si>
  <si>
    <t>SM494</t>
  </si>
  <si>
    <t>2025-11-10 00:00:00</t>
  </si>
  <si>
    <t>S5 &amp; O9 &amp; I17 &amp; E46 &amp; P90 &amp; N2</t>
  </si>
  <si>
    <t>Y3 &amp; S4 &amp; U1 &amp; O9 &amp; I17 &amp; P135</t>
  </si>
  <si>
    <t>S1 &amp; X1 &amp; U8 &amp; O9 &amp; I17 &amp; P137 &amp; N2</t>
  </si>
  <si>
    <t>G3 &amp; S4 &amp; W4 &amp; T4 &amp; X4 &amp; U6 &amp; O4 &amp; I4 &amp; P145</t>
  </si>
  <si>
    <t>S1 &amp; X2 &amp; U8 &amp; O8 &amp; I17 &amp; P132</t>
  </si>
  <si>
    <t>G7 &amp; S16 &amp; W4 &amp; T10 &amp; X10 &amp; U10 &amp; O10 &amp; I10 &amp; P91</t>
  </si>
  <si>
    <t>S4 &amp; U8 &amp; O6 &amp; I19 &amp; E40 &amp; P89 &amp; N4</t>
  </si>
  <si>
    <t>S6</t>
  </si>
  <si>
    <t>E29</t>
  </si>
  <si>
    <t>06:40</t>
  </si>
  <si>
    <t>L10</t>
  </si>
  <si>
    <t>G10</t>
  </si>
  <si>
    <t>S10</t>
  </si>
  <si>
    <t>W10</t>
  </si>
  <si>
    <t>T10</t>
  </si>
  <si>
    <t>X10</t>
  </si>
  <si>
    <t>U10</t>
  </si>
  <si>
    <t>P41</t>
  </si>
  <si>
    <t>E46</t>
  </si>
  <si>
    <t>N2</t>
  </si>
  <si>
    <t>12:55</t>
  </si>
  <si>
    <t>Y3</t>
  </si>
  <si>
    <t>09:30</t>
  </si>
  <si>
    <t>21:40</t>
  </si>
  <si>
    <t>G3</t>
  </si>
  <si>
    <t>W4</t>
  </si>
  <si>
    <t>T4</t>
  </si>
  <si>
    <t>X4</t>
  </si>
  <si>
    <t>I4</t>
  </si>
  <si>
    <t>P145</t>
  </si>
  <si>
    <t>G7</t>
  </si>
  <si>
    <t>S16</t>
  </si>
  <si>
    <t>P91</t>
  </si>
  <si>
    <t>O6</t>
  </si>
  <si>
    <t>I19</t>
  </si>
  <si>
    <t>E40</t>
  </si>
  <si>
    <t>DMM-CAI</t>
  </si>
  <si>
    <t>SM-434</t>
  </si>
  <si>
    <t>SM434</t>
  </si>
  <si>
    <t>S9 &amp; T2 &amp; X7 &amp; U2 &amp; O4 &amp; I26</t>
  </si>
  <si>
    <t>S4 &amp; W2 &amp; T10 &amp; X3 &amp; U4 &amp; O3 &amp; I22</t>
  </si>
  <si>
    <t>S6 &amp; T1 &amp; X8 &amp; U10 &amp; O7 &amp; I25</t>
  </si>
  <si>
    <t>S1 &amp; U8 &amp; O2 &amp; I10</t>
  </si>
  <si>
    <t>S7 &amp; X7 &amp; U4 &amp; I17</t>
  </si>
  <si>
    <t>06:30</t>
  </si>
  <si>
    <t>T2</t>
  </si>
  <si>
    <t>I26</t>
  </si>
  <si>
    <t>W2</t>
  </si>
  <si>
    <t>X3</t>
  </si>
  <si>
    <t>O3</t>
  </si>
  <si>
    <t>I22</t>
  </si>
  <si>
    <t>13:55</t>
  </si>
  <si>
    <t>T1</t>
  </si>
  <si>
    <t>I25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</si>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</sst>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yyyy\-mm\-dd\ h:mm:ss"/>
    <numFmt numFmtId="166" formatCode="dddd\,\ mmmm\ dd\,\ yyyy"/>
    <numFmt numFmtId="167" formatCode="h:mm;@"/>
    <numFmt numFmtId="168" formatCode="0.0%"/>
    <numFmt numFmtId="169" formatCode="[$-409]dddd"/>
  </numFmts>
  <fonts count="2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68" fontId="13" fillId="8" borderId="5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167" fontId="15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68" fontId="13" fillId="9" borderId="5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167" fontId="15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168" fontId="13" fillId="10" borderId="5" xfId="0" applyNumberFormat="1" applyFont="1" applyFill="1" applyBorder="1" applyAlignment="1">
      <alignment horizontal="center" vertical="center"/>
    </xf>
    <xf numFmtId="1" fontId="12" fillId="10" borderId="5" xfId="0" applyNumberFormat="1" applyFont="1" applyFill="1" applyBorder="1" applyAlignment="1">
      <alignment horizontal="center" vertical="center"/>
    </xf>
    <xf numFmtId="16" fontId="12" fillId="10" borderId="5" xfId="0" applyNumberFormat="1" applyFont="1" applyFill="1" applyBorder="1" applyAlignment="1">
      <alignment horizontal="center" vertical="center"/>
    </xf>
    <xf numFmtId="49" fontId="14" fillId="10" borderId="5" xfId="0" applyNumberFormat="1" applyFont="1" applyFill="1" applyBorder="1" applyAlignment="1">
      <alignment horizontal="center" vertical="center"/>
    </xf>
    <xf numFmtId="167" fontId="12" fillId="10" borderId="5" xfId="0" applyNumberFormat="1" applyFont="1" applyFill="1" applyBorder="1" applyAlignment="1">
      <alignment horizontal="center" vertical="center"/>
    </xf>
    <xf numFmtId="49" fontId="12" fillId="10" borderId="6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167" fontId="15" fillId="9" borderId="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49" fontId="12" fillId="9" borderId="8" xfId="0" applyNumberFormat="1" applyFont="1" applyFill="1" applyBorder="1" applyAlignment="1">
      <alignment horizontal="center" vertical="center"/>
    </xf>
    <xf numFmtId="168" fontId="13" fillId="9" borderId="9" xfId="0" applyNumberFormat="1" applyFont="1" applyFill="1" applyBorder="1" applyAlignment="1">
      <alignment horizontal="center" vertical="center"/>
    </xf>
    <xf numFmtId="1" fontId="12" fillId="9" borderId="9" xfId="0" applyNumberFormat="1" applyFont="1" applyFill="1" applyBorder="1" applyAlignment="1">
      <alignment horizontal="center" vertical="center"/>
    </xf>
    <xf numFmtId="16" fontId="12" fillId="9" borderId="9" xfId="0" applyNumberFormat="1" applyFont="1" applyFill="1" applyBorder="1" applyAlignment="1">
      <alignment horizontal="center" vertical="center"/>
    </xf>
    <xf numFmtId="49" fontId="14" fillId="9" borderId="9" xfId="0" applyNumberFormat="1" applyFont="1" applyFill="1" applyBorder="1" applyAlignment="1">
      <alignment horizontal="center" vertical="center"/>
    </xf>
    <xf numFmtId="167" fontId="12" fillId="9" borderId="9" xfId="0" applyNumberFormat="1" applyFont="1" applyFill="1" applyBorder="1" applyAlignment="1">
      <alignment horizontal="center" vertical="center"/>
    </xf>
    <xf numFmtId="49" fontId="12" fillId="9" borderId="10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68" fontId="17" fillId="12" borderId="5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/>
    </xf>
    <xf numFmtId="167" fontId="12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167" fontId="15" fillId="13" borderId="2" xfId="0" applyNumberFormat="1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68" fontId="12" fillId="13" borderId="5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4" fillId="13" borderId="5" xfId="0" applyNumberFormat="1" applyFont="1" applyFill="1" applyBorder="1" applyAlignment="1">
      <alignment horizontal="center" vertical="center"/>
    </xf>
    <xf numFmtId="167" fontId="12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167" fontId="15" fillId="14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68" fontId="12" fillId="14" borderId="5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4" fillId="14" borderId="5" xfId="0" applyNumberFormat="1" applyFont="1" applyFill="1" applyBorder="1" applyAlignment="1">
      <alignment horizontal="center" vertical="center"/>
    </xf>
    <xf numFmtId="167" fontId="12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167" fontId="15" fillId="12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168" fontId="12" fillId="12" borderId="5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167" fontId="15" fillId="15" borderId="2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49" fontId="12" fillId="15" borderId="4" xfId="0" applyNumberFormat="1" applyFont="1" applyFill="1" applyBorder="1" applyAlignment="1">
      <alignment horizontal="center" vertical="center"/>
    </xf>
    <xf numFmtId="168" fontId="17" fillId="15" borderId="5" xfId="0" applyNumberFormat="1" applyFont="1" applyFill="1" applyBorder="1" applyAlignment="1">
      <alignment horizontal="center" vertical="center"/>
    </xf>
    <xf numFmtId="1" fontId="12" fillId="15" borderId="5" xfId="0" applyNumberFormat="1" applyFont="1" applyFill="1" applyBorder="1" applyAlignment="1">
      <alignment horizontal="center" vertical="center"/>
    </xf>
    <xf numFmtId="16" fontId="12" fillId="15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 vertical="center"/>
    </xf>
    <xf numFmtId="167" fontId="12" fillId="15" borderId="5" xfId="0" applyNumberFormat="1" applyFont="1" applyFill="1" applyBorder="1" applyAlignment="1">
      <alignment horizontal="center" vertical="center"/>
    </xf>
    <xf numFmtId="49" fontId="12" fillId="15" borderId="6" xfId="0" applyNumberFormat="1" applyFont="1" applyFill="1" applyBorder="1" applyAlignment="1">
      <alignment horizontal="center" vertical="center"/>
    </xf>
    <xf numFmtId="49" fontId="15" fillId="8" borderId="7" xfId="0" applyNumberFormat="1" applyFont="1" applyFill="1" applyBorder="1" applyAlignment="1">
      <alignment horizontal="center" vertical="center"/>
    </xf>
    <xf numFmtId="167" fontId="15" fillId="8" borderId="7" xfId="0" applyNumberFormat="1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49" fontId="12" fillId="8" borderId="8" xfId="0" applyNumberFormat="1" applyFont="1" applyFill="1" applyBorder="1" applyAlignment="1">
      <alignment horizontal="center" vertical="center"/>
    </xf>
    <xf numFmtId="168" fontId="12" fillId="8" borderId="9" xfId="0" applyNumberFormat="1" applyFont="1" applyFill="1" applyBorder="1" applyAlignment="1">
      <alignment horizontal="center" vertical="center"/>
    </xf>
    <xf numFmtId="1" fontId="12" fillId="8" borderId="9" xfId="0" applyNumberFormat="1" applyFont="1" applyFill="1" applyBorder="1" applyAlignment="1">
      <alignment horizontal="center" vertical="center"/>
    </xf>
    <xf numFmtId="16" fontId="12" fillId="8" borderId="9" xfId="0" applyNumberFormat="1" applyFont="1" applyFill="1" applyBorder="1" applyAlignment="1">
      <alignment horizontal="center" vertical="center"/>
    </xf>
    <xf numFmtId="49" fontId="14" fillId="8" borderId="9" xfId="0" applyNumberFormat="1" applyFont="1" applyFill="1" applyBorder="1" applyAlignment="1">
      <alignment horizontal="center" vertical="center"/>
    </xf>
    <xf numFmtId="167" fontId="12" fillId="8" borderId="9" xfId="0" applyNumberFormat="1" applyFont="1" applyFill="1" applyBorder="1" applyAlignment="1">
      <alignment horizontal="center" vertical="center"/>
    </xf>
    <xf numFmtId="49" fontId="12" fillId="8" borderId="10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167" fontId="15" fillId="16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49" fontId="12" fillId="16" borderId="4" xfId="0" applyNumberFormat="1" applyFont="1" applyFill="1" applyBorder="1" applyAlignment="1">
      <alignment horizontal="center" vertical="center"/>
    </xf>
    <xf numFmtId="168" fontId="13" fillId="16" borderId="5" xfId="0" applyNumberFormat="1" applyFont="1" applyFill="1" applyBorder="1" applyAlignment="1">
      <alignment horizontal="center" vertical="center"/>
    </xf>
    <xf numFmtId="1" fontId="12" fillId="16" borderId="5" xfId="0" applyNumberFormat="1" applyFont="1" applyFill="1" applyBorder="1" applyAlignment="1">
      <alignment horizontal="center" vertical="center"/>
    </xf>
    <xf numFmtId="16" fontId="12" fillId="16" borderId="5" xfId="0" applyNumberFormat="1" applyFont="1" applyFill="1" applyBorder="1" applyAlignment="1">
      <alignment horizontal="center" vertical="center"/>
    </xf>
    <xf numFmtId="49" fontId="14" fillId="16" borderId="5" xfId="0" applyNumberFormat="1" applyFont="1" applyFill="1" applyBorder="1" applyAlignment="1">
      <alignment horizontal="center" vertical="center"/>
    </xf>
    <xf numFmtId="167" fontId="12" fillId="16" borderId="5" xfId="0" applyNumberFormat="1" applyFont="1" applyFill="1" applyBorder="1" applyAlignment="1">
      <alignment horizontal="center" vertical="center"/>
    </xf>
    <xf numFmtId="49" fontId="12" fillId="16" borderId="6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168" fontId="12" fillId="16" borderId="5" xfId="0" applyNumberFormat="1" applyFont="1" applyFill="1" applyBorder="1" applyAlignment="1">
      <alignment horizontal="center" vertical="center"/>
    </xf>
    <xf numFmtId="168" fontId="17" fillId="14" borderId="5" xfId="0" applyNumberFormat="1" applyFont="1" applyFill="1" applyBorder="1" applyAlignment="1">
      <alignment horizontal="center" vertical="center"/>
    </xf>
    <xf numFmtId="168" fontId="12" fillId="9" borderId="5" xfId="0" applyNumberFormat="1" applyFont="1" applyFill="1" applyBorder="1" applyAlignment="1">
      <alignment horizontal="center" vertical="center"/>
    </xf>
    <xf numFmtId="168" fontId="17" fillId="10" borderId="5" xfId="0" applyNumberFormat="1" applyFont="1" applyFill="1" applyBorder="1" applyAlignment="1">
      <alignment horizontal="center" vertical="center"/>
    </xf>
    <xf numFmtId="168" fontId="13" fillId="14" borderId="5" xfId="0" applyNumberFormat="1" applyFont="1" applyFill="1" applyBorder="1" applyAlignment="1">
      <alignment horizontal="center" vertical="center"/>
    </xf>
    <xf numFmtId="49" fontId="15" fillId="10" borderId="7" xfId="0" applyNumberFormat="1" applyFont="1" applyFill="1" applyBorder="1" applyAlignment="1">
      <alignment horizontal="center" vertical="center"/>
    </xf>
    <xf numFmtId="167" fontId="15" fillId="10" borderId="7" xfId="0" applyNumberFormat="1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49" fontId="12" fillId="10" borderId="8" xfId="0" applyNumberFormat="1" applyFont="1" applyFill="1" applyBorder="1" applyAlignment="1">
      <alignment horizontal="center" vertical="center"/>
    </xf>
    <xf numFmtId="168" fontId="12" fillId="10" borderId="9" xfId="0" applyNumberFormat="1" applyFont="1" applyFill="1" applyBorder="1" applyAlignment="1">
      <alignment horizontal="center" vertical="center"/>
    </xf>
    <xf numFmtId="1" fontId="12" fillId="10" borderId="9" xfId="0" applyNumberFormat="1" applyFont="1" applyFill="1" applyBorder="1" applyAlignment="1">
      <alignment horizontal="center" vertical="center"/>
    </xf>
    <xf numFmtId="16" fontId="12" fillId="10" borderId="9" xfId="0" applyNumberFormat="1" applyFont="1" applyFill="1" applyBorder="1" applyAlignment="1">
      <alignment horizontal="center" vertical="center"/>
    </xf>
    <xf numFmtId="49" fontId="14" fillId="10" borderId="9" xfId="0" applyNumberFormat="1" applyFont="1" applyFill="1" applyBorder="1" applyAlignment="1">
      <alignment horizontal="center" vertical="center"/>
    </xf>
    <xf numFmtId="167" fontId="12" fillId="10" borderId="9" xfId="0" applyNumberFormat="1" applyFont="1" applyFill="1" applyBorder="1" applyAlignment="1">
      <alignment horizontal="center" vertical="center"/>
    </xf>
    <xf numFmtId="49" fontId="12" fillId="10" borderId="10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167" fontId="15" fillId="8" borderId="2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168" fontId="17" fillId="8" borderId="5" xfId="0" applyNumberFormat="1" applyFont="1" applyFill="1" applyBorder="1" applyAlignment="1">
      <alignment horizontal="center" vertical="center"/>
    </xf>
    <xf numFmtId="168" fontId="17" fillId="9" borderId="5" xfId="0" applyNumberFormat="1" applyFont="1" applyFill="1" applyBorder="1" applyAlignment="1">
      <alignment horizontal="center" vertical="center"/>
    </xf>
    <xf numFmtId="168" fontId="17" fillId="16" borderId="5" xfId="0" applyNumberFormat="1" applyFont="1" applyFill="1" applyBorder="1" applyAlignment="1">
      <alignment horizontal="center" vertical="center"/>
    </xf>
    <xf numFmtId="49" fontId="15" fillId="16" borderId="7" xfId="0" applyNumberFormat="1" applyFont="1" applyFill="1" applyBorder="1" applyAlignment="1">
      <alignment horizontal="center" vertical="center"/>
    </xf>
    <xf numFmtId="167" fontId="15" fillId="16" borderId="7" xfId="0" applyNumberFormat="1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49" fontId="12" fillId="16" borderId="8" xfId="0" applyNumberFormat="1" applyFont="1" applyFill="1" applyBorder="1" applyAlignment="1">
      <alignment horizontal="center" vertical="center"/>
    </xf>
    <xf numFmtId="168" fontId="13" fillId="16" borderId="9" xfId="0" applyNumberFormat="1" applyFont="1" applyFill="1" applyBorder="1" applyAlignment="1">
      <alignment horizontal="center" vertical="center"/>
    </xf>
    <xf numFmtId="1" fontId="12" fillId="16" borderId="9" xfId="0" applyNumberFormat="1" applyFont="1" applyFill="1" applyBorder="1" applyAlignment="1">
      <alignment horizontal="center" vertical="center"/>
    </xf>
    <xf numFmtId="16" fontId="12" fillId="16" borderId="9" xfId="0" applyNumberFormat="1" applyFont="1" applyFill="1" applyBorder="1" applyAlignment="1">
      <alignment horizontal="center" vertical="center"/>
    </xf>
    <xf numFmtId="49" fontId="14" fillId="16" borderId="9" xfId="0" applyNumberFormat="1" applyFont="1" applyFill="1" applyBorder="1" applyAlignment="1">
      <alignment horizontal="center" vertical="center"/>
    </xf>
    <xf numFmtId="167" fontId="12" fillId="16" borderId="9" xfId="0" applyNumberFormat="1" applyFont="1" applyFill="1" applyBorder="1" applyAlignment="1">
      <alignment horizontal="center" vertical="center"/>
    </xf>
    <xf numFmtId="49" fontId="12" fillId="16" borderId="10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5" fillId="15" borderId="7" xfId="0" applyNumberFormat="1" applyFont="1" applyFill="1" applyBorder="1" applyAlignment="1">
      <alignment horizontal="center" vertical="center"/>
    </xf>
    <xf numFmtId="167" fontId="15" fillId="15" borderId="7" xfId="0" applyNumberFormat="1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/>
    </xf>
    <xf numFmtId="49" fontId="12" fillId="15" borderId="8" xfId="0" applyNumberFormat="1" applyFont="1" applyFill="1" applyBorder="1" applyAlignment="1">
      <alignment horizontal="center" vertical="center"/>
    </xf>
    <xf numFmtId="168" fontId="13" fillId="15" borderId="9" xfId="0" applyNumberFormat="1" applyFont="1" applyFill="1" applyBorder="1" applyAlignment="1">
      <alignment horizontal="center" vertical="center"/>
    </xf>
    <xf numFmtId="1" fontId="12" fillId="15" borderId="9" xfId="0" applyNumberFormat="1" applyFont="1" applyFill="1" applyBorder="1" applyAlignment="1">
      <alignment horizontal="center" vertical="center"/>
    </xf>
    <xf numFmtId="16" fontId="12" fillId="15" borderId="9" xfId="0" applyNumberFormat="1" applyFont="1" applyFill="1" applyBorder="1" applyAlignment="1">
      <alignment horizontal="center" vertical="center"/>
    </xf>
    <xf numFmtId="49" fontId="14" fillId="15" borderId="9" xfId="0" applyNumberFormat="1" applyFont="1" applyFill="1" applyBorder="1" applyAlignment="1">
      <alignment horizontal="center" vertical="center"/>
    </xf>
    <xf numFmtId="167" fontId="12" fillId="15" borderId="9" xfId="0" applyNumberFormat="1" applyFont="1" applyFill="1" applyBorder="1" applyAlignment="1">
      <alignment horizontal="center" vertical="center"/>
    </xf>
    <xf numFmtId="49" fontId="12" fillId="15" borderId="10" xfId="0" applyNumberFormat="1" applyFont="1" applyFill="1" applyBorder="1" applyAlignment="1">
      <alignment horizontal="center" vertical="center"/>
    </xf>
    <xf numFmtId="168" fontId="17" fillId="13" borderId="5" xfId="0" applyNumberFormat="1" applyFont="1" applyFill="1" applyBorder="1" applyAlignment="1">
      <alignment horizontal="center" vertical="center"/>
    </xf>
    <xf numFmtId="168" fontId="13" fillId="12" borderId="5" xfId="0" applyNumberFormat="1" applyFont="1" applyFill="1" applyBorder="1" applyAlignment="1">
      <alignment horizontal="center" vertical="center"/>
    </xf>
    <xf numFmtId="49" fontId="15" fillId="14" borderId="7" xfId="0" applyNumberFormat="1" applyFont="1" applyFill="1" applyBorder="1" applyAlignment="1">
      <alignment horizontal="center" vertical="center"/>
    </xf>
    <xf numFmtId="167" fontId="15" fillId="14" borderId="7" xfId="0" applyNumberFormat="1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49" fontId="12" fillId="14" borderId="8" xfId="0" applyNumberFormat="1" applyFont="1" applyFill="1" applyBorder="1" applyAlignment="1">
      <alignment horizontal="center" vertical="center"/>
    </xf>
    <xf numFmtId="168" fontId="13" fillId="14" borderId="9" xfId="0" applyNumberFormat="1" applyFont="1" applyFill="1" applyBorder="1" applyAlignment="1">
      <alignment horizontal="center" vertical="center"/>
    </xf>
    <xf numFmtId="1" fontId="12" fillId="14" borderId="9" xfId="0" applyNumberFormat="1" applyFont="1" applyFill="1" applyBorder="1" applyAlignment="1">
      <alignment horizontal="center" vertical="center"/>
    </xf>
    <xf numFmtId="16" fontId="12" fillId="14" borderId="9" xfId="0" applyNumberFormat="1" applyFont="1" applyFill="1" applyBorder="1" applyAlignment="1">
      <alignment horizontal="center" vertical="center"/>
    </xf>
    <xf numFmtId="49" fontId="14" fillId="14" borderId="9" xfId="0" applyNumberFormat="1" applyFont="1" applyFill="1" applyBorder="1" applyAlignment="1">
      <alignment horizontal="center" vertical="center"/>
    </xf>
    <xf numFmtId="167" fontId="12" fillId="14" borderId="9" xfId="0" applyNumberFormat="1" applyFont="1" applyFill="1" applyBorder="1" applyAlignment="1">
      <alignment horizontal="center" vertical="center"/>
    </xf>
    <xf numFmtId="49" fontId="12" fillId="14" borderId="10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8" fontId="13" fillId="15" borderId="5" xfId="0" applyNumberFormat="1" applyFont="1" applyFill="1" applyBorder="1" applyAlignment="1">
      <alignment horizontal="center" vertical="center"/>
    </xf>
    <xf numFmtId="168" fontId="12" fillId="15" borderId="5" xfId="0" applyNumberFormat="1" applyFont="1" applyFill="1" applyBorder="1" applyAlignment="1">
      <alignment horizontal="center" vertical="center"/>
    </xf>
    <xf numFmtId="168" fontId="12" fillId="8" borderId="5" xfId="0" applyNumberFormat="1" applyFont="1" applyFill="1" applyBorder="1" applyAlignment="1">
      <alignment horizontal="center" vertical="center"/>
    </xf>
    <xf numFmtId="168" fontId="17" fillId="15" borderId="9" xfId="0" applyNumberFormat="1" applyFont="1" applyFill="1" applyBorder="1" applyAlignment="1">
      <alignment horizontal="center" vertical="center"/>
    </xf>
    <xf numFmtId="168" fontId="17" fillId="8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17" fillId="14" borderId="9" xfId="0" applyNumberFormat="1" applyFont="1" applyFill="1" applyBorder="1" applyAlignment="1">
      <alignment horizontal="center" vertical="center"/>
    </xf>
    <xf numFmtId="168" fontId="17" fillId="16" borderId="9" xfId="0" applyNumberFormat="1" applyFont="1" applyFill="1" applyBorder="1" applyAlignment="1">
      <alignment horizontal="center" vertical="center"/>
    </xf>
    <xf numFmtId="168" fontId="17" fillId="9" borderId="9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2" fillId="13" borderId="8" xfId="0" applyNumberFormat="1" applyFont="1" applyFill="1" applyBorder="1" applyAlignment="1">
      <alignment horizontal="center" vertical="center"/>
    </xf>
    <xf numFmtId="168" fontId="17" fillId="13" borderId="9" xfId="0" applyNumberFormat="1" applyFont="1" applyFill="1" applyBorder="1" applyAlignment="1">
      <alignment horizontal="center" vertical="center"/>
    </xf>
    <xf numFmtId="1" fontId="12" fillId="13" borderId="9" xfId="0" applyNumberFormat="1" applyFont="1" applyFill="1" applyBorder="1" applyAlignment="1">
      <alignment horizontal="center" vertical="center"/>
    </xf>
    <xf numFmtId="16" fontId="12" fillId="13" borderId="9" xfId="0" applyNumberFormat="1" applyFont="1" applyFill="1" applyBorder="1" applyAlignment="1">
      <alignment horizontal="center" vertical="center"/>
    </xf>
    <xf numFmtId="49" fontId="14" fillId="13" borderId="9" xfId="0" applyNumberFormat="1" applyFont="1" applyFill="1" applyBorder="1" applyAlignment="1">
      <alignment horizontal="center" vertical="center"/>
    </xf>
    <xf numFmtId="167" fontId="12" fillId="13" borderId="9" xfId="0" applyNumberFormat="1" applyFont="1" applyFill="1" applyBorder="1" applyAlignment="1">
      <alignment horizontal="center" vertical="center"/>
    </xf>
    <xf numFmtId="49" fontId="12" fillId="13" borderId="10" xfId="0" applyNumberFormat="1" applyFont="1" applyFill="1" applyBorder="1" applyAlignment="1">
      <alignment horizontal="center" vertical="center"/>
    </xf>
    <xf numFmtId="168" fontId="17" fillId="10" borderId="9" xfId="0" applyNumberFormat="1" applyFont="1" applyFill="1" applyBorder="1" applyAlignment="1">
      <alignment horizontal="center" vertical="center"/>
    </xf>
    <xf numFmtId="49" fontId="15" fillId="13" borderId="7" xfId="0" applyNumberFormat="1" applyFont="1" applyFill="1" applyBorder="1" applyAlignment="1">
      <alignment horizontal="center" vertical="center"/>
    </xf>
    <xf numFmtId="167" fontId="15" fillId="13" borderId="7" xfId="0" applyNumberFormat="1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168" fontId="13" fillId="8" borderId="9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67" fontId="11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49" fontId="12" fillId="12" borderId="8" xfId="0" applyNumberFormat="1" applyFont="1" applyFill="1" applyBorder="1" applyAlignment="1">
      <alignment horizontal="center" vertical="center"/>
    </xf>
    <xf numFmtId="168" fontId="17" fillId="12" borderId="9" xfId="0" applyNumberFormat="1" applyFont="1" applyFill="1" applyBorder="1" applyAlignment="1">
      <alignment horizontal="center" vertical="center"/>
    </xf>
    <xf numFmtId="1" fontId="12" fillId="12" borderId="9" xfId="0" applyNumberFormat="1" applyFont="1" applyFill="1" applyBorder="1" applyAlignment="1">
      <alignment horizontal="center" vertical="center"/>
    </xf>
    <xf numFmtId="16" fontId="12" fillId="12" borderId="9" xfId="0" applyNumberFormat="1" applyFont="1" applyFill="1" applyBorder="1" applyAlignment="1">
      <alignment horizontal="center" vertical="center"/>
    </xf>
    <xf numFmtId="49" fontId="14" fillId="12" borderId="9" xfId="0" applyNumberFormat="1" applyFont="1" applyFill="1" applyBorder="1" applyAlignment="1">
      <alignment horizontal="center" vertical="center"/>
    </xf>
    <xf numFmtId="167" fontId="12" fillId="12" borderId="9" xfId="0" applyNumberFormat="1" applyFont="1" applyFill="1" applyBorder="1" applyAlignment="1">
      <alignment horizontal="center" vertical="center"/>
    </xf>
    <xf numFmtId="49" fontId="12" fillId="12" borderId="10" xfId="0" applyNumberFormat="1" applyFont="1" applyFill="1" applyBorder="1" applyAlignment="1">
      <alignment horizontal="center" vertical="center"/>
    </xf>
    <xf numFmtId="165" fontId="0" fillId="0" borderId="0" xfId="0" applyNumberFormat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49" fontId="6" fillId="4" borderId="2" xfId="0" applyNumberFormat="1" applyFont="1" applyFill="1" applyBorder="1" applyAlignment="1">
      <alignment horizontal="center" vertical="center"/>
    </xf>
    <xf numFmtId="0" fontId="18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169" fontId="19" fillId="0" borderId="0" xfId="0" applyNumberFormat="1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15" fontId="20" fillId="17" borderId="0" xfId="0" applyNumberFormat="1" applyFont="1" applyFill="1" applyAlignment="1">
      <alignment horizontal="center" vertical="center"/>
    </xf>
    <xf numFmtId="168" fontId="20" fillId="17" borderId="0" xfId="0" applyNumberFormat="1" applyFont="1" applyFill="1" applyAlignment="1">
      <alignment horizontal="center" vertical="center"/>
    </xf>
    <xf numFmtId="1" fontId="20" fillId="17" borderId="0" xfId="0" applyNumberFormat="1" applyFont="1" applyFill="1" applyAlignment="1">
      <alignment horizontal="center" vertical="center"/>
    </xf>
    <xf numFmtId="0" fontId="20" fillId="17" borderId="0" xfId="0" applyNumberFormat="1" applyFont="1" applyFill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</cellXfs>
  <cellStyles count="1">
    <cellStyle name="Normal" xfId="0" builtinId="0"/>
  </cellStyles>
  <dxfs count="30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49" totalsRowCount="1" headerRowDxfId="299" dataDxfId="262" totalsRowDxfId="225">
  <tableColumns count="36">
    <tableColumn id="1" xr3:uid="{00000000-0010-0000-0000-000001000000}" name="Day" totalsRowLabel="TOTAL" dataDxfId="298" totalsRowDxfId="261"/>
    <tableColumn id="2" xr3:uid="{00000000-0010-0000-0000-000002000000}" name="Flt Dt" dataDxfId="297" totalsRowDxfId="260"/>
    <tableColumn id="3" xr3:uid="{00000000-0010-0000-0000-000003000000}" name="Flt" totalsRowFunction="count" dataDxfId="296" totalsRowDxfId="259"/>
    <tableColumn id="4" xr3:uid="{00000000-0010-0000-0000-000004000000}" name="DEP" dataDxfId="295" totalsRowDxfId="258"/>
    <tableColumn id="5" xr3:uid="{00000000-0010-0000-0000-000005000000}" name="Brd-Off" totalsRowFunction="count" dataDxfId="294" totalsRowDxfId="257"/>
    <tableColumn id="6" xr3:uid="{00000000-0010-0000-0000-000006000000}" name="Eqp" dataDxfId="293" totalsRowDxfId="256"/>
    <tableColumn id="7" xr3:uid="{00000000-0010-0000-0000-000007000000}" name="LF%" totalsRowFunction="average" dataDxfId="292" totalsRowDxfId="255"/>
    <tableColumn id="8" xr3:uid="{00000000-0010-0000-0000-000008000000}" name="CAP" totalsRowFunction="sum" dataDxfId="291" totalsRowDxfId="254"/>
    <tableColumn id="9" xr3:uid="{00000000-0010-0000-0000-000009000000}" name="BKG(Y)" totalsRowFunction="sum" dataDxfId="290" totalsRowDxfId="253"/>
    <tableColumn id="10" xr3:uid="{00000000-0010-0000-0000-00000A000000}" name="GRP(Y)" totalsRowFunction="sum" dataDxfId="289" totalsRowDxfId="252"/>
    <tableColumn id="11" xr3:uid="{00000000-0010-0000-0000-00000B000000}" name="FLT ST" dataDxfId="288" totalsRowDxfId="251"/>
    <tableColumn id="12" xr3:uid="{00000000-0010-0000-0000-00000C000000}" name="LST-SOLD" dataDxfId="287" totalsRowDxfId="250"/>
    <tableColumn id="13" xr3:uid="{00000000-0010-0000-0000-00000D000000}" name="TO-DAY" totalsRowFunction="sum" dataDxfId="286" totalsRowDxfId="249"/>
    <tableColumn id="14" xr3:uid="{00000000-0010-0000-0000-00000E000000}" name="Y-DAY" totalsRowFunction="sum" dataDxfId="285" totalsRowDxfId="248"/>
    <tableColumn id="15" xr3:uid="{00000000-0010-0000-0000-00000F000000}" name="WEEKLY" totalsRowFunction="sum" dataDxfId="284" totalsRowDxfId="247"/>
    <tableColumn id="16" xr3:uid="{00000000-0010-0000-0000-000010000000}" name="LOWEST AVAIL" dataDxfId="283" totalsRowDxfId="246"/>
    <tableColumn id="17" xr3:uid="{00000000-0010-0000-0000-000011000000}" name="Y" totalsRowFunction="sum" dataDxfId="282" totalsRowDxfId="245"/>
    <tableColumn id="18" xr3:uid="{00000000-0010-0000-0000-000012000000}" name="B" totalsRowFunction="sum" dataDxfId="281" totalsRowDxfId="244"/>
    <tableColumn id="19" xr3:uid="{00000000-0010-0000-0000-000013000000}" name="M" totalsRowFunction="sum" dataDxfId="280" totalsRowDxfId="243"/>
    <tableColumn id="20" xr3:uid="{00000000-0010-0000-0000-000014000000}" name="H" totalsRowFunction="sum" dataDxfId="279" totalsRowDxfId="242"/>
    <tableColumn id="21" xr3:uid="{00000000-0010-0000-0000-000015000000}" name="Q" totalsRowFunction="sum" dataDxfId="278" totalsRowDxfId="241"/>
    <tableColumn id="22" xr3:uid="{00000000-0010-0000-0000-000016000000}" name="K" totalsRowFunction="sum" dataDxfId="277" totalsRowDxfId="240"/>
    <tableColumn id="23" xr3:uid="{00000000-0010-0000-0000-000017000000}" name="V" totalsRowFunction="sum" dataDxfId="276" totalsRowDxfId="239"/>
    <tableColumn id="24" xr3:uid="{00000000-0010-0000-0000-000018000000}" name="L" totalsRowFunction="sum" dataDxfId="275" totalsRowDxfId="238"/>
    <tableColumn id="25" xr3:uid="{00000000-0010-0000-0000-000019000000}" name="G" totalsRowFunction="sum" dataDxfId="274" totalsRowDxfId="237"/>
    <tableColumn id="26" xr3:uid="{00000000-0010-0000-0000-00001A000000}" name="S" totalsRowFunction="sum" dataDxfId="273" totalsRowDxfId="236"/>
    <tableColumn id="27" xr3:uid="{00000000-0010-0000-0000-00001B000000}" name="W" totalsRowFunction="sum" dataDxfId="272" totalsRowDxfId="235"/>
    <tableColumn id="28" xr3:uid="{00000000-0010-0000-0000-00001C000000}" name="T" totalsRowFunction="sum" dataDxfId="271" totalsRowDxfId="234"/>
    <tableColumn id="29" xr3:uid="{00000000-0010-0000-0000-00001D000000}" name="X" totalsRowFunction="sum" dataDxfId="270" totalsRowDxfId="233"/>
    <tableColumn id="30" xr3:uid="{00000000-0010-0000-0000-00001E000000}" name="U" totalsRowFunction="sum" dataDxfId="269" totalsRowDxfId="232"/>
    <tableColumn id="31" xr3:uid="{00000000-0010-0000-0000-00001F000000}" name="O" totalsRowFunction="sum" dataDxfId="268" totalsRowDxfId="231"/>
    <tableColumn id="32" xr3:uid="{00000000-0010-0000-0000-000020000000}" name="I" totalsRowFunction="sum" dataDxfId="267" totalsRowDxfId="230"/>
    <tableColumn id="33" xr3:uid="{00000000-0010-0000-0000-000021000000}" name="E" totalsRowFunction="sum" dataDxfId="266" totalsRowDxfId="229"/>
    <tableColumn id="34" xr3:uid="{00000000-0010-0000-0000-000022000000}" name="A" totalsRowFunction="sum" dataDxfId="265" totalsRowDxfId="228"/>
    <tableColumn id="35" xr3:uid="{00000000-0010-0000-0000-000023000000}" name="P" totalsRowFunction="sum" dataDxfId="264" totalsRowDxfId="227"/>
    <tableColumn id="36" xr3:uid="{00000000-0010-0000-0000-000024000000}" name="N" totalsRowFunction="count" dataDxfId="263" totalsRowDxfId="2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H_CAI_LF_LEGACY" displayName="RUH_CAI_LF_LEGACY" ref="A1:AJ15" totalsRowCount="1" headerRowDxfId="224" dataDxfId="187" totalsRowDxfId="150">
  <tableColumns count="36">
    <tableColumn id="1" xr3:uid="{00000000-0010-0000-0100-000001000000}" name="Day" totalsRowLabel="TOTAL" dataDxfId="223" totalsRowDxfId="186"/>
    <tableColumn id="2" xr3:uid="{00000000-0010-0000-0100-000002000000}" name="Flt Dt" dataDxfId="222" totalsRowDxfId="185"/>
    <tableColumn id="3" xr3:uid="{00000000-0010-0000-0100-000003000000}" name="Flt" totalsRowFunction="count" dataDxfId="221" totalsRowDxfId="184"/>
    <tableColumn id="4" xr3:uid="{00000000-0010-0000-0100-000004000000}" name="DEP" dataDxfId="220" totalsRowDxfId="183"/>
    <tableColumn id="5" xr3:uid="{00000000-0010-0000-0100-000005000000}" name="Brd-Off" totalsRowFunction="count" dataDxfId="219" totalsRowDxfId="182"/>
    <tableColumn id="6" xr3:uid="{00000000-0010-0000-0100-000006000000}" name="Eqp" dataDxfId="218" totalsRowDxfId="181"/>
    <tableColumn id="7" xr3:uid="{00000000-0010-0000-0100-000007000000}" name="LF%" totalsRowFunction="average" dataDxfId="217" totalsRowDxfId="180"/>
    <tableColumn id="8" xr3:uid="{00000000-0010-0000-0100-000008000000}" name="CAP" totalsRowFunction="sum" dataDxfId="216" totalsRowDxfId="179"/>
    <tableColumn id="9" xr3:uid="{00000000-0010-0000-0100-000009000000}" name="BKG(Y)" totalsRowFunction="sum" dataDxfId="215" totalsRowDxfId="178"/>
    <tableColumn id="10" xr3:uid="{00000000-0010-0000-0100-00000A000000}" name="GRP(Y)" totalsRowFunction="sum" dataDxfId="214" totalsRowDxfId="177"/>
    <tableColumn id="11" xr3:uid="{00000000-0010-0000-0100-00000B000000}" name="FLT ST" dataDxfId="213" totalsRowDxfId="176"/>
    <tableColumn id="12" xr3:uid="{00000000-0010-0000-0100-00000C000000}" name="LST-SOLD" dataDxfId="212" totalsRowDxfId="175"/>
    <tableColumn id="13" xr3:uid="{00000000-0010-0000-0100-00000D000000}" name="TO-DAY" totalsRowFunction="sum" dataDxfId="211" totalsRowDxfId="174"/>
    <tableColumn id="14" xr3:uid="{00000000-0010-0000-0100-00000E000000}" name="Y-DAY" totalsRowFunction="sum" dataDxfId="210" totalsRowDxfId="173"/>
    <tableColumn id="15" xr3:uid="{00000000-0010-0000-0100-00000F000000}" name="WEEKLY" totalsRowFunction="sum" dataDxfId="209" totalsRowDxfId="172"/>
    <tableColumn id="16" xr3:uid="{00000000-0010-0000-0100-000010000000}" name="LOWEST AVAIL" dataDxfId="208" totalsRowDxfId="171"/>
    <tableColumn id="17" xr3:uid="{00000000-0010-0000-0100-000011000000}" name="Y" totalsRowFunction="sum" dataDxfId="207" totalsRowDxfId="170"/>
    <tableColumn id="18" xr3:uid="{00000000-0010-0000-0100-000012000000}" name="B" totalsRowFunction="sum" dataDxfId="206" totalsRowDxfId="169"/>
    <tableColumn id="19" xr3:uid="{00000000-0010-0000-0100-000013000000}" name="M" totalsRowFunction="sum" dataDxfId="205" totalsRowDxfId="168"/>
    <tableColumn id="20" xr3:uid="{00000000-0010-0000-0100-000014000000}" name="H" totalsRowFunction="sum" dataDxfId="204" totalsRowDxfId="167"/>
    <tableColumn id="21" xr3:uid="{00000000-0010-0000-0100-000015000000}" name="Q" totalsRowFunction="sum" dataDxfId="203" totalsRowDxfId="166"/>
    <tableColumn id="22" xr3:uid="{00000000-0010-0000-0100-000016000000}" name="K" totalsRowFunction="sum" dataDxfId="202" totalsRowDxfId="165"/>
    <tableColumn id="23" xr3:uid="{00000000-0010-0000-0100-000017000000}" name="V" totalsRowFunction="sum" dataDxfId="201" totalsRowDxfId="164"/>
    <tableColumn id="24" xr3:uid="{00000000-0010-0000-0100-000018000000}" name="L" totalsRowFunction="sum" dataDxfId="200" totalsRowDxfId="163"/>
    <tableColumn id="25" xr3:uid="{00000000-0010-0000-0100-000019000000}" name="G" totalsRowFunction="sum" dataDxfId="199" totalsRowDxfId="162"/>
    <tableColumn id="26" xr3:uid="{00000000-0010-0000-0100-00001A000000}" name="S" totalsRowFunction="sum" dataDxfId="198" totalsRowDxfId="161"/>
    <tableColumn id="27" xr3:uid="{00000000-0010-0000-0100-00001B000000}" name="W" totalsRowFunction="sum" dataDxfId="197" totalsRowDxfId="160"/>
    <tableColumn id="28" xr3:uid="{00000000-0010-0000-0100-00001C000000}" name="T" totalsRowFunction="sum" dataDxfId="196" totalsRowDxfId="159"/>
    <tableColumn id="29" xr3:uid="{00000000-0010-0000-0100-00001D000000}" name="X" totalsRowFunction="sum" dataDxfId="195" totalsRowDxfId="158"/>
    <tableColumn id="30" xr3:uid="{00000000-0010-0000-0100-00001E000000}" name="U" totalsRowFunction="sum" dataDxfId="194" totalsRowDxfId="157"/>
    <tableColumn id="31" xr3:uid="{00000000-0010-0000-0100-00001F000000}" name="O" totalsRowFunction="sum" dataDxfId="193" totalsRowDxfId="156"/>
    <tableColumn id="32" xr3:uid="{00000000-0010-0000-0100-000020000000}" name="I" totalsRowFunction="sum" dataDxfId="192" totalsRowDxfId="155"/>
    <tableColumn id="33" xr3:uid="{00000000-0010-0000-0100-000021000000}" name="E" totalsRowFunction="sum" dataDxfId="191" totalsRowDxfId="154"/>
    <tableColumn id="34" xr3:uid="{00000000-0010-0000-0100-000022000000}" name="A" totalsRowFunction="sum" dataDxfId="190" totalsRowDxfId="153"/>
    <tableColumn id="35" xr3:uid="{00000000-0010-0000-0100-000023000000}" name="P" totalsRowFunction="sum" dataDxfId="189" totalsRowDxfId="152"/>
    <tableColumn id="36" xr3:uid="{00000000-0010-0000-0100-000024000000}" name="N" totalsRowFunction="count" dataDxfId="188" totalsRowDxfId="1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D_CAI_LF_LEGACY" displayName="MED_CAI_LF_LEGACY" ref="A1:AJ11" totalsRowCount="1" headerRowDxfId="149" dataDxfId="112" totalsRowDxfId="75">
  <tableColumns count="36">
    <tableColumn id="1" xr3:uid="{00000000-0010-0000-0200-000001000000}" name="Day" totalsRowLabel="TOTAL" dataDxfId="148" totalsRowDxfId="111"/>
    <tableColumn id="2" xr3:uid="{00000000-0010-0000-0200-000002000000}" name="Flt Dt" dataDxfId="147" totalsRowDxfId="110"/>
    <tableColumn id="3" xr3:uid="{00000000-0010-0000-0200-000003000000}" name="Flt" totalsRowFunction="count" dataDxfId="146" totalsRowDxfId="109"/>
    <tableColumn id="4" xr3:uid="{00000000-0010-0000-0200-000004000000}" name="DEP" dataDxfId="145" totalsRowDxfId="108"/>
    <tableColumn id="5" xr3:uid="{00000000-0010-0000-0200-000005000000}" name="Brd-Off" totalsRowFunction="count" dataDxfId="144" totalsRowDxfId="107"/>
    <tableColumn id="6" xr3:uid="{00000000-0010-0000-0200-000006000000}" name="Eqp" dataDxfId="143" totalsRowDxfId="106"/>
    <tableColumn id="7" xr3:uid="{00000000-0010-0000-0200-000007000000}" name="LF%" totalsRowFunction="average" dataDxfId="142" totalsRowDxfId="105"/>
    <tableColumn id="8" xr3:uid="{00000000-0010-0000-0200-000008000000}" name="CAP" totalsRowFunction="sum" dataDxfId="141" totalsRowDxfId="104"/>
    <tableColumn id="9" xr3:uid="{00000000-0010-0000-0200-000009000000}" name="BKG(Y)" totalsRowFunction="sum" dataDxfId="140" totalsRowDxfId="103"/>
    <tableColumn id="10" xr3:uid="{00000000-0010-0000-0200-00000A000000}" name="GRP(Y)" totalsRowFunction="sum" dataDxfId="139" totalsRowDxfId="102"/>
    <tableColumn id="11" xr3:uid="{00000000-0010-0000-0200-00000B000000}" name="FLT ST" dataDxfId="138" totalsRowDxfId="101"/>
    <tableColumn id="12" xr3:uid="{00000000-0010-0000-0200-00000C000000}" name="LST-SOLD" dataDxfId="137" totalsRowDxfId="100"/>
    <tableColumn id="13" xr3:uid="{00000000-0010-0000-0200-00000D000000}" name="TO-DAY" totalsRowFunction="sum" dataDxfId="136" totalsRowDxfId="99"/>
    <tableColumn id="14" xr3:uid="{00000000-0010-0000-0200-00000E000000}" name="Y-DAY" totalsRowFunction="sum" dataDxfId="135" totalsRowDxfId="98"/>
    <tableColumn id="15" xr3:uid="{00000000-0010-0000-0200-00000F000000}" name="WEEKLY" totalsRowFunction="sum" dataDxfId="134" totalsRowDxfId="97"/>
    <tableColumn id="16" xr3:uid="{00000000-0010-0000-0200-000010000000}" name="LOWEST AVAIL" dataDxfId="133" totalsRowDxfId="96"/>
    <tableColumn id="17" xr3:uid="{00000000-0010-0000-0200-000011000000}" name="Y" totalsRowFunction="sum" dataDxfId="132" totalsRowDxfId="95"/>
    <tableColumn id="18" xr3:uid="{00000000-0010-0000-0200-000012000000}" name="B" totalsRowFunction="sum" dataDxfId="131" totalsRowDxfId="94"/>
    <tableColumn id="19" xr3:uid="{00000000-0010-0000-0200-000013000000}" name="M" totalsRowFunction="sum" dataDxfId="130" totalsRowDxfId="93"/>
    <tableColumn id="20" xr3:uid="{00000000-0010-0000-0200-000014000000}" name="H" totalsRowFunction="sum" dataDxfId="129" totalsRowDxfId="92"/>
    <tableColumn id="21" xr3:uid="{00000000-0010-0000-0200-000015000000}" name="Q" totalsRowFunction="sum" dataDxfId="128" totalsRowDxfId="91"/>
    <tableColumn id="22" xr3:uid="{00000000-0010-0000-0200-000016000000}" name="K" totalsRowFunction="sum" dataDxfId="127" totalsRowDxfId="90"/>
    <tableColumn id="23" xr3:uid="{00000000-0010-0000-0200-000017000000}" name="V" totalsRowFunction="sum" dataDxfId="126" totalsRowDxfId="89"/>
    <tableColumn id="24" xr3:uid="{00000000-0010-0000-0200-000018000000}" name="L" totalsRowFunction="sum" dataDxfId="125" totalsRowDxfId="88"/>
    <tableColumn id="25" xr3:uid="{00000000-0010-0000-0200-000019000000}" name="G" totalsRowFunction="sum" dataDxfId="124" totalsRowDxfId="87"/>
    <tableColumn id="26" xr3:uid="{00000000-0010-0000-0200-00001A000000}" name="S" totalsRowFunction="sum" dataDxfId="123" totalsRowDxfId="86"/>
    <tableColumn id="27" xr3:uid="{00000000-0010-0000-0200-00001B000000}" name="W" totalsRowFunction="sum" dataDxfId="122" totalsRowDxfId="85"/>
    <tableColumn id="28" xr3:uid="{00000000-0010-0000-0200-00001C000000}" name="T" totalsRowFunction="sum" dataDxfId="121" totalsRowDxfId="84"/>
    <tableColumn id="29" xr3:uid="{00000000-0010-0000-0200-00001D000000}" name="X" totalsRowFunction="sum" dataDxfId="120" totalsRowDxfId="83"/>
    <tableColumn id="30" xr3:uid="{00000000-0010-0000-0200-00001E000000}" name="U" totalsRowFunction="sum" dataDxfId="119" totalsRowDxfId="82"/>
    <tableColumn id="31" xr3:uid="{00000000-0010-0000-0200-00001F000000}" name="O" totalsRowFunction="sum" dataDxfId="118" totalsRowDxfId="81"/>
    <tableColumn id="32" xr3:uid="{00000000-0010-0000-0200-000020000000}" name="I" totalsRowFunction="sum" dataDxfId="117" totalsRowDxfId="80"/>
    <tableColumn id="33" xr3:uid="{00000000-0010-0000-0200-000021000000}" name="E" totalsRowFunction="sum" dataDxfId="116" totalsRowDxfId="79"/>
    <tableColumn id="34" xr3:uid="{00000000-0010-0000-0200-000022000000}" name="A" totalsRowFunction="sum" dataDxfId="115" totalsRowDxfId="78"/>
    <tableColumn id="35" xr3:uid="{00000000-0010-0000-0200-000023000000}" name="P" totalsRowFunction="sum" dataDxfId="114" totalsRowDxfId="77"/>
    <tableColumn id="36" xr3:uid="{00000000-0010-0000-0200-000024000000}" name="N" totalsRowFunction="count" dataDxfId="113" totalsRow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MM_CAI_LF_LEGACY" displayName="DMM_CAI_LF_LEGACY" ref="A1:AJ7" totalsRowCount="1" headerRowDxfId="74" dataDxfId="37" totalsRowDxfId="0">
  <tableColumns count="36">
    <tableColumn id="1" xr3:uid="{00000000-0010-0000-0300-000001000000}" name="Day" totalsRowLabel="TOTAL" dataDxfId="73" totalsRowDxfId="36"/>
    <tableColumn id="2" xr3:uid="{00000000-0010-0000-0300-000002000000}" name="Flt Dt" dataDxfId="72" totalsRowDxfId="35"/>
    <tableColumn id="3" xr3:uid="{00000000-0010-0000-0300-000003000000}" name="Flt" totalsRowFunction="count" dataDxfId="71" totalsRowDxfId="34"/>
    <tableColumn id="4" xr3:uid="{00000000-0010-0000-0300-000004000000}" name="DEP" dataDxfId="70" totalsRowDxfId="33"/>
    <tableColumn id="5" xr3:uid="{00000000-0010-0000-0300-000005000000}" name="Brd-Off" totalsRowFunction="count" dataDxfId="69" totalsRowDxfId="32"/>
    <tableColumn id="6" xr3:uid="{00000000-0010-0000-0300-000006000000}" name="Eqp" dataDxfId="68" totalsRowDxfId="31"/>
    <tableColumn id="7" xr3:uid="{00000000-0010-0000-0300-000007000000}" name="LF%" totalsRowFunction="average" dataDxfId="67" totalsRowDxfId="30"/>
    <tableColumn id="8" xr3:uid="{00000000-0010-0000-0300-000008000000}" name="CAP" totalsRowFunction="sum" dataDxfId="66" totalsRowDxfId="29"/>
    <tableColumn id="9" xr3:uid="{00000000-0010-0000-0300-000009000000}" name="BKG(Y)" totalsRowFunction="sum" dataDxfId="65" totalsRowDxfId="28"/>
    <tableColumn id="10" xr3:uid="{00000000-0010-0000-0300-00000A000000}" name="GRP(Y)" totalsRowFunction="sum" dataDxfId="64" totalsRowDxfId="27"/>
    <tableColumn id="11" xr3:uid="{00000000-0010-0000-0300-00000B000000}" name="FLT ST" dataDxfId="63" totalsRowDxfId="26"/>
    <tableColumn id="12" xr3:uid="{00000000-0010-0000-0300-00000C000000}" name="LST-SOLD" dataDxfId="62" totalsRowDxfId="25"/>
    <tableColumn id="13" xr3:uid="{00000000-0010-0000-0300-00000D000000}" name="TO-DAY" totalsRowFunction="sum" dataDxfId="61" totalsRowDxfId="24"/>
    <tableColumn id="14" xr3:uid="{00000000-0010-0000-0300-00000E000000}" name="Y-DAY" totalsRowFunction="sum" dataDxfId="60" totalsRowDxfId="23"/>
    <tableColumn id="15" xr3:uid="{00000000-0010-0000-0300-00000F000000}" name="WEEKLY" totalsRowFunction="sum" dataDxfId="59" totalsRowDxfId="22"/>
    <tableColumn id="16" xr3:uid="{00000000-0010-0000-0300-000010000000}" name="LOWEST AVAIL" dataDxfId="58" totalsRowDxfId="21"/>
    <tableColumn id="17" xr3:uid="{00000000-0010-0000-0300-000011000000}" name="Y" totalsRowFunction="sum" dataDxfId="57" totalsRowDxfId="20"/>
    <tableColumn id="18" xr3:uid="{00000000-0010-0000-0300-000012000000}" name="B" totalsRowFunction="sum" dataDxfId="56" totalsRowDxfId="19"/>
    <tableColumn id="19" xr3:uid="{00000000-0010-0000-0300-000013000000}" name="M" totalsRowFunction="sum" dataDxfId="55" totalsRowDxfId="18"/>
    <tableColumn id="20" xr3:uid="{00000000-0010-0000-0300-000014000000}" name="H" totalsRowFunction="sum" dataDxfId="54" totalsRowDxfId="17"/>
    <tableColumn id="21" xr3:uid="{00000000-0010-0000-0300-000015000000}" name="Q" totalsRowFunction="sum" dataDxfId="53" totalsRowDxfId="16"/>
    <tableColumn id="22" xr3:uid="{00000000-0010-0000-0300-000016000000}" name="K" totalsRowFunction="sum" dataDxfId="52" totalsRowDxfId="15"/>
    <tableColumn id="23" xr3:uid="{00000000-0010-0000-0300-000017000000}" name="V" totalsRowFunction="sum" dataDxfId="51" totalsRowDxfId="14"/>
    <tableColumn id="24" xr3:uid="{00000000-0010-0000-0300-000018000000}" name="L" totalsRowFunction="sum" dataDxfId="50" totalsRowDxfId="13"/>
    <tableColumn id="25" xr3:uid="{00000000-0010-0000-0300-000019000000}" name="G" totalsRowFunction="sum" dataDxfId="49" totalsRowDxfId="12"/>
    <tableColumn id="26" xr3:uid="{00000000-0010-0000-0300-00001A000000}" name="S" totalsRowFunction="sum" dataDxfId="48" totalsRowDxfId="11"/>
    <tableColumn id="27" xr3:uid="{00000000-0010-0000-0300-00001B000000}" name="W" totalsRowFunction="sum" dataDxfId="47" totalsRowDxfId="10"/>
    <tableColumn id="28" xr3:uid="{00000000-0010-0000-0300-00001C000000}" name="T" totalsRowFunction="sum" dataDxfId="46" totalsRowDxfId="9"/>
    <tableColumn id="29" xr3:uid="{00000000-0010-0000-0300-00001D000000}" name="X" totalsRowFunction="sum" dataDxfId="45" totalsRowDxfId="8"/>
    <tableColumn id="30" xr3:uid="{00000000-0010-0000-0300-00001E000000}" name="U" totalsRowFunction="sum" dataDxfId="44" totalsRowDxfId="7"/>
    <tableColumn id="31" xr3:uid="{00000000-0010-0000-0300-00001F000000}" name="O" totalsRowFunction="sum" dataDxfId="43" totalsRowDxfId="6"/>
    <tableColumn id="32" xr3:uid="{00000000-0010-0000-0300-000020000000}" name="I" totalsRowFunction="sum" dataDxfId="42" totalsRowDxfId="5"/>
    <tableColumn id="33" xr3:uid="{00000000-0010-0000-0300-000021000000}" name="E" totalsRowFunction="sum" dataDxfId="41" totalsRowDxfId="4"/>
    <tableColumn id="34" xr3:uid="{00000000-0010-0000-0300-000022000000}" name="A" totalsRowFunction="sum" dataDxfId="40" totalsRowDxfId="3"/>
    <tableColumn id="35" xr3:uid="{00000000-0010-0000-0300-000023000000}" name="P" totalsRowFunction="sum" dataDxfId="39" totalsRowDxfId="2"/>
    <tableColumn id="36" xr3:uid="{00000000-0010-0000-0300-000024000000}" name="N" totalsRowFunction="count" dataDxfId="38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SA_TO_EGY_ALL_ROUTES" displayName="KSA_TO_EGY_ALL_ROUTES" ref="A1:AJ75" totalsRowShown="0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9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9.44140625" bestFit="1" customWidth="1"/>
  </cols>
  <sheetData>
    <row r="1" spans="1:92" ht="28.8" customHeight="1" x14ac:dyDescent="0.3">
      <c r="A1" s="230" t="s">
        <v>0</v>
      </c>
      <c r="B1" s="229"/>
      <c r="C1" s="229"/>
      <c r="D1" s="229"/>
      <c r="E1" s="229"/>
      <c r="F1" s="1" t="s">
        <v>1</v>
      </c>
      <c r="G1" s="2" t="s">
        <v>2</v>
      </c>
      <c r="H1" s="228" t="s">
        <v>3</v>
      </c>
      <c r="I1" s="229"/>
      <c r="J1" s="229"/>
      <c r="K1" s="229"/>
      <c r="L1" s="229"/>
      <c r="M1" s="1" t="s">
        <v>4</v>
      </c>
      <c r="N1" s="236" t="s">
        <v>5</v>
      </c>
      <c r="O1" s="229"/>
      <c r="P1" s="229"/>
      <c r="Q1" s="229"/>
      <c r="R1" s="22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32" t="s">
        <v>6</v>
      </c>
      <c r="B2" s="229"/>
      <c r="C2" s="229"/>
      <c r="D2" s="229"/>
      <c r="E2" s="229"/>
      <c r="F2" s="229"/>
      <c r="G2" s="234">
        <v>45984.347823565309</v>
      </c>
      <c r="H2" s="229"/>
      <c r="I2" s="229"/>
      <c r="J2" s="229"/>
      <c r="K2" s="237">
        <v>45984.347823567237</v>
      </c>
      <c r="L2" s="229"/>
      <c r="M2" s="229"/>
      <c r="N2" s="229"/>
      <c r="O2" s="229"/>
      <c r="P2" s="229"/>
      <c r="Q2" s="229"/>
      <c r="R2" s="22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33" t="s">
        <v>7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35" t="s">
        <v>8</v>
      </c>
      <c r="B4" s="221"/>
      <c r="C4" s="221"/>
      <c r="D4" s="221"/>
      <c r="E4" s="221"/>
      <c r="F4" s="222"/>
      <c r="G4" s="4">
        <v>45992</v>
      </c>
      <c r="H4" s="231" t="s">
        <v>9</v>
      </c>
      <c r="I4" s="221"/>
      <c r="J4" s="221"/>
      <c r="K4" s="221"/>
      <c r="L4" s="221"/>
      <c r="M4" s="221"/>
      <c r="N4" s="221"/>
      <c r="O4" s="221"/>
      <c r="P4" s="221"/>
      <c r="Q4" s="221"/>
      <c r="R4" s="22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" t="s">
        <v>28</v>
      </c>
      <c r="B6" s="8" t="s">
        <v>29</v>
      </c>
      <c r="C6" s="9">
        <v>6.9444444444444441E-3</v>
      </c>
      <c r="D6" s="8" t="s">
        <v>30</v>
      </c>
      <c r="E6" s="10"/>
      <c r="F6" s="8" t="s">
        <v>31</v>
      </c>
      <c r="G6" s="227"/>
      <c r="H6" s="11" t="s">
        <v>32</v>
      </c>
      <c r="I6" s="12">
        <v>0.87709999999999999</v>
      </c>
      <c r="J6" s="13">
        <v>157</v>
      </c>
      <c r="K6" s="14" t="s">
        <v>33</v>
      </c>
      <c r="L6" s="13">
        <v>5</v>
      </c>
      <c r="M6" s="13">
        <v>0</v>
      </c>
      <c r="N6" s="13">
        <v>0</v>
      </c>
      <c r="O6" s="15" t="s">
        <v>34</v>
      </c>
      <c r="P6" s="16">
        <v>6.9444444444444441E-3</v>
      </c>
      <c r="Q6" s="13">
        <v>179</v>
      </c>
      <c r="R6" s="17" t="s">
        <v>35</v>
      </c>
    </row>
    <row r="7" spans="1:92" ht="49.95" customHeight="1" x14ac:dyDescent="0.3">
      <c r="A7" s="18" t="s">
        <v>28</v>
      </c>
      <c r="B7" s="18" t="s">
        <v>36</v>
      </c>
      <c r="C7" s="19">
        <v>0.4236111111111111</v>
      </c>
      <c r="D7" s="18" t="s">
        <v>30</v>
      </c>
      <c r="E7" s="20"/>
      <c r="F7" s="18" t="s">
        <v>31</v>
      </c>
      <c r="G7" s="225"/>
      <c r="H7" s="21" t="s">
        <v>37</v>
      </c>
      <c r="I7" s="22">
        <v>0.9274</v>
      </c>
      <c r="J7" s="23">
        <v>166</v>
      </c>
      <c r="K7" s="24" t="s">
        <v>38</v>
      </c>
      <c r="L7" s="23">
        <v>47</v>
      </c>
      <c r="M7" s="23">
        <v>0</v>
      </c>
      <c r="N7" s="23">
        <v>0</v>
      </c>
      <c r="O7" s="25" t="s">
        <v>39</v>
      </c>
      <c r="P7" s="26">
        <v>0.4236111111111111</v>
      </c>
      <c r="Q7" s="23">
        <v>179</v>
      </c>
      <c r="R7" s="27" t="s">
        <v>40</v>
      </c>
    </row>
    <row r="8" spans="1:92" ht="49.95" customHeight="1" x14ac:dyDescent="0.3">
      <c r="A8" s="28" t="s">
        <v>28</v>
      </c>
      <c r="B8" s="28" t="s">
        <v>41</v>
      </c>
      <c r="C8" s="29">
        <v>0.61458333333333337</v>
      </c>
      <c r="D8" s="28" t="s">
        <v>30</v>
      </c>
      <c r="E8" s="30"/>
      <c r="F8" s="28" t="s">
        <v>31</v>
      </c>
      <c r="G8" s="225"/>
      <c r="H8" s="31" t="s">
        <v>42</v>
      </c>
      <c r="I8" s="32">
        <v>0.8659</v>
      </c>
      <c r="J8" s="33">
        <v>155</v>
      </c>
      <c r="K8" s="34" t="s">
        <v>43</v>
      </c>
      <c r="L8" s="33">
        <v>28</v>
      </c>
      <c r="M8" s="33">
        <v>0</v>
      </c>
      <c r="N8" s="33">
        <v>1</v>
      </c>
      <c r="O8" s="35" t="s">
        <v>44</v>
      </c>
      <c r="P8" s="36">
        <v>0.61458333333333337</v>
      </c>
      <c r="Q8" s="33">
        <v>179</v>
      </c>
      <c r="R8" s="37" t="s">
        <v>45</v>
      </c>
    </row>
    <row r="9" spans="1:92" ht="49.95" customHeight="1" thickBot="1" x14ac:dyDescent="0.35">
      <c r="A9" s="38" t="s">
        <v>28</v>
      </c>
      <c r="B9" s="38" t="s">
        <v>46</v>
      </c>
      <c r="C9" s="39">
        <v>0.97916666666666663</v>
      </c>
      <c r="D9" s="38" t="s">
        <v>30</v>
      </c>
      <c r="E9" s="40"/>
      <c r="F9" s="38" t="s">
        <v>31</v>
      </c>
      <c r="G9" s="226"/>
      <c r="H9" s="41" t="s">
        <v>47</v>
      </c>
      <c r="I9" s="42">
        <v>0.9385</v>
      </c>
      <c r="J9" s="43">
        <v>168</v>
      </c>
      <c r="K9" s="44" t="s">
        <v>43</v>
      </c>
      <c r="L9" s="43">
        <v>23</v>
      </c>
      <c r="M9" s="43">
        <v>0</v>
      </c>
      <c r="N9" s="43">
        <v>7</v>
      </c>
      <c r="O9" s="45" t="s">
        <v>48</v>
      </c>
      <c r="P9" s="46">
        <v>0.97916666666666663</v>
      </c>
      <c r="Q9" s="43">
        <v>179</v>
      </c>
      <c r="R9" s="47" t="s">
        <v>49</v>
      </c>
    </row>
    <row r="10" spans="1:92" ht="17.399999999999999" customHeight="1" thickBot="1" x14ac:dyDescent="0.35">
      <c r="A10" s="252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4"/>
    </row>
    <row r="11" spans="1:92" ht="22.05" customHeight="1" thickTop="1" thickBot="1" x14ac:dyDescent="0.35">
      <c r="A11" s="223" t="s">
        <v>8</v>
      </c>
      <c r="B11" s="221"/>
      <c r="C11" s="221"/>
      <c r="D11" s="221"/>
      <c r="E11" s="221"/>
      <c r="F11" s="222"/>
      <c r="G11" s="48">
        <v>45993</v>
      </c>
      <c r="H11" s="220" t="s">
        <v>9</v>
      </c>
      <c r="I11" s="221"/>
      <c r="J11" s="221"/>
      <c r="K11" s="221"/>
      <c r="L11" s="221"/>
      <c r="M11" s="221"/>
      <c r="N11" s="221"/>
      <c r="O11" s="221"/>
      <c r="P11" s="221"/>
      <c r="Q11" s="221"/>
      <c r="R11" s="222"/>
    </row>
    <row r="12" spans="1:92" ht="24" customHeight="1" x14ac:dyDescent="0.3">
      <c r="A12" s="49" t="s">
        <v>10</v>
      </c>
      <c r="B12" s="49" t="s">
        <v>11</v>
      </c>
      <c r="C12" s="50" t="s">
        <v>12</v>
      </c>
      <c r="D12" s="49" t="s">
        <v>13</v>
      </c>
      <c r="E12" s="49" t="s">
        <v>14</v>
      </c>
      <c r="F12" s="51" t="s">
        <v>15</v>
      </c>
      <c r="G12" s="52" t="s">
        <v>16</v>
      </c>
      <c r="H12" s="49" t="s">
        <v>17</v>
      </c>
      <c r="I12" s="53" t="s">
        <v>18</v>
      </c>
      <c r="J12" s="54" t="s">
        <v>19</v>
      </c>
      <c r="K12" s="55" t="s">
        <v>20</v>
      </c>
      <c r="L12" s="54" t="s">
        <v>21</v>
      </c>
      <c r="M12" s="54" t="s">
        <v>22</v>
      </c>
      <c r="N12" s="54" t="s">
        <v>23</v>
      </c>
      <c r="O12" s="49" t="s">
        <v>24</v>
      </c>
      <c r="P12" s="50" t="s">
        <v>25</v>
      </c>
      <c r="Q12" s="54" t="s">
        <v>26</v>
      </c>
      <c r="R12" s="49" t="s">
        <v>27</v>
      </c>
    </row>
    <row r="13" spans="1:92" ht="15" customHeight="1" x14ac:dyDescent="0.3">
      <c r="A13" s="56" t="s">
        <v>28</v>
      </c>
      <c r="B13" s="56" t="s">
        <v>50</v>
      </c>
      <c r="C13" s="57">
        <v>0.22916666666666671</v>
      </c>
      <c r="D13" s="56" t="s">
        <v>30</v>
      </c>
      <c r="E13" s="58"/>
      <c r="F13" s="56" t="s">
        <v>51</v>
      </c>
      <c r="G13" s="227"/>
      <c r="H13" s="59" t="s">
        <v>52</v>
      </c>
      <c r="I13" s="60">
        <v>0.18440000000000001</v>
      </c>
      <c r="J13" s="61">
        <v>33</v>
      </c>
      <c r="K13" s="62" t="s">
        <v>43</v>
      </c>
      <c r="L13" s="61">
        <v>15</v>
      </c>
      <c r="M13" s="61">
        <v>0</v>
      </c>
      <c r="N13" s="61">
        <v>4</v>
      </c>
      <c r="O13" s="63" t="s">
        <v>53</v>
      </c>
      <c r="P13" s="64">
        <v>0.22916666666666671</v>
      </c>
      <c r="Q13" s="61">
        <v>179</v>
      </c>
      <c r="R13" s="65" t="s">
        <v>54</v>
      </c>
    </row>
    <row r="14" spans="1:92" ht="15" customHeight="1" x14ac:dyDescent="0.3">
      <c r="A14" s="66" t="s">
        <v>28</v>
      </c>
      <c r="B14" s="66" t="s">
        <v>29</v>
      </c>
      <c r="C14" s="67">
        <v>0.55902777777777779</v>
      </c>
      <c r="D14" s="66" t="s">
        <v>30</v>
      </c>
      <c r="E14" s="68"/>
      <c r="F14" s="66" t="s">
        <v>55</v>
      </c>
      <c r="G14" s="225"/>
      <c r="H14" s="69" t="s">
        <v>32</v>
      </c>
      <c r="I14" s="70">
        <v>0.63690000000000002</v>
      </c>
      <c r="J14" s="71">
        <v>114</v>
      </c>
      <c r="K14" s="72" t="s">
        <v>43</v>
      </c>
      <c r="L14" s="71">
        <v>14</v>
      </c>
      <c r="M14" s="71">
        <v>0</v>
      </c>
      <c r="N14" s="71">
        <v>2</v>
      </c>
      <c r="O14" s="73" t="s">
        <v>56</v>
      </c>
      <c r="P14" s="74">
        <v>0.55902777777777779</v>
      </c>
      <c r="Q14" s="71">
        <v>179</v>
      </c>
      <c r="R14" s="75" t="s">
        <v>57</v>
      </c>
    </row>
    <row r="15" spans="1:92" ht="15" customHeight="1" x14ac:dyDescent="0.3">
      <c r="A15" s="76" t="s">
        <v>28</v>
      </c>
      <c r="B15" s="76" t="s">
        <v>41</v>
      </c>
      <c r="C15" s="77">
        <v>0.61458333333333337</v>
      </c>
      <c r="D15" s="76" t="s">
        <v>30</v>
      </c>
      <c r="E15" s="78"/>
      <c r="F15" s="76" t="s">
        <v>55</v>
      </c>
      <c r="G15" s="225"/>
      <c r="H15" s="79" t="s">
        <v>42</v>
      </c>
      <c r="I15" s="80">
        <v>0.64249999999999996</v>
      </c>
      <c r="J15" s="81">
        <v>115</v>
      </c>
      <c r="K15" s="82" t="s">
        <v>38</v>
      </c>
      <c r="L15" s="81">
        <v>12</v>
      </c>
      <c r="M15" s="81">
        <v>0</v>
      </c>
      <c r="N15" s="81">
        <v>0</v>
      </c>
      <c r="O15" s="83" t="s">
        <v>58</v>
      </c>
      <c r="P15" s="84">
        <v>0.61458333333333337</v>
      </c>
      <c r="Q15" s="81">
        <v>179</v>
      </c>
      <c r="R15" s="85" t="s">
        <v>59</v>
      </c>
    </row>
    <row r="16" spans="1:92" ht="15" customHeight="1" x14ac:dyDescent="0.3">
      <c r="A16" s="86" t="s">
        <v>28</v>
      </c>
      <c r="B16" s="86" t="s">
        <v>46</v>
      </c>
      <c r="C16" s="87">
        <v>0.72916666666666663</v>
      </c>
      <c r="D16" s="86" t="s">
        <v>30</v>
      </c>
      <c r="E16" s="88"/>
      <c r="F16" s="86" t="s">
        <v>55</v>
      </c>
      <c r="G16" s="225"/>
      <c r="H16" s="59" t="s">
        <v>47</v>
      </c>
      <c r="I16" s="89">
        <v>0.65920000000000001</v>
      </c>
      <c r="J16" s="61">
        <v>118</v>
      </c>
      <c r="K16" s="62" t="s">
        <v>43</v>
      </c>
      <c r="L16" s="61">
        <v>1</v>
      </c>
      <c r="M16" s="61">
        <v>0</v>
      </c>
      <c r="N16" s="61">
        <v>1</v>
      </c>
      <c r="O16" s="63" t="s">
        <v>60</v>
      </c>
      <c r="P16" s="64">
        <v>0.72916666666666663</v>
      </c>
      <c r="Q16" s="61">
        <v>179</v>
      </c>
      <c r="R16" s="65" t="s">
        <v>61</v>
      </c>
    </row>
    <row r="17" spans="1:18" ht="15" customHeight="1" x14ac:dyDescent="0.3">
      <c r="A17" s="90" t="s">
        <v>28</v>
      </c>
      <c r="B17" s="90" t="s">
        <v>62</v>
      </c>
      <c r="C17" s="91">
        <v>0.93402777777777779</v>
      </c>
      <c r="D17" s="90" t="s">
        <v>30</v>
      </c>
      <c r="E17" s="92"/>
      <c r="F17" s="90" t="s">
        <v>55</v>
      </c>
      <c r="G17" s="225"/>
      <c r="H17" s="93" t="s">
        <v>63</v>
      </c>
      <c r="I17" s="94">
        <v>0.38550000000000001</v>
      </c>
      <c r="J17" s="95">
        <v>69</v>
      </c>
      <c r="K17" s="96" t="s">
        <v>43</v>
      </c>
      <c r="L17" s="95">
        <v>14</v>
      </c>
      <c r="M17" s="95">
        <v>0</v>
      </c>
      <c r="N17" s="95">
        <v>2</v>
      </c>
      <c r="O17" s="97" t="s">
        <v>56</v>
      </c>
      <c r="P17" s="98">
        <v>0.93402777777777779</v>
      </c>
      <c r="Q17" s="95">
        <v>179</v>
      </c>
      <c r="R17" s="99" t="s">
        <v>64</v>
      </c>
    </row>
    <row r="18" spans="1:18" ht="15" customHeight="1" thickBot="1" x14ac:dyDescent="0.35">
      <c r="A18" s="100" t="s">
        <v>28</v>
      </c>
      <c r="B18" s="100" t="s">
        <v>36</v>
      </c>
      <c r="C18" s="101">
        <v>0.96875</v>
      </c>
      <c r="D18" s="100" t="s">
        <v>30</v>
      </c>
      <c r="E18" s="102"/>
      <c r="F18" s="100" t="s">
        <v>55</v>
      </c>
      <c r="G18" s="226"/>
      <c r="H18" s="103" t="s">
        <v>37</v>
      </c>
      <c r="I18" s="104">
        <v>0.66479999999999995</v>
      </c>
      <c r="J18" s="105">
        <v>119</v>
      </c>
      <c r="K18" s="106" t="s">
        <v>43</v>
      </c>
      <c r="L18" s="105">
        <v>11</v>
      </c>
      <c r="M18" s="105">
        <v>0</v>
      </c>
      <c r="N18" s="105">
        <v>1</v>
      </c>
      <c r="O18" s="107" t="s">
        <v>60</v>
      </c>
      <c r="P18" s="108">
        <v>0.96875</v>
      </c>
      <c r="Q18" s="105">
        <v>179</v>
      </c>
      <c r="R18" s="109" t="s">
        <v>65</v>
      </c>
    </row>
    <row r="19" spans="1:18" ht="17.399999999999999" customHeight="1" thickBot="1" x14ac:dyDescent="0.35">
      <c r="A19" s="252"/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4"/>
    </row>
    <row r="20" spans="1:18" ht="22.05" customHeight="1" thickTop="1" thickBot="1" x14ac:dyDescent="0.35">
      <c r="A20" s="223" t="s">
        <v>8</v>
      </c>
      <c r="B20" s="221"/>
      <c r="C20" s="221"/>
      <c r="D20" s="221"/>
      <c r="E20" s="221"/>
      <c r="F20" s="222"/>
      <c r="G20" s="48">
        <v>45994</v>
      </c>
      <c r="H20" s="220" t="s">
        <v>9</v>
      </c>
      <c r="I20" s="221"/>
      <c r="J20" s="221"/>
      <c r="K20" s="221"/>
      <c r="L20" s="221"/>
      <c r="M20" s="221"/>
      <c r="N20" s="221"/>
      <c r="O20" s="221"/>
      <c r="P20" s="221"/>
      <c r="Q20" s="221"/>
      <c r="R20" s="222"/>
    </row>
    <row r="21" spans="1:18" ht="24" customHeight="1" x14ac:dyDescent="0.3">
      <c r="A21" s="49" t="s">
        <v>10</v>
      </c>
      <c r="B21" s="49" t="s">
        <v>11</v>
      </c>
      <c r="C21" s="50" t="s">
        <v>12</v>
      </c>
      <c r="D21" s="49" t="s">
        <v>13</v>
      </c>
      <c r="E21" s="49" t="s">
        <v>14</v>
      </c>
      <c r="F21" s="51" t="s">
        <v>15</v>
      </c>
      <c r="G21" s="52" t="s">
        <v>16</v>
      </c>
      <c r="H21" s="49" t="s">
        <v>17</v>
      </c>
      <c r="I21" s="53" t="s">
        <v>18</v>
      </c>
      <c r="J21" s="54" t="s">
        <v>19</v>
      </c>
      <c r="K21" s="55" t="s">
        <v>20</v>
      </c>
      <c r="L21" s="54" t="s">
        <v>21</v>
      </c>
      <c r="M21" s="54" t="s">
        <v>22</v>
      </c>
      <c r="N21" s="54" t="s">
        <v>23</v>
      </c>
      <c r="O21" s="49" t="s">
        <v>24</v>
      </c>
      <c r="P21" s="50" t="s">
        <v>25</v>
      </c>
      <c r="Q21" s="54" t="s">
        <v>26</v>
      </c>
      <c r="R21" s="49" t="s">
        <v>27</v>
      </c>
    </row>
    <row r="22" spans="1:18" ht="49.95" customHeight="1" x14ac:dyDescent="0.3">
      <c r="A22" s="110" t="s">
        <v>28</v>
      </c>
      <c r="B22" s="110" t="s">
        <v>36</v>
      </c>
      <c r="C22" s="111">
        <v>0.51736111111111105</v>
      </c>
      <c r="D22" s="110" t="s">
        <v>30</v>
      </c>
      <c r="E22" s="112"/>
      <c r="F22" s="110" t="s">
        <v>55</v>
      </c>
      <c r="G22" s="224"/>
      <c r="H22" s="79" t="s">
        <v>37</v>
      </c>
      <c r="I22" s="80">
        <v>0.64249999999999996</v>
      </c>
      <c r="J22" s="81">
        <v>115</v>
      </c>
      <c r="K22" s="82" t="s">
        <v>43</v>
      </c>
      <c r="L22" s="81">
        <v>12</v>
      </c>
      <c r="M22" s="81">
        <v>0</v>
      </c>
      <c r="N22" s="81">
        <v>4</v>
      </c>
      <c r="O22" s="83" t="s">
        <v>66</v>
      </c>
      <c r="P22" s="84">
        <v>0.51736111111111105</v>
      </c>
      <c r="Q22" s="81">
        <v>179</v>
      </c>
      <c r="R22" s="85" t="s">
        <v>67</v>
      </c>
    </row>
    <row r="23" spans="1:18" ht="49.95" customHeight="1" x14ac:dyDescent="0.3">
      <c r="A23" s="113" t="s">
        <v>28</v>
      </c>
      <c r="B23" s="113" t="s">
        <v>46</v>
      </c>
      <c r="C23" s="114">
        <v>0.52083333333333337</v>
      </c>
      <c r="D23" s="113" t="s">
        <v>30</v>
      </c>
      <c r="E23" s="115"/>
      <c r="F23" s="113" t="s">
        <v>31</v>
      </c>
      <c r="G23" s="225"/>
      <c r="H23" s="116" t="s">
        <v>47</v>
      </c>
      <c r="I23" s="117">
        <v>0.93300000000000005</v>
      </c>
      <c r="J23" s="118">
        <v>167</v>
      </c>
      <c r="K23" s="119" t="s">
        <v>68</v>
      </c>
      <c r="L23" s="118">
        <v>0</v>
      </c>
      <c r="M23" s="118">
        <v>0</v>
      </c>
      <c r="N23" s="118">
        <v>0</v>
      </c>
      <c r="O23" s="120" t="s">
        <v>69</v>
      </c>
      <c r="P23" s="121">
        <v>0.52083333333333337</v>
      </c>
      <c r="Q23" s="118">
        <v>179</v>
      </c>
      <c r="R23" s="122" t="s">
        <v>70</v>
      </c>
    </row>
    <row r="24" spans="1:18" ht="49.95" customHeight="1" thickBot="1" x14ac:dyDescent="0.35">
      <c r="A24" s="100" t="s">
        <v>28</v>
      </c>
      <c r="B24" s="100" t="s">
        <v>41</v>
      </c>
      <c r="C24" s="101">
        <v>0.61458333333333337</v>
      </c>
      <c r="D24" s="100" t="s">
        <v>30</v>
      </c>
      <c r="E24" s="102"/>
      <c r="F24" s="100" t="s">
        <v>55</v>
      </c>
      <c r="G24" s="226"/>
      <c r="H24" s="103" t="s">
        <v>42</v>
      </c>
      <c r="I24" s="104">
        <v>0.64249999999999996</v>
      </c>
      <c r="J24" s="105">
        <v>115</v>
      </c>
      <c r="K24" s="106" t="s">
        <v>71</v>
      </c>
      <c r="L24" s="105">
        <v>12</v>
      </c>
      <c r="M24" s="105">
        <v>0</v>
      </c>
      <c r="N24" s="105">
        <v>0</v>
      </c>
      <c r="O24" s="107" t="s">
        <v>72</v>
      </c>
      <c r="P24" s="108">
        <v>0.61458333333333337</v>
      </c>
      <c r="Q24" s="105">
        <v>179</v>
      </c>
      <c r="R24" s="109" t="s">
        <v>73</v>
      </c>
    </row>
    <row r="25" spans="1:18" ht="17.399999999999999" customHeight="1" thickBot="1" x14ac:dyDescent="0.35">
      <c r="A25" s="252"/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4"/>
    </row>
    <row r="26" spans="1:18" ht="22.05" customHeight="1" thickTop="1" thickBot="1" x14ac:dyDescent="0.35">
      <c r="A26" s="223" t="s">
        <v>8</v>
      </c>
      <c r="B26" s="221"/>
      <c r="C26" s="221"/>
      <c r="D26" s="221"/>
      <c r="E26" s="221"/>
      <c r="F26" s="222"/>
      <c r="G26" s="48">
        <v>45995</v>
      </c>
      <c r="H26" s="220" t="s">
        <v>9</v>
      </c>
      <c r="I26" s="221"/>
      <c r="J26" s="221"/>
      <c r="K26" s="221"/>
      <c r="L26" s="221"/>
      <c r="M26" s="221"/>
      <c r="N26" s="221"/>
      <c r="O26" s="221"/>
      <c r="P26" s="221"/>
      <c r="Q26" s="221"/>
      <c r="R26" s="222"/>
    </row>
    <row r="27" spans="1:18" ht="24" customHeight="1" x14ac:dyDescent="0.3">
      <c r="A27" s="49" t="s">
        <v>10</v>
      </c>
      <c r="B27" s="49" t="s">
        <v>11</v>
      </c>
      <c r="C27" s="50" t="s">
        <v>12</v>
      </c>
      <c r="D27" s="49" t="s">
        <v>13</v>
      </c>
      <c r="E27" s="49" t="s">
        <v>14</v>
      </c>
      <c r="F27" s="51" t="s">
        <v>15</v>
      </c>
      <c r="G27" s="52" t="s">
        <v>16</v>
      </c>
      <c r="H27" s="49" t="s">
        <v>17</v>
      </c>
      <c r="I27" s="53" t="s">
        <v>18</v>
      </c>
      <c r="J27" s="54" t="s">
        <v>19</v>
      </c>
      <c r="K27" s="55" t="s">
        <v>20</v>
      </c>
      <c r="L27" s="54" t="s">
        <v>21</v>
      </c>
      <c r="M27" s="54" t="s">
        <v>22</v>
      </c>
      <c r="N27" s="54" t="s">
        <v>23</v>
      </c>
      <c r="O27" s="49" t="s">
        <v>24</v>
      </c>
      <c r="P27" s="50" t="s">
        <v>25</v>
      </c>
      <c r="Q27" s="54" t="s">
        <v>26</v>
      </c>
      <c r="R27" s="49" t="s">
        <v>27</v>
      </c>
    </row>
    <row r="28" spans="1:18" ht="15" customHeight="1" x14ac:dyDescent="0.3">
      <c r="A28" s="123" t="s">
        <v>28</v>
      </c>
      <c r="B28" s="123" t="s">
        <v>62</v>
      </c>
      <c r="C28" s="124">
        <v>4.8611111111111112E-2</v>
      </c>
      <c r="D28" s="123" t="s">
        <v>30</v>
      </c>
      <c r="E28" s="125"/>
      <c r="F28" s="123" t="s">
        <v>55</v>
      </c>
      <c r="G28" s="227"/>
      <c r="H28" s="116" t="s">
        <v>63</v>
      </c>
      <c r="I28" s="126">
        <v>0.6089</v>
      </c>
      <c r="J28" s="118">
        <v>109</v>
      </c>
      <c r="K28" s="119" t="s">
        <v>43</v>
      </c>
      <c r="L28" s="118">
        <v>16</v>
      </c>
      <c r="M28" s="118">
        <v>0</v>
      </c>
      <c r="N28" s="118">
        <v>7</v>
      </c>
      <c r="O28" s="120" t="s">
        <v>74</v>
      </c>
      <c r="P28" s="121">
        <v>4.8611111111111112E-2</v>
      </c>
      <c r="Q28" s="118">
        <v>179</v>
      </c>
      <c r="R28" s="122" t="s">
        <v>75</v>
      </c>
    </row>
    <row r="29" spans="1:18" ht="15" customHeight="1" x14ac:dyDescent="0.3">
      <c r="A29" s="90" t="s">
        <v>28</v>
      </c>
      <c r="B29" s="90" t="s">
        <v>50</v>
      </c>
      <c r="C29" s="91">
        <v>0.1145833333333333</v>
      </c>
      <c r="D29" s="90" t="s">
        <v>30</v>
      </c>
      <c r="E29" s="92"/>
      <c r="F29" s="90" t="s">
        <v>51</v>
      </c>
      <c r="G29" s="225"/>
      <c r="H29" s="93" t="s">
        <v>52</v>
      </c>
      <c r="I29" s="94">
        <v>0.1285</v>
      </c>
      <c r="J29" s="95">
        <v>23</v>
      </c>
      <c r="K29" s="96" t="s">
        <v>71</v>
      </c>
      <c r="L29" s="95">
        <v>13</v>
      </c>
      <c r="M29" s="95">
        <v>0</v>
      </c>
      <c r="N29" s="95">
        <v>0</v>
      </c>
      <c r="O29" s="97" t="s">
        <v>76</v>
      </c>
      <c r="P29" s="98">
        <v>0.1145833333333333</v>
      </c>
      <c r="Q29" s="95">
        <v>179</v>
      </c>
      <c r="R29" s="99" t="s">
        <v>77</v>
      </c>
    </row>
    <row r="30" spans="1:18" ht="15" customHeight="1" x14ac:dyDescent="0.3">
      <c r="A30" s="76" t="s">
        <v>28</v>
      </c>
      <c r="B30" s="76" t="s">
        <v>78</v>
      </c>
      <c r="C30" s="77">
        <v>0.25347222222222221</v>
      </c>
      <c r="D30" s="76" t="s">
        <v>30</v>
      </c>
      <c r="E30" s="78"/>
      <c r="F30" s="76" t="s">
        <v>55</v>
      </c>
      <c r="G30" s="225"/>
      <c r="H30" s="79" t="s">
        <v>79</v>
      </c>
      <c r="I30" s="127">
        <v>0.36309999999999998</v>
      </c>
      <c r="J30" s="81">
        <v>65</v>
      </c>
      <c r="K30" s="82" t="s">
        <v>71</v>
      </c>
      <c r="L30" s="81">
        <v>24</v>
      </c>
      <c r="M30" s="81">
        <v>0</v>
      </c>
      <c r="N30" s="81">
        <v>0</v>
      </c>
      <c r="O30" s="83" t="s">
        <v>80</v>
      </c>
      <c r="P30" s="84">
        <v>0.25347222222222221</v>
      </c>
      <c r="Q30" s="81">
        <v>179</v>
      </c>
      <c r="R30" s="85" t="s">
        <v>81</v>
      </c>
    </row>
    <row r="31" spans="1:18" ht="15" customHeight="1" x14ac:dyDescent="0.3">
      <c r="A31" s="18" t="s">
        <v>28</v>
      </c>
      <c r="B31" s="18" t="s">
        <v>36</v>
      </c>
      <c r="C31" s="19">
        <v>0.33333333333333331</v>
      </c>
      <c r="D31" s="18" t="s">
        <v>30</v>
      </c>
      <c r="E31" s="20"/>
      <c r="F31" s="18" t="s">
        <v>55</v>
      </c>
      <c r="G31" s="225"/>
      <c r="H31" s="21" t="s">
        <v>37</v>
      </c>
      <c r="I31" s="128">
        <v>0.80449999999999999</v>
      </c>
      <c r="J31" s="23">
        <v>144</v>
      </c>
      <c r="K31" s="24" t="s">
        <v>43</v>
      </c>
      <c r="L31" s="23">
        <v>91</v>
      </c>
      <c r="M31" s="23">
        <v>0</v>
      </c>
      <c r="N31" s="23">
        <v>4</v>
      </c>
      <c r="O31" s="25" t="s">
        <v>82</v>
      </c>
      <c r="P31" s="26">
        <v>0.33333333333333331</v>
      </c>
      <c r="Q31" s="23">
        <v>179</v>
      </c>
      <c r="R31" s="27" t="s">
        <v>83</v>
      </c>
    </row>
    <row r="32" spans="1:18" ht="15" customHeight="1" x14ac:dyDescent="0.3">
      <c r="A32" s="28" t="s">
        <v>28</v>
      </c>
      <c r="B32" s="28" t="s">
        <v>84</v>
      </c>
      <c r="C32" s="29">
        <v>0.36458333333333331</v>
      </c>
      <c r="D32" s="28" t="s">
        <v>30</v>
      </c>
      <c r="E32" s="30"/>
      <c r="F32" s="28" t="s">
        <v>51</v>
      </c>
      <c r="G32" s="225"/>
      <c r="H32" s="31" t="s">
        <v>85</v>
      </c>
      <c r="I32" s="129">
        <v>8.3799999999999999E-2</v>
      </c>
      <c r="J32" s="33">
        <v>15</v>
      </c>
      <c r="K32" s="34" t="s">
        <v>38</v>
      </c>
      <c r="L32" s="33">
        <v>7</v>
      </c>
      <c r="M32" s="33">
        <v>0</v>
      </c>
      <c r="N32" s="33">
        <v>0</v>
      </c>
      <c r="O32" s="35" t="s">
        <v>53</v>
      </c>
      <c r="P32" s="36">
        <v>0.36458333333333331</v>
      </c>
      <c r="Q32" s="33">
        <v>179</v>
      </c>
      <c r="R32" s="37" t="s">
        <v>86</v>
      </c>
    </row>
    <row r="33" spans="1:18" ht="15" customHeight="1" x14ac:dyDescent="0.3">
      <c r="A33" s="76" t="s">
        <v>28</v>
      </c>
      <c r="B33" s="76" t="s">
        <v>41</v>
      </c>
      <c r="C33" s="77">
        <v>0.58333333333333337</v>
      </c>
      <c r="D33" s="76" t="s">
        <v>30</v>
      </c>
      <c r="E33" s="78"/>
      <c r="F33" s="76" t="s">
        <v>31</v>
      </c>
      <c r="G33" s="225"/>
      <c r="H33" s="79" t="s">
        <v>42</v>
      </c>
      <c r="I33" s="130">
        <v>0.87150000000000005</v>
      </c>
      <c r="J33" s="81">
        <v>156</v>
      </c>
      <c r="K33" s="82" t="s">
        <v>87</v>
      </c>
      <c r="L33" s="81">
        <v>48</v>
      </c>
      <c r="M33" s="81">
        <v>0</v>
      </c>
      <c r="N33" s="81">
        <v>0</v>
      </c>
      <c r="O33" s="83" t="s">
        <v>88</v>
      </c>
      <c r="P33" s="84">
        <v>0.58333333333333337</v>
      </c>
      <c r="Q33" s="81">
        <v>179</v>
      </c>
      <c r="R33" s="85" t="s">
        <v>89</v>
      </c>
    </row>
    <row r="34" spans="1:18" ht="15" customHeight="1" thickBot="1" x14ac:dyDescent="0.35">
      <c r="A34" s="131" t="s">
        <v>28</v>
      </c>
      <c r="B34" s="131" t="s">
        <v>29</v>
      </c>
      <c r="C34" s="132">
        <v>0.73958333333333337</v>
      </c>
      <c r="D34" s="131" t="s">
        <v>30</v>
      </c>
      <c r="E34" s="133"/>
      <c r="F34" s="131" t="s">
        <v>55</v>
      </c>
      <c r="G34" s="226"/>
      <c r="H34" s="134" t="s">
        <v>32</v>
      </c>
      <c r="I34" s="135">
        <v>0.78210000000000002</v>
      </c>
      <c r="J34" s="136">
        <v>140</v>
      </c>
      <c r="K34" s="137" t="s">
        <v>43</v>
      </c>
      <c r="L34" s="136">
        <v>22</v>
      </c>
      <c r="M34" s="136">
        <v>0</v>
      </c>
      <c r="N34" s="136">
        <v>5</v>
      </c>
      <c r="O34" s="138" t="s">
        <v>90</v>
      </c>
      <c r="P34" s="139">
        <v>0.73958333333333337</v>
      </c>
      <c r="Q34" s="136">
        <v>179</v>
      </c>
      <c r="R34" s="140" t="s">
        <v>91</v>
      </c>
    </row>
    <row r="35" spans="1:18" ht="17.399999999999999" customHeight="1" thickBot="1" x14ac:dyDescent="0.35">
      <c r="A35" s="252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4"/>
    </row>
    <row r="36" spans="1:18" ht="22.05" customHeight="1" thickTop="1" thickBot="1" x14ac:dyDescent="0.35">
      <c r="A36" s="223" t="s">
        <v>8</v>
      </c>
      <c r="B36" s="221"/>
      <c r="C36" s="221"/>
      <c r="D36" s="221"/>
      <c r="E36" s="221"/>
      <c r="F36" s="222"/>
      <c r="G36" s="48">
        <v>45996</v>
      </c>
      <c r="H36" s="220" t="s">
        <v>9</v>
      </c>
      <c r="I36" s="221"/>
      <c r="J36" s="221"/>
      <c r="K36" s="221"/>
      <c r="L36" s="221"/>
      <c r="M36" s="221"/>
      <c r="N36" s="221"/>
      <c r="O36" s="221"/>
      <c r="P36" s="221"/>
      <c r="Q36" s="221"/>
      <c r="R36" s="222"/>
    </row>
    <row r="37" spans="1:18" ht="24" customHeight="1" x14ac:dyDescent="0.3">
      <c r="A37" s="49" t="s">
        <v>10</v>
      </c>
      <c r="B37" s="49" t="s">
        <v>11</v>
      </c>
      <c r="C37" s="50" t="s">
        <v>12</v>
      </c>
      <c r="D37" s="49" t="s">
        <v>13</v>
      </c>
      <c r="E37" s="49" t="s">
        <v>14</v>
      </c>
      <c r="F37" s="51" t="s">
        <v>15</v>
      </c>
      <c r="G37" s="52" t="s">
        <v>16</v>
      </c>
      <c r="H37" s="49" t="s">
        <v>17</v>
      </c>
      <c r="I37" s="53" t="s">
        <v>18</v>
      </c>
      <c r="J37" s="54" t="s">
        <v>19</v>
      </c>
      <c r="K37" s="55" t="s">
        <v>20</v>
      </c>
      <c r="L37" s="54" t="s">
        <v>21</v>
      </c>
      <c r="M37" s="54" t="s">
        <v>22</v>
      </c>
      <c r="N37" s="54" t="s">
        <v>23</v>
      </c>
      <c r="O37" s="49" t="s">
        <v>24</v>
      </c>
      <c r="P37" s="50" t="s">
        <v>25</v>
      </c>
      <c r="Q37" s="54" t="s">
        <v>26</v>
      </c>
      <c r="R37" s="49" t="s">
        <v>27</v>
      </c>
    </row>
    <row r="38" spans="1:18" ht="15" customHeight="1" x14ac:dyDescent="0.3">
      <c r="A38" s="110" t="s">
        <v>28</v>
      </c>
      <c r="B38" s="110" t="s">
        <v>62</v>
      </c>
      <c r="C38" s="111">
        <v>0.1145833333333333</v>
      </c>
      <c r="D38" s="110" t="s">
        <v>30</v>
      </c>
      <c r="E38" s="112"/>
      <c r="F38" s="110" t="s">
        <v>51</v>
      </c>
      <c r="G38" s="227"/>
      <c r="H38" s="79" t="s">
        <v>63</v>
      </c>
      <c r="I38" s="127">
        <v>0.16200000000000001</v>
      </c>
      <c r="J38" s="81">
        <v>29</v>
      </c>
      <c r="K38" s="82" t="s">
        <v>43</v>
      </c>
      <c r="L38" s="81">
        <v>19</v>
      </c>
      <c r="M38" s="81">
        <v>0</v>
      </c>
      <c r="N38" s="81">
        <v>1</v>
      </c>
      <c r="O38" s="83" t="s">
        <v>92</v>
      </c>
      <c r="P38" s="84">
        <v>0.1145833333333333</v>
      </c>
      <c r="Q38" s="81">
        <v>179</v>
      </c>
      <c r="R38" s="85" t="s">
        <v>93</v>
      </c>
    </row>
    <row r="39" spans="1:18" ht="15" customHeight="1" x14ac:dyDescent="0.3">
      <c r="A39" s="141" t="s">
        <v>28</v>
      </c>
      <c r="B39" s="141" t="s">
        <v>36</v>
      </c>
      <c r="C39" s="142">
        <v>0.31944444444444448</v>
      </c>
      <c r="D39" s="141" t="s">
        <v>30</v>
      </c>
      <c r="E39" s="143"/>
      <c r="F39" s="141" t="s">
        <v>51</v>
      </c>
      <c r="G39" s="225"/>
      <c r="H39" s="11" t="s">
        <v>37</v>
      </c>
      <c r="I39" s="144">
        <v>0.1173</v>
      </c>
      <c r="J39" s="13">
        <v>21</v>
      </c>
      <c r="K39" s="14" t="s">
        <v>38</v>
      </c>
      <c r="L39" s="13">
        <v>1</v>
      </c>
      <c r="M39" s="13">
        <v>0</v>
      </c>
      <c r="N39" s="13">
        <v>0</v>
      </c>
      <c r="O39" s="15" t="s">
        <v>53</v>
      </c>
      <c r="P39" s="16">
        <v>0.31944444444444448</v>
      </c>
      <c r="Q39" s="13">
        <v>179</v>
      </c>
      <c r="R39" s="17" t="s">
        <v>94</v>
      </c>
    </row>
    <row r="40" spans="1:18" ht="15" customHeight="1" x14ac:dyDescent="0.3">
      <c r="A40" s="18" t="s">
        <v>28</v>
      </c>
      <c r="B40" s="18" t="s">
        <v>41</v>
      </c>
      <c r="C40" s="19">
        <v>0.45833333333333331</v>
      </c>
      <c r="D40" s="18" t="s">
        <v>30</v>
      </c>
      <c r="E40" s="20"/>
      <c r="F40" s="18" t="s">
        <v>51</v>
      </c>
      <c r="G40" s="225"/>
      <c r="H40" s="21" t="s">
        <v>42</v>
      </c>
      <c r="I40" s="145">
        <v>0.16200000000000001</v>
      </c>
      <c r="J40" s="23">
        <v>29</v>
      </c>
      <c r="K40" s="24" t="s">
        <v>43</v>
      </c>
      <c r="L40" s="23">
        <v>11</v>
      </c>
      <c r="M40" s="23">
        <v>0</v>
      </c>
      <c r="N40" s="23">
        <v>3</v>
      </c>
      <c r="O40" s="25" t="s">
        <v>56</v>
      </c>
      <c r="P40" s="26">
        <v>0.45833333333333331</v>
      </c>
      <c r="Q40" s="23">
        <v>179</v>
      </c>
      <c r="R40" s="27" t="s">
        <v>95</v>
      </c>
    </row>
    <row r="41" spans="1:18" ht="15" customHeight="1" x14ac:dyDescent="0.3">
      <c r="A41" s="113" t="s">
        <v>28</v>
      </c>
      <c r="B41" s="113" t="s">
        <v>29</v>
      </c>
      <c r="C41" s="114">
        <v>0.61458333333333337</v>
      </c>
      <c r="D41" s="113" t="s">
        <v>30</v>
      </c>
      <c r="E41" s="115"/>
      <c r="F41" s="113" t="s">
        <v>55</v>
      </c>
      <c r="G41" s="225"/>
      <c r="H41" s="116" t="s">
        <v>32</v>
      </c>
      <c r="I41" s="146">
        <v>0.3911</v>
      </c>
      <c r="J41" s="118">
        <v>70</v>
      </c>
      <c r="K41" s="119" t="s">
        <v>96</v>
      </c>
      <c r="L41" s="118">
        <v>0</v>
      </c>
      <c r="M41" s="118">
        <v>0</v>
      </c>
      <c r="N41" s="118">
        <v>0</v>
      </c>
      <c r="O41" s="120" t="s">
        <v>60</v>
      </c>
      <c r="P41" s="121">
        <v>0.61458333333333337</v>
      </c>
      <c r="Q41" s="118">
        <v>179</v>
      </c>
      <c r="R41" s="122" t="s">
        <v>97</v>
      </c>
    </row>
    <row r="42" spans="1:18" ht="15" customHeight="1" x14ac:dyDescent="0.3">
      <c r="A42" s="86" t="s">
        <v>28</v>
      </c>
      <c r="B42" s="86" t="s">
        <v>50</v>
      </c>
      <c r="C42" s="87">
        <v>0.73611111111111116</v>
      </c>
      <c r="D42" s="86" t="s">
        <v>30</v>
      </c>
      <c r="E42" s="88"/>
      <c r="F42" s="86" t="s">
        <v>55</v>
      </c>
      <c r="G42" s="225"/>
      <c r="H42" s="59" t="s">
        <v>52</v>
      </c>
      <c r="I42" s="60">
        <v>0.49159999999999998</v>
      </c>
      <c r="J42" s="61">
        <v>88</v>
      </c>
      <c r="K42" s="62" t="s">
        <v>43</v>
      </c>
      <c r="L42" s="61">
        <v>61</v>
      </c>
      <c r="M42" s="61">
        <v>0</v>
      </c>
      <c r="N42" s="61">
        <v>2</v>
      </c>
      <c r="O42" s="63" t="s">
        <v>48</v>
      </c>
      <c r="P42" s="64">
        <v>0.73611111111111116</v>
      </c>
      <c r="Q42" s="61">
        <v>179</v>
      </c>
      <c r="R42" s="65" t="s">
        <v>98</v>
      </c>
    </row>
    <row r="43" spans="1:18" ht="15" customHeight="1" thickBot="1" x14ac:dyDescent="0.35">
      <c r="A43" s="147" t="s">
        <v>28</v>
      </c>
      <c r="B43" s="147" t="s">
        <v>46</v>
      </c>
      <c r="C43" s="148">
        <v>0.9375</v>
      </c>
      <c r="D43" s="147" t="s">
        <v>30</v>
      </c>
      <c r="E43" s="149"/>
      <c r="F43" s="147" t="s">
        <v>31</v>
      </c>
      <c r="G43" s="226"/>
      <c r="H43" s="150" t="s">
        <v>47</v>
      </c>
      <c r="I43" s="151">
        <v>0.91620000000000001</v>
      </c>
      <c r="J43" s="152">
        <v>164</v>
      </c>
      <c r="K43" s="153" t="s">
        <v>99</v>
      </c>
      <c r="L43" s="152">
        <v>0</v>
      </c>
      <c r="M43" s="152">
        <v>0</v>
      </c>
      <c r="N43" s="152">
        <v>0</v>
      </c>
      <c r="O43" s="154" t="s">
        <v>100</v>
      </c>
      <c r="P43" s="155">
        <v>0.9375</v>
      </c>
      <c r="Q43" s="152">
        <v>179</v>
      </c>
      <c r="R43" s="156" t="s">
        <v>101</v>
      </c>
    </row>
    <row r="44" spans="1:18" ht="17.399999999999999" customHeight="1" thickBot="1" x14ac:dyDescent="0.35">
      <c r="A44" s="252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4"/>
    </row>
    <row r="45" spans="1:18" ht="22.05" customHeight="1" thickTop="1" thickBot="1" x14ac:dyDescent="0.35">
      <c r="A45" s="223" t="s">
        <v>8</v>
      </c>
      <c r="B45" s="221"/>
      <c r="C45" s="221"/>
      <c r="D45" s="221"/>
      <c r="E45" s="221"/>
      <c r="F45" s="222"/>
      <c r="G45" s="48">
        <v>45997</v>
      </c>
      <c r="H45" s="220" t="s">
        <v>9</v>
      </c>
      <c r="I45" s="221"/>
      <c r="J45" s="221"/>
      <c r="K45" s="221"/>
      <c r="L45" s="221"/>
      <c r="M45" s="221"/>
      <c r="N45" s="221"/>
      <c r="O45" s="221"/>
      <c r="P45" s="221"/>
      <c r="Q45" s="221"/>
      <c r="R45" s="222"/>
    </row>
    <row r="46" spans="1:18" ht="24" customHeight="1" x14ac:dyDescent="0.3">
      <c r="A46" s="49" t="s">
        <v>10</v>
      </c>
      <c r="B46" s="49" t="s">
        <v>11</v>
      </c>
      <c r="C46" s="50" t="s">
        <v>12</v>
      </c>
      <c r="D46" s="49" t="s">
        <v>13</v>
      </c>
      <c r="E46" s="49" t="s">
        <v>14</v>
      </c>
      <c r="F46" s="51" t="s">
        <v>15</v>
      </c>
      <c r="G46" s="52" t="s">
        <v>16</v>
      </c>
      <c r="H46" s="49" t="s">
        <v>17</v>
      </c>
      <c r="I46" s="53" t="s">
        <v>18</v>
      </c>
      <c r="J46" s="54" t="s">
        <v>19</v>
      </c>
      <c r="K46" s="55" t="s">
        <v>20</v>
      </c>
      <c r="L46" s="54" t="s">
        <v>21</v>
      </c>
      <c r="M46" s="54" t="s">
        <v>22</v>
      </c>
      <c r="N46" s="54" t="s">
        <v>23</v>
      </c>
      <c r="O46" s="49" t="s">
        <v>24</v>
      </c>
      <c r="P46" s="50" t="s">
        <v>25</v>
      </c>
      <c r="Q46" s="54" t="s">
        <v>26</v>
      </c>
      <c r="R46" s="49" t="s">
        <v>27</v>
      </c>
    </row>
    <row r="47" spans="1:18" ht="49.95" customHeight="1" x14ac:dyDescent="0.3">
      <c r="A47" s="157" t="s">
        <v>28</v>
      </c>
      <c r="B47" s="157" t="s">
        <v>78</v>
      </c>
      <c r="C47" s="158">
        <v>0.2361111111111111</v>
      </c>
      <c r="D47" s="157" t="s">
        <v>30</v>
      </c>
      <c r="E47" s="159"/>
      <c r="F47" s="157" t="s">
        <v>55</v>
      </c>
      <c r="G47" s="227"/>
      <c r="H47" s="93" t="s">
        <v>79</v>
      </c>
      <c r="I47" s="94">
        <v>0.35749999999999998</v>
      </c>
      <c r="J47" s="95">
        <v>64</v>
      </c>
      <c r="K47" s="96" t="s">
        <v>43</v>
      </c>
      <c r="L47" s="95">
        <v>15</v>
      </c>
      <c r="M47" s="95">
        <v>0</v>
      </c>
      <c r="N47" s="95">
        <v>5</v>
      </c>
      <c r="O47" s="97" t="s">
        <v>60</v>
      </c>
      <c r="P47" s="98">
        <v>0.2361111111111111</v>
      </c>
      <c r="Q47" s="95">
        <v>179</v>
      </c>
      <c r="R47" s="99" t="s">
        <v>102</v>
      </c>
    </row>
    <row r="48" spans="1:18" ht="49.95" customHeight="1" x14ac:dyDescent="0.3">
      <c r="A48" s="141" t="s">
        <v>28</v>
      </c>
      <c r="B48" s="141" t="s">
        <v>36</v>
      </c>
      <c r="C48" s="142">
        <v>0.33333333333333331</v>
      </c>
      <c r="D48" s="141" t="s">
        <v>30</v>
      </c>
      <c r="E48" s="143"/>
      <c r="F48" s="141" t="s">
        <v>31</v>
      </c>
      <c r="G48" s="225"/>
      <c r="H48" s="11" t="s">
        <v>37</v>
      </c>
      <c r="I48" s="12">
        <v>0.8659</v>
      </c>
      <c r="J48" s="13">
        <v>155</v>
      </c>
      <c r="K48" s="14" t="s">
        <v>43</v>
      </c>
      <c r="L48" s="13">
        <v>46</v>
      </c>
      <c r="M48" s="13">
        <v>0</v>
      </c>
      <c r="N48" s="13">
        <v>1</v>
      </c>
      <c r="O48" s="15" t="s">
        <v>66</v>
      </c>
      <c r="P48" s="16">
        <v>0.33333333333333331</v>
      </c>
      <c r="Q48" s="13">
        <v>179</v>
      </c>
      <c r="R48" s="17" t="s">
        <v>103</v>
      </c>
    </row>
    <row r="49" spans="1:18" ht="49.95" customHeight="1" thickBot="1" x14ac:dyDescent="0.35">
      <c r="A49" s="160" t="s">
        <v>28</v>
      </c>
      <c r="B49" s="160" t="s">
        <v>41</v>
      </c>
      <c r="C49" s="161">
        <v>0.68055555555555547</v>
      </c>
      <c r="D49" s="160" t="s">
        <v>30</v>
      </c>
      <c r="E49" s="162"/>
      <c r="F49" s="160" t="s">
        <v>104</v>
      </c>
      <c r="G49" s="226"/>
      <c r="H49" s="163" t="s">
        <v>42</v>
      </c>
      <c r="I49" s="164">
        <v>1.0223</v>
      </c>
      <c r="J49" s="165">
        <v>183</v>
      </c>
      <c r="K49" s="166" t="s">
        <v>105</v>
      </c>
      <c r="L49" s="165">
        <v>46</v>
      </c>
      <c r="M49" s="165">
        <v>0</v>
      </c>
      <c r="N49" s="165">
        <v>0</v>
      </c>
      <c r="O49" s="167" t="s">
        <v>106</v>
      </c>
      <c r="P49" s="168">
        <v>0.68055555555555547</v>
      </c>
      <c r="Q49" s="165">
        <v>179</v>
      </c>
      <c r="R49" s="169" t="s">
        <v>107</v>
      </c>
    </row>
    <row r="50" spans="1:18" ht="17.399999999999999" customHeight="1" thickBot="1" x14ac:dyDescent="0.35">
      <c r="A50" s="252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4"/>
    </row>
    <row r="51" spans="1:18" ht="22.05" customHeight="1" thickTop="1" thickBot="1" x14ac:dyDescent="0.35">
      <c r="A51" s="223" t="s">
        <v>8</v>
      </c>
      <c r="B51" s="221"/>
      <c r="C51" s="221"/>
      <c r="D51" s="221"/>
      <c r="E51" s="221"/>
      <c r="F51" s="222"/>
      <c r="G51" s="48">
        <v>45998</v>
      </c>
      <c r="H51" s="220" t="s">
        <v>9</v>
      </c>
      <c r="I51" s="221"/>
      <c r="J51" s="221"/>
      <c r="K51" s="221"/>
      <c r="L51" s="221"/>
      <c r="M51" s="221"/>
      <c r="N51" s="221"/>
      <c r="O51" s="221"/>
      <c r="P51" s="221"/>
      <c r="Q51" s="221"/>
      <c r="R51" s="222"/>
    </row>
    <row r="52" spans="1:18" ht="24" customHeight="1" x14ac:dyDescent="0.3">
      <c r="A52" s="49" t="s">
        <v>10</v>
      </c>
      <c r="B52" s="49" t="s">
        <v>11</v>
      </c>
      <c r="C52" s="50" t="s">
        <v>12</v>
      </c>
      <c r="D52" s="49" t="s">
        <v>13</v>
      </c>
      <c r="E52" s="49" t="s">
        <v>14</v>
      </c>
      <c r="F52" s="51" t="s">
        <v>15</v>
      </c>
      <c r="G52" s="52" t="s">
        <v>16</v>
      </c>
      <c r="H52" s="49" t="s">
        <v>17</v>
      </c>
      <c r="I52" s="53" t="s">
        <v>18</v>
      </c>
      <c r="J52" s="54" t="s">
        <v>19</v>
      </c>
      <c r="K52" s="55" t="s">
        <v>20</v>
      </c>
      <c r="L52" s="54" t="s">
        <v>21</v>
      </c>
      <c r="M52" s="54" t="s">
        <v>22</v>
      </c>
      <c r="N52" s="54" t="s">
        <v>23</v>
      </c>
      <c r="O52" s="49" t="s">
        <v>24</v>
      </c>
      <c r="P52" s="50" t="s">
        <v>25</v>
      </c>
      <c r="Q52" s="54" t="s">
        <v>26</v>
      </c>
      <c r="R52" s="49" t="s">
        <v>27</v>
      </c>
    </row>
    <row r="53" spans="1:18" ht="49.95" customHeight="1" x14ac:dyDescent="0.3">
      <c r="A53" s="110" t="s">
        <v>28</v>
      </c>
      <c r="B53" s="110" t="s">
        <v>62</v>
      </c>
      <c r="C53" s="111">
        <v>8.3333333333333329E-2</v>
      </c>
      <c r="D53" s="110" t="s">
        <v>30</v>
      </c>
      <c r="E53" s="112"/>
      <c r="F53" s="110" t="s">
        <v>55</v>
      </c>
      <c r="G53" s="227"/>
      <c r="H53" s="79" t="s">
        <v>63</v>
      </c>
      <c r="I53" s="127">
        <v>0.49719999999999998</v>
      </c>
      <c r="J53" s="81">
        <v>89</v>
      </c>
      <c r="K53" s="82" t="s">
        <v>43</v>
      </c>
      <c r="L53" s="81">
        <v>9</v>
      </c>
      <c r="M53" s="81">
        <v>0</v>
      </c>
      <c r="N53" s="81">
        <v>2</v>
      </c>
      <c r="O53" s="83" t="s">
        <v>53</v>
      </c>
      <c r="P53" s="84">
        <v>8.3333333333333329E-2</v>
      </c>
      <c r="Q53" s="81">
        <v>179</v>
      </c>
      <c r="R53" s="85" t="s">
        <v>108</v>
      </c>
    </row>
    <row r="54" spans="1:18" ht="49.95" customHeight="1" x14ac:dyDescent="0.3">
      <c r="A54" s="66" t="s">
        <v>28</v>
      </c>
      <c r="B54" s="66" t="s">
        <v>36</v>
      </c>
      <c r="C54" s="67">
        <v>0.31944444444444448</v>
      </c>
      <c r="D54" s="66" t="s">
        <v>30</v>
      </c>
      <c r="E54" s="68"/>
      <c r="F54" s="66" t="s">
        <v>51</v>
      </c>
      <c r="G54" s="225"/>
      <c r="H54" s="69" t="s">
        <v>37</v>
      </c>
      <c r="I54" s="170">
        <v>0.1676</v>
      </c>
      <c r="J54" s="71">
        <v>30</v>
      </c>
      <c r="K54" s="72" t="s">
        <v>43</v>
      </c>
      <c r="L54" s="71">
        <v>20</v>
      </c>
      <c r="M54" s="71">
        <v>0</v>
      </c>
      <c r="N54" s="71">
        <v>2</v>
      </c>
      <c r="O54" s="73" t="s">
        <v>60</v>
      </c>
      <c r="P54" s="74">
        <v>0.31944444444444448</v>
      </c>
      <c r="Q54" s="71">
        <v>179</v>
      </c>
      <c r="R54" s="75" t="s">
        <v>109</v>
      </c>
    </row>
    <row r="55" spans="1:18" ht="49.95" customHeight="1" x14ac:dyDescent="0.3">
      <c r="A55" s="28" t="s">
        <v>28</v>
      </c>
      <c r="B55" s="28" t="s">
        <v>84</v>
      </c>
      <c r="C55" s="29">
        <v>0.33333333333333331</v>
      </c>
      <c r="D55" s="28" t="s">
        <v>30</v>
      </c>
      <c r="E55" s="30"/>
      <c r="F55" s="28" t="s">
        <v>51</v>
      </c>
      <c r="G55" s="225"/>
      <c r="H55" s="31" t="s">
        <v>85</v>
      </c>
      <c r="I55" s="129">
        <v>0.16669999999999999</v>
      </c>
      <c r="J55" s="33">
        <v>28</v>
      </c>
      <c r="K55" s="34" t="s">
        <v>43</v>
      </c>
      <c r="L55" s="33">
        <v>18</v>
      </c>
      <c r="M55" s="33">
        <v>0</v>
      </c>
      <c r="N55" s="33">
        <v>1</v>
      </c>
      <c r="O55" s="35" t="s">
        <v>56</v>
      </c>
      <c r="P55" s="36">
        <v>0.33333333333333331</v>
      </c>
      <c r="Q55" s="33">
        <v>168</v>
      </c>
      <c r="R55" s="37" t="s">
        <v>110</v>
      </c>
    </row>
    <row r="56" spans="1:18" ht="49.95" customHeight="1" x14ac:dyDescent="0.3">
      <c r="A56" s="86" t="s">
        <v>28</v>
      </c>
      <c r="B56" s="86" t="s">
        <v>46</v>
      </c>
      <c r="C56" s="87">
        <v>0.51041666666666663</v>
      </c>
      <c r="D56" s="86" t="s">
        <v>30</v>
      </c>
      <c r="E56" s="88"/>
      <c r="F56" s="86" t="s">
        <v>31</v>
      </c>
      <c r="G56" s="225"/>
      <c r="H56" s="59" t="s">
        <v>47</v>
      </c>
      <c r="I56" s="171">
        <v>0.86029999999999995</v>
      </c>
      <c r="J56" s="61">
        <v>154</v>
      </c>
      <c r="K56" s="62" t="s">
        <v>43</v>
      </c>
      <c r="L56" s="61">
        <v>38</v>
      </c>
      <c r="M56" s="61">
        <v>0</v>
      </c>
      <c r="N56" s="61">
        <v>1</v>
      </c>
      <c r="O56" s="63" t="s">
        <v>111</v>
      </c>
      <c r="P56" s="64">
        <v>0.51041666666666663</v>
      </c>
      <c r="Q56" s="61">
        <v>179</v>
      </c>
      <c r="R56" s="65" t="s">
        <v>112</v>
      </c>
    </row>
    <row r="57" spans="1:18" ht="49.95" customHeight="1" thickBot="1" x14ac:dyDescent="0.35">
      <c r="A57" s="172" t="s">
        <v>28</v>
      </c>
      <c r="B57" s="172" t="s">
        <v>41</v>
      </c>
      <c r="C57" s="173">
        <v>0.63194444444444442</v>
      </c>
      <c r="D57" s="172" t="s">
        <v>30</v>
      </c>
      <c r="E57" s="174"/>
      <c r="F57" s="172" t="s">
        <v>113</v>
      </c>
      <c r="G57" s="226"/>
      <c r="H57" s="175" t="s">
        <v>42</v>
      </c>
      <c r="I57" s="176">
        <v>0.96650000000000003</v>
      </c>
      <c r="J57" s="177">
        <v>173</v>
      </c>
      <c r="K57" s="178" t="s">
        <v>43</v>
      </c>
      <c r="L57" s="177">
        <v>3</v>
      </c>
      <c r="M57" s="177">
        <v>0</v>
      </c>
      <c r="N57" s="177">
        <v>3</v>
      </c>
      <c r="O57" s="179" t="s">
        <v>114</v>
      </c>
      <c r="P57" s="180">
        <v>0.63194444444444442</v>
      </c>
      <c r="Q57" s="177">
        <v>179</v>
      </c>
      <c r="R57" s="181" t="s">
        <v>115</v>
      </c>
    </row>
    <row r="58" spans="1:18" ht="17.399999999999999" customHeight="1" thickBot="1" x14ac:dyDescent="0.35">
      <c r="A58" s="252"/>
      <c r="B58" s="253"/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4"/>
    </row>
    <row r="59" spans="1:18" ht="22.05" customHeight="1" thickTop="1" thickBot="1" x14ac:dyDescent="0.35">
      <c r="A59" s="223" t="s">
        <v>8</v>
      </c>
      <c r="B59" s="221"/>
      <c r="C59" s="221"/>
      <c r="D59" s="221"/>
      <c r="E59" s="221"/>
      <c r="F59" s="222"/>
      <c r="G59" s="48">
        <v>45999</v>
      </c>
      <c r="H59" s="220" t="s">
        <v>9</v>
      </c>
      <c r="I59" s="221"/>
      <c r="J59" s="221"/>
      <c r="K59" s="221"/>
      <c r="L59" s="221"/>
      <c r="M59" s="221"/>
      <c r="N59" s="221"/>
      <c r="O59" s="221"/>
      <c r="P59" s="221"/>
      <c r="Q59" s="221"/>
      <c r="R59" s="222"/>
    </row>
    <row r="60" spans="1:18" ht="24" customHeight="1" x14ac:dyDescent="0.3">
      <c r="A60" s="49" t="s">
        <v>10</v>
      </c>
      <c r="B60" s="49" t="s">
        <v>11</v>
      </c>
      <c r="C60" s="50" t="s">
        <v>12</v>
      </c>
      <c r="D60" s="49" t="s">
        <v>13</v>
      </c>
      <c r="E60" s="49" t="s">
        <v>14</v>
      </c>
      <c r="F60" s="51" t="s">
        <v>15</v>
      </c>
      <c r="G60" s="52" t="s">
        <v>16</v>
      </c>
      <c r="H60" s="49" t="s">
        <v>17</v>
      </c>
      <c r="I60" s="53" t="s">
        <v>18</v>
      </c>
      <c r="J60" s="54" t="s">
        <v>19</v>
      </c>
      <c r="K60" s="55" t="s">
        <v>20</v>
      </c>
      <c r="L60" s="54" t="s">
        <v>21</v>
      </c>
      <c r="M60" s="54" t="s">
        <v>22</v>
      </c>
      <c r="N60" s="54" t="s">
        <v>23</v>
      </c>
      <c r="O60" s="49" t="s">
        <v>24</v>
      </c>
      <c r="P60" s="50" t="s">
        <v>25</v>
      </c>
      <c r="Q60" s="54" t="s">
        <v>26</v>
      </c>
      <c r="R60" s="49" t="s">
        <v>27</v>
      </c>
    </row>
    <row r="61" spans="1:18" ht="49.95" customHeight="1" x14ac:dyDescent="0.3">
      <c r="A61" s="182" t="s">
        <v>28</v>
      </c>
      <c r="B61" s="182" t="s">
        <v>29</v>
      </c>
      <c r="C61" s="183">
        <v>6.9444444444444441E-3</v>
      </c>
      <c r="D61" s="182" t="s">
        <v>30</v>
      </c>
      <c r="E61" s="184"/>
      <c r="F61" s="182" t="s">
        <v>31</v>
      </c>
      <c r="G61" s="224"/>
      <c r="H61" s="31" t="s">
        <v>32</v>
      </c>
      <c r="I61" s="32">
        <v>0.86029999999999995</v>
      </c>
      <c r="J61" s="33">
        <v>154</v>
      </c>
      <c r="K61" s="34" t="s">
        <v>71</v>
      </c>
      <c r="L61" s="33">
        <v>10</v>
      </c>
      <c r="M61" s="33">
        <v>0</v>
      </c>
      <c r="N61" s="33">
        <v>0</v>
      </c>
      <c r="O61" s="35" t="s">
        <v>60</v>
      </c>
      <c r="P61" s="36">
        <v>6.9444444444444441E-3</v>
      </c>
      <c r="Q61" s="33">
        <v>179</v>
      </c>
      <c r="R61" s="37" t="s">
        <v>116</v>
      </c>
    </row>
    <row r="62" spans="1:18" ht="49.95" customHeight="1" x14ac:dyDescent="0.3">
      <c r="A62" s="90" t="s">
        <v>28</v>
      </c>
      <c r="B62" s="90" t="s">
        <v>36</v>
      </c>
      <c r="C62" s="91">
        <v>0.4236111111111111</v>
      </c>
      <c r="D62" s="90" t="s">
        <v>30</v>
      </c>
      <c r="E62" s="92"/>
      <c r="F62" s="90" t="s">
        <v>31</v>
      </c>
      <c r="G62" s="225"/>
      <c r="H62" s="93" t="s">
        <v>37</v>
      </c>
      <c r="I62" s="185">
        <v>0.88270000000000004</v>
      </c>
      <c r="J62" s="95">
        <v>158</v>
      </c>
      <c r="K62" s="96" t="s">
        <v>43</v>
      </c>
      <c r="L62" s="95">
        <v>13</v>
      </c>
      <c r="M62" s="95">
        <v>0</v>
      </c>
      <c r="N62" s="95">
        <v>3</v>
      </c>
      <c r="O62" s="97" t="s">
        <v>117</v>
      </c>
      <c r="P62" s="98">
        <v>0.4236111111111111</v>
      </c>
      <c r="Q62" s="95">
        <v>179</v>
      </c>
      <c r="R62" s="99" t="s">
        <v>118</v>
      </c>
    </row>
    <row r="63" spans="1:18" ht="49.95" customHeight="1" x14ac:dyDescent="0.3">
      <c r="A63" s="66" t="s">
        <v>28</v>
      </c>
      <c r="B63" s="66" t="s">
        <v>41</v>
      </c>
      <c r="C63" s="67">
        <v>0.61458333333333337</v>
      </c>
      <c r="D63" s="66" t="s">
        <v>30</v>
      </c>
      <c r="E63" s="68"/>
      <c r="F63" s="66" t="s">
        <v>55</v>
      </c>
      <c r="G63" s="225"/>
      <c r="H63" s="69" t="s">
        <v>42</v>
      </c>
      <c r="I63" s="70">
        <v>0.80449999999999999</v>
      </c>
      <c r="J63" s="71">
        <v>144</v>
      </c>
      <c r="K63" s="72" t="s">
        <v>43</v>
      </c>
      <c r="L63" s="71">
        <v>6</v>
      </c>
      <c r="M63" s="71">
        <v>0</v>
      </c>
      <c r="N63" s="71">
        <v>3</v>
      </c>
      <c r="O63" s="73" t="s">
        <v>117</v>
      </c>
      <c r="P63" s="74">
        <v>0.61458333333333337</v>
      </c>
      <c r="Q63" s="71">
        <v>179</v>
      </c>
      <c r="R63" s="75" t="s">
        <v>119</v>
      </c>
    </row>
    <row r="64" spans="1:18" ht="49.95" customHeight="1" thickBot="1" x14ac:dyDescent="0.35">
      <c r="A64" s="172" t="s">
        <v>28</v>
      </c>
      <c r="B64" s="172" t="s">
        <v>46</v>
      </c>
      <c r="C64" s="173">
        <v>0.97916666666666663</v>
      </c>
      <c r="D64" s="172" t="s">
        <v>30</v>
      </c>
      <c r="E64" s="174"/>
      <c r="F64" s="172" t="s">
        <v>31</v>
      </c>
      <c r="G64" s="226"/>
      <c r="H64" s="175" t="s">
        <v>47</v>
      </c>
      <c r="I64" s="176">
        <v>0.89390000000000003</v>
      </c>
      <c r="J64" s="177">
        <v>160</v>
      </c>
      <c r="K64" s="178" t="s">
        <v>43</v>
      </c>
      <c r="L64" s="177">
        <v>15</v>
      </c>
      <c r="M64" s="177">
        <v>0</v>
      </c>
      <c r="N64" s="177">
        <v>3</v>
      </c>
      <c r="O64" s="179" t="s">
        <v>120</v>
      </c>
      <c r="P64" s="180">
        <v>0.97916666666666663</v>
      </c>
      <c r="Q64" s="177">
        <v>179</v>
      </c>
      <c r="R64" s="181" t="s">
        <v>121</v>
      </c>
    </row>
    <row r="65" spans="1:18" ht="17.399999999999999" customHeight="1" thickBot="1" x14ac:dyDescent="0.35">
      <c r="A65" s="252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4"/>
    </row>
    <row r="66" spans="1:18" ht="22.05" customHeight="1" thickTop="1" thickBot="1" x14ac:dyDescent="0.35">
      <c r="A66" s="223" t="s">
        <v>8</v>
      </c>
      <c r="B66" s="221"/>
      <c r="C66" s="221"/>
      <c r="D66" s="221"/>
      <c r="E66" s="221"/>
      <c r="F66" s="222"/>
      <c r="G66" s="48">
        <v>46000</v>
      </c>
      <c r="H66" s="220" t="s">
        <v>9</v>
      </c>
      <c r="I66" s="221"/>
      <c r="J66" s="221"/>
      <c r="K66" s="221"/>
      <c r="L66" s="221"/>
      <c r="M66" s="221"/>
      <c r="N66" s="221"/>
      <c r="O66" s="221"/>
      <c r="P66" s="221"/>
      <c r="Q66" s="221"/>
      <c r="R66" s="222"/>
    </row>
    <row r="67" spans="1:18" ht="24" customHeight="1" x14ac:dyDescent="0.3">
      <c r="A67" s="49" t="s">
        <v>10</v>
      </c>
      <c r="B67" s="49" t="s">
        <v>11</v>
      </c>
      <c r="C67" s="50" t="s">
        <v>12</v>
      </c>
      <c r="D67" s="49" t="s">
        <v>13</v>
      </c>
      <c r="E67" s="49" t="s">
        <v>14</v>
      </c>
      <c r="F67" s="51" t="s">
        <v>15</v>
      </c>
      <c r="G67" s="52" t="s">
        <v>16</v>
      </c>
      <c r="H67" s="49" t="s">
        <v>17</v>
      </c>
      <c r="I67" s="53" t="s">
        <v>18</v>
      </c>
      <c r="J67" s="54" t="s">
        <v>19</v>
      </c>
      <c r="K67" s="55" t="s">
        <v>20</v>
      </c>
      <c r="L67" s="54" t="s">
        <v>21</v>
      </c>
      <c r="M67" s="54" t="s">
        <v>22</v>
      </c>
      <c r="N67" s="54" t="s">
        <v>23</v>
      </c>
      <c r="O67" s="49" t="s">
        <v>24</v>
      </c>
      <c r="P67" s="50" t="s">
        <v>25</v>
      </c>
      <c r="Q67" s="54" t="s">
        <v>26</v>
      </c>
      <c r="R67" s="49" t="s">
        <v>27</v>
      </c>
    </row>
    <row r="68" spans="1:18" ht="15" customHeight="1" x14ac:dyDescent="0.3">
      <c r="A68" s="110" t="s">
        <v>28</v>
      </c>
      <c r="B68" s="110" t="s">
        <v>50</v>
      </c>
      <c r="C68" s="111">
        <v>0.22916666666666671</v>
      </c>
      <c r="D68" s="110" t="s">
        <v>30</v>
      </c>
      <c r="E68" s="112"/>
      <c r="F68" s="110" t="s">
        <v>51</v>
      </c>
      <c r="G68" s="224"/>
      <c r="H68" s="79" t="s">
        <v>52</v>
      </c>
      <c r="I68" s="127">
        <v>0.1061</v>
      </c>
      <c r="J68" s="81">
        <v>19</v>
      </c>
      <c r="K68" s="82" t="s">
        <v>43</v>
      </c>
      <c r="L68" s="81">
        <v>8</v>
      </c>
      <c r="M68" s="81">
        <v>0</v>
      </c>
      <c r="N68" s="81">
        <v>2</v>
      </c>
      <c r="O68" s="83" t="s">
        <v>80</v>
      </c>
      <c r="P68" s="84">
        <v>0.22916666666666671</v>
      </c>
      <c r="Q68" s="81">
        <v>179</v>
      </c>
      <c r="R68" s="85" t="s">
        <v>122</v>
      </c>
    </row>
    <row r="69" spans="1:18" ht="15" customHeight="1" x14ac:dyDescent="0.3">
      <c r="A69" s="90" t="s">
        <v>28</v>
      </c>
      <c r="B69" s="90" t="s">
        <v>29</v>
      </c>
      <c r="C69" s="91">
        <v>0.55902777777777779</v>
      </c>
      <c r="D69" s="90" t="s">
        <v>30</v>
      </c>
      <c r="E69" s="92"/>
      <c r="F69" s="90" t="s">
        <v>55</v>
      </c>
      <c r="G69" s="225"/>
      <c r="H69" s="93" t="s">
        <v>32</v>
      </c>
      <c r="I69" s="186">
        <v>0.58099999999999996</v>
      </c>
      <c r="J69" s="95">
        <v>104</v>
      </c>
      <c r="K69" s="96" t="s">
        <v>43</v>
      </c>
      <c r="L69" s="95">
        <v>4</v>
      </c>
      <c r="M69" s="95">
        <v>0</v>
      </c>
      <c r="N69" s="95">
        <v>1</v>
      </c>
      <c r="O69" s="97" t="s">
        <v>123</v>
      </c>
      <c r="P69" s="98">
        <v>0.55902777777777779</v>
      </c>
      <c r="Q69" s="95">
        <v>179</v>
      </c>
      <c r="R69" s="99" t="s">
        <v>124</v>
      </c>
    </row>
    <row r="70" spans="1:18" ht="15" customHeight="1" x14ac:dyDescent="0.3">
      <c r="A70" s="141" t="s">
        <v>28</v>
      </c>
      <c r="B70" s="141" t="s">
        <v>41</v>
      </c>
      <c r="C70" s="142">
        <v>0.61458333333333337</v>
      </c>
      <c r="D70" s="141" t="s">
        <v>30</v>
      </c>
      <c r="E70" s="143"/>
      <c r="F70" s="141" t="s">
        <v>55</v>
      </c>
      <c r="G70" s="225"/>
      <c r="H70" s="11" t="s">
        <v>42</v>
      </c>
      <c r="I70" s="187">
        <v>0.82120000000000004</v>
      </c>
      <c r="J70" s="13">
        <v>147</v>
      </c>
      <c r="K70" s="14" t="s">
        <v>33</v>
      </c>
      <c r="L70" s="13">
        <v>6</v>
      </c>
      <c r="M70" s="13">
        <v>0</v>
      </c>
      <c r="N70" s="13">
        <v>0</v>
      </c>
      <c r="O70" s="15" t="s">
        <v>125</v>
      </c>
      <c r="P70" s="16">
        <v>0.61458333333333337</v>
      </c>
      <c r="Q70" s="13">
        <v>179</v>
      </c>
      <c r="R70" s="17" t="s">
        <v>126</v>
      </c>
    </row>
    <row r="71" spans="1:18" ht="15" customHeight="1" x14ac:dyDescent="0.3">
      <c r="A71" s="28" t="s">
        <v>28</v>
      </c>
      <c r="B71" s="28" t="s">
        <v>46</v>
      </c>
      <c r="C71" s="29">
        <v>0.72916666666666663</v>
      </c>
      <c r="D71" s="28" t="s">
        <v>30</v>
      </c>
      <c r="E71" s="30"/>
      <c r="F71" s="28" t="s">
        <v>55</v>
      </c>
      <c r="G71" s="225"/>
      <c r="H71" s="31" t="s">
        <v>47</v>
      </c>
      <c r="I71" s="129">
        <v>0.54190000000000005</v>
      </c>
      <c r="J71" s="33">
        <v>97</v>
      </c>
      <c r="K71" s="34" t="s">
        <v>43</v>
      </c>
      <c r="L71" s="33">
        <v>3</v>
      </c>
      <c r="M71" s="33">
        <v>0</v>
      </c>
      <c r="N71" s="33">
        <v>1</v>
      </c>
      <c r="O71" s="35" t="s">
        <v>53</v>
      </c>
      <c r="P71" s="36">
        <v>0.72916666666666663</v>
      </c>
      <c r="Q71" s="33">
        <v>179</v>
      </c>
      <c r="R71" s="37" t="s">
        <v>127</v>
      </c>
    </row>
    <row r="72" spans="1:18" ht="15" customHeight="1" x14ac:dyDescent="0.3">
      <c r="A72" s="76" t="s">
        <v>28</v>
      </c>
      <c r="B72" s="76" t="s">
        <v>62</v>
      </c>
      <c r="C72" s="77">
        <v>0.93402777777777779</v>
      </c>
      <c r="D72" s="76" t="s">
        <v>30</v>
      </c>
      <c r="E72" s="78"/>
      <c r="F72" s="76" t="s">
        <v>31</v>
      </c>
      <c r="G72" s="225"/>
      <c r="H72" s="79" t="s">
        <v>63</v>
      </c>
      <c r="I72" s="130">
        <v>0.8659</v>
      </c>
      <c r="J72" s="81">
        <v>155</v>
      </c>
      <c r="K72" s="82" t="s">
        <v>43</v>
      </c>
      <c r="L72" s="81">
        <v>14</v>
      </c>
      <c r="M72" s="81">
        <v>0</v>
      </c>
      <c r="N72" s="81">
        <v>1</v>
      </c>
      <c r="O72" s="83" t="s">
        <v>76</v>
      </c>
      <c r="P72" s="84">
        <v>0.93402777777777779</v>
      </c>
      <c r="Q72" s="81">
        <v>179</v>
      </c>
      <c r="R72" s="85" t="s">
        <v>128</v>
      </c>
    </row>
    <row r="73" spans="1:18" ht="15" customHeight="1" thickBot="1" x14ac:dyDescent="0.35">
      <c r="A73" s="160" t="s">
        <v>28</v>
      </c>
      <c r="B73" s="160" t="s">
        <v>36</v>
      </c>
      <c r="C73" s="161">
        <v>0.96875</v>
      </c>
      <c r="D73" s="160" t="s">
        <v>30</v>
      </c>
      <c r="E73" s="162"/>
      <c r="F73" s="160" t="s">
        <v>51</v>
      </c>
      <c r="G73" s="226"/>
      <c r="H73" s="163" t="s">
        <v>37</v>
      </c>
      <c r="I73" s="188">
        <v>0.1173</v>
      </c>
      <c r="J73" s="165">
        <v>21</v>
      </c>
      <c r="K73" s="166" t="s">
        <v>129</v>
      </c>
      <c r="L73" s="165">
        <v>9</v>
      </c>
      <c r="M73" s="165">
        <v>0</v>
      </c>
      <c r="N73" s="165">
        <v>0</v>
      </c>
      <c r="O73" s="167" t="s">
        <v>53</v>
      </c>
      <c r="P73" s="168">
        <v>0.96875</v>
      </c>
      <c r="Q73" s="165">
        <v>179</v>
      </c>
      <c r="R73" s="169" t="s">
        <v>130</v>
      </c>
    </row>
    <row r="74" spans="1:18" ht="17.399999999999999" customHeight="1" thickBot="1" x14ac:dyDescent="0.3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4"/>
    </row>
    <row r="75" spans="1:18" ht="22.05" customHeight="1" thickTop="1" thickBot="1" x14ac:dyDescent="0.35">
      <c r="A75" s="223" t="s">
        <v>8</v>
      </c>
      <c r="B75" s="221"/>
      <c r="C75" s="221"/>
      <c r="D75" s="221"/>
      <c r="E75" s="221"/>
      <c r="F75" s="222"/>
      <c r="G75" s="48">
        <v>46001</v>
      </c>
      <c r="H75" s="220" t="s">
        <v>9</v>
      </c>
      <c r="I75" s="221"/>
      <c r="J75" s="221"/>
      <c r="K75" s="221"/>
      <c r="L75" s="221"/>
      <c r="M75" s="221"/>
      <c r="N75" s="221"/>
      <c r="O75" s="221"/>
      <c r="P75" s="221"/>
      <c r="Q75" s="221"/>
      <c r="R75" s="222"/>
    </row>
    <row r="76" spans="1:18" ht="24" customHeight="1" x14ac:dyDescent="0.3">
      <c r="A76" s="49" t="s">
        <v>10</v>
      </c>
      <c r="B76" s="49" t="s">
        <v>11</v>
      </c>
      <c r="C76" s="50" t="s">
        <v>12</v>
      </c>
      <c r="D76" s="49" t="s">
        <v>13</v>
      </c>
      <c r="E76" s="49" t="s">
        <v>14</v>
      </c>
      <c r="F76" s="51" t="s">
        <v>15</v>
      </c>
      <c r="G76" s="52" t="s">
        <v>16</v>
      </c>
      <c r="H76" s="49" t="s">
        <v>17</v>
      </c>
      <c r="I76" s="53" t="s">
        <v>18</v>
      </c>
      <c r="J76" s="54" t="s">
        <v>19</v>
      </c>
      <c r="K76" s="55" t="s">
        <v>20</v>
      </c>
      <c r="L76" s="54" t="s">
        <v>21</v>
      </c>
      <c r="M76" s="54" t="s">
        <v>22</v>
      </c>
      <c r="N76" s="54" t="s">
        <v>23</v>
      </c>
      <c r="O76" s="49" t="s">
        <v>24</v>
      </c>
      <c r="P76" s="50" t="s">
        <v>25</v>
      </c>
      <c r="Q76" s="54" t="s">
        <v>26</v>
      </c>
      <c r="R76" s="49" t="s">
        <v>27</v>
      </c>
    </row>
    <row r="77" spans="1:18" ht="49.95" customHeight="1" x14ac:dyDescent="0.3">
      <c r="A77" s="182" t="s">
        <v>28</v>
      </c>
      <c r="B77" s="182" t="s">
        <v>36</v>
      </c>
      <c r="C77" s="183">
        <v>0.51736111111111105</v>
      </c>
      <c r="D77" s="182" t="s">
        <v>30</v>
      </c>
      <c r="E77" s="184"/>
      <c r="F77" s="182" t="s">
        <v>31</v>
      </c>
      <c r="G77" s="224"/>
      <c r="H77" s="31" t="s">
        <v>37</v>
      </c>
      <c r="I77" s="32">
        <v>0.92179999999999995</v>
      </c>
      <c r="J77" s="33">
        <v>165</v>
      </c>
      <c r="K77" s="34" t="s">
        <v>43</v>
      </c>
      <c r="L77" s="33">
        <v>14</v>
      </c>
      <c r="M77" s="33">
        <v>0</v>
      </c>
      <c r="N77" s="33">
        <v>2</v>
      </c>
      <c r="O77" s="35" t="s">
        <v>131</v>
      </c>
      <c r="P77" s="36">
        <v>0.51736111111111105</v>
      </c>
      <c r="Q77" s="33">
        <v>179</v>
      </c>
      <c r="R77" s="37" t="s">
        <v>132</v>
      </c>
    </row>
    <row r="78" spans="1:18" ht="49.95" customHeight="1" x14ac:dyDescent="0.3">
      <c r="A78" s="113" t="s">
        <v>28</v>
      </c>
      <c r="B78" s="113" t="s">
        <v>46</v>
      </c>
      <c r="C78" s="114">
        <v>0.52083333333333337</v>
      </c>
      <c r="D78" s="113" t="s">
        <v>30</v>
      </c>
      <c r="E78" s="115"/>
      <c r="F78" s="113" t="s">
        <v>51</v>
      </c>
      <c r="G78" s="225"/>
      <c r="H78" s="116" t="s">
        <v>47</v>
      </c>
      <c r="I78" s="146">
        <v>0.18990000000000001</v>
      </c>
      <c r="J78" s="118">
        <v>34</v>
      </c>
      <c r="K78" s="119" t="s">
        <v>43</v>
      </c>
      <c r="L78" s="118">
        <v>14</v>
      </c>
      <c r="M78" s="118">
        <v>0</v>
      </c>
      <c r="N78" s="118">
        <v>3</v>
      </c>
      <c r="O78" s="120" t="s">
        <v>56</v>
      </c>
      <c r="P78" s="121">
        <v>0.52083333333333337</v>
      </c>
      <c r="Q78" s="118">
        <v>179</v>
      </c>
      <c r="R78" s="122" t="s">
        <v>133</v>
      </c>
    </row>
    <row r="79" spans="1:18" ht="49.95" customHeight="1" x14ac:dyDescent="0.3">
      <c r="A79" s="100" t="s">
        <v>28</v>
      </c>
      <c r="B79" s="100" t="s">
        <v>41</v>
      </c>
      <c r="C79" s="101">
        <v>0.61458333333333337</v>
      </c>
      <c r="D79" s="100" t="s">
        <v>30</v>
      </c>
      <c r="E79" s="102"/>
      <c r="F79" s="100" t="s">
        <v>51</v>
      </c>
      <c r="G79" s="226"/>
      <c r="H79" s="103" t="s">
        <v>42</v>
      </c>
      <c r="I79" s="189">
        <v>0.17879999999999999</v>
      </c>
      <c r="J79" s="105">
        <v>32</v>
      </c>
      <c r="K79" s="106" t="s">
        <v>43</v>
      </c>
      <c r="L79" s="105">
        <v>8</v>
      </c>
      <c r="M79" s="105">
        <v>0</v>
      </c>
      <c r="N79" s="105">
        <v>2</v>
      </c>
      <c r="O79" s="107" t="s">
        <v>134</v>
      </c>
      <c r="P79" s="108">
        <v>0.61458333333333337</v>
      </c>
      <c r="Q79" s="105">
        <v>179</v>
      </c>
      <c r="R79" s="109" t="s">
        <v>135</v>
      </c>
    </row>
  </sheetData>
  <mergeCells count="46">
    <mergeCell ref="N1:R1"/>
    <mergeCell ref="H11:R11"/>
    <mergeCell ref="A19:R19"/>
    <mergeCell ref="G77:G79"/>
    <mergeCell ref="A10:R10"/>
    <mergeCell ref="G68:G73"/>
    <mergeCell ref="H45:R45"/>
    <mergeCell ref="K2:R2"/>
    <mergeCell ref="A44:R44"/>
    <mergeCell ref="H75:R75"/>
    <mergeCell ref="A58:R58"/>
    <mergeCell ref="H66:R66"/>
    <mergeCell ref="A59:F59"/>
    <mergeCell ref="A11:F11"/>
    <mergeCell ref="A51:F51"/>
    <mergeCell ref="A36:F36"/>
    <mergeCell ref="A4:F4"/>
    <mergeCell ref="G6:G9"/>
    <mergeCell ref="A20:F20"/>
    <mergeCell ref="H51:R51"/>
    <mergeCell ref="H36:R36"/>
    <mergeCell ref="A35:R35"/>
    <mergeCell ref="A45:F45"/>
    <mergeCell ref="A75:F75"/>
    <mergeCell ref="G28:G34"/>
    <mergeCell ref="H1:L1"/>
    <mergeCell ref="A1:E1"/>
    <mergeCell ref="A26:F26"/>
    <mergeCell ref="H4:R4"/>
    <mergeCell ref="A74:R74"/>
    <mergeCell ref="A50:R50"/>
    <mergeCell ref="A2:F2"/>
    <mergeCell ref="A3:R3"/>
    <mergeCell ref="G22:G24"/>
    <mergeCell ref="G13:G18"/>
    <mergeCell ref="G47:G49"/>
    <mergeCell ref="H59:R59"/>
    <mergeCell ref="G2:J2"/>
    <mergeCell ref="G38:G43"/>
    <mergeCell ref="H26:R26"/>
    <mergeCell ref="A65:R65"/>
    <mergeCell ref="A25:R25"/>
    <mergeCell ref="A66:F66"/>
    <mergeCell ref="H20:R20"/>
    <mergeCell ref="G61:G64"/>
    <mergeCell ref="G53:G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9"/>
  <sheetViews>
    <sheetView workbookViewId="0"/>
  </sheetViews>
  <sheetFormatPr defaultRowHeight="15.6" outlineLevelCol="1" x14ac:dyDescent="0.3"/>
  <cols>
    <col min="1" max="1" width="11.5546875" style="239" bestFit="1" customWidth="1"/>
    <col min="2" max="2" width="10.109375" style="239" bestFit="1" customWidth="1"/>
    <col min="3" max="3" width="6.77734375" style="239" bestFit="1" customWidth="1"/>
    <col min="4" max="4" width="5.5546875" style="239" bestFit="1" customWidth="1"/>
    <col min="5" max="5" width="7.5546875" style="239" bestFit="1" customWidth="1"/>
    <col min="6" max="6" width="4.21875" style="239" bestFit="1" customWidth="1"/>
    <col min="7" max="7" width="10" style="239" bestFit="1" customWidth="1"/>
    <col min="8" max="10" width="8.5546875" style="239" bestFit="1" customWidth="1"/>
    <col min="11" max="11" width="10.5546875" style="239" bestFit="1" customWidth="1"/>
    <col min="12" max="12" width="18.109375" style="239" bestFit="1" customWidth="1"/>
    <col min="13" max="13" width="7.6640625" style="239" bestFit="1" customWidth="1" outlineLevel="1"/>
    <col min="14" max="14" width="6.33203125" style="239" bestFit="1" customWidth="1" outlineLevel="1"/>
    <col min="15" max="15" width="8" style="239" bestFit="1" customWidth="1" outlineLevel="1"/>
    <col min="16" max="16" width="13.6640625" style="239" bestFit="1" customWidth="1"/>
    <col min="17" max="29" width="3.88671875" style="239" bestFit="1" customWidth="1"/>
    <col min="30" max="31" width="4.5546875" style="239" bestFit="1" customWidth="1"/>
    <col min="32" max="32" width="3.88671875" style="239" bestFit="1" customWidth="1"/>
    <col min="33" max="33" width="4.21875" style="239" bestFit="1" customWidth="1"/>
    <col min="34" max="34" width="3.88671875" style="239" bestFit="1" customWidth="1"/>
    <col min="35" max="35" width="5.21875" style="239" bestFit="1" customWidth="1"/>
    <col min="36" max="36" width="3.88671875" style="239" bestFit="1" customWidth="1"/>
    <col min="37" max="16384" width="8.88671875" style="239"/>
  </cols>
  <sheetData>
    <row r="1" spans="1:36" x14ac:dyDescent="0.3">
      <c r="A1" s="238" t="s">
        <v>136</v>
      </c>
      <c r="B1" s="238" t="s">
        <v>137</v>
      </c>
      <c r="C1" s="238" t="s">
        <v>138</v>
      </c>
      <c r="D1" s="238" t="s">
        <v>25</v>
      </c>
      <c r="E1" s="238" t="s">
        <v>139</v>
      </c>
      <c r="F1" s="238" t="s">
        <v>140</v>
      </c>
      <c r="G1" s="238" t="s">
        <v>18</v>
      </c>
      <c r="H1" s="238" t="s">
        <v>141</v>
      </c>
      <c r="I1" s="238" t="s">
        <v>142</v>
      </c>
      <c r="J1" s="238" t="s">
        <v>143</v>
      </c>
      <c r="K1" s="238" t="s">
        <v>144</v>
      </c>
      <c r="L1" s="238" t="s">
        <v>20</v>
      </c>
      <c r="M1" s="238" t="s">
        <v>22</v>
      </c>
      <c r="N1" s="238" t="s">
        <v>23</v>
      </c>
      <c r="O1" s="238" t="s">
        <v>21</v>
      </c>
      <c r="P1" s="238" t="s">
        <v>24</v>
      </c>
      <c r="Q1" s="238" t="s">
        <v>145</v>
      </c>
      <c r="R1" s="238" t="s">
        <v>146</v>
      </c>
      <c r="S1" s="238" t="s">
        <v>147</v>
      </c>
      <c r="T1" s="238" t="s">
        <v>148</v>
      </c>
      <c r="U1" s="238" t="s">
        <v>149</v>
      </c>
      <c r="V1" s="238" t="s">
        <v>150</v>
      </c>
      <c r="W1" s="238" t="s">
        <v>151</v>
      </c>
      <c r="X1" s="238" t="s">
        <v>152</v>
      </c>
      <c r="Y1" s="238" t="s">
        <v>153</v>
      </c>
      <c r="Z1" s="238" t="s">
        <v>154</v>
      </c>
      <c r="AA1" s="238" t="s">
        <v>155</v>
      </c>
      <c r="AB1" s="238" t="s">
        <v>156</v>
      </c>
      <c r="AC1" s="238" t="s">
        <v>157</v>
      </c>
      <c r="AD1" s="238" t="s">
        <v>158</v>
      </c>
      <c r="AE1" s="238" t="s">
        <v>159</v>
      </c>
      <c r="AF1" s="238" t="s">
        <v>160</v>
      </c>
      <c r="AG1" s="238" t="s">
        <v>161</v>
      </c>
      <c r="AH1" s="238" t="s">
        <v>162</v>
      </c>
      <c r="AI1" s="238" t="s">
        <v>163</v>
      </c>
      <c r="AJ1" s="238" t="s">
        <v>164</v>
      </c>
    </row>
    <row r="2" spans="1:36" x14ac:dyDescent="0.3">
      <c r="A2" s="240" t="s">
        <v>165</v>
      </c>
      <c r="B2" s="241">
        <v>45992</v>
      </c>
      <c r="C2" s="242" t="s">
        <v>32</v>
      </c>
      <c r="D2" s="243" t="s">
        <v>166</v>
      </c>
      <c r="E2" s="242" t="s">
        <v>1</v>
      </c>
      <c r="F2" s="242" t="s">
        <v>167</v>
      </c>
      <c r="G2" s="244">
        <v>0.87709999999999999</v>
      </c>
      <c r="H2" s="245">
        <v>179</v>
      </c>
      <c r="I2" s="245">
        <v>157</v>
      </c>
      <c r="J2" s="245">
        <v>132</v>
      </c>
      <c r="K2" s="242" t="s">
        <v>168</v>
      </c>
      <c r="L2" s="246" t="s">
        <v>33</v>
      </c>
      <c r="M2" s="245">
        <v>0</v>
      </c>
      <c r="N2" s="245">
        <v>0</v>
      </c>
      <c r="O2" s="245">
        <v>5</v>
      </c>
      <c r="P2" s="242" t="s">
        <v>34</v>
      </c>
      <c r="Q2" s="238"/>
      <c r="R2" s="238"/>
      <c r="S2" s="238"/>
      <c r="T2" s="238"/>
      <c r="U2" s="238"/>
      <c r="V2" s="238"/>
      <c r="W2" s="238"/>
      <c r="X2" s="238"/>
      <c r="Y2" s="238"/>
      <c r="Z2" s="245" t="s">
        <v>169</v>
      </c>
      <c r="AA2" s="238"/>
      <c r="AB2" s="238"/>
      <c r="AC2" s="238"/>
      <c r="AD2" s="245" t="s">
        <v>58</v>
      </c>
      <c r="AE2" s="245" t="s">
        <v>76</v>
      </c>
      <c r="AF2" s="245" t="s">
        <v>170</v>
      </c>
      <c r="AG2" s="238"/>
      <c r="AH2" s="238"/>
      <c r="AI2" s="245" t="s">
        <v>171</v>
      </c>
      <c r="AJ2" s="238"/>
    </row>
    <row r="3" spans="1:36" x14ac:dyDescent="0.3">
      <c r="A3" s="240" t="s">
        <v>165</v>
      </c>
      <c r="B3" s="241">
        <v>45992</v>
      </c>
      <c r="C3" s="242" t="s">
        <v>37</v>
      </c>
      <c r="D3" s="243" t="s">
        <v>172</v>
      </c>
      <c r="E3" s="242" t="s">
        <v>1</v>
      </c>
      <c r="F3" s="242" t="s">
        <v>167</v>
      </c>
      <c r="G3" s="244">
        <v>0.9274</v>
      </c>
      <c r="H3" s="245">
        <v>179</v>
      </c>
      <c r="I3" s="245">
        <v>166</v>
      </c>
      <c r="J3" s="245">
        <v>135</v>
      </c>
      <c r="K3" s="242" t="s">
        <v>168</v>
      </c>
      <c r="L3" s="246" t="s">
        <v>38</v>
      </c>
      <c r="M3" s="245">
        <v>0</v>
      </c>
      <c r="N3" s="245">
        <v>0</v>
      </c>
      <c r="O3" s="245">
        <v>47</v>
      </c>
      <c r="P3" s="242" t="s">
        <v>39</v>
      </c>
      <c r="Q3" s="238"/>
      <c r="R3" s="238"/>
      <c r="S3" s="238"/>
      <c r="T3" s="238"/>
      <c r="U3" s="238"/>
      <c r="V3" s="238"/>
      <c r="W3" s="238"/>
      <c r="X3" s="238"/>
      <c r="Y3" s="238"/>
      <c r="Z3" s="245" t="s">
        <v>173</v>
      </c>
      <c r="AA3" s="238"/>
      <c r="AB3" s="238"/>
      <c r="AC3" s="238"/>
      <c r="AD3" s="238"/>
      <c r="AE3" s="245" t="s">
        <v>174</v>
      </c>
      <c r="AF3" s="245" t="s">
        <v>170</v>
      </c>
      <c r="AG3" s="238"/>
      <c r="AH3" s="238"/>
      <c r="AI3" s="245" t="s">
        <v>175</v>
      </c>
      <c r="AJ3" s="238"/>
    </row>
    <row r="4" spans="1:36" x14ac:dyDescent="0.3">
      <c r="A4" s="240" t="s">
        <v>165</v>
      </c>
      <c r="B4" s="241">
        <v>45992</v>
      </c>
      <c r="C4" s="242" t="s">
        <v>42</v>
      </c>
      <c r="D4" s="243" t="s">
        <v>176</v>
      </c>
      <c r="E4" s="242" t="s">
        <v>1</v>
      </c>
      <c r="F4" s="242" t="s">
        <v>167</v>
      </c>
      <c r="G4" s="244">
        <v>0.8659</v>
      </c>
      <c r="H4" s="245">
        <v>179</v>
      </c>
      <c r="I4" s="245">
        <v>155</v>
      </c>
      <c r="J4" s="245">
        <v>102</v>
      </c>
      <c r="K4" s="242" t="s">
        <v>168</v>
      </c>
      <c r="L4" s="246" t="s">
        <v>43</v>
      </c>
      <c r="M4" s="245">
        <v>0</v>
      </c>
      <c r="N4" s="245">
        <v>1</v>
      </c>
      <c r="O4" s="245">
        <v>28</v>
      </c>
      <c r="P4" s="242" t="s">
        <v>44</v>
      </c>
      <c r="Q4" s="245" t="s">
        <v>177</v>
      </c>
      <c r="R4" s="238"/>
      <c r="S4" s="238"/>
      <c r="T4" s="238"/>
      <c r="U4" s="238"/>
      <c r="V4" s="238"/>
      <c r="W4" s="238"/>
      <c r="X4" s="238"/>
      <c r="Y4" s="238"/>
      <c r="Z4" s="245" t="s">
        <v>169</v>
      </c>
      <c r="AA4" s="238"/>
      <c r="AB4" s="238"/>
      <c r="AC4" s="245" t="s">
        <v>178</v>
      </c>
      <c r="AD4" s="245" t="s">
        <v>179</v>
      </c>
      <c r="AE4" s="245" t="s">
        <v>180</v>
      </c>
      <c r="AF4" s="245" t="s">
        <v>170</v>
      </c>
      <c r="AG4" s="238"/>
      <c r="AH4" s="238"/>
      <c r="AI4" s="245" t="s">
        <v>181</v>
      </c>
      <c r="AJ4" s="245" t="s">
        <v>182</v>
      </c>
    </row>
    <row r="5" spans="1:36" x14ac:dyDescent="0.3">
      <c r="A5" s="240" t="s">
        <v>165</v>
      </c>
      <c r="B5" s="241">
        <v>45992</v>
      </c>
      <c r="C5" s="242" t="s">
        <v>47</v>
      </c>
      <c r="D5" s="243" t="s">
        <v>183</v>
      </c>
      <c r="E5" s="242" t="s">
        <v>1</v>
      </c>
      <c r="F5" s="242" t="s">
        <v>167</v>
      </c>
      <c r="G5" s="244">
        <v>0.9385</v>
      </c>
      <c r="H5" s="245">
        <v>179</v>
      </c>
      <c r="I5" s="245">
        <v>168</v>
      </c>
      <c r="J5" s="245">
        <v>116</v>
      </c>
      <c r="K5" s="242" t="s">
        <v>168</v>
      </c>
      <c r="L5" s="246" t="s">
        <v>43</v>
      </c>
      <c r="M5" s="245">
        <v>0</v>
      </c>
      <c r="N5" s="245">
        <v>7</v>
      </c>
      <c r="O5" s="245">
        <v>23</v>
      </c>
      <c r="P5" s="242" t="s">
        <v>48</v>
      </c>
      <c r="Q5" s="238"/>
      <c r="R5" s="238"/>
      <c r="S5" s="238"/>
      <c r="T5" s="238"/>
      <c r="U5" s="238"/>
      <c r="V5" s="238"/>
      <c r="W5" s="238"/>
      <c r="X5" s="238"/>
      <c r="Y5" s="238"/>
      <c r="Z5" s="245" t="s">
        <v>184</v>
      </c>
      <c r="AA5" s="238"/>
      <c r="AB5" s="238"/>
      <c r="AC5" s="245" t="s">
        <v>44</v>
      </c>
      <c r="AD5" s="245" t="s">
        <v>60</v>
      </c>
      <c r="AE5" s="245" t="s">
        <v>185</v>
      </c>
      <c r="AF5" s="245" t="s">
        <v>186</v>
      </c>
      <c r="AG5" s="245" t="s">
        <v>187</v>
      </c>
      <c r="AH5" s="238"/>
      <c r="AI5" s="245" t="s">
        <v>188</v>
      </c>
      <c r="AJ5" s="238"/>
    </row>
    <row r="6" spans="1:36" x14ac:dyDescent="0.3">
      <c r="A6" s="240" t="s">
        <v>189</v>
      </c>
      <c r="B6" s="241">
        <v>45993</v>
      </c>
      <c r="C6" s="242" t="s">
        <v>52</v>
      </c>
      <c r="D6" s="243" t="s">
        <v>190</v>
      </c>
      <c r="E6" s="242" t="s">
        <v>1</v>
      </c>
      <c r="F6" s="242" t="s">
        <v>167</v>
      </c>
      <c r="G6" s="244">
        <v>0.18440000000000001</v>
      </c>
      <c r="H6" s="245">
        <v>179</v>
      </c>
      <c r="I6" s="245">
        <v>33</v>
      </c>
      <c r="J6" s="245">
        <v>0</v>
      </c>
      <c r="K6" s="242" t="s">
        <v>168</v>
      </c>
      <c r="L6" s="246" t="s">
        <v>43</v>
      </c>
      <c r="M6" s="245">
        <v>0</v>
      </c>
      <c r="N6" s="245">
        <v>4</v>
      </c>
      <c r="O6" s="245">
        <v>15</v>
      </c>
      <c r="P6" s="242" t="s">
        <v>53</v>
      </c>
      <c r="Q6" s="238"/>
      <c r="R6" s="238"/>
      <c r="S6" s="238"/>
      <c r="T6" s="238"/>
      <c r="U6" s="238"/>
      <c r="V6" s="238"/>
      <c r="W6" s="238"/>
      <c r="X6" s="238"/>
      <c r="Y6" s="238"/>
      <c r="Z6" s="245" t="s">
        <v>173</v>
      </c>
      <c r="AA6" s="238"/>
      <c r="AB6" s="238"/>
      <c r="AC6" s="238"/>
      <c r="AD6" s="238"/>
      <c r="AE6" s="245" t="s">
        <v>56</v>
      </c>
      <c r="AF6" s="245" t="s">
        <v>191</v>
      </c>
      <c r="AG6" s="238"/>
      <c r="AH6" s="238"/>
      <c r="AI6" s="238"/>
      <c r="AJ6" s="238"/>
    </row>
    <row r="7" spans="1:36" x14ac:dyDescent="0.3">
      <c r="A7" s="240" t="s">
        <v>189</v>
      </c>
      <c r="B7" s="241">
        <v>45993</v>
      </c>
      <c r="C7" s="242" t="s">
        <v>32</v>
      </c>
      <c r="D7" s="243" t="s">
        <v>192</v>
      </c>
      <c r="E7" s="242" t="s">
        <v>1</v>
      </c>
      <c r="F7" s="242" t="s">
        <v>167</v>
      </c>
      <c r="G7" s="244">
        <v>0.63690000000000002</v>
      </c>
      <c r="H7" s="245">
        <v>179</v>
      </c>
      <c r="I7" s="245">
        <v>114</v>
      </c>
      <c r="J7" s="245">
        <v>90</v>
      </c>
      <c r="K7" s="242" t="s">
        <v>168</v>
      </c>
      <c r="L7" s="246" t="s">
        <v>43</v>
      </c>
      <c r="M7" s="245">
        <v>0</v>
      </c>
      <c r="N7" s="245">
        <v>2</v>
      </c>
      <c r="O7" s="245">
        <v>14</v>
      </c>
      <c r="P7" s="242" t="s">
        <v>56</v>
      </c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45" t="s">
        <v>193</v>
      </c>
      <c r="AF7" s="245" t="s">
        <v>170</v>
      </c>
      <c r="AG7" s="238"/>
      <c r="AH7" s="238"/>
      <c r="AI7" s="245" t="s">
        <v>194</v>
      </c>
      <c r="AJ7" s="238"/>
    </row>
    <row r="8" spans="1:36" x14ac:dyDescent="0.3">
      <c r="A8" s="240" t="s">
        <v>189</v>
      </c>
      <c r="B8" s="241">
        <v>45993</v>
      </c>
      <c r="C8" s="242" t="s">
        <v>42</v>
      </c>
      <c r="D8" s="243" t="s">
        <v>176</v>
      </c>
      <c r="E8" s="242" t="s">
        <v>1</v>
      </c>
      <c r="F8" s="242" t="s">
        <v>167</v>
      </c>
      <c r="G8" s="244">
        <v>0.64249999999999996</v>
      </c>
      <c r="H8" s="245">
        <v>179</v>
      </c>
      <c r="I8" s="245">
        <v>115</v>
      </c>
      <c r="J8" s="245">
        <v>83</v>
      </c>
      <c r="K8" s="242" t="s">
        <v>168</v>
      </c>
      <c r="L8" s="246" t="s">
        <v>38</v>
      </c>
      <c r="M8" s="245">
        <v>0</v>
      </c>
      <c r="N8" s="245">
        <v>0</v>
      </c>
      <c r="O8" s="245">
        <v>12</v>
      </c>
      <c r="P8" s="242" t="s">
        <v>58</v>
      </c>
      <c r="Q8" s="238"/>
      <c r="R8" s="238"/>
      <c r="S8" s="238"/>
      <c r="T8" s="238"/>
      <c r="U8" s="238"/>
      <c r="V8" s="238"/>
      <c r="W8" s="238"/>
      <c r="X8" s="238"/>
      <c r="Y8" s="238"/>
      <c r="Z8" s="245" t="s">
        <v>195</v>
      </c>
      <c r="AA8" s="238"/>
      <c r="AB8" s="238"/>
      <c r="AC8" s="238"/>
      <c r="AD8" s="245" t="s">
        <v>131</v>
      </c>
      <c r="AE8" s="245" t="s">
        <v>196</v>
      </c>
      <c r="AF8" s="245" t="s">
        <v>170</v>
      </c>
      <c r="AG8" s="238"/>
      <c r="AH8" s="238"/>
      <c r="AI8" s="245" t="s">
        <v>197</v>
      </c>
      <c r="AJ8" s="238"/>
    </row>
    <row r="9" spans="1:36" x14ac:dyDescent="0.3">
      <c r="A9" s="240" t="s">
        <v>189</v>
      </c>
      <c r="B9" s="241">
        <v>45993</v>
      </c>
      <c r="C9" s="242" t="s">
        <v>47</v>
      </c>
      <c r="D9" s="243" t="s">
        <v>198</v>
      </c>
      <c r="E9" s="242" t="s">
        <v>1</v>
      </c>
      <c r="F9" s="242" t="s">
        <v>167</v>
      </c>
      <c r="G9" s="244">
        <v>0.65920000000000001</v>
      </c>
      <c r="H9" s="245">
        <v>179</v>
      </c>
      <c r="I9" s="245">
        <v>118</v>
      </c>
      <c r="J9" s="245">
        <v>96</v>
      </c>
      <c r="K9" s="242" t="s">
        <v>168</v>
      </c>
      <c r="L9" s="246" t="s">
        <v>43</v>
      </c>
      <c r="M9" s="245">
        <v>0</v>
      </c>
      <c r="N9" s="245">
        <v>1</v>
      </c>
      <c r="O9" s="245">
        <v>1</v>
      </c>
      <c r="P9" s="242" t="s">
        <v>60</v>
      </c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45" t="s">
        <v>48</v>
      </c>
      <c r="AE9" s="245" t="s">
        <v>196</v>
      </c>
      <c r="AF9" s="245" t="s">
        <v>170</v>
      </c>
      <c r="AG9" s="238"/>
      <c r="AH9" s="238"/>
      <c r="AI9" s="245" t="s">
        <v>199</v>
      </c>
      <c r="AJ9" s="245" t="s">
        <v>200</v>
      </c>
    </row>
    <row r="10" spans="1:36" x14ac:dyDescent="0.3">
      <c r="A10" s="240" t="s">
        <v>189</v>
      </c>
      <c r="B10" s="241">
        <v>45993</v>
      </c>
      <c r="C10" s="242" t="s">
        <v>63</v>
      </c>
      <c r="D10" s="243" t="s">
        <v>201</v>
      </c>
      <c r="E10" s="242" t="s">
        <v>1</v>
      </c>
      <c r="F10" s="242" t="s">
        <v>167</v>
      </c>
      <c r="G10" s="244">
        <v>0.38550000000000001</v>
      </c>
      <c r="H10" s="245">
        <v>179</v>
      </c>
      <c r="I10" s="245">
        <v>69</v>
      </c>
      <c r="J10" s="245">
        <v>42</v>
      </c>
      <c r="K10" s="242" t="s">
        <v>168</v>
      </c>
      <c r="L10" s="246" t="s">
        <v>43</v>
      </c>
      <c r="M10" s="245">
        <v>0</v>
      </c>
      <c r="N10" s="245">
        <v>2</v>
      </c>
      <c r="O10" s="245">
        <v>14</v>
      </c>
      <c r="P10" s="242" t="s">
        <v>56</v>
      </c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45" t="s">
        <v>58</v>
      </c>
      <c r="AE10" s="245" t="s">
        <v>193</v>
      </c>
      <c r="AF10" s="245" t="s">
        <v>170</v>
      </c>
      <c r="AG10" s="238"/>
      <c r="AH10" s="238"/>
      <c r="AI10" s="245" t="s">
        <v>202</v>
      </c>
      <c r="AJ10" s="238"/>
    </row>
    <row r="11" spans="1:36" x14ac:dyDescent="0.3">
      <c r="A11" s="240" t="s">
        <v>189</v>
      </c>
      <c r="B11" s="241">
        <v>45993</v>
      </c>
      <c r="C11" s="242" t="s">
        <v>37</v>
      </c>
      <c r="D11" s="243" t="s">
        <v>203</v>
      </c>
      <c r="E11" s="242" t="s">
        <v>1</v>
      </c>
      <c r="F11" s="242" t="s">
        <v>167</v>
      </c>
      <c r="G11" s="244">
        <v>0.66479999999999995</v>
      </c>
      <c r="H11" s="245">
        <v>179</v>
      </c>
      <c r="I11" s="245">
        <v>119</v>
      </c>
      <c r="J11" s="245">
        <v>92</v>
      </c>
      <c r="K11" s="242" t="s">
        <v>168</v>
      </c>
      <c r="L11" s="246" t="s">
        <v>43</v>
      </c>
      <c r="M11" s="245">
        <v>0</v>
      </c>
      <c r="N11" s="245">
        <v>1</v>
      </c>
      <c r="O11" s="245">
        <v>11</v>
      </c>
      <c r="P11" s="242" t="s">
        <v>60</v>
      </c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45" t="s">
        <v>66</v>
      </c>
      <c r="AE11" s="245" t="s">
        <v>196</v>
      </c>
      <c r="AF11" s="245" t="s">
        <v>86</v>
      </c>
      <c r="AG11" s="238"/>
      <c r="AH11" s="238"/>
      <c r="AI11" s="245" t="s">
        <v>204</v>
      </c>
      <c r="AJ11" s="238"/>
    </row>
    <row r="12" spans="1:36" x14ac:dyDescent="0.3">
      <c r="A12" s="240" t="s">
        <v>205</v>
      </c>
      <c r="B12" s="241">
        <v>45994</v>
      </c>
      <c r="C12" s="242" t="s">
        <v>37</v>
      </c>
      <c r="D12" s="243" t="s">
        <v>206</v>
      </c>
      <c r="E12" s="242" t="s">
        <v>1</v>
      </c>
      <c r="F12" s="242" t="s">
        <v>167</v>
      </c>
      <c r="G12" s="244">
        <v>0.64249999999999996</v>
      </c>
      <c r="H12" s="245">
        <v>179</v>
      </c>
      <c r="I12" s="245">
        <v>115</v>
      </c>
      <c r="J12" s="245">
        <v>82</v>
      </c>
      <c r="K12" s="242" t="s">
        <v>168</v>
      </c>
      <c r="L12" s="246" t="s">
        <v>43</v>
      </c>
      <c r="M12" s="245">
        <v>0</v>
      </c>
      <c r="N12" s="245">
        <v>4</v>
      </c>
      <c r="O12" s="245">
        <v>12</v>
      </c>
      <c r="P12" s="242" t="s">
        <v>66</v>
      </c>
      <c r="Q12" s="238"/>
      <c r="R12" s="238"/>
      <c r="S12" s="238"/>
      <c r="T12" s="238"/>
      <c r="U12" s="238"/>
      <c r="V12" s="238"/>
      <c r="W12" s="238"/>
      <c r="X12" s="238"/>
      <c r="Y12" s="238"/>
      <c r="Z12" s="245" t="s">
        <v>169</v>
      </c>
      <c r="AA12" s="238"/>
      <c r="AB12" s="238"/>
      <c r="AC12" s="238"/>
      <c r="AD12" s="245" t="s">
        <v>60</v>
      </c>
      <c r="AE12" s="245" t="s">
        <v>196</v>
      </c>
      <c r="AF12" s="245" t="s">
        <v>170</v>
      </c>
      <c r="AG12" s="238"/>
      <c r="AH12" s="238"/>
      <c r="AI12" s="245" t="s">
        <v>207</v>
      </c>
      <c r="AJ12" s="238"/>
    </row>
    <row r="13" spans="1:36" x14ac:dyDescent="0.3">
      <c r="A13" s="240" t="s">
        <v>205</v>
      </c>
      <c r="B13" s="241">
        <v>45994</v>
      </c>
      <c r="C13" s="242" t="s">
        <v>47</v>
      </c>
      <c r="D13" s="243" t="s">
        <v>208</v>
      </c>
      <c r="E13" s="242" t="s">
        <v>1</v>
      </c>
      <c r="F13" s="242" t="s">
        <v>167</v>
      </c>
      <c r="G13" s="244">
        <v>0.93300000000000005</v>
      </c>
      <c r="H13" s="245">
        <v>179</v>
      </c>
      <c r="I13" s="245">
        <v>167</v>
      </c>
      <c r="J13" s="245">
        <v>150</v>
      </c>
      <c r="K13" s="242" t="s">
        <v>168</v>
      </c>
      <c r="L13" s="246" t="s">
        <v>68</v>
      </c>
      <c r="M13" s="245">
        <v>0</v>
      </c>
      <c r="N13" s="245">
        <v>0</v>
      </c>
      <c r="O13" s="245">
        <v>0</v>
      </c>
      <c r="P13" s="242" t="s">
        <v>69</v>
      </c>
      <c r="Q13" s="238"/>
      <c r="R13" s="238"/>
      <c r="S13" s="238"/>
      <c r="T13" s="238"/>
      <c r="U13" s="238"/>
      <c r="V13" s="238"/>
      <c r="W13" s="238"/>
      <c r="X13" s="238"/>
      <c r="Y13" s="238"/>
      <c r="Z13" s="245" t="s">
        <v>184</v>
      </c>
      <c r="AA13" s="238"/>
      <c r="AB13" s="238"/>
      <c r="AC13" s="245" t="s">
        <v>44</v>
      </c>
      <c r="AD13" s="238"/>
      <c r="AE13" s="245" t="s">
        <v>56</v>
      </c>
      <c r="AF13" s="245" t="s">
        <v>209</v>
      </c>
      <c r="AG13" s="238"/>
      <c r="AH13" s="238"/>
      <c r="AI13" s="245" t="s">
        <v>210</v>
      </c>
      <c r="AJ13" s="238"/>
    </row>
    <row r="14" spans="1:36" x14ac:dyDescent="0.3">
      <c r="A14" s="240" t="s">
        <v>205</v>
      </c>
      <c r="B14" s="241">
        <v>45994</v>
      </c>
      <c r="C14" s="242" t="s">
        <v>42</v>
      </c>
      <c r="D14" s="243" t="s">
        <v>176</v>
      </c>
      <c r="E14" s="242" t="s">
        <v>1</v>
      </c>
      <c r="F14" s="242" t="s">
        <v>167</v>
      </c>
      <c r="G14" s="244">
        <v>0.64249999999999996</v>
      </c>
      <c r="H14" s="245">
        <v>179</v>
      </c>
      <c r="I14" s="245">
        <v>115</v>
      </c>
      <c r="J14" s="245">
        <v>84</v>
      </c>
      <c r="K14" s="242" t="s">
        <v>168</v>
      </c>
      <c r="L14" s="246" t="s">
        <v>71</v>
      </c>
      <c r="M14" s="245">
        <v>0</v>
      </c>
      <c r="N14" s="245">
        <v>0</v>
      </c>
      <c r="O14" s="245">
        <v>12</v>
      </c>
      <c r="P14" s="242" t="s">
        <v>72</v>
      </c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45" t="s">
        <v>179</v>
      </c>
      <c r="AE14" s="245" t="s">
        <v>196</v>
      </c>
      <c r="AF14" s="245" t="s">
        <v>170</v>
      </c>
      <c r="AG14" s="238"/>
      <c r="AH14" s="238"/>
      <c r="AI14" s="245" t="s">
        <v>197</v>
      </c>
      <c r="AJ14" s="238"/>
    </row>
    <row r="15" spans="1:36" x14ac:dyDescent="0.3">
      <c r="A15" s="240" t="s">
        <v>211</v>
      </c>
      <c r="B15" s="241">
        <v>45995</v>
      </c>
      <c r="C15" s="242" t="s">
        <v>63</v>
      </c>
      <c r="D15" s="243" t="s">
        <v>212</v>
      </c>
      <c r="E15" s="242" t="s">
        <v>1</v>
      </c>
      <c r="F15" s="242" t="s">
        <v>167</v>
      </c>
      <c r="G15" s="244">
        <v>0.6089</v>
      </c>
      <c r="H15" s="245">
        <v>179</v>
      </c>
      <c r="I15" s="245">
        <v>109</v>
      </c>
      <c r="J15" s="245">
        <v>75</v>
      </c>
      <c r="K15" s="242" t="s">
        <v>168</v>
      </c>
      <c r="L15" s="246" t="s">
        <v>43</v>
      </c>
      <c r="M15" s="245">
        <v>0</v>
      </c>
      <c r="N15" s="245">
        <v>7</v>
      </c>
      <c r="O15" s="245">
        <v>16</v>
      </c>
      <c r="P15" s="242" t="s">
        <v>74</v>
      </c>
      <c r="Q15" s="238"/>
      <c r="R15" s="238"/>
      <c r="S15" s="238"/>
      <c r="T15" s="238"/>
      <c r="U15" s="238"/>
      <c r="V15" s="238"/>
      <c r="W15" s="238"/>
      <c r="X15" s="238"/>
      <c r="Y15" s="238"/>
      <c r="Z15" s="245" t="s">
        <v>184</v>
      </c>
      <c r="AA15" s="238"/>
      <c r="AB15" s="238"/>
      <c r="AC15" s="238"/>
      <c r="AD15" s="238"/>
      <c r="AE15" s="245" t="s">
        <v>196</v>
      </c>
      <c r="AF15" s="245" t="s">
        <v>213</v>
      </c>
      <c r="AG15" s="238"/>
      <c r="AH15" s="238"/>
      <c r="AI15" s="245" t="s">
        <v>188</v>
      </c>
      <c r="AJ15" s="238"/>
    </row>
    <row r="16" spans="1:36" x14ac:dyDescent="0.3">
      <c r="A16" s="240" t="s">
        <v>211</v>
      </c>
      <c r="B16" s="241">
        <v>45995</v>
      </c>
      <c r="C16" s="242" t="s">
        <v>52</v>
      </c>
      <c r="D16" s="243" t="s">
        <v>214</v>
      </c>
      <c r="E16" s="242" t="s">
        <v>1</v>
      </c>
      <c r="F16" s="242" t="s">
        <v>167</v>
      </c>
      <c r="G16" s="244">
        <v>0.1285</v>
      </c>
      <c r="H16" s="245">
        <v>179</v>
      </c>
      <c r="I16" s="245">
        <v>23</v>
      </c>
      <c r="J16" s="245">
        <v>0</v>
      </c>
      <c r="K16" s="242" t="s">
        <v>168</v>
      </c>
      <c r="L16" s="246" t="s">
        <v>71</v>
      </c>
      <c r="M16" s="245">
        <v>0</v>
      </c>
      <c r="N16" s="245">
        <v>0</v>
      </c>
      <c r="O16" s="245">
        <v>13</v>
      </c>
      <c r="P16" s="242" t="s">
        <v>76</v>
      </c>
      <c r="Q16" s="238"/>
      <c r="R16" s="238"/>
      <c r="S16" s="238"/>
      <c r="T16" s="238"/>
      <c r="U16" s="238"/>
      <c r="V16" s="238"/>
      <c r="W16" s="238"/>
      <c r="X16" s="238"/>
      <c r="Y16" s="238"/>
      <c r="Z16" s="245" t="s">
        <v>184</v>
      </c>
      <c r="AA16" s="238"/>
      <c r="AB16" s="238"/>
      <c r="AC16" s="238"/>
      <c r="AD16" s="238"/>
      <c r="AE16" s="245" t="s">
        <v>215</v>
      </c>
      <c r="AF16" s="245" t="s">
        <v>186</v>
      </c>
      <c r="AG16" s="238"/>
      <c r="AH16" s="238"/>
      <c r="AI16" s="238"/>
      <c r="AJ16" s="238"/>
    </row>
    <row r="17" spans="1:36" x14ac:dyDescent="0.3">
      <c r="A17" s="240" t="s">
        <v>211</v>
      </c>
      <c r="B17" s="241">
        <v>45995</v>
      </c>
      <c r="C17" s="242" t="s">
        <v>79</v>
      </c>
      <c r="D17" s="243" t="s">
        <v>216</v>
      </c>
      <c r="E17" s="242" t="s">
        <v>1</v>
      </c>
      <c r="F17" s="242" t="s">
        <v>167</v>
      </c>
      <c r="G17" s="244">
        <v>0.36309999999999998</v>
      </c>
      <c r="H17" s="245">
        <v>179</v>
      </c>
      <c r="I17" s="245">
        <v>65</v>
      </c>
      <c r="J17" s="245">
        <v>37</v>
      </c>
      <c r="K17" s="242" t="s">
        <v>168</v>
      </c>
      <c r="L17" s="246" t="s">
        <v>71</v>
      </c>
      <c r="M17" s="245">
        <v>0</v>
      </c>
      <c r="N17" s="245">
        <v>0</v>
      </c>
      <c r="O17" s="245">
        <v>24</v>
      </c>
      <c r="P17" s="242" t="s">
        <v>80</v>
      </c>
      <c r="Q17" s="238"/>
      <c r="R17" s="238"/>
      <c r="S17" s="238"/>
      <c r="T17" s="238"/>
      <c r="U17" s="238"/>
      <c r="V17" s="238"/>
      <c r="W17" s="238"/>
      <c r="X17" s="238"/>
      <c r="Y17" s="238"/>
      <c r="Z17" s="245" t="s">
        <v>184</v>
      </c>
      <c r="AA17" s="238"/>
      <c r="AB17" s="238"/>
      <c r="AC17" s="238"/>
      <c r="AD17" s="238"/>
      <c r="AE17" s="238"/>
      <c r="AF17" s="245" t="s">
        <v>217</v>
      </c>
      <c r="AG17" s="238"/>
      <c r="AH17" s="238"/>
      <c r="AI17" s="245" t="s">
        <v>218</v>
      </c>
      <c r="AJ17" s="238"/>
    </row>
    <row r="18" spans="1:36" x14ac:dyDescent="0.3">
      <c r="A18" s="240" t="s">
        <v>211</v>
      </c>
      <c r="B18" s="241">
        <v>45995</v>
      </c>
      <c r="C18" s="242" t="s">
        <v>37</v>
      </c>
      <c r="D18" s="243" t="s">
        <v>219</v>
      </c>
      <c r="E18" s="242" t="s">
        <v>1</v>
      </c>
      <c r="F18" s="242" t="s">
        <v>167</v>
      </c>
      <c r="G18" s="244">
        <v>0.80449999999999999</v>
      </c>
      <c r="H18" s="245">
        <v>179</v>
      </c>
      <c r="I18" s="245">
        <v>144</v>
      </c>
      <c r="J18" s="245">
        <v>116</v>
      </c>
      <c r="K18" s="242" t="s">
        <v>168</v>
      </c>
      <c r="L18" s="246" t="s">
        <v>43</v>
      </c>
      <c r="M18" s="245">
        <v>0</v>
      </c>
      <c r="N18" s="245">
        <v>4</v>
      </c>
      <c r="O18" s="245">
        <v>91</v>
      </c>
      <c r="P18" s="242" t="s">
        <v>82</v>
      </c>
      <c r="Q18" s="238"/>
      <c r="R18" s="238"/>
      <c r="S18" s="238"/>
      <c r="T18" s="238"/>
      <c r="U18" s="238"/>
      <c r="V18" s="238"/>
      <c r="W18" s="238"/>
      <c r="X18" s="238"/>
      <c r="Y18" s="238"/>
      <c r="Z18" s="245" t="s">
        <v>169</v>
      </c>
      <c r="AA18" s="238"/>
      <c r="AB18" s="238"/>
      <c r="AC18" s="238"/>
      <c r="AD18" s="238"/>
      <c r="AE18" s="238"/>
      <c r="AF18" s="245" t="s">
        <v>220</v>
      </c>
      <c r="AG18" s="238"/>
      <c r="AH18" s="238"/>
      <c r="AI18" s="245" t="s">
        <v>221</v>
      </c>
      <c r="AJ18" s="238"/>
    </row>
    <row r="19" spans="1:36" x14ac:dyDescent="0.3">
      <c r="A19" s="240" t="s">
        <v>211</v>
      </c>
      <c r="B19" s="241">
        <v>45995</v>
      </c>
      <c r="C19" s="242" t="s">
        <v>85</v>
      </c>
      <c r="D19" s="243" t="s">
        <v>222</v>
      </c>
      <c r="E19" s="242" t="s">
        <v>1</v>
      </c>
      <c r="F19" s="242" t="s">
        <v>167</v>
      </c>
      <c r="G19" s="244">
        <v>8.3799999999999999E-2</v>
      </c>
      <c r="H19" s="245">
        <v>179</v>
      </c>
      <c r="I19" s="245">
        <v>15</v>
      </c>
      <c r="J19" s="245">
        <v>0</v>
      </c>
      <c r="K19" s="242" t="s">
        <v>168</v>
      </c>
      <c r="L19" s="246" t="s">
        <v>38</v>
      </c>
      <c r="M19" s="245">
        <v>0</v>
      </c>
      <c r="N19" s="245">
        <v>0</v>
      </c>
      <c r="O19" s="245">
        <v>7</v>
      </c>
      <c r="P19" s="242" t="s">
        <v>53</v>
      </c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45" t="s">
        <v>86</v>
      </c>
      <c r="AG19" s="238"/>
      <c r="AH19" s="238"/>
      <c r="AI19" s="238"/>
      <c r="AJ19" s="238"/>
    </row>
    <row r="20" spans="1:36" x14ac:dyDescent="0.3">
      <c r="A20" s="240" t="s">
        <v>211</v>
      </c>
      <c r="B20" s="241">
        <v>45995</v>
      </c>
      <c r="C20" s="242" t="s">
        <v>42</v>
      </c>
      <c r="D20" s="243" t="s">
        <v>223</v>
      </c>
      <c r="E20" s="242" t="s">
        <v>1</v>
      </c>
      <c r="F20" s="242" t="s">
        <v>167</v>
      </c>
      <c r="G20" s="244">
        <v>0.87150000000000005</v>
      </c>
      <c r="H20" s="245">
        <v>179</v>
      </c>
      <c r="I20" s="245">
        <v>156</v>
      </c>
      <c r="J20" s="245">
        <v>123</v>
      </c>
      <c r="K20" s="242" t="s">
        <v>168</v>
      </c>
      <c r="L20" s="246" t="s">
        <v>87</v>
      </c>
      <c r="M20" s="245">
        <v>0</v>
      </c>
      <c r="N20" s="245">
        <v>0</v>
      </c>
      <c r="O20" s="245">
        <v>48</v>
      </c>
      <c r="P20" s="242" t="s">
        <v>88</v>
      </c>
      <c r="Q20" s="238"/>
      <c r="R20" s="238"/>
      <c r="S20" s="238"/>
      <c r="T20" s="238"/>
      <c r="U20" s="238"/>
      <c r="V20" s="238"/>
      <c r="W20" s="238"/>
      <c r="X20" s="238"/>
      <c r="Y20" s="238"/>
      <c r="Z20" s="245" t="s">
        <v>224</v>
      </c>
      <c r="AA20" s="238"/>
      <c r="AB20" s="238"/>
      <c r="AC20" s="238"/>
      <c r="AD20" s="245" t="s">
        <v>120</v>
      </c>
      <c r="AE20" s="245" t="s">
        <v>196</v>
      </c>
      <c r="AF20" s="245" t="s">
        <v>170</v>
      </c>
      <c r="AG20" s="245" t="s">
        <v>225</v>
      </c>
      <c r="AH20" s="238"/>
      <c r="AI20" s="245" t="s">
        <v>226</v>
      </c>
      <c r="AJ20" s="238"/>
    </row>
    <row r="21" spans="1:36" x14ac:dyDescent="0.3">
      <c r="A21" s="240" t="s">
        <v>211</v>
      </c>
      <c r="B21" s="241">
        <v>45995</v>
      </c>
      <c r="C21" s="242" t="s">
        <v>32</v>
      </c>
      <c r="D21" s="243" t="s">
        <v>227</v>
      </c>
      <c r="E21" s="242" t="s">
        <v>1</v>
      </c>
      <c r="F21" s="242" t="s">
        <v>167</v>
      </c>
      <c r="G21" s="244">
        <v>0.78210000000000002</v>
      </c>
      <c r="H21" s="245">
        <v>179</v>
      </c>
      <c r="I21" s="245">
        <v>140</v>
      </c>
      <c r="J21" s="245">
        <v>99</v>
      </c>
      <c r="K21" s="242" t="s">
        <v>168</v>
      </c>
      <c r="L21" s="246" t="s">
        <v>43</v>
      </c>
      <c r="M21" s="245">
        <v>0</v>
      </c>
      <c r="N21" s="245">
        <v>5</v>
      </c>
      <c r="O21" s="245">
        <v>22</v>
      </c>
      <c r="P21" s="242" t="s">
        <v>90</v>
      </c>
      <c r="Q21" s="238"/>
      <c r="R21" s="238"/>
      <c r="S21" s="238"/>
      <c r="T21" s="238"/>
      <c r="U21" s="238"/>
      <c r="V21" s="238"/>
      <c r="W21" s="238"/>
      <c r="X21" s="238"/>
      <c r="Y21" s="238"/>
      <c r="Z21" s="245" t="s">
        <v>228</v>
      </c>
      <c r="AA21" s="238"/>
      <c r="AB21" s="238"/>
      <c r="AC21" s="238"/>
      <c r="AD21" s="245" t="s">
        <v>60</v>
      </c>
      <c r="AE21" s="245" t="s">
        <v>180</v>
      </c>
      <c r="AF21" s="245" t="s">
        <v>170</v>
      </c>
      <c r="AG21" s="238"/>
      <c r="AH21" s="238"/>
      <c r="AI21" s="245" t="s">
        <v>229</v>
      </c>
      <c r="AJ21" s="238"/>
    </row>
    <row r="22" spans="1:36" x14ac:dyDescent="0.3">
      <c r="A22" s="240" t="s">
        <v>230</v>
      </c>
      <c r="B22" s="241">
        <v>45996</v>
      </c>
      <c r="C22" s="242" t="s">
        <v>63</v>
      </c>
      <c r="D22" s="243" t="s">
        <v>214</v>
      </c>
      <c r="E22" s="242" t="s">
        <v>1</v>
      </c>
      <c r="F22" s="242" t="s">
        <v>167</v>
      </c>
      <c r="G22" s="244">
        <v>0.16200000000000001</v>
      </c>
      <c r="H22" s="245">
        <v>179</v>
      </c>
      <c r="I22" s="245">
        <v>29</v>
      </c>
      <c r="J22" s="245">
        <v>0</v>
      </c>
      <c r="K22" s="242" t="s">
        <v>168</v>
      </c>
      <c r="L22" s="246" t="s">
        <v>43</v>
      </c>
      <c r="M22" s="245">
        <v>0</v>
      </c>
      <c r="N22" s="245">
        <v>1</v>
      </c>
      <c r="O22" s="245">
        <v>19</v>
      </c>
      <c r="P22" s="242" t="s">
        <v>92</v>
      </c>
      <c r="Q22" s="238"/>
      <c r="R22" s="238"/>
      <c r="S22" s="238"/>
      <c r="T22" s="238"/>
      <c r="U22" s="238"/>
      <c r="V22" s="238"/>
      <c r="W22" s="238"/>
      <c r="X22" s="238"/>
      <c r="Y22" s="238"/>
      <c r="Z22" s="245" t="s">
        <v>184</v>
      </c>
      <c r="AA22" s="238"/>
      <c r="AB22" s="238"/>
      <c r="AC22" s="238"/>
      <c r="AD22" s="238"/>
      <c r="AE22" s="245" t="s">
        <v>196</v>
      </c>
      <c r="AF22" s="245" t="s">
        <v>231</v>
      </c>
      <c r="AG22" s="238"/>
      <c r="AH22" s="238"/>
      <c r="AI22" s="238"/>
      <c r="AJ22" s="238"/>
    </row>
    <row r="23" spans="1:36" x14ac:dyDescent="0.3">
      <c r="A23" s="240" t="s">
        <v>230</v>
      </c>
      <c r="B23" s="241">
        <v>45996</v>
      </c>
      <c r="C23" s="242" t="s">
        <v>37</v>
      </c>
      <c r="D23" s="243" t="s">
        <v>232</v>
      </c>
      <c r="E23" s="242" t="s">
        <v>1</v>
      </c>
      <c r="F23" s="242" t="s">
        <v>167</v>
      </c>
      <c r="G23" s="244">
        <v>0.1173</v>
      </c>
      <c r="H23" s="245">
        <v>179</v>
      </c>
      <c r="I23" s="245">
        <v>21</v>
      </c>
      <c r="J23" s="245">
        <v>0</v>
      </c>
      <c r="K23" s="242" t="s">
        <v>168</v>
      </c>
      <c r="L23" s="246" t="s">
        <v>38</v>
      </c>
      <c r="M23" s="245">
        <v>0</v>
      </c>
      <c r="N23" s="245">
        <v>0</v>
      </c>
      <c r="O23" s="245">
        <v>1</v>
      </c>
      <c r="P23" s="242" t="s">
        <v>53</v>
      </c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45" t="s">
        <v>233</v>
      </c>
      <c r="AF23" s="245" t="s">
        <v>170</v>
      </c>
      <c r="AG23" s="238"/>
      <c r="AH23" s="238"/>
      <c r="AI23" s="238"/>
      <c r="AJ23" s="238"/>
    </row>
    <row r="24" spans="1:36" x14ac:dyDescent="0.3">
      <c r="A24" s="240" t="s">
        <v>230</v>
      </c>
      <c r="B24" s="241">
        <v>45996</v>
      </c>
      <c r="C24" s="242" t="s">
        <v>42</v>
      </c>
      <c r="D24" s="243" t="s">
        <v>234</v>
      </c>
      <c r="E24" s="242" t="s">
        <v>1</v>
      </c>
      <c r="F24" s="242" t="s">
        <v>167</v>
      </c>
      <c r="G24" s="244">
        <v>0.16200000000000001</v>
      </c>
      <c r="H24" s="245">
        <v>179</v>
      </c>
      <c r="I24" s="245">
        <v>29</v>
      </c>
      <c r="J24" s="245">
        <v>0</v>
      </c>
      <c r="K24" s="242" t="s">
        <v>168</v>
      </c>
      <c r="L24" s="246" t="s">
        <v>43</v>
      </c>
      <c r="M24" s="245">
        <v>0</v>
      </c>
      <c r="N24" s="245">
        <v>3</v>
      </c>
      <c r="O24" s="245">
        <v>11</v>
      </c>
      <c r="P24" s="242" t="s">
        <v>56</v>
      </c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45" t="s">
        <v>174</v>
      </c>
      <c r="AF24" s="245" t="s">
        <v>170</v>
      </c>
      <c r="AG24" s="238"/>
      <c r="AH24" s="238"/>
      <c r="AI24" s="238"/>
      <c r="AJ24" s="238"/>
    </row>
    <row r="25" spans="1:36" x14ac:dyDescent="0.3">
      <c r="A25" s="240" t="s">
        <v>230</v>
      </c>
      <c r="B25" s="241">
        <v>45996</v>
      </c>
      <c r="C25" s="242" t="s">
        <v>32</v>
      </c>
      <c r="D25" s="243" t="s">
        <v>176</v>
      </c>
      <c r="E25" s="242" t="s">
        <v>1</v>
      </c>
      <c r="F25" s="242" t="s">
        <v>167</v>
      </c>
      <c r="G25" s="244">
        <v>0.3911</v>
      </c>
      <c r="H25" s="245">
        <v>179</v>
      </c>
      <c r="I25" s="245">
        <v>70</v>
      </c>
      <c r="J25" s="245">
        <v>45</v>
      </c>
      <c r="K25" s="242" t="s">
        <v>168</v>
      </c>
      <c r="L25" s="246" t="s">
        <v>96</v>
      </c>
      <c r="M25" s="245">
        <v>0</v>
      </c>
      <c r="N25" s="245">
        <v>0</v>
      </c>
      <c r="O25" s="245">
        <v>0</v>
      </c>
      <c r="P25" s="242" t="s">
        <v>60</v>
      </c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45" t="s">
        <v>235</v>
      </c>
      <c r="AE25" s="245" t="s">
        <v>196</v>
      </c>
      <c r="AF25" s="245" t="s">
        <v>170</v>
      </c>
      <c r="AG25" s="238"/>
      <c r="AH25" s="238"/>
      <c r="AI25" s="245" t="s">
        <v>236</v>
      </c>
      <c r="AJ25" s="238"/>
    </row>
    <row r="26" spans="1:36" x14ac:dyDescent="0.3">
      <c r="A26" s="240" t="s">
        <v>230</v>
      </c>
      <c r="B26" s="241">
        <v>45996</v>
      </c>
      <c r="C26" s="242" t="s">
        <v>52</v>
      </c>
      <c r="D26" s="243" t="s">
        <v>237</v>
      </c>
      <c r="E26" s="242" t="s">
        <v>1</v>
      </c>
      <c r="F26" s="242" t="s">
        <v>167</v>
      </c>
      <c r="G26" s="244">
        <v>0.49159999999999998</v>
      </c>
      <c r="H26" s="245">
        <v>179</v>
      </c>
      <c r="I26" s="245">
        <v>88</v>
      </c>
      <c r="J26" s="245">
        <v>45</v>
      </c>
      <c r="K26" s="242" t="s">
        <v>168</v>
      </c>
      <c r="L26" s="246" t="s">
        <v>43</v>
      </c>
      <c r="M26" s="245">
        <v>0</v>
      </c>
      <c r="N26" s="245">
        <v>2</v>
      </c>
      <c r="O26" s="245">
        <v>61</v>
      </c>
      <c r="P26" s="242" t="s">
        <v>48</v>
      </c>
      <c r="Q26" s="238"/>
      <c r="R26" s="238"/>
      <c r="S26" s="238"/>
      <c r="T26" s="238"/>
      <c r="U26" s="238"/>
      <c r="V26" s="238"/>
      <c r="W26" s="238"/>
      <c r="X26" s="238"/>
      <c r="Y26" s="238"/>
      <c r="Z26" s="245" t="s">
        <v>173</v>
      </c>
      <c r="AA26" s="238"/>
      <c r="AB26" s="238"/>
      <c r="AC26" s="245" t="s">
        <v>238</v>
      </c>
      <c r="AD26" s="245" t="s">
        <v>239</v>
      </c>
      <c r="AE26" s="245" t="s">
        <v>76</v>
      </c>
      <c r="AF26" s="245" t="s">
        <v>240</v>
      </c>
      <c r="AG26" s="238"/>
      <c r="AH26" s="238"/>
      <c r="AI26" s="245" t="s">
        <v>241</v>
      </c>
      <c r="AJ26" s="238"/>
    </row>
    <row r="27" spans="1:36" x14ac:dyDescent="0.3">
      <c r="A27" s="240" t="s">
        <v>230</v>
      </c>
      <c r="B27" s="241">
        <v>45996</v>
      </c>
      <c r="C27" s="242" t="s">
        <v>47</v>
      </c>
      <c r="D27" s="243" t="s">
        <v>242</v>
      </c>
      <c r="E27" s="242" t="s">
        <v>1</v>
      </c>
      <c r="F27" s="242" t="s">
        <v>167</v>
      </c>
      <c r="G27" s="244">
        <v>0.91620000000000001</v>
      </c>
      <c r="H27" s="245">
        <v>179</v>
      </c>
      <c r="I27" s="245">
        <v>164</v>
      </c>
      <c r="J27" s="245">
        <v>140</v>
      </c>
      <c r="K27" s="242" t="s">
        <v>168</v>
      </c>
      <c r="L27" s="246" t="s">
        <v>99</v>
      </c>
      <c r="M27" s="245">
        <v>0</v>
      </c>
      <c r="N27" s="245">
        <v>0</v>
      </c>
      <c r="O27" s="245">
        <v>0</v>
      </c>
      <c r="P27" s="242" t="s">
        <v>100</v>
      </c>
      <c r="Q27" s="238"/>
      <c r="R27" s="238"/>
      <c r="S27" s="238"/>
      <c r="T27" s="238"/>
      <c r="U27" s="238"/>
      <c r="V27" s="238"/>
      <c r="W27" s="238"/>
      <c r="X27" s="238"/>
      <c r="Y27" s="238"/>
      <c r="Z27" s="245" t="s">
        <v>243</v>
      </c>
      <c r="AA27" s="238"/>
      <c r="AB27" s="238"/>
      <c r="AC27" s="238"/>
      <c r="AD27" s="238"/>
      <c r="AE27" s="245" t="s">
        <v>53</v>
      </c>
      <c r="AF27" s="245" t="s">
        <v>170</v>
      </c>
      <c r="AG27" s="238"/>
      <c r="AH27" s="238"/>
      <c r="AI27" s="245" t="s">
        <v>244</v>
      </c>
      <c r="AJ27" s="238"/>
    </row>
    <row r="28" spans="1:36" x14ac:dyDescent="0.3">
      <c r="A28" s="240" t="s">
        <v>245</v>
      </c>
      <c r="B28" s="241">
        <v>45997</v>
      </c>
      <c r="C28" s="242" t="s">
        <v>79</v>
      </c>
      <c r="D28" s="243" t="s">
        <v>246</v>
      </c>
      <c r="E28" s="242" t="s">
        <v>1</v>
      </c>
      <c r="F28" s="242" t="s">
        <v>167</v>
      </c>
      <c r="G28" s="244">
        <v>0.35749999999999998</v>
      </c>
      <c r="H28" s="245">
        <v>179</v>
      </c>
      <c r="I28" s="245">
        <v>64</v>
      </c>
      <c r="J28" s="245">
        <v>29</v>
      </c>
      <c r="K28" s="242" t="s">
        <v>168</v>
      </c>
      <c r="L28" s="246" t="s">
        <v>43</v>
      </c>
      <c r="M28" s="245">
        <v>0</v>
      </c>
      <c r="N28" s="245">
        <v>5</v>
      </c>
      <c r="O28" s="245">
        <v>15</v>
      </c>
      <c r="P28" s="242" t="s">
        <v>60</v>
      </c>
      <c r="Q28" s="238"/>
      <c r="R28" s="238"/>
      <c r="S28" s="238"/>
      <c r="T28" s="238"/>
      <c r="U28" s="238"/>
      <c r="V28" s="238"/>
      <c r="W28" s="238"/>
      <c r="X28" s="238"/>
      <c r="Y28" s="238"/>
      <c r="Z28" s="245" t="s">
        <v>195</v>
      </c>
      <c r="AA28" s="238"/>
      <c r="AB28" s="238"/>
      <c r="AC28" s="238"/>
      <c r="AD28" s="245" t="s">
        <v>66</v>
      </c>
      <c r="AE28" s="245" t="s">
        <v>185</v>
      </c>
      <c r="AF28" s="245" t="s">
        <v>170</v>
      </c>
      <c r="AG28" s="238"/>
      <c r="AH28" s="238"/>
      <c r="AI28" s="245" t="s">
        <v>247</v>
      </c>
      <c r="AJ28" s="238"/>
    </row>
    <row r="29" spans="1:36" x14ac:dyDescent="0.3">
      <c r="A29" s="240" t="s">
        <v>245</v>
      </c>
      <c r="B29" s="241">
        <v>45997</v>
      </c>
      <c r="C29" s="242" t="s">
        <v>37</v>
      </c>
      <c r="D29" s="243" t="s">
        <v>219</v>
      </c>
      <c r="E29" s="242" t="s">
        <v>1</v>
      </c>
      <c r="F29" s="242" t="s">
        <v>167</v>
      </c>
      <c r="G29" s="244">
        <v>0.8659</v>
      </c>
      <c r="H29" s="245">
        <v>179</v>
      </c>
      <c r="I29" s="245">
        <v>155</v>
      </c>
      <c r="J29" s="245">
        <v>113</v>
      </c>
      <c r="K29" s="242" t="s">
        <v>168</v>
      </c>
      <c r="L29" s="246" t="s">
        <v>43</v>
      </c>
      <c r="M29" s="245">
        <v>0</v>
      </c>
      <c r="N29" s="245">
        <v>1</v>
      </c>
      <c r="O29" s="245">
        <v>46</v>
      </c>
      <c r="P29" s="242" t="s">
        <v>66</v>
      </c>
      <c r="Q29" s="238"/>
      <c r="R29" s="238"/>
      <c r="S29" s="238"/>
      <c r="T29" s="238"/>
      <c r="U29" s="238"/>
      <c r="V29" s="238"/>
      <c r="W29" s="238"/>
      <c r="X29" s="238"/>
      <c r="Y29" s="238"/>
      <c r="Z29" s="245" t="s">
        <v>173</v>
      </c>
      <c r="AA29" s="238"/>
      <c r="AB29" s="238"/>
      <c r="AC29" s="245" t="s">
        <v>238</v>
      </c>
      <c r="AD29" s="245" t="s">
        <v>60</v>
      </c>
      <c r="AE29" s="245" t="s">
        <v>185</v>
      </c>
      <c r="AF29" s="245" t="s">
        <v>170</v>
      </c>
      <c r="AG29" s="238"/>
      <c r="AH29" s="238"/>
      <c r="AI29" s="245" t="s">
        <v>248</v>
      </c>
      <c r="AJ29" s="238"/>
    </row>
    <row r="30" spans="1:36" x14ac:dyDescent="0.3">
      <c r="A30" s="240" t="s">
        <v>245</v>
      </c>
      <c r="B30" s="241">
        <v>45997</v>
      </c>
      <c r="C30" s="242" t="s">
        <v>42</v>
      </c>
      <c r="D30" s="243" t="s">
        <v>249</v>
      </c>
      <c r="E30" s="242" t="s">
        <v>1</v>
      </c>
      <c r="F30" s="242" t="s">
        <v>167</v>
      </c>
      <c r="G30" s="244">
        <v>1.0223</v>
      </c>
      <c r="H30" s="245">
        <v>179</v>
      </c>
      <c r="I30" s="245">
        <v>183</v>
      </c>
      <c r="J30" s="245">
        <v>178</v>
      </c>
      <c r="K30" s="242" t="s">
        <v>168</v>
      </c>
      <c r="L30" s="246" t="s">
        <v>105</v>
      </c>
      <c r="M30" s="245">
        <v>0</v>
      </c>
      <c r="N30" s="245">
        <v>0</v>
      </c>
      <c r="O30" s="245">
        <v>46</v>
      </c>
      <c r="P30" s="242" t="s">
        <v>106</v>
      </c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45" t="s">
        <v>250</v>
      </c>
      <c r="AG30" s="245" t="s">
        <v>251</v>
      </c>
      <c r="AH30" s="238"/>
      <c r="AI30" s="245" t="s">
        <v>252</v>
      </c>
      <c r="AJ30" s="245" t="s">
        <v>253</v>
      </c>
    </row>
    <row r="31" spans="1:36" x14ac:dyDescent="0.3">
      <c r="A31" s="240" t="s">
        <v>254</v>
      </c>
      <c r="B31" s="241">
        <v>45998</v>
      </c>
      <c r="C31" s="242" t="s">
        <v>63</v>
      </c>
      <c r="D31" s="243" t="s">
        <v>255</v>
      </c>
      <c r="E31" s="242" t="s">
        <v>1</v>
      </c>
      <c r="F31" s="242" t="s">
        <v>167</v>
      </c>
      <c r="G31" s="244">
        <v>0.49719999999999998</v>
      </c>
      <c r="H31" s="245">
        <v>179</v>
      </c>
      <c r="I31" s="245">
        <v>89</v>
      </c>
      <c r="J31" s="245">
        <v>61</v>
      </c>
      <c r="K31" s="242" t="s">
        <v>168</v>
      </c>
      <c r="L31" s="246" t="s">
        <v>43</v>
      </c>
      <c r="M31" s="245">
        <v>0</v>
      </c>
      <c r="N31" s="245">
        <v>2</v>
      </c>
      <c r="O31" s="245">
        <v>9</v>
      </c>
      <c r="P31" s="242" t="s">
        <v>53</v>
      </c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45" t="s">
        <v>256</v>
      </c>
      <c r="AD31" s="245" t="s">
        <v>48</v>
      </c>
      <c r="AE31" s="245" t="s">
        <v>196</v>
      </c>
      <c r="AF31" s="245" t="s">
        <v>170</v>
      </c>
      <c r="AG31" s="245" t="s">
        <v>257</v>
      </c>
      <c r="AH31" s="238"/>
      <c r="AI31" s="245" t="s">
        <v>258</v>
      </c>
      <c r="AJ31" s="238"/>
    </row>
    <row r="32" spans="1:36" x14ac:dyDescent="0.3">
      <c r="A32" s="240" t="s">
        <v>254</v>
      </c>
      <c r="B32" s="241">
        <v>45998</v>
      </c>
      <c r="C32" s="242" t="s">
        <v>37</v>
      </c>
      <c r="D32" s="243" t="s">
        <v>232</v>
      </c>
      <c r="E32" s="242" t="s">
        <v>1</v>
      </c>
      <c r="F32" s="242" t="s">
        <v>167</v>
      </c>
      <c r="G32" s="244">
        <v>0.1676</v>
      </c>
      <c r="H32" s="245">
        <v>179</v>
      </c>
      <c r="I32" s="245">
        <v>30</v>
      </c>
      <c r="J32" s="245">
        <v>0</v>
      </c>
      <c r="K32" s="242" t="s">
        <v>168</v>
      </c>
      <c r="L32" s="246" t="s">
        <v>43</v>
      </c>
      <c r="M32" s="245">
        <v>0</v>
      </c>
      <c r="N32" s="245">
        <v>2</v>
      </c>
      <c r="O32" s="245">
        <v>20</v>
      </c>
      <c r="P32" s="242" t="s">
        <v>60</v>
      </c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45" t="s">
        <v>196</v>
      </c>
      <c r="AF32" s="245" t="s">
        <v>186</v>
      </c>
      <c r="AG32" s="238"/>
      <c r="AH32" s="238"/>
      <c r="AI32" s="238"/>
      <c r="AJ32" s="238"/>
    </row>
    <row r="33" spans="1:36" x14ac:dyDescent="0.3">
      <c r="A33" s="240" t="s">
        <v>254</v>
      </c>
      <c r="B33" s="241">
        <v>45998</v>
      </c>
      <c r="C33" s="242" t="s">
        <v>85</v>
      </c>
      <c r="D33" s="243" t="s">
        <v>219</v>
      </c>
      <c r="E33" s="242" t="s">
        <v>1</v>
      </c>
      <c r="F33" s="242" t="s">
        <v>167</v>
      </c>
      <c r="G33" s="244">
        <v>0.16669999999999999</v>
      </c>
      <c r="H33" s="245">
        <v>168</v>
      </c>
      <c r="I33" s="245">
        <v>28</v>
      </c>
      <c r="J33" s="245">
        <v>0</v>
      </c>
      <c r="K33" s="242" t="s">
        <v>168</v>
      </c>
      <c r="L33" s="246" t="s">
        <v>43</v>
      </c>
      <c r="M33" s="245">
        <v>0</v>
      </c>
      <c r="N33" s="245">
        <v>1</v>
      </c>
      <c r="O33" s="245">
        <v>18</v>
      </c>
      <c r="P33" s="242" t="s">
        <v>56</v>
      </c>
      <c r="Q33" s="238"/>
      <c r="R33" s="238"/>
      <c r="S33" s="238"/>
      <c r="T33" s="238"/>
      <c r="U33" s="238"/>
      <c r="V33" s="238"/>
      <c r="W33" s="238"/>
      <c r="X33" s="238"/>
      <c r="Y33" s="238"/>
      <c r="Z33" s="245" t="s">
        <v>111</v>
      </c>
      <c r="AA33" s="238"/>
      <c r="AB33" s="238"/>
      <c r="AC33" s="238"/>
      <c r="AD33" s="238"/>
      <c r="AE33" s="245" t="s">
        <v>53</v>
      </c>
      <c r="AF33" s="245" t="s">
        <v>170</v>
      </c>
      <c r="AG33" s="238"/>
      <c r="AH33" s="238"/>
      <c r="AI33" s="238"/>
      <c r="AJ33" s="238"/>
    </row>
    <row r="34" spans="1:36" x14ac:dyDescent="0.3">
      <c r="A34" s="240" t="s">
        <v>254</v>
      </c>
      <c r="B34" s="241">
        <v>45998</v>
      </c>
      <c r="C34" s="242" t="s">
        <v>47</v>
      </c>
      <c r="D34" s="243" t="s">
        <v>259</v>
      </c>
      <c r="E34" s="242" t="s">
        <v>1</v>
      </c>
      <c r="F34" s="242" t="s">
        <v>167</v>
      </c>
      <c r="G34" s="244">
        <v>0.86029999999999995</v>
      </c>
      <c r="H34" s="245">
        <v>179</v>
      </c>
      <c r="I34" s="245">
        <v>154</v>
      </c>
      <c r="J34" s="245">
        <v>130</v>
      </c>
      <c r="K34" s="242" t="s">
        <v>168</v>
      </c>
      <c r="L34" s="246" t="s">
        <v>43</v>
      </c>
      <c r="M34" s="245">
        <v>0</v>
      </c>
      <c r="N34" s="245">
        <v>1</v>
      </c>
      <c r="O34" s="245">
        <v>38</v>
      </c>
      <c r="P34" s="242" t="s">
        <v>111</v>
      </c>
      <c r="Q34" s="238"/>
      <c r="R34" s="238"/>
      <c r="S34" s="238"/>
      <c r="T34" s="238"/>
      <c r="U34" s="238"/>
      <c r="V34" s="238"/>
      <c r="W34" s="238"/>
      <c r="X34" s="238"/>
      <c r="Y34" s="238"/>
      <c r="Z34" s="245" t="s">
        <v>195</v>
      </c>
      <c r="AA34" s="238"/>
      <c r="AB34" s="238"/>
      <c r="AC34" s="238"/>
      <c r="AD34" s="245" t="s">
        <v>58</v>
      </c>
      <c r="AE34" s="245" t="s">
        <v>53</v>
      </c>
      <c r="AF34" s="245" t="s">
        <v>260</v>
      </c>
      <c r="AG34" s="238"/>
      <c r="AH34" s="238"/>
      <c r="AI34" s="245" t="s">
        <v>252</v>
      </c>
      <c r="AJ34" s="238"/>
    </row>
    <row r="35" spans="1:36" x14ac:dyDescent="0.3">
      <c r="A35" s="240" t="s">
        <v>254</v>
      </c>
      <c r="B35" s="241">
        <v>45998</v>
      </c>
      <c r="C35" s="242" t="s">
        <v>42</v>
      </c>
      <c r="D35" s="243" t="s">
        <v>261</v>
      </c>
      <c r="E35" s="242" t="s">
        <v>1</v>
      </c>
      <c r="F35" s="242" t="s">
        <v>167</v>
      </c>
      <c r="G35" s="244">
        <v>0.96650000000000003</v>
      </c>
      <c r="H35" s="245">
        <v>179</v>
      </c>
      <c r="I35" s="245">
        <v>173</v>
      </c>
      <c r="J35" s="245">
        <v>155</v>
      </c>
      <c r="K35" s="242" t="s">
        <v>168</v>
      </c>
      <c r="L35" s="246" t="s">
        <v>43</v>
      </c>
      <c r="M35" s="245">
        <v>0</v>
      </c>
      <c r="N35" s="245">
        <v>3</v>
      </c>
      <c r="O35" s="245">
        <v>3</v>
      </c>
      <c r="P35" s="242" t="s">
        <v>114</v>
      </c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45" t="s">
        <v>76</v>
      </c>
      <c r="AF35" s="245" t="s">
        <v>170</v>
      </c>
      <c r="AG35" s="238"/>
      <c r="AH35" s="238"/>
      <c r="AI35" s="245" t="s">
        <v>262</v>
      </c>
      <c r="AJ35" s="238"/>
    </row>
    <row r="36" spans="1:36" x14ac:dyDescent="0.3">
      <c r="A36" s="240" t="s">
        <v>165</v>
      </c>
      <c r="B36" s="241">
        <v>45999</v>
      </c>
      <c r="C36" s="242" t="s">
        <v>32</v>
      </c>
      <c r="D36" s="243" t="s">
        <v>166</v>
      </c>
      <c r="E36" s="242" t="s">
        <v>1</v>
      </c>
      <c r="F36" s="242" t="s">
        <v>167</v>
      </c>
      <c r="G36" s="244">
        <v>0.86029999999999995</v>
      </c>
      <c r="H36" s="245">
        <v>179</v>
      </c>
      <c r="I36" s="245">
        <v>154</v>
      </c>
      <c r="J36" s="245">
        <v>133</v>
      </c>
      <c r="K36" s="242" t="s">
        <v>168</v>
      </c>
      <c r="L36" s="246" t="s">
        <v>71</v>
      </c>
      <c r="M36" s="245">
        <v>0</v>
      </c>
      <c r="N36" s="245">
        <v>0</v>
      </c>
      <c r="O36" s="245">
        <v>10</v>
      </c>
      <c r="P36" s="242" t="s">
        <v>60</v>
      </c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45" t="s">
        <v>48</v>
      </c>
      <c r="AE36" s="245" t="s">
        <v>196</v>
      </c>
      <c r="AF36" s="245" t="s">
        <v>170</v>
      </c>
      <c r="AG36" s="238"/>
      <c r="AH36" s="238"/>
      <c r="AI36" s="245" t="s">
        <v>263</v>
      </c>
      <c r="AJ36" s="238"/>
    </row>
    <row r="37" spans="1:36" x14ac:dyDescent="0.3">
      <c r="A37" s="240" t="s">
        <v>165</v>
      </c>
      <c r="B37" s="241">
        <v>45999</v>
      </c>
      <c r="C37" s="242" t="s">
        <v>37</v>
      </c>
      <c r="D37" s="243" t="s">
        <v>172</v>
      </c>
      <c r="E37" s="242" t="s">
        <v>1</v>
      </c>
      <c r="F37" s="242" t="s">
        <v>167</v>
      </c>
      <c r="G37" s="244">
        <v>0.88270000000000004</v>
      </c>
      <c r="H37" s="245">
        <v>179</v>
      </c>
      <c r="I37" s="245">
        <v>158</v>
      </c>
      <c r="J37" s="245">
        <v>134</v>
      </c>
      <c r="K37" s="242" t="s">
        <v>168</v>
      </c>
      <c r="L37" s="246" t="s">
        <v>43</v>
      </c>
      <c r="M37" s="245">
        <v>0</v>
      </c>
      <c r="N37" s="245">
        <v>3</v>
      </c>
      <c r="O37" s="245">
        <v>13</v>
      </c>
      <c r="P37" s="242" t="s">
        <v>117</v>
      </c>
      <c r="Q37" s="238"/>
      <c r="R37" s="238"/>
      <c r="S37" s="238"/>
      <c r="T37" s="238"/>
      <c r="U37" s="238"/>
      <c r="V37" s="238"/>
      <c r="W37" s="238"/>
      <c r="X37" s="238"/>
      <c r="Y37" s="238"/>
      <c r="Z37" s="245" t="s">
        <v>184</v>
      </c>
      <c r="AA37" s="238"/>
      <c r="AB37" s="238"/>
      <c r="AC37" s="238"/>
      <c r="AD37" s="245" t="s">
        <v>58</v>
      </c>
      <c r="AE37" s="245" t="s">
        <v>196</v>
      </c>
      <c r="AF37" s="245" t="s">
        <v>170</v>
      </c>
      <c r="AG37" s="238"/>
      <c r="AH37" s="238"/>
      <c r="AI37" s="245" t="s">
        <v>264</v>
      </c>
      <c r="AJ37" s="238"/>
    </row>
    <row r="38" spans="1:36" x14ac:dyDescent="0.3">
      <c r="A38" s="240" t="s">
        <v>165</v>
      </c>
      <c r="B38" s="241">
        <v>45999</v>
      </c>
      <c r="C38" s="242" t="s">
        <v>42</v>
      </c>
      <c r="D38" s="243" t="s">
        <v>176</v>
      </c>
      <c r="E38" s="242" t="s">
        <v>1</v>
      </c>
      <c r="F38" s="242" t="s">
        <v>167</v>
      </c>
      <c r="G38" s="244">
        <v>0.80449999999999999</v>
      </c>
      <c r="H38" s="245">
        <v>179</v>
      </c>
      <c r="I38" s="245">
        <v>144</v>
      </c>
      <c r="J38" s="245">
        <v>120</v>
      </c>
      <c r="K38" s="242" t="s">
        <v>168</v>
      </c>
      <c r="L38" s="246" t="s">
        <v>43</v>
      </c>
      <c r="M38" s="245">
        <v>0</v>
      </c>
      <c r="N38" s="245">
        <v>3</v>
      </c>
      <c r="O38" s="245">
        <v>6</v>
      </c>
      <c r="P38" s="242" t="s">
        <v>117</v>
      </c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45" t="s">
        <v>235</v>
      </c>
      <c r="AE38" s="245" t="s">
        <v>196</v>
      </c>
      <c r="AF38" s="245" t="s">
        <v>170</v>
      </c>
      <c r="AG38" s="238"/>
      <c r="AH38" s="238"/>
      <c r="AI38" s="245" t="s">
        <v>265</v>
      </c>
      <c r="AJ38" s="238"/>
    </row>
    <row r="39" spans="1:36" x14ac:dyDescent="0.3">
      <c r="A39" s="240" t="s">
        <v>165</v>
      </c>
      <c r="B39" s="241">
        <v>45999</v>
      </c>
      <c r="C39" s="242" t="s">
        <v>47</v>
      </c>
      <c r="D39" s="243" t="s">
        <v>183</v>
      </c>
      <c r="E39" s="242" t="s">
        <v>1</v>
      </c>
      <c r="F39" s="242" t="s">
        <v>167</v>
      </c>
      <c r="G39" s="244">
        <v>0.89390000000000003</v>
      </c>
      <c r="H39" s="245">
        <v>179</v>
      </c>
      <c r="I39" s="245">
        <v>160</v>
      </c>
      <c r="J39" s="245">
        <v>136</v>
      </c>
      <c r="K39" s="242" t="s">
        <v>168</v>
      </c>
      <c r="L39" s="246" t="s">
        <v>43</v>
      </c>
      <c r="M39" s="245">
        <v>0</v>
      </c>
      <c r="N39" s="245">
        <v>3</v>
      </c>
      <c r="O39" s="245">
        <v>15</v>
      </c>
      <c r="P39" s="242" t="s">
        <v>120</v>
      </c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45" t="s">
        <v>48</v>
      </c>
      <c r="AE39" s="245" t="s">
        <v>196</v>
      </c>
      <c r="AF39" s="245" t="s">
        <v>209</v>
      </c>
      <c r="AG39" s="238"/>
      <c r="AH39" s="238"/>
      <c r="AI39" s="245" t="s">
        <v>266</v>
      </c>
      <c r="AJ39" s="238"/>
    </row>
    <row r="40" spans="1:36" x14ac:dyDescent="0.3">
      <c r="A40" s="240" t="s">
        <v>189</v>
      </c>
      <c r="B40" s="241">
        <v>46000</v>
      </c>
      <c r="C40" s="242" t="s">
        <v>52</v>
      </c>
      <c r="D40" s="243" t="s">
        <v>190</v>
      </c>
      <c r="E40" s="242" t="s">
        <v>1</v>
      </c>
      <c r="F40" s="242" t="s">
        <v>167</v>
      </c>
      <c r="G40" s="244">
        <v>0.1061</v>
      </c>
      <c r="H40" s="245">
        <v>179</v>
      </c>
      <c r="I40" s="245">
        <v>19</v>
      </c>
      <c r="J40" s="245">
        <v>0</v>
      </c>
      <c r="K40" s="242" t="s">
        <v>168</v>
      </c>
      <c r="L40" s="246" t="s">
        <v>43</v>
      </c>
      <c r="M40" s="245">
        <v>0</v>
      </c>
      <c r="N40" s="245">
        <v>2</v>
      </c>
      <c r="O40" s="245">
        <v>8</v>
      </c>
      <c r="P40" s="242" t="s">
        <v>80</v>
      </c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45" t="s">
        <v>44</v>
      </c>
      <c r="AD40" s="238"/>
      <c r="AE40" s="238"/>
      <c r="AF40" s="245" t="s">
        <v>267</v>
      </c>
      <c r="AG40" s="238"/>
      <c r="AH40" s="238"/>
      <c r="AI40" s="238"/>
      <c r="AJ40" s="238"/>
    </row>
    <row r="41" spans="1:36" x14ac:dyDescent="0.3">
      <c r="A41" s="240" t="s">
        <v>189</v>
      </c>
      <c r="B41" s="241">
        <v>46000</v>
      </c>
      <c r="C41" s="242" t="s">
        <v>32</v>
      </c>
      <c r="D41" s="243" t="s">
        <v>192</v>
      </c>
      <c r="E41" s="242" t="s">
        <v>1</v>
      </c>
      <c r="F41" s="242" t="s">
        <v>167</v>
      </c>
      <c r="G41" s="244">
        <v>0.58099999999999996</v>
      </c>
      <c r="H41" s="245">
        <v>179</v>
      </c>
      <c r="I41" s="245">
        <v>104</v>
      </c>
      <c r="J41" s="245">
        <v>90</v>
      </c>
      <c r="K41" s="242" t="s">
        <v>168</v>
      </c>
      <c r="L41" s="246" t="s">
        <v>43</v>
      </c>
      <c r="M41" s="245">
        <v>0</v>
      </c>
      <c r="N41" s="245">
        <v>1</v>
      </c>
      <c r="O41" s="245">
        <v>4</v>
      </c>
      <c r="P41" s="242" t="s">
        <v>123</v>
      </c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45" t="s">
        <v>268</v>
      </c>
      <c r="AG41" s="238"/>
      <c r="AH41" s="238"/>
      <c r="AI41" s="245" t="s">
        <v>194</v>
      </c>
      <c r="AJ41" s="238"/>
    </row>
    <row r="42" spans="1:36" x14ac:dyDescent="0.3">
      <c r="A42" s="240" t="s">
        <v>189</v>
      </c>
      <c r="B42" s="241">
        <v>46000</v>
      </c>
      <c r="C42" s="242" t="s">
        <v>42</v>
      </c>
      <c r="D42" s="243" t="s">
        <v>176</v>
      </c>
      <c r="E42" s="242" t="s">
        <v>1</v>
      </c>
      <c r="F42" s="242" t="s">
        <v>167</v>
      </c>
      <c r="G42" s="244">
        <v>0.82120000000000004</v>
      </c>
      <c r="H42" s="245">
        <v>179</v>
      </c>
      <c r="I42" s="245">
        <v>147</v>
      </c>
      <c r="J42" s="245">
        <v>132</v>
      </c>
      <c r="K42" s="242" t="s">
        <v>168</v>
      </c>
      <c r="L42" s="246" t="s">
        <v>33</v>
      </c>
      <c r="M42" s="245">
        <v>0</v>
      </c>
      <c r="N42" s="245">
        <v>0</v>
      </c>
      <c r="O42" s="245">
        <v>6</v>
      </c>
      <c r="P42" s="242" t="s">
        <v>125</v>
      </c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45" t="s">
        <v>125</v>
      </c>
      <c r="AF42" s="245" t="s">
        <v>170</v>
      </c>
      <c r="AG42" s="245" t="s">
        <v>251</v>
      </c>
      <c r="AH42" s="238"/>
      <c r="AI42" s="245" t="s">
        <v>269</v>
      </c>
      <c r="AJ42" s="238"/>
    </row>
    <row r="43" spans="1:36" x14ac:dyDescent="0.3">
      <c r="A43" s="240" t="s">
        <v>189</v>
      </c>
      <c r="B43" s="241">
        <v>46000</v>
      </c>
      <c r="C43" s="242" t="s">
        <v>47</v>
      </c>
      <c r="D43" s="243" t="s">
        <v>198</v>
      </c>
      <c r="E43" s="242" t="s">
        <v>1</v>
      </c>
      <c r="F43" s="242" t="s">
        <v>167</v>
      </c>
      <c r="G43" s="244">
        <v>0.54190000000000005</v>
      </c>
      <c r="H43" s="245">
        <v>179</v>
      </c>
      <c r="I43" s="245">
        <v>97</v>
      </c>
      <c r="J43" s="245">
        <v>76</v>
      </c>
      <c r="K43" s="242" t="s">
        <v>168</v>
      </c>
      <c r="L43" s="246" t="s">
        <v>43</v>
      </c>
      <c r="M43" s="245">
        <v>0</v>
      </c>
      <c r="N43" s="245">
        <v>1</v>
      </c>
      <c r="O43" s="245">
        <v>3</v>
      </c>
      <c r="P43" s="242" t="s">
        <v>53</v>
      </c>
      <c r="Q43" s="238"/>
      <c r="R43" s="238"/>
      <c r="S43" s="238"/>
      <c r="T43" s="238"/>
      <c r="U43" s="238"/>
      <c r="V43" s="238"/>
      <c r="W43" s="238"/>
      <c r="X43" s="238"/>
      <c r="Y43" s="238"/>
      <c r="Z43" s="245" t="s">
        <v>173</v>
      </c>
      <c r="AA43" s="238"/>
      <c r="AB43" s="238"/>
      <c r="AC43" s="245" t="s">
        <v>238</v>
      </c>
      <c r="AD43" s="238"/>
      <c r="AE43" s="245" t="s">
        <v>76</v>
      </c>
      <c r="AF43" s="245" t="s">
        <v>170</v>
      </c>
      <c r="AG43" s="238"/>
      <c r="AH43" s="238"/>
      <c r="AI43" s="245" t="s">
        <v>270</v>
      </c>
      <c r="AJ43" s="238"/>
    </row>
    <row r="44" spans="1:36" x14ac:dyDescent="0.3">
      <c r="A44" s="240" t="s">
        <v>189</v>
      </c>
      <c r="B44" s="241">
        <v>46000</v>
      </c>
      <c r="C44" s="242" t="s">
        <v>63</v>
      </c>
      <c r="D44" s="243" t="s">
        <v>201</v>
      </c>
      <c r="E44" s="242" t="s">
        <v>1</v>
      </c>
      <c r="F44" s="242" t="s">
        <v>167</v>
      </c>
      <c r="G44" s="244">
        <v>0.8659</v>
      </c>
      <c r="H44" s="245">
        <v>179</v>
      </c>
      <c r="I44" s="245">
        <v>155</v>
      </c>
      <c r="J44" s="245">
        <v>133</v>
      </c>
      <c r="K44" s="242" t="s">
        <v>168</v>
      </c>
      <c r="L44" s="246" t="s">
        <v>43</v>
      </c>
      <c r="M44" s="245">
        <v>0</v>
      </c>
      <c r="N44" s="245">
        <v>1</v>
      </c>
      <c r="O44" s="245">
        <v>14</v>
      </c>
      <c r="P44" s="242" t="s">
        <v>76</v>
      </c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45" t="s">
        <v>215</v>
      </c>
      <c r="AF44" s="245" t="s">
        <v>186</v>
      </c>
      <c r="AG44" s="238"/>
      <c r="AH44" s="238"/>
      <c r="AI44" s="245" t="s">
        <v>263</v>
      </c>
      <c r="AJ44" s="238"/>
    </row>
    <row r="45" spans="1:36" x14ac:dyDescent="0.3">
      <c r="A45" s="240" t="s">
        <v>189</v>
      </c>
      <c r="B45" s="241">
        <v>46000</v>
      </c>
      <c r="C45" s="242" t="s">
        <v>37</v>
      </c>
      <c r="D45" s="243" t="s">
        <v>203</v>
      </c>
      <c r="E45" s="242" t="s">
        <v>1</v>
      </c>
      <c r="F45" s="242" t="s">
        <v>167</v>
      </c>
      <c r="G45" s="244">
        <v>0.1173</v>
      </c>
      <c r="H45" s="245">
        <v>179</v>
      </c>
      <c r="I45" s="245">
        <v>21</v>
      </c>
      <c r="J45" s="245">
        <v>0</v>
      </c>
      <c r="K45" s="242" t="s">
        <v>168</v>
      </c>
      <c r="L45" s="246" t="s">
        <v>129</v>
      </c>
      <c r="M45" s="245">
        <v>0</v>
      </c>
      <c r="N45" s="245">
        <v>0</v>
      </c>
      <c r="O45" s="245">
        <v>9</v>
      </c>
      <c r="P45" s="242" t="s">
        <v>53</v>
      </c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45" t="s">
        <v>66</v>
      </c>
      <c r="AE45" s="245" t="s">
        <v>53</v>
      </c>
      <c r="AF45" s="245" t="s">
        <v>170</v>
      </c>
      <c r="AG45" s="238"/>
      <c r="AH45" s="238"/>
      <c r="AI45" s="238"/>
      <c r="AJ45" s="238"/>
    </row>
    <row r="46" spans="1:36" x14ac:dyDescent="0.3">
      <c r="A46" s="240" t="s">
        <v>205</v>
      </c>
      <c r="B46" s="241">
        <v>46001</v>
      </c>
      <c r="C46" s="242" t="s">
        <v>37</v>
      </c>
      <c r="D46" s="243" t="s">
        <v>206</v>
      </c>
      <c r="E46" s="242" t="s">
        <v>1</v>
      </c>
      <c r="F46" s="242" t="s">
        <v>167</v>
      </c>
      <c r="G46" s="244">
        <v>0.92179999999999995</v>
      </c>
      <c r="H46" s="245">
        <v>179</v>
      </c>
      <c r="I46" s="245">
        <v>165</v>
      </c>
      <c r="J46" s="245">
        <v>137</v>
      </c>
      <c r="K46" s="242" t="s">
        <v>168</v>
      </c>
      <c r="L46" s="246" t="s">
        <v>43</v>
      </c>
      <c r="M46" s="245">
        <v>0</v>
      </c>
      <c r="N46" s="245">
        <v>2</v>
      </c>
      <c r="O46" s="245">
        <v>14</v>
      </c>
      <c r="P46" s="242" t="s">
        <v>131</v>
      </c>
      <c r="Q46" s="238"/>
      <c r="R46" s="238"/>
      <c r="S46" s="238"/>
      <c r="T46" s="238"/>
      <c r="U46" s="238"/>
      <c r="V46" s="238"/>
      <c r="W46" s="238"/>
      <c r="X46" s="238"/>
      <c r="Y46" s="238"/>
      <c r="Z46" s="245" t="s">
        <v>243</v>
      </c>
      <c r="AA46" s="238"/>
      <c r="AB46" s="238"/>
      <c r="AC46" s="238"/>
      <c r="AD46" s="245" t="s">
        <v>58</v>
      </c>
      <c r="AE46" s="245" t="s">
        <v>196</v>
      </c>
      <c r="AF46" s="245" t="s">
        <v>170</v>
      </c>
      <c r="AG46" s="238"/>
      <c r="AH46" s="238"/>
      <c r="AI46" s="245" t="s">
        <v>271</v>
      </c>
      <c r="AJ46" s="238"/>
    </row>
    <row r="47" spans="1:36" x14ac:dyDescent="0.3">
      <c r="A47" s="240" t="s">
        <v>205</v>
      </c>
      <c r="B47" s="241">
        <v>46001</v>
      </c>
      <c r="C47" s="242" t="s">
        <v>47</v>
      </c>
      <c r="D47" s="243" t="s">
        <v>208</v>
      </c>
      <c r="E47" s="242" t="s">
        <v>1</v>
      </c>
      <c r="F47" s="242" t="s">
        <v>167</v>
      </c>
      <c r="G47" s="244">
        <v>0.18990000000000001</v>
      </c>
      <c r="H47" s="245">
        <v>179</v>
      </c>
      <c r="I47" s="245">
        <v>34</v>
      </c>
      <c r="J47" s="245">
        <v>3</v>
      </c>
      <c r="K47" s="242" t="s">
        <v>168</v>
      </c>
      <c r="L47" s="246" t="s">
        <v>43</v>
      </c>
      <c r="M47" s="245">
        <v>0</v>
      </c>
      <c r="N47" s="245">
        <v>3</v>
      </c>
      <c r="O47" s="245">
        <v>14</v>
      </c>
      <c r="P47" s="242" t="s">
        <v>56</v>
      </c>
      <c r="Q47" s="238"/>
      <c r="R47" s="238"/>
      <c r="S47" s="238"/>
      <c r="T47" s="238"/>
      <c r="U47" s="238"/>
      <c r="V47" s="238"/>
      <c r="W47" s="238"/>
      <c r="X47" s="238"/>
      <c r="Y47" s="238"/>
      <c r="Z47" s="245" t="s">
        <v>173</v>
      </c>
      <c r="AA47" s="238"/>
      <c r="AB47" s="238"/>
      <c r="AC47" s="238"/>
      <c r="AD47" s="238"/>
      <c r="AE47" s="245" t="s">
        <v>174</v>
      </c>
      <c r="AF47" s="245" t="s">
        <v>170</v>
      </c>
      <c r="AG47" s="238"/>
      <c r="AH47" s="238"/>
      <c r="AI47" s="245" t="s">
        <v>272</v>
      </c>
      <c r="AJ47" s="238"/>
    </row>
    <row r="48" spans="1:36" x14ac:dyDescent="0.3">
      <c r="A48" s="240" t="s">
        <v>205</v>
      </c>
      <c r="B48" s="241">
        <v>46001</v>
      </c>
      <c r="C48" s="242" t="s">
        <v>42</v>
      </c>
      <c r="D48" s="243" t="s">
        <v>176</v>
      </c>
      <c r="E48" s="242" t="s">
        <v>1</v>
      </c>
      <c r="F48" s="242" t="s">
        <v>167</v>
      </c>
      <c r="G48" s="244">
        <v>0.17879999999999999</v>
      </c>
      <c r="H48" s="245">
        <v>179</v>
      </c>
      <c r="I48" s="245">
        <v>32</v>
      </c>
      <c r="J48" s="245">
        <v>0</v>
      </c>
      <c r="K48" s="242" t="s">
        <v>168</v>
      </c>
      <c r="L48" s="246" t="s">
        <v>43</v>
      </c>
      <c r="M48" s="245">
        <v>0</v>
      </c>
      <c r="N48" s="245">
        <v>2</v>
      </c>
      <c r="O48" s="245">
        <v>8</v>
      </c>
      <c r="P48" s="242" t="s">
        <v>134</v>
      </c>
      <c r="Q48" s="238"/>
      <c r="R48" s="238"/>
      <c r="S48" s="238"/>
      <c r="T48" s="238"/>
      <c r="U48" s="238"/>
      <c r="V48" s="238"/>
      <c r="W48" s="238"/>
      <c r="X48" s="238"/>
      <c r="Y48" s="238"/>
      <c r="Z48" s="245" t="s">
        <v>195</v>
      </c>
      <c r="AA48" s="238"/>
      <c r="AB48" s="238"/>
      <c r="AC48" s="238"/>
      <c r="AD48" s="245" t="s">
        <v>58</v>
      </c>
      <c r="AE48" s="245" t="s">
        <v>273</v>
      </c>
      <c r="AF48" s="245" t="s">
        <v>170</v>
      </c>
      <c r="AG48" s="238"/>
      <c r="AH48" s="238"/>
      <c r="AI48" s="238"/>
      <c r="AJ48" s="238"/>
    </row>
    <row r="49" spans="1:36" ht="21" x14ac:dyDescent="0.3">
      <c r="A49" s="247" t="s">
        <v>369</v>
      </c>
      <c r="B49" s="248"/>
      <c r="C49" s="247">
        <f>SUBTOTAL(103,JED_CAI_LF_LEGACY[Flt])</f>
        <v>47</v>
      </c>
      <c r="D49" s="247"/>
      <c r="E49" s="247">
        <f>SUBTOTAL(103,JED_CAI_LF_LEGACY[Brd-Off])</f>
        <v>47</v>
      </c>
      <c r="F49" s="247"/>
      <c r="G49" s="249">
        <f>SUBTOTAL(101,JED_CAI_LF_LEGACY[LF%])</f>
        <v>0.58621489361702128</v>
      </c>
      <c r="H49" s="250">
        <f>SUBTOTAL(109,JED_CAI_LF_LEGACY[CAP])</f>
        <v>8402</v>
      </c>
      <c r="I49" s="250">
        <f>SUBTOTAL(109,JED_CAI_LF_LEGACY[BKG(Y)])</f>
        <v>4930</v>
      </c>
      <c r="J49" s="250">
        <f>SUBTOTAL(109,JED_CAI_LF_LEGACY[GRP(Y)])</f>
        <v>3644</v>
      </c>
      <c r="K49" s="247"/>
      <c r="L49" s="248"/>
      <c r="M49" s="250">
        <f>SUBTOTAL(109,JED_CAI_LF_LEGACY[TO-DAY])</f>
        <v>0</v>
      </c>
      <c r="N49" s="250">
        <f>SUBTOTAL(109,JED_CAI_LF_LEGACY[Y-DAY])</f>
        <v>80</v>
      </c>
      <c r="O49" s="250">
        <f>SUBTOTAL(109,JED_CAI_LF_LEGACY[WEEKLY])</f>
        <v>826</v>
      </c>
      <c r="P49" s="251"/>
      <c r="Q49" s="250">
        <f>SUBTOTAL(109,JED_CAI_LF_LEGACY[Y])</f>
        <v>0</v>
      </c>
      <c r="R49" s="250">
        <f>SUBTOTAL(109,JED_CAI_LF_LEGACY[B])</f>
        <v>0</v>
      </c>
      <c r="S49" s="250">
        <f>SUBTOTAL(109,JED_CAI_LF_LEGACY[M])</f>
        <v>0</v>
      </c>
      <c r="T49" s="250">
        <f>SUBTOTAL(109,JED_CAI_LF_LEGACY[H])</f>
        <v>0</v>
      </c>
      <c r="U49" s="250">
        <f>SUBTOTAL(109,JED_CAI_LF_LEGACY[Q])</f>
        <v>0</v>
      </c>
      <c r="V49" s="250">
        <f>SUBTOTAL(109,JED_CAI_LF_LEGACY[K])</f>
        <v>0</v>
      </c>
      <c r="W49" s="250">
        <f>SUBTOTAL(109,JED_CAI_LF_LEGACY[V])</f>
        <v>0</v>
      </c>
      <c r="X49" s="250">
        <f>SUBTOTAL(109,JED_CAI_LF_LEGACY[L])</f>
        <v>0</v>
      </c>
      <c r="Y49" s="250">
        <f>SUBTOTAL(109,JED_CAI_LF_LEGACY[G])</f>
        <v>0</v>
      </c>
      <c r="Z49" s="250">
        <f>SUBTOTAL(109,JED_CAI_LF_LEGACY[S])</f>
        <v>0</v>
      </c>
      <c r="AA49" s="250">
        <f>SUBTOTAL(109,JED_CAI_LF_LEGACY[W])</f>
        <v>0</v>
      </c>
      <c r="AB49" s="250">
        <f>SUBTOTAL(109,JED_CAI_LF_LEGACY[T])</f>
        <v>0</v>
      </c>
      <c r="AC49" s="250">
        <f>SUBTOTAL(109,JED_CAI_LF_LEGACY[X])</f>
        <v>0</v>
      </c>
      <c r="AD49" s="250">
        <f>SUBTOTAL(109,JED_CAI_LF_LEGACY[U])</f>
        <v>0</v>
      </c>
      <c r="AE49" s="250">
        <f>SUBTOTAL(109,JED_CAI_LF_LEGACY[O])</f>
        <v>0</v>
      </c>
      <c r="AF49" s="250">
        <f>SUBTOTAL(109,JED_CAI_LF_LEGACY[I])</f>
        <v>0</v>
      </c>
      <c r="AG49" s="250">
        <f>SUBTOTAL(109,JED_CAI_LF_LEGACY[E])</f>
        <v>0</v>
      </c>
      <c r="AH49" s="250">
        <f>SUBTOTAL(109,JED_CAI_LF_LEGACY[A])</f>
        <v>0</v>
      </c>
      <c r="AI49" s="250">
        <f>SUBTOTAL(109,JED_CAI_LF_LEGACY[P])</f>
        <v>0</v>
      </c>
      <c r="AJ49" s="250">
        <f>SUBTOTAL(103,JED_CAI_LF_LEGACY[N])</f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45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7.77734375" bestFit="1" customWidth="1"/>
  </cols>
  <sheetData>
    <row r="1" spans="1:92" ht="28.8" customHeight="1" x14ac:dyDescent="0.3">
      <c r="A1" s="230" t="s">
        <v>0</v>
      </c>
      <c r="B1" s="229"/>
      <c r="C1" s="229"/>
      <c r="D1" s="229"/>
      <c r="E1" s="229"/>
      <c r="F1" s="1" t="s">
        <v>274</v>
      </c>
      <c r="G1" s="2" t="s">
        <v>2</v>
      </c>
      <c r="H1" s="228" t="s">
        <v>3</v>
      </c>
      <c r="I1" s="229"/>
      <c r="J1" s="229"/>
      <c r="K1" s="229"/>
      <c r="L1" s="229"/>
      <c r="M1" s="1" t="s">
        <v>4</v>
      </c>
      <c r="N1" s="236" t="s">
        <v>5</v>
      </c>
      <c r="O1" s="229"/>
      <c r="P1" s="229"/>
      <c r="Q1" s="229"/>
      <c r="R1" s="22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32" t="s">
        <v>6</v>
      </c>
      <c r="B2" s="229"/>
      <c r="C2" s="229"/>
      <c r="D2" s="229"/>
      <c r="E2" s="229"/>
      <c r="F2" s="229"/>
      <c r="G2" s="234">
        <v>45984.347829196297</v>
      </c>
      <c r="H2" s="229"/>
      <c r="I2" s="229"/>
      <c r="J2" s="229"/>
      <c r="K2" s="237">
        <v>45984.347829197257</v>
      </c>
      <c r="L2" s="229"/>
      <c r="M2" s="229"/>
      <c r="N2" s="229"/>
      <c r="O2" s="229"/>
      <c r="P2" s="229"/>
      <c r="Q2" s="229"/>
      <c r="R2" s="22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33" t="s">
        <v>7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35" t="s">
        <v>8</v>
      </c>
      <c r="B4" s="221"/>
      <c r="C4" s="221"/>
      <c r="D4" s="221"/>
      <c r="E4" s="221"/>
      <c r="F4" s="222"/>
      <c r="G4" s="4">
        <v>45992</v>
      </c>
      <c r="H4" s="231" t="s">
        <v>9</v>
      </c>
      <c r="I4" s="221"/>
      <c r="J4" s="221"/>
      <c r="K4" s="221"/>
      <c r="L4" s="221"/>
      <c r="M4" s="221"/>
      <c r="N4" s="221"/>
      <c r="O4" s="221"/>
      <c r="P4" s="221"/>
      <c r="Q4" s="221"/>
      <c r="R4" s="22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110" t="s">
        <v>28</v>
      </c>
      <c r="B6" s="110" t="s">
        <v>275</v>
      </c>
      <c r="C6" s="111">
        <v>0.92361111111111116</v>
      </c>
      <c r="D6" s="110" t="s">
        <v>30</v>
      </c>
      <c r="E6" s="112"/>
      <c r="F6" s="110" t="s">
        <v>51</v>
      </c>
      <c r="G6" s="224"/>
      <c r="H6" s="175" t="s">
        <v>276</v>
      </c>
      <c r="I6" s="191">
        <v>3.5700000000000003E-2</v>
      </c>
      <c r="J6" s="177">
        <v>6</v>
      </c>
      <c r="K6" s="178" t="s">
        <v>43</v>
      </c>
      <c r="L6" s="177">
        <v>4</v>
      </c>
      <c r="M6" s="177">
        <v>0</v>
      </c>
      <c r="N6" s="177">
        <v>1</v>
      </c>
      <c r="O6" s="179" t="s">
        <v>260</v>
      </c>
      <c r="P6" s="180">
        <v>0.92361111111111116</v>
      </c>
      <c r="Q6" s="177">
        <v>168</v>
      </c>
      <c r="R6" s="181" t="s">
        <v>277</v>
      </c>
    </row>
    <row r="7" spans="1:92" ht="17.399999999999999" customHeight="1" thickBot="1" x14ac:dyDescent="0.35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thickTop="1" thickBot="1" x14ac:dyDescent="0.35">
      <c r="A8" s="223" t="s">
        <v>8</v>
      </c>
      <c r="B8" s="221"/>
      <c r="C8" s="221"/>
      <c r="D8" s="221"/>
      <c r="E8" s="221"/>
      <c r="F8" s="222"/>
      <c r="G8" s="48">
        <v>45993</v>
      </c>
      <c r="H8" s="220" t="s">
        <v>9</v>
      </c>
      <c r="I8" s="221"/>
      <c r="J8" s="221"/>
      <c r="K8" s="221"/>
      <c r="L8" s="221"/>
      <c r="M8" s="221"/>
      <c r="N8" s="221"/>
      <c r="O8" s="221"/>
      <c r="P8" s="221"/>
      <c r="Q8" s="221"/>
      <c r="R8" s="222"/>
    </row>
    <row r="9" spans="1:92" ht="24" customHeight="1" x14ac:dyDescent="0.3">
      <c r="A9" s="49" t="s">
        <v>10</v>
      </c>
      <c r="B9" s="49" t="s">
        <v>11</v>
      </c>
      <c r="C9" s="50" t="s">
        <v>12</v>
      </c>
      <c r="D9" s="49" t="s">
        <v>13</v>
      </c>
      <c r="E9" s="49" t="s">
        <v>14</v>
      </c>
      <c r="F9" s="51" t="s">
        <v>15</v>
      </c>
      <c r="G9" s="52" t="s">
        <v>16</v>
      </c>
      <c r="H9" s="49" t="s">
        <v>17</v>
      </c>
      <c r="I9" s="53" t="s">
        <v>18</v>
      </c>
      <c r="J9" s="54" t="s">
        <v>19</v>
      </c>
      <c r="K9" s="55" t="s">
        <v>20</v>
      </c>
      <c r="L9" s="54" t="s">
        <v>21</v>
      </c>
      <c r="M9" s="54" t="s">
        <v>22</v>
      </c>
      <c r="N9" s="54" t="s">
        <v>23</v>
      </c>
      <c r="O9" s="49" t="s">
        <v>24</v>
      </c>
      <c r="P9" s="50" t="s">
        <v>25</v>
      </c>
      <c r="Q9" s="54" t="s">
        <v>26</v>
      </c>
      <c r="R9" s="49" t="s">
        <v>27</v>
      </c>
    </row>
    <row r="10" spans="1:92" ht="49.95" customHeight="1" thickTop="1" thickBot="1" x14ac:dyDescent="0.35">
      <c r="A10" s="123" t="s">
        <v>28</v>
      </c>
      <c r="B10" s="123" t="s">
        <v>275</v>
      </c>
      <c r="C10" s="124">
        <v>0.91319444444444453</v>
      </c>
      <c r="D10" s="123" t="s">
        <v>30</v>
      </c>
      <c r="E10" s="125"/>
      <c r="F10" s="123" t="s">
        <v>51</v>
      </c>
      <c r="G10" s="227"/>
      <c r="H10" s="150" t="s">
        <v>276</v>
      </c>
      <c r="I10" s="192">
        <v>8.9300000000000004E-2</v>
      </c>
      <c r="J10" s="152">
        <v>15</v>
      </c>
      <c r="K10" s="153" t="s">
        <v>43</v>
      </c>
      <c r="L10" s="152">
        <v>7</v>
      </c>
      <c r="M10" s="152">
        <v>0</v>
      </c>
      <c r="N10" s="152">
        <v>1</v>
      </c>
      <c r="O10" s="154" t="s">
        <v>74</v>
      </c>
      <c r="P10" s="155">
        <v>0.91319444444444453</v>
      </c>
      <c r="Q10" s="152">
        <v>168</v>
      </c>
      <c r="R10" s="156" t="s">
        <v>278</v>
      </c>
    </row>
    <row r="11" spans="1:92" ht="17.399999999999999" customHeight="1" thickBot="1" x14ac:dyDescent="0.35">
      <c r="A11" s="252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4"/>
    </row>
    <row r="12" spans="1:92" ht="22.05" customHeight="1" thickTop="1" thickBot="1" x14ac:dyDescent="0.35">
      <c r="A12" s="223" t="s">
        <v>8</v>
      </c>
      <c r="B12" s="221"/>
      <c r="C12" s="221"/>
      <c r="D12" s="221"/>
      <c r="E12" s="221"/>
      <c r="F12" s="222"/>
      <c r="G12" s="48">
        <v>45994</v>
      </c>
      <c r="H12" s="220" t="s">
        <v>9</v>
      </c>
      <c r="I12" s="221"/>
      <c r="J12" s="221"/>
      <c r="K12" s="221"/>
      <c r="L12" s="221"/>
      <c r="M12" s="221"/>
      <c r="N12" s="221"/>
      <c r="O12" s="221"/>
      <c r="P12" s="221"/>
      <c r="Q12" s="221"/>
      <c r="R12" s="222"/>
    </row>
    <row r="13" spans="1:92" ht="24" customHeight="1" x14ac:dyDescent="0.3">
      <c r="A13" s="49" t="s">
        <v>10</v>
      </c>
      <c r="B13" s="49" t="s">
        <v>11</v>
      </c>
      <c r="C13" s="50" t="s">
        <v>12</v>
      </c>
      <c r="D13" s="49" t="s">
        <v>13</v>
      </c>
      <c r="E13" s="49" t="s">
        <v>14</v>
      </c>
      <c r="F13" s="51" t="s">
        <v>15</v>
      </c>
      <c r="G13" s="52" t="s">
        <v>16</v>
      </c>
      <c r="H13" s="49" t="s">
        <v>17</v>
      </c>
      <c r="I13" s="53" t="s">
        <v>18</v>
      </c>
      <c r="J13" s="54" t="s">
        <v>19</v>
      </c>
      <c r="K13" s="55" t="s">
        <v>20</v>
      </c>
      <c r="L13" s="54" t="s">
        <v>21</v>
      </c>
      <c r="M13" s="54" t="s">
        <v>22</v>
      </c>
      <c r="N13" s="54" t="s">
        <v>23</v>
      </c>
      <c r="O13" s="49" t="s">
        <v>24</v>
      </c>
      <c r="P13" s="50" t="s">
        <v>25</v>
      </c>
      <c r="Q13" s="54" t="s">
        <v>26</v>
      </c>
      <c r="R13" s="49" t="s">
        <v>27</v>
      </c>
    </row>
    <row r="14" spans="1:92" ht="49.95" customHeight="1" x14ac:dyDescent="0.3">
      <c r="A14" s="182" t="s">
        <v>28</v>
      </c>
      <c r="B14" s="182" t="s">
        <v>279</v>
      </c>
      <c r="C14" s="183">
        <v>0.61111111111111105</v>
      </c>
      <c r="D14" s="182" t="s">
        <v>30</v>
      </c>
      <c r="E14" s="184"/>
      <c r="F14" s="182" t="s">
        <v>51</v>
      </c>
      <c r="G14" s="227"/>
      <c r="H14" s="31" t="s">
        <v>280</v>
      </c>
      <c r="I14" s="129">
        <v>0.1429</v>
      </c>
      <c r="J14" s="33">
        <v>24</v>
      </c>
      <c r="K14" s="34" t="s">
        <v>71</v>
      </c>
      <c r="L14" s="33">
        <v>12</v>
      </c>
      <c r="M14" s="33">
        <v>0</v>
      </c>
      <c r="N14" s="33">
        <v>0</v>
      </c>
      <c r="O14" s="35" t="s">
        <v>260</v>
      </c>
      <c r="P14" s="36">
        <v>0.61111111111111105</v>
      </c>
      <c r="Q14" s="33">
        <v>168</v>
      </c>
      <c r="R14" s="37" t="s">
        <v>281</v>
      </c>
    </row>
    <row r="15" spans="1:92" ht="49.95" customHeight="1" thickBot="1" x14ac:dyDescent="0.35">
      <c r="A15" s="160" t="s">
        <v>28</v>
      </c>
      <c r="B15" s="160" t="s">
        <v>275</v>
      </c>
      <c r="C15" s="161">
        <v>0.92361111111111116</v>
      </c>
      <c r="D15" s="160" t="s">
        <v>30</v>
      </c>
      <c r="E15" s="162"/>
      <c r="F15" s="160" t="s">
        <v>51</v>
      </c>
      <c r="G15" s="226"/>
      <c r="H15" s="163" t="s">
        <v>276</v>
      </c>
      <c r="I15" s="188">
        <v>8.3299999999999999E-2</v>
      </c>
      <c r="J15" s="165">
        <v>14</v>
      </c>
      <c r="K15" s="166" t="s">
        <v>282</v>
      </c>
      <c r="L15" s="165">
        <v>9</v>
      </c>
      <c r="M15" s="165">
        <v>3</v>
      </c>
      <c r="N15" s="165">
        <v>5</v>
      </c>
      <c r="O15" s="167" t="s">
        <v>283</v>
      </c>
      <c r="P15" s="168">
        <v>0.92361111111111116</v>
      </c>
      <c r="Q15" s="165">
        <v>168</v>
      </c>
      <c r="R15" s="169" t="s">
        <v>284</v>
      </c>
    </row>
    <row r="16" spans="1:92" ht="17.399999999999999" customHeight="1" thickBot="1" x14ac:dyDescent="0.35">
      <c r="A16" s="252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4"/>
    </row>
    <row r="17" spans="1:18" ht="22.05" customHeight="1" thickTop="1" thickBot="1" x14ac:dyDescent="0.35">
      <c r="A17" s="223" t="s">
        <v>8</v>
      </c>
      <c r="B17" s="221"/>
      <c r="C17" s="221"/>
      <c r="D17" s="221"/>
      <c r="E17" s="221"/>
      <c r="F17" s="222"/>
      <c r="G17" s="48">
        <v>45995</v>
      </c>
      <c r="H17" s="220" t="s">
        <v>9</v>
      </c>
      <c r="I17" s="221"/>
      <c r="J17" s="221"/>
      <c r="K17" s="221"/>
      <c r="L17" s="221"/>
      <c r="M17" s="221"/>
      <c r="N17" s="221"/>
      <c r="O17" s="221"/>
      <c r="P17" s="221"/>
      <c r="Q17" s="221"/>
      <c r="R17" s="222"/>
    </row>
    <row r="18" spans="1:18" ht="24" customHeight="1" x14ac:dyDescent="0.3">
      <c r="A18" s="49" t="s">
        <v>10</v>
      </c>
      <c r="B18" s="49" t="s">
        <v>11</v>
      </c>
      <c r="C18" s="50" t="s">
        <v>12</v>
      </c>
      <c r="D18" s="49" t="s">
        <v>13</v>
      </c>
      <c r="E18" s="49" t="s">
        <v>14</v>
      </c>
      <c r="F18" s="51" t="s">
        <v>15</v>
      </c>
      <c r="G18" s="52" t="s">
        <v>16</v>
      </c>
      <c r="H18" s="49" t="s">
        <v>17</v>
      </c>
      <c r="I18" s="53" t="s">
        <v>18</v>
      </c>
      <c r="J18" s="54" t="s">
        <v>19</v>
      </c>
      <c r="K18" s="55" t="s">
        <v>20</v>
      </c>
      <c r="L18" s="54" t="s">
        <v>21</v>
      </c>
      <c r="M18" s="54" t="s">
        <v>22</v>
      </c>
      <c r="N18" s="54" t="s">
        <v>23</v>
      </c>
      <c r="O18" s="49" t="s">
        <v>24</v>
      </c>
      <c r="P18" s="50" t="s">
        <v>25</v>
      </c>
      <c r="Q18" s="54" t="s">
        <v>26</v>
      </c>
      <c r="R18" s="49" t="s">
        <v>27</v>
      </c>
    </row>
    <row r="19" spans="1:18" ht="49.95" customHeight="1" thickTop="1" thickBot="1" x14ac:dyDescent="0.35">
      <c r="A19" s="123" t="s">
        <v>28</v>
      </c>
      <c r="B19" s="123" t="s">
        <v>279</v>
      </c>
      <c r="C19" s="124">
        <v>0.61111111111111105</v>
      </c>
      <c r="D19" s="123" t="s">
        <v>30</v>
      </c>
      <c r="E19" s="125"/>
      <c r="F19" s="123" t="s">
        <v>51</v>
      </c>
      <c r="G19" s="227"/>
      <c r="H19" s="150" t="s">
        <v>280</v>
      </c>
      <c r="I19" s="192">
        <v>0.16669999999999999</v>
      </c>
      <c r="J19" s="152">
        <v>28</v>
      </c>
      <c r="K19" s="153" t="s">
        <v>43</v>
      </c>
      <c r="L19" s="152">
        <v>15</v>
      </c>
      <c r="M19" s="152">
        <v>0</v>
      </c>
      <c r="N19" s="152">
        <v>4</v>
      </c>
      <c r="O19" s="154" t="s">
        <v>260</v>
      </c>
      <c r="P19" s="155">
        <v>0.61111111111111105</v>
      </c>
      <c r="Q19" s="152">
        <v>168</v>
      </c>
      <c r="R19" s="156" t="s">
        <v>285</v>
      </c>
    </row>
    <row r="20" spans="1:18" ht="17.399999999999999" customHeight="1" thickBot="1" x14ac:dyDescent="0.35">
      <c r="A20" s="252"/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4"/>
    </row>
    <row r="21" spans="1:18" ht="22.05" customHeight="1" thickTop="1" thickBot="1" x14ac:dyDescent="0.35">
      <c r="A21" s="223" t="s">
        <v>8</v>
      </c>
      <c r="B21" s="221"/>
      <c r="C21" s="221"/>
      <c r="D21" s="221"/>
      <c r="E21" s="221"/>
      <c r="F21" s="222"/>
      <c r="G21" s="48">
        <v>45996</v>
      </c>
      <c r="H21" s="220" t="s">
        <v>9</v>
      </c>
      <c r="I21" s="221"/>
      <c r="J21" s="221"/>
      <c r="K21" s="221"/>
      <c r="L21" s="221"/>
      <c r="M21" s="221"/>
      <c r="N21" s="221"/>
      <c r="O21" s="221"/>
      <c r="P21" s="221"/>
      <c r="Q21" s="221"/>
      <c r="R21" s="222"/>
    </row>
    <row r="22" spans="1:18" ht="24" customHeight="1" x14ac:dyDescent="0.3">
      <c r="A22" s="49" t="s">
        <v>10</v>
      </c>
      <c r="B22" s="49" t="s">
        <v>11</v>
      </c>
      <c r="C22" s="50" t="s">
        <v>12</v>
      </c>
      <c r="D22" s="49" t="s">
        <v>13</v>
      </c>
      <c r="E22" s="49" t="s">
        <v>14</v>
      </c>
      <c r="F22" s="51" t="s">
        <v>15</v>
      </c>
      <c r="G22" s="52" t="s">
        <v>16</v>
      </c>
      <c r="H22" s="49" t="s">
        <v>17</v>
      </c>
      <c r="I22" s="53" t="s">
        <v>18</v>
      </c>
      <c r="J22" s="54" t="s">
        <v>19</v>
      </c>
      <c r="K22" s="55" t="s">
        <v>20</v>
      </c>
      <c r="L22" s="54" t="s">
        <v>21</v>
      </c>
      <c r="M22" s="54" t="s">
        <v>22</v>
      </c>
      <c r="N22" s="54" t="s">
        <v>23</v>
      </c>
      <c r="O22" s="49" t="s">
        <v>24</v>
      </c>
      <c r="P22" s="50" t="s">
        <v>25</v>
      </c>
      <c r="Q22" s="54" t="s">
        <v>26</v>
      </c>
      <c r="R22" s="49" t="s">
        <v>27</v>
      </c>
    </row>
    <row r="23" spans="1:18" ht="49.95" customHeight="1" x14ac:dyDescent="0.3">
      <c r="A23" s="182" t="s">
        <v>28</v>
      </c>
      <c r="B23" s="182" t="s">
        <v>279</v>
      </c>
      <c r="C23" s="183">
        <v>0.60416666666666663</v>
      </c>
      <c r="D23" s="182" t="s">
        <v>30</v>
      </c>
      <c r="E23" s="184"/>
      <c r="F23" s="182" t="s">
        <v>51</v>
      </c>
      <c r="G23" s="224"/>
      <c r="H23" s="31" t="s">
        <v>280</v>
      </c>
      <c r="I23" s="129">
        <v>0.15479999999999999</v>
      </c>
      <c r="J23" s="33">
        <v>26</v>
      </c>
      <c r="K23" s="34" t="s">
        <v>71</v>
      </c>
      <c r="L23" s="33">
        <v>13</v>
      </c>
      <c r="M23" s="33">
        <v>0</v>
      </c>
      <c r="N23" s="33">
        <v>0</v>
      </c>
      <c r="O23" s="35" t="s">
        <v>260</v>
      </c>
      <c r="P23" s="36">
        <v>0.60416666666666663</v>
      </c>
      <c r="Q23" s="33">
        <v>168</v>
      </c>
      <c r="R23" s="37" t="s">
        <v>286</v>
      </c>
    </row>
    <row r="24" spans="1:18" ht="49.95" customHeight="1" thickBot="1" x14ac:dyDescent="0.35">
      <c r="A24" s="38" t="s">
        <v>28</v>
      </c>
      <c r="B24" s="38" t="s">
        <v>275</v>
      </c>
      <c r="C24" s="39">
        <v>0.92361111111111116</v>
      </c>
      <c r="D24" s="38" t="s">
        <v>30</v>
      </c>
      <c r="E24" s="40"/>
      <c r="F24" s="38" t="s">
        <v>51</v>
      </c>
      <c r="G24" s="226"/>
      <c r="H24" s="41" t="s">
        <v>276</v>
      </c>
      <c r="I24" s="193">
        <v>0.17860000000000001</v>
      </c>
      <c r="J24" s="43">
        <v>30</v>
      </c>
      <c r="K24" s="44" t="s">
        <v>38</v>
      </c>
      <c r="L24" s="43">
        <v>25</v>
      </c>
      <c r="M24" s="43">
        <v>0</v>
      </c>
      <c r="N24" s="43">
        <v>0</v>
      </c>
      <c r="O24" s="45" t="s">
        <v>260</v>
      </c>
      <c r="P24" s="46">
        <v>0.92361111111111116</v>
      </c>
      <c r="Q24" s="43">
        <v>168</v>
      </c>
      <c r="R24" s="47" t="s">
        <v>287</v>
      </c>
    </row>
    <row r="25" spans="1:18" ht="17.399999999999999" customHeight="1" thickBot="1" x14ac:dyDescent="0.35">
      <c r="A25" s="252"/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4"/>
    </row>
    <row r="26" spans="1:18" ht="22.05" customHeight="1" thickTop="1" thickBot="1" x14ac:dyDescent="0.35">
      <c r="A26" s="223" t="s">
        <v>8</v>
      </c>
      <c r="B26" s="221"/>
      <c r="C26" s="221"/>
      <c r="D26" s="221"/>
      <c r="E26" s="221"/>
      <c r="F26" s="222"/>
      <c r="G26" s="48">
        <v>45997</v>
      </c>
      <c r="H26" s="220" t="s">
        <v>9</v>
      </c>
      <c r="I26" s="221"/>
      <c r="J26" s="221"/>
      <c r="K26" s="221"/>
      <c r="L26" s="221"/>
      <c r="M26" s="221"/>
      <c r="N26" s="221"/>
      <c r="O26" s="221"/>
      <c r="P26" s="221"/>
      <c r="Q26" s="221"/>
      <c r="R26" s="222"/>
    </row>
    <row r="27" spans="1:18" ht="24" customHeight="1" x14ac:dyDescent="0.3">
      <c r="A27" s="49" t="s">
        <v>10</v>
      </c>
      <c r="B27" s="49" t="s">
        <v>11</v>
      </c>
      <c r="C27" s="50" t="s">
        <v>12</v>
      </c>
      <c r="D27" s="49" t="s">
        <v>13</v>
      </c>
      <c r="E27" s="49" t="s">
        <v>14</v>
      </c>
      <c r="F27" s="51" t="s">
        <v>15</v>
      </c>
      <c r="G27" s="52" t="s">
        <v>16</v>
      </c>
      <c r="H27" s="49" t="s">
        <v>17</v>
      </c>
      <c r="I27" s="53" t="s">
        <v>18</v>
      </c>
      <c r="J27" s="54" t="s">
        <v>19</v>
      </c>
      <c r="K27" s="55" t="s">
        <v>20</v>
      </c>
      <c r="L27" s="54" t="s">
        <v>21</v>
      </c>
      <c r="M27" s="54" t="s">
        <v>22</v>
      </c>
      <c r="N27" s="54" t="s">
        <v>23</v>
      </c>
      <c r="O27" s="49" t="s">
        <v>24</v>
      </c>
      <c r="P27" s="50" t="s">
        <v>25</v>
      </c>
      <c r="Q27" s="54" t="s">
        <v>26</v>
      </c>
      <c r="R27" s="49" t="s">
        <v>27</v>
      </c>
    </row>
    <row r="28" spans="1:18" ht="49.95" customHeight="1" thickTop="1" thickBot="1" x14ac:dyDescent="0.35">
      <c r="A28" s="110" t="s">
        <v>28</v>
      </c>
      <c r="B28" s="110" t="s">
        <v>279</v>
      </c>
      <c r="C28" s="111">
        <v>0.61111111111111105</v>
      </c>
      <c r="D28" s="110" t="s">
        <v>30</v>
      </c>
      <c r="E28" s="112"/>
      <c r="F28" s="110" t="s">
        <v>51</v>
      </c>
      <c r="G28" s="227"/>
      <c r="H28" s="175" t="s">
        <v>280</v>
      </c>
      <c r="I28" s="191">
        <v>7.7399999999999997E-2</v>
      </c>
      <c r="J28" s="177">
        <v>13</v>
      </c>
      <c r="K28" s="178" t="s">
        <v>43</v>
      </c>
      <c r="L28" s="177">
        <v>4</v>
      </c>
      <c r="M28" s="177">
        <v>0</v>
      </c>
      <c r="N28" s="177">
        <v>2</v>
      </c>
      <c r="O28" s="179" t="s">
        <v>260</v>
      </c>
      <c r="P28" s="180">
        <v>0.61111111111111105</v>
      </c>
      <c r="Q28" s="177">
        <v>168</v>
      </c>
      <c r="R28" s="181" t="s">
        <v>288</v>
      </c>
    </row>
    <row r="29" spans="1:18" ht="17.399999999999999" customHeight="1" thickBot="1" x14ac:dyDescent="0.35">
      <c r="A29" s="252"/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4"/>
    </row>
    <row r="30" spans="1:18" ht="22.05" customHeight="1" thickTop="1" thickBot="1" x14ac:dyDescent="0.35">
      <c r="A30" s="223" t="s">
        <v>8</v>
      </c>
      <c r="B30" s="221"/>
      <c r="C30" s="221"/>
      <c r="D30" s="221"/>
      <c r="E30" s="221"/>
      <c r="F30" s="222"/>
      <c r="G30" s="48">
        <v>45998</v>
      </c>
      <c r="H30" s="220" t="s">
        <v>9</v>
      </c>
      <c r="I30" s="221"/>
      <c r="J30" s="221"/>
      <c r="K30" s="221"/>
      <c r="L30" s="221"/>
      <c r="M30" s="221"/>
      <c r="N30" s="221"/>
      <c r="O30" s="221"/>
      <c r="P30" s="221"/>
      <c r="Q30" s="221"/>
      <c r="R30" s="222"/>
    </row>
    <row r="31" spans="1:18" ht="24" customHeight="1" x14ac:dyDescent="0.3">
      <c r="A31" s="49" t="s">
        <v>10</v>
      </c>
      <c r="B31" s="49" t="s">
        <v>11</v>
      </c>
      <c r="C31" s="50" t="s">
        <v>12</v>
      </c>
      <c r="D31" s="49" t="s">
        <v>13</v>
      </c>
      <c r="E31" s="49" t="s">
        <v>14</v>
      </c>
      <c r="F31" s="51" t="s">
        <v>15</v>
      </c>
      <c r="G31" s="52" t="s">
        <v>16</v>
      </c>
      <c r="H31" s="49" t="s">
        <v>17</v>
      </c>
      <c r="I31" s="53" t="s">
        <v>18</v>
      </c>
      <c r="J31" s="54" t="s">
        <v>19</v>
      </c>
      <c r="K31" s="55" t="s">
        <v>20</v>
      </c>
      <c r="L31" s="54" t="s">
        <v>21</v>
      </c>
      <c r="M31" s="54" t="s">
        <v>22</v>
      </c>
      <c r="N31" s="54" t="s">
        <v>23</v>
      </c>
      <c r="O31" s="49" t="s">
        <v>24</v>
      </c>
      <c r="P31" s="50" t="s">
        <v>25</v>
      </c>
      <c r="Q31" s="54" t="s">
        <v>26</v>
      </c>
      <c r="R31" s="49" t="s">
        <v>27</v>
      </c>
    </row>
    <row r="32" spans="1:18" ht="49.95" customHeight="1" thickTop="1" thickBot="1" x14ac:dyDescent="0.35">
      <c r="A32" s="110" t="s">
        <v>28</v>
      </c>
      <c r="B32" s="110" t="s">
        <v>279</v>
      </c>
      <c r="C32" s="111">
        <v>0.625</v>
      </c>
      <c r="D32" s="110" t="s">
        <v>30</v>
      </c>
      <c r="E32" s="112"/>
      <c r="F32" s="110" t="s">
        <v>51</v>
      </c>
      <c r="G32" s="227"/>
      <c r="H32" s="175" t="s">
        <v>280</v>
      </c>
      <c r="I32" s="191">
        <v>4.1700000000000001E-2</v>
      </c>
      <c r="J32" s="177">
        <v>7</v>
      </c>
      <c r="K32" s="178" t="s">
        <v>87</v>
      </c>
      <c r="L32" s="177">
        <v>1</v>
      </c>
      <c r="M32" s="177">
        <v>0</v>
      </c>
      <c r="N32" s="177">
        <v>0</v>
      </c>
      <c r="O32" s="179" t="s">
        <v>260</v>
      </c>
      <c r="P32" s="180">
        <v>0.625</v>
      </c>
      <c r="Q32" s="177">
        <v>168</v>
      </c>
      <c r="R32" s="181" t="s">
        <v>289</v>
      </c>
    </row>
    <row r="33" spans="1:18" ht="17.399999999999999" customHeight="1" thickBot="1" x14ac:dyDescent="0.35">
      <c r="A33" s="252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4"/>
    </row>
    <row r="34" spans="1:18" ht="22.05" customHeight="1" thickTop="1" thickBot="1" x14ac:dyDescent="0.35">
      <c r="A34" s="223" t="s">
        <v>8</v>
      </c>
      <c r="B34" s="221"/>
      <c r="C34" s="221"/>
      <c r="D34" s="221"/>
      <c r="E34" s="221"/>
      <c r="F34" s="222"/>
      <c r="G34" s="48">
        <v>45999</v>
      </c>
      <c r="H34" s="220" t="s">
        <v>9</v>
      </c>
      <c r="I34" s="221"/>
      <c r="J34" s="221"/>
      <c r="K34" s="221"/>
      <c r="L34" s="221"/>
      <c r="M34" s="221"/>
      <c r="N34" s="221"/>
      <c r="O34" s="221"/>
      <c r="P34" s="221"/>
      <c r="Q34" s="221"/>
      <c r="R34" s="222"/>
    </row>
    <row r="35" spans="1:18" ht="24" customHeight="1" x14ac:dyDescent="0.3">
      <c r="A35" s="49" t="s">
        <v>10</v>
      </c>
      <c r="B35" s="49" t="s">
        <v>11</v>
      </c>
      <c r="C35" s="50" t="s">
        <v>12</v>
      </c>
      <c r="D35" s="49" t="s">
        <v>13</v>
      </c>
      <c r="E35" s="49" t="s">
        <v>14</v>
      </c>
      <c r="F35" s="51" t="s">
        <v>15</v>
      </c>
      <c r="G35" s="52" t="s">
        <v>16</v>
      </c>
      <c r="H35" s="49" t="s">
        <v>17</v>
      </c>
      <c r="I35" s="53" t="s">
        <v>18</v>
      </c>
      <c r="J35" s="54" t="s">
        <v>19</v>
      </c>
      <c r="K35" s="55" t="s">
        <v>20</v>
      </c>
      <c r="L35" s="54" t="s">
        <v>21</v>
      </c>
      <c r="M35" s="54" t="s">
        <v>22</v>
      </c>
      <c r="N35" s="54" t="s">
        <v>23</v>
      </c>
      <c r="O35" s="49" t="s">
        <v>24</v>
      </c>
      <c r="P35" s="50" t="s">
        <v>25</v>
      </c>
      <c r="Q35" s="54" t="s">
        <v>26</v>
      </c>
      <c r="R35" s="49" t="s">
        <v>27</v>
      </c>
    </row>
    <row r="36" spans="1:18" ht="49.95" customHeight="1" thickTop="1" thickBot="1" x14ac:dyDescent="0.35">
      <c r="A36" s="194" t="s">
        <v>28</v>
      </c>
      <c r="B36" s="194" t="s">
        <v>275</v>
      </c>
      <c r="C36" s="195">
        <v>0.92361111111111116</v>
      </c>
      <c r="D36" s="194" t="s">
        <v>30</v>
      </c>
      <c r="E36" s="196"/>
      <c r="F36" s="194" t="s">
        <v>51</v>
      </c>
      <c r="G36" s="227"/>
      <c r="H36" s="197" t="s">
        <v>276</v>
      </c>
      <c r="I36" s="198">
        <v>8.9300000000000004E-2</v>
      </c>
      <c r="J36" s="199">
        <v>15</v>
      </c>
      <c r="K36" s="200" t="s">
        <v>87</v>
      </c>
      <c r="L36" s="199">
        <v>2</v>
      </c>
      <c r="M36" s="199">
        <v>0</v>
      </c>
      <c r="N36" s="199">
        <v>0</v>
      </c>
      <c r="O36" s="201" t="s">
        <v>260</v>
      </c>
      <c r="P36" s="202">
        <v>0.92361111111111116</v>
      </c>
      <c r="Q36" s="199">
        <v>168</v>
      </c>
      <c r="R36" s="203" t="s">
        <v>290</v>
      </c>
    </row>
    <row r="37" spans="1:18" ht="17.399999999999999" customHeight="1" thickBot="1" x14ac:dyDescent="0.35">
      <c r="A37" s="252"/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4"/>
    </row>
    <row r="38" spans="1:18" ht="22.05" customHeight="1" thickTop="1" thickBot="1" x14ac:dyDescent="0.35">
      <c r="A38" s="223" t="s">
        <v>8</v>
      </c>
      <c r="B38" s="221"/>
      <c r="C38" s="221"/>
      <c r="D38" s="221"/>
      <c r="E38" s="221"/>
      <c r="F38" s="222"/>
      <c r="G38" s="48">
        <v>46000</v>
      </c>
      <c r="H38" s="220" t="s">
        <v>9</v>
      </c>
      <c r="I38" s="221"/>
      <c r="J38" s="221"/>
      <c r="K38" s="221"/>
      <c r="L38" s="221"/>
      <c r="M38" s="221"/>
      <c r="N38" s="221"/>
      <c r="O38" s="221"/>
      <c r="P38" s="221"/>
      <c r="Q38" s="221"/>
      <c r="R38" s="222"/>
    </row>
    <row r="39" spans="1:18" ht="24" customHeight="1" x14ac:dyDescent="0.3">
      <c r="A39" s="49" t="s">
        <v>10</v>
      </c>
      <c r="B39" s="49" t="s">
        <v>11</v>
      </c>
      <c r="C39" s="50" t="s">
        <v>12</v>
      </c>
      <c r="D39" s="49" t="s">
        <v>13</v>
      </c>
      <c r="E39" s="49" t="s">
        <v>14</v>
      </c>
      <c r="F39" s="51" t="s">
        <v>15</v>
      </c>
      <c r="G39" s="52" t="s">
        <v>16</v>
      </c>
      <c r="H39" s="49" t="s">
        <v>17</v>
      </c>
      <c r="I39" s="53" t="s">
        <v>18</v>
      </c>
      <c r="J39" s="54" t="s">
        <v>19</v>
      </c>
      <c r="K39" s="55" t="s">
        <v>20</v>
      </c>
      <c r="L39" s="54" t="s">
        <v>21</v>
      </c>
      <c r="M39" s="54" t="s">
        <v>22</v>
      </c>
      <c r="N39" s="54" t="s">
        <v>23</v>
      </c>
      <c r="O39" s="49" t="s">
        <v>24</v>
      </c>
      <c r="P39" s="50" t="s">
        <v>25</v>
      </c>
      <c r="Q39" s="54" t="s">
        <v>26</v>
      </c>
      <c r="R39" s="49" t="s">
        <v>27</v>
      </c>
    </row>
    <row r="40" spans="1:18" ht="49.95" customHeight="1" thickTop="1" thickBot="1" x14ac:dyDescent="0.5">
      <c r="A40" s="182" t="s">
        <v>28</v>
      </c>
      <c r="B40" s="182" t="s">
        <v>275</v>
      </c>
      <c r="C40" s="183">
        <v>0.91319444444444453</v>
      </c>
      <c r="D40" s="182" t="s">
        <v>30</v>
      </c>
      <c r="E40" s="184"/>
      <c r="F40" s="182" t="s">
        <v>51</v>
      </c>
      <c r="G40" s="224"/>
      <c r="H40" s="134" t="s">
        <v>276</v>
      </c>
      <c r="I40" s="204">
        <v>8.9300000000000004E-2</v>
      </c>
      <c r="J40" s="136">
        <v>15</v>
      </c>
      <c r="K40" s="137" t="s">
        <v>71</v>
      </c>
      <c r="L40" s="136">
        <v>7</v>
      </c>
      <c r="M40" s="136">
        <v>0</v>
      </c>
      <c r="N40" s="136">
        <v>0</v>
      </c>
      <c r="O40" s="138" t="s">
        <v>260</v>
      </c>
      <c r="P40" s="139">
        <v>0.91319444444444453</v>
      </c>
      <c r="Q40" s="136">
        <v>168</v>
      </c>
      <c r="R40" s="140" t="s">
        <v>291</v>
      </c>
    </row>
    <row r="41" spans="1:18" ht="17.399999999999999" customHeight="1" thickBot="1" x14ac:dyDescent="0.35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  <row r="42" spans="1:18" ht="22.05" customHeight="1" thickTop="1" thickBot="1" x14ac:dyDescent="0.35">
      <c r="A42" s="223" t="s">
        <v>8</v>
      </c>
      <c r="B42" s="221"/>
      <c r="C42" s="221"/>
      <c r="D42" s="221"/>
      <c r="E42" s="221"/>
      <c r="F42" s="222"/>
      <c r="G42" s="48">
        <v>46001</v>
      </c>
      <c r="H42" s="220" t="s">
        <v>9</v>
      </c>
      <c r="I42" s="221"/>
      <c r="J42" s="221"/>
      <c r="K42" s="221"/>
      <c r="L42" s="221"/>
      <c r="M42" s="221"/>
      <c r="N42" s="221"/>
      <c r="O42" s="221"/>
      <c r="P42" s="221"/>
      <c r="Q42" s="221"/>
      <c r="R42" s="222"/>
    </row>
    <row r="43" spans="1:18" ht="24" customHeight="1" x14ac:dyDescent="0.3">
      <c r="A43" s="49" t="s">
        <v>10</v>
      </c>
      <c r="B43" s="49" t="s">
        <v>11</v>
      </c>
      <c r="C43" s="50" t="s">
        <v>12</v>
      </c>
      <c r="D43" s="49" t="s">
        <v>13</v>
      </c>
      <c r="E43" s="49" t="s">
        <v>14</v>
      </c>
      <c r="F43" s="51" t="s">
        <v>15</v>
      </c>
      <c r="G43" s="52" t="s">
        <v>16</v>
      </c>
      <c r="H43" s="49" t="s">
        <v>17</v>
      </c>
      <c r="I43" s="53" t="s">
        <v>18</v>
      </c>
      <c r="J43" s="54" t="s">
        <v>19</v>
      </c>
      <c r="K43" s="55" t="s">
        <v>20</v>
      </c>
      <c r="L43" s="54" t="s">
        <v>21</v>
      </c>
      <c r="M43" s="54" t="s">
        <v>22</v>
      </c>
      <c r="N43" s="54" t="s">
        <v>23</v>
      </c>
      <c r="O43" s="49" t="s">
        <v>24</v>
      </c>
      <c r="P43" s="50" t="s">
        <v>25</v>
      </c>
      <c r="Q43" s="54" t="s">
        <v>26</v>
      </c>
      <c r="R43" s="49" t="s">
        <v>27</v>
      </c>
    </row>
    <row r="44" spans="1:18" ht="49.95" customHeight="1" x14ac:dyDescent="0.3">
      <c r="A44" s="182" t="s">
        <v>28</v>
      </c>
      <c r="B44" s="182" t="s">
        <v>279</v>
      </c>
      <c r="C44" s="183">
        <v>0.61111111111111105</v>
      </c>
      <c r="D44" s="182" t="s">
        <v>30</v>
      </c>
      <c r="E44" s="184"/>
      <c r="F44" s="182" t="s">
        <v>51</v>
      </c>
      <c r="G44" s="224"/>
      <c r="H44" s="31" t="s">
        <v>280</v>
      </c>
      <c r="I44" s="129">
        <v>0.13689999999999999</v>
      </c>
      <c r="J44" s="33">
        <v>23</v>
      </c>
      <c r="K44" s="34" t="s">
        <v>87</v>
      </c>
      <c r="L44" s="33">
        <v>7</v>
      </c>
      <c r="M44" s="33">
        <v>0</v>
      </c>
      <c r="N44" s="33">
        <v>0</v>
      </c>
      <c r="O44" s="35" t="s">
        <v>260</v>
      </c>
      <c r="P44" s="36">
        <v>0.61111111111111105</v>
      </c>
      <c r="Q44" s="33">
        <v>168</v>
      </c>
      <c r="R44" s="37" t="s">
        <v>292</v>
      </c>
    </row>
    <row r="45" spans="1:18" ht="49.95" customHeight="1" x14ac:dyDescent="0.3">
      <c r="A45" s="205" t="s">
        <v>28</v>
      </c>
      <c r="B45" s="205" t="s">
        <v>275</v>
      </c>
      <c r="C45" s="206">
        <v>0.92361111111111116</v>
      </c>
      <c r="D45" s="205" t="s">
        <v>30</v>
      </c>
      <c r="E45" s="207"/>
      <c r="F45" s="205" t="s">
        <v>51</v>
      </c>
      <c r="G45" s="226"/>
      <c r="H45" s="197" t="s">
        <v>276</v>
      </c>
      <c r="I45" s="198">
        <v>0.11899999999999999</v>
      </c>
      <c r="J45" s="199">
        <v>20</v>
      </c>
      <c r="K45" s="200" t="s">
        <v>43</v>
      </c>
      <c r="L45" s="199">
        <v>8</v>
      </c>
      <c r="M45" s="199">
        <v>0</v>
      </c>
      <c r="N45" s="199">
        <v>4</v>
      </c>
      <c r="O45" s="201" t="s">
        <v>80</v>
      </c>
      <c r="P45" s="202">
        <v>0.92361111111111116</v>
      </c>
      <c r="Q45" s="199">
        <v>168</v>
      </c>
      <c r="R45" s="203" t="s">
        <v>293</v>
      </c>
    </row>
  </sheetData>
  <mergeCells count="46">
    <mergeCell ref="G44:G45"/>
    <mergeCell ref="H12:R12"/>
    <mergeCell ref="A11:R11"/>
    <mergeCell ref="H42:R42"/>
    <mergeCell ref="N1:R1"/>
    <mergeCell ref="A38:F38"/>
    <mergeCell ref="A20:R20"/>
    <mergeCell ref="H17:R17"/>
    <mergeCell ref="A29:R29"/>
    <mergeCell ref="K2:R2"/>
    <mergeCell ref="A34:F34"/>
    <mergeCell ref="G19"/>
    <mergeCell ref="A30:F30"/>
    <mergeCell ref="G10"/>
    <mergeCell ref="G28"/>
    <mergeCell ref="G6"/>
    <mergeCell ref="A42:F42"/>
    <mergeCell ref="H34:R34"/>
    <mergeCell ref="A33:R33"/>
    <mergeCell ref="A8:F8"/>
    <mergeCell ref="H21:R21"/>
    <mergeCell ref="A17:F17"/>
    <mergeCell ref="G36"/>
    <mergeCell ref="G14:G15"/>
    <mergeCell ref="A41:R41"/>
    <mergeCell ref="A16:R16"/>
    <mergeCell ref="H38:R38"/>
    <mergeCell ref="H1:L1"/>
    <mergeCell ref="A1:E1"/>
    <mergeCell ref="A12:F12"/>
    <mergeCell ref="A37:R37"/>
    <mergeCell ref="A26:F26"/>
    <mergeCell ref="G32"/>
    <mergeCell ref="A21:F21"/>
    <mergeCell ref="H4:R4"/>
    <mergeCell ref="G40"/>
    <mergeCell ref="A2:F2"/>
    <mergeCell ref="A3:R3"/>
    <mergeCell ref="G2:J2"/>
    <mergeCell ref="A4:F4"/>
    <mergeCell ref="H30:R30"/>
    <mergeCell ref="H8:R8"/>
    <mergeCell ref="H26:R26"/>
    <mergeCell ref="G23:G24"/>
    <mergeCell ref="A7:R7"/>
    <mergeCell ref="A25:R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5"/>
  <sheetViews>
    <sheetView workbookViewId="0"/>
  </sheetViews>
  <sheetFormatPr defaultRowHeight="15.6" outlineLevelCol="1" x14ac:dyDescent="0.3"/>
  <cols>
    <col min="1" max="1" width="11.5546875" style="239" bestFit="1" customWidth="1"/>
    <col min="2" max="2" width="10.109375" style="239" bestFit="1" customWidth="1"/>
    <col min="3" max="3" width="6.77734375" style="239" bestFit="1" customWidth="1"/>
    <col min="4" max="4" width="5.5546875" style="239" bestFit="1" customWidth="1"/>
    <col min="5" max="5" width="8.33203125" style="239" bestFit="1" customWidth="1"/>
    <col min="6" max="6" width="4.21875" style="239" bestFit="1" customWidth="1"/>
    <col min="7" max="7" width="10" style="239" bestFit="1" customWidth="1"/>
    <col min="8" max="8" width="8.5546875" style="239" bestFit="1" customWidth="1"/>
    <col min="9" max="10" width="7" style="239" bestFit="1" customWidth="1"/>
    <col min="11" max="11" width="10.5546875" style="239" bestFit="1" customWidth="1"/>
    <col min="12" max="12" width="18.109375" style="239" bestFit="1" customWidth="1"/>
    <col min="13" max="13" width="7.6640625" style="239" bestFit="1" customWidth="1" outlineLevel="1"/>
    <col min="14" max="14" width="6.33203125" style="239" bestFit="1" customWidth="1" outlineLevel="1"/>
    <col min="15" max="15" width="8" style="239" bestFit="1" customWidth="1" outlineLevel="1"/>
    <col min="16" max="16" width="13.6640625" style="239" bestFit="1" customWidth="1"/>
    <col min="17" max="30" width="3.88671875" style="239" bestFit="1" customWidth="1"/>
    <col min="31" max="31" width="4.5546875" style="239" bestFit="1" customWidth="1"/>
    <col min="32" max="36" width="3.88671875" style="239" bestFit="1" customWidth="1"/>
    <col min="37" max="16384" width="8.88671875" style="239"/>
  </cols>
  <sheetData>
    <row r="1" spans="1:36" x14ac:dyDescent="0.3">
      <c r="A1" s="238" t="s">
        <v>136</v>
      </c>
      <c r="B1" s="238" t="s">
        <v>137</v>
      </c>
      <c r="C1" s="238" t="s">
        <v>138</v>
      </c>
      <c r="D1" s="238" t="s">
        <v>25</v>
      </c>
      <c r="E1" s="238" t="s">
        <v>139</v>
      </c>
      <c r="F1" s="238" t="s">
        <v>140</v>
      </c>
      <c r="G1" s="238" t="s">
        <v>18</v>
      </c>
      <c r="H1" s="238" t="s">
        <v>141</v>
      </c>
      <c r="I1" s="238" t="s">
        <v>142</v>
      </c>
      <c r="J1" s="238" t="s">
        <v>143</v>
      </c>
      <c r="K1" s="238" t="s">
        <v>144</v>
      </c>
      <c r="L1" s="238" t="s">
        <v>20</v>
      </c>
      <c r="M1" s="238" t="s">
        <v>22</v>
      </c>
      <c r="N1" s="238" t="s">
        <v>23</v>
      </c>
      <c r="O1" s="238" t="s">
        <v>21</v>
      </c>
      <c r="P1" s="238" t="s">
        <v>24</v>
      </c>
      <c r="Q1" s="238" t="s">
        <v>145</v>
      </c>
      <c r="R1" s="238" t="s">
        <v>146</v>
      </c>
      <c r="S1" s="238" t="s">
        <v>147</v>
      </c>
      <c r="T1" s="238" t="s">
        <v>148</v>
      </c>
      <c r="U1" s="238" t="s">
        <v>149</v>
      </c>
      <c r="V1" s="238" t="s">
        <v>150</v>
      </c>
      <c r="W1" s="238" t="s">
        <v>151</v>
      </c>
      <c r="X1" s="238" t="s">
        <v>152</v>
      </c>
      <c r="Y1" s="238" t="s">
        <v>153</v>
      </c>
      <c r="Z1" s="238" t="s">
        <v>154</v>
      </c>
      <c r="AA1" s="238" t="s">
        <v>155</v>
      </c>
      <c r="AB1" s="238" t="s">
        <v>156</v>
      </c>
      <c r="AC1" s="238" t="s">
        <v>157</v>
      </c>
      <c r="AD1" s="238" t="s">
        <v>158</v>
      </c>
      <c r="AE1" s="238" t="s">
        <v>159</v>
      </c>
      <c r="AF1" s="238" t="s">
        <v>160</v>
      </c>
      <c r="AG1" s="238" t="s">
        <v>161</v>
      </c>
      <c r="AH1" s="238" t="s">
        <v>162</v>
      </c>
      <c r="AI1" s="238" t="s">
        <v>163</v>
      </c>
      <c r="AJ1" s="238" t="s">
        <v>164</v>
      </c>
    </row>
    <row r="2" spans="1:36" x14ac:dyDescent="0.3">
      <c r="A2" s="240" t="s">
        <v>165</v>
      </c>
      <c r="B2" s="241">
        <v>45992</v>
      </c>
      <c r="C2" s="242" t="s">
        <v>276</v>
      </c>
      <c r="D2" s="243" t="s">
        <v>294</v>
      </c>
      <c r="E2" s="242" t="s">
        <v>274</v>
      </c>
      <c r="F2" s="242" t="s">
        <v>167</v>
      </c>
      <c r="G2" s="244">
        <v>3.5700000000000003E-2</v>
      </c>
      <c r="H2" s="245">
        <v>168</v>
      </c>
      <c r="I2" s="245">
        <v>6</v>
      </c>
      <c r="J2" s="245">
        <v>0</v>
      </c>
      <c r="K2" s="242" t="s">
        <v>168</v>
      </c>
      <c r="L2" s="246" t="s">
        <v>43</v>
      </c>
      <c r="M2" s="245">
        <v>0</v>
      </c>
      <c r="N2" s="245">
        <v>1</v>
      </c>
      <c r="O2" s="245">
        <v>4</v>
      </c>
      <c r="P2" s="242" t="s">
        <v>260</v>
      </c>
      <c r="Q2" s="238"/>
      <c r="R2" s="238"/>
      <c r="S2" s="238"/>
      <c r="T2" s="238"/>
      <c r="U2" s="238"/>
      <c r="V2" s="245" t="s">
        <v>295</v>
      </c>
      <c r="W2" s="238"/>
      <c r="X2" s="238"/>
      <c r="Y2" s="238"/>
      <c r="Z2" s="238"/>
      <c r="AA2" s="238"/>
      <c r="AB2" s="238"/>
      <c r="AC2" s="238"/>
      <c r="AD2" s="238"/>
      <c r="AE2" s="238"/>
      <c r="AF2" s="245" t="s">
        <v>250</v>
      </c>
      <c r="AG2" s="238"/>
      <c r="AH2" s="238"/>
      <c r="AI2" s="238"/>
      <c r="AJ2" s="238"/>
    </row>
    <row r="3" spans="1:36" x14ac:dyDescent="0.3">
      <c r="A3" s="240" t="s">
        <v>189</v>
      </c>
      <c r="B3" s="241">
        <v>45993</v>
      </c>
      <c r="C3" s="242" t="s">
        <v>276</v>
      </c>
      <c r="D3" s="243" t="s">
        <v>296</v>
      </c>
      <c r="E3" s="242" t="s">
        <v>274</v>
      </c>
      <c r="F3" s="242" t="s">
        <v>167</v>
      </c>
      <c r="G3" s="244">
        <v>8.9300000000000004E-2</v>
      </c>
      <c r="H3" s="245">
        <v>168</v>
      </c>
      <c r="I3" s="245">
        <v>15</v>
      </c>
      <c r="J3" s="245">
        <v>0</v>
      </c>
      <c r="K3" s="242" t="s">
        <v>168</v>
      </c>
      <c r="L3" s="246" t="s">
        <v>43</v>
      </c>
      <c r="M3" s="245">
        <v>0</v>
      </c>
      <c r="N3" s="245">
        <v>1</v>
      </c>
      <c r="O3" s="245">
        <v>7</v>
      </c>
      <c r="P3" s="242" t="s">
        <v>74</v>
      </c>
      <c r="Q3" s="238"/>
      <c r="R3" s="238"/>
      <c r="S3" s="238"/>
      <c r="T3" s="238"/>
      <c r="U3" s="238"/>
      <c r="V3" s="238"/>
      <c r="W3" s="238"/>
      <c r="X3" s="238"/>
      <c r="Y3" s="238"/>
      <c r="Z3" s="245" t="s">
        <v>184</v>
      </c>
      <c r="AA3" s="238"/>
      <c r="AB3" s="238"/>
      <c r="AC3" s="238"/>
      <c r="AD3" s="238"/>
      <c r="AE3" s="238"/>
      <c r="AF3" s="245" t="s">
        <v>209</v>
      </c>
      <c r="AG3" s="238"/>
      <c r="AH3" s="238"/>
      <c r="AI3" s="238"/>
      <c r="AJ3" s="245" t="s">
        <v>200</v>
      </c>
    </row>
    <row r="4" spans="1:36" x14ac:dyDescent="0.3">
      <c r="A4" s="240" t="s">
        <v>205</v>
      </c>
      <c r="B4" s="241">
        <v>45994</v>
      </c>
      <c r="C4" s="242" t="s">
        <v>280</v>
      </c>
      <c r="D4" s="243" t="s">
        <v>297</v>
      </c>
      <c r="E4" s="242" t="s">
        <v>274</v>
      </c>
      <c r="F4" s="242" t="s">
        <v>167</v>
      </c>
      <c r="G4" s="244">
        <v>0.1429</v>
      </c>
      <c r="H4" s="245">
        <v>168</v>
      </c>
      <c r="I4" s="245">
        <v>24</v>
      </c>
      <c r="J4" s="245">
        <v>0</v>
      </c>
      <c r="K4" s="242" t="s">
        <v>168</v>
      </c>
      <c r="L4" s="246" t="s">
        <v>71</v>
      </c>
      <c r="M4" s="245">
        <v>0</v>
      </c>
      <c r="N4" s="245">
        <v>0</v>
      </c>
      <c r="O4" s="245">
        <v>12</v>
      </c>
      <c r="P4" s="242" t="s">
        <v>260</v>
      </c>
      <c r="Q4" s="238"/>
      <c r="R4" s="238"/>
      <c r="S4" s="238"/>
      <c r="T4" s="238"/>
      <c r="U4" s="238"/>
      <c r="V4" s="245" t="s">
        <v>295</v>
      </c>
      <c r="W4" s="238"/>
      <c r="X4" s="238"/>
      <c r="Y4" s="238"/>
      <c r="Z4" s="245" t="s">
        <v>184</v>
      </c>
      <c r="AA4" s="238"/>
      <c r="AB4" s="238"/>
      <c r="AC4" s="238"/>
      <c r="AD4" s="238"/>
      <c r="AE4" s="245" t="s">
        <v>215</v>
      </c>
      <c r="AF4" s="245" t="s">
        <v>186</v>
      </c>
      <c r="AG4" s="238"/>
      <c r="AH4" s="238"/>
      <c r="AI4" s="238"/>
      <c r="AJ4" s="238"/>
    </row>
    <row r="5" spans="1:36" x14ac:dyDescent="0.3">
      <c r="A5" s="240" t="s">
        <v>205</v>
      </c>
      <c r="B5" s="241">
        <v>45994</v>
      </c>
      <c r="C5" s="242" t="s">
        <v>276</v>
      </c>
      <c r="D5" s="243" t="s">
        <v>294</v>
      </c>
      <c r="E5" s="242" t="s">
        <v>274</v>
      </c>
      <c r="F5" s="242" t="s">
        <v>167</v>
      </c>
      <c r="G5" s="244">
        <v>8.3299999999999999E-2</v>
      </c>
      <c r="H5" s="245">
        <v>168</v>
      </c>
      <c r="I5" s="245">
        <v>14</v>
      </c>
      <c r="J5" s="245">
        <v>0</v>
      </c>
      <c r="K5" s="242" t="s">
        <v>168</v>
      </c>
      <c r="L5" s="246" t="s">
        <v>282</v>
      </c>
      <c r="M5" s="245">
        <v>3</v>
      </c>
      <c r="N5" s="245">
        <v>5</v>
      </c>
      <c r="O5" s="245">
        <v>9</v>
      </c>
      <c r="P5" s="242" t="s">
        <v>283</v>
      </c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238"/>
      <c r="AC5" s="238"/>
      <c r="AD5" s="238"/>
      <c r="AE5" s="245" t="s">
        <v>215</v>
      </c>
      <c r="AF5" s="245" t="s">
        <v>240</v>
      </c>
      <c r="AG5" s="238"/>
      <c r="AH5" s="238"/>
      <c r="AI5" s="238"/>
      <c r="AJ5" s="238"/>
    </row>
    <row r="6" spans="1:36" x14ac:dyDescent="0.3">
      <c r="A6" s="240" t="s">
        <v>211</v>
      </c>
      <c r="B6" s="241">
        <v>45995</v>
      </c>
      <c r="C6" s="242" t="s">
        <v>280</v>
      </c>
      <c r="D6" s="243" t="s">
        <v>297</v>
      </c>
      <c r="E6" s="242" t="s">
        <v>274</v>
      </c>
      <c r="F6" s="242" t="s">
        <v>167</v>
      </c>
      <c r="G6" s="244">
        <v>0.16669999999999999</v>
      </c>
      <c r="H6" s="245">
        <v>168</v>
      </c>
      <c r="I6" s="245">
        <v>28</v>
      </c>
      <c r="J6" s="245">
        <v>0</v>
      </c>
      <c r="K6" s="242" t="s">
        <v>168</v>
      </c>
      <c r="L6" s="246" t="s">
        <v>43</v>
      </c>
      <c r="M6" s="245">
        <v>0</v>
      </c>
      <c r="N6" s="245">
        <v>4</v>
      </c>
      <c r="O6" s="245">
        <v>15</v>
      </c>
      <c r="P6" s="242" t="s">
        <v>260</v>
      </c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45" t="s">
        <v>120</v>
      </c>
      <c r="AE6" s="245" t="s">
        <v>185</v>
      </c>
      <c r="AF6" s="245" t="s">
        <v>80</v>
      </c>
      <c r="AG6" s="238"/>
      <c r="AH6" s="238"/>
      <c r="AI6" s="238"/>
      <c r="AJ6" s="238"/>
    </row>
    <row r="7" spans="1:36" x14ac:dyDescent="0.3">
      <c r="A7" s="240" t="s">
        <v>230</v>
      </c>
      <c r="B7" s="241">
        <v>45996</v>
      </c>
      <c r="C7" s="242" t="s">
        <v>280</v>
      </c>
      <c r="D7" s="243" t="s">
        <v>298</v>
      </c>
      <c r="E7" s="242" t="s">
        <v>274</v>
      </c>
      <c r="F7" s="242" t="s">
        <v>167</v>
      </c>
      <c r="G7" s="244">
        <v>0.15479999999999999</v>
      </c>
      <c r="H7" s="245">
        <v>168</v>
      </c>
      <c r="I7" s="245">
        <v>26</v>
      </c>
      <c r="J7" s="245">
        <v>0</v>
      </c>
      <c r="K7" s="242" t="s">
        <v>168</v>
      </c>
      <c r="L7" s="246" t="s">
        <v>71</v>
      </c>
      <c r="M7" s="245">
        <v>0</v>
      </c>
      <c r="N7" s="245">
        <v>0</v>
      </c>
      <c r="O7" s="245">
        <v>13</v>
      </c>
      <c r="P7" s="242" t="s">
        <v>260</v>
      </c>
      <c r="Q7" s="238"/>
      <c r="R7" s="238"/>
      <c r="S7" s="238"/>
      <c r="T7" s="238"/>
      <c r="U7" s="238"/>
      <c r="V7" s="245" t="s">
        <v>295</v>
      </c>
      <c r="W7" s="238"/>
      <c r="X7" s="238"/>
      <c r="Y7" s="238"/>
      <c r="Z7" s="245" t="s">
        <v>184</v>
      </c>
      <c r="AA7" s="238"/>
      <c r="AB7" s="238"/>
      <c r="AC7" s="238"/>
      <c r="AD7" s="238"/>
      <c r="AE7" s="245" t="s">
        <v>299</v>
      </c>
      <c r="AF7" s="245" t="s">
        <v>267</v>
      </c>
      <c r="AG7" s="238"/>
      <c r="AH7" s="238"/>
      <c r="AI7" s="238"/>
      <c r="AJ7" s="238"/>
    </row>
    <row r="8" spans="1:36" x14ac:dyDescent="0.3">
      <c r="A8" s="240" t="s">
        <v>230</v>
      </c>
      <c r="B8" s="241">
        <v>45996</v>
      </c>
      <c r="C8" s="242" t="s">
        <v>276</v>
      </c>
      <c r="D8" s="243" t="s">
        <v>294</v>
      </c>
      <c r="E8" s="242" t="s">
        <v>274</v>
      </c>
      <c r="F8" s="242" t="s">
        <v>167</v>
      </c>
      <c r="G8" s="244">
        <v>0.17860000000000001</v>
      </c>
      <c r="H8" s="245">
        <v>168</v>
      </c>
      <c r="I8" s="245">
        <v>30</v>
      </c>
      <c r="J8" s="245">
        <v>0</v>
      </c>
      <c r="K8" s="242" t="s">
        <v>168</v>
      </c>
      <c r="L8" s="246" t="s">
        <v>38</v>
      </c>
      <c r="M8" s="245">
        <v>0</v>
      </c>
      <c r="N8" s="245">
        <v>0</v>
      </c>
      <c r="O8" s="245">
        <v>25</v>
      </c>
      <c r="P8" s="242" t="s">
        <v>260</v>
      </c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45" t="s">
        <v>300</v>
      </c>
      <c r="AF8" s="245" t="s">
        <v>267</v>
      </c>
      <c r="AG8" s="238"/>
      <c r="AH8" s="238"/>
      <c r="AI8" s="238"/>
      <c r="AJ8" s="238"/>
    </row>
    <row r="9" spans="1:36" x14ac:dyDescent="0.3">
      <c r="A9" s="240" t="s">
        <v>245</v>
      </c>
      <c r="B9" s="241">
        <v>45997</v>
      </c>
      <c r="C9" s="242" t="s">
        <v>280</v>
      </c>
      <c r="D9" s="243" t="s">
        <v>297</v>
      </c>
      <c r="E9" s="242" t="s">
        <v>274</v>
      </c>
      <c r="F9" s="242" t="s">
        <v>167</v>
      </c>
      <c r="G9" s="244">
        <v>7.7399999999999997E-2</v>
      </c>
      <c r="H9" s="245">
        <v>168</v>
      </c>
      <c r="I9" s="245">
        <v>13</v>
      </c>
      <c r="J9" s="245">
        <v>0</v>
      </c>
      <c r="K9" s="242" t="s">
        <v>168</v>
      </c>
      <c r="L9" s="246" t="s">
        <v>43</v>
      </c>
      <c r="M9" s="245">
        <v>0</v>
      </c>
      <c r="N9" s="245">
        <v>2</v>
      </c>
      <c r="O9" s="245">
        <v>4</v>
      </c>
      <c r="P9" s="242" t="s">
        <v>260</v>
      </c>
      <c r="Q9" s="238"/>
      <c r="R9" s="238"/>
      <c r="S9" s="238"/>
      <c r="T9" s="238"/>
      <c r="U9" s="238"/>
      <c r="V9" s="245" t="s">
        <v>295</v>
      </c>
      <c r="W9" s="238"/>
      <c r="X9" s="238"/>
      <c r="Y9" s="238"/>
      <c r="Z9" s="238"/>
      <c r="AA9" s="238"/>
      <c r="AB9" s="238"/>
      <c r="AC9" s="238"/>
      <c r="AD9" s="238"/>
      <c r="AE9" s="238"/>
      <c r="AF9" s="245" t="s">
        <v>240</v>
      </c>
      <c r="AG9" s="238"/>
      <c r="AH9" s="238"/>
      <c r="AI9" s="238"/>
      <c r="AJ9" s="238"/>
    </row>
    <row r="10" spans="1:36" x14ac:dyDescent="0.3">
      <c r="A10" s="240" t="s">
        <v>254</v>
      </c>
      <c r="B10" s="241">
        <v>45998</v>
      </c>
      <c r="C10" s="242" t="s">
        <v>280</v>
      </c>
      <c r="D10" s="243" t="s">
        <v>301</v>
      </c>
      <c r="E10" s="242" t="s">
        <v>274</v>
      </c>
      <c r="F10" s="242" t="s">
        <v>167</v>
      </c>
      <c r="G10" s="244">
        <v>4.1700000000000001E-2</v>
      </c>
      <c r="H10" s="245">
        <v>168</v>
      </c>
      <c r="I10" s="245">
        <v>7</v>
      </c>
      <c r="J10" s="245">
        <v>0</v>
      </c>
      <c r="K10" s="242" t="s">
        <v>168</v>
      </c>
      <c r="L10" s="246" t="s">
        <v>87</v>
      </c>
      <c r="M10" s="245">
        <v>0</v>
      </c>
      <c r="N10" s="245">
        <v>0</v>
      </c>
      <c r="O10" s="245">
        <v>1</v>
      </c>
      <c r="P10" s="242" t="s">
        <v>260</v>
      </c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45" t="s">
        <v>56</v>
      </c>
      <c r="AF10" s="245" t="s">
        <v>123</v>
      </c>
      <c r="AG10" s="238"/>
      <c r="AH10" s="238"/>
      <c r="AI10" s="238"/>
      <c r="AJ10" s="238"/>
    </row>
    <row r="11" spans="1:36" x14ac:dyDescent="0.3">
      <c r="A11" s="240" t="s">
        <v>165</v>
      </c>
      <c r="B11" s="241">
        <v>45999</v>
      </c>
      <c r="C11" s="242" t="s">
        <v>276</v>
      </c>
      <c r="D11" s="243" t="s">
        <v>294</v>
      </c>
      <c r="E11" s="242" t="s">
        <v>274</v>
      </c>
      <c r="F11" s="242" t="s">
        <v>167</v>
      </c>
      <c r="G11" s="244">
        <v>8.9300000000000004E-2</v>
      </c>
      <c r="H11" s="245">
        <v>168</v>
      </c>
      <c r="I11" s="245">
        <v>15</v>
      </c>
      <c r="J11" s="245">
        <v>0</v>
      </c>
      <c r="K11" s="242" t="s">
        <v>168</v>
      </c>
      <c r="L11" s="246" t="s">
        <v>87</v>
      </c>
      <c r="M11" s="245">
        <v>0</v>
      </c>
      <c r="N11" s="245">
        <v>0</v>
      </c>
      <c r="O11" s="245">
        <v>2</v>
      </c>
      <c r="P11" s="242" t="s">
        <v>260</v>
      </c>
      <c r="Q11" s="238"/>
      <c r="R11" s="238"/>
      <c r="S11" s="238"/>
      <c r="T11" s="238"/>
      <c r="U11" s="238"/>
      <c r="V11" s="238"/>
      <c r="W11" s="238"/>
      <c r="X11" s="238"/>
      <c r="Y11" s="238"/>
      <c r="Z11" s="245" t="s">
        <v>184</v>
      </c>
      <c r="AA11" s="238"/>
      <c r="AB11" s="238"/>
      <c r="AC11" s="238"/>
      <c r="AD11" s="245" t="s">
        <v>235</v>
      </c>
      <c r="AE11" s="245" t="s">
        <v>56</v>
      </c>
      <c r="AF11" s="245" t="s">
        <v>260</v>
      </c>
      <c r="AG11" s="238"/>
      <c r="AH11" s="238"/>
      <c r="AI11" s="238"/>
      <c r="AJ11" s="238"/>
    </row>
    <row r="12" spans="1:36" x14ac:dyDescent="0.3">
      <c r="A12" s="240" t="s">
        <v>189</v>
      </c>
      <c r="B12" s="241">
        <v>46000</v>
      </c>
      <c r="C12" s="242" t="s">
        <v>276</v>
      </c>
      <c r="D12" s="243" t="s">
        <v>296</v>
      </c>
      <c r="E12" s="242" t="s">
        <v>274</v>
      </c>
      <c r="F12" s="242" t="s">
        <v>167</v>
      </c>
      <c r="G12" s="244">
        <v>8.9300000000000004E-2</v>
      </c>
      <c r="H12" s="245">
        <v>168</v>
      </c>
      <c r="I12" s="245">
        <v>15</v>
      </c>
      <c r="J12" s="245">
        <v>0</v>
      </c>
      <c r="K12" s="242" t="s">
        <v>168</v>
      </c>
      <c r="L12" s="246" t="s">
        <v>71</v>
      </c>
      <c r="M12" s="245">
        <v>0</v>
      </c>
      <c r="N12" s="245">
        <v>0</v>
      </c>
      <c r="O12" s="245">
        <v>7</v>
      </c>
      <c r="P12" s="242" t="s">
        <v>260</v>
      </c>
      <c r="Q12" s="238"/>
      <c r="R12" s="238"/>
      <c r="S12" s="238"/>
      <c r="T12" s="238"/>
      <c r="U12" s="238"/>
      <c r="V12" s="238"/>
      <c r="W12" s="238"/>
      <c r="X12" s="238"/>
      <c r="Y12" s="238"/>
      <c r="Z12" s="245" t="s">
        <v>184</v>
      </c>
      <c r="AA12" s="238"/>
      <c r="AB12" s="238"/>
      <c r="AC12" s="238"/>
      <c r="AD12" s="245" t="s">
        <v>120</v>
      </c>
      <c r="AE12" s="245" t="s">
        <v>215</v>
      </c>
      <c r="AF12" s="245" t="s">
        <v>74</v>
      </c>
      <c r="AG12" s="238"/>
      <c r="AH12" s="238"/>
      <c r="AI12" s="238"/>
      <c r="AJ12" s="238"/>
    </row>
    <row r="13" spans="1:36" x14ac:dyDescent="0.3">
      <c r="A13" s="240" t="s">
        <v>205</v>
      </c>
      <c r="B13" s="241">
        <v>46001</v>
      </c>
      <c r="C13" s="242" t="s">
        <v>280</v>
      </c>
      <c r="D13" s="243" t="s">
        <v>297</v>
      </c>
      <c r="E13" s="242" t="s">
        <v>274</v>
      </c>
      <c r="F13" s="242" t="s">
        <v>167</v>
      </c>
      <c r="G13" s="244">
        <v>0.13689999999999999</v>
      </c>
      <c r="H13" s="245">
        <v>168</v>
      </c>
      <c r="I13" s="245">
        <v>23</v>
      </c>
      <c r="J13" s="245">
        <v>0</v>
      </c>
      <c r="K13" s="242" t="s">
        <v>168</v>
      </c>
      <c r="L13" s="246" t="s">
        <v>87</v>
      </c>
      <c r="M13" s="245">
        <v>0</v>
      </c>
      <c r="N13" s="245">
        <v>0</v>
      </c>
      <c r="O13" s="245">
        <v>7</v>
      </c>
      <c r="P13" s="242" t="s">
        <v>260</v>
      </c>
      <c r="Q13" s="238"/>
      <c r="R13" s="238"/>
      <c r="S13" s="238"/>
      <c r="T13" s="238"/>
      <c r="U13" s="238"/>
      <c r="V13" s="245" t="s">
        <v>295</v>
      </c>
      <c r="W13" s="238"/>
      <c r="X13" s="238"/>
      <c r="Y13" s="238"/>
      <c r="Z13" s="238"/>
      <c r="AA13" s="238"/>
      <c r="AB13" s="238"/>
      <c r="AC13" s="245" t="s">
        <v>238</v>
      </c>
      <c r="AD13" s="245" t="s">
        <v>48</v>
      </c>
      <c r="AE13" s="245" t="s">
        <v>125</v>
      </c>
      <c r="AF13" s="245" t="s">
        <v>86</v>
      </c>
      <c r="AG13" s="238"/>
      <c r="AH13" s="238"/>
      <c r="AI13" s="238"/>
      <c r="AJ13" s="238"/>
    </row>
    <row r="14" spans="1:36" x14ac:dyDescent="0.3">
      <c r="A14" s="240" t="s">
        <v>205</v>
      </c>
      <c r="B14" s="241">
        <v>46001</v>
      </c>
      <c r="C14" s="242" t="s">
        <v>276</v>
      </c>
      <c r="D14" s="243" t="s">
        <v>294</v>
      </c>
      <c r="E14" s="242" t="s">
        <v>274</v>
      </c>
      <c r="F14" s="242" t="s">
        <v>167</v>
      </c>
      <c r="G14" s="244">
        <v>0.11899999999999999</v>
      </c>
      <c r="H14" s="245">
        <v>168</v>
      </c>
      <c r="I14" s="245">
        <v>20</v>
      </c>
      <c r="J14" s="245">
        <v>0</v>
      </c>
      <c r="K14" s="242" t="s">
        <v>168</v>
      </c>
      <c r="L14" s="246" t="s">
        <v>43</v>
      </c>
      <c r="M14" s="245">
        <v>0</v>
      </c>
      <c r="N14" s="245">
        <v>4</v>
      </c>
      <c r="O14" s="245">
        <v>8</v>
      </c>
      <c r="P14" s="242" t="s">
        <v>80</v>
      </c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45" t="s">
        <v>48</v>
      </c>
      <c r="AE14" s="245" t="s">
        <v>125</v>
      </c>
      <c r="AF14" s="245" t="s">
        <v>268</v>
      </c>
      <c r="AG14" s="238"/>
      <c r="AH14" s="238"/>
      <c r="AI14" s="238"/>
      <c r="AJ14" s="238"/>
    </row>
    <row r="15" spans="1:36" ht="21" x14ac:dyDescent="0.3">
      <c r="A15" s="247" t="s">
        <v>369</v>
      </c>
      <c r="B15" s="248"/>
      <c r="C15" s="247">
        <f>SUBTOTAL(103,RUH_CAI_LF_LEGACY[Flt])</f>
        <v>13</v>
      </c>
      <c r="D15" s="247"/>
      <c r="E15" s="247">
        <f>SUBTOTAL(103,RUH_CAI_LF_LEGACY[Brd-Off])</f>
        <v>13</v>
      </c>
      <c r="F15" s="247"/>
      <c r="G15" s="249">
        <f>SUBTOTAL(101,RUH_CAI_LF_LEGACY[LF%])</f>
        <v>0.10806923076923078</v>
      </c>
      <c r="H15" s="250">
        <f>SUBTOTAL(109,RUH_CAI_LF_LEGACY[CAP])</f>
        <v>2184</v>
      </c>
      <c r="I15" s="250">
        <f>SUBTOTAL(109,RUH_CAI_LF_LEGACY[BKG(Y)])</f>
        <v>236</v>
      </c>
      <c r="J15" s="250">
        <f>SUBTOTAL(109,RUH_CAI_LF_LEGACY[GRP(Y)])</f>
        <v>0</v>
      </c>
      <c r="K15" s="247"/>
      <c r="L15" s="248"/>
      <c r="M15" s="250">
        <f>SUBTOTAL(109,RUH_CAI_LF_LEGACY[TO-DAY])</f>
        <v>3</v>
      </c>
      <c r="N15" s="250">
        <f>SUBTOTAL(109,RUH_CAI_LF_LEGACY[Y-DAY])</f>
        <v>17</v>
      </c>
      <c r="O15" s="250">
        <f>SUBTOTAL(109,RUH_CAI_LF_LEGACY[WEEKLY])</f>
        <v>114</v>
      </c>
      <c r="P15" s="251"/>
      <c r="Q15" s="250">
        <f>SUBTOTAL(109,RUH_CAI_LF_LEGACY[Y])</f>
        <v>0</v>
      </c>
      <c r="R15" s="250">
        <f>SUBTOTAL(109,RUH_CAI_LF_LEGACY[B])</f>
        <v>0</v>
      </c>
      <c r="S15" s="250">
        <f>SUBTOTAL(109,RUH_CAI_LF_LEGACY[M])</f>
        <v>0</v>
      </c>
      <c r="T15" s="250">
        <f>SUBTOTAL(109,RUH_CAI_LF_LEGACY[H])</f>
        <v>0</v>
      </c>
      <c r="U15" s="250">
        <f>SUBTOTAL(109,RUH_CAI_LF_LEGACY[Q])</f>
        <v>0</v>
      </c>
      <c r="V15" s="250">
        <f>SUBTOTAL(109,RUH_CAI_LF_LEGACY[K])</f>
        <v>0</v>
      </c>
      <c r="W15" s="250">
        <f>SUBTOTAL(109,RUH_CAI_LF_LEGACY[V])</f>
        <v>0</v>
      </c>
      <c r="X15" s="250">
        <f>SUBTOTAL(109,RUH_CAI_LF_LEGACY[L])</f>
        <v>0</v>
      </c>
      <c r="Y15" s="250">
        <f>SUBTOTAL(109,RUH_CAI_LF_LEGACY[G])</f>
        <v>0</v>
      </c>
      <c r="Z15" s="250">
        <f>SUBTOTAL(109,RUH_CAI_LF_LEGACY[S])</f>
        <v>0</v>
      </c>
      <c r="AA15" s="250">
        <f>SUBTOTAL(109,RUH_CAI_LF_LEGACY[W])</f>
        <v>0</v>
      </c>
      <c r="AB15" s="250">
        <f>SUBTOTAL(109,RUH_CAI_LF_LEGACY[T])</f>
        <v>0</v>
      </c>
      <c r="AC15" s="250">
        <f>SUBTOTAL(109,RUH_CAI_LF_LEGACY[X])</f>
        <v>0</v>
      </c>
      <c r="AD15" s="250">
        <f>SUBTOTAL(109,RUH_CAI_LF_LEGACY[U])</f>
        <v>0</v>
      </c>
      <c r="AE15" s="250">
        <f>SUBTOTAL(109,RUH_CAI_LF_LEGACY[O])</f>
        <v>0</v>
      </c>
      <c r="AF15" s="250">
        <f>SUBTOTAL(109,RUH_CAI_LF_LEGACY[I])</f>
        <v>0</v>
      </c>
      <c r="AG15" s="250">
        <f>SUBTOTAL(109,RUH_CAI_LF_LEGACY[E])</f>
        <v>0</v>
      </c>
      <c r="AH15" s="250">
        <f>SUBTOTAL(109,RUH_CAI_LF_LEGACY[A])</f>
        <v>0</v>
      </c>
      <c r="AI15" s="250">
        <f>SUBTOTAL(109,RUH_CAI_LF_LEGACY[P])</f>
        <v>0</v>
      </c>
      <c r="AJ15" s="250">
        <f>SUBTOTAL(103,RUH_CAI_LF_LEGACY[N])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67.5546875" bestFit="1" customWidth="1"/>
  </cols>
  <sheetData>
    <row r="1" spans="1:92" ht="28.8" customHeight="1" x14ac:dyDescent="0.3">
      <c r="A1" s="230" t="s">
        <v>0</v>
      </c>
      <c r="B1" s="229"/>
      <c r="C1" s="229"/>
      <c r="D1" s="229"/>
      <c r="E1" s="229"/>
      <c r="F1" s="1" t="s">
        <v>302</v>
      </c>
      <c r="G1" s="2" t="s">
        <v>2</v>
      </c>
      <c r="H1" s="228" t="s">
        <v>3</v>
      </c>
      <c r="I1" s="229"/>
      <c r="J1" s="229"/>
      <c r="K1" s="229"/>
      <c r="L1" s="229"/>
      <c r="M1" s="1" t="s">
        <v>4</v>
      </c>
      <c r="N1" s="236" t="s">
        <v>5</v>
      </c>
      <c r="O1" s="229"/>
      <c r="P1" s="229"/>
      <c r="Q1" s="229"/>
      <c r="R1" s="22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32" t="s">
        <v>6</v>
      </c>
      <c r="B2" s="229"/>
      <c r="C2" s="229"/>
      <c r="D2" s="229"/>
      <c r="E2" s="229"/>
      <c r="F2" s="229"/>
      <c r="G2" s="234">
        <v>45984.347832070081</v>
      </c>
      <c r="H2" s="229"/>
      <c r="I2" s="229"/>
      <c r="J2" s="229"/>
      <c r="K2" s="237">
        <v>45984.347832071508</v>
      </c>
      <c r="L2" s="229"/>
      <c r="M2" s="229"/>
      <c r="N2" s="229"/>
      <c r="O2" s="229"/>
      <c r="P2" s="229"/>
      <c r="Q2" s="229"/>
      <c r="R2" s="22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33" t="s">
        <v>7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35" t="s">
        <v>8</v>
      </c>
      <c r="B4" s="221"/>
      <c r="C4" s="221"/>
      <c r="D4" s="221"/>
      <c r="E4" s="221"/>
      <c r="F4" s="222"/>
      <c r="G4" s="4">
        <v>45993</v>
      </c>
      <c r="H4" s="231" t="s">
        <v>9</v>
      </c>
      <c r="I4" s="221"/>
      <c r="J4" s="221"/>
      <c r="K4" s="221"/>
      <c r="L4" s="221"/>
      <c r="M4" s="221"/>
      <c r="N4" s="221"/>
      <c r="O4" s="221"/>
      <c r="P4" s="221"/>
      <c r="Q4" s="221"/>
      <c r="R4" s="22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0" t="s">
        <v>28</v>
      </c>
      <c r="B6" s="110" t="s">
        <v>303</v>
      </c>
      <c r="C6" s="111">
        <v>4.8611111111111112E-2</v>
      </c>
      <c r="D6" s="110" t="s">
        <v>30</v>
      </c>
      <c r="E6" s="112"/>
      <c r="F6" s="110" t="s">
        <v>113</v>
      </c>
      <c r="G6" s="227"/>
      <c r="H6" s="79" t="s">
        <v>304</v>
      </c>
      <c r="I6" s="130">
        <v>0.96</v>
      </c>
      <c r="J6" s="81">
        <v>168</v>
      </c>
      <c r="K6" s="82" t="s">
        <v>305</v>
      </c>
      <c r="L6" s="81">
        <v>0</v>
      </c>
      <c r="M6" s="81">
        <v>0</v>
      </c>
      <c r="N6" s="81">
        <v>0</v>
      </c>
      <c r="O6" s="83" t="s">
        <v>306</v>
      </c>
      <c r="P6" s="84">
        <v>4.8611111111111112E-2</v>
      </c>
      <c r="Q6" s="81">
        <v>175</v>
      </c>
      <c r="R6" s="85" t="s">
        <v>307</v>
      </c>
    </row>
    <row r="7" spans="1:92" ht="49.95" customHeight="1" x14ac:dyDescent="0.3">
      <c r="A7" s="86" t="s">
        <v>28</v>
      </c>
      <c r="B7" s="86" t="s">
        <v>308</v>
      </c>
      <c r="C7" s="87">
        <v>0.27777777777777779</v>
      </c>
      <c r="D7" s="86" t="s">
        <v>30</v>
      </c>
      <c r="E7" s="88"/>
      <c r="F7" s="86" t="s">
        <v>55</v>
      </c>
      <c r="G7" s="225"/>
      <c r="H7" s="59" t="s">
        <v>309</v>
      </c>
      <c r="I7" s="89">
        <v>0.77980000000000005</v>
      </c>
      <c r="J7" s="61">
        <v>131</v>
      </c>
      <c r="K7" s="62" t="s">
        <v>38</v>
      </c>
      <c r="L7" s="61">
        <v>57</v>
      </c>
      <c r="M7" s="61">
        <v>0</v>
      </c>
      <c r="N7" s="61">
        <v>0</v>
      </c>
      <c r="O7" s="63" t="s">
        <v>310</v>
      </c>
      <c r="P7" s="64">
        <v>0.27777777777777779</v>
      </c>
      <c r="Q7" s="61">
        <v>168</v>
      </c>
      <c r="R7" s="65" t="s">
        <v>311</v>
      </c>
    </row>
    <row r="8" spans="1:92" ht="49.95" customHeight="1" thickBot="1" x14ac:dyDescent="0.35">
      <c r="A8" s="100" t="s">
        <v>28</v>
      </c>
      <c r="B8" s="100" t="s">
        <v>312</v>
      </c>
      <c r="C8" s="101">
        <v>0.97916666666666663</v>
      </c>
      <c r="D8" s="100" t="s">
        <v>30</v>
      </c>
      <c r="E8" s="102"/>
      <c r="F8" s="100" t="s">
        <v>104</v>
      </c>
      <c r="G8" s="226"/>
      <c r="H8" s="103" t="s">
        <v>313</v>
      </c>
      <c r="I8" s="208">
        <v>1.006</v>
      </c>
      <c r="J8" s="105">
        <v>169</v>
      </c>
      <c r="K8" s="106" t="s">
        <v>314</v>
      </c>
      <c r="L8" s="105">
        <v>0</v>
      </c>
      <c r="M8" s="105">
        <v>0</v>
      </c>
      <c r="N8" s="105">
        <v>0</v>
      </c>
      <c r="O8" s="107" t="s">
        <v>106</v>
      </c>
      <c r="P8" s="108">
        <v>0.97916666666666663</v>
      </c>
      <c r="Q8" s="105">
        <v>168</v>
      </c>
      <c r="R8" s="109" t="s">
        <v>315</v>
      </c>
    </row>
    <row r="9" spans="1:92" ht="17.399999999999999" customHeight="1" thickBot="1" x14ac:dyDescent="0.35">
      <c r="A9" s="252"/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4"/>
    </row>
    <row r="10" spans="1:92" ht="22.05" customHeight="1" thickTop="1" thickBot="1" x14ac:dyDescent="0.35">
      <c r="A10" s="223" t="s">
        <v>8</v>
      </c>
      <c r="B10" s="221"/>
      <c r="C10" s="221"/>
      <c r="D10" s="221"/>
      <c r="E10" s="221"/>
      <c r="F10" s="222"/>
      <c r="G10" s="48">
        <v>45995</v>
      </c>
      <c r="H10" s="220" t="s">
        <v>9</v>
      </c>
      <c r="I10" s="221"/>
      <c r="J10" s="221"/>
      <c r="K10" s="221"/>
      <c r="L10" s="221"/>
      <c r="M10" s="221"/>
      <c r="N10" s="221"/>
      <c r="O10" s="221"/>
      <c r="P10" s="221"/>
      <c r="Q10" s="221"/>
      <c r="R10" s="222"/>
    </row>
    <row r="11" spans="1:92" ht="24" customHeight="1" x14ac:dyDescent="0.3">
      <c r="A11" s="49" t="s">
        <v>10</v>
      </c>
      <c r="B11" s="49" t="s">
        <v>11</v>
      </c>
      <c r="C11" s="50" t="s">
        <v>12</v>
      </c>
      <c r="D11" s="49" t="s">
        <v>13</v>
      </c>
      <c r="E11" s="49" t="s">
        <v>14</v>
      </c>
      <c r="F11" s="51" t="s">
        <v>15</v>
      </c>
      <c r="G11" s="52" t="s">
        <v>16</v>
      </c>
      <c r="H11" s="49" t="s">
        <v>17</v>
      </c>
      <c r="I11" s="53" t="s">
        <v>18</v>
      </c>
      <c r="J11" s="54" t="s">
        <v>19</v>
      </c>
      <c r="K11" s="55" t="s">
        <v>20</v>
      </c>
      <c r="L11" s="54" t="s">
        <v>21</v>
      </c>
      <c r="M11" s="54" t="s">
        <v>22</v>
      </c>
      <c r="N11" s="54" t="s">
        <v>23</v>
      </c>
      <c r="O11" s="49" t="s">
        <v>24</v>
      </c>
      <c r="P11" s="50" t="s">
        <v>25</v>
      </c>
      <c r="Q11" s="54" t="s">
        <v>26</v>
      </c>
      <c r="R11" s="49" t="s">
        <v>27</v>
      </c>
    </row>
    <row r="12" spans="1:92" ht="49.95" customHeight="1" thickTop="1" thickBot="1" x14ac:dyDescent="0.35">
      <c r="A12" s="209" t="s">
        <v>28</v>
      </c>
      <c r="B12" s="209" t="s">
        <v>312</v>
      </c>
      <c r="C12" s="210">
        <v>0.53819444444444442</v>
      </c>
      <c r="D12" s="209" t="s">
        <v>30</v>
      </c>
      <c r="E12" s="211"/>
      <c r="F12" s="209" t="s">
        <v>104</v>
      </c>
      <c r="G12" s="227"/>
      <c r="H12" s="41" t="s">
        <v>313</v>
      </c>
      <c r="I12" s="42">
        <v>1.006</v>
      </c>
      <c r="J12" s="43">
        <v>169</v>
      </c>
      <c r="K12" s="44" t="s">
        <v>38</v>
      </c>
      <c r="L12" s="43">
        <v>1</v>
      </c>
      <c r="M12" s="43">
        <v>0</v>
      </c>
      <c r="N12" s="43">
        <v>0</v>
      </c>
      <c r="O12" s="45" t="s">
        <v>106</v>
      </c>
      <c r="P12" s="46">
        <v>0.53819444444444442</v>
      </c>
      <c r="Q12" s="43">
        <v>168</v>
      </c>
      <c r="R12" s="47" t="s">
        <v>316</v>
      </c>
    </row>
    <row r="13" spans="1:92" ht="17.399999999999999" customHeight="1" thickBot="1" x14ac:dyDescent="0.35">
      <c r="A13" s="252"/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4"/>
    </row>
    <row r="14" spans="1:92" ht="22.05" customHeight="1" thickTop="1" thickBot="1" x14ac:dyDescent="0.35">
      <c r="A14" s="223" t="s">
        <v>8</v>
      </c>
      <c r="B14" s="221"/>
      <c r="C14" s="221"/>
      <c r="D14" s="221"/>
      <c r="E14" s="221"/>
      <c r="F14" s="222"/>
      <c r="G14" s="48">
        <v>45997</v>
      </c>
      <c r="H14" s="220" t="s">
        <v>9</v>
      </c>
      <c r="I14" s="221"/>
      <c r="J14" s="221"/>
      <c r="K14" s="221"/>
      <c r="L14" s="221"/>
      <c r="M14" s="221"/>
      <c r="N14" s="221"/>
      <c r="O14" s="221"/>
      <c r="P14" s="221"/>
      <c r="Q14" s="221"/>
      <c r="R14" s="222"/>
    </row>
    <row r="15" spans="1:92" ht="24" customHeight="1" x14ac:dyDescent="0.3">
      <c r="A15" s="49" t="s">
        <v>10</v>
      </c>
      <c r="B15" s="49" t="s">
        <v>11</v>
      </c>
      <c r="C15" s="50" t="s">
        <v>12</v>
      </c>
      <c r="D15" s="49" t="s">
        <v>13</v>
      </c>
      <c r="E15" s="49" t="s">
        <v>14</v>
      </c>
      <c r="F15" s="51" t="s">
        <v>15</v>
      </c>
      <c r="G15" s="52" t="s">
        <v>16</v>
      </c>
      <c r="H15" s="49" t="s">
        <v>17</v>
      </c>
      <c r="I15" s="53" t="s">
        <v>18</v>
      </c>
      <c r="J15" s="54" t="s">
        <v>19</v>
      </c>
      <c r="K15" s="55" t="s">
        <v>20</v>
      </c>
      <c r="L15" s="54" t="s">
        <v>21</v>
      </c>
      <c r="M15" s="54" t="s">
        <v>22</v>
      </c>
      <c r="N15" s="54" t="s">
        <v>23</v>
      </c>
      <c r="O15" s="49" t="s">
        <v>24</v>
      </c>
      <c r="P15" s="50" t="s">
        <v>25</v>
      </c>
      <c r="Q15" s="54" t="s">
        <v>26</v>
      </c>
      <c r="R15" s="49" t="s">
        <v>27</v>
      </c>
    </row>
    <row r="16" spans="1:92" ht="49.95" customHeight="1" thickTop="1" thickBot="1" x14ac:dyDescent="0.35">
      <c r="A16" s="123" t="s">
        <v>28</v>
      </c>
      <c r="B16" s="123" t="s">
        <v>312</v>
      </c>
      <c r="C16" s="124">
        <v>0.39583333333333331</v>
      </c>
      <c r="D16" s="123" t="s">
        <v>30</v>
      </c>
      <c r="E16" s="125"/>
      <c r="F16" s="123" t="s">
        <v>104</v>
      </c>
      <c r="G16" s="227"/>
      <c r="H16" s="150" t="s">
        <v>313</v>
      </c>
      <c r="I16" s="151">
        <v>1.0417000000000001</v>
      </c>
      <c r="J16" s="152">
        <v>175</v>
      </c>
      <c r="K16" s="153" t="s">
        <v>87</v>
      </c>
      <c r="L16" s="152">
        <v>8</v>
      </c>
      <c r="M16" s="152">
        <v>0</v>
      </c>
      <c r="N16" s="152">
        <v>0</v>
      </c>
      <c r="O16" s="154" t="s">
        <v>106</v>
      </c>
      <c r="P16" s="155">
        <v>0.39583333333333331</v>
      </c>
      <c r="Q16" s="152">
        <v>168</v>
      </c>
      <c r="R16" s="156" t="s">
        <v>317</v>
      </c>
    </row>
    <row r="17" spans="1:18" ht="17.399999999999999" customHeight="1" thickBot="1" x14ac:dyDescent="0.35">
      <c r="A17" s="252"/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4"/>
    </row>
    <row r="18" spans="1:18" ht="22.05" customHeight="1" thickTop="1" thickBot="1" x14ac:dyDescent="0.35">
      <c r="A18" s="223" t="s">
        <v>8</v>
      </c>
      <c r="B18" s="221"/>
      <c r="C18" s="221"/>
      <c r="D18" s="221"/>
      <c r="E18" s="221"/>
      <c r="F18" s="222"/>
      <c r="G18" s="48">
        <v>45998</v>
      </c>
      <c r="H18" s="220" t="s">
        <v>9</v>
      </c>
      <c r="I18" s="221"/>
      <c r="J18" s="221"/>
      <c r="K18" s="221"/>
      <c r="L18" s="221"/>
      <c r="M18" s="221"/>
      <c r="N18" s="221"/>
      <c r="O18" s="221"/>
      <c r="P18" s="221"/>
      <c r="Q18" s="221"/>
      <c r="R18" s="222"/>
    </row>
    <row r="19" spans="1:18" ht="24" customHeight="1" x14ac:dyDescent="0.3">
      <c r="A19" s="49" t="s">
        <v>10</v>
      </c>
      <c r="B19" s="49" t="s">
        <v>11</v>
      </c>
      <c r="C19" s="50" t="s">
        <v>12</v>
      </c>
      <c r="D19" s="49" t="s">
        <v>13</v>
      </c>
      <c r="E19" s="49" t="s">
        <v>14</v>
      </c>
      <c r="F19" s="51" t="s">
        <v>15</v>
      </c>
      <c r="G19" s="52" t="s">
        <v>16</v>
      </c>
      <c r="H19" s="49" t="s">
        <v>17</v>
      </c>
      <c r="I19" s="53" t="s">
        <v>18</v>
      </c>
      <c r="J19" s="54" t="s">
        <v>19</v>
      </c>
      <c r="K19" s="55" t="s">
        <v>20</v>
      </c>
      <c r="L19" s="54" t="s">
        <v>21</v>
      </c>
      <c r="M19" s="54" t="s">
        <v>22</v>
      </c>
      <c r="N19" s="54" t="s">
        <v>23</v>
      </c>
      <c r="O19" s="49" t="s">
        <v>24</v>
      </c>
      <c r="P19" s="50" t="s">
        <v>25</v>
      </c>
      <c r="Q19" s="54" t="s">
        <v>26</v>
      </c>
      <c r="R19" s="49" t="s">
        <v>27</v>
      </c>
    </row>
    <row r="20" spans="1:18" ht="49.95" customHeight="1" thickTop="1" thickBot="1" x14ac:dyDescent="0.35">
      <c r="A20" s="8" t="s">
        <v>28</v>
      </c>
      <c r="B20" s="8" t="s">
        <v>312</v>
      </c>
      <c r="C20" s="9">
        <v>0.90277777777777779</v>
      </c>
      <c r="D20" s="8" t="s">
        <v>30</v>
      </c>
      <c r="E20" s="10"/>
      <c r="F20" s="8" t="s">
        <v>104</v>
      </c>
      <c r="G20" s="227"/>
      <c r="H20" s="103" t="s">
        <v>313</v>
      </c>
      <c r="I20" s="208">
        <v>1.0595000000000001</v>
      </c>
      <c r="J20" s="105">
        <v>178</v>
      </c>
      <c r="K20" s="106" t="s">
        <v>87</v>
      </c>
      <c r="L20" s="105">
        <v>11</v>
      </c>
      <c r="M20" s="105">
        <v>0</v>
      </c>
      <c r="N20" s="105">
        <v>0</v>
      </c>
      <c r="O20" s="107" t="s">
        <v>106</v>
      </c>
      <c r="P20" s="108">
        <v>0.90277777777777779</v>
      </c>
      <c r="Q20" s="105">
        <v>168</v>
      </c>
      <c r="R20" s="109" t="s">
        <v>318</v>
      </c>
    </row>
    <row r="21" spans="1:18" ht="17.399999999999999" customHeight="1" thickBot="1" x14ac:dyDescent="0.35">
      <c r="A21" s="252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4"/>
    </row>
    <row r="22" spans="1:18" ht="22.05" customHeight="1" thickTop="1" thickBot="1" x14ac:dyDescent="0.35">
      <c r="A22" s="223" t="s">
        <v>8</v>
      </c>
      <c r="B22" s="221"/>
      <c r="C22" s="221"/>
      <c r="D22" s="221"/>
      <c r="E22" s="221"/>
      <c r="F22" s="222"/>
      <c r="G22" s="48">
        <v>46000</v>
      </c>
      <c r="H22" s="220" t="s">
        <v>9</v>
      </c>
      <c r="I22" s="221"/>
      <c r="J22" s="221"/>
      <c r="K22" s="221"/>
      <c r="L22" s="221"/>
      <c r="M22" s="221"/>
      <c r="N22" s="221"/>
      <c r="O22" s="221"/>
      <c r="P22" s="221"/>
      <c r="Q22" s="221"/>
      <c r="R22" s="222"/>
    </row>
    <row r="23" spans="1:18" ht="24" customHeight="1" x14ac:dyDescent="0.3">
      <c r="A23" s="49" t="s">
        <v>10</v>
      </c>
      <c r="B23" s="49" t="s">
        <v>11</v>
      </c>
      <c r="C23" s="50" t="s">
        <v>12</v>
      </c>
      <c r="D23" s="49" t="s">
        <v>13</v>
      </c>
      <c r="E23" s="49" t="s">
        <v>14</v>
      </c>
      <c r="F23" s="51" t="s">
        <v>15</v>
      </c>
      <c r="G23" s="52" t="s">
        <v>16</v>
      </c>
      <c r="H23" s="49" t="s">
        <v>17</v>
      </c>
      <c r="I23" s="53" t="s">
        <v>18</v>
      </c>
      <c r="J23" s="54" t="s">
        <v>19</v>
      </c>
      <c r="K23" s="55" t="s">
        <v>20</v>
      </c>
      <c r="L23" s="54" t="s">
        <v>21</v>
      </c>
      <c r="M23" s="54" t="s">
        <v>22</v>
      </c>
      <c r="N23" s="54" t="s">
        <v>23</v>
      </c>
      <c r="O23" s="49" t="s">
        <v>24</v>
      </c>
      <c r="P23" s="50" t="s">
        <v>25</v>
      </c>
      <c r="Q23" s="54" t="s">
        <v>26</v>
      </c>
      <c r="R23" s="49" t="s">
        <v>27</v>
      </c>
    </row>
    <row r="24" spans="1:18" ht="49.95" customHeight="1" x14ac:dyDescent="0.3">
      <c r="A24" s="8" t="s">
        <v>28</v>
      </c>
      <c r="B24" s="8" t="s">
        <v>303</v>
      </c>
      <c r="C24" s="9">
        <v>4.8611111111111112E-2</v>
      </c>
      <c r="D24" s="8" t="s">
        <v>30</v>
      </c>
      <c r="E24" s="10"/>
      <c r="F24" s="8" t="s">
        <v>104</v>
      </c>
      <c r="G24" s="224"/>
      <c r="H24" s="11" t="s">
        <v>304</v>
      </c>
      <c r="I24" s="12">
        <v>1</v>
      </c>
      <c r="J24" s="13">
        <v>168</v>
      </c>
      <c r="K24" s="14" t="s">
        <v>71</v>
      </c>
      <c r="L24" s="13">
        <v>5</v>
      </c>
      <c r="M24" s="13">
        <v>0</v>
      </c>
      <c r="N24" s="13">
        <v>0</v>
      </c>
      <c r="O24" s="15" t="s">
        <v>106</v>
      </c>
      <c r="P24" s="16">
        <v>4.8611111111111112E-2</v>
      </c>
      <c r="Q24" s="13">
        <v>168</v>
      </c>
      <c r="R24" s="17" t="s">
        <v>319</v>
      </c>
    </row>
    <row r="25" spans="1:18" ht="49.95" customHeight="1" x14ac:dyDescent="0.3">
      <c r="A25" s="90" t="s">
        <v>28</v>
      </c>
      <c r="B25" s="90" t="s">
        <v>308</v>
      </c>
      <c r="C25" s="91">
        <v>0.27777777777777779</v>
      </c>
      <c r="D25" s="90" t="s">
        <v>30</v>
      </c>
      <c r="E25" s="92"/>
      <c r="F25" s="90" t="s">
        <v>104</v>
      </c>
      <c r="G25" s="225"/>
      <c r="H25" s="93" t="s">
        <v>309</v>
      </c>
      <c r="I25" s="185">
        <v>1</v>
      </c>
      <c r="J25" s="95">
        <v>168</v>
      </c>
      <c r="K25" s="96" t="s">
        <v>43</v>
      </c>
      <c r="L25" s="95">
        <v>57</v>
      </c>
      <c r="M25" s="95">
        <v>0</v>
      </c>
      <c r="N25" s="95">
        <v>1</v>
      </c>
      <c r="O25" s="97" t="s">
        <v>106</v>
      </c>
      <c r="P25" s="98">
        <v>0.27777777777777779</v>
      </c>
      <c r="Q25" s="95">
        <v>168</v>
      </c>
      <c r="R25" s="99" t="s">
        <v>320</v>
      </c>
    </row>
    <row r="26" spans="1:18" ht="49.95" customHeight="1" thickBot="1" x14ac:dyDescent="0.35">
      <c r="A26" s="100" t="s">
        <v>28</v>
      </c>
      <c r="B26" s="100" t="s">
        <v>312</v>
      </c>
      <c r="C26" s="101">
        <v>0.97916666666666663</v>
      </c>
      <c r="D26" s="100" t="s">
        <v>30</v>
      </c>
      <c r="E26" s="102"/>
      <c r="F26" s="100" t="s">
        <v>104</v>
      </c>
      <c r="G26" s="226"/>
      <c r="H26" s="103" t="s">
        <v>313</v>
      </c>
      <c r="I26" s="208">
        <v>1.0119</v>
      </c>
      <c r="J26" s="105">
        <v>170</v>
      </c>
      <c r="K26" s="106" t="s">
        <v>87</v>
      </c>
      <c r="L26" s="105">
        <v>44</v>
      </c>
      <c r="M26" s="105">
        <v>0</v>
      </c>
      <c r="N26" s="105">
        <v>0</v>
      </c>
      <c r="O26" s="107" t="s">
        <v>106</v>
      </c>
      <c r="P26" s="108">
        <v>0.97916666666666663</v>
      </c>
      <c r="Q26" s="105">
        <v>168</v>
      </c>
      <c r="R26" s="109" t="s">
        <v>321</v>
      </c>
    </row>
    <row r="27" spans="1:18" ht="17.399999999999999" customHeight="1" thickBot="1" x14ac:dyDescent="0.35">
      <c r="A27" s="252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4"/>
    </row>
    <row r="28" spans="1:18" ht="15" thickTop="1" x14ac:dyDescent="0.3"/>
  </sheetData>
  <mergeCells count="27">
    <mergeCell ref="G24:G26"/>
    <mergeCell ref="H14:R14"/>
    <mergeCell ref="A27:R27"/>
    <mergeCell ref="H4:R4"/>
    <mergeCell ref="A2:F2"/>
    <mergeCell ref="A3:R3"/>
    <mergeCell ref="A21:R21"/>
    <mergeCell ref="A14:F14"/>
    <mergeCell ref="G12"/>
    <mergeCell ref="A22:F22"/>
    <mergeCell ref="G2:J2"/>
    <mergeCell ref="A4:F4"/>
    <mergeCell ref="A17:R17"/>
    <mergeCell ref="A10:F10"/>
    <mergeCell ref="A13:R13"/>
    <mergeCell ref="K2:R2"/>
    <mergeCell ref="A9:R9"/>
    <mergeCell ref="H22:R22"/>
    <mergeCell ref="G20"/>
    <mergeCell ref="H1:L1"/>
    <mergeCell ref="A1:E1"/>
    <mergeCell ref="A18:F18"/>
    <mergeCell ref="G16"/>
    <mergeCell ref="H10:R10"/>
    <mergeCell ref="N1:R1"/>
    <mergeCell ref="G6:G8"/>
    <mergeCell ref="H18:R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1"/>
  <sheetViews>
    <sheetView workbookViewId="0"/>
  </sheetViews>
  <sheetFormatPr defaultRowHeight="15.6" outlineLevelCol="1" x14ac:dyDescent="0.3"/>
  <cols>
    <col min="1" max="1" width="9.88671875" style="239" bestFit="1" customWidth="1"/>
    <col min="2" max="2" width="9" style="239" bestFit="1" customWidth="1"/>
    <col min="3" max="3" width="6.77734375" style="239" bestFit="1" customWidth="1"/>
    <col min="4" max="4" width="5.5546875" style="239" bestFit="1" customWidth="1"/>
    <col min="5" max="5" width="8.5546875" style="239" bestFit="1" customWidth="1"/>
    <col min="6" max="6" width="4.21875" style="239" bestFit="1" customWidth="1"/>
    <col min="7" max="7" width="10" style="239" bestFit="1" customWidth="1"/>
    <col min="8" max="10" width="8.5546875" style="239" bestFit="1" customWidth="1"/>
    <col min="11" max="11" width="10.5546875" style="239" bestFit="1" customWidth="1"/>
    <col min="12" max="12" width="18.109375" style="239" bestFit="1" customWidth="1"/>
    <col min="13" max="13" width="7.6640625" style="239" bestFit="1" customWidth="1" outlineLevel="1"/>
    <col min="14" max="14" width="6.33203125" style="239" bestFit="1" customWidth="1" outlineLevel="1"/>
    <col min="15" max="15" width="8" style="239" bestFit="1" customWidth="1" outlineLevel="1"/>
    <col min="16" max="16" width="13.6640625" style="239" bestFit="1" customWidth="1"/>
    <col min="17" max="23" width="3.88671875" style="239" bestFit="1" customWidth="1"/>
    <col min="24" max="24" width="4.109375" style="239" bestFit="1" customWidth="1"/>
    <col min="25" max="25" width="4.44140625" style="239" bestFit="1" customWidth="1"/>
    <col min="26" max="26" width="4.109375" style="239" bestFit="1" customWidth="1"/>
    <col min="27" max="27" width="5" style="239" bestFit="1" customWidth="1"/>
    <col min="28" max="29" width="4.21875" style="239" bestFit="1" customWidth="1"/>
    <col min="30" max="31" width="4.5546875" style="239" bestFit="1" customWidth="1"/>
    <col min="32" max="32" width="3.88671875" style="239" bestFit="1" customWidth="1"/>
    <col min="33" max="33" width="4.21875" style="239" bestFit="1" customWidth="1"/>
    <col min="34" max="34" width="3.88671875" style="239" bestFit="1" customWidth="1"/>
    <col min="35" max="35" width="5.21875" style="239" bestFit="1" customWidth="1"/>
    <col min="36" max="36" width="3.88671875" style="239" bestFit="1" customWidth="1"/>
    <col min="37" max="16384" width="8.88671875" style="239"/>
  </cols>
  <sheetData>
    <row r="1" spans="1:36" x14ac:dyDescent="0.3">
      <c r="A1" s="238" t="s">
        <v>136</v>
      </c>
      <c r="B1" s="238" t="s">
        <v>137</v>
      </c>
      <c r="C1" s="238" t="s">
        <v>138</v>
      </c>
      <c r="D1" s="238" t="s">
        <v>25</v>
      </c>
      <c r="E1" s="238" t="s">
        <v>139</v>
      </c>
      <c r="F1" s="238" t="s">
        <v>140</v>
      </c>
      <c r="G1" s="238" t="s">
        <v>18</v>
      </c>
      <c r="H1" s="238" t="s">
        <v>141</v>
      </c>
      <c r="I1" s="238" t="s">
        <v>142</v>
      </c>
      <c r="J1" s="238" t="s">
        <v>143</v>
      </c>
      <c r="K1" s="238" t="s">
        <v>144</v>
      </c>
      <c r="L1" s="238" t="s">
        <v>20</v>
      </c>
      <c r="M1" s="238" t="s">
        <v>22</v>
      </c>
      <c r="N1" s="238" t="s">
        <v>23</v>
      </c>
      <c r="O1" s="238" t="s">
        <v>21</v>
      </c>
      <c r="P1" s="238" t="s">
        <v>24</v>
      </c>
      <c r="Q1" s="238" t="s">
        <v>145</v>
      </c>
      <c r="R1" s="238" t="s">
        <v>146</v>
      </c>
      <c r="S1" s="238" t="s">
        <v>147</v>
      </c>
      <c r="T1" s="238" t="s">
        <v>148</v>
      </c>
      <c r="U1" s="238" t="s">
        <v>149</v>
      </c>
      <c r="V1" s="238" t="s">
        <v>150</v>
      </c>
      <c r="W1" s="238" t="s">
        <v>151</v>
      </c>
      <c r="X1" s="238" t="s">
        <v>152</v>
      </c>
      <c r="Y1" s="238" t="s">
        <v>153</v>
      </c>
      <c r="Z1" s="238" t="s">
        <v>154</v>
      </c>
      <c r="AA1" s="238" t="s">
        <v>155</v>
      </c>
      <c r="AB1" s="238" t="s">
        <v>156</v>
      </c>
      <c r="AC1" s="238" t="s">
        <v>157</v>
      </c>
      <c r="AD1" s="238" t="s">
        <v>158</v>
      </c>
      <c r="AE1" s="238" t="s">
        <v>159</v>
      </c>
      <c r="AF1" s="238" t="s">
        <v>160</v>
      </c>
      <c r="AG1" s="238" t="s">
        <v>161</v>
      </c>
      <c r="AH1" s="238" t="s">
        <v>162</v>
      </c>
      <c r="AI1" s="238" t="s">
        <v>163</v>
      </c>
      <c r="AJ1" s="238" t="s">
        <v>164</v>
      </c>
    </row>
    <row r="2" spans="1:36" x14ac:dyDescent="0.3">
      <c r="A2" s="240" t="s">
        <v>189</v>
      </c>
      <c r="B2" s="241">
        <v>45993</v>
      </c>
      <c r="C2" s="242" t="s">
        <v>304</v>
      </c>
      <c r="D2" s="243" t="s">
        <v>212</v>
      </c>
      <c r="E2" s="242" t="s">
        <v>302</v>
      </c>
      <c r="F2" s="242" t="s">
        <v>167</v>
      </c>
      <c r="G2" s="244">
        <v>0.96</v>
      </c>
      <c r="H2" s="245">
        <v>175</v>
      </c>
      <c r="I2" s="245">
        <v>168</v>
      </c>
      <c r="J2" s="245">
        <v>120</v>
      </c>
      <c r="K2" s="242" t="s">
        <v>168</v>
      </c>
      <c r="L2" s="246" t="s">
        <v>305</v>
      </c>
      <c r="M2" s="245">
        <v>0</v>
      </c>
      <c r="N2" s="245">
        <v>0</v>
      </c>
      <c r="O2" s="245">
        <v>0</v>
      </c>
      <c r="P2" s="242" t="s">
        <v>306</v>
      </c>
      <c r="Q2" s="238"/>
      <c r="R2" s="238"/>
      <c r="S2" s="238"/>
      <c r="T2" s="238"/>
      <c r="U2" s="238"/>
      <c r="V2" s="238"/>
      <c r="W2" s="238"/>
      <c r="X2" s="238"/>
      <c r="Y2" s="238"/>
      <c r="Z2" s="245" t="s">
        <v>322</v>
      </c>
      <c r="AA2" s="238"/>
      <c r="AB2" s="238"/>
      <c r="AC2" s="245" t="s">
        <v>72</v>
      </c>
      <c r="AD2" s="245" t="s">
        <v>131</v>
      </c>
      <c r="AE2" s="245" t="s">
        <v>76</v>
      </c>
      <c r="AF2" s="245" t="s">
        <v>267</v>
      </c>
      <c r="AG2" s="245" t="s">
        <v>323</v>
      </c>
      <c r="AH2" s="238"/>
      <c r="AI2" s="245" t="s">
        <v>194</v>
      </c>
      <c r="AJ2" s="245" t="s">
        <v>200</v>
      </c>
    </row>
    <row r="3" spans="1:36" x14ac:dyDescent="0.3">
      <c r="A3" s="240" t="s">
        <v>189</v>
      </c>
      <c r="B3" s="241">
        <v>45993</v>
      </c>
      <c r="C3" s="242" t="s">
        <v>309</v>
      </c>
      <c r="D3" s="243" t="s">
        <v>324</v>
      </c>
      <c r="E3" s="242" t="s">
        <v>302</v>
      </c>
      <c r="F3" s="242" t="s">
        <v>167</v>
      </c>
      <c r="G3" s="244">
        <v>0.77980000000000005</v>
      </c>
      <c r="H3" s="245">
        <v>168</v>
      </c>
      <c r="I3" s="245">
        <v>131</v>
      </c>
      <c r="J3" s="245">
        <v>41</v>
      </c>
      <c r="K3" s="242" t="s">
        <v>168</v>
      </c>
      <c r="L3" s="246" t="s">
        <v>38</v>
      </c>
      <c r="M3" s="245">
        <v>0</v>
      </c>
      <c r="N3" s="245">
        <v>0</v>
      </c>
      <c r="O3" s="245">
        <v>57</v>
      </c>
      <c r="P3" s="242" t="s">
        <v>310</v>
      </c>
      <c r="Q3" s="238"/>
      <c r="R3" s="238"/>
      <c r="S3" s="238"/>
      <c r="T3" s="238"/>
      <c r="U3" s="238"/>
      <c r="V3" s="238"/>
      <c r="W3" s="238"/>
      <c r="X3" s="245" t="s">
        <v>325</v>
      </c>
      <c r="Y3" s="245" t="s">
        <v>326</v>
      </c>
      <c r="Z3" s="245" t="s">
        <v>327</v>
      </c>
      <c r="AA3" s="245" t="s">
        <v>328</v>
      </c>
      <c r="AB3" s="245" t="s">
        <v>329</v>
      </c>
      <c r="AC3" s="245" t="s">
        <v>330</v>
      </c>
      <c r="AD3" s="245" t="s">
        <v>331</v>
      </c>
      <c r="AE3" s="245" t="s">
        <v>196</v>
      </c>
      <c r="AF3" s="245" t="s">
        <v>170</v>
      </c>
      <c r="AG3" s="238"/>
      <c r="AH3" s="238"/>
      <c r="AI3" s="245" t="s">
        <v>332</v>
      </c>
      <c r="AJ3" s="238"/>
    </row>
    <row r="4" spans="1:36" x14ac:dyDescent="0.3">
      <c r="A4" s="240" t="s">
        <v>189</v>
      </c>
      <c r="B4" s="241">
        <v>45993</v>
      </c>
      <c r="C4" s="242" t="s">
        <v>313</v>
      </c>
      <c r="D4" s="243" t="s">
        <v>183</v>
      </c>
      <c r="E4" s="242" t="s">
        <v>302</v>
      </c>
      <c r="F4" s="242" t="s">
        <v>167</v>
      </c>
      <c r="G4" s="244">
        <v>1.006</v>
      </c>
      <c r="H4" s="245">
        <v>168</v>
      </c>
      <c r="I4" s="245">
        <v>169</v>
      </c>
      <c r="J4" s="245">
        <v>136</v>
      </c>
      <c r="K4" s="242" t="s">
        <v>168</v>
      </c>
      <c r="L4" s="246" t="s">
        <v>314</v>
      </c>
      <c r="M4" s="245">
        <v>0</v>
      </c>
      <c r="N4" s="245">
        <v>0</v>
      </c>
      <c r="O4" s="245">
        <v>0</v>
      </c>
      <c r="P4" s="242" t="s">
        <v>106</v>
      </c>
      <c r="Q4" s="238"/>
      <c r="R4" s="238"/>
      <c r="S4" s="238"/>
      <c r="T4" s="238"/>
      <c r="U4" s="238"/>
      <c r="V4" s="238"/>
      <c r="W4" s="238"/>
      <c r="X4" s="238"/>
      <c r="Y4" s="238"/>
      <c r="Z4" s="245" t="s">
        <v>243</v>
      </c>
      <c r="AA4" s="238"/>
      <c r="AB4" s="238"/>
      <c r="AC4" s="238"/>
      <c r="AD4" s="238"/>
      <c r="AE4" s="245" t="s">
        <v>53</v>
      </c>
      <c r="AF4" s="245" t="s">
        <v>267</v>
      </c>
      <c r="AG4" s="245" t="s">
        <v>333</v>
      </c>
      <c r="AH4" s="238"/>
      <c r="AI4" s="245" t="s">
        <v>194</v>
      </c>
      <c r="AJ4" s="245" t="s">
        <v>334</v>
      </c>
    </row>
    <row r="5" spans="1:36" x14ac:dyDescent="0.3">
      <c r="A5" s="240" t="s">
        <v>211</v>
      </c>
      <c r="B5" s="241">
        <v>45995</v>
      </c>
      <c r="C5" s="242" t="s">
        <v>313</v>
      </c>
      <c r="D5" s="243" t="s">
        <v>335</v>
      </c>
      <c r="E5" s="242" t="s">
        <v>302</v>
      </c>
      <c r="F5" s="242" t="s">
        <v>167</v>
      </c>
      <c r="G5" s="244">
        <v>1.006</v>
      </c>
      <c r="H5" s="245">
        <v>168</v>
      </c>
      <c r="I5" s="245">
        <v>169</v>
      </c>
      <c r="J5" s="245">
        <v>135</v>
      </c>
      <c r="K5" s="242" t="s">
        <v>168</v>
      </c>
      <c r="L5" s="246" t="s">
        <v>38</v>
      </c>
      <c r="M5" s="245">
        <v>0</v>
      </c>
      <c r="N5" s="245">
        <v>0</v>
      </c>
      <c r="O5" s="245">
        <v>1</v>
      </c>
      <c r="P5" s="242" t="s">
        <v>106</v>
      </c>
      <c r="Q5" s="245" t="s">
        <v>336</v>
      </c>
      <c r="R5" s="238"/>
      <c r="S5" s="238"/>
      <c r="T5" s="238"/>
      <c r="U5" s="238"/>
      <c r="V5" s="238"/>
      <c r="W5" s="238"/>
      <c r="X5" s="238"/>
      <c r="Y5" s="238"/>
      <c r="Z5" s="245" t="s">
        <v>169</v>
      </c>
      <c r="AA5" s="238"/>
      <c r="AB5" s="238"/>
      <c r="AC5" s="238"/>
      <c r="AD5" s="245" t="s">
        <v>48</v>
      </c>
      <c r="AE5" s="245" t="s">
        <v>53</v>
      </c>
      <c r="AF5" s="245" t="s">
        <v>267</v>
      </c>
      <c r="AG5" s="238"/>
      <c r="AH5" s="238"/>
      <c r="AI5" s="245" t="s">
        <v>175</v>
      </c>
      <c r="AJ5" s="238"/>
    </row>
    <row r="6" spans="1:36" x14ac:dyDescent="0.3">
      <c r="A6" s="240" t="s">
        <v>245</v>
      </c>
      <c r="B6" s="241">
        <v>45997</v>
      </c>
      <c r="C6" s="242" t="s">
        <v>313</v>
      </c>
      <c r="D6" s="243" t="s">
        <v>337</v>
      </c>
      <c r="E6" s="242" t="s">
        <v>302</v>
      </c>
      <c r="F6" s="242" t="s">
        <v>167</v>
      </c>
      <c r="G6" s="244">
        <v>1.0417000000000001</v>
      </c>
      <c r="H6" s="245">
        <v>168</v>
      </c>
      <c r="I6" s="245">
        <v>175</v>
      </c>
      <c r="J6" s="245">
        <v>137</v>
      </c>
      <c r="K6" s="242" t="s">
        <v>168</v>
      </c>
      <c r="L6" s="246" t="s">
        <v>87</v>
      </c>
      <c r="M6" s="245">
        <v>0</v>
      </c>
      <c r="N6" s="245">
        <v>0</v>
      </c>
      <c r="O6" s="245">
        <v>8</v>
      </c>
      <c r="P6" s="242" t="s">
        <v>106</v>
      </c>
      <c r="Q6" s="238"/>
      <c r="R6" s="238"/>
      <c r="S6" s="238"/>
      <c r="T6" s="238"/>
      <c r="U6" s="238"/>
      <c r="V6" s="238"/>
      <c r="W6" s="238"/>
      <c r="X6" s="238"/>
      <c r="Y6" s="238"/>
      <c r="Z6" s="245" t="s">
        <v>184</v>
      </c>
      <c r="AA6" s="238"/>
      <c r="AB6" s="238"/>
      <c r="AC6" s="245" t="s">
        <v>238</v>
      </c>
      <c r="AD6" s="245" t="s">
        <v>131</v>
      </c>
      <c r="AE6" s="245" t="s">
        <v>53</v>
      </c>
      <c r="AF6" s="245" t="s">
        <v>267</v>
      </c>
      <c r="AG6" s="238"/>
      <c r="AH6" s="238"/>
      <c r="AI6" s="245" t="s">
        <v>271</v>
      </c>
      <c r="AJ6" s="245" t="s">
        <v>334</v>
      </c>
    </row>
    <row r="7" spans="1:36" x14ac:dyDescent="0.3">
      <c r="A7" s="240" t="s">
        <v>254</v>
      </c>
      <c r="B7" s="241">
        <v>45998</v>
      </c>
      <c r="C7" s="242" t="s">
        <v>313</v>
      </c>
      <c r="D7" s="243" t="s">
        <v>338</v>
      </c>
      <c r="E7" s="242" t="s">
        <v>302</v>
      </c>
      <c r="F7" s="242" t="s">
        <v>167</v>
      </c>
      <c r="G7" s="244">
        <v>1.0595000000000001</v>
      </c>
      <c r="H7" s="245">
        <v>168</v>
      </c>
      <c r="I7" s="245">
        <v>178</v>
      </c>
      <c r="J7" s="245">
        <v>145</v>
      </c>
      <c r="K7" s="242" t="s">
        <v>168</v>
      </c>
      <c r="L7" s="246" t="s">
        <v>87</v>
      </c>
      <c r="M7" s="245">
        <v>0</v>
      </c>
      <c r="N7" s="245">
        <v>0</v>
      </c>
      <c r="O7" s="245">
        <v>11</v>
      </c>
      <c r="P7" s="242" t="s">
        <v>106</v>
      </c>
      <c r="Q7" s="238"/>
      <c r="R7" s="238"/>
      <c r="S7" s="238"/>
      <c r="T7" s="238"/>
      <c r="U7" s="238"/>
      <c r="V7" s="238"/>
      <c r="W7" s="238"/>
      <c r="X7" s="238"/>
      <c r="Y7" s="245" t="s">
        <v>339</v>
      </c>
      <c r="Z7" s="245" t="s">
        <v>169</v>
      </c>
      <c r="AA7" s="245" t="s">
        <v>340</v>
      </c>
      <c r="AB7" s="245" t="s">
        <v>341</v>
      </c>
      <c r="AC7" s="245" t="s">
        <v>342</v>
      </c>
      <c r="AD7" s="245" t="s">
        <v>90</v>
      </c>
      <c r="AE7" s="245" t="s">
        <v>134</v>
      </c>
      <c r="AF7" s="245" t="s">
        <v>343</v>
      </c>
      <c r="AG7" s="238"/>
      <c r="AH7" s="238"/>
      <c r="AI7" s="245" t="s">
        <v>344</v>
      </c>
      <c r="AJ7" s="238"/>
    </row>
    <row r="8" spans="1:36" x14ac:dyDescent="0.3">
      <c r="A8" s="240" t="s">
        <v>189</v>
      </c>
      <c r="B8" s="241">
        <v>46000</v>
      </c>
      <c r="C8" s="242" t="s">
        <v>304</v>
      </c>
      <c r="D8" s="243" t="s">
        <v>212</v>
      </c>
      <c r="E8" s="242" t="s">
        <v>302</v>
      </c>
      <c r="F8" s="242" t="s">
        <v>167</v>
      </c>
      <c r="G8" s="244">
        <v>1</v>
      </c>
      <c r="H8" s="245">
        <v>168</v>
      </c>
      <c r="I8" s="245">
        <v>168</v>
      </c>
      <c r="J8" s="245">
        <v>132</v>
      </c>
      <c r="K8" s="242" t="s">
        <v>168</v>
      </c>
      <c r="L8" s="246" t="s">
        <v>71</v>
      </c>
      <c r="M8" s="245">
        <v>0</v>
      </c>
      <c r="N8" s="245">
        <v>0</v>
      </c>
      <c r="O8" s="245">
        <v>5</v>
      </c>
      <c r="P8" s="242" t="s">
        <v>106</v>
      </c>
      <c r="Q8" s="238"/>
      <c r="R8" s="238"/>
      <c r="S8" s="238"/>
      <c r="T8" s="238"/>
      <c r="U8" s="238"/>
      <c r="V8" s="238"/>
      <c r="W8" s="238"/>
      <c r="X8" s="238"/>
      <c r="Y8" s="238"/>
      <c r="Z8" s="245" t="s">
        <v>184</v>
      </c>
      <c r="AA8" s="238"/>
      <c r="AB8" s="238"/>
      <c r="AC8" s="245" t="s">
        <v>44</v>
      </c>
      <c r="AD8" s="245" t="s">
        <v>131</v>
      </c>
      <c r="AE8" s="245" t="s">
        <v>76</v>
      </c>
      <c r="AF8" s="245" t="s">
        <v>267</v>
      </c>
      <c r="AG8" s="238"/>
      <c r="AH8" s="238"/>
      <c r="AI8" s="245" t="s">
        <v>171</v>
      </c>
      <c r="AJ8" s="238"/>
    </row>
    <row r="9" spans="1:36" x14ac:dyDescent="0.3">
      <c r="A9" s="240" t="s">
        <v>189</v>
      </c>
      <c r="B9" s="241">
        <v>46000</v>
      </c>
      <c r="C9" s="242" t="s">
        <v>309</v>
      </c>
      <c r="D9" s="243" t="s">
        <v>324</v>
      </c>
      <c r="E9" s="242" t="s">
        <v>302</v>
      </c>
      <c r="F9" s="242" t="s">
        <v>167</v>
      </c>
      <c r="G9" s="244">
        <v>1</v>
      </c>
      <c r="H9" s="245">
        <v>168</v>
      </c>
      <c r="I9" s="245">
        <v>168</v>
      </c>
      <c r="J9" s="245">
        <v>91</v>
      </c>
      <c r="K9" s="242" t="s">
        <v>168</v>
      </c>
      <c r="L9" s="246" t="s">
        <v>43</v>
      </c>
      <c r="M9" s="245">
        <v>0</v>
      </c>
      <c r="N9" s="245">
        <v>1</v>
      </c>
      <c r="O9" s="245">
        <v>57</v>
      </c>
      <c r="P9" s="242" t="s">
        <v>106</v>
      </c>
      <c r="Q9" s="238"/>
      <c r="R9" s="238"/>
      <c r="S9" s="238"/>
      <c r="T9" s="238"/>
      <c r="U9" s="238"/>
      <c r="V9" s="238"/>
      <c r="W9" s="238"/>
      <c r="X9" s="238"/>
      <c r="Y9" s="245" t="s">
        <v>345</v>
      </c>
      <c r="Z9" s="245" t="s">
        <v>346</v>
      </c>
      <c r="AA9" s="245" t="s">
        <v>340</v>
      </c>
      <c r="AB9" s="245" t="s">
        <v>329</v>
      </c>
      <c r="AC9" s="245" t="s">
        <v>330</v>
      </c>
      <c r="AD9" s="245" t="s">
        <v>331</v>
      </c>
      <c r="AE9" s="245" t="s">
        <v>196</v>
      </c>
      <c r="AF9" s="245" t="s">
        <v>170</v>
      </c>
      <c r="AG9" s="238"/>
      <c r="AH9" s="238"/>
      <c r="AI9" s="245" t="s">
        <v>347</v>
      </c>
      <c r="AJ9" s="238"/>
    </row>
    <row r="10" spans="1:36" x14ac:dyDescent="0.3">
      <c r="A10" s="240" t="s">
        <v>189</v>
      </c>
      <c r="B10" s="241">
        <v>46000</v>
      </c>
      <c r="C10" s="242" t="s">
        <v>313</v>
      </c>
      <c r="D10" s="243" t="s">
        <v>183</v>
      </c>
      <c r="E10" s="242" t="s">
        <v>302</v>
      </c>
      <c r="F10" s="242" t="s">
        <v>167</v>
      </c>
      <c r="G10" s="244">
        <v>1.0119</v>
      </c>
      <c r="H10" s="245">
        <v>168</v>
      </c>
      <c r="I10" s="245">
        <v>170</v>
      </c>
      <c r="J10" s="245">
        <v>129</v>
      </c>
      <c r="K10" s="242" t="s">
        <v>168</v>
      </c>
      <c r="L10" s="246" t="s">
        <v>87</v>
      </c>
      <c r="M10" s="245">
        <v>0</v>
      </c>
      <c r="N10" s="245">
        <v>0</v>
      </c>
      <c r="O10" s="245">
        <v>44</v>
      </c>
      <c r="P10" s="242" t="s">
        <v>106</v>
      </c>
      <c r="Q10" s="238"/>
      <c r="R10" s="238"/>
      <c r="S10" s="238"/>
      <c r="T10" s="238"/>
      <c r="U10" s="238"/>
      <c r="V10" s="238"/>
      <c r="W10" s="238"/>
      <c r="X10" s="238"/>
      <c r="Y10" s="238"/>
      <c r="Z10" s="245" t="s">
        <v>169</v>
      </c>
      <c r="AA10" s="238"/>
      <c r="AB10" s="238"/>
      <c r="AC10" s="238"/>
      <c r="AD10" s="245" t="s">
        <v>131</v>
      </c>
      <c r="AE10" s="245" t="s">
        <v>348</v>
      </c>
      <c r="AF10" s="245" t="s">
        <v>349</v>
      </c>
      <c r="AG10" s="245" t="s">
        <v>350</v>
      </c>
      <c r="AH10" s="238"/>
      <c r="AI10" s="245" t="s">
        <v>226</v>
      </c>
      <c r="AJ10" s="245" t="s">
        <v>182</v>
      </c>
    </row>
    <row r="11" spans="1:36" ht="21" x14ac:dyDescent="0.3">
      <c r="A11" s="247" t="s">
        <v>369</v>
      </c>
      <c r="B11" s="248"/>
      <c r="C11" s="247">
        <f>SUBTOTAL(103,MED_CAI_LF_LEGACY[Flt])</f>
        <v>9</v>
      </c>
      <c r="D11" s="247"/>
      <c r="E11" s="247">
        <f>SUBTOTAL(103,MED_CAI_LF_LEGACY[Brd-Off])</f>
        <v>9</v>
      </c>
      <c r="F11" s="247"/>
      <c r="G11" s="249">
        <f>SUBTOTAL(101,MED_CAI_LF_LEGACY[LF%])</f>
        <v>0.98498888888888891</v>
      </c>
      <c r="H11" s="250">
        <f>SUBTOTAL(109,MED_CAI_LF_LEGACY[CAP])</f>
        <v>1519</v>
      </c>
      <c r="I11" s="250">
        <f>SUBTOTAL(109,MED_CAI_LF_LEGACY[BKG(Y)])</f>
        <v>1496</v>
      </c>
      <c r="J11" s="250">
        <f>SUBTOTAL(109,MED_CAI_LF_LEGACY[GRP(Y)])</f>
        <v>1066</v>
      </c>
      <c r="K11" s="247"/>
      <c r="L11" s="248"/>
      <c r="M11" s="250">
        <f>SUBTOTAL(109,MED_CAI_LF_LEGACY[TO-DAY])</f>
        <v>0</v>
      </c>
      <c r="N11" s="250">
        <f>SUBTOTAL(109,MED_CAI_LF_LEGACY[Y-DAY])</f>
        <v>1</v>
      </c>
      <c r="O11" s="250">
        <f>SUBTOTAL(109,MED_CAI_LF_LEGACY[WEEKLY])</f>
        <v>183</v>
      </c>
      <c r="P11" s="251"/>
      <c r="Q11" s="250">
        <f>SUBTOTAL(109,MED_CAI_LF_LEGACY[Y])</f>
        <v>0</v>
      </c>
      <c r="R11" s="250">
        <f>SUBTOTAL(109,MED_CAI_LF_LEGACY[B])</f>
        <v>0</v>
      </c>
      <c r="S11" s="250">
        <f>SUBTOTAL(109,MED_CAI_LF_LEGACY[M])</f>
        <v>0</v>
      </c>
      <c r="T11" s="250">
        <f>SUBTOTAL(109,MED_CAI_LF_LEGACY[H])</f>
        <v>0</v>
      </c>
      <c r="U11" s="250">
        <f>SUBTOTAL(109,MED_CAI_LF_LEGACY[Q])</f>
        <v>0</v>
      </c>
      <c r="V11" s="250">
        <f>SUBTOTAL(109,MED_CAI_LF_LEGACY[K])</f>
        <v>0</v>
      </c>
      <c r="W11" s="250">
        <f>SUBTOTAL(109,MED_CAI_LF_LEGACY[V])</f>
        <v>0</v>
      </c>
      <c r="X11" s="250">
        <f>SUBTOTAL(109,MED_CAI_LF_LEGACY[L])</f>
        <v>0</v>
      </c>
      <c r="Y11" s="250">
        <f>SUBTOTAL(109,MED_CAI_LF_LEGACY[G])</f>
        <v>0</v>
      </c>
      <c r="Z11" s="250">
        <f>SUBTOTAL(109,MED_CAI_LF_LEGACY[S])</f>
        <v>0</v>
      </c>
      <c r="AA11" s="250">
        <f>SUBTOTAL(109,MED_CAI_LF_LEGACY[W])</f>
        <v>0</v>
      </c>
      <c r="AB11" s="250">
        <f>SUBTOTAL(109,MED_CAI_LF_LEGACY[T])</f>
        <v>0</v>
      </c>
      <c r="AC11" s="250">
        <f>SUBTOTAL(109,MED_CAI_LF_LEGACY[X])</f>
        <v>0</v>
      </c>
      <c r="AD11" s="250">
        <f>SUBTOTAL(109,MED_CAI_LF_LEGACY[U])</f>
        <v>0</v>
      </c>
      <c r="AE11" s="250">
        <f>SUBTOTAL(109,MED_CAI_LF_LEGACY[O])</f>
        <v>0</v>
      </c>
      <c r="AF11" s="250">
        <f>SUBTOTAL(109,MED_CAI_LF_LEGACY[I])</f>
        <v>0</v>
      </c>
      <c r="AG11" s="250">
        <f>SUBTOTAL(109,MED_CAI_LF_LEGACY[E])</f>
        <v>0</v>
      </c>
      <c r="AH11" s="250">
        <f>SUBTOTAL(109,MED_CAI_LF_LEGACY[A])</f>
        <v>0</v>
      </c>
      <c r="AI11" s="250">
        <f>SUBTOTAL(109,MED_CAI_LF_LEGACY[P])</f>
        <v>0</v>
      </c>
      <c r="AJ11" s="250">
        <f>SUBTOTAL(103,MED_CAI_LF_LEGACY[N])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0.77734375" bestFit="1" customWidth="1"/>
  </cols>
  <sheetData>
    <row r="1" spans="1:92" ht="28.8" customHeight="1" x14ac:dyDescent="0.3">
      <c r="A1" s="230" t="s">
        <v>0</v>
      </c>
      <c r="B1" s="229"/>
      <c r="C1" s="229"/>
      <c r="D1" s="229"/>
      <c r="E1" s="229"/>
      <c r="F1" s="1" t="s">
        <v>351</v>
      </c>
      <c r="G1" s="2" t="s">
        <v>2</v>
      </c>
      <c r="H1" s="228" t="s">
        <v>3</v>
      </c>
      <c r="I1" s="229"/>
      <c r="J1" s="229"/>
      <c r="K1" s="229"/>
      <c r="L1" s="229"/>
      <c r="M1" s="1" t="s">
        <v>4</v>
      </c>
      <c r="N1" s="236" t="s">
        <v>5</v>
      </c>
      <c r="O1" s="229"/>
      <c r="P1" s="229"/>
      <c r="Q1" s="229"/>
      <c r="R1" s="229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32" t="s">
        <v>6</v>
      </c>
      <c r="B2" s="229"/>
      <c r="C2" s="229"/>
      <c r="D2" s="229"/>
      <c r="E2" s="229"/>
      <c r="F2" s="229"/>
      <c r="G2" s="234">
        <v>45984.347833699307</v>
      </c>
      <c r="H2" s="229"/>
      <c r="I2" s="229"/>
      <c r="J2" s="229"/>
      <c r="K2" s="237">
        <v>45984.347833700391</v>
      </c>
      <c r="L2" s="229"/>
      <c r="M2" s="229"/>
      <c r="N2" s="229"/>
      <c r="O2" s="229"/>
      <c r="P2" s="229"/>
      <c r="Q2" s="229"/>
      <c r="R2" s="22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33" t="s">
        <v>7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35" t="s">
        <v>8</v>
      </c>
      <c r="B4" s="221"/>
      <c r="C4" s="221"/>
      <c r="D4" s="221"/>
      <c r="E4" s="221"/>
      <c r="F4" s="222"/>
      <c r="G4" s="4">
        <v>45993</v>
      </c>
      <c r="H4" s="231" t="s">
        <v>9</v>
      </c>
      <c r="I4" s="221"/>
      <c r="J4" s="221"/>
      <c r="K4" s="221"/>
      <c r="L4" s="221"/>
      <c r="M4" s="221"/>
      <c r="N4" s="221"/>
      <c r="O4" s="221"/>
      <c r="P4" s="221"/>
      <c r="Q4" s="221"/>
      <c r="R4" s="22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182" t="s">
        <v>28</v>
      </c>
      <c r="B6" s="182" t="s">
        <v>352</v>
      </c>
      <c r="C6" s="183">
        <v>0.27083333333333331</v>
      </c>
      <c r="D6" s="182" t="s">
        <v>30</v>
      </c>
      <c r="E6" s="184"/>
      <c r="F6" s="182" t="s">
        <v>51</v>
      </c>
      <c r="G6" s="224"/>
      <c r="H6" s="134" t="s">
        <v>353</v>
      </c>
      <c r="I6" s="204">
        <v>0.29759999999999998</v>
      </c>
      <c r="J6" s="136">
        <v>50</v>
      </c>
      <c r="K6" s="137" t="s">
        <v>71</v>
      </c>
      <c r="L6" s="136">
        <v>14</v>
      </c>
      <c r="M6" s="136">
        <v>0</v>
      </c>
      <c r="N6" s="136">
        <v>0</v>
      </c>
      <c r="O6" s="138" t="s">
        <v>348</v>
      </c>
      <c r="P6" s="139">
        <v>0.27083333333333331</v>
      </c>
      <c r="Q6" s="136">
        <v>168</v>
      </c>
      <c r="R6" s="140" t="s">
        <v>354</v>
      </c>
    </row>
    <row r="7" spans="1:92" ht="17.399999999999999" customHeight="1" thickBot="1" x14ac:dyDescent="0.35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thickTop="1" thickBot="1" x14ac:dyDescent="0.35">
      <c r="A8" s="223" t="s">
        <v>8</v>
      </c>
      <c r="B8" s="221"/>
      <c r="C8" s="221"/>
      <c r="D8" s="221"/>
      <c r="E8" s="221"/>
      <c r="F8" s="222"/>
      <c r="G8" s="48">
        <v>45995</v>
      </c>
      <c r="H8" s="220" t="s">
        <v>9</v>
      </c>
      <c r="I8" s="221"/>
      <c r="J8" s="221"/>
      <c r="K8" s="221"/>
      <c r="L8" s="221"/>
      <c r="M8" s="221"/>
      <c r="N8" s="221"/>
      <c r="O8" s="221"/>
      <c r="P8" s="221"/>
      <c r="Q8" s="221"/>
      <c r="R8" s="222"/>
    </row>
    <row r="9" spans="1:92" ht="24" customHeight="1" x14ac:dyDescent="0.3">
      <c r="A9" s="49" t="s">
        <v>10</v>
      </c>
      <c r="B9" s="49" t="s">
        <v>11</v>
      </c>
      <c r="C9" s="50" t="s">
        <v>12</v>
      </c>
      <c r="D9" s="49" t="s">
        <v>13</v>
      </c>
      <c r="E9" s="49" t="s">
        <v>14</v>
      </c>
      <c r="F9" s="51" t="s">
        <v>15</v>
      </c>
      <c r="G9" s="52" t="s">
        <v>16</v>
      </c>
      <c r="H9" s="49" t="s">
        <v>17</v>
      </c>
      <c r="I9" s="53" t="s">
        <v>18</v>
      </c>
      <c r="J9" s="54" t="s">
        <v>19</v>
      </c>
      <c r="K9" s="55" t="s">
        <v>20</v>
      </c>
      <c r="L9" s="54" t="s">
        <v>21</v>
      </c>
      <c r="M9" s="54" t="s">
        <v>22</v>
      </c>
      <c r="N9" s="54" t="s">
        <v>23</v>
      </c>
      <c r="O9" s="49" t="s">
        <v>24</v>
      </c>
      <c r="P9" s="50" t="s">
        <v>25</v>
      </c>
      <c r="Q9" s="54" t="s">
        <v>26</v>
      </c>
      <c r="R9" s="49" t="s">
        <v>27</v>
      </c>
    </row>
    <row r="10" spans="1:92" ht="49.95" customHeight="1" thickTop="1" thickBot="1" x14ac:dyDescent="0.35">
      <c r="A10" s="194" t="s">
        <v>28</v>
      </c>
      <c r="B10" s="194" t="s">
        <v>352</v>
      </c>
      <c r="C10" s="195">
        <v>0.92361111111111116</v>
      </c>
      <c r="D10" s="194" t="s">
        <v>30</v>
      </c>
      <c r="E10" s="196"/>
      <c r="F10" s="194" t="s">
        <v>51</v>
      </c>
      <c r="G10" s="227"/>
      <c r="H10" s="197" t="s">
        <v>353</v>
      </c>
      <c r="I10" s="198">
        <v>0.28570000000000001</v>
      </c>
      <c r="J10" s="199">
        <v>48</v>
      </c>
      <c r="K10" s="200" t="s">
        <v>43</v>
      </c>
      <c r="L10" s="199">
        <v>11</v>
      </c>
      <c r="M10" s="199">
        <v>0</v>
      </c>
      <c r="N10" s="199">
        <v>3</v>
      </c>
      <c r="O10" s="201" t="s">
        <v>343</v>
      </c>
      <c r="P10" s="202">
        <v>0.92361111111111116</v>
      </c>
      <c r="Q10" s="199">
        <v>168</v>
      </c>
      <c r="R10" s="203" t="s">
        <v>355</v>
      </c>
    </row>
    <row r="11" spans="1:92" ht="17.399999999999999" customHeight="1" thickBot="1" x14ac:dyDescent="0.35">
      <c r="A11" s="252"/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4"/>
    </row>
    <row r="12" spans="1:92" ht="22.05" customHeight="1" thickTop="1" thickBot="1" x14ac:dyDescent="0.35">
      <c r="A12" s="223" t="s">
        <v>8</v>
      </c>
      <c r="B12" s="221"/>
      <c r="C12" s="221"/>
      <c r="D12" s="221"/>
      <c r="E12" s="221"/>
      <c r="F12" s="222"/>
      <c r="G12" s="48">
        <v>45996</v>
      </c>
      <c r="H12" s="220" t="s">
        <v>9</v>
      </c>
      <c r="I12" s="221"/>
      <c r="J12" s="221"/>
      <c r="K12" s="221"/>
      <c r="L12" s="221"/>
      <c r="M12" s="221"/>
      <c r="N12" s="221"/>
      <c r="O12" s="221"/>
      <c r="P12" s="221"/>
      <c r="Q12" s="221"/>
      <c r="R12" s="222"/>
    </row>
    <row r="13" spans="1:92" ht="24" customHeight="1" x14ac:dyDescent="0.3">
      <c r="A13" s="49" t="s">
        <v>10</v>
      </c>
      <c r="B13" s="49" t="s">
        <v>11</v>
      </c>
      <c r="C13" s="50" t="s">
        <v>12</v>
      </c>
      <c r="D13" s="49" t="s">
        <v>13</v>
      </c>
      <c r="E13" s="49" t="s">
        <v>14</v>
      </c>
      <c r="F13" s="51" t="s">
        <v>15</v>
      </c>
      <c r="G13" s="52" t="s">
        <v>16</v>
      </c>
      <c r="H13" s="49" t="s">
        <v>17</v>
      </c>
      <c r="I13" s="53" t="s">
        <v>18</v>
      </c>
      <c r="J13" s="54" t="s">
        <v>19</v>
      </c>
      <c r="K13" s="55" t="s">
        <v>20</v>
      </c>
      <c r="L13" s="54" t="s">
        <v>21</v>
      </c>
      <c r="M13" s="54" t="s">
        <v>22</v>
      </c>
      <c r="N13" s="54" t="s">
        <v>23</v>
      </c>
      <c r="O13" s="49" t="s">
        <v>24</v>
      </c>
      <c r="P13" s="50" t="s">
        <v>25</v>
      </c>
      <c r="Q13" s="54" t="s">
        <v>26</v>
      </c>
      <c r="R13" s="49" t="s">
        <v>27</v>
      </c>
    </row>
    <row r="14" spans="1:92" ht="49.95" customHeight="1" thickTop="1" thickBot="1" x14ac:dyDescent="0.35">
      <c r="A14" s="123" t="s">
        <v>28</v>
      </c>
      <c r="B14" s="123" t="s">
        <v>352</v>
      </c>
      <c r="C14" s="124">
        <v>0.57986111111111105</v>
      </c>
      <c r="D14" s="123" t="s">
        <v>30</v>
      </c>
      <c r="E14" s="125"/>
      <c r="F14" s="123" t="s">
        <v>55</v>
      </c>
      <c r="G14" s="227"/>
      <c r="H14" s="150" t="s">
        <v>353</v>
      </c>
      <c r="I14" s="192">
        <v>0.33929999999999999</v>
      </c>
      <c r="J14" s="152">
        <v>57</v>
      </c>
      <c r="K14" s="153" t="s">
        <v>71</v>
      </c>
      <c r="L14" s="152">
        <v>9</v>
      </c>
      <c r="M14" s="152">
        <v>0</v>
      </c>
      <c r="N14" s="152">
        <v>0</v>
      </c>
      <c r="O14" s="154" t="s">
        <v>82</v>
      </c>
      <c r="P14" s="155">
        <v>0.57986111111111105</v>
      </c>
      <c r="Q14" s="152">
        <v>168</v>
      </c>
      <c r="R14" s="156" t="s">
        <v>356</v>
      </c>
    </row>
    <row r="15" spans="1:92" ht="17.399999999999999" customHeight="1" thickBot="1" x14ac:dyDescent="0.35">
      <c r="A15" s="252"/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4"/>
    </row>
    <row r="16" spans="1:92" ht="22.05" customHeight="1" thickTop="1" thickBot="1" x14ac:dyDescent="0.35">
      <c r="A16" s="223" t="s">
        <v>8</v>
      </c>
      <c r="B16" s="221"/>
      <c r="C16" s="221"/>
      <c r="D16" s="221"/>
      <c r="E16" s="221"/>
      <c r="F16" s="222"/>
      <c r="G16" s="48">
        <v>45997</v>
      </c>
      <c r="H16" s="220" t="s">
        <v>9</v>
      </c>
      <c r="I16" s="221"/>
      <c r="J16" s="221"/>
      <c r="K16" s="221"/>
      <c r="L16" s="221"/>
      <c r="M16" s="221"/>
      <c r="N16" s="221"/>
      <c r="O16" s="221"/>
      <c r="P16" s="221"/>
      <c r="Q16" s="221"/>
      <c r="R16" s="222"/>
    </row>
    <row r="17" spans="1:18" ht="24" customHeight="1" x14ac:dyDescent="0.3">
      <c r="A17" s="49" t="s">
        <v>10</v>
      </c>
      <c r="B17" s="49" t="s">
        <v>11</v>
      </c>
      <c r="C17" s="50" t="s">
        <v>12</v>
      </c>
      <c r="D17" s="49" t="s">
        <v>13</v>
      </c>
      <c r="E17" s="49" t="s">
        <v>14</v>
      </c>
      <c r="F17" s="51" t="s">
        <v>15</v>
      </c>
      <c r="G17" s="52" t="s">
        <v>16</v>
      </c>
      <c r="H17" s="49" t="s">
        <v>17</v>
      </c>
      <c r="I17" s="53" t="s">
        <v>18</v>
      </c>
      <c r="J17" s="54" t="s">
        <v>19</v>
      </c>
      <c r="K17" s="55" t="s">
        <v>20</v>
      </c>
      <c r="L17" s="54" t="s">
        <v>21</v>
      </c>
      <c r="M17" s="54" t="s">
        <v>22</v>
      </c>
      <c r="N17" s="54" t="s">
        <v>23</v>
      </c>
      <c r="O17" s="49" t="s">
        <v>24</v>
      </c>
      <c r="P17" s="50" t="s">
        <v>25</v>
      </c>
      <c r="Q17" s="54" t="s">
        <v>26</v>
      </c>
      <c r="R17" s="49" t="s">
        <v>27</v>
      </c>
    </row>
    <row r="18" spans="1:18" ht="49.95" customHeight="1" thickTop="1" thickBot="1" x14ac:dyDescent="0.35">
      <c r="A18" s="56" t="s">
        <v>28</v>
      </c>
      <c r="B18" s="56" t="s">
        <v>352</v>
      </c>
      <c r="C18" s="57">
        <v>0.92361111111111116</v>
      </c>
      <c r="D18" s="56" t="s">
        <v>30</v>
      </c>
      <c r="E18" s="58"/>
      <c r="F18" s="56" t="s">
        <v>51</v>
      </c>
      <c r="G18" s="227"/>
      <c r="H18" s="212" t="s">
        <v>353</v>
      </c>
      <c r="I18" s="213">
        <v>0.125</v>
      </c>
      <c r="J18" s="214">
        <v>21</v>
      </c>
      <c r="K18" s="215" t="s">
        <v>71</v>
      </c>
      <c r="L18" s="214">
        <v>1</v>
      </c>
      <c r="M18" s="214">
        <v>0</v>
      </c>
      <c r="N18" s="214">
        <v>0</v>
      </c>
      <c r="O18" s="216" t="s">
        <v>260</v>
      </c>
      <c r="P18" s="217">
        <v>0.92361111111111116</v>
      </c>
      <c r="Q18" s="214">
        <v>168</v>
      </c>
      <c r="R18" s="218" t="s">
        <v>357</v>
      </c>
    </row>
    <row r="19" spans="1:18" ht="17.399999999999999" customHeight="1" thickBot="1" x14ac:dyDescent="0.35">
      <c r="A19" s="252"/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4"/>
    </row>
    <row r="20" spans="1:18" ht="22.05" customHeight="1" thickTop="1" thickBot="1" x14ac:dyDescent="0.35">
      <c r="A20" s="223" t="s">
        <v>8</v>
      </c>
      <c r="B20" s="221"/>
      <c r="C20" s="221"/>
      <c r="D20" s="221"/>
      <c r="E20" s="221"/>
      <c r="F20" s="222"/>
      <c r="G20" s="48">
        <v>46000</v>
      </c>
      <c r="H20" s="220" t="s">
        <v>9</v>
      </c>
      <c r="I20" s="221"/>
      <c r="J20" s="221"/>
      <c r="K20" s="221"/>
      <c r="L20" s="221"/>
      <c r="M20" s="221"/>
      <c r="N20" s="221"/>
      <c r="O20" s="221"/>
      <c r="P20" s="221"/>
      <c r="Q20" s="221"/>
      <c r="R20" s="222"/>
    </row>
    <row r="21" spans="1:18" ht="24" customHeight="1" x14ac:dyDescent="0.3">
      <c r="A21" s="49" t="s">
        <v>10</v>
      </c>
      <c r="B21" s="49" t="s">
        <v>11</v>
      </c>
      <c r="C21" s="50" t="s">
        <v>12</v>
      </c>
      <c r="D21" s="49" t="s">
        <v>13</v>
      </c>
      <c r="E21" s="49" t="s">
        <v>14</v>
      </c>
      <c r="F21" s="51" t="s">
        <v>15</v>
      </c>
      <c r="G21" s="52" t="s">
        <v>16</v>
      </c>
      <c r="H21" s="49" t="s">
        <v>17</v>
      </c>
      <c r="I21" s="53" t="s">
        <v>18</v>
      </c>
      <c r="J21" s="54" t="s">
        <v>19</v>
      </c>
      <c r="K21" s="55" t="s">
        <v>20</v>
      </c>
      <c r="L21" s="54" t="s">
        <v>21</v>
      </c>
      <c r="M21" s="54" t="s">
        <v>22</v>
      </c>
      <c r="N21" s="54" t="s">
        <v>23</v>
      </c>
      <c r="O21" s="49" t="s">
        <v>24</v>
      </c>
      <c r="P21" s="50" t="s">
        <v>25</v>
      </c>
      <c r="Q21" s="54" t="s">
        <v>26</v>
      </c>
      <c r="R21" s="49" t="s">
        <v>27</v>
      </c>
    </row>
    <row r="22" spans="1:18" ht="49.95" customHeight="1" thickTop="1" thickBot="1" x14ac:dyDescent="0.5">
      <c r="A22" s="209" t="s">
        <v>28</v>
      </c>
      <c r="B22" s="209" t="s">
        <v>352</v>
      </c>
      <c r="C22" s="210">
        <v>0.27083333333333331</v>
      </c>
      <c r="D22" s="209" t="s">
        <v>30</v>
      </c>
      <c r="E22" s="211"/>
      <c r="F22" s="209" t="s">
        <v>51</v>
      </c>
      <c r="G22" s="224"/>
      <c r="H22" s="41" t="s">
        <v>353</v>
      </c>
      <c r="I22" s="193">
        <v>0.20830000000000001</v>
      </c>
      <c r="J22" s="43">
        <v>35</v>
      </c>
      <c r="K22" s="44" t="s">
        <v>43</v>
      </c>
      <c r="L22" s="43">
        <v>9</v>
      </c>
      <c r="M22" s="43">
        <v>0</v>
      </c>
      <c r="N22" s="43">
        <v>1</v>
      </c>
      <c r="O22" s="45" t="s">
        <v>260</v>
      </c>
      <c r="P22" s="46">
        <v>0.27083333333333331</v>
      </c>
      <c r="Q22" s="43">
        <v>168</v>
      </c>
      <c r="R22" s="47" t="s">
        <v>358</v>
      </c>
    </row>
    <row r="23" spans="1:18" ht="17.399999999999999" customHeight="1" thickBot="1" x14ac:dyDescent="0.35">
      <c r="A23" s="252"/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4"/>
    </row>
    <row r="24" spans="1:18" ht="15" thickTop="1" x14ac:dyDescent="0.3"/>
  </sheetData>
  <mergeCells count="27"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G14"/>
    <mergeCell ref="G22"/>
    <mergeCell ref="A2:F2"/>
    <mergeCell ref="A3:R3"/>
    <mergeCell ref="A8:F8"/>
    <mergeCell ref="G2:J2"/>
    <mergeCell ref="A4:F4"/>
    <mergeCell ref="A16:F16"/>
    <mergeCell ref="H8:R8"/>
    <mergeCell ref="A7:R7"/>
    <mergeCell ref="H20:R20"/>
    <mergeCell ref="H1:L1"/>
    <mergeCell ref="A1:E1"/>
    <mergeCell ref="A12:F12"/>
    <mergeCell ref="H4:R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7"/>
  <sheetViews>
    <sheetView workbookViewId="0"/>
  </sheetViews>
  <sheetFormatPr defaultRowHeight="15.6" outlineLevelCol="1" x14ac:dyDescent="0.3"/>
  <cols>
    <col min="1" max="1" width="9.88671875" style="239" bestFit="1" customWidth="1"/>
    <col min="2" max="2" width="9" style="239" bestFit="1" customWidth="1"/>
    <col min="3" max="3" width="6.77734375" style="239" bestFit="1" customWidth="1"/>
    <col min="4" max="4" width="5.5546875" style="239" bestFit="1" customWidth="1"/>
    <col min="5" max="5" width="9.21875" style="239" bestFit="1" customWidth="1"/>
    <col min="6" max="6" width="4.21875" style="239" bestFit="1" customWidth="1"/>
    <col min="7" max="7" width="10" style="239" bestFit="1" customWidth="1"/>
    <col min="8" max="10" width="7" style="239" bestFit="1" customWidth="1"/>
    <col min="11" max="11" width="10.5546875" style="239" bestFit="1" customWidth="1"/>
    <col min="12" max="12" width="18.109375" style="239" bestFit="1" customWidth="1"/>
    <col min="13" max="13" width="7.6640625" style="239" bestFit="1" customWidth="1" outlineLevel="1"/>
    <col min="14" max="14" width="6.33203125" style="239" bestFit="1" customWidth="1" outlineLevel="1"/>
    <col min="15" max="15" width="8" style="239" bestFit="1" customWidth="1" outlineLevel="1"/>
    <col min="16" max="16" width="13.6640625" style="239" bestFit="1" customWidth="1"/>
    <col min="17" max="26" width="3.88671875" style="239" bestFit="1" customWidth="1"/>
    <col min="27" max="27" width="4" style="239" bestFit="1" customWidth="1"/>
    <col min="28" max="28" width="4.21875" style="239" bestFit="1" customWidth="1"/>
    <col min="29" max="29" width="3.88671875" style="239" bestFit="1" customWidth="1"/>
    <col min="30" max="30" width="4.5546875" style="239" bestFit="1" customWidth="1"/>
    <col min="31" max="36" width="3.88671875" style="239" bestFit="1" customWidth="1"/>
    <col min="37" max="16384" width="8.88671875" style="239"/>
  </cols>
  <sheetData>
    <row r="1" spans="1:36" x14ac:dyDescent="0.3">
      <c r="A1" s="238" t="s">
        <v>136</v>
      </c>
      <c r="B1" s="238" t="s">
        <v>137</v>
      </c>
      <c r="C1" s="238" t="s">
        <v>138</v>
      </c>
      <c r="D1" s="238" t="s">
        <v>25</v>
      </c>
      <c r="E1" s="238" t="s">
        <v>139</v>
      </c>
      <c r="F1" s="238" t="s">
        <v>140</v>
      </c>
      <c r="G1" s="238" t="s">
        <v>18</v>
      </c>
      <c r="H1" s="238" t="s">
        <v>141</v>
      </c>
      <c r="I1" s="238" t="s">
        <v>142</v>
      </c>
      <c r="J1" s="238" t="s">
        <v>143</v>
      </c>
      <c r="K1" s="238" t="s">
        <v>144</v>
      </c>
      <c r="L1" s="238" t="s">
        <v>20</v>
      </c>
      <c r="M1" s="238" t="s">
        <v>22</v>
      </c>
      <c r="N1" s="238" t="s">
        <v>23</v>
      </c>
      <c r="O1" s="238" t="s">
        <v>21</v>
      </c>
      <c r="P1" s="238" t="s">
        <v>24</v>
      </c>
      <c r="Q1" s="238" t="s">
        <v>145</v>
      </c>
      <c r="R1" s="238" t="s">
        <v>146</v>
      </c>
      <c r="S1" s="238" t="s">
        <v>147</v>
      </c>
      <c r="T1" s="238" t="s">
        <v>148</v>
      </c>
      <c r="U1" s="238" t="s">
        <v>149</v>
      </c>
      <c r="V1" s="238" t="s">
        <v>150</v>
      </c>
      <c r="W1" s="238" t="s">
        <v>151</v>
      </c>
      <c r="X1" s="238" t="s">
        <v>152</v>
      </c>
      <c r="Y1" s="238" t="s">
        <v>153</v>
      </c>
      <c r="Z1" s="238" t="s">
        <v>154</v>
      </c>
      <c r="AA1" s="238" t="s">
        <v>155</v>
      </c>
      <c r="AB1" s="238" t="s">
        <v>156</v>
      </c>
      <c r="AC1" s="238" t="s">
        <v>157</v>
      </c>
      <c r="AD1" s="238" t="s">
        <v>158</v>
      </c>
      <c r="AE1" s="238" t="s">
        <v>159</v>
      </c>
      <c r="AF1" s="238" t="s">
        <v>160</v>
      </c>
      <c r="AG1" s="238" t="s">
        <v>161</v>
      </c>
      <c r="AH1" s="238" t="s">
        <v>162</v>
      </c>
      <c r="AI1" s="238" t="s">
        <v>163</v>
      </c>
      <c r="AJ1" s="238" t="s">
        <v>164</v>
      </c>
    </row>
    <row r="2" spans="1:36" x14ac:dyDescent="0.3">
      <c r="A2" s="240" t="s">
        <v>189</v>
      </c>
      <c r="B2" s="241">
        <v>45993</v>
      </c>
      <c r="C2" s="242" t="s">
        <v>353</v>
      </c>
      <c r="D2" s="243" t="s">
        <v>359</v>
      </c>
      <c r="E2" s="242" t="s">
        <v>351</v>
      </c>
      <c r="F2" s="242" t="s">
        <v>167</v>
      </c>
      <c r="G2" s="244">
        <v>0.29759999999999998</v>
      </c>
      <c r="H2" s="245">
        <v>168</v>
      </c>
      <c r="I2" s="245">
        <v>50</v>
      </c>
      <c r="J2" s="245">
        <v>0</v>
      </c>
      <c r="K2" s="242" t="s">
        <v>168</v>
      </c>
      <c r="L2" s="246" t="s">
        <v>71</v>
      </c>
      <c r="M2" s="245">
        <v>0</v>
      </c>
      <c r="N2" s="245">
        <v>0</v>
      </c>
      <c r="O2" s="245">
        <v>14</v>
      </c>
      <c r="P2" s="242" t="s">
        <v>348</v>
      </c>
      <c r="Q2" s="238"/>
      <c r="R2" s="238"/>
      <c r="S2" s="238"/>
      <c r="T2" s="238"/>
      <c r="U2" s="238"/>
      <c r="V2" s="238"/>
      <c r="W2" s="238"/>
      <c r="X2" s="238"/>
      <c r="Y2" s="238"/>
      <c r="Z2" s="245" t="s">
        <v>111</v>
      </c>
      <c r="AA2" s="238"/>
      <c r="AB2" s="245" t="s">
        <v>360</v>
      </c>
      <c r="AC2" s="245" t="s">
        <v>256</v>
      </c>
      <c r="AD2" s="245" t="s">
        <v>66</v>
      </c>
      <c r="AE2" s="245" t="s">
        <v>134</v>
      </c>
      <c r="AF2" s="245" t="s">
        <v>361</v>
      </c>
      <c r="AG2" s="238"/>
      <c r="AH2" s="238"/>
      <c r="AI2" s="238"/>
      <c r="AJ2" s="238"/>
    </row>
    <row r="3" spans="1:36" x14ac:dyDescent="0.3">
      <c r="A3" s="240" t="s">
        <v>211</v>
      </c>
      <c r="B3" s="241">
        <v>45995</v>
      </c>
      <c r="C3" s="242" t="s">
        <v>353</v>
      </c>
      <c r="D3" s="243" t="s">
        <v>294</v>
      </c>
      <c r="E3" s="242" t="s">
        <v>351</v>
      </c>
      <c r="F3" s="242" t="s">
        <v>167</v>
      </c>
      <c r="G3" s="244">
        <v>0.28570000000000001</v>
      </c>
      <c r="H3" s="245">
        <v>168</v>
      </c>
      <c r="I3" s="245">
        <v>48</v>
      </c>
      <c r="J3" s="245">
        <v>0</v>
      </c>
      <c r="K3" s="242" t="s">
        <v>168</v>
      </c>
      <c r="L3" s="246" t="s">
        <v>43</v>
      </c>
      <c r="M3" s="245">
        <v>0</v>
      </c>
      <c r="N3" s="245">
        <v>3</v>
      </c>
      <c r="O3" s="245">
        <v>11</v>
      </c>
      <c r="P3" s="242" t="s">
        <v>343</v>
      </c>
      <c r="Q3" s="238"/>
      <c r="R3" s="238"/>
      <c r="S3" s="238"/>
      <c r="T3" s="238"/>
      <c r="U3" s="238"/>
      <c r="V3" s="238"/>
      <c r="W3" s="238"/>
      <c r="X3" s="238"/>
      <c r="Y3" s="238"/>
      <c r="Z3" s="245" t="s">
        <v>169</v>
      </c>
      <c r="AA3" s="245" t="s">
        <v>362</v>
      </c>
      <c r="AB3" s="245" t="s">
        <v>329</v>
      </c>
      <c r="AC3" s="245" t="s">
        <v>363</v>
      </c>
      <c r="AD3" s="245" t="s">
        <v>235</v>
      </c>
      <c r="AE3" s="245" t="s">
        <v>364</v>
      </c>
      <c r="AF3" s="245" t="s">
        <v>365</v>
      </c>
      <c r="AG3" s="238"/>
      <c r="AH3" s="238"/>
      <c r="AI3" s="238"/>
      <c r="AJ3" s="238"/>
    </row>
    <row r="4" spans="1:36" x14ac:dyDescent="0.3">
      <c r="A4" s="240" t="s">
        <v>230</v>
      </c>
      <c r="B4" s="241">
        <v>45996</v>
      </c>
      <c r="C4" s="242" t="s">
        <v>353</v>
      </c>
      <c r="D4" s="243" t="s">
        <v>366</v>
      </c>
      <c r="E4" s="242" t="s">
        <v>351</v>
      </c>
      <c r="F4" s="242" t="s">
        <v>167</v>
      </c>
      <c r="G4" s="244">
        <v>0.33929999999999999</v>
      </c>
      <c r="H4" s="245">
        <v>168</v>
      </c>
      <c r="I4" s="245">
        <v>57</v>
      </c>
      <c r="J4" s="245">
        <v>0</v>
      </c>
      <c r="K4" s="242" t="s">
        <v>168</v>
      </c>
      <c r="L4" s="246" t="s">
        <v>71</v>
      </c>
      <c r="M4" s="245">
        <v>0</v>
      </c>
      <c r="N4" s="245">
        <v>0</v>
      </c>
      <c r="O4" s="245">
        <v>9</v>
      </c>
      <c r="P4" s="242" t="s">
        <v>82</v>
      </c>
      <c r="Q4" s="238"/>
      <c r="R4" s="238"/>
      <c r="S4" s="238"/>
      <c r="T4" s="238"/>
      <c r="U4" s="238"/>
      <c r="V4" s="238"/>
      <c r="W4" s="238"/>
      <c r="X4" s="238"/>
      <c r="Y4" s="238"/>
      <c r="Z4" s="245" t="s">
        <v>322</v>
      </c>
      <c r="AA4" s="238"/>
      <c r="AB4" s="245" t="s">
        <v>367</v>
      </c>
      <c r="AC4" s="245" t="s">
        <v>178</v>
      </c>
      <c r="AD4" s="245" t="s">
        <v>331</v>
      </c>
      <c r="AE4" s="245" t="s">
        <v>299</v>
      </c>
      <c r="AF4" s="245" t="s">
        <v>368</v>
      </c>
      <c r="AG4" s="238"/>
      <c r="AH4" s="238"/>
      <c r="AI4" s="238"/>
      <c r="AJ4" s="238"/>
    </row>
    <row r="5" spans="1:36" x14ac:dyDescent="0.3">
      <c r="A5" s="240" t="s">
        <v>245</v>
      </c>
      <c r="B5" s="241">
        <v>45997</v>
      </c>
      <c r="C5" s="242" t="s">
        <v>353</v>
      </c>
      <c r="D5" s="243" t="s">
        <v>294</v>
      </c>
      <c r="E5" s="242" t="s">
        <v>351</v>
      </c>
      <c r="F5" s="242" t="s">
        <v>167</v>
      </c>
      <c r="G5" s="244">
        <v>0.125</v>
      </c>
      <c r="H5" s="245">
        <v>168</v>
      </c>
      <c r="I5" s="245">
        <v>21</v>
      </c>
      <c r="J5" s="245">
        <v>0</v>
      </c>
      <c r="K5" s="242" t="s">
        <v>168</v>
      </c>
      <c r="L5" s="246" t="s">
        <v>71</v>
      </c>
      <c r="M5" s="245">
        <v>0</v>
      </c>
      <c r="N5" s="245">
        <v>0</v>
      </c>
      <c r="O5" s="245">
        <v>1</v>
      </c>
      <c r="P5" s="242" t="s">
        <v>260</v>
      </c>
      <c r="Q5" s="238"/>
      <c r="R5" s="238"/>
      <c r="S5" s="238"/>
      <c r="T5" s="238"/>
      <c r="U5" s="238"/>
      <c r="V5" s="238"/>
      <c r="W5" s="238"/>
      <c r="X5" s="238"/>
      <c r="Y5" s="238"/>
      <c r="Z5" s="245" t="s">
        <v>184</v>
      </c>
      <c r="AA5" s="238"/>
      <c r="AB5" s="238"/>
      <c r="AC5" s="238"/>
      <c r="AD5" s="245" t="s">
        <v>131</v>
      </c>
      <c r="AE5" s="245" t="s">
        <v>215</v>
      </c>
      <c r="AF5" s="245" t="s">
        <v>170</v>
      </c>
      <c r="AG5" s="238"/>
      <c r="AH5" s="238"/>
      <c r="AI5" s="238"/>
      <c r="AJ5" s="238"/>
    </row>
    <row r="6" spans="1:36" x14ac:dyDescent="0.3">
      <c r="A6" s="240" t="s">
        <v>189</v>
      </c>
      <c r="B6" s="241">
        <v>46000</v>
      </c>
      <c r="C6" s="242" t="s">
        <v>353</v>
      </c>
      <c r="D6" s="243" t="s">
        <v>359</v>
      </c>
      <c r="E6" s="242" t="s">
        <v>351</v>
      </c>
      <c r="F6" s="242" t="s">
        <v>167</v>
      </c>
      <c r="G6" s="244">
        <v>0.20830000000000001</v>
      </c>
      <c r="H6" s="245">
        <v>168</v>
      </c>
      <c r="I6" s="245">
        <v>35</v>
      </c>
      <c r="J6" s="245">
        <v>0</v>
      </c>
      <c r="K6" s="242" t="s">
        <v>168</v>
      </c>
      <c r="L6" s="246" t="s">
        <v>43</v>
      </c>
      <c r="M6" s="245">
        <v>0</v>
      </c>
      <c r="N6" s="245">
        <v>1</v>
      </c>
      <c r="O6" s="245">
        <v>9</v>
      </c>
      <c r="P6" s="242" t="s">
        <v>260</v>
      </c>
      <c r="Q6" s="238"/>
      <c r="R6" s="238"/>
      <c r="S6" s="238"/>
      <c r="T6" s="238"/>
      <c r="U6" s="238"/>
      <c r="V6" s="238"/>
      <c r="W6" s="238"/>
      <c r="X6" s="238"/>
      <c r="Y6" s="238"/>
      <c r="Z6" s="245" t="s">
        <v>228</v>
      </c>
      <c r="AA6" s="238"/>
      <c r="AB6" s="238"/>
      <c r="AC6" s="245" t="s">
        <v>256</v>
      </c>
      <c r="AD6" s="245" t="s">
        <v>235</v>
      </c>
      <c r="AE6" s="238"/>
      <c r="AF6" s="245" t="s">
        <v>267</v>
      </c>
      <c r="AG6" s="238"/>
      <c r="AH6" s="238"/>
      <c r="AI6" s="238"/>
      <c r="AJ6" s="238"/>
    </row>
    <row r="7" spans="1:36" ht="21" x14ac:dyDescent="0.3">
      <c r="A7" s="247" t="s">
        <v>369</v>
      </c>
      <c r="B7" s="248"/>
      <c r="C7" s="247">
        <f>SUBTOTAL(103,DMM_CAI_LF_LEGACY[Flt])</f>
        <v>5</v>
      </c>
      <c r="D7" s="247"/>
      <c r="E7" s="247">
        <f>SUBTOTAL(103,DMM_CAI_LF_LEGACY[Brd-Off])</f>
        <v>5</v>
      </c>
      <c r="F7" s="247"/>
      <c r="G7" s="249">
        <f>SUBTOTAL(101,DMM_CAI_LF_LEGACY[LF%])</f>
        <v>0.25117999999999996</v>
      </c>
      <c r="H7" s="250">
        <f>SUBTOTAL(109,DMM_CAI_LF_LEGACY[CAP])</f>
        <v>840</v>
      </c>
      <c r="I7" s="250">
        <f>SUBTOTAL(109,DMM_CAI_LF_LEGACY[BKG(Y)])</f>
        <v>211</v>
      </c>
      <c r="J7" s="250">
        <f>SUBTOTAL(109,DMM_CAI_LF_LEGACY[GRP(Y)])</f>
        <v>0</v>
      </c>
      <c r="K7" s="247"/>
      <c r="L7" s="248"/>
      <c r="M7" s="250">
        <f>SUBTOTAL(109,DMM_CAI_LF_LEGACY[TO-DAY])</f>
        <v>0</v>
      </c>
      <c r="N7" s="250">
        <f>SUBTOTAL(109,DMM_CAI_LF_LEGACY[Y-DAY])</f>
        <v>4</v>
      </c>
      <c r="O7" s="250">
        <f>SUBTOTAL(109,DMM_CAI_LF_LEGACY[WEEKLY])</f>
        <v>44</v>
      </c>
      <c r="P7" s="251"/>
      <c r="Q7" s="250">
        <f>SUBTOTAL(109,DMM_CAI_LF_LEGACY[Y])</f>
        <v>0</v>
      </c>
      <c r="R7" s="250">
        <f>SUBTOTAL(109,DMM_CAI_LF_LEGACY[B])</f>
        <v>0</v>
      </c>
      <c r="S7" s="250">
        <f>SUBTOTAL(109,DMM_CAI_LF_LEGACY[M])</f>
        <v>0</v>
      </c>
      <c r="T7" s="250">
        <f>SUBTOTAL(109,DMM_CAI_LF_LEGACY[H])</f>
        <v>0</v>
      </c>
      <c r="U7" s="250">
        <f>SUBTOTAL(109,DMM_CAI_LF_LEGACY[Q])</f>
        <v>0</v>
      </c>
      <c r="V7" s="250">
        <f>SUBTOTAL(109,DMM_CAI_LF_LEGACY[K])</f>
        <v>0</v>
      </c>
      <c r="W7" s="250">
        <f>SUBTOTAL(109,DMM_CAI_LF_LEGACY[V])</f>
        <v>0</v>
      </c>
      <c r="X7" s="250">
        <f>SUBTOTAL(109,DMM_CAI_LF_LEGACY[L])</f>
        <v>0</v>
      </c>
      <c r="Y7" s="250">
        <f>SUBTOTAL(109,DMM_CAI_LF_LEGACY[G])</f>
        <v>0</v>
      </c>
      <c r="Z7" s="250">
        <f>SUBTOTAL(109,DMM_CAI_LF_LEGACY[S])</f>
        <v>0</v>
      </c>
      <c r="AA7" s="250">
        <f>SUBTOTAL(109,DMM_CAI_LF_LEGACY[W])</f>
        <v>0</v>
      </c>
      <c r="AB7" s="250">
        <f>SUBTOTAL(109,DMM_CAI_LF_LEGACY[T])</f>
        <v>0</v>
      </c>
      <c r="AC7" s="250">
        <f>SUBTOTAL(109,DMM_CAI_LF_LEGACY[X])</f>
        <v>0</v>
      </c>
      <c r="AD7" s="250">
        <f>SUBTOTAL(109,DMM_CAI_LF_LEGACY[U])</f>
        <v>0</v>
      </c>
      <c r="AE7" s="250">
        <f>SUBTOTAL(109,DMM_CAI_LF_LEGACY[O])</f>
        <v>0</v>
      </c>
      <c r="AF7" s="250">
        <f>SUBTOTAL(109,DMM_CAI_LF_LEGACY[I])</f>
        <v>0</v>
      </c>
      <c r="AG7" s="250">
        <f>SUBTOTAL(109,DMM_CAI_LF_LEGACY[E])</f>
        <v>0</v>
      </c>
      <c r="AH7" s="250">
        <f>SUBTOTAL(109,DMM_CAI_LF_LEGACY[A])</f>
        <v>0</v>
      </c>
      <c r="AI7" s="250">
        <f>SUBTOTAL(109,DMM_CAI_LF_LEGACY[P])</f>
        <v>0</v>
      </c>
      <c r="AJ7" s="250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75"/>
  <sheetViews>
    <sheetView workbookViewId="0"/>
  </sheetViews>
  <sheetFormatPr defaultRowHeight="14.4" x14ac:dyDescent="0.3"/>
  <cols>
    <col min="1" max="1" width="11.5546875" bestFit="1" customWidth="1"/>
    <col min="2" max="2" width="17" bestFit="1" customWidth="1"/>
    <col min="3" max="3" width="6.5546875" bestFit="1" customWidth="1"/>
    <col min="4" max="4" width="5.5546875" bestFit="1" customWidth="1"/>
    <col min="5" max="5" width="9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18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33" width="3" bestFit="1" customWidth="1"/>
    <col min="34" max="34" width="2.21875" bestFit="1" customWidth="1"/>
    <col min="35" max="35" width="4" bestFit="1" customWidth="1"/>
    <col min="36" max="36" width="2.33203125" bestFit="1" customWidth="1"/>
  </cols>
  <sheetData>
    <row r="1" spans="1:36" x14ac:dyDescent="0.3">
      <c r="A1" s="190" t="s">
        <v>136</v>
      </c>
      <c r="B1" s="190" t="s">
        <v>137</v>
      </c>
      <c r="C1" s="190" t="s">
        <v>138</v>
      </c>
      <c r="D1" s="190" t="s">
        <v>25</v>
      </c>
      <c r="E1" s="190" t="s">
        <v>139</v>
      </c>
      <c r="F1" s="190" t="s">
        <v>140</v>
      </c>
      <c r="G1" s="190" t="s">
        <v>18</v>
      </c>
      <c r="H1" s="190" t="s">
        <v>141</v>
      </c>
      <c r="I1" s="190" t="s">
        <v>142</v>
      </c>
      <c r="J1" s="190" t="s">
        <v>143</v>
      </c>
      <c r="K1" s="190" t="s">
        <v>144</v>
      </c>
      <c r="L1" s="190" t="s">
        <v>20</v>
      </c>
      <c r="M1" s="190" t="s">
        <v>22</v>
      </c>
      <c r="N1" s="190" t="s">
        <v>23</v>
      </c>
      <c r="O1" s="190" t="s">
        <v>21</v>
      </c>
      <c r="P1" s="190" t="s">
        <v>24</v>
      </c>
      <c r="Q1" s="190" t="s">
        <v>145</v>
      </c>
      <c r="R1" s="190" t="s">
        <v>146</v>
      </c>
      <c r="S1" s="190" t="s">
        <v>147</v>
      </c>
      <c r="T1" s="190" t="s">
        <v>148</v>
      </c>
      <c r="U1" s="190" t="s">
        <v>149</v>
      </c>
      <c r="V1" s="190" t="s">
        <v>150</v>
      </c>
      <c r="W1" s="190" t="s">
        <v>151</v>
      </c>
      <c r="X1" s="190" t="s">
        <v>152</v>
      </c>
      <c r="Y1" s="190" t="s">
        <v>153</v>
      </c>
      <c r="Z1" s="190" t="s">
        <v>154</v>
      </c>
      <c r="AA1" s="190" t="s">
        <v>155</v>
      </c>
      <c r="AB1" s="190" t="s">
        <v>156</v>
      </c>
      <c r="AC1" s="190" t="s">
        <v>157</v>
      </c>
      <c r="AD1" s="190" t="s">
        <v>158</v>
      </c>
      <c r="AE1" s="190" t="s">
        <v>159</v>
      </c>
      <c r="AF1" s="190" t="s">
        <v>160</v>
      </c>
      <c r="AG1" s="190" t="s">
        <v>161</v>
      </c>
      <c r="AH1" s="190" t="s">
        <v>162</v>
      </c>
      <c r="AI1" s="190" t="s">
        <v>163</v>
      </c>
      <c r="AJ1" s="190" t="s">
        <v>164</v>
      </c>
    </row>
    <row r="2" spans="1:36" x14ac:dyDescent="0.3">
      <c r="A2" t="s">
        <v>165</v>
      </c>
      <c r="B2" s="219">
        <v>45992</v>
      </c>
      <c r="C2" t="s">
        <v>47</v>
      </c>
      <c r="D2" t="s">
        <v>183</v>
      </c>
      <c r="E2" t="s">
        <v>1</v>
      </c>
      <c r="F2" t="s">
        <v>167</v>
      </c>
      <c r="G2">
        <v>0.9385</v>
      </c>
      <c r="H2">
        <v>179</v>
      </c>
      <c r="I2">
        <v>168</v>
      </c>
      <c r="J2">
        <v>116</v>
      </c>
      <c r="K2" t="s">
        <v>168</v>
      </c>
      <c r="L2" t="s">
        <v>43</v>
      </c>
      <c r="M2">
        <v>0</v>
      </c>
      <c r="N2">
        <v>7</v>
      </c>
      <c r="O2">
        <v>23</v>
      </c>
      <c r="P2" t="s">
        <v>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2</v>
      </c>
      <c r="AD2">
        <v>9</v>
      </c>
      <c r="AE2">
        <v>20</v>
      </c>
      <c r="AF2">
        <v>20</v>
      </c>
      <c r="AG2">
        <v>41</v>
      </c>
      <c r="AH2">
        <v>0</v>
      </c>
      <c r="AI2">
        <v>75</v>
      </c>
      <c r="AJ2">
        <v>0</v>
      </c>
    </row>
    <row r="3" spans="1:36" x14ac:dyDescent="0.3">
      <c r="A3" t="s">
        <v>165</v>
      </c>
      <c r="B3" s="219">
        <v>45992</v>
      </c>
      <c r="C3" t="s">
        <v>37</v>
      </c>
      <c r="D3" t="s">
        <v>172</v>
      </c>
      <c r="E3" t="s">
        <v>1</v>
      </c>
      <c r="F3" t="s">
        <v>167</v>
      </c>
      <c r="G3">
        <v>0.9274</v>
      </c>
      <c r="H3">
        <v>179</v>
      </c>
      <c r="I3">
        <v>166</v>
      </c>
      <c r="J3">
        <v>135</v>
      </c>
      <c r="K3" t="s">
        <v>168</v>
      </c>
      <c r="L3" t="s">
        <v>38</v>
      </c>
      <c r="M3">
        <v>0</v>
      </c>
      <c r="N3">
        <v>0</v>
      </c>
      <c r="O3">
        <v>47</v>
      </c>
      <c r="P3" t="s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0</v>
      </c>
      <c r="AB3">
        <v>0</v>
      </c>
      <c r="AC3">
        <v>0</v>
      </c>
      <c r="AD3">
        <v>0</v>
      </c>
      <c r="AE3">
        <v>19</v>
      </c>
      <c r="AF3">
        <v>10</v>
      </c>
      <c r="AG3">
        <v>0</v>
      </c>
      <c r="AH3">
        <v>0</v>
      </c>
      <c r="AI3">
        <v>135</v>
      </c>
      <c r="AJ3">
        <v>0</v>
      </c>
    </row>
    <row r="4" spans="1:36" x14ac:dyDescent="0.3">
      <c r="A4" t="s">
        <v>165</v>
      </c>
      <c r="B4" s="219">
        <v>45992</v>
      </c>
      <c r="C4" t="s">
        <v>42</v>
      </c>
      <c r="D4" t="s">
        <v>176</v>
      </c>
      <c r="E4" t="s">
        <v>1</v>
      </c>
      <c r="F4" t="s">
        <v>167</v>
      </c>
      <c r="G4">
        <v>0.8659</v>
      </c>
      <c r="H4">
        <v>179</v>
      </c>
      <c r="I4">
        <v>155</v>
      </c>
      <c r="J4">
        <v>102</v>
      </c>
      <c r="K4" t="s">
        <v>168</v>
      </c>
      <c r="L4" t="s">
        <v>43</v>
      </c>
      <c r="M4">
        <v>0</v>
      </c>
      <c r="N4">
        <v>1</v>
      </c>
      <c r="O4">
        <v>28</v>
      </c>
      <c r="P4" t="s">
        <v>44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</v>
      </c>
      <c r="AA4">
        <v>0</v>
      </c>
      <c r="AB4">
        <v>0</v>
      </c>
      <c r="AC4">
        <v>8</v>
      </c>
      <c r="AD4">
        <v>11</v>
      </c>
      <c r="AE4">
        <v>15</v>
      </c>
      <c r="AF4">
        <v>10</v>
      </c>
      <c r="AG4">
        <v>0</v>
      </c>
      <c r="AH4">
        <v>0</v>
      </c>
      <c r="AI4">
        <v>102</v>
      </c>
      <c r="AJ4">
        <v>4</v>
      </c>
    </row>
    <row r="5" spans="1:36" x14ac:dyDescent="0.3">
      <c r="A5" t="s">
        <v>165</v>
      </c>
      <c r="B5" s="219">
        <v>45992</v>
      </c>
      <c r="C5" t="s">
        <v>32</v>
      </c>
      <c r="D5" t="s">
        <v>166</v>
      </c>
      <c r="E5" t="s">
        <v>1</v>
      </c>
      <c r="F5" t="s">
        <v>167</v>
      </c>
      <c r="G5">
        <v>0.87709999999999999</v>
      </c>
      <c r="H5">
        <v>179</v>
      </c>
      <c r="I5">
        <v>157</v>
      </c>
      <c r="J5">
        <v>132</v>
      </c>
      <c r="K5" t="s">
        <v>168</v>
      </c>
      <c r="L5" t="s">
        <v>33</v>
      </c>
      <c r="M5">
        <v>0</v>
      </c>
      <c r="N5">
        <v>0</v>
      </c>
      <c r="O5">
        <v>5</v>
      </c>
      <c r="P5" t="s">
        <v>34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</v>
      </c>
      <c r="AA5">
        <v>0</v>
      </c>
      <c r="AB5">
        <v>0</v>
      </c>
      <c r="AC5">
        <v>0</v>
      </c>
      <c r="AD5">
        <v>3</v>
      </c>
      <c r="AE5">
        <v>8</v>
      </c>
      <c r="AF5">
        <v>10</v>
      </c>
      <c r="AG5">
        <v>0</v>
      </c>
      <c r="AH5">
        <v>0</v>
      </c>
      <c r="AI5">
        <v>132</v>
      </c>
      <c r="AJ5">
        <v>0</v>
      </c>
    </row>
    <row r="6" spans="1:36" x14ac:dyDescent="0.3">
      <c r="A6" t="s">
        <v>165</v>
      </c>
      <c r="B6" s="219">
        <v>45992</v>
      </c>
      <c r="C6" t="s">
        <v>276</v>
      </c>
      <c r="D6" t="s">
        <v>294</v>
      </c>
      <c r="E6" t="s">
        <v>274</v>
      </c>
      <c r="F6" t="s">
        <v>167</v>
      </c>
      <c r="G6">
        <v>3.5700000000000003E-2</v>
      </c>
      <c r="H6">
        <v>168</v>
      </c>
      <c r="I6">
        <v>6</v>
      </c>
      <c r="J6">
        <v>0</v>
      </c>
      <c r="K6" t="s">
        <v>168</v>
      </c>
      <c r="L6" t="s">
        <v>43</v>
      </c>
      <c r="M6">
        <v>0</v>
      </c>
      <c r="N6">
        <v>1</v>
      </c>
      <c r="O6">
        <v>4</v>
      </c>
      <c r="P6" t="s">
        <v>260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5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189</v>
      </c>
      <c r="B7" s="219">
        <v>45993</v>
      </c>
      <c r="C7" t="s">
        <v>353</v>
      </c>
      <c r="D7" t="s">
        <v>359</v>
      </c>
      <c r="E7" t="s">
        <v>351</v>
      </c>
      <c r="F7" t="s">
        <v>167</v>
      </c>
      <c r="G7">
        <v>0.29759999999999998</v>
      </c>
      <c r="H7">
        <v>168</v>
      </c>
      <c r="I7">
        <v>50</v>
      </c>
      <c r="J7">
        <v>0</v>
      </c>
      <c r="K7" t="s">
        <v>168</v>
      </c>
      <c r="L7" t="s">
        <v>71</v>
      </c>
      <c r="M7">
        <v>0</v>
      </c>
      <c r="N7">
        <v>0</v>
      </c>
      <c r="O7">
        <v>14</v>
      </c>
      <c r="P7" t="s">
        <v>348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</v>
      </c>
      <c r="AA7">
        <v>0</v>
      </c>
      <c r="AB7">
        <v>2</v>
      </c>
      <c r="AC7">
        <v>7</v>
      </c>
      <c r="AD7">
        <v>2</v>
      </c>
      <c r="AE7">
        <v>4</v>
      </c>
      <c r="AF7">
        <v>26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189</v>
      </c>
      <c r="B8" s="219">
        <v>45993</v>
      </c>
      <c r="C8" t="s">
        <v>63</v>
      </c>
      <c r="D8" t="s">
        <v>201</v>
      </c>
      <c r="E8" t="s">
        <v>1</v>
      </c>
      <c r="F8" t="s">
        <v>167</v>
      </c>
      <c r="G8">
        <v>0.38550000000000001</v>
      </c>
      <c r="H8">
        <v>179</v>
      </c>
      <c r="I8">
        <v>69</v>
      </c>
      <c r="J8">
        <v>42</v>
      </c>
      <c r="K8" t="s">
        <v>168</v>
      </c>
      <c r="L8" t="s">
        <v>43</v>
      </c>
      <c r="M8">
        <v>0</v>
      </c>
      <c r="N8">
        <v>2</v>
      </c>
      <c r="O8">
        <v>14</v>
      </c>
      <c r="P8" t="s">
        <v>56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14</v>
      </c>
      <c r="AF8">
        <v>10</v>
      </c>
      <c r="AG8">
        <v>0</v>
      </c>
      <c r="AH8">
        <v>0</v>
      </c>
      <c r="AI8">
        <v>42</v>
      </c>
      <c r="AJ8">
        <v>0</v>
      </c>
    </row>
    <row r="9" spans="1:36" x14ac:dyDescent="0.3">
      <c r="A9" t="s">
        <v>189</v>
      </c>
      <c r="B9" s="219">
        <v>45993</v>
      </c>
      <c r="C9" t="s">
        <v>47</v>
      </c>
      <c r="D9" t="s">
        <v>198</v>
      </c>
      <c r="E9" t="s">
        <v>1</v>
      </c>
      <c r="F9" t="s">
        <v>167</v>
      </c>
      <c r="G9">
        <v>0.65920000000000001</v>
      </c>
      <c r="H9">
        <v>179</v>
      </c>
      <c r="I9">
        <v>118</v>
      </c>
      <c r="J9">
        <v>96</v>
      </c>
      <c r="K9" t="s">
        <v>168</v>
      </c>
      <c r="L9" t="s">
        <v>43</v>
      </c>
      <c r="M9">
        <v>0</v>
      </c>
      <c r="N9">
        <v>1</v>
      </c>
      <c r="O9">
        <v>1</v>
      </c>
      <c r="P9" t="s">
        <v>60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10</v>
      </c>
      <c r="AF9">
        <v>10</v>
      </c>
      <c r="AG9">
        <v>0</v>
      </c>
      <c r="AH9">
        <v>0</v>
      </c>
      <c r="AI9">
        <v>96</v>
      </c>
      <c r="AJ9">
        <v>1</v>
      </c>
    </row>
    <row r="10" spans="1:36" x14ac:dyDescent="0.3">
      <c r="A10" t="s">
        <v>189</v>
      </c>
      <c r="B10" s="219">
        <v>45993</v>
      </c>
      <c r="C10" t="s">
        <v>52</v>
      </c>
      <c r="D10" t="s">
        <v>190</v>
      </c>
      <c r="E10" t="s">
        <v>1</v>
      </c>
      <c r="F10" t="s">
        <v>167</v>
      </c>
      <c r="G10">
        <v>0.18440000000000001</v>
      </c>
      <c r="H10">
        <v>179</v>
      </c>
      <c r="I10">
        <v>33</v>
      </c>
      <c r="J10">
        <v>0</v>
      </c>
      <c r="K10" t="s">
        <v>168</v>
      </c>
      <c r="L10" t="s">
        <v>43</v>
      </c>
      <c r="M10">
        <v>0</v>
      </c>
      <c r="N10">
        <v>4</v>
      </c>
      <c r="O10">
        <v>15</v>
      </c>
      <c r="P10" t="s">
        <v>53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30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189</v>
      </c>
      <c r="B11" s="219">
        <v>45993</v>
      </c>
      <c r="C11" t="s">
        <v>37</v>
      </c>
      <c r="D11" t="s">
        <v>203</v>
      </c>
      <c r="E11" t="s">
        <v>1</v>
      </c>
      <c r="F11" t="s">
        <v>167</v>
      </c>
      <c r="G11">
        <v>0.66479999999999995</v>
      </c>
      <c r="H11">
        <v>179</v>
      </c>
      <c r="I11">
        <v>119</v>
      </c>
      <c r="J11">
        <v>92</v>
      </c>
      <c r="K11" t="s">
        <v>168</v>
      </c>
      <c r="L11" t="s">
        <v>43</v>
      </c>
      <c r="M11">
        <v>0</v>
      </c>
      <c r="N11">
        <v>1</v>
      </c>
      <c r="O11">
        <v>11</v>
      </c>
      <c r="P11" t="s">
        <v>60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10</v>
      </c>
      <c r="AF11">
        <v>15</v>
      </c>
      <c r="AG11">
        <v>0</v>
      </c>
      <c r="AH11">
        <v>0</v>
      </c>
      <c r="AI11">
        <v>92</v>
      </c>
      <c r="AJ11">
        <v>0</v>
      </c>
    </row>
    <row r="12" spans="1:36" x14ac:dyDescent="0.3">
      <c r="A12" t="s">
        <v>189</v>
      </c>
      <c r="B12" s="219">
        <v>45993</v>
      </c>
      <c r="C12" t="s">
        <v>42</v>
      </c>
      <c r="D12" t="s">
        <v>176</v>
      </c>
      <c r="E12" t="s">
        <v>1</v>
      </c>
      <c r="F12" t="s">
        <v>167</v>
      </c>
      <c r="G12">
        <v>0.64249999999999996</v>
      </c>
      <c r="H12">
        <v>179</v>
      </c>
      <c r="I12">
        <v>115</v>
      </c>
      <c r="J12">
        <v>83</v>
      </c>
      <c r="K12" t="s">
        <v>168</v>
      </c>
      <c r="L12" t="s">
        <v>38</v>
      </c>
      <c r="M12">
        <v>0</v>
      </c>
      <c r="N12">
        <v>0</v>
      </c>
      <c r="O12">
        <v>12</v>
      </c>
      <c r="P12" t="s">
        <v>58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0</v>
      </c>
      <c r="AC12">
        <v>0</v>
      </c>
      <c r="AD12">
        <v>8</v>
      </c>
      <c r="AE12">
        <v>10</v>
      </c>
      <c r="AF12">
        <v>10</v>
      </c>
      <c r="AG12">
        <v>0</v>
      </c>
      <c r="AH12">
        <v>0</v>
      </c>
      <c r="AI12">
        <v>84</v>
      </c>
      <c r="AJ12">
        <v>0</v>
      </c>
    </row>
    <row r="13" spans="1:36" x14ac:dyDescent="0.3">
      <c r="A13" t="s">
        <v>189</v>
      </c>
      <c r="B13" s="219">
        <v>45993</v>
      </c>
      <c r="C13" t="s">
        <v>32</v>
      </c>
      <c r="D13" t="s">
        <v>192</v>
      </c>
      <c r="E13" t="s">
        <v>1</v>
      </c>
      <c r="F13" t="s">
        <v>167</v>
      </c>
      <c r="G13">
        <v>0.63690000000000002</v>
      </c>
      <c r="H13">
        <v>179</v>
      </c>
      <c r="I13">
        <v>114</v>
      </c>
      <c r="J13">
        <v>90</v>
      </c>
      <c r="K13" t="s">
        <v>168</v>
      </c>
      <c r="L13" t="s">
        <v>43</v>
      </c>
      <c r="M13">
        <v>0</v>
      </c>
      <c r="N13">
        <v>2</v>
      </c>
      <c r="O13">
        <v>14</v>
      </c>
      <c r="P13" t="s">
        <v>56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14</v>
      </c>
      <c r="AF13">
        <v>10</v>
      </c>
      <c r="AG13">
        <v>0</v>
      </c>
      <c r="AH13">
        <v>0</v>
      </c>
      <c r="AI13">
        <v>90</v>
      </c>
      <c r="AJ13">
        <v>0</v>
      </c>
    </row>
    <row r="14" spans="1:36" x14ac:dyDescent="0.3">
      <c r="A14" t="s">
        <v>189</v>
      </c>
      <c r="B14" s="219">
        <v>45993</v>
      </c>
      <c r="C14" t="s">
        <v>309</v>
      </c>
      <c r="D14" t="s">
        <v>324</v>
      </c>
      <c r="E14" t="s">
        <v>302</v>
      </c>
      <c r="F14" t="s">
        <v>167</v>
      </c>
      <c r="G14">
        <v>0.77980000000000005</v>
      </c>
      <c r="H14">
        <v>168</v>
      </c>
      <c r="I14">
        <v>131</v>
      </c>
      <c r="J14">
        <v>41</v>
      </c>
      <c r="K14" t="s">
        <v>168</v>
      </c>
      <c r="L14" t="s">
        <v>38</v>
      </c>
      <c r="M14">
        <v>0</v>
      </c>
      <c r="N14">
        <v>0</v>
      </c>
      <c r="O14">
        <v>57</v>
      </c>
      <c r="P14" t="s">
        <v>310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10</v>
      </c>
      <c r="Y14">
        <v>10</v>
      </c>
      <c r="Z14">
        <v>10</v>
      </c>
      <c r="AA14">
        <v>10</v>
      </c>
      <c r="AB14">
        <v>10</v>
      </c>
      <c r="AC14">
        <v>10</v>
      </c>
      <c r="AD14">
        <v>10</v>
      </c>
      <c r="AE14">
        <v>10</v>
      </c>
      <c r="AF14">
        <v>10</v>
      </c>
      <c r="AG14">
        <v>0</v>
      </c>
      <c r="AH14">
        <v>0</v>
      </c>
      <c r="AI14">
        <v>41</v>
      </c>
      <c r="AJ14">
        <v>0</v>
      </c>
    </row>
    <row r="15" spans="1:36" x14ac:dyDescent="0.3">
      <c r="A15" t="s">
        <v>189</v>
      </c>
      <c r="B15" s="219">
        <v>45993</v>
      </c>
      <c r="C15" t="s">
        <v>313</v>
      </c>
      <c r="D15" t="s">
        <v>183</v>
      </c>
      <c r="E15" t="s">
        <v>302</v>
      </c>
      <c r="F15" t="s">
        <v>167</v>
      </c>
      <c r="G15">
        <v>1.006</v>
      </c>
      <c r="H15">
        <v>168</v>
      </c>
      <c r="I15">
        <v>169</v>
      </c>
      <c r="J15">
        <v>136</v>
      </c>
      <c r="K15" t="s">
        <v>168</v>
      </c>
      <c r="L15" t="s">
        <v>314</v>
      </c>
      <c r="M15">
        <v>0</v>
      </c>
      <c r="N15">
        <v>0</v>
      </c>
      <c r="O15">
        <v>0</v>
      </c>
      <c r="P15" t="s">
        <v>106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9</v>
      </c>
      <c r="AF15">
        <v>17</v>
      </c>
      <c r="AG15">
        <v>46</v>
      </c>
      <c r="AH15">
        <v>0</v>
      </c>
      <c r="AI15">
        <v>90</v>
      </c>
      <c r="AJ15">
        <v>2</v>
      </c>
    </row>
    <row r="16" spans="1:36" x14ac:dyDescent="0.3">
      <c r="A16" t="s">
        <v>189</v>
      </c>
      <c r="B16" s="219">
        <v>45993</v>
      </c>
      <c r="C16" t="s">
        <v>304</v>
      </c>
      <c r="D16" t="s">
        <v>212</v>
      </c>
      <c r="E16" t="s">
        <v>302</v>
      </c>
      <c r="F16" t="s">
        <v>167</v>
      </c>
      <c r="G16">
        <v>0.96</v>
      </c>
      <c r="H16">
        <v>175</v>
      </c>
      <c r="I16">
        <v>168</v>
      </c>
      <c r="J16">
        <v>120</v>
      </c>
      <c r="K16" t="s">
        <v>168</v>
      </c>
      <c r="L16" t="s">
        <v>305</v>
      </c>
      <c r="M16">
        <v>0</v>
      </c>
      <c r="N16">
        <v>0</v>
      </c>
      <c r="O16">
        <v>0</v>
      </c>
      <c r="P16" t="s">
        <v>306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6</v>
      </c>
      <c r="AA16">
        <v>0</v>
      </c>
      <c r="AB16">
        <v>0</v>
      </c>
      <c r="AC16">
        <v>9</v>
      </c>
      <c r="AD16">
        <v>8</v>
      </c>
      <c r="AE16">
        <v>8</v>
      </c>
      <c r="AF16">
        <v>17</v>
      </c>
      <c r="AG16">
        <v>29</v>
      </c>
      <c r="AH16">
        <v>0</v>
      </c>
      <c r="AI16">
        <v>90</v>
      </c>
      <c r="AJ16">
        <v>1</v>
      </c>
    </row>
    <row r="17" spans="1:36" x14ac:dyDescent="0.3">
      <c r="A17" t="s">
        <v>189</v>
      </c>
      <c r="B17" s="219">
        <v>45993</v>
      </c>
      <c r="C17" t="s">
        <v>276</v>
      </c>
      <c r="D17" t="s">
        <v>296</v>
      </c>
      <c r="E17" t="s">
        <v>274</v>
      </c>
      <c r="F17" t="s">
        <v>167</v>
      </c>
      <c r="G17">
        <v>8.9300000000000004E-2</v>
      </c>
      <c r="H17">
        <v>168</v>
      </c>
      <c r="I17">
        <v>15</v>
      </c>
      <c r="J17">
        <v>0</v>
      </c>
      <c r="K17" t="s">
        <v>168</v>
      </c>
      <c r="L17" t="s">
        <v>43</v>
      </c>
      <c r="M17">
        <v>0</v>
      </c>
      <c r="N17">
        <v>1</v>
      </c>
      <c r="O17">
        <v>7</v>
      </c>
      <c r="P17" t="s">
        <v>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13</v>
      </c>
      <c r="AG17">
        <v>0</v>
      </c>
      <c r="AH17">
        <v>0</v>
      </c>
      <c r="AI17">
        <v>0</v>
      </c>
      <c r="AJ17">
        <v>1</v>
      </c>
    </row>
    <row r="18" spans="1:36" x14ac:dyDescent="0.3">
      <c r="A18" t="s">
        <v>205</v>
      </c>
      <c r="B18" s="219">
        <v>45994</v>
      </c>
      <c r="C18" t="s">
        <v>47</v>
      </c>
      <c r="D18" t="s">
        <v>208</v>
      </c>
      <c r="E18" t="s">
        <v>1</v>
      </c>
      <c r="F18" t="s">
        <v>167</v>
      </c>
      <c r="G18">
        <v>0.93300000000000005</v>
      </c>
      <c r="H18">
        <v>179</v>
      </c>
      <c r="I18">
        <v>167</v>
      </c>
      <c r="J18">
        <v>150</v>
      </c>
      <c r="K18" t="s">
        <v>168</v>
      </c>
      <c r="L18" t="s">
        <v>68</v>
      </c>
      <c r="M18">
        <v>0</v>
      </c>
      <c r="N18">
        <v>0</v>
      </c>
      <c r="O18">
        <v>0</v>
      </c>
      <c r="P18" t="s">
        <v>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2</v>
      </c>
      <c r="AD18">
        <v>0</v>
      </c>
      <c r="AE18">
        <v>1</v>
      </c>
      <c r="AF18">
        <v>13</v>
      </c>
      <c r="AG18">
        <v>0</v>
      </c>
      <c r="AH18">
        <v>0</v>
      </c>
      <c r="AI18">
        <v>150</v>
      </c>
      <c r="AJ18">
        <v>0</v>
      </c>
    </row>
    <row r="19" spans="1:36" x14ac:dyDescent="0.3">
      <c r="A19" t="s">
        <v>205</v>
      </c>
      <c r="B19" s="219">
        <v>45994</v>
      </c>
      <c r="C19" t="s">
        <v>37</v>
      </c>
      <c r="D19" t="s">
        <v>206</v>
      </c>
      <c r="E19" t="s">
        <v>1</v>
      </c>
      <c r="F19" t="s">
        <v>167</v>
      </c>
      <c r="G19">
        <v>0.64249999999999996</v>
      </c>
      <c r="H19">
        <v>179</v>
      </c>
      <c r="I19">
        <v>115</v>
      </c>
      <c r="J19">
        <v>82</v>
      </c>
      <c r="K19" t="s">
        <v>168</v>
      </c>
      <c r="L19" t="s">
        <v>43</v>
      </c>
      <c r="M19">
        <v>0</v>
      </c>
      <c r="N19">
        <v>4</v>
      </c>
      <c r="O19">
        <v>12</v>
      </c>
      <c r="P19" t="s">
        <v>66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</v>
      </c>
      <c r="AA19">
        <v>0</v>
      </c>
      <c r="AB19">
        <v>0</v>
      </c>
      <c r="AC19">
        <v>0</v>
      </c>
      <c r="AD19">
        <v>9</v>
      </c>
      <c r="AE19">
        <v>10</v>
      </c>
      <c r="AF19">
        <v>10</v>
      </c>
      <c r="AG19">
        <v>0</v>
      </c>
      <c r="AH19">
        <v>0</v>
      </c>
      <c r="AI19">
        <v>82</v>
      </c>
      <c r="AJ19">
        <v>0</v>
      </c>
    </row>
    <row r="20" spans="1:36" x14ac:dyDescent="0.3">
      <c r="A20" t="s">
        <v>205</v>
      </c>
      <c r="B20" s="219">
        <v>45994</v>
      </c>
      <c r="C20" t="s">
        <v>42</v>
      </c>
      <c r="D20" t="s">
        <v>176</v>
      </c>
      <c r="E20" t="s">
        <v>1</v>
      </c>
      <c r="F20" t="s">
        <v>167</v>
      </c>
      <c r="G20">
        <v>0.64249999999999996</v>
      </c>
      <c r="H20">
        <v>179</v>
      </c>
      <c r="I20">
        <v>115</v>
      </c>
      <c r="J20">
        <v>84</v>
      </c>
      <c r="K20" t="s">
        <v>168</v>
      </c>
      <c r="L20" t="s">
        <v>71</v>
      </c>
      <c r="M20">
        <v>0</v>
      </c>
      <c r="N20">
        <v>0</v>
      </c>
      <c r="O20">
        <v>12</v>
      </c>
      <c r="P20" t="s">
        <v>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11</v>
      </c>
      <c r="AE20">
        <v>10</v>
      </c>
      <c r="AF20">
        <v>10</v>
      </c>
      <c r="AG20">
        <v>0</v>
      </c>
      <c r="AH20">
        <v>0</v>
      </c>
      <c r="AI20">
        <v>84</v>
      </c>
      <c r="AJ20">
        <v>0</v>
      </c>
    </row>
    <row r="21" spans="1:36" x14ac:dyDescent="0.3">
      <c r="A21" t="s">
        <v>205</v>
      </c>
      <c r="B21" s="219">
        <v>45994</v>
      </c>
      <c r="C21" t="s">
        <v>280</v>
      </c>
      <c r="D21" t="s">
        <v>297</v>
      </c>
      <c r="E21" t="s">
        <v>274</v>
      </c>
      <c r="F21" t="s">
        <v>167</v>
      </c>
      <c r="G21">
        <v>0.1429</v>
      </c>
      <c r="H21">
        <v>168</v>
      </c>
      <c r="I21">
        <v>24</v>
      </c>
      <c r="J21">
        <v>0</v>
      </c>
      <c r="K21" t="s">
        <v>168</v>
      </c>
      <c r="L21" t="s">
        <v>71</v>
      </c>
      <c r="M21">
        <v>0</v>
      </c>
      <c r="N21">
        <v>0</v>
      </c>
      <c r="O21">
        <v>12</v>
      </c>
      <c r="P21" t="s">
        <v>260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20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205</v>
      </c>
      <c r="B22" s="219">
        <v>45994</v>
      </c>
      <c r="C22" t="s">
        <v>276</v>
      </c>
      <c r="D22" t="s">
        <v>294</v>
      </c>
      <c r="E22" t="s">
        <v>274</v>
      </c>
      <c r="F22" t="s">
        <v>167</v>
      </c>
      <c r="G22">
        <v>8.3299999999999999E-2</v>
      </c>
      <c r="H22">
        <v>168</v>
      </c>
      <c r="I22">
        <v>14</v>
      </c>
      <c r="J22">
        <v>0</v>
      </c>
      <c r="K22" t="s">
        <v>168</v>
      </c>
      <c r="L22" t="s">
        <v>282</v>
      </c>
      <c r="M22">
        <v>3</v>
      </c>
      <c r="N22">
        <v>5</v>
      </c>
      <c r="O22">
        <v>9</v>
      </c>
      <c r="P22" t="s">
        <v>283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12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211</v>
      </c>
      <c r="B23" s="219">
        <v>45995</v>
      </c>
      <c r="C23" t="s">
        <v>353</v>
      </c>
      <c r="D23" t="s">
        <v>294</v>
      </c>
      <c r="E23" t="s">
        <v>351</v>
      </c>
      <c r="F23" t="s">
        <v>167</v>
      </c>
      <c r="G23">
        <v>0.28570000000000001</v>
      </c>
      <c r="H23">
        <v>168</v>
      </c>
      <c r="I23">
        <v>48</v>
      </c>
      <c r="J23">
        <v>0</v>
      </c>
      <c r="K23" t="s">
        <v>168</v>
      </c>
      <c r="L23" t="s">
        <v>43</v>
      </c>
      <c r="M23">
        <v>0</v>
      </c>
      <c r="N23">
        <v>3</v>
      </c>
      <c r="O23">
        <v>11</v>
      </c>
      <c r="P23" t="s">
        <v>343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4</v>
      </c>
      <c r="AA23">
        <v>2</v>
      </c>
      <c r="AB23">
        <v>10</v>
      </c>
      <c r="AC23">
        <v>3</v>
      </c>
      <c r="AD23">
        <v>4</v>
      </c>
      <c r="AE23">
        <v>3</v>
      </c>
      <c r="AF23">
        <v>22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211</v>
      </c>
      <c r="B24" s="219">
        <v>45995</v>
      </c>
      <c r="C24" t="s">
        <v>63</v>
      </c>
      <c r="D24" t="s">
        <v>212</v>
      </c>
      <c r="E24" t="s">
        <v>1</v>
      </c>
      <c r="F24" t="s">
        <v>167</v>
      </c>
      <c r="G24">
        <v>0.6089</v>
      </c>
      <c r="H24">
        <v>179</v>
      </c>
      <c r="I24">
        <v>109</v>
      </c>
      <c r="J24">
        <v>75</v>
      </c>
      <c r="K24" t="s">
        <v>168</v>
      </c>
      <c r="L24" t="s">
        <v>43</v>
      </c>
      <c r="M24">
        <v>0</v>
      </c>
      <c r="N24">
        <v>7</v>
      </c>
      <c r="O24">
        <v>16</v>
      </c>
      <c r="P24" t="s">
        <v>74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10</v>
      </c>
      <c r="AF24">
        <v>23</v>
      </c>
      <c r="AG24">
        <v>0</v>
      </c>
      <c r="AH24">
        <v>0</v>
      </c>
      <c r="AI24">
        <v>75</v>
      </c>
      <c r="AJ24">
        <v>0</v>
      </c>
    </row>
    <row r="25" spans="1:36" x14ac:dyDescent="0.3">
      <c r="A25" t="s">
        <v>211</v>
      </c>
      <c r="B25" s="219">
        <v>45995</v>
      </c>
      <c r="C25" t="s">
        <v>85</v>
      </c>
      <c r="D25" t="s">
        <v>222</v>
      </c>
      <c r="E25" t="s">
        <v>1</v>
      </c>
      <c r="F25" t="s">
        <v>167</v>
      </c>
      <c r="G25">
        <v>8.3799999999999999E-2</v>
      </c>
      <c r="H25">
        <v>179</v>
      </c>
      <c r="I25">
        <v>15</v>
      </c>
      <c r="J25">
        <v>0</v>
      </c>
      <c r="K25" t="s">
        <v>168</v>
      </c>
      <c r="L25" t="s">
        <v>38</v>
      </c>
      <c r="M25">
        <v>0</v>
      </c>
      <c r="N25">
        <v>0</v>
      </c>
      <c r="O25">
        <v>7</v>
      </c>
      <c r="P25" t="s">
        <v>53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15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211</v>
      </c>
      <c r="B26" s="219">
        <v>45995</v>
      </c>
      <c r="C26" t="s">
        <v>79</v>
      </c>
      <c r="D26" t="s">
        <v>216</v>
      </c>
      <c r="E26" t="s">
        <v>1</v>
      </c>
      <c r="F26" t="s">
        <v>167</v>
      </c>
      <c r="G26">
        <v>0.36309999999999998</v>
      </c>
      <c r="H26">
        <v>179</v>
      </c>
      <c r="I26">
        <v>65</v>
      </c>
      <c r="J26">
        <v>37</v>
      </c>
      <c r="K26" t="s">
        <v>168</v>
      </c>
      <c r="L26" t="s">
        <v>71</v>
      </c>
      <c r="M26">
        <v>0</v>
      </c>
      <c r="N26">
        <v>0</v>
      </c>
      <c r="O26">
        <v>24</v>
      </c>
      <c r="P26" t="s">
        <v>80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27</v>
      </c>
      <c r="AG26">
        <v>0</v>
      </c>
      <c r="AH26">
        <v>0</v>
      </c>
      <c r="AI26">
        <v>37</v>
      </c>
      <c r="AJ26">
        <v>0</v>
      </c>
    </row>
    <row r="27" spans="1:36" x14ac:dyDescent="0.3">
      <c r="A27" t="s">
        <v>211</v>
      </c>
      <c r="B27" s="219">
        <v>45995</v>
      </c>
      <c r="C27" t="s">
        <v>52</v>
      </c>
      <c r="D27" t="s">
        <v>214</v>
      </c>
      <c r="E27" t="s">
        <v>1</v>
      </c>
      <c r="F27" t="s">
        <v>167</v>
      </c>
      <c r="G27">
        <v>0.1285</v>
      </c>
      <c r="H27">
        <v>179</v>
      </c>
      <c r="I27">
        <v>23</v>
      </c>
      <c r="J27">
        <v>0</v>
      </c>
      <c r="K27" t="s">
        <v>168</v>
      </c>
      <c r="L27" t="s">
        <v>71</v>
      </c>
      <c r="M27">
        <v>0</v>
      </c>
      <c r="N27">
        <v>0</v>
      </c>
      <c r="O27">
        <v>13</v>
      </c>
      <c r="P27" t="s">
        <v>76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20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211</v>
      </c>
      <c r="B28" s="219">
        <v>45995</v>
      </c>
      <c r="C28" t="s">
        <v>37</v>
      </c>
      <c r="D28" t="s">
        <v>219</v>
      </c>
      <c r="E28" t="s">
        <v>1</v>
      </c>
      <c r="F28" t="s">
        <v>167</v>
      </c>
      <c r="G28">
        <v>0.80449999999999999</v>
      </c>
      <c r="H28">
        <v>179</v>
      </c>
      <c r="I28">
        <v>144</v>
      </c>
      <c r="J28">
        <v>116</v>
      </c>
      <c r="K28" t="s">
        <v>168</v>
      </c>
      <c r="L28" t="s">
        <v>43</v>
      </c>
      <c r="M28">
        <v>0</v>
      </c>
      <c r="N28">
        <v>4</v>
      </c>
      <c r="O28">
        <v>91</v>
      </c>
      <c r="P28" t="s">
        <v>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24</v>
      </c>
      <c r="AG28">
        <v>0</v>
      </c>
      <c r="AH28">
        <v>0</v>
      </c>
      <c r="AI28">
        <v>116</v>
      </c>
      <c r="AJ28">
        <v>0</v>
      </c>
    </row>
    <row r="29" spans="1:36" x14ac:dyDescent="0.3">
      <c r="A29" t="s">
        <v>211</v>
      </c>
      <c r="B29" s="219">
        <v>45995</v>
      </c>
      <c r="C29" t="s">
        <v>42</v>
      </c>
      <c r="D29" t="s">
        <v>223</v>
      </c>
      <c r="E29" t="s">
        <v>1</v>
      </c>
      <c r="F29" t="s">
        <v>167</v>
      </c>
      <c r="G29">
        <v>0.87150000000000005</v>
      </c>
      <c r="H29">
        <v>179</v>
      </c>
      <c r="I29">
        <v>156</v>
      </c>
      <c r="J29">
        <v>123</v>
      </c>
      <c r="K29" t="s">
        <v>168</v>
      </c>
      <c r="L29" t="s">
        <v>87</v>
      </c>
      <c r="M29">
        <v>0</v>
      </c>
      <c r="N29">
        <v>0</v>
      </c>
      <c r="O29">
        <v>48</v>
      </c>
      <c r="P29" t="s">
        <v>88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8</v>
      </c>
      <c r="AA29">
        <v>0</v>
      </c>
      <c r="AB29">
        <v>0</v>
      </c>
      <c r="AC29">
        <v>0</v>
      </c>
      <c r="AD29">
        <v>5</v>
      </c>
      <c r="AE29">
        <v>10</v>
      </c>
      <c r="AF29">
        <v>10</v>
      </c>
      <c r="AG29">
        <v>34</v>
      </c>
      <c r="AH29">
        <v>0</v>
      </c>
      <c r="AI29">
        <v>89</v>
      </c>
      <c r="AJ29">
        <v>0</v>
      </c>
    </row>
    <row r="30" spans="1:36" x14ac:dyDescent="0.3">
      <c r="A30" t="s">
        <v>211</v>
      </c>
      <c r="B30" s="219">
        <v>45995</v>
      </c>
      <c r="C30" t="s">
        <v>32</v>
      </c>
      <c r="D30" t="s">
        <v>227</v>
      </c>
      <c r="E30" t="s">
        <v>1</v>
      </c>
      <c r="F30" t="s">
        <v>167</v>
      </c>
      <c r="G30">
        <v>0.78210000000000002</v>
      </c>
      <c r="H30">
        <v>179</v>
      </c>
      <c r="I30">
        <v>140</v>
      </c>
      <c r="J30">
        <v>99</v>
      </c>
      <c r="K30" t="s">
        <v>168</v>
      </c>
      <c r="L30" t="s">
        <v>43</v>
      </c>
      <c r="M30">
        <v>0</v>
      </c>
      <c r="N30">
        <v>5</v>
      </c>
      <c r="O30">
        <v>22</v>
      </c>
      <c r="P30" t="s">
        <v>90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</v>
      </c>
      <c r="AA30">
        <v>0</v>
      </c>
      <c r="AB30">
        <v>0</v>
      </c>
      <c r="AC30">
        <v>0</v>
      </c>
      <c r="AD30">
        <v>9</v>
      </c>
      <c r="AE30">
        <v>15</v>
      </c>
      <c r="AF30">
        <v>10</v>
      </c>
      <c r="AG30">
        <v>0</v>
      </c>
      <c r="AH30">
        <v>0</v>
      </c>
      <c r="AI30">
        <v>99</v>
      </c>
      <c r="AJ30">
        <v>0</v>
      </c>
    </row>
    <row r="31" spans="1:36" x14ac:dyDescent="0.3">
      <c r="A31" t="s">
        <v>211</v>
      </c>
      <c r="B31" s="219">
        <v>45995</v>
      </c>
      <c r="C31" t="s">
        <v>313</v>
      </c>
      <c r="D31" t="s">
        <v>335</v>
      </c>
      <c r="E31" t="s">
        <v>302</v>
      </c>
      <c r="F31" t="s">
        <v>167</v>
      </c>
      <c r="G31">
        <v>1.006</v>
      </c>
      <c r="H31">
        <v>168</v>
      </c>
      <c r="I31">
        <v>169</v>
      </c>
      <c r="J31">
        <v>135</v>
      </c>
      <c r="K31" t="s">
        <v>168</v>
      </c>
      <c r="L31" t="s">
        <v>38</v>
      </c>
      <c r="M31">
        <v>0</v>
      </c>
      <c r="N31">
        <v>0</v>
      </c>
      <c r="O31">
        <v>1</v>
      </c>
      <c r="P31" t="s">
        <v>106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</v>
      </c>
      <c r="AA31">
        <v>0</v>
      </c>
      <c r="AB31">
        <v>0</v>
      </c>
      <c r="AC31">
        <v>0</v>
      </c>
      <c r="AD31">
        <v>1</v>
      </c>
      <c r="AE31">
        <v>9</v>
      </c>
      <c r="AF31">
        <v>17</v>
      </c>
      <c r="AG31">
        <v>0</v>
      </c>
      <c r="AH31">
        <v>0</v>
      </c>
      <c r="AI31">
        <v>135</v>
      </c>
      <c r="AJ31">
        <v>0</v>
      </c>
    </row>
    <row r="32" spans="1:36" x14ac:dyDescent="0.3">
      <c r="A32" t="s">
        <v>211</v>
      </c>
      <c r="B32" s="219">
        <v>45995</v>
      </c>
      <c r="C32" t="s">
        <v>280</v>
      </c>
      <c r="D32" t="s">
        <v>297</v>
      </c>
      <c r="E32" t="s">
        <v>274</v>
      </c>
      <c r="F32" t="s">
        <v>167</v>
      </c>
      <c r="G32">
        <v>0.16669999999999999</v>
      </c>
      <c r="H32">
        <v>168</v>
      </c>
      <c r="I32">
        <v>28</v>
      </c>
      <c r="J32">
        <v>0</v>
      </c>
      <c r="K32" t="s">
        <v>168</v>
      </c>
      <c r="L32" t="s">
        <v>43</v>
      </c>
      <c r="M32">
        <v>0</v>
      </c>
      <c r="N32">
        <v>4</v>
      </c>
      <c r="O32">
        <v>15</v>
      </c>
      <c r="P32" t="s">
        <v>260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</v>
      </c>
      <c r="AE32">
        <v>20</v>
      </c>
      <c r="AF32">
        <v>3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230</v>
      </c>
      <c r="B33" s="219">
        <v>45996</v>
      </c>
      <c r="C33" t="s">
        <v>353</v>
      </c>
      <c r="D33" t="s">
        <v>366</v>
      </c>
      <c r="E33" t="s">
        <v>351</v>
      </c>
      <c r="F33" t="s">
        <v>167</v>
      </c>
      <c r="G33">
        <v>0.33929999999999999</v>
      </c>
      <c r="H33">
        <v>168</v>
      </c>
      <c r="I33">
        <v>57</v>
      </c>
      <c r="J33">
        <v>0</v>
      </c>
      <c r="K33" t="s">
        <v>168</v>
      </c>
      <c r="L33" t="s">
        <v>71</v>
      </c>
      <c r="M33">
        <v>0</v>
      </c>
      <c r="N33">
        <v>0</v>
      </c>
      <c r="O33">
        <v>9</v>
      </c>
      <c r="P33" t="s">
        <v>82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6</v>
      </c>
      <c r="AA33">
        <v>0</v>
      </c>
      <c r="AB33">
        <v>1</v>
      </c>
      <c r="AC33">
        <v>8</v>
      </c>
      <c r="AD33">
        <v>10</v>
      </c>
      <c r="AE33">
        <v>7</v>
      </c>
      <c r="AF33">
        <v>25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230</v>
      </c>
      <c r="B34" s="219">
        <v>45996</v>
      </c>
      <c r="C34" t="s">
        <v>63</v>
      </c>
      <c r="D34" t="s">
        <v>214</v>
      </c>
      <c r="E34" t="s">
        <v>1</v>
      </c>
      <c r="F34" t="s">
        <v>167</v>
      </c>
      <c r="G34">
        <v>0.16200000000000001</v>
      </c>
      <c r="H34">
        <v>179</v>
      </c>
      <c r="I34">
        <v>29</v>
      </c>
      <c r="J34">
        <v>0</v>
      </c>
      <c r="K34" t="s">
        <v>168</v>
      </c>
      <c r="L34" t="s">
        <v>43</v>
      </c>
      <c r="M34">
        <v>0</v>
      </c>
      <c r="N34">
        <v>1</v>
      </c>
      <c r="O34">
        <v>19</v>
      </c>
      <c r="P34" t="s">
        <v>92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10</v>
      </c>
      <c r="AF34">
        <v>18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230</v>
      </c>
      <c r="B35" s="219">
        <v>45996</v>
      </c>
      <c r="C35" t="s">
        <v>47</v>
      </c>
      <c r="D35" t="s">
        <v>242</v>
      </c>
      <c r="E35" t="s">
        <v>1</v>
      </c>
      <c r="F35" t="s">
        <v>167</v>
      </c>
      <c r="G35">
        <v>0.91620000000000001</v>
      </c>
      <c r="H35">
        <v>179</v>
      </c>
      <c r="I35">
        <v>164</v>
      </c>
      <c r="J35">
        <v>140</v>
      </c>
      <c r="K35" t="s">
        <v>168</v>
      </c>
      <c r="L35" t="s">
        <v>99</v>
      </c>
      <c r="M35">
        <v>0</v>
      </c>
      <c r="N35">
        <v>0</v>
      </c>
      <c r="O35">
        <v>0</v>
      </c>
      <c r="P35" t="s">
        <v>100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</v>
      </c>
      <c r="AA35">
        <v>0</v>
      </c>
      <c r="AB35">
        <v>0</v>
      </c>
      <c r="AC35">
        <v>0</v>
      </c>
      <c r="AD35">
        <v>0</v>
      </c>
      <c r="AE35">
        <v>9</v>
      </c>
      <c r="AF35">
        <v>10</v>
      </c>
      <c r="AG35">
        <v>0</v>
      </c>
      <c r="AH35">
        <v>0</v>
      </c>
      <c r="AI35">
        <v>140</v>
      </c>
      <c r="AJ35">
        <v>0</v>
      </c>
    </row>
    <row r="36" spans="1:36" x14ac:dyDescent="0.3">
      <c r="A36" t="s">
        <v>230</v>
      </c>
      <c r="B36" s="219">
        <v>45996</v>
      </c>
      <c r="C36" t="s">
        <v>52</v>
      </c>
      <c r="D36" t="s">
        <v>237</v>
      </c>
      <c r="E36" t="s">
        <v>1</v>
      </c>
      <c r="F36" t="s">
        <v>167</v>
      </c>
      <c r="G36">
        <v>0.49159999999999998</v>
      </c>
      <c r="H36">
        <v>179</v>
      </c>
      <c r="I36">
        <v>88</v>
      </c>
      <c r="J36">
        <v>45</v>
      </c>
      <c r="K36" t="s">
        <v>168</v>
      </c>
      <c r="L36" t="s">
        <v>43</v>
      </c>
      <c r="M36">
        <v>0</v>
      </c>
      <c r="N36">
        <v>2</v>
      </c>
      <c r="O36">
        <v>61</v>
      </c>
      <c r="P36" t="s">
        <v>48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1</v>
      </c>
      <c r="AD36">
        <v>20</v>
      </c>
      <c r="AE36">
        <v>8</v>
      </c>
      <c r="AF36">
        <v>12</v>
      </c>
      <c r="AG36">
        <v>0</v>
      </c>
      <c r="AH36">
        <v>0</v>
      </c>
      <c r="AI36">
        <v>45</v>
      </c>
      <c r="AJ36">
        <v>0</v>
      </c>
    </row>
    <row r="37" spans="1:36" x14ac:dyDescent="0.3">
      <c r="A37" t="s">
        <v>230</v>
      </c>
      <c r="B37" s="219">
        <v>45996</v>
      </c>
      <c r="C37" t="s">
        <v>37</v>
      </c>
      <c r="D37" t="s">
        <v>232</v>
      </c>
      <c r="E37" t="s">
        <v>1</v>
      </c>
      <c r="F37" t="s">
        <v>167</v>
      </c>
      <c r="G37">
        <v>0.1173</v>
      </c>
      <c r="H37">
        <v>179</v>
      </c>
      <c r="I37">
        <v>21</v>
      </c>
      <c r="J37">
        <v>0</v>
      </c>
      <c r="K37" t="s">
        <v>168</v>
      </c>
      <c r="L37" t="s">
        <v>38</v>
      </c>
      <c r="M37">
        <v>0</v>
      </c>
      <c r="N37">
        <v>0</v>
      </c>
      <c r="O37">
        <v>1</v>
      </c>
      <c r="P37" t="s">
        <v>53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</v>
      </c>
      <c r="AF37">
        <v>10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230</v>
      </c>
      <c r="B38" s="219">
        <v>45996</v>
      </c>
      <c r="C38" t="s">
        <v>42</v>
      </c>
      <c r="D38" t="s">
        <v>234</v>
      </c>
      <c r="E38" t="s">
        <v>1</v>
      </c>
      <c r="F38" t="s">
        <v>167</v>
      </c>
      <c r="G38">
        <v>0.16200000000000001</v>
      </c>
      <c r="H38">
        <v>179</v>
      </c>
      <c r="I38">
        <v>29</v>
      </c>
      <c r="J38">
        <v>0</v>
      </c>
      <c r="K38" t="s">
        <v>168</v>
      </c>
      <c r="L38" t="s">
        <v>43</v>
      </c>
      <c r="M38">
        <v>0</v>
      </c>
      <c r="N38">
        <v>3</v>
      </c>
      <c r="O38">
        <v>11</v>
      </c>
      <c r="P38" t="s">
        <v>56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19</v>
      </c>
      <c r="AF38">
        <v>10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230</v>
      </c>
      <c r="B39" s="219">
        <v>45996</v>
      </c>
      <c r="C39" t="s">
        <v>32</v>
      </c>
      <c r="D39" t="s">
        <v>176</v>
      </c>
      <c r="E39" t="s">
        <v>1</v>
      </c>
      <c r="F39" t="s">
        <v>167</v>
      </c>
      <c r="G39">
        <v>0.3911</v>
      </c>
      <c r="H39">
        <v>179</v>
      </c>
      <c r="I39">
        <v>70</v>
      </c>
      <c r="J39">
        <v>45</v>
      </c>
      <c r="K39" t="s">
        <v>168</v>
      </c>
      <c r="L39" t="s">
        <v>96</v>
      </c>
      <c r="M39">
        <v>0</v>
      </c>
      <c r="N39">
        <v>0</v>
      </c>
      <c r="O39">
        <v>0</v>
      </c>
      <c r="P39" t="s">
        <v>60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</v>
      </c>
      <c r="AE39">
        <v>10</v>
      </c>
      <c r="AF39">
        <v>10</v>
      </c>
      <c r="AG39">
        <v>0</v>
      </c>
      <c r="AH39">
        <v>0</v>
      </c>
      <c r="AI39">
        <v>46</v>
      </c>
      <c r="AJ39">
        <v>0</v>
      </c>
    </row>
    <row r="40" spans="1:36" x14ac:dyDescent="0.3">
      <c r="A40" t="s">
        <v>230</v>
      </c>
      <c r="B40" s="219">
        <v>45996</v>
      </c>
      <c r="C40" t="s">
        <v>280</v>
      </c>
      <c r="D40" t="s">
        <v>298</v>
      </c>
      <c r="E40" t="s">
        <v>274</v>
      </c>
      <c r="F40" t="s">
        <v>167</v>
      </c>
      <c r="G40">
        <v>0.15479999999999999</v>
      </c>
      <c r="H40">
        <v>168</v>
      </c>
      <c r="I40">
        <v>26</v>
      </c>
      <c r="J40">
        <v>0</v>
      </c>
      <c r="K40" t="s">
        <v>168</v>
      </c>
      <c r="L40" t="s">
        <v>71</v>
      </c>
      <c r="M40">
        <v>0</v>
      </c>
      <c r="N40">
        <v>0</v>
      </c>
      <c r="O40">
        <v>13</v>
      </c>
      <c r="P40" t="s">
        <v>260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7</v>
      </c>
      <c r="AF40">
        <v>17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230</v>
      </c>
      <c r="B41" s="219">
        <v>45996</v>
      </c>
      <c r="C41" t="s">
        <v>276</v>
      </c>
      <c r="D41" t="s">
        <v>294</v>
      </c>
      <c r="E41" t="s">
        <v>274</v>
      </c>
      <c r="F41" t="s">
        <v>167</v>
      </c>
      <c r="G41">
        <v>0.17860000000000001</v>
      </c>
      <c r="H41">
        <v>168</v>
      </c>
      <c r="I41">
        <v>30</v>
      </c>
      <c r="J41">
        <v>0</v>
      </c>
      <c r="K41" t="s">
        <v>168</v>
      </c>
      <c r="L41" t="s">
        <v>38</v>
      </c>
      <c r="M41">
        <v>0</v>
      </c>
      <c r="N41">
        <v>0</v>
      </c>
      <c r="O41">
        <v>25</v>
      </c>
      <c r="P41" t="s">
        <v>260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13</v>
      </c>
      <c r="AF41">
        <v>17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245</v>
      </c>
      <c r="B42" s="219">
        <v>45997</v>
      </c>
      <c r="C42" t="s">
        <v>353</v>
      </c>
      <c r="D42" t="s">
        <v>294</v>
      </c>
      <c r="E42" t="s">
        <v>351</v>
      </c>
      <c r="F42" t="s">
        <v>167</v>
      </c>
      <c r="G42">
        <v>0.125</v>
      </c>
      <c r="H42">
        <v>168</v>
      </c>
      <c r="I42">
        <v>21</v>
      </c>
      <c r="J42">
        <v>0</v>
      </c>
      <c r="K42" t="s">
        <v>168</v>
      </c>
      <c r="L42" t="s">
        <v>71</v>
      </c>
      <c r="M42">
        <v>0</v>
      </c>
      <c r="N42">
        <v>0</v>
      </c>
      <c r="O42">
        <v>1</v>
      </c>
      <c r="P42" t="s">
        <v>260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8</v>
      </c>
      <c r="AE42">
        <v>2</v>
      </c>
      <c r="AF42">
        <v>10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245</v>
      </c>
      <c r="B43" s="219">
        <v>45997</v>
      </c>
      <c r="C43" t="s">
        <v>79</v>
      </c>
      <c r="D43" t="s">
        <v>246</v>
      </c>
      <c r="E43" t="s">
        <v>1</v>
      </c>
      <c r="F43" t="s">
        <v>167</v>
      </c>
      <c r="G43">
        <v>0.35749999999999998</v>
      </c>
      <c r="H43">
        <v>179</v>
      </c>
      <c r="I43">
        <v>64</v>
      </c>
      <c r="J43">
        <v>29</v>
      </c>
      <c r="K43" t="s">
        <v>168</v>
      </c>
      <c r="L43" t="s">
        <v>43</v>
      </c>
      <c r="M43">
        <v>0</v>
      </c>
      <c r="N43">
        <v>5</v>
      </c>
      <c r="O43">
        <v>15</v>
      </c>
      <c r="P43" t="s">
        <v>60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0</v>
      </c>
      <c r="AD43">
        <v>2</v>
      </c>
      <c r="AE43">
        <v>20</v>
      </c>
      <c r="AF43">
        <v>10</v>
      </c>
      <c r="AG43">
        <v>0</v>
      </c>
      <c r="AH43">
        <v>0</v>
      </c>
      <c r="AI43">
        <v>29</v>
      </c>
      <c r="AJ43">
        <v>0</v>
      </c>
    </row>
    <row r="44" spans="1:36" x14ac:dyDescent="0.3">
      <c r="A44" t="s">
        <v>245</v>
      </c>
      <c r="B44" s="219">
        <v>45997</v>
      </c>
      <c r="C44" t="s">
        <v>37</v>
      </c>
      <c r="D44" t="s">
        <v>219</v>
      </c>
      <c r="E44" t="s">
        <v>1</v>
      </c>
      <c r="F44" t="s">
        <v>167</v>
      </c>
      <c r="G44">
        <v>0.8659</v>
      </c>
      <c r="H44">
        <v>179</v>
      </c>
      <c r="I44">
        <v>155</v>
      </c>
      <c r="J44">
        <v>113</v>
      </c>
      <c r="K44" t="s">
        <v>168</v>
      </c>
      <c r="L44" t="s">
        <v>43</v>
      </c>
      <c r="M44">
        <v>0</v>
      </c>
      <c r="N44">
        <v>1</v>
      </c>
      <c r="O44">
        <v>46</v>
      </c>
      <c r="P44" t="s">
        <v>66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1</v>
      </c>
      <c r="AD44">
        <v>9</v>
      </c>
      <c r="AE44">
        <v>20</v>
      </c>
      <c r="AF44">
        <v>10</v>
      </c>
      <c r="AG44">
        <v>0</v>
      </c>
      <c r="AH44">
        <v>0</v>
      </c>
      <c r="AI44">
        <v>113</v>
      </c>
      <c r="AJ44">
        <v>0</v>
      </c>
    </row>
    <row r="45" spans="1:36" x14ac:dyDescent="0.3">
      <c r="A45" t="s">
        <v>245</v>
      </c>
      <c r="B45" s="219">
        <v>45997</v>
      </c>
      <c r="C45" t="s">
        <v>42</v>
      </c>
      <c r="D45" t="s">
        <v>249</v>
      </c>
      <c r="E45" t="s">
        <v>1</v>
      </c>
      <c r="F45" t="s">
        <v>167</v>
      </c>
      <c r="G45">
        <v>1.0223</v>
      </c>
      <c r="H45">
        <v>179</v>
      </c>
      <c r="I45">
        <v>183</v>
      </c>
      <c r="J45">
        <v>178</v>
      </c>
      <c r="K45" t="s">
        <v>168</v>
      </c>
      <c r="L45" t="s">
        <v>105</v>
      </c>
      <c r="M45">
        <v>0</v>
      </c>
      <c r="N45">
        <v>0</v>
      </c>
      <c r="O45">
        <v>46</v>
      </c>
      <c r="P45" t="s">
        <v>106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</v>
      </c>
      <c r="AG45">
        <v>45</v>
      </c>
      <c r="AH45">
        <v>0</v>
      </c>
      <c r="AI45">
        <v>130</v>
      </c>
      <c r="AJ45">
        <v>3</v>
      </c>
    </row>
    <row r="46" spans="1:36" x14ac:dyDescent="0.3">
      <c r="A46" t="s">
        <v>245</v>
      </c>
      <c r="B46" s="219">
        <v>45997</v>
      </c>
      <c r="C46" t="s">
        <v>313</v>
      </c>
      <c r="D46" t="s">
        <v>337</v>
      </c>
      <c r="E46" t="s">
        <v>302</v>
      </c>
      <c r="F46" t="s">
        <v>167</v>
      </c>
      <c r="G46">
        <v>1.0417000000000001</v>
      </c>
      <c r="H46">
        <v>168</v>
      </c>
      <c r="I46">
        <v>175</v>
      </c>
      <c r="J46">
        <v>137</v>
      </c>
      <c r="K46" t="s">
        <v>168</v>
      </c>
      <c r="L46" t="s">
        <v>87</v>
      </c>
      <c r="M46">
        <v>0</v>
      </c>
      <c r="N46">
        <v>0</v>
      </c>
      <c r="O46">
        <v>8</v>
      </c>
      <c r="P46" t="s">
        <v>106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8</v>
      </c>
      <c r="AE46">
        <v>9</v>
      </c>
      <c r="AF46">
        <v>17</v>
      </c>
      <c r="AG46">
        <v>0</v>
      </c>
      <c r="AH46">
        <v>0</v>
      </c>
      <c r="AI46">
        <v>137</v>
      </c>
      <c r="AJ46">
        <v>2</v>
      </c>
    </row>
    <row r="47" spans="1:36" x14ac:dyDescent="0.3">
      <c r="A47" t="s">
        <v>245</v>
      </c>
      <c r="B47" s="219">
        <v>45997</v>
      </c>
      <c r="C47" t="s">
        <v>280</v>
      </c>
      <c r="D47" t="s">
        <v>297</v>
      </c>
      <c r="E47" t="s">
        <v>274</v>
      </c>
      <c r="F47" t="s">
        <v>167</v>
      </c>
      <c r="G47">
        <v>7.7399999999999997E-2</v>
      </c>
      <c r="H47">
        <v>168</v>
      </c>
      <c r="I47">
        <v>13</v>
      </c>
      <c r="J47">
        <v>0</v>
      </c>
      <c r="K47" t="s">
        <v>168</v>
      </c>
      <c r="L47" t="s">
        <v>43</v>
      </c>
      <c r="M47">
        <v>0</v>
      </c>
      <c r="N47">
        <v>2</v>
      </c>
      <c r="O47">
        <v>4</v>
      </c>
      <c r="P47" t="s">
        <v>260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12</v>
      </c>
      <c r="AG47">
        <v>0</v>
      </c>
      <c r="AH47">
        <v>0</v>
      </c>
      <c r="AI47">
        <v>0</v>
      </c>
      <c r="AJ47">
        <v>0</v>
      </c>
    </row>
    <row r="48" spans="1:36" x14ac:dyDescent="0.3">
      <c r="A48" t="s">
        <v>254</v>
      </c>
      <c r="B48" s="219">
        <v>45998</v>
      </c>
      <c r="C48" t="s">
        <v>63</v>
      </c>
      <c r="D48" t="s">
        <v>255</v>
      </c>
      <c r="E48" t="s">
        <v>1</v>
      </c>
      <c r="F48" t="s">
        <v>167</v>
      </c>
      <c r="G48">
        <v>0.49719999999999998</v>
      </c>
      <c r="H48">
        <v>179</v>
      </c>
      <c r="I48">
        <v>89</v>
      </c>
      <c r="J48">
        <v>61</v>
      </c>
      <c r="K48" t="s">
        <v>168</v>
      </c>
      <c r="L48" t="s">
        <v>43</v>
      </c>
      <c r="M48">
        <v>0</v>
      </c>
      <c r="N48">
        <v>2</v>
      </c>
      <c r="O48">
        <v>9</v>
      </c>
      <c r="P48" t="s">
        <v>53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7</v>
      </c>
      <c r="AD48">
        <v>1</v>
      </c>
      <c r="AE48">
        <v>10</v>
      </c>
      <c r="AF48">
        <v>10</v>
      </c>
      <c r="AG48">
        <v>25</v>
      </c>
      <c r="AH48">
        <v>0</v>
      </c>
      <c r="AI48">
        <v>36</v>
      </c>
      <c r="AJ48">
        <v>0</v>
      </c>
    </row>
    <row r="49" spans="1:36" x14ac:dyDescent="0.3">
      <c r="A49" t="s">
        <v>254</v>
      </c>
      <c r="B49" s="219">
        <v>45998</v>
      </c>
      <c r="C49" t="s">
        <v>85</v>
      </c>
      <c r="D49" t="s">
        <v>219</v>
      </c>
      <c r="E49" t="s">
        <v>1</v>
      </c>
      <c r="F49" t="s">
        <v>167</v>
      </c>
      <c r="G49">
        <v>0.16669999999999999</v>
      </c>
      <c r="H49">
        <v>168</v>
      </c>
      <c r="I49">
        <v>28</v>
      </c>
      <c r="J49">
        <v>0</v>
      </c>
      <c r="K49" t="s">
        <v>168</v>
      </c>
      <c r="L49" t="s">
        <v>43</v>
      </c>
      <c r="M49">
        <v>0</v>
      </c>
      <c r="N49">
        <v>1</v>
      </c>
      <c r="O49">
        <v>18</v>
      </c>
      <c r="P49" t="s">
        <v>56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9</v>
      </c>
      <c r="AA49">
        <v>0</v>
      </c>
      <c r="AB49">
        <v>0</v>
      </c>
      <c r="AC49">
        <v>0</v>
      </c>
      <c r="AD49">
        <v>0</v>
      </c>
      <c r="AE49">
        <v>9</v>
      </c>
      <c r="AF49">
        <v>10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254</v>
      </c>
      <c r="B50" s="219">
        <v>45998</v>
      </c>
      <c r="C50" t="s">
        <v>47</v>
      </c>
      <c r="D50" t="s">
        <v>259</v>
      </c>
      <c r="E50" t="s">
        <v>1</v>
      </c>
      <c r="F50" t="s">
        <v>167</v>
      </c>
      <c r="G50">
        <v>0.86029999999999995</v>
      </c>
      <c r="H50">
        <v>179</v>
      </c>
      <c r="I50">
        <v>154</v>
      </c>
      <c r="J50">
        <v>130</v>
      </c>
      <c r="K50" t="s">
        <v>168</v>
      </c>
      <c r="L50" t="s">
        <v>43</v>
      </c>
      <c r="M50">
        <v>0</v>
      </c>
      <c r="N50">
        <v>1</v>
      </c>
      <c r="O50">
        <v>38</v>
      </c>
      <c r="P50" t="s">
        <v>111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</v>
      </c>
      <c r="AA50">
        <v>0</v>
      </c>
      <c r="AB50">
        <v>0</v>
      </c>
      <c r="AC50">
        <v>0</v>
      </c>
      <c r="AD50">
        <v>3</v>
      </c>
      <c r="AE50">
        <v>9</v>
      </c>
      <c r="AF50">
        <v>9</v>
      </c>
      <c r="AG50">
        <v>0</v>
      </c>
      <c r="AH50">
        <v>0</v>
      </c>
      <c r="AI50">
        <v>130</v>
      </c>
      <c r="AJ50">
        <v>0</v>
      </c>
    </row>
    <row r="51" spans="1:36" x14ac:dyDescent="0.3">
      <c r="A51" t="s">
        <v>254</v>
      </c>
      <c r="B51" s="219">
        <v>45998</v>
      </c>
      <c r="C51" t="s">
        <v>37</v>
      </c>
      <c r="D51" t="s">
        <v>232</v>
      </c>
      <c r="E51" t="s">
        <v>1</v>
      </c>
      <c r="F51" t="s">
        <v>167</v>
      </c>
      <c r="G51">
        <v>0.1676</v>
      </c>
      <c r="H51">
        <v>179</v>
      </c>
      <c r="I51">
        <v>30</v>
      </c>
      <c r="J51">
        <v>0</v>
      </c>
      <c r="K51" t="s">
        <v>168</v>
      </c>
      <c r="L51" t="s">
        <v>43</v>
      </c>
      <c r="M51">
        <v>0</v>
      </c>
      <c r="N51">
        <v>2</v>
      </c>
      <c r="O51">
        <v>20</v>
      </c>
      <c r="P51" t="s">
        <v>60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10</v>
      </c>
      <c r="AF51">
        <v>20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254</v>
      </c>
      <c r="B52" s="219">
        <v>45998</v>
      </c>
      <c r="C52" t="s">
        <v>42</v>
      </c>
      <c r="D52" t="s">
        <v>261</v>
      </c>
      <c r="E52" t="s">
        <v>1</v>
      </c>
      <c r="F52" t="s">
        <v>167</v>
      </c>
      <c r="G52">
        <v>0.96650000000000003</v>
      </c>
      <c r="H52">
        <v>179</v>
      </c>
      <c r="I52">
        <v>173</v>
      </c>
      <c r="J52">
        <v>155</v>
      </c>
      <c r="K52" t="s">
        <v>168</v>
      </c>
      <c r="L52" t="s">
        <v>43</v>
      </c>
      <c r="M52">
        <v>0</v>
      </c>
      <c r="N52">
        <v>3</v>
      </c>
      <c r="O52">
        <v>3</v>
      </c>
      <c r="P52" t="s">
        <v>114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8</v>
      </c>
      <c r="AF52">
        <v>10</v>
      </c>
      <c r="AG52">
        <v>0</v>
      </c>
      <c r="AH52">
        <v>0</v>
      </c>
      <c r="AI52">
        <v>155</v>
      </c>
      <c r="AJ52">
        <v>0</v>
      </c>
    </row>
    <row r="53" spans="1:36" x14ac:dyDescent="0.3">
      <c r="A53" t="s">
        <v>254</v>
      </c>
      <c r="B53" s="219">
        <v>45998</v>
      </c>
      <c r="C53" t="s">
        <v>313</v>
      </c>
      <c r="D53" t="s">
        <v>338</v>
      </c>
      <c r="E53" t="s">
        <v>302</v>
      </c>
      <c r="F53" t="s">
        <v>167</v>
      </c>
      <c r="G53">
        <v>1.0595000000000001</v>
      </c>
      <c r="H53">
        <v>168</v>
      </c>
      <c r="I53">
        <v>178</v>
      </c>
      <c r="J53">
        <v>145</v>
      </c>
      <c r="K53" t="s">
        <v>168</v>
      </c>
      <c r="L53" t="s">
        <v>87</v>
      </c>
      <c r="M53">
        <v>0</v>
      </c>
      <c r="N53">
        <v>0</v>
      </c>
      <c r="O53">
        <v>11</v>
      </c>
      <c r="P53" t="s">
        <v>106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4</v>
      </c>
      <c r="AA53">
        <v>4</v>
      </c>
      <c r="AB53">
        <v>4</v>
      </c>
      <c r="AC53">
        <v>4</v>
      </c>
      <c r="AD53">
        <v>6</v>
      </c>
      <c r="AE53">
        <v>4</v>
      </c>
      <c r="AF53">
        <v>4</v>
      </c>
      <c r="AG53">
        <v>0</v>
      </c>
      <c r="AH53">
        <v>0</v>
      </c>
      <c r="AI53">
        <v>145</v>
      </c>
      <c r="AJ53">
        <v>0</v>
      </c>
    </row>
    <row r="54" spans="1:36" x14ac:dyDescent="0.3">
      <c r="A54" t="s">
        <v>254</v>
      </c>
      <c r="B54" s="219">
        <v>45998</v>
      </c>
      <c r="C54" t="s">
        <v>280</v>
      </c>
      <c r="D54" t="s">
        <v>301</v>
      </c>
      <c r="E54" t="s">
        <v>274</v>
      </c>
      <c r="F54" t="s">
        <v>167</v>
      </c>
      <c r="G54">
        <v>4.1700000000000001E-2</v>
      </c>
      <c r="H54">
        <v>168</v>
      </c>
      <c r="I54">
        <v>7</v>
      </c>
      <c r="J54">
        <v>0</v>
      </c>
      <c r="K54" t="s">
        <v>168</v>
      </c>
      <c r="L54" t="s">
        <v>87</v>
      </c>
      <c r="M54">
        <v>0</v>
      </c>
      <c r="N54">
        <v>0</v>
      </c>
      <c r="O54">
        <v>1</v>
      </c>
      <c r="P54" t="s">
        <v>260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6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165</v>
      </c>
      <c r="B55" s="219">
        <v>45999</v>
      </c>
      <c r="C55" t="s">
        <v>47</v>
      </c>
      <c r="D55" t="s">
        <v>183</v>
      </c>
      <c r="E55" t="s">
        <v>1</v>
      </c>
      <c r="F55" t="s">
        <v>167</v>
      </c>
      <c r="G55">
        <v>0.89390000000000003</v>
      </c>
      <c r="H55">
        <v>179</v>
      </c>
      <c r="I55">
        <v>160</v>
      </c>
      <c r="J55">
        <v>136</v>
      </c>
      <c r="K55" t="s">
        <v>168</v>
      </c>
      <c r="L55" t="s">
        <v>43</v>
      </c>
      <c r="M55">
        <v>0</v>
      </c>
      <c r="N55">
        <v>3</v>
      </c>
      <c r="O55">
        <v>15</v>
      </c>
      <c r="P55" t="s">
        <v>120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10</v>
      </c>
      <c r="AF55">
        <v>13</v>
      </c>
      <c r="AG55">
        <v>0</v>
      </c>
      <c r="AH55">
        <v>0</v>
      </c>
      <c r="AI55">
        <v>136</v>
      </c>
      <c r="AJ55">
        <v>0</v>
      </c>
    </row>
    <row r="56" spans="1:36" x14ac:dyDescent="0.3">
      <c r="A56" t="s">
        <v>165</v>
      </c>
      <c r="B56" s="219">
        <v>45999</v>
      </c>
      <c r="C56" t="s">
        <v>37</v>
      </c>
      <c r="D56" t="s">
        <v>172</v>
      </c>
      <c r="E56" t="s">
        <v>1</v>
      </c>
      <c r="F56" t="s">
        <v>167</v>
      </c>
      <c r="G56">
        <v>0.88270000000000004</v>
      </c>
      <c r="H56">
        <v>179</v>
      </c>
      <c r="I56">
        <v>158</v>
      </c>
      <c r="J56">
        <v>134</v>
      </c>
      <c r="K56" t="s">
        <v>168</v>
      </c>
      <c r="L56" t="s">
        <v>43</v>
      </c>
      <c r="M56">
        <v>0</v>
      </c>
      <c r="N56">
        <v>3</v>
      </c>
      <c r="O56">
        <v>13</v>
      </c>
      <c r="P56" t="s">
        <v>117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3</v>
      </c>
      <c r="AE56">
        <v>10</v>
      </c>
      <c r="AF56">
        <v>10</v>
      </c>
      <c r="AG56">
        <v>0</v>
      </c>
      <c r="AH56">
        <v>0</v>
      </c>
      <c r="AI56">
        <v>134</v>
      </c>
      <c r="AJ56">
        <v>0</v>
      </c>
    </row>
    <row r="57" spans="1:36" x14ac:dyDescent="0.3">
      <c r="A57" t="s">
        <v>165</v>
      </c>
      <c r="B57" s="219">
        <v>45999</v>
      </c>
      <c r="C57" t="s">
        <v>42</v>
      </c>
      <c r="D57" t="s">
        <v>176</v>
      </c>
      <c r="E57" t="s">
        <v>1</v>
      </c>
      <c r="F57" t="s">
        <v>167</v>
      </c>
      <c r="G57">
        <v>0.80449999999999999</v>
      </c>
      <c r="H57">
        <v>179</v>
      </c>
      <c r="I57">
        <v>144</v>
      </c>
      <c r="J57">
        <v>120</v>
      </c>
      <c r="K57" t="s">
        <v>168</v>
      </c>
      <c r="L57" t="s">
        <v>43</v>
      </c>
      <c r="M57">
        <v>0</v>
      </c>
      <c r="N57">
        <v>3</v>
      </c>
      <c r="O57">
        <v>6</v>
      </c>
      <c r="P57" t="s">
        <v>117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</v>
      </c>
      <c r="AE57">
        <v>10</v>
      </c>
      <c r="AF57">
        <v>10</v>
      </c>
      <c r="AG57">
        <v>0</v>
      </c>
      <c r="AH57">
        <v>0</v>
      </c>
      <c r="AI57">
        <v>120</v>
      </c>
      <c r="AJ57">
        <v>0</v>
      </c>
    </row>
    <row r="58" spans="1:36" x14ac:dyDescent="0.3">
      <c r="A58" t="s">
        <v>165</v>
      </c>
      <c r="B58" s="219">
        <v>45999</v>
      </c>
      <c r="C58" t="s">
        <v>32</v>
      </c>
      <c r="D58" t="s">
        <v>166</v>
      </c>
      <c r="E58" t="s">
        <v>1</v>
      </c>
      <c r="F58" t="s">
        <v>167</v>
      </c>
      <c r="G58">
        <v>0.86029999999999995</v>
      </c>
      <c r="H58">
        <v>179</v>
      </c>
      <c r="I58">
        <v>154</v>
      </c>
      <c r="J58">
        <v>133</v>
      </c>
      <c r="K58" t="s">
        <v>168</v>
      </c>
      <c r="L58" t="s">
        <v>71</v>
      </c>
      <c r="M58">
        <v>0</v>
      </c>
      <c r="N58">
        <v>0</v>
      </c>
      <c r="O58">
        <v>10</v>
      </c>
      <c r="P58" t="s">
        <v>60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10</v>
      </c>
      <c r="AF58">
        <v>10</v>
      </c>
      <c r="AG58">
        <v>0</v>
      </c>
      <c r="AH58">
        <v>0</v>
      </c>
      <c r="AI58">
        <v>133</v>
      </c>
      <c r="AJ58">
        <v>0</v>
      </c>
    </row>
    <row r="59" spans="1:36" x14ac:dyDescent="0.3">
      <c r="A59" t="s">
        <v>165</v>
      </c>
      <c r="B59" s="219">
        <v>45999</v>
      </c>
      <c r="C59" t="s">
        <v>276</v>
      </c>
      <c r="D59" t="s">
        <v>294</v>
      </c>
      <c r="E59" t="s">
        <v>274</v>
      </c>
      <c r="F59" t="s">
        <v>167</v>
      </c>
      <c r="G59">
        <v>8.9300000000000004E-2</v>
      </c>
      <c r="H59">
        <v>168</v>
      </c>
      <c r="I59">
        <v>15</v>
      </c>
      <c r="J59">
        <v>0</v>
      </c>
      <c r="K59" t="s">
        <v>168</v>
      </c>
      <c r="L59" t="s">
        <v>87</v>
      </c>
      <c r="M59">
        <v>0</v>
      </c>
      <c r="N59">
        <v>0</v>
      </c>
      <c r="O59">
        <v>2</v>
      </c>
      <c r="P59" t="s">
        <v>260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4</v>
      </c>
      <c r="AE59">
        <v>1</v>
      </c>
      <c r="AF59">
        <v>9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t="s">
        <v>189</v>
      </c>
      <c r="B60" s="219">
        <v>46000</v>
      </c>
      <c r="C60" t="s">
        <v>353</v>
      </c>
      <c r="D60" t="s">
        <v>359</v>
      </c>
      <c r="E60" t="s">
        <v>351</v>
      </c>
      <c r="F60" t="s">
        <v>167</v>
      </c>
      <c r="G60">
        <v>0.20830000000000001</v>
      </c>
      <c r="H60">
        <v>168</v>
      </c>
      <c r="I60">
        <v>35</v>
      </c>
      <c r="J60">
        <v>0</v>
      </c>
      <c r="K60" t="s">
        <v>168</v>
      </c>
      <c r="L60" t="s">
        <v>43</v>
      </c>
      <c r="M60">
        <v>0</v>
      </c>
      <c r="N60">
        <v>1</v>
      </c>
      <c r="O60">
        <v>9</v>
      </c>
      <c r="P60" t="s">
        <v>260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7</v>
      </c>
      <c r="AA60">
        <v>0</v>
      </c>
      <c r="AB60">
        <v>0</v>
      </c>
      <c r="AC60">
        <v>7</v>
      </c>
      <c r="AD60">
        <v>4</v>
      </c>
      <c r="AE60">
        <v>0</v>
      </c>
      <c r="AF60">
        <v>17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189</v>
      </c>
      <c r="B61" s="219">
        <v>46000</v>
      </c>
      <c r="C61" t="s">
        <v>63</v>
      </c>
      <c r="D61" t="s">
        <v>201</v>
      </c>
      <c r="E61" t="s">
        <v>1</v>
      </c>
      <c r="F61" t="s">
        <v>167</v>
      </c>
      <c r="G61">
        <v>0.8659</v>
      </c>
      <c r="H61">
        <v>179</v>
      </c>
      <c r="I61">
        <v>155</v>
      </c>
      <c r="J61">
        <v>133</v>
      </c>
      <c r="K61" t="s">
        <v>168</v>
      </c>
      <c r="L61" t="s">
        <v>43</v>
      </c>
      <c r="M61">
        <v>0</v>
      </c>
      <c r="N61">
        <v>1</v>
      </c>
      <c r="O61">
        <v>14</v>
      </c>
      <c r="P61" t="s">
        <v>76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20</v>
      </c>
      <c r="AG61">
        <v>0</v>
      </c>
      <c r="AH61">
        <v>0</v>
      </c>
      <c r="AI61">
        <v>133</v>
      </c>
      <c r="AJ61">
        <v>0</v>
      </c>
    </row>
    <row r="62" spans="1:36" x14ac:dyDescent="0.3">
      <c r="A62" t="s">
        <v>189</v>
      </c>
      <c r="B62" s="219">
        <v>46000</v>
      </c>
      <c r="C62" t="s">
        <v>47</v>
      </c>
      <c r="D62" t="s">
        <v>198</v>
      </c>
      <c r="E62" t="s">
        <v>1</v>
      </c>
      <c r="F62" t="s">
        <v>167</v>
      </c>
      <c r="G62">
        <v>0.54190000000000005</v>
      </c>
      <c r="H62">
        <v>179</v>
      </c>
      <c r="I62">
        <v>97</v>
      </c>
      <c r="J62">
        <v>76</v>
      </c>
      <c r="K62" t="s">
        <v>168</v>
      </c>
      <c r="L62" t="s">
        <v>43</v>
      </c>
      <c r="M62">
        <v>0</v>
      </c>
      <c r="N62">
        <v>1</v>
      </c>
      <c r="O62">
        <v>3</v>
      </c>
      <c r="P62" t="s">
        <v>53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1</v>
      </c>
      <c r="AD62">
        <v>0</v>
      </c>
      <c r="AE62">
        <v>8</v>
      </c>
      <c r="AF62">
        <v>10</v>
      </c>
      <c r="AG62">
        <v>0</v>
      </c>
      <c r="AH62">
        <v>0</v>
      </c>
      <c r="AI62">
        <v>76</v>
      </c>
      <c r="AJ62">
        <v>0</v>
      </c>
    </row>
    <row r="63" spans="1:36" x14ac:dyDescent="0.3">
      <c r="A63" t="s">
        <v>189</v>
      </c>
      <c r="B63" s="219">
        <v>46000</v>
      </c>
      <c r="C63" t="s">
        <v>52</v>
      </c>
      <c r="D63" t="s">
        <v>190</v>
      </c>
      <c r="E63" t="s">
        <v>1</v>
      </c>
      <c r="F63" t="s">
        <v>167</v>
      </c>
      <c r="G63">
        <v>0.1061</v>
      </c>
      <c r="H63">
        <v>179</v>
      </c>
      <c r="I63">
        <v>19</v>
      </c>
      <c r="J63">
        <v>0</v>
      </c>
      <c r="K63" t="s">
        <v>168</v>
      </c>
      <c r="L63" t="s">
        <v>43</v>
      </c>
      <c r="M63">
        <v>0</v>
      </c>
      <c r="N63">
        <v>2</v>
      </c>
      <c r="O63">
        <v>8</v>
      </c>
      <c r="P63" t="s">
        <v>80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17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189</v>
      </c>
      <c r="B64" s="219">
        <v>46000</v>
      </c>
      <c r="C64" t="s">
        <v>37</v>
      </c>
      <c r="D64" t="s">
        <v>203</v>
      </c>
      <c r="E64" t="s">
        <v>1</v>
      </c>
      <c r="F64" t="s">
        <v>167</v>
      </c>
      <c r="G64">
        <v>0.1173</v>
      </c>
      <c r="H64">
        <v>179</v>
      </c>
      <c r="I64">
        <v>21</v>
      </c>
      <c r="J64">
        <v>0</v>
      </c>
      <c r="K64" t="s">
        <v>168</v>
      </c>
      <c r="L64" t="s">
        <v>129</v>
      </c>
      <c r="M64">
        <v>0</v>
      </c>
      <c r="N64">
        <v>0</v>
      </c>
      <c r="O64">
        <v>9</v>
      </c>
      <c r="P64" t="s">
        <v>53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</v>
      </c>
      <c r="AE64">
        <v>9</v>
      </c>
      <c r="AF64">
        <v>10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189</v>
      </c>
      <c r="B65" s="219">
        <v>46000</v>
      </c>
      <c r="C65" t="s">
        <v>42</v>
      </c>
      <c r="D65" t="s">
        <v>176</v>
      </c>
      <c r="E65" t="s">
        <v>1</v>
      </c>
      <c r="F65" t="s">
        <v>167</v>
      </c>
      <c r="G65">
        <v>0.82120000000000004</v>
      </c>
      <c r="H65">
        <v>179</v>
      </c>
      <c r="I65">
        <v>147</v>
      </c>
      <c r="J65">
        <v>132</v>
      </c>
      <c r="K65" t="s">
        <v>168</v>
      </c>
      <c r="L65" t="s">
        <v>33</v>
      </c>
      <c r="M65">
        <v>0</v>
      </c>
      <c r="N65">
        <v>0</v>
      </c>
      <c r="O65">
        <v>6</v>
      </c>
      <c r="P65" t="s">
        <v>125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5</v>
      </c>
      <c r="AF65">
        <v>10</v>
      </c>
      <c r="AG65">
        <v>45</v>
      </c>
      <c r="AH65">
        <v>0</v>
      </c>
      <c r="AI65">
        <v>87</v>
      </c>
      <c r="AJ65">
        <v>0</v>
      </c>
    </row>
    <row r="66" spans="1:36" x14ac:dyDescent="0.3">
      <c r="A66" t="s">
        <v>189</v>
      </c>
      <c r="B66" s="219">
        <v>46000</v>
      </c>
      <c r="C66" t="s">
        <v>32</v>
      </c>
      <c r="D66" t="s">
        <v>192</v>
      </c>
      <c r="E66" t="s">
        <v>1</v>
      </c>
      <c r="F66" t="s">
        <v>167</v>
      </c>
      <c r="G66">
        <v>0.58099999999999996</v>
      </c>
      <c r="H66">
        <v>179</v>
      </c>
      <c r="I66">
        <v>104</v>
      </c>
      <c r="J66">
        <v>90</v>
      </c>
      <c r="K66" t="s">
        <v>168</v>
      </c>
      <c r="L66" t="s">
        <v>43</v>
      </c>
      <c r="M66">
        <v>0</v>
      </c>
      <c r="N66">
        <v>1</v>
      </c>
      <c r="O66">
        <v>4</v>
      </c>
      <c r="P66" t="s">
        <v>123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14</v>
      </c>
      <c r="AG66">
        <v>0</v>
      </c>
      <c r="AH66">
        <v>0</v>
      </c>
      <c r="AI66">
        <v>90</v>
      </c>
      <c r="AJ66">
        <v>0</v>
      </c>
    </row>
    <row r="67" spans="1:36" x14ac:dyDescent="0.3">
      <c r="A67" t="s">
        <v>189</v>
      </c>
      <c r="B67" s="219">
        <v>46000</v>
      </c>
      <c r="C67" t="s">
        <v>309</v>
      </c>
      <c r="D67" t="s">
        <v>324</v>
      </c>
      <c r="E67" t="s">
        <v>302</v>
      </c>
      <c r="F67" t="s">
        <v>167</v>
      </c>
      <c r="G67">
        <v>1</v>
      </c>
      <c r="H67">
        <v>168</v>
      </c>
      <c r="I67">
        <v>168</v>
      </c>
      <c r="J67">
        <v>91</v>
      </c>
      <c r="K67" t="s">
        <v>168</v>
      </c>
      <c r="L67" t="s">
        <v>43</v>
      </c>
      <c r="M67">
        <v>0</v>
      </c>
      <c r="N67">
        <v>1</v>
      </c>
      <c r="O67">
        <v>57</v>
      </c>
      <c r="P67" t="s">
        <v>106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7</v>
      </c>
      <c r="Z67">
        <v>16</v>
      </c>
      <c r="AA67">
        <v>4</v>
      </c>
      <c r="AB67">
        <v>10</v>
      </c>
      <c r="AC67">
        <v>10</v>
      </c>
      <c r="AD67">
        <v>10</v>
      </c>
      <c r="AE67">
        <v>10</v>
      </c>
      <c r="AF67">
        <v>10</v>
      </c>
      <c r="AG67">
        <v>0</v>
      </c>
      <c r="AH67">
        <v>0</v>
      </c>
      <c r="AI67">
        <v>91</v>
      </c>
      <c r="AJ67">
        <v>0</v>
      </c>
    </row>
    <row r="68" spans="1:36" x14ac:dyDescent="0.3">
      <c r="A68" t="s">
        <v>189</v>
      </c>
      <c r="B68" s="219">
        <v>46000</v>
      </c>
      <c r="C68" t="s">
        <v>313</v>
      </c>
      <c r="D68" t="s">
        <v>183</v>
      </c>
      <c r="E68" t="s">
        <v>302</v>
      </c>
      <c r="F68" t="s">
        <v>167</v>
      </c>
      <c r="G68">
        <v>1.0119</v>
      </c>
      <c r="H68">
        <v>168</v>
      </c>
      <c r="I68">
        <v>170</v>
      </c>
      <c r="J68">
        <v>129</v>
      </c>
      <c r="K68" t="s">
        <v>168</v>
      </c>
      <c r="L68" t="s">
        <v>87</v>
      </c>
      <c r="M68">
        <v>0</v>
      </c>
      <c r="N68">
        <v>0</v>
      </c>
      <c r="O68">
        <v>44</v>
      </c>
      <c r="P68" t="s">
        <v>106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0</v>
      </c>
      <c r="AB68">
        <v>0</v>
      </c>
      <c r="AC68">
        <v>0</v>
      </c>
      <c r="AD68">
        <v>8</v>
      </c>
      <c r="AE68">
        <v>6</v>
      </c>
      <c r="AF68">
        <v>19</v>
      </c>
      <c r="AG68">
        <v>40</v>
      </c>
      <c r="AH68">
        <v>0</v>
      </c>
      <c r="AI68">
        <v>89</v>
      </c>
      <c r="AJ68">
        <v>4</v>
      </c>
    </row>
    <row r="69" spans="1:36" x14ac:dyDescent="0.3">
      <c r="A69" t="s">
        <v>189</v>
      </c>
      <c r="B69" s="219">
        <v>46000</v>
      </c>
      <c r="C69" t="s">
        <v>304</v>
      </c>
      <c r="D69" t="s">
        <v>212</v>
      </c>
      <c r="E69" t="s">
        <v>302</v>
      </c>
      <c r="F69" t="s">
        <v>167</v>
      </c>
      <c r="G69">
        <v>1</v>
      </c>
      <c r="H69">
        <v>168</v>
      </c>
      <c r="I69">
        <v>168</v>
      </c>
      <c r="J69">
        <v>132</v>
      </c>
      <c r="K69" t="s">
        <v>168</v>
      </c>
      <c r="L69" t="s">
        <v>71</v>
      </c>
      <c r="M69">
        <v>0</v>
      </c>
      <c r="N69">
        <v>0</v>
      </c>
      <c r="O69">
        <v>5</v>
      </c>
      <c r="P69" t="s">
        <v>106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2</v>
      </c>
      <c r="AD69">
        <v>8</v>
      </c>
      <c r="AE69">
        <v>8</v>
      </c>
      <c r="AF69">
        <v>17</v>
      </c>
      <c r="AG69">
        <v>0</v>
      </c>
      <c r="AH69">
        <v>0</v>
      </c>
      <c r="AI69">
        <v>132</v>
      </c>
      <c r="AJ69">
        <v>0</v>
      </c>
    </row>
    <row r="70" spans="1:36" x14ac:dyDescent="0.3">
      <c r="A70" t="s">
        <v>189</v>
      </c>
      <c r="B70" s="219">
        <v>46000</v>
      </c>
      <c r="C70" t="s">
        <v>276</v>
      </c>
      <c r="D70" t="s">
        <v>296</v>
      </c>
      <c r="E70" t="s">
        <v>274</v>
      </c>
      <c r="F70" t="s">
        <v>167</v>
      </c>
      <c r="G70">
        <v>8.9300000000000004E-2</v>
      </c>
      <c r="H70">
        <v>168</v>
      </c>
      <c r="I70">
        <v>15</v>
      </c>
      <c r="J70">
        <v>0</v>
      </c>
      <c r="K70" t="s">
        <v>168</v>
      </c>
      <c r="L70" t="s">
        <v>71</v>
      </c>
      <c r="M70">
        <v>0</v>
      </c>
      <c r="N70">
        <v>0</v>
      </c>
      <c r="O70">
        <v>7</v>
      </c>
      <c r="P70" t="s">
        <v>260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5</v>
      </c>
      <c r="AE70">
        <v>2</v>
      </c>
      <c r="AF70">
        <v>7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205</v>
      </c>
      <c r="B71" s="219">
        <v>46001</v>
      </c>
      <c r="C71" t="s">
        <v>47</v>
      </c>
      <c r="D71" t="s">
        <v>208</v>
      </c>
      <c r="E71" t="s">
        <v>1</v>
      </c>
      <c r="F71" t="s">
        <v>167</v>
      </c>
      <c r="G71">
        <v>0.18990000000000001</v>
      </c>
      <c r="H71">
        <v>179</v>
      </c>
      <c r="I71">
        <v>34</v>
      </c>
      <c r="J71">
        <v>3</v>
      </c>
      <c r="K71" t="s">
        <v>168</v>
      </c>
      <c r="L71" t="s">
        <v>43</v>
      </c>
      <c r="M71">
        <v>0</v>
      </c>
      <c r="N71">
        <v>3</v>
      </c>
      <c r="O71">
        <v>14</v>
      </c>
      <c r="P71" t="s">
        <v>56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19</v>
      </c>
      <c r="AF71">
        <v>10</v>
      </c>
      <c r="AG71">
        <v>0</v>
      </c>
      <c r="AH71">
        <v>0</v>
      </c>
      <c r="AI71">
        <v>3</v>
      </c>
      <c r="AJ71">
        <v>0</v>
      </c>
    </row>
    <row r="72" spans="1:36" x14ac:dyDescent="0.3">
      <c r="A72" t="s">
        <v>205</v>
      </c>
      <c r="B72" s="219">
        <v>46001</v>
      </c>
      <c r="C72" t="s">
        <v>37</v>
      </c>
      <c r="D72" t="s">
        <v>206</v>
      </c>
      <c r="E72" t="s">
        <v>1</v>
      </c>
      <c r="F72" t="s">
        <v>167</v>
      </c>
      <c r="G72">
        <v>0.92179999999999995</v>
      </c>
      <c r="H72">
        <v>179</v>
      </c>
      <c r="I72">
        <v>165</v>
      </c>
      <c r="J72">
        <v>137</v>
      </c>
      <c r="K72" t="s">
        <v>168</v>
      </c>
      <c r="L72" t="s">
        <v>43</v>
      </c>
      <c r="M72">
        <v>0</v>
      </c>
      <c r="N72">
        <v>2</v>
      </c>
      <c r="O72">
        <v>14</v>
      </c>
      <c r="P72" t="s">
        <v>131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</v>
      </c>
      <c r="AA72">
        <v>0</v>
      </c>
      <c r="AB72">
        <v>0</v>
      </c>
      <c r="AC72">
        <v>0</v>
      </c>
      <c r="AD72">
        <v>3</v>
      </c>
      <c r="AE72">
        <v>10</v>
      </c>
      <c r="AF72">
        <v>10</v>
      </c>
      <c r="AG72">
        <v>0</v>
      </c>
      <c r="AH72">
        <v>0</v>
      </c>
      <c r="AI72">
        <v>137</v>
      </c>
      <c r="AJ72">
        <v>0</v>
      </c>
    </row>
    <row r="73" spans="1:36" x14ac:dyDescent="0.3">
      <c r="A73" t="s">
        <v>205</v>
      </c>
      <c r="B73" s="219">
        <v>46001</v>
      </c>
      <c r="C73" t="s">
        <v>42</v>
      </c>
      <c r="D73" t="s">
        <v>176</v>
      </c>
      <c r="E73" t="s">
        <v>1</v>
      </c>
      <c r="F73" t="s">
        <v>167</v>
      </c>
      <c r="G73">
        <v>0.17879999999999999</v>
      </c>
      <c r="H73">
        <v>179</v>
      </c>
      <c r="I73">
        <v>32</v>
      </c>
      <c r="J73">
        <v>0</v>
      </c>
      <c r="K73" t="s">
        <v>168</v>
      </c>
      <c r="L73" t="s">
        <v>43</v>
      </c>
      <c r="M73">
        <v>0</v>
      </c>
      <c r="N73">
        <v>2</v>
      </c>
      <c r="O73">
        <v>8</v>
      </c>
      <c r="P73" t="s">
        <v>134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</v>
      </c>
      <c r="AA73">
        <v>0</v>
      </c>
      <c r="AB73">
        <v>0</v>
      </c>
      <c r="AC73">
        <v>0</v>
      </c>
      <c r="AD73">
        <v>3</v>
      </c>
      <c r="AE73">
        <v>16</v>
      </c>
      <c r="AF73">
        <v>10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205</v>
      </c>
      <c r="B74" s="219">
        <v>46001</v>
      </c>
      <c r="C74" t="s">
        <v>280</v>
      </c>
      <c r="D74" t="s">
        <v>297</v>
      </c>
      <c r="E74" t="s">
        <v>274</v>
      </c>
      <c r="F74" t="s">
        <v>167</v>
      </c>
      <c r="G74">
        <v>0.13689999999999999</v>
      </c>
      <c r="H74">
        <v>168</v>
      </c>
      <c r="I74">
        <v>23</v>
      </c>
      <c r="J74">
        <v>0</v>
      </c>
      <c r="K74" t="s">
        <v>168</v>
      </c>
      <c r="L74" t="s">
        <v>87</v>
      </c>
      <c r="M74">
        <v>0</v>
      </c>
      <c r="N74">
        <v>0</v>
      </c>
      <c r="O74">
        <v>7</v>
      </c>
      <c r="P74" t="s">
        <v>260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5</v>
      </c>
      <c r="AF74">
        <v>15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205</v>
      </c>
      <c r="B75" s="219">
        <v>46001</v>
      </c>
      <c r="C75" t="s">
        <v>276</v>
      </c>
      <c r="D75" t="s">
        <v>294</v>
      </c>
      <c r="E75" t="s">
        <v>274</v>
      </c>
      <c r="F75" t="s">
        <v>167</v>
      </c>
      <c r="G75">
        <v>0.11899999999999999</v>
      </c>
      <c r="H75">
        <v>168</v>
      </c>
      <c r="I75">
        <v>20</v>
      </c>
      <c r="J75">
        <v>0</v>
      </c>
      <c r="K75" t="s">
        <v>168</v>
      </c>
      <c r="L75" t="s">
        <v>43</v>
      </c>
      <c r="M75">
        <v>0</v>
      </c>
      <c r="N75">
        <v>4</v>
      </c>
      <c r="O75">
        <v>8</v>
      </c>
      <c r="P75" t="s">
        <v>80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5</v>
      </c>
      <c r="AF75">
        <v>14</v>
      </c>
      <c r="AG75">
        <v>0</v>
      </c>
      <c r="AH75">
        <v>0</v>
      </c>
      <c r="AI75">
        <v>0</v>
      </c>
      <c r="AJ75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JED-CAI</vt:lpstr>
      <vt:lpstr>JED-CAI LF LEGACY</vt:lpstr>
      <vt:lpstr>RUH-CAI</vt:lpstr>
      <vt:lpstr>RUH-CAI LF LEGACY</vt:lpstr>
      <vt:lpstr>MED-CAI</vt:lpstr>
      <vt:lpstr>MED-CAI LF LEGACY</vt:lpstr>
      <vt:lpstr>DMM-CAI</vt:lpstr>
      <vt:lpstr>DMM-CAI LF LEGACY</vt:lpstr>
      <vt:lpstr>KSA_TO_EGY_ALL_ROUTES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2025-11-23T05:20:53Z</dcterms:created>
  <dcterms:modified xsi:type="dcterms:W3CDTF">2025-11-23T05:21:12Z</dcterms:modified>
</cp:coreProperties>
</file>