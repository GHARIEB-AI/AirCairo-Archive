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ables/table3.xml" ContentType="application/vnd.openxmlformats-officedocument.spreadsheetml.table+xml"/>
  <Override PartName="/xl/comments2.xml" ContentType="application/vnd.openxmlformats-officedocument.spreadsheetml.comments+xml"/>
  <Override PartName="/xl/tables/table4.xml" ContentType="application/vnd.openxmlformats-officedocument.spreadsheetml.table+xml"/>
  <Override PartName="/xl/tables/table5.xml" ContentType="application/vnd.openxmlformats-officedocument.spreadsheetml.table+xml"/>
  <Override PartName="/xl/comments3.xml" ContentType="application/vnd.openxmlformats-officedocument.spreadsheetml.comments+xml"/>
  <Override PartName="/xl/tables/table6.xml" ContentType="application/vnd.openxmlformats-officedocument.spreadsheetml.table+xml"/>
  <Override PartName="/xl/comments4.xml" ContentType="application/vnd.openxmlformats-officedocument.spreadsheetml.comments+xml"/>
  <Override PartName="/xl/tables/table7.xml" ContentType="application/vnd.openxmlformats-officedocument.spreadsheetml.table+xml"/>
  <Override PartName="/xl/tables/table8.xml" ContentType="application/vnd.openxmlformats-officedocument.spreadsheetml.table+xml"/>
  <Override PartName="/xl/comments5.xml" ContentType="application/vnd.openxmlformats-officedocument.spreadsheetml.comments+xml"/>
  <Override PartName="/xl/tables/table9.xml" ContentType="application/vnd.openxmlformats-officedocument.spreadsheetml.table+xml"/>
  <Override PartName="/xl/comments6.xml" ContentType="application/vnd.openxmlformats-officedocument.spreadsheetml.comments+xml"/>
  <Override PartName="/xl/tables/table10.xml" ContentType="application/vnd.openxmlformats-officedocument.spreadsheetml.table+xml"/>
  <Override PartName="/xl/tables/table11.xml" ContentType="application/vnd.openxmlformats-officedocument.spreadsheetml.table+xml"/>
  <Override PartName="/xl/comments7.xml" ContentType="application/vnd.openxmlformats-officedocument.spreadsheetml.comments+xml"/>
  <Override PartName="/xl/tables/table12.xml" ContentType="application/vnd.openxmlformats-officedocument.spreadsheetml.table+xml"/>
  <Override PartName="/xl/comments8.xml" ContentType="application/vnd.openxmlformats-officedocument.spreadsheetml.comments+xml"/>
  <Override PartName="/xl/tables/table13.xml" ContentType="application/vnd.openxmlformats-officedocument.spreadsheetml.table+xml"/>
  <Override PartName="/xl/tables/table14.xml" ContentType="application/vnd.openxmlformats-officedocument.spreadsheetml.table+xml"/>
  <Override PartName="/xl/comments9.xml" ContentType="application/vnd.openxmlformats-officedocument.spreadsheetml.comments+xml"/>
  <Override PartName="/xl/tables/table15.xml" ContentType="application/vnd.openxmlformats-officedocument.spreadsheetml.table+xml"/>
  <Override PartName="/xl/comments10.xml" ContentType="application/vnd.openxmlformats-officedocument.spreadsheetml.comments+xml"/>
  <Override PartName="/xl/tables/table16.xml" ContentType="application/vnd.openxmlformats-officedocument.spreadsheetml.table+xml"/>
  <Override PartName="/xl/tables/table17.xml" ContentType="application/vnd.openxmlformats-officedocument.spreadsheetml.table+xml"/>
  <Override PartName="/xl/comments11.xml" ContentType="application/vnd.openxmlformats-officedocument.spreadsheetml.comments+xml"/>
  <Override PartName="/xl/tables/table18.xml" ContentType="application/vnd.openxmlformats-officedocument.spreadsheetml.table+xml"/>
  <Override PartName="/xl/comments12.xml" ContentType="application/vnd.openxmlformats-officedocument.spreadsheetml.comments+xml"/>
  <Override PartName="/xl/tables/table19.xml" ContentType="application/vnd.openxmlformats-officedocument.spreadsheetml.table+xml"/>
  <Override PartName="/xl/tables/table20.xml" ContentType="application/vnd.openxmlformats-officedocument.spreadsheetml.table+xml"/>
  <Override PartName="/xl/comments13.xml" ContentType="application/vnd.openxmlformats-officedocument.spreadsheetml.comments+xml"/>
  <Override PartName="/xl/tables/table21.xml" ContentType="application/vnd.openxmlformats-officedocument.spreadsheetml.table+xml"/>
  <Override PartName="/xl/comments14.xml" ContentType="application/vnd.openxmlformats-officedocument.spreadsheetml.comments+xml"/>
  <Override PartName="/xl/tables/table22.xml" ContentType="application/vnd.openxmlformats-officedocument.spreadsheetml.table+xml"/>
  <Override PartName="/xl/tables/table23.xml" ContentType="application/vnd.openxmlformats-officedocument.spreadsheetml.table+xml"/>
  <Override PartName="/xl/comments15.xml" ContentType="application/vnd.openxmlformats-officedocument.spreadsheetml.comments+xml"/>
  <Override PartName="/xl/tables/table24.xml" ContentType="application/vnd.openxmlformats-officedocument.spreadsheetml.table+xml"/>
  <Override PartName="/xl/comments16.xml" ContentType="application/vnd.openxmlformats-officedocument.spreadsheetml.comments+xml"/>
  <Override PartName="/xl/tables/table25.xml" ContentType="application/vnd.openxmlformats-officedocument.spreadsheetml.table+xml"/>
  <Override PartName="/xl/tables/table26.xml" ContentType="application/vnd.openxmlformats-officedocument.spreadsheetml.table+xml"/>
  <Override PartName="/xl/comments17.xml" ContentType="application/vnd.openxmlformats-officedocument.spreadsheetml.comments+xml"/>
  <Override PartName="/xl/tables/table27.xml" ContentType="application/vnd.openxmlformats-officedocument.spreadsheetml.table+xml"/>
  <Override PartName="/xl/comments18.xml" ContentType="application/vnd.openxmlformats-officedocument.spreadsheetml.comments+xml"/>
  <Override PartName="/xl/tables/table28.xml" ContentType="application/vnd.openxmlformats-officedocument.spreadsheetml.table+xml"/>
  <Override PartName="/xl/tables/table29.xml" ContentType="application/vnd.openxmlformats-officedocument.spreadsheetml.table+xml"/>
  <Override PartName="/xl/comments19.xml" ContentType="application/vnd.openxmlformats-officedocument.spreadsheetml.comments+xml"/>
  <Override PartName="/xl/tables/table30.xml" ContentType="application/vnd.openxmlformats-officedocument.spreadsheetml.table+xml"/>
  <Override PartName="/xl/comments20.xml" ContentType="application/vnd.openxmlformats-officedocument.spreadsheetml.comments+xml"/>
  <Override PartName="/xl/tables/table31.xml" ContentType="application/vnd.openxmlformats-officedocument.spreadsheetml.table+xml"/>
  <Override PartName="/xl/tables/table32.xml" ContentType="application/vnd.openxmlformats-officedocument.spreadsheetml.table+xml"/>
  <Override PartName="/xl/comments21.xml" ContentType="application/vnd.openxmlformats-officedocument.spreadsheetml.comments+xml"/>
  <Override PartName="/xl/tables/table33.xml" ContentType="application/vnd.openxmlformats-officedocument.spreadsheetml.table+xml"/>
  <Override PartName="/xl/comments22.xml" ContentType="application/vnd.openxmlformats-officedocument.spreadsheetml.comments+xml"/>
  <Override PartName="/xl/tables/table34.xml" ContentType="application/vnd.openxmlformats-officedocument.spreadsheetml.table+xml"/>
  <Override PartName="/xl/tables/table35.xml" ContentType="application/vnd.openxmlformats-officedocument.spreadsheetml.table+xml"/>
  <Override PartName="/xl/comments23.xml" ContentType="application/vnd.openxmlformats-officedocument.spreadsheetml.comments+xml"/>
  <Override PartName="/xl/tables/table36.xml" ContentType="application/vnd.openxmlformats-officedocument.spreadsheetml.table+xml"/>
  <Override PartName="/xl/comments24.xml" ContentType="application/vnd.openxmlformats-officedocument.spreadsheetml.comments+xml"/>
  <Override PartName="/xl/tables/table37.xml" ContentType="application/vnd.openxmlformats-officedocument.spreadsheetml.table+xml"/>
  <Override PartName="/xl/tables/table38.xml" ContentType="application/vnd.openxmlformats-officedocument.spreadsheetml.table+xml"/>
  <Override PartName="/xl/comments25.xml" ContentType="application/vnd.openxmlformats-officedocument.spreadsheetml.comments+xml"/>
  <Override PartName="/xl/tables/table39.xml" ContentType="application/vnd.openxmlformats-officedocument.spreadsheetml.table+xml"/>
  <Override PartName="/xl/comments26.xml" ContentType="application/vnd.openxmlformats-officedocument.spreadsheetml.comments+xml"/>
  <Override PartName="/xl/tables/table40.xml" ContentType="application/vnd.openxmlformats-officedocument.spreadsheetml.table+xml"/>
  <Override PartName="/xl/tables/table41.xml" ContentType="application/vnd.openxmlformats-officedocument.spreadsheetml.table+xml"/>
  <Override PartName="/xl/comments27.xml" ContentType="application/vnd.openxmlformats-officedocument.spreadsheetml.comments+xml"/>
  <Override PartName="/xl/tables/table42.xml" ContentType="application/vnd.openxmlformats-officedocument.spreadsheetml.table+xml"/>
  <Override PartName="/xl/comments28.xml" ContentType="application/vnd.openxmlformats-officedocument.spreadsheetml.comments+xml"/>
  <Override PartName="/xl/tables/table43.xml" ContentType="application/vnd.openxmlformats-officedocument.spreadsheetml.table+xml"/>
  <Override PartName="/xl/tables/table44.xml" ContentType="application/vnd.openxmlformats-officedocument.spreadsheetml.table+xml"/>
  <Override PartName="/xl/comments29.xml" ContentType="application/vnd.openxmlformats-officedocument.spreadsheetml.comments+xml"/>
  <Override PartName="/xl/tables/table45.xml" ContentType="application/vnd.openxmlformats-officedocument.spreadsheetml.table+xml"/>
  <Override PartName="/xl/comments30.xml" ContentType="application/vnd.openxmlformats-officedocument.spreadsheetml.comments+xml"/>
  <Override PartName="/xl/tables/table46.xml" ContentType="application/vnd.openxmlformats-officedocument.spreadsheetml.table+xml"/>
  <Override PartName="/xl/tables/table47.xml" ContentType="application/vnd.openxmlformats-officedocument.spreadsheetml.table+xml"/>
  <Override PartName="/xl/comments31.xml" ContentType="application/vnd.openxmlformats-officedocument.spreadsheetml.comments+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comments32.xml" ContentType="application/vnd.openxmlformats-officedocument.spreadsheetml.comments+xml"/>
  <Override PartName="/xl/tables/table51.xml" ContentType="application/vnd.openxmlformats-officedocument.spreadsheetml.table+xml"/>
  <Override PartName="/xl/comments33.xml" ContentType="application/vnd.openxmlformats-officedocument.spreadsheetml.comments+xml"/>
  <Override PartName="/xl/tables/table52.xml" ContentType="application/vnd.openxmlformats-officedocument.spreadsheetml.table+xml"/>
  <Override PartName="/xl/tables/table53.xml" ContentType="application/vnd.openxmlformats-officedocument.spreadsheetml.table+xml"/>
  <Override PartName="/xl/comments34.xml" ContentType="application/vnd.openxmlformats-officedocument.spreadsheetml.comments+xml"/>
  <Override PartName="/xl/tables/table54.xml" ContentType="application/vnd.openxmlformats-officedocument.spreadsheetml.table+xml"/>
  <Override PartName="/xl/comments35.xml" ContentType="application/vnd.openxmlformats-officedocument.spreadsheetml.comments+xml"/>
  <Override PartName="/xl/tables/table55.xml" ContentType="application/vnd.openxmlformats-officedocument.spreadsheetml.table+xml"/>
  <Override PartName="/xl/tables/table56.xml" ContentType="application/vnd.openxmlformats-officedocument.spreadsheetml.table+xml"/>
  <Override PartName="/xl/comments36.xml" ContentType="application/vnd.openxmlformats-officedocument.spreadsheetml.comments+xml"/>
  <Override PartName="/xl/tables/table57.xml" ContentType="application/vnd.openxmlformats-officedocument.spreadsheetml.table+xml"/>
  <Override PartName="/xl/comments37.xml" ContentType="application/vnd.openxmlformats-officedocument.spreadsheetml.comments+xml"/>
  <Override PartName="/xl/tables/table58.xml" ContentType="application/vnd.openxmlformats-officedocument.spreadsheetml.table+xml"/>
  <Override PartName="/xl/tables/table59.xml" ContentType="application/vnd.openxmlformats-officedocument.spreadsheetml.table+xml"/>
  <Override PartName="/xl/comments38.xml" ContentType="application/vnd.openxmlformats-officedocument.spreadsheetml.comments+xml"/>
  <Override PartName="/xl/tables/table60.xml" ContentType="application/vnd.openxmlformats-officedocument.spreadsheetml.table+xml"/>
  <Override PartName="/xl/comments39.xml" ContentType="application/vnd.openxmlformats-officedocument.spreadsheetml.comments+xml"/>
  <Override PartName="/xl/tables/table61.xml" ContentType="application/vnd.openxmlformats-officedocument.spreadsheetml.table+xml"/>
  <Override PartName="/xl/tables/table6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CODERED\OUTPUTS\"/>
    </mc:Choice>
  </mc:AlternateContent>
  <xr:revisionPtr revIDLastSave="0" documentId="13_ncr:1_{212EF874-5163-461E-85A9-9F5A13DF71F4}" xr6:coauthVersionLast="47" xr6:coauthVersionMax="47" xr10:uidLastSave="{00000000-0000-0000-0000-000000000000}"/>
  <bookViews>
    <workbookView xWindow="-108" yWindow="-108" windowWidth="23256" windowHeight="12456" xr2:uid="{00000000-000D-0000-FFFF-FFFF00000000}"/>
  </bookViews>
  <sheets>
    <sheet name="MED-CAI" sheetId="1" r:id="rId1"/>
    <sheet name="MED-CAI LF LEGACY" sheetId="2" r:id="rId2"/>
    <sheet name="MED-CAI - FOCUS MODE" sheetId="3" r:id="rId3"/>
    <sheet name="MED-CAI - OAL Threats Alert" sheetId="4" r:id="rId4"/>
    <sheet name="MED-HBE" sheetId="5" r:id="rId5"/>
    <sheet name="MED-HBE LF LEGACY" sheetId="6" r:id="rId6"/>
    <sheet name="MED-HBE - FOCUS MODE" sheetId="7" r:id="rId7"/>
    <sheet name="MED-HBE - OAL Threats Alert" sheetId="8" r:id="rId8"/>
    <sheet name="MED-ATZ" sheetId="9" r:id="rId9"/>
    <sheet name="MED-ATZ LF LEGACY" sheetId="10" r:id="rId10"/>
    <sheet name="MED-ATZ - FOCUS MODE" sheetId="11" r:id="rId11"/>
    <sheet name="MED-ATZ - OAL Threats Alert" sheetId="12" r:id="rId12"/>
    <sheet name="JED-CAI" sheetId="13" r:id="rId13"/>
    <sheet name="JED-CAI LF LEGACY" sheetId="14" r:id="rId14"/>
    <sheet name="JED-CAI - FOCUS MODE" sheetId="15" r:id="rId15"/>
    <sheet name="JED-CAI - OAL Threats Alert" sheetId="16" r:id="rId16"/>
    <sheet name="JED-HBE" sheetId="17" r:id="rId17"/>
    <sheet name="JED-HBE LF LEGACY" sheetId="18" r:id="rId18"/>
    <sheet name="JED-HBE - FOCUS MODE" sheetId="19" r:id="rId19"/>
    <sheet name="JED-HBE - OAL Threats Alert" sheetId="20" r:id="rId20"/>
    <sheet name="JED-ATZ" sheetId="21" r:id="rId21"/>
    <sheet name="JED-ATZ LF LEGACY" sheetId="22" r:id="rId22"/>
    <sheet name="JED-ATZ - FOCUS MODE" sheetId="23" r:id="rId23"/>
    <sheet name="JED-ATZ - OAL Threats Alert" sheetId="24" r:id="rId24"/>
    <sheet name="JED-LXR" sheetId="25" r:id="rId25"/>
    <sheet name="JED-LXR LF LEGACY" sheetId="26" r:id="rId26"/>
    <sheet name="JED-LXR - FOCUS MODE" sheetId="27" r:id="rId27"/>
    <sheet name="JED-LXR - OAL Threats Alert" sheetId="28" r:id="rId28"/>
    <sheet name="JED-ASW" sheetId="29" r:id="rId29"/>
    <sheet name="JED-ASW LF LEGACY" sheetId="30" r:id="rId30"/>
    <sheet name="JED-ASW - FOCUS MODE" sheetId="31" r:id="rId31"/>
    <sheet name="JED-ASW - OAL Threats Alert" sheetId="32" r:id="rId32"/>
    <sheet name="JED-SSH" sheetId="33" r:id="rId33"/>
    <sheet name="JED-SSH LF LEGACY" sheetId="34" r:id="rId34"/>
    <sheet name="JED-SSH - FOCUS MODE" sheetId="35" r:id="rId35"/>
    <sheet name="JED-SSH - OAL Threats Alert" sheetId="36" r:id="rId36"/>
    <sheet name="JED-HRG" sheetId="37" r:id="rId37"/>
    <sheet name="JED-HRG LF LEGACY" sheetId="38" r:id="rId38"/>
    <sheet name="JED-HRG - FOCUS MODE" sheetId="39" r:id="rId39"/>
    <sheet name="JED-HRG - OAL Threats Alert" sheetId="40" r:id="rId40"/>
    <sheet name="RUH-CAI" sheetId="41" r:id="rId41"/>
    <sheet name="RUH-CAI LF LEGACY" sheetId="42" r:id="rId42"/>
    <sheet name="RUH-CAI - FOCUS MODE" sheetId="43" r:id="rId43"/>
    <sheet name="RUH-CAI - OAL Threats Alert" sheetId="44" r:id="rId44"/>
    <sheet name="RUH-ATZ" sheetId="45" r:id="rId45"/>
    <sheet name="RUH-ATZ LF LEGACY" sheetId="46" r:id="rId46"/>
    <sheet name="RUH-ATZ - FOCUS MODE" sheetId="47" r:id="rId47"/>
    <sheet name="RUH-ATZ - OAL Threats Alert" sheetId="48" r:id="rId48"/>
    <sheet name="DMM-CAI" sheetId="49" r:id="rId49"/>
    <sheet name="DMM-CAI LF LEGACY" sheetId="50" r:id="rId50"/>
    <sheet name="DMM-CAI - FOCUS MODE" sheetId="51" r:id="rId51"/>
    <sheet name="DMM-CAI - OAL Threats Alert" sheetId="52" r:id="rId52"/>
    <sheet name="DMM-ATZ" sheetId="53" r:id="rId53"/>
    <sheet name="DMM-ATZ LF LEGACY" sheetId="54" r:id="rId54"/>
    <sheet name="DMM-ATZ - FOCUS MODE" sheetId="55" r:id="rId55"/>
    <sheet name="DMM-ATZ - OAL Threats Alert" sheetId="56" r:id="rId56"/>
    <sheet name="TUU-CAI" sheetId="57" r:id="rId57"/>
    <sheet name="TUU-CAI LF LEGACY" sheetId="58" r:id="rId58"/>
    <sheet name="TUU-CAI - FOCUS MODE" sheetId="59" r:id="rId59"/>
    <sheet name="TUU-CAI - OAL Threats Alert" sheetId="60" r:id="rId60"/>
    <sheet name="TUU-ATZ" sheetId="61" r:id="rId61"/>
    <sheet name="TUU-ATZ LF LEGACY" sheetId="62" r:id="rId62"/>
    <sheet name="TUU-ATZ - FOCUS MODE" sheetId="63" r:id="rId63"/>
    <sheet name="TUU-ATZ - OAL Threats Alert" sheetId="64" r:id="rId64"/>
    <sheet name="AJF-CAI" sheetId="65" r:id="rId65"/>
    <sheet name="AJF-CAI LF LEGACY" sheetId="66" r:id="rId66"/>
    <sheet name="AJF-CAI - FOCUS MODE" sheetId="67" r:id="rId67"/>
    <sheet name="AJF-CAI - OAL Threats Alert" sheetId="68" r:id="rId68"/>
    <sheet name="AJF-ATZ" sheetId="69" r:id="rId69"/>
    <sheet name="AJF-ATZ LF LEGACY" sheetId="70" r:id="rId70"/>
    <sheet name="AJF-ATZ - FOCUS MODE" sheetId="71" r:id="rId71"/>
    <sheet name="AJF-ATZ - OAL Threats Alert" sheetId="72" r:id="rId72"/>
    <sheet name="YNB-CAI" sheetId="73" r:id="rId73"/>
    <sheet name="YNB-CAI LF LEGACY" sheetId="74" r:id="rId74"/>
    <sheet name="YNB-CAI - FOCUS MODE" sheetId="75" r:id="rId75"/>
    <sheet name="YNB-CAI - OAL Threats Alert" sheetId="76" r:id="rId76"/>
    <sheet name="AHB-CAI" sheetId="77" r:id="rId77"/>
    <sheet name="AHB-CAI LF LEGACY" sheetId="78" r:id="rId78"/>
    <sheet name="AHB-CAI - FOCUS MODE" sheetId="79" r:id="rId79"/>
    <sheet name="AHB-CAI - OAL Threats Alert" sheetId="80" r:id="rId80"/>
    <sheet name="AHB-ATZ" sheetId="81" r:id="rId81"/>
    <sheet name="AHB-ATZ LF LEGACY" sheetId="82" r:id="rId82"/>
    <sheet name="AHB-ATZ - FOCUS MODE" sheetId="83" r:id="rId83"/>
    <sheet name="AHB-ATZ - OAL Threats Alert" sheetId="84" r:id="rId84"/>
    <sheet name="ELQ-CAI" sheetId="85" r:id="rId85"/>
    <sheet name="ELQ-CAI LF LEGACY" sheetId="86" r:id="rId86"/>
    <sheet name="ELQ-CAI - FOCUS MODE" sheetId="87" r:id="rId87"/>
    <sheet name="ELQ-CAI - OAL Threats Alert" sheetId="88" r:id="rId88"/>
    <sheet name="ELQ-ATZ" sheetId="89" r:id="rId89"/>
    <sheet name="ELQ-ATZ LF LEGACY" sheetId="90" r:id="rId90"/>
    <sheet name="ELQ-ATZ - FOCUS MODE" sheetId="91" r:id="rId91"/>
    <sheet name="ELQ-ATZ - OAL Threats Alert" sheetId="92" r:id="rId92"/>
    <sheet name="GIZ-CAI" sheetId="93" r:id="rId93"/>
    <sheet name="GIZ-CAI LF LEGACY" sheetId="94" r:id="rId94"/>
    <sheet name="GIZ-CAI - FOCUS MODE" sheetId="95" r:id="rId95"/>
    <sheet name="GIZ-CAI - OAL Threats Alert" sheetId="96" r:id="rId96"/>
    <sheet name="SSH-JED" sheetId="97" r:id="rId97"/>
    <sheet name="SSH-JED LF LEGACY" sheetId="98" r:id="rId98"/>
    <sheet name="SSH-JED - FOCUS MODE" sheetId="99" r:id="rId99"/>
    <sheet name="SSH-JED - OAL Threats Alert" sheetId="100" r:id="rId100"/>
    <sheet name="HRG-JED" sheetId="101" r:id="rId101"/>
    <sheet name="HRG-JED LF LEGACY" sheetId="102" r:id="rId102"/>
    <sheet name="HRG-JED - FOCUS MODE" sheetId="103" r:id="rId103"/>
    <sheet name="HRG-JED - OAL Threats Alert" sheetId="104" r:id="rId10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4" i="94" l="1"/>
  <c r="E4" i="94"/>
  <c r="G4" i="94"/>
  <c r="H4" i="94"/>
  <c r="I4" i="94"/>
  <c r="J4" i="94"/>
  <c r="M4" i="94"/>
  <c r="N4" i="94"/>
  <c r="O4" i="94"/>
  <c r="Q4" i="94"/>
  <c r="R4" i="94"/>
  <c r="S4" i="94"/>
  <c r="T4" i="94"/>
  <c r="U4" i="94"/>
  <c r="V4" i="94"/>
  <c r="W4" i="94"/>
  <c r="X4" i="94"/>
  <c r="Y4" i="94"/>
  <c r="Z4" i="94"/>
  <c r="AA4" i="94"/>
  <c r="AB4" i="94"/>
  <c r="AC4" i="94"/>
  <c r="AD4" i="94"/>
  <c r="AE4" i="94"/>
  <c r="AF4" i="94"/>
  <c r="AG4" i="94"/>
  <c r="AH4" i="94"/>
  <c r="AI4" i="94"/>
  <c r="AJ4" i="94"/>
  <c r="C3" i="90"/>
  <c r="E3" i="90"/>
  <c r="G3" i="90"/>
  <c r="H3" i="90"/>
  <c r="I3" i="90"/>
  <c r="J3" i="90"/>
  <c r="M3" i="90"/>
  <c r="N3" i="90"/>
  <c r="O3" i="90"/>
  <c r="Q3" i="90"/>
  <c r="R3" i="90"/>
  <c r="S3" i="90"/>
  <c r="T3" i="90"/>
  <c r="U3" i="90"/>
  <c r="V3" i="90"/>
  <c r="W3" i="90"/>
  <c r="X3" i="90"/>
  <c r="Y3" i="90"/>
  <c r="Z3" i="90"/>
  <c r="AA3" i="90"/>
  <c r="AB3" i="90"/>
  <c r="AC3" i="90"/>
  <c r="AD3" i="90"/>
  <c r="AE3" i="90"/>
  <c r="AF3" i="90"/>
  <c r="AG3" i="90"/>
  <c r="AH3" i="90"/>
  <c r="AI3" i="90"/>
  <c r="AJ3" i="90"/>
  <c r="C4" i="86"/>
  <c r="E4" i="86"/>
  <c r="G4" i="86"/>
  <c r="H4" i="86"/>
  <c r="I4" i="86"/>
  <c r="J4" i="86"/>
  <c r="M4" i="86"/>
  <c r="N4" i="86"/>
  <c r="O4" i="86"/>
  <c r="Q4" i="86"/>
  <c r="R4" i="86"/>
  <c r="S4" i="86"/>
  <c r="T4" i="86"/>
  <c r="U4" i="86"/>
  <c r="V4" i="86"/>
  <c r="W4" i="86"/>
  <c r="X4" i="86"/>
  <c r="Y4" i="86"/>
  <c r="Z4" i="86"/>
  <c r="AA4" i="86"/>
  <c r="AB4" i="86"/>
  <c r="AC4" i="86"/>
  <c r="AD4" i="86"/>
  <c r="AE4" i="86"/>
  <c r="AF4" i="86"/>
  <c r="AG4" i="86"/>
  <c r="AH4" i="86"/>
  <c r="AI4" i="86"/>
  <c r="AJ4" i="86"/>
  <c r="C3" i="82"/>
  <c r="E3" i="82"/>
  <c r="G3" i="82"/>
  <c r="H3" i="82"/>
  <c r="I3" i="82"/>
  <c r="J3" i="82"/>
  <c r="M3" i="82"/>
  <c r="N3" i="82"/>
  <c r="O3" i="82"/>
  <c r="Q3" i="82"/>
  <c r="R3" i="82"/>
  <c r="S3" i="82"/>
  <c r="T3" i="82"/>
  <c r="U3" i="82"/>
  <c r="V3" i="82"/>
  <c r="W3" i="82"/>
  <c r="X3" i="82"/>
  <c r="Y3" i="82"/>
  <c r="Z3" i="82"/>
  <c r="AA3" i="82"/>
  <c r="AB3" i="82"/>
  <c r="AC3" i="82"/>
  <c r="AD3" i="82"/>
  <c r="AE3" i="82"/>
  <c r="AF3" i="82"/>
  <c r="AG3" i="82"/>
  <c r="AH3" i="82"/>
  <c r="AI3" i="82"/>
  <c r="AJ3" i="82"/>
  <c r="C4" i="78"/>
  <c r="E4" i="78"/>
  <c r="G4" i="78"/>
  <c r="H4" i="78"/>
  <c r="I4" i="78"/>
  <c r="J4" i="78"/>
  <c r="M4" i="78"/>
  <c r="N4" i="78"/>
  <c r="O4" i="78"/>
  <c r="Q4" i="78"/>
  <c r="R4" i="78"/>
  <c r="S4" i="78"/>
  <c r="T4" i="78"/>
  <c r="U4" i="78"/>
  <c r="V4" i="78"/>
  <c r="W4" i="78"/>
  <c r="X4" i="78"/>
  <c r="Y4" i="78"/>
  <c r="Z4" i="78"/>
  <c r="AA4" i="78"/>
  <c r="AB4" i="78"/>
  <c r="AC4" i="78"/>
  <c r="AD4" i="78"/>
  <c r="AE4" i="78"/>
  <c r="AF4" i="78"/>
  <c r="AG4" i="78"/>
  <c r="AH4" i="78"/>
  <c r="AI4" i="78"/>
  <c r="AJ4" i="78"/>
  <c r="C5" i="74"/>
  <c r="E5" i="74"/>
  <c r="G5" i="74"/>
  <c r="H5" i="74"/>
  <c r="I5" i="74"/>
  <c r="J5" i="74"/>
  <c r="M5" i="74"/>
  <c r="N5" i="74"/>
  <c r="O5" i="74"/>
  <c r="Q5" i="74"/>
  <c r="R5" i="74"/>
  <c r="S5" i="74"/>
  <c r="T5" i="74"/>
  <c r="U5" i="74"/>
  <c r="V5" i="74"/>
  <c r="W5" i="74"/>
  <c r="X5" i="74"/>
  <c r="Y5" i="74"/>
  <c r="Z5" i="74"/>
  <c r="AA5" i="74"/>
  <c r="AB5" i="74"/>
  <c r="AC5" i="74"/>
  <c r="AD5" i="74"/>
  <c r="AE5" i="74"/>
  <c r="AF5" i="74"/>
  <c r="AG5" i="74"/>
  <c r="AH5" i="74"/>
  <c r="AI5" i="74"/>
  <c r="AJ5" i="74"/>
  <c r="C3" i="70"/>
  <c r="E3" i="70"/>
  <c r="G3" i="70"/>
  <c r="H3" i="70"/>
  <c r="I3" i="70"/>
  <c r="J3" i="70"/>
  <c r="M3" i="70"/>
  <c r="N3" i="70"/>
  <c r="O3" i="70"/>
  <c r="Q3" i="70"/>
  <c r="R3" i="70"/>
  <c r="S3" i="70"/>
  <c r="T3" i="70"/>
  <c r="U3" i="70"/>
  <c r="V3" i="70"/>
  <c r="W3" i="70"/>
  <c r="X3" i="70"/>
  <c r="Y3" i="70"/>
  <c r="Z3" i="70"/>
  <c r="AA3" i="70"/>
  <c r="AB3" i="70"/>
  <c r="AC3" i="70"/>
  <c r="AD3" i="70"/>
  <c r="AE3" i="70"/>
  <c r="AF3" i="70"/>
  <c r="AG3" i="70"/>
  <c r="AH3" i="70"/>
  <c r="AI3" i="70"/>
  <c r="AJ3" i="70"/>
  <c r="C3" i="66"/>
  <c r="E3" i="66"/>
  <c r="G3" i="66"/>
  <c r="H3" i="66"/>
  <c r="I3" i="66"/>
  <c r="J3" i="66"/>
  <c r="M3" i="66"/>
  <c r="N3" i="66"/>
  <c r="O3" i="66"/>
  <c r="Q3" i="66"/>
  <c r="R3" i="66"/>
  <c r="S3" i="66"/>
  <c r="T3" i="66"/>
  <c r="U3" i="66"/>
  <c r="V3" i="66"/>
  <c r="W3" i="66"/>
  <c r="X3" i="66"/>
  <c r="Y3" i="66"/>
  <c r="Z3" i="66"/>
  <c r="AA3" i="66"/>
  <c r="AB3" i="66"/>
  <c r="AC3" i="66"/>
  <c r="AD3" i="66"/>
  <c r="AE3" i="66"/>
  <c r="AF3" i="66"/>
  <c r="AG3" i="66"/>
  <c r="AH3" i="66"/>
  <c r="AI3" i="66"/>
  <c r="AJ3" i="66"/>
  <c r="C3" i="62"/>
  <c r="E3" i="62"/>
  <c r="G3" i="62"/>
  <c r="H3" i="62"/>
  <c r="I3" i="62"/>
  <c r="J3" i="62"/>
  <c r="M3" i="62"/>
  <c r="N3" i="62"/>
  <c r="O3" i="62"/>
  <c r="Q3" i="62"/>
  <c r="R3" i="62"/>
  <c r="S3" i="62"/>
  <c r="T3" i="62"/>
  <c r="U3" i="62"/>
  <c r="V3" i="62"/>
  <c r="W3" i="62"/>
  <c r="X3" i="62"/>
  <c r="Y3" i="62"/>
  <c r="Z3" i="62"/>
  <c r="AA3" i="62"/>
  <c r="AB3" i="62"/>
  <c r="AC3" i="62"/>
  <c r="AD3" i="62"/>
  <c r="AE3" i="62"/>
  <c r="AF3" i="62"/>
  <c r="AG3" i="62"/>
  <c r="AH3" i="62"/>
  <c r="AI3" i="62"/>
  <c r="AJ3" i="62"/>
  <c r="C3" i="58"/>
  <c r="E3" i="58"/>
  <c r="G3" i="58"/>
  <c r="H3" i="58"/>
  <c r="I3" i="58"/>
  <c r="J3" i="58"/>
  <c r="M3" i="58"/>
  <c r="N3" i="58"/>
  <c r="O3" i="58"/>
  <c r="Q3" i="58"/>
  <c r="R3" i="58"/>
  <c r="S3" i="58"/>
  <c r="T3" i="58"/>
  <c r="U3" i="58"/>
  <c r="V3" i="58"/>
  <c r="W3" i="58"/>
  <c r="X3" i="58"/>
  <c r="Y3" i="58"/>
  <c r="Z3" i="58"/>
  <c r="AA3" i="58"/>
  <c r="AB3" i="58"/>
  <c r="AC3" i="58"/>
  <c r="AD3" i="58"/>
  <c r="AE3" i="58"/>
  <c r="AF3" i="58"/>
  <c r="AG3" i="58"/>
  <c r="AH3" i="58"/>
  <c r="AI3" i="58"/>
  <c r="AJ3" i="58"/>
  <c r="C3" i="54"/>
  <c r="E3" i="54"/>
  <c r="G3" i="54"/>
  <c r="H3" i="54"/>
  <c r="I3" i="54"/>
  <c r="J3" i="54"/>
  <c r="M3" i="54"/>
  <c r="N3" i="54"/>
  <c r="O3" i="54"/>
  <c r="Q3" i="54"/>
  <c r="R3" i="54"/>
  <c r="S3" i="54"/>
  <c r="T3" i="54"/>
  <c r="U3" i="54"/>
  <c r="V3" i="54"/>
  <c r="W3" i="54"/>
  <c r="X3" i="54"/>
  <c r="Y3" i="54"/>
  <c r="Z3" i="54"/>
  <c r="AA3" i="54"/>
  <c r="AB3" i="54"/>
  <c r="AC3" i="54"/>
  <c r="AD3" i="54"/>
  <c r="AE3" i="54"/>
  <c r="AF3" i="54"/>
  <c r="AG3" i="54"/>
  <c r="AH3" i="54"/>
  <c r="AI3" i="54"/>
  <c r="AJ3" i="54"/>
  <c r="C4" i="50"/>
  <c r="E4" i="50"/>
  <c r="G4" i="50"/>
  <c r="H4" i="50"/>
  <c r="I4" i="50"/>
  <c r="J4" i="50"/>
  <c r="M4" i="50"/>
  <c r="N4" i="50"/>
  <c r="O4" i="50"/>
  <c r="Q4" i="50"/>
  <c r="R4" i="50"/>
  <c r="S4" i="50"/>
  <c r="T4" i="50"/>
  <c r="U4" i="50"/>
  <c r="V4" i="50"/>
  <c r="W4" i="50"/>
  <c r="X4" i="50"/>
  <c r="Y4" i="50"/>
  <c r="Z4" i="50"/>
  <c r="AA4" i="50"/>
  <c r="AB4" i="50"/>
  <c r="AC4" i="50"/>
  <c r="AD4" i="50"/>
  <c r="AE4" i="50"/>
  <c r="AF4" i="50"/>
  <c r="AG4" i="50"/>
  <c r="AH4" i="50"/>
  <c r="AI4" i="50"/>
  <c r="AJ4" i="50"/>
  <c r="C3" i="46"/>
  <c r="E3" i="46"/>
  <c r="G3" i="46"/>
  <c r="H3" i="46"/>
  <c r="I3" i="46"/>
  <c r="J3" i="46"/>
  <c r="M3" i="46"/>
  <c r="N3" i="46"/>
  <c r="O3" i="46"/>
  <c r="Q3" i="46"/>
  <c r="R3" i="46"/>
  <c r="S3" i="46"/>
  <c r="T3" i="46"/>
  <c r="U3" i="46"/>
  <c r="V3" i="46"/>
  <c r="W3" i="46"/>
  <c r="X3" i="46"/>
  <c r="Y3" i="46"/>
  <c r="Z3" i="46"/>
  <c r="AA3" i="46"/>
  <c r="AB3" i="46"/>
  <c r="AC3" i="46"/>
  <c r="AD3" i="46"/>
  <c r="AE3" i="46"/>
  <c r="AF3" i="46"/>
  <c r="AG3" i="46"/>
  <c r="AH3" i="46"/>
  <c r="AI3" i="46"/>
  <c r="AJ3" i="46"/>
  <c r="C6" i="42"/>
  <c r="E6" i="42"/>
  <c r="G6" i="42"/>
  <c r="H6" i="42"/>
  <c r="I6" i="42"/>
  <c r="J6" i="42"/>
  <c r="M6" i="42"/>
  <c r="N6" i="42"/>
  <c r="O6" i="42"/>
  <c r="Q6" i="42"/>
  <c r="R6" i="42"/>
  <c r="S6" i="42"/>
  <c r="T6" i="42"/>
  <c r="U6" i="42"/>
  <c r="V6" i="42"/>
  <c r="W6" i="42"/>
  <c r="X6" i="42"/>
  <c r="Y6" i="42"/>
  <c r="Z6" i="42"/>
  <c r="AA6" i="42"/>
  <c r="AB6" i="42"/>
  <c r="AC6" i="42"/>
  <c r="AD6" i="42"/>
  <c r="AE6" i="42"/>
  <c r="AF6" i="42"/>
  <c r="AG6" i="42"/>
  <c r="AH6" i="42"/>
  <c r="AI6" i="42"/>
  <c r="AJ6" i="42"/>
  <c r="C7" i="22"/>
  <c r="E7" i="22"/>
  <c r="G7" i="22"/>
  <c r="H7" i="22"/>
  <c r="I7" i="22"/>
  <c r="J7" i="22"/>
  <c r="M7" i="22"/>
  <c r="N7" i="22"/>
  <c r="O7" i="22"/>
  <c r="Q7" i="22"/>
  <c r="R7" i="22"/>
  <c r="S7" i="22"/>
  <c r="T7" i="22"/>
  <c r="U7" i="22"/>
  <c r="V7" i="22"/>
  <c r="W7" i="22"/>
  <c r="X7" i="22"/>
  <c r="Y7" i="22"/>
  <c r="Z7" i="22"/>
  <c r="AA7" i="22"/>
  <c r="AB7" i="22"/>
  <c r="AC7" i="22"/>
  <c r="AD7" i="22"/>
  <c r="AE7" i="22"/>
  <c r="AF7" i="22"/>
  <c r="AG7" i="22"/>
  <c r="AH7" i="22"/>
  <c r="AI7" i="22"/>
  <c r="AJ7" i="22"/>
  <c r="C7" i="18"/>
  <c r="E7" i="18"/>
  <c r="G7" i="18"/>
  <c r="H7" i="18"/>
  <c r="I7" i="18"/>
  <c r="J7" i="18"/>
  <c r="M7" i="18"/>
  <c r="N7" i="18"/>
  <c r="O7" i="18"/>
  <c r="Q7" i="18"/>
  <c r="R7" i="18"/>
  <c r="S7" i="18"/>
  <c r="T7" i="18"/>
  <c r="U7" i="18"/>
  <c r="V7" i="18"/>
  <c r="W7" i="18"/>
  <c r="X7" i="18"/>
  <c r="Y7" i="18"/>
  <c r="Z7" i="18"/>
  <c r="AA7" i="18"/>
  <c r="AB7" i="18"/>
  <c r="AC7" i="18"/>
  <c r="AD7" i="18"/>
  <c r="AE7" i="18"/>
  <c r="AF7" i="18"/>
  <c r="AG7" i="18"/>
  <c r="AH7" i="18"/>
  <c r="AI7" i="18"/>
  <c r="AJ7" i="18"/>
  <c r="C16" i="14"/>
  <c r="E16" i="14"/>
  <c r="G16" i="14"/>
  <c r="H16" i="14"/>
  <c r="I16" i="14"/>
  <c r="J16" i="14"/>
  <c r="M16" i="14"/>
  <c r="N16" i="14"/>
  <c r="O16" i="14"/>
  <c r="Q16" i="14"/>
  <c r="R16" i="14"/>
  <c r="S16" i="14"/>
  <c r="T16" i="14"/>
  <c r="U16" i="14"/>
  <c r="V16" i="14"/>
  <c r="W16" i="14"/>
  <c r="X16" i="14"/>
  <c r="Y16" i="14"/>
  <c r="Z16" i="14"/>
  <c r="AA16" i="14"/>
  <c r="AB16" i="14"/>
  <c r="AC16" i="14"/>
  <c r="AD16" i="14"/>
  <c r="AE16" i="14"/>
  <c r="AF16" i="14"/>
  <c r="AG16" i="14"/>
  <c r="AH16" i="14"/>
  <c r="AI16" i="14"/>
  <c r="AJ16" i="14"/>
  <c r="C3" i="10"/>
  <c r="E3" i="10"/>
  <c r="G3" i="10"/>
  <c r="H3" i="10"/>
  <c r="I3" i="10"/>
  <c r="J3" i="10"/>
  <c r="M3" i="10"/>
  <c r="N3" i="10"/>
  <c r="O3" i="10"/>
  <c r="Q3" i="10"/>
  <c r="R3" i="10"/>
  <c r="S3" i="10"/>
  <c r="T3" i="10"/>
  <c r="U3" i="10"/>
  <c r="V3" i="10"/>
  <c r="W3" i="10"/>
  <c r="X3" i="10"/>
  <c r="Y3" i="10"/>
  <c r="Z3" i="10"/>
  <c r="AA3" i="10"/>
  <c r="AB3" i="10"/>
  <c r="AC3" i="10"/>
  <c r="AD3" i="10"/>
  <c r="AE3" i="10"/>
  <c r="AF3" i="10"/>
  <c r="AG3" i="10"/>
  <c r="AH3" i="10"/>
  <c r="AI3" i="10"/>
  <c r="AJ3" i="10"/>
  <c r="C3" i="6"/>
  <c r="E3" i="6"/>
  <c r="G3" i="6"/>
  <c r="H3" i="6"/>
  <c r="I3" i="6"/>
  <c r="J3" i="6"/>
  <c r="M3" i="6"/>
  <c r="N3" i="6"/>
  <c r="O3" i="6"/>
  <c r="Q3" i="6"/>
  <c r="R3" i="6"/>
  <c r="S3" i="6"/>
  <c r="T3" i="6"/>
  <c r="U3" i="6"/>
  <c r="V3" i="6"/>
  <c r="W3" i="6"/>
  <c r="X3" i="6"/>
  <c r="Y3" i="6"/>
  <c r="Z3" i="6"/>
  <c r="AA3" i="6"/>
  <c r="AB3" i="6"/>
  <c r="AC3" i="6"/>
  <c r="AD3" i="6"/>
  <c r="AE3" i="6"/>
  <c r="AF3" i="6"/>
  <c r="AG3" i="6"/>
  <c r="AH3" i="6"/>
  <c r="AI3" i="6"/>
  <c r="AJ3" i="6"/>
  <c r="C4" i="2"/>
  <c r="E4" i="2"/>
  <c r="G4" i="2"/>
  <c r="H4" i="2"/>
  <c r="I4" i="2"/>
  <c r="J4" i="2"/>
  <c r="M4" i="2"/>
  <c r="N4" i="2"/>
  <c r="O4" i="2"/>
  <c r="Q4" i="2"/>
  <c r="R4" i="2"/>
  <c r="S4" i="2"/>
  <c r="T4" i="2"/>
  <c r="U4" i="2"/>
  <c r="V4" i="2"/>
  <c r="W4" i="2"/>
  <c r="X4" i="2"/>
  <c r="Y4" i="2"/>
  <c r="Z4" i="2"/>
  <c r="AA4" i="2"/>
  <c r="AB4" i="2"/>
  <c r="AC4" i="2"/>
  <c r="AD4" i="2"/>
  <c r="AE4" i="2"/>
  <c r="AF4" i="2"/>
  <c r="AG4" i="2"/>
  <c r="AH4" i="2"/>
  <c r="AI4" i="2"/>
  <c r="AJ4"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35" authorId="0" shapeId="0" xr:uid="{706B61AE-D556-4017-9954-371BF8FF4561}">
      <text>
        <r>
          <rPr>
            <b/>
            <sz val="8.5"/>
            <color indexed="8"/>
            <rFont val="Calibri"/>
            <family val="2"/>
          </rPr>
          <t xml:space="preserve">-{ </t>
        </r>
        <r>
          <rPr>
            <b/>
            <sz val="10"/>
            <color indexed="10"/>
            <rFont val="Calibri"/>
            <family val="2"/>
          </rPr>
          <t>SM494</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13-NOV]_x000D_
_x000D_
{</t>
        </r>
        <r>
          <rPr>
            <b/>
            <sz val="8.5"/>
            <color indexed="10"/>
            <rFont val="Calibri"/>
            <family val="2"/>
          </rPr>
          <t>CLASSES</t>
        </r>
        <r>
          <rPr>
            <b/>
            <sz val="8.5"/>
            <color indexed="8"/>
            <rFont val="Calibri"/>
            <family val="2"/>
          </rPr>
          <t>}_x000D_
_x000D_
Q4 &amp; T3 &amp; X5 &amp; U9 &amp; O7 &amp; I17 &amp; P130 &amp; N4</t>
        </r>
      </text>
    </comment>
    <comment ref="B35" authorId="0" shapeId="0" xr:uid="{B8B0F725-AB9C-4B32-A09B-785FDA849964}">
      <text>
        <r>
          <rPr>
            <b/>
            <sz val="8.5"/>
            <color indexed="8"/>
            <rFont val="Calibri"/>
            <family val="2"/>
          </rPr>
          <t xml:space="preserve">-{ </t>
        </r>
        <r>
          <rPr>
            <b/>
            <sz val="10"/>
            <color indexed="10"/>
            <rFont val="Calibri"/>
            <family val="2"/>
          </rPr>
          <t>SM494</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13-NOV]_x000D_
_x000D_
{</t>
        </r>
        <r>
          <rPr>
            <b/>
            <sz val="8.5"/>
            <color indexed="10"/>
            <rFont val="Calibri"/>
            <family val="2"/>
          </rPr>
          <t>CLASSES</t>
        </r>
        <r>
          <rPr>
            <b/>
            <sz val="8.5"/>
            <color indexed="8"/>
            <rFont val="Calibri"/>
            <family val="2"/>
          </rPr>
          <t>}_x000D_
_x000D_
Q4 &amp; T3 &amp; X5 &amp; U9 &amp; O7 &amp; I17 &amp; P130 &amp; N4</t>
        </r>
      </text>
    </comment>
    <comment ref="C35" authorId="0" shapeId="0" xr:uid="{ABFEB7F4-8D99-4643-8239-82A056351240}">
      <text>
        <r>
          <rPr>
            <b/>
            <sz val="8.5"/>
            <color indexed="8"/>
            <rFont val="Calibri"/>
            <family val="2"/>
          </rPr>
          <t xml:space="preserve">-{ </t>
        </r>
        <r>
          <rPr>
            <b/>
            <sz val="10"/>
            <color indexed="10"/>
            <rFont val="Calibri"/>
            <family val="2"/>
          </rPr>
          <t>SM494</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13-NOV]_x000D_
_x000D_
{</t>
        </r>
        <r>
          <rPr>
            <b/>
            <sz val="8.5"/>
            <color indexed="10"/>
            <rFont val="Calibri"/>
            <family val="2"/>
          </rPr>
          <t>CLASSES</t>
        </r>
        <r>
          <rPr>
            <b/>
            <sz val="8.5"/>
            <color indexed="8"/>
            <rFont val="Calibri"/>
            <family val="2"/>
          </rPr>
          <t>}_x000D_
_x000D_
Q4 &amp; T3 &amp; X5 &amp; U9 &amp; O7 &amp; I17 &amp; P130 &amp; N4</t>
        </r>
      </text>
    </comment>
    <comment ref="D35" authorId="0" shapeId="0" xr:uid="{352D2485-99DE-4CC0-A938-51E1498710EC}">
      <text>
        <r>
          <rPr>
            <b/>
            <sz val="8.5"/>
            <color indexed="8"/>
            <rFont val="Calibri"/>
            <family val="2"/>
          </rPr>
          <t xml:space="preserve">-{ </t>
        </r>
        <r>
          <rPr>
            <b/>
            <sz val="10"/>
            <color indexed="10"/>
            <rFont val="Calibri"/>
            <family val="2"/>
          </rPr>
          <t>SM494</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13-NOV]_x000D_
_x000D_
{</t>
        </r>
        <r>
          <rPr>
            <b/>
            <sz val="8.5"/>
            <color indexed="10"/>
            <rFont val="Calibri"/>
            <family val="2"/>
          </rPr>
          <t>CLASSES</t>
        </r>
        <r>
          <rPr>
            <b/>
            <sz val="8.5"/>
            <color indexed="8"/>
            <rFont val="Calibri"/>
            <family val="2"/>
          </rPr>
          <t>}_x000D_
_x000D_
Q4 &amp; T3 &amp; X5 &amp; U9 &amp; O7 &amp; I17 &amp; P130 &amp; N4</t>
        </r>
      </text>
    </comment>
    <comment ref="E35" authorId="0" shapeId="0" xr:uid="{86F33611-FE3D-4DBA-B0DB-9DB041A14945}">
      <text>
        <r>
          <rPr>
            <b/>
            <sz val="8.5"/>
            <color indexed="8"/>
            <rFont val="Calibri"/>
            <family val="2"/>
          </rPr>
          <t xml:space="preserve">-{ </t>
        </r>
        <r>
          <rPr>
            <b/>
            <sz val="10"/>
            <color indexed="10"/>
            <rFont val="Calibri"/>
            <family val="2"/>
          </rPr>
          <t>SM494</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13-NOV]_x000D_
_x000D_
{</t>
        </r>
        <r>
          <rPr>
            <b/>
            <sz val="8.5"/>
            <color indexed="10"/>
            <rFont val="Calibri"/>
            <family val="2"/>
          </rPr>
          <t>CLASSES</t>
        </r>
        <r>
          <rPr>
            <b/>
            <sz val="8.5"/>
            <color indexed="8"/>
            <rFont val="Calibri"/>
            <family val="2"/>
          </rPr>
          <t>}_x000D_
_x000D_
Q4 &amp; T3 &amp; X5 &amp; U9 &amp; O7 &amp; I17 &amp; P130 &amp; N4</t>
        </r>
      </text>
    </comment>
    <comment ref="F35" authorId="0" shapeId="0" xr:uid="{E74A0E50-E8A2-4DB7-81E1-162991988F8A}">
      <text>
        <r>
          <rPr>
            <b/>
            <sz val="8.5"/>
            <color indexed="8"/>
            <rFont val="Calibri"/>
            <family val="2"/>
          </rPr>
          <t xml:space="preserve">-{ </t>
        </r>
        <r>
          <rPr>
            <b/>
            <sz val="10"/>
            <color indexed="10"/>
            <rFont val="Calibri"/>
            <family val="2"/>
          </rPr>
          <t>SM494</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13-NOV]_x000D_
_x000D_
{</t>
        </r>
        <r>
          <rPr>
            <b/>
            <sz val="8.5"/>
            <color indexed="10"/>
            <rFont val="Calibri"/>
            <family val="2"/>
          </rPr>
          <t>CLASSES</t>
        </r>
        <r>
          <rPr>
            <b/>
            <sz val="8.5"/>
            <color indexed="8"/>
            <rFont val="Calibri"/>
            <family val="2"/>
          </rPr>
          <t>}_x000D_
_x000D_
Q4 &amp; T3 &amp; X5 &amp; U9 &amp; O7 &amp; I17 &amp; P130 &amp; N4</t>
        </r>
      </text>
    </comment>
    <comment ref="G35" authorId="0" shapeId="0" xr:uid="{865D61DE-E77A-4C54-8B7C-475AF7BC12E7}">
      <text>
        <r>
          <rPr>
            <b/>
            <sz val="8.5"/>
            <color indexed="8"/>
            <rFont val="Calibri"/>
            <family val="2"/>
          </rPr>
          <t xml:space="preserve">-{ </t>
        </r>
        <r>
          <rPr>
            <b/>
            <sz val="10"/>
            <color indexed="10"/>
            <rFont val="Calibri"/>
            <family val="2"/>
          </rPr>
          <t>SM494</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13-NOV]_x000D_
_x000D_
{</t>
        </r>
        <r>
          <rPr>
            <b/>
            <sz val="8.5"/>
            <color indexed="10"/>
            <rFont val="Calibri"/>
            <family val="2"/>
          </rPr>
          <t>CLASSES</t>
        </r>
        <r>
          <rPr>
            <b/>
            <sz val="8.5"/>
            <color indexed="8"/>
            <rFont val="Calibri"/>
            <family val="2"/>
          </rPr>
          <t>}_x000D_
_x000D_
Q4 &amp; T3 &amp; X5 &amp; U9 &amp; O7 &amp; I17 &amp; P130 &amp; N4</t>
        </r>
      </text>
    </comment>
    <comment ref="H35" authorId="0" shapeId="0" xr:uid="{BEBAC7F2-CAFF-4FE1-BBB4-AE08ED32AB87}">
      <text>
        <r>
          <rPr>
            <b/>
            <sz val="8.5"/>
            <color indexed="8"/>
            <rFont val="Calibri"/>
            <family val="2"/>
          </rPr>
          <t xml:space="preserve">-{ </t>
        </r>
        <r>
          <rPr>
            <b/>
            <sz val="10"/>
            <color indexed="10"/>
            <rFont val="Calibri"/>
            <family val="2"/>
          </rPr>
          <t>SM494</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13-NOV]_x000D_
_x000D_
{</t>
        </r>
        <r>
          <rPr>
            <b/>
            <sz val="8.5"/>
            <color indexed="10"/>
            <rFont val="Calibri"/>
            <family val="2"/>
          </rPr>
          <t>CLASSES</t>
        </r>
        <r>
          <rPr>
            <b/>
            <sz val="8.5"/>
            <color indexed="8"/>
            <rFont val="Calibri"/>
            <family val="2"/>
          </rPr>
          <t>}_x000D_
_x000D_
Q4 &amp; T3 &amp; X5 &amp; U9 &amp; O7 &amp; I17 &amp; P130 &amp; N4</t>
        </r>
      </text>
    </comment>
    <comment ref="A50" authorId="0" shapeId="0" xr:uid="{58941E78-CFBC-4F37-A2C1-29852A2716EC}">
      <text>
        <r>
          <rPr>
            <b/>
            <sz val="8.5"/>
            <color indexed="8"/>
            <rFont val="Calibri"/>
            <family val="2"/>
          </rPr>
          <t xml:space="preserve">-{ </t>
        </r>
        <r>
          <rPr>
            <b/>
            <sz val="10"/>
            <color indexed="10"/>
            <rFont val="Calibri"/>
            <family val="2"/>
          </rPr>
          <t>SM494</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K6 &amp; G10 &amp; S21 &amp; T5 &amp; X11 &amp; U8 &amp; O9 &amp; I17 &amp; P86 &amp; N6</t>
        </r>
      </text>
    </comment>
    <comment ref="B50" authorId="0" shapeId="0" xr:uid="{8D3E1BE0-3B57-443C-AFDC-564EA0854C77}">
      <text>
        <r>
          <rPr>
            <b/>
            <sz val="8.5"/>
            <color indexed="8"/>
            <rFont val="Calibri"/>
            <family val="2"/>
          </rPr>
          <t xml:space="preserve">-{ </t>
        </r>
        <r>
          <rPr>
            <b/>
            <sz val="10"/>
            <color indexed="10"/>
            <rFont val="Calibri"/>
            <family val="2"/>
          </rPr>
          <t>SM494</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K6 &amp; G10 &amp; S21 &amp; T5 &amp; X11 &amp; U8 &amp; O9 &amp; I17 &amp; P86 &amp; N6</t>
        </r>
      </text>
    </comment>
    <comment ref="C50" authorId="0" shapeId="0" xr:uid="{4A92E13D-DDEA-48E1-A804-A062753F54BE}">
      <text>
        <r>
          <rPr>
            <b/>
            <sz val="8.5"/>
            <color indexed="8"/>
            <rFont val="Calibri"/>
            <family val="2"/>
          </rPr>
          <t xml:space="preserve">-{ </t>
        </r>
        <r>
          <rPr>
            <b/>
            <sz val="10"/>
            <color indexed="10"/>
            <rFont val="Calibri"/>
            <family val="2"/>
          </rPr>
          <t>SM494</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K6 &amp; G10 &amp; S21 &amp; T5 &amp; X11 &amp; U8 &amp; O9 &amp; I17 &amp; P86 &amp; N6</t>
        </r>
      </text>
    </comment>
    <comment ref="D50" authorId="0" shapeId="0" xr:uid="{74DDCE9F-AF59-4AC5-A864-BA37C7CCBFFE}">
      <text>
        <r>
          <rPr>
            <b/>
            <sz val="8.5"/>
            <color indexed="8"/>
            <rFont val="Calibri"/>
            <family val="2"/>
          </rPr>
          <t xml:space="preserve">-{ </t>
        </r>
        <r>
          <rPr>
            <b/>
            <sz val="10"/>
            <color indexed="10"/>
            <rFont val="Calibri"/>
            <family val="2"/>
          </rPr>
          <t>SM494</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K6 &amp; G10 &amp; S21 &amp; T5 &amp; X11 &amp; U8 &amp; O9 &amp; I17 &amp; P86 &amp; N6</t>
        </r>
      </text>
    </comment>
    <comment ref="E50" authorId="0" shapeId="0" xr:uid="{D53C776E-20A4-4C25-AD13-307905F5DA04}">
      <text>
        <r>
          <rPr>
            <b/>
            <sz val="8.5"/>
            <color indexed="8"/>
            <rFont val="Calibri"/>
            <family val="2"/>
          </rPr>
          <t xml:space="preserve">-{ </t>
        </r>
        <r>
          <rPr>
            <b/>
            <sz val="10"/>
            <color indexed="10"/>
            <rFont val="Calibri"/>
            <family val="2"/>
          </rPr>
          <t>SM494</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K6 &amp; G10 &amp; S21 &amp; T5 &amp; X11 &amp; U8 &amp; O9 &amp; I17 &amp; P86 &amp; N6</t>
        </r>
      </text>
    </comment>
    <comment ref="F50" authorId="0" shapeId="0" xr:uid="{14B31814-8AE6-4A52-A769-828B51C77145}">
      <text>
        <r>
          <rPr>
            <b/>
            <sz val="8.5"/>
            <color indexed="8"/>
            <rFont val="Calibri"/>
            <family val="2"/>
          </rPr>
          <t xml:space="preserve">-{ </t>
        </r>
        <r>
          <rPr>
            <b/>
            <sz val="10"/>
            <color indexed="10"/>
            <rFont val="Calibri"/>
            <family val="2"/>
          </rPr>
          <t>SM494</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K6 &amp; G10 &amp; S21 &amp; T5 &amp; X11 &amp; U8 &amp; O9 &amp; I17 &amp; P86 &amp; N6</t>
        </r>
      </text>
    </comment>
    <comment ref="G50" authorId="0" shapeId="0" xr:uid="{8BA9F0D0-E569-41BF-86B5-143072A39690}">
      <text>
        <r>
          <rPr>
            <b/>
            <sz val="8.5"/>
            <color indexed="8"/>
            <rFont val="Calibri"/>
            <family val="2"/>
          </rPr>
          <t xml:space="preserve">-{ </t>
        </r>
        <r>
          <rPr>
            <b/>
            <sz val="10"/>
            <color indexed="10"/>
            <rFont val="Calibri"/>
            <family val="2"/>
          </rPr>
          <t>SM494</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K6 &amp; G10 &amp; S21 &amp; T5 &amp; X11 &amp; U8 &amp; O9 &amp; I17 &amp; P86 &amp; N6</t>
        </r>
      </text>
    </comment>
    <comment ref="H50" authorId="0" shapeId="0" xr:uid="{ED3EF186-3E60-4719-8F09-BCFD253D8F22}">
      <text>
        <r>
          <rPr>
            <b/>
            <sz val="8.5"/>
            <color indexed="8"/>
            <rFont val="Calibri"/>
            <family val="2"/>
          </rPr>
          <t xml:space="preserve">-{ </t>
        </r>
        <r>
          <rPr>
            <b/>
            <sz val="10"/>
            <color indexed="10"/>
            <rFont val="Calibri"/>
            <family val="2"/>
          </rPr>
          <t>SM494</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K6 &amp; G10 &amp; S21 &amp; T5 &amp; X11 &amp; U8 &amp; O9 &amp; I17 &amp; P86 &amp; N6</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19" authorId="0" shapeId="0" xr:uid="{F8B91F38-8284-4390-8D52-44B707FD4A9B}">
      <text>
        <r>
          <rPr>
            <b/>
            <sz val="8.5"/>
            <color indexed="8"/>
            <rFont val="Calibri"/>
            <family val="2"/>
          </rPr>
          <t xml:space="preserve">-{ </t>
        </r>
        <r>
          <rPr>
            <b/>
            <sz val="10"/>
            <color indexed="10"/>
            <rFont val="Calibri"/>
            <family val="2"/>
          </rPr>
          <t>SM494</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13-NOV]_x000D_
_x000D_
{</t>
        </r>
        <r>
          <rPr>
            <b/>
            <sz val="8.5"/>
            <color indexed="10"/>
            <rFont val="Calibri"/>
            <family val="2"/>
          </rPr>
          <t>CLASSES</t>
        </r>
        <r>
          <rPr>
            <b/>
            <sz val="8.5"/>
            <color indexed="8"/>
            <rFont val="Calibri"/>
            <family val="2"/>
          </rPr>
          <t>}_x000D_
_x000D_
Q4 &amp; T3 &amp; X5 &amp; U9 &amp; O7 &amp; I17 &amp; P130 &amp; N4</t>
        </r>
      </text>
    </comment>
    <comment ref="B19" authorId="0" shapeId="0" xr:uid="{2677F390-FD43-44F5-BC8A-FF8D4723AA93}">
      <text>
        <r>
          <rPr>
            <b/>
            <sz val="8.5"/>
            <color indexed="8"/>
            <rFont val="Calibri"/>
            <family val="2"/>
          </rPr>
          <t xml:space="preserve">-{ </t>
        </r>
        <r>
          <rPr>
            <b/>
            <sz val="10"/>
            <color indexed="10"/>
            <rFont val="Calibri"/>
            <family val="2"/>
          </rPr>
          <t>SM494</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13-NOV]_x000D_
_x000D_
{</t>
        </r>
        <r>
          <rPr>
            <b/>
            <sz val="8.5"/>
            <color indexed="10"/>
            <rFont val="Calibri"/>
            <family val="2"/>
          </rPr>
          <t>CLASSES</t>
        </r>
        <r>
          <rPr>
            <b/>
            <sz val="8.5"/>
            <color indexed="8"/>
            <rFont val="Calibri"/>
            <family val="2"/>
          </rPr>
          <t>}_x000D_
_x000D_
Q4 &amp; T3 &amp; X5 &amp; U9 &amp; O7 &amp; I17 &amp; P130 &amp; N4</t>
        </r>
      </text>
    </comment>
    <comment ref="C19" authorId="0" shapeId="0" xr:uid="{AF95E66C-5D2F-4A5F-B549-B6240B248B61}">
      <text>
        <r>
          <rPr>
            <b/>
            <sz val="8.5"/>
            <color indexed="8"/>
            <rFont val="Calibri"/>
            <family val="2"/>
          </rPr>
          <t xml:space="preserve">-{ </t>
        </r>
        <r>
          <rPr>
            <b/>
            <sz val="10"/>
            <color indexed="10"/>
            <rFont val="Calibri"/>
            <family val="2"/>
          </rPr>
          <t>SM494</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13-NOV]_x000D_
_x000D_
{</t>
        </r>
        <r>
          <rPr>
            <b/>
            <sz val="8.5"/>
            <color indexed="10"/>
            <rFont val="Calibri"/>
            <family val="2"/>
          </rPr>
          <t>CLASSES</t>
        </r>
        <r>
          <rPr>
            <b/>
            <sz val="8.5"/>
            <color indexed="8"/>
            <rFont val="Calibri"/>
            <family val="2"/>
          </rPr>
          <t>}_x000D_
_x000D_
Q4 &amp; T3 &amp; X5 &amp; U9 &amp; O7 &amp; I17 &amp; P130 &amp; N4</t>
        </r>
      </text>
    </comment>
    <comment ref="D19" authorId="0" shapeId="0" xr:uid="{15E688B5-DFCE-4326-90EF-BF1FD21EE330}">
      <text>
        <r>
          <rPr>
            <b/>
            <sz val="8.5"/>
            <color indexed="8"/>
            <rFont val="Calibri"/>
            <family val="2"/>
          </rPr>
          <t xml:space="preserve">-{ </t>
        </r>
        <r>
          <rPr>
            <b/>
            <sz val="10"/>
            <color indexed="10"/>
            <rFont val="Calibri"/>
            <family val="2"/>
          </rPr>
          <t>SM494</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13-NOV]_x000D_
_x000D_
{</t>
        </r>
        <r>
          <rPr>
            <b/>
            <sz val="8.5"/>
            <color indexed="10"/>
            <rFont val="Calibri"/>
            <family val="2"/>
          </rPr>
          <t>CLASSES</t>
        </r>
        <r>
          <rPr>
            <b/>
            <sz val="8.5"/>
            <color indexed="8"/>
            <rFont val="Calibri"/>
            <family val="2"/>
          </rPr>
          <t>}_x000D_
_x000D_
Q4 &amp; T3 &amp; X5 &amp; U9 &amp; O7 &amp; I17 &amp; P130 &amp; N4</t>
        </r>
      </text>
    </comment>
    <comment ref="E19" authorId="0" shapeId="0" xr:uid="{6627FD2B-9874-4AFE-ABD6-F99FEA73D02A}">
      <text>
        <r>
          <rPr>
            <b/>
            <sz val="8.5"/>
            <color indexed="8"/>
            <rFont val="Calibri"/>
            <family val="2"/>
          </rPr>
          <t xml:space="preserve">-{ </t>
        </r>
        <r>
          <rPr>
            <b/>
            <sz val="10"/>
            <color indexed="10"/>
            <rFont val="Calibri"/>
            <family val="2"/>
          </rPr>
          <t>SM494</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13-NOV]_x000D_
_x000D_
{</t>
        </r>
        <r>
          <rPr>
            <b/>
            <sz val="8.5"/>
            <color indexed="10"/>
            <rFont val="Calibri"/>
            <family val="2"/>
          </rPr>
          <t>CLASSES</t>
        </r>
        <r>
          <rPr>
            <b/>
            <sz val="8.5"/>
            <color indexed="8"/>
            <rFont val="Calibri"/>
            <family val="2"/>
          </rPr>
          <t>}_x000D_
_x000D_
Q4 &amp; T3 &amp; X5 &amp; U9 &amp; O7 &amp; I17 &amp; P130 &amp; N4</t>
        </r>
      </text>
    </comment>
    <comment ref="F19" authorId="0" shapeId="0" xr:uid="{AA10B074-25BB-4B7F-B7F4-2C354F2CA2C5}">
      <text>
        <r>
          <rPr>
            <b/>
            <sz val="8.5"/>
            <color indexed="8"/>
            <rFont val="Calibri"/>
            <family val="2"/>
          </rPr>
          <t xml:space="preserve">-{ </t>
        </r>
        <r>
          <rPr>
            <b/>
            <sz val="10"/>
            <color indexed="10"/>
            <rFont val="Calibri"/>
            <family val="2"/>
          </rPr>
          <t>SM494</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13-NOV]_x000D_
_x000D_
{</t>
        </r>
        <r>
          <rPr>
            <b/>
            <sz val="8.5"/>
            <color indexed="10"/>
            <rFont val="Calibri"/>
            <family val="2"/>
          </rPr>
          <t>CLASSES</t>
        </r>
        <r>
          <rPr>
            <b/>
            <sz val="8.5"/>
            <color indexed="8"/>
            <rFont val="Calibri"/>
            <family val="2"/>
          </rPr>
          <t>}_x000D_
_x000D_
Q4 &amp; T3 &amp; X5 &amp; U9 &amp; O7 &amp; I17 &amp; P130 &amp; N4</t>
        </r>
      </text>
    </comment>
    <comment ref="G19" authorId="0" shapeId="0" xr:uid="{839E5BA1-90EB-466B-9D44-2AA8D76D6994}">
      <text>
        <r>
          <rPr>
            <b/>
            <sz val="8.5"/>
            <color indexed="8"/>
            <rFont val="Calibri"/>
            <family val="2"/>
          </rPr>
          <t xml:space="preserve">-{ </t>
        </r>
        <r>
          <rPr>
            <b/>
            <sz val="10"/>
            <color indexed="10"/>
            <rFont val="Calibri"/>
            <family val="2"/>
          </rPr>
          <t>SM494</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13-NOV]_x000D_
_x000D_
{</t>
        </r>
        <r>
          <rPr>
            <b/>
            <sz val="8.5"/>
            <color indexed="10"/>
            <rFont val="Calibri"/>
            <family val="2"/>
          </rPr>
          <t>CLASSES</t>
        </r>
        <r>
          <rPr>
            <b/>
            <sz val="8.5"/>
            <color indexed="8"/>
            <rFont val="Calibri"/>
            <family val="2"/>
          </rPr>
          <t>}_x000D_
_x000D_
Q4 &amp; T3 &amp; X5 &amp; U9 &amp; O7 &amp; I17 &amp; P130 &amp; N4</t>
        </r>
      </text>
    </comment>
    <comment ref="H19" authorId="0" shapeId="0" xr:uid="{D63031C5-6AA3-4B25-AA73-E43DDC44B535}">
      <text>
        <r>
          <rPr>
            <b/>
            <sz val="8.5"/>
            <color indexed="8"/>
            <rFont val="Calibri"/>
            <family val="2"/>
          </rPr>
          <t xml:space="preserve">-{ </t>
        </r>
        <r>
          <rPr>
            <b/>
            <sz val="10"/>
            <color indexed="10"/>
            <rFont val="Calibri"/>
            <family val="2"/>
          </rPr>
          <t>SM494</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13-NOV]_x000D_
_x000D_
{</t>
        </r>
        <r>
          <rPr>
            <b/>
            <sz val="8.5"/>
            <color indexed="10"/>
            <rFont val="Calibri"/>
            <family val="2"/>
          </rPr>
          <t>CLASSES</t>
        </r>
        <r>
          <rPr>
            <b/>
            <sz val="8.5"/>
            <color indexed="8"/>
            <rFont val="Calibri"/>
            <family val="2"/>
          </rPr>
          <t>}_x000D_
_x000D_
Q4 &amp; T3 &amp; X5 &amp; U9 &amp; O7 &amp; I17 &amp; P130 &amp; N4</t>
        </r>
      </text>
    </comment>
    <comment ref="A20" authorId="0" shapeId="0" xr:uid="{C2599760-ED10-45FA-A5A9-CFBBBDD1152B}">
      <text>
        <r>
          <rPr>
            <b/>
            <sz val="8.5"/>
            <color indexed="8"/>
            <rFont val="Calibri"/>
            <family val="2"/>
          </rPr>
          <t xml:space="preserve">-{ </t>
        </r>
        <r>
          <rPr>
            <b/>
            <sz val="10"/>
            <color indexed="10"/>
            <rFont val="Calibri"/>
            <family val="2"/>
          </rPr>
          <t>SM494</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K6 &amp; G10 &amp; S21 &amp; T5 &amp; X11 &amp; U8 &amp; O9 &amp; I17 &amp; P86 &amp; N6</t>
        </r>
      </text>
    </comment>
    <comment ref="B20" authorId="0" shapeId="0" xr:uid="{629BC853-E3BB-44CF-B0BE-56C9556A36EE}">
      <text>
        <r>
          <rPr>
            <b/>
            <sz val="8.5"/>
            <color indexed="8"/>
            <rFont val="Calibri"/>
            <family val="2"/>
          </rPr>
          <t xml:space="preserve">-{ </t>
        </r>
        <r>
          <rPr>
            <b/>
            <sz val="10"/>
            <color indexed="10"/>
            <rFont val="Calibri"/>
            <family val="2"/>
          </rPr>
          <t>SM494</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K6 &amp; G10 &amp; S21 &amp; T5 &amp; X11 &amp; U8 &amp; O9 &amp; I17 &amp; P86 &amp; N6</t>
        </r>
      </text>
    </comment>
    <comment ref="C20" authorId="0" shapeId="0" xr:uid="{BB8330D0-835C-470C-BE7F-B341C1340576}">
      <text>
        <r>
          <rPr>
            <b/>
            <sz val="8.5"/>
            <color indexed="8"/>
            <rFont val="Calibri"/>
            <family val="2"/>
          </rPr>
          <t xml:space="preserve">-{ </t>
        </r>
        <r>
          <rPr>
            <b/>
            <sz val="10"/>
            <color indexed="10"/>
            <rFont val="Calibri"/>
            <family val="2"/>
          </rPr>
          <t>SM494</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K6 &amp; G10 &amp; S21 &amp; T5 &amp; X11 &amp; U8 &amp; O9 &amp; I17 &amp; P86 &amp; N6</t>
        </r>
      </text>
    </comment>
    <comment ref="D20" authorId="0" shapeId="0" xr:uid="{F48813AE-CCF6-4EFC-8447-C01460E2FF34}">
      <text>
        <r>
          <rPr>
            <b/>
            <sz val="8.5"/>
            <color indexed="8"/>
            <rFont val="Calibri"/>
            <family val="2"/>
          </rPr>
          <t xml:space="preserve">-{ </t>
        </r>
        <r>
          <rPr>
            <b/>
            <sz val="10"/>
            <color indexed="10"/>
            <rFont val="Calibri"/>
            <family val="2"/>
          </rPr>
          <t>SM494</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K6 &amp; G10 &amp; S21 &amp; T5 &amp; X11 &amp; U8 &amp; O9 &amp; I17 &amp; P86 &amp; N6</t>
        </r>
      </text>
    </comment>
    <comment ref="E20" authorId="0" shapeId="0" xr:uid="{040417A3-80C5-46AA-935F-7DBCC3FB2AAD}">
      <text>
        <r>
          <rPr>
            <b/>
            <sz val="8.5"/>
            <color indexed="8"/>
            <rFont val="Calibri"/>
            <family val="2"/>
          </rPr>
          <t xml:space="preserve">-{ </t>
        </r>
        <r>
          <rPr>
            <b/>
            <sz val="10"/>
            <color indexed="10"/>
            <rFont val="Calibri"/>
            <family val="2"/>
          </rPr>
          <t>SM494</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K6 &amp; G10 &amp; S21 &amp; T5 &amp; X11 &amp; U8 &amp; O9 &amp; I17 &amp; P86 &amp; N6</t>
        </r>
      </text>
    </comment>
    <comment ref="F20" authorId="0" shapeId="0" xr:uid="{CB20EF6F-2311-495A-9608-578156C51886}">
      <text>
        <r>
          <rPr>
            <b/>
            <sz val="8.5"/>
            <color indexed="8"/>
            <rFont val="Calibri"/>
            <family val="2"/>
          </rPr>
          <t xml:space="preserve">-{ </t>
        </r>
        <r>
          <rPr>
            <b/>
            <sz val="10"/>
            <color indexed="10"/>
            <rFont val="Calibri"/>
            <family val="2"/>
          </rPr>
          <t>SM494</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K6 &amp; G10 &amp; S21 &amp; T5 &amp; X11 &amp; U8 &amp; O9 &amp; I17 &amp; P86 &amp; N6</t>
        </r>
      </text>
    </comment>
    <comment ref="G20" authorId="0" shapeId="0" xr:uid="{E083A97F-CE94-4DD2-9155-617FE82D58B3}">
      <text>
        <r>
          <rPr>
            <b/>
            <sz val="8.5"/>
            <color indexed="8"/>
            <rFont val="Calibri"/>
            <family val="2"/>
          </rPr>
          <t xml:space="preserve">-{ </t>
        </r>
        <r>
          <rPr>
            <b/>
            <sz val="10"/>
            <color indexed="10"/>
            <rFont val="Calibri"/>
            <family val="2"/>
          </rPr>
          <t>SM494</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K6 &amp; G10 &amp; S21 &amp; T5 &amp; X11 &amp; U8 &amp; O9 &amp; I17 &amp; P86 &amp; N6</t>
        </r>
      </text>
    </comment>
    <comment ref="H20" authorId="0" shapeId="0" xr:uid="{C9AAA73B-D5DC-463B-BE69-42C88FEBF708}">
      <text>
        <r>
          <rPr>
            <b/>
            <sz val="8.5"/>
            <color indexed="8"/>
            <rFont val="Calibri"/>
            <family val="2"/>
          </rPr>
          <t xml:space="preserve">-{ </t>
        </r>
        <r>
          <rPr>
            <b/>
            <sz val="10"/>
            <color indexed="10"/>
            <rFont val="Calibri"/>
            <family val="2"/>
          </rPr>
          <t>SM494</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K6 &amp; G10 &amp; S21 &amp; T5 &amp; X11 &amp; U8 &amp; O9 &amp; I17 &amp; P86 &amp; N6</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25" authorId="0" shapeId="0" xr:uid="{2484AC8F-A3F5-4BF0-97B7-4355864AB9CB}">
      <text>
        <r>
          <rPr>
            <b/>
            <sz val="8.5"/>
            <color indexed="8"/>
            <rFont val="Calibri"/>
            <family val="2"/>
          </rPr>
          <t xml:space="preserve">-{ </t>
        </r>
        <r>
          <rPr>
            <b/>
            <sz val="10"/>
            <color indexed="10"/>
            <rFont val="Calibri"/>
            <family val="2"/>
          </rPr>
          <t>SM486</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Q7 &amp; P172</t>
        </r>
      </text>
    </comment>
    <comment ref="B25" authorId="0" shapeId="0" xr:uid="{3DD2698D-ACEC-4C3A-93FC-4F57A80C0BB6}">
      <text>
        <r>
          <rPr>
            <b/>
            <sz val="8.5"/>
            <color indexed="8"/>
            <rFont val="Calibri"/>
            <family val="2"/>
          </rPr>
          <t xml:space="preserve">-{ </t>
        </r>
        <r>
          <rPr>
            <b/>
            <sz val="10"/>
            <color indexed="10"/>
            <rFont val="Calibri"/>
            <family val="2"/>
          </rPr>
          <t>SM486</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Q7 &amp; P172</t>
        </r>
      </text>
    </comment>
    <comment ref="C25" authorId="0" shapeId="0" xr:uid="{50946191-4CC8-4D61-8B00-FDC2443AECCD}">
      <text>
        <r>
          <rPr>
            <b/>
            <sz val="8.5"/>
            <color indexed="8"/>
            <rFont val="Calibri"/>
            <family val="2"/>
          </rPr>
          <t xml:space="preserve">-{ </t>
        </r>
        <r>
          <rPr>
            <b/>
            <sz val="10"/>
            <color indexed="10"/>
            <rFont val="Calibri"/>
            <family val="2"/>
          </rPr>
          <t>SM486</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Q7 &amp; P172</t>
        </r>
      </text>
    </comment>
    <comment ref="D25" authorId="0" shapeId="0" xr:uid="{7CF0F18D-850A-4F01-AAC2-D467391A078C}">
      <text>
        <r>
          <rPr>
            <b/>
            <sz val="8.5"/>
            <color indexed="8"/>
            <rFont val="Calibri"/>
            <family val="2"/>
          </rPr>
          <t xml:space="preserve">-{ </t>
        </r>
        <r>
          <rPr>
            <b/>
            <sz val="10"/>
            <color indexed="10"/>
            <rFont val="Calibri"/>
            <family val="2"/>
          </rPr>
          <t>SM486</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Q7 &amp; P172</t>
        </r>
      </text>
    </comment>
    <comment ref="E25" authorId="0" shapeId="0" xr:uid="{0FCE4580-6244-4061-B9D3-58737BA6ED6B}">
      <text>
        <r>
          <rPr>
            <b/>
            <sz val="8.5"/>
            <color indexed="8"/>
            <rFont val="Calibri"/>
            <family val="2"/>
          </rPr>
          <t xml:space="preserve">-{ </t>
        </r>
        <r>
          <rPr>
            <b/>
            <sz val="10"/>
            <color indexed="10"/>
            <rFont val="Calibri"/>
            <family val="2"/>
          </rPr>
          <t>SM486</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Q7 &amp; P172</t>
        </r>
      </text>
    </comment>
    <comment ref="F25" authorId="0" shapeId="0" xr:uid="{943A57D5-F7E3-4CBA-812C-5D42390D6D44}">
      <text>
        <r>
          <rPr>
            <b/>
            <sz val="8.5"/>
            <color indexed="8"/>
            <rFont val="Calibri"/>
            <family val="2"/>
          </rPr>
          <t xml:space="preserve">-{ </t>
        </r>
        <r>
          <rPr>
            <b/>
            <sz val="10"/>
            <color indexed="10"/>
            <rFont val="Calibri"/>
            <family val="2"/>
          </rPr>
          <t>SM486</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Q7 &amp; P172</t>
        </r>
      </text>
    </comment>
    <comment ref="G25" authorId="0" shapeId="0" xr:uid="{846AFBF1-F3E7-4CC9-8519-BA93691D0964}">
      <text>
        <r>
          <rPr>
            <b/>
            <sz val="8.5"/>
            <color indexed="8"/>
            <rFont val="Calibri"/>
            <family val="2"/>
          </rPr>
          <t xml:space="preserve">-{ </t>
        </r>
        <r>
          <rPr>
            <b/>
            <sz val="10"/>
            <color indexed="10"/>
            <rFont val="Calibri"/>
            <family val="2"/>
          </rPr>
          <t>SM486</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Q7 &amp; P172</t>
        </r>
      </text>
    </comment>
    <comment ref="H25" authorId="0" shapeId="0" xr:uid="{59515A5A-55DD-4F9F-A165-2FCE94D844B0}">
      <text>
        <r>
          <rPr>
            <b/>
            <sz val="8.5"/>
            <color indexed="8"/>
            <rFont val="Calibri"/>
            <family val="2"/>
          </rPr>
          <t xml:space="preserve">-{ </t>
        </r>
        <r>
          <rPr>
            <b/>
            <sz val="10"/>
            <color indexed="10"/>
            <rFont val="Calibri"/>
            <family val="2"/>
          </rPr>
          <t>SM486</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Q7 &amp; P172</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25" authorId="0" shapeId="0" xr:uid="{C78547D6-0DEB-409F-A481-56D373B72A6C}">
      <text>
        <r>
          <rPr>
            <b/>
            <sz val="8.5"/>
            <color indexed="8"/>
            <rFont val="Calibri"/>
            <family val="2"/>
          </rPr>
          <t xml:space="preserve">-{ </t>
        </r>
        <r>
          <rPr>
            <b/>
            <sz val="10"/>
            <color indexed="10"/>
            <rFont val="Calibri"/>
            <family val="2"/>
          </rPr>
          <t>SM486</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Q7 &amp; P172</t>
        </r>
      </text>
    </comment>
    <comment ref="B25" authorId="0" shapeId="0" xr:uid="{FDB99DC6-85B7-4D0D-8E7D-92A3DD78E8DF}">
      <text>
        <r>
          <rPr>
            <b/>
            <sz val="8.5"/>
            <color indexed="8"/>
            <rFont val="Calibri"/>
            <family val="2"/>
          </rPr>
          <t xml:space="preserve">-{ </t>
        </r>
        <r>
          <rPr>
            <b/>
            <sz val="10"/>
            <color indexed="10"/>
            <rFont val="Calibri"/>
            <family val="2"/>
          </rPr>
          <t>SM486</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Q7 &amp; P172</t>
        </r>
      </text>
    </comment>
    <comment ref="C25" authorId="0" shapeId="0" xr:uid="{D4129F7B-43C5-493A-AC2D-2CA790F94250}">
      <text>
        <r>
          <rPr>
            <b/>
            <sz val="8.5"/>
            <color indexed="8"/>
            <rFont val="Calibri"/>
            <family val="2"/>
          </rPr>
          <t xml:space="preserve">-{ </t>
        </r>
        <r>
          <rPr>
            <b/>
            <sz val="10"/>
            <color indexed="10"/>
            <rFont val="Calibri"/>
            <family val="2"/>
          </rPr>
          <t>SM486</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Q7 &amp; P172</t>
        </r>
      </text>
    </comment>
    <comment ref="D25" authorId="0" shapeId="0" xr:uid="{C33AD0D4-E0C1-4D03-B59A-82556E9A5BD9}">
      <text>
        <r>
          <rPr>
            <b/>
            <sz val="8.5"/>
            <color indexed="8"/>
            <rFont val="Calibri"/>
            <family val="2"/>
          </rPr>
          <t xml:space="preserve">-{ </t>
        </r>
        <r>
          <rPr>
            <b/>
            <sz val="10"/>
            <color indexed="10"/>
            <rFont val="Calibri"/>
            <family val="2"/>
          </rPr>
          <t>SM486</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Q7 &amp; P172</t>
        </r>
      </text>
    </comment>
    <comment ref="E25" authorId="0" shapeId="0" xr:uid="{797014C8-9BD1-4B6A-9322-970EB391D8D7}">
      <text>
        <r>
          <rPr>
            <b/>
            <sz val="8.5"/>
            <color indexed="8"/>
            <rFont val="Calibri"/>
            <family val="2"/>
          </rPr>
          <t xml:space="preserve">-{ </t>
        </r>
        <r>
          <rPr>
            <b/>
            <sz val="10"/>
            <color indexed="10"/>
            <rFont val="Calibri"/>
            <family val="2"/>
          </rPr>
          <t>SM486</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Q7 &amp; P172</t>
        </r>
      </text>
    </comment>
    <comment ref="F25" authorId="0" shapeId="0" xr:uid="{AD9AD876-47A6-48F0-9C53-B5A965E0FA98}">
      <text>
        <r>
          <rPr>
            <b/>
            <sz val="8.5"/>
            <color indexed="8"/>
            <rFont val="Calibri"/>
            <family val="2"/>
          </rPr>
          <t xml:space="preserve">-{ </t>
        </r>
        <r>
          <rPr>
            <b/>
            <sz val="10"/>
            <color indexed="10"/>
            <rFont val="Calibri"/>
            <family val="2"/>
          </rPr>
          <t>SM486</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Q7 &amp; P172</t>
        </r>
      </text>
    </comment>
    <comment ref="G25" authorId="0" shapeId="0" xr:uid="{620E316F-FFB8-4B36-B60D-D6AABA3E27C9}">
      <text>
        <r>
          <rPr>
            <b/>
            <sz val="8.5"/>
            <color indexed="8"/>
            <rFont val="Calibri"/>
            <family val="2"/>
          </rPr>
          <t xml:space="preserve">-{ </t>
        </r>
        <r>
          <rPr>
            <b/>
            <sz val="10"/>
            <color indexed="10"/>
            <rFont val="Calibri"/>
            <family val="2"/>
          </rPr>
          <t>SM486</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Q7 &amp; P172</t>
        </r>
      </text>
    </comment>
    <comment ref="H25" authorId="0" shapeId="0" xr:uid="{0FB4EA45-EDEB-4463-8068-8597C6CF26FA}">
      <text>
        <r>
          <rPr>
            <b/>
            <sz val="8.5"/>
            <color indexed="8"/>
            <rFont val="Calibri"/>
            <family val="2"/>
          </rPr>
          <t xml:space="preserve">-{ </t>
        </r>
        <r>
          <rPr>
            <b/>
            <sz val="10"/>
            <color indexed="10"/>
            <rFont val="Calibri"/>
            <family val="2"/>
          </rPr>
          <t>SM486</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Q7 &amp; P172</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13" authorId="0" shapeId="0" xr:uid="{B84CB6AE-4D33-468A-A865-31752CFBC788}">
      <text>
        <r>
          <rPr>
            <b/>
            <sz val="8.5"/>
            <color indexed="8"/>
            <rFont val="Calibri"/>
            <family val="2"/>
          </rPr>
          <t xml:space="preserve">-{ </t>
        </r>
        <r>
          <rPr>
            <b/>
            <sz val="10"/>
            <color indexed="10"/>
            <rFont val="Calibri"/>
            <family val="2"/>
          </rPr>
          <t>SM488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168 PAX]_x000D_
_x000D_
[</t>
        </r>
        <r>
          <rPr>
            <b/>
            <sz val="8.5"/>
            <color indexed="21"/>
            <rFont val="Calibri"/>
            <family val="2"/>
          </rPr>
          <t xml:space="preserve">WEEKLY </t>
        </r>
        <r>
          <rPr>
            <b/>
            <sz val="8.5"/>
            <color indexed="8"/>
            <rFont val="Calibri"/>
            <family val="2"/>
          </rPr>
          <t>» 38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S4 &amp; X20 &amp; U20 &amp; O20 &amp; I20 &amp; P84</t>
        </r>
      </text>
    </comment>
    <comment ref="B13" authorId="0" shapeId="0" xr:uid="{95EF70DD-386D-4EC0-9C45-D630550A3CD8}">
      <text>
        <r>
          <rPr>
            <b/>
            <sz val="8.5"/>
            <color indexed="8"/>
            <rFont val="Calibri"/>
            <family val="2"/>
          </rPr>
          <t xml:space="preserve">-{ </t>
        </r>
        <r>
          <rPr>
            <b/>
            <sz val="10"/>
            <color indexed="10"/>
            <rFont val="Calibri"/>
            <family val="2"/>
          </rPr>
          <t>SM488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168 PAX]_x000D_
_x000D_
[</t>
        </r>
        <r>
          <rPr>
            <b/>
            <sz val="8.5"/>
            <color indexed="21"/>
            <rFont val="Calibri"/>
            <family val="2"/>
          </rPr>
          <t xml:space="preserve">WEEKLY </t>
        </r>
        <r>
          <rPr>
            <b/>
            <sz val="8.5"/>
            <color indexed="8"/>
            <rFont val="Calibri"/>
            <family val="2"/>
          </rPr>
          <t>» 38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S4 &amp; X20 &amp; U20 &amp; O20 &amp; I20 &amp; P84</t>
        </r>
      </text>
    </comment>
    <comment ref="C13" authorId="0" shapeId="0" xr:uid="{74EE509B-6338-4594-B94B-8925283805B4}">
      <text>
        <r>
          <rPr>
            <b/>
            <sz val="8.5"/>
            <color indexed="8"/>
            <rFont val="Calibri"/>
            <family val="2"/>
          </rPr>
          <t xml:space="preserve">-{ </t>
        </r>
        <r>
          <rPr>
            <b/>
            <sz val="10"/>
            <color indexed="10"/>
            <rFont val="Calibri"/>
            <family val="2"/>
          </rPr>
          <t>SM488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168 PAX]_x000D_
_x000D_
[</t>
        </r>
        <r>
          <rPr>
            <b/>
            <sz val="8.5"/>
            <color indexed="21"/>
            <rFont val="Calibri"/>
            <family val="2"/>
          </rPr>
          <t xml:space="preserve">WEEKLY </t>
        </r>
        <r>
          <rPr>
            <b/>
            <sz val="8.5"/>
            <color indexed="8"/>
            <rFont val="Calibri"/>
            <family val="2"/>
          </rPr>
          <t>» 38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S4 &amp; X20 &amp; U20 &amp; O20 &amp; I20 &amp; P84</t>
        </r>
      </text>
    </comment>
    <comment ref="D13" authorId="0" shapeId="0" xr:uid="{3A58A90C-C4CE-4448-93BC-3F252E5F0265}">
      <text>
        <r>
          <rPr>
            <b/>
            <sz val="8.5"/>
            <color indexed="8"/>
            <rFont val="Calibri"/>
            <family val="2"/>
          </rPr>
          <t xml:space="preserve">-{ </t>
        </r>
        <r>
          <rPr>
            <b/>
            <sz val="10"/>
            <color indexed="10"/>
            <rFont val="Calibri"/>
            <family val="2"/>
          </rPr>
          <t>SM488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168 PAX]_x000D_
_x000D_
[</t>
        </r>
        <r>
          <rPr>
            <b/>
            <sz val="8.5"/>
            <color indexed="21"/>
            <rFont val="Calibri"/>
            <family val="2"/>
          </rPr>
          <t xml:space="preserve">WEEKLY </t>
        </r>
        <r>
          <rPr>
            <b/>
            <sz val="8.5"/>
            <color indexed="8"/>
            <rFont val="Calibri"/>
            <family val="2"/>
          </rPr>
          <t>» 38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S4 &amp; X20 &amp; U20 &amp; O20 &amp; I20 &amp; P84</t>
        </r>
      </text>
    </comment>
    <comment ref="E13" authorId="0" shapeId="0" xr:uid="{FE8DB487-82BA-4036-A1DA-ACB6D8263306}">
      <text>
        <r>
          <rPr>
            <b/>
            <sz val="8.5"/>
            <color indexed="8"/>
            <rFont val="Calibri"/>
            <family val="2"/>
          </rPr>
          <t xml:space="preserve">-{ </t>
        </r>
        <r>
          <rPr>
            <b/>
            <sz val="10"/>
            <color indexed="10"/>
            <rFont val="Calibri"/>
            <family val="2"/>
          </rPr>
          <t>SM488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168 PAX]_x000D_
_x000D_
[</t>
        </r>
        <r>
          <rPr>
            <b/>
            <sz val="8.5"/>
            <color indexed="21"/>
            <rFont val="Calibri"/>
            <family val="2"/>
          </rPr>
          <t xml:space="preserve">WEEKLY </t>
        </r>
        <r>
          <rPr>
            <b/>
            <sz val="8.5"/>
            <color indexed="8"/>
            <rFont val="Calibri"/>
            <family val="2"/>
          </rPr>
          <t>» 38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S4 &amp; X20 &amp; U20 &amp; O20 &amp; I20 &amp; P84</t>
        </r>
      </text>
    </comment>
    <comment ref="F13" authorId="0" shapeId="0" xr:uid="{5E093907-41DA-443A-BFA8-1E43D894BA06}">
      <text>
        <r>
          <rPr>
            <b/>
            <sz val="8.5"/>
            <color indexed="8"/>
            <rFont val="Calibri"/>
            <family val="2"/>
          </rPr>
          <t xml:space="preserve">-{ </t>
        </r>
        <r>
          <rPr>
            <b/>
            <sz val="10"/>
            <color indexed="10"/>
            <rFont val="Calibri"/>
            <family val="2"/>
          </rPr>
          <t>SM488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168 PAX]_x000D_
_x000D_
[</t>
        </r>
        <r>
          <rPr>
            <b/>
            <sz val="8.5"/>
            <color indexed="21"/>
            <rFont val="Calibri"/>
            <family val="2"/>
          </rPr>
          <t xml:space="preserve">WEEKLY </t>
        </r>
        <r>
          <rPr>
            <b/>
            <sz val="8.5"/>
            <color indexed="8"/>
            <rFont val="Calibri"/>
            <family val="2"/>
          </rPr>
          <t>» 38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S4 &amp; X20 &amp; U20 &amp; O20 &amp; I20 &amp; P84</t>
        </r>
      </text>
    </comment>
    <comment ref="G13" authorId="0" shapeId="0" xr:uid="{D91CA1A5-F00D-4E6D-9102-7E7342302512}">
      <text>
        <r>
          <rPr>
            <b/>
            <sz val="8.5"/>
            <color indexed="8"/>
            <rFont val="Calibri"/>
            <family val="2"/>
          </rPr>
          <t xml:space="preserve">-{ </t>
        </r>
        <r>
          <rPr>
            <b/>
            <sz val="10"/>
            <color indexed="10"/>
            <rFont val="Calibri"/>
            <family val="2"/>
          </rPr>
          <t>SM488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168 PAX]_x000D_
_x000D_
[</t>
        </r>
        <r>
          <rPr>
            <b/>
            <sz val="8.5"/>
            <color indexed="21"/>
            <rFont val="Calibri"/>
            <family val="2"/>
          </rPr>
          <t xml:space="preserve">WEEKLY </t>
        </r>
        <r>
          <rPr>
            <b/>
            <sz val="8.5"/>
            <color indexed="8"/>
            <rFont val="Calibri"/>
            <family val="2"/>
          </rPr>
          <t>» 38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S4 &amp; X20 &amp; U20 &amp; O20 &amp; I20 &amp; P84</t>
        </r>
      </text>
    </comment>
    <comment ref="H13" authorId="0" shapeId="0" xr:uid="{DA9914EA-5CF2-4E6D-836E-E083ADD9DDAC}">
      <text>
        <r>
          <rPr>
            <b/>
            <sz val="8.5"/>
            <color indexed="8"/>
            <rFont val="Calibri"/>
            <family val="2"/>
          </rPr>
          <t xml:space="preserve">-{ </t>
        </r>
        <r>
          <rPr>
            <b/>
            <sz val="10"/>
            <color indexed="10"/>
            <rFont val="Calibri"/>
            <family val="2"/>
          </rPr>
          <t>SM488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168 PAX]_x000D_
_x000D_
[</t>
        </r>
        <r>
          <rPr>
            <b/>
            <sz val="8.5"/>
            <color indexed="21"/>
            <rFont val="Calibri"/>
            <family val="2"/>
          </rPr>
          <t xml:space="preserve">WEEKLY </t>
        </r>
        <r>
          <rPr>
            <b/>
            <sz val="8.5"/>
            <color indexed="8"/>
            <rFont val="Calibri"/>
            <family val="2"/>
          </rPr>
          <t>» 38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S4 &amp; X20 &amp; U20 &amp; O20 &amp; I20 &amp; P84</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13" authorId="0" shapeId="0" xr:uid="{51174F0F-A012-4BED-AD3D-192043C5A701}">
      <text>
        <r>
          <rPr>
            <b/>
            <sz val="8.5"/>
            <color indexed="8"/>
            <rFont val="Calibri"/>
            <family val="2"/>
          </rPr>
          <t xml:space="preserve">-{ </t>
        </r>
        <r>
          <rPr>
            <b/>
            <sz val="10"/>
            <color indexed="10"/>
            <rFont val="Calibri"/>
            <family val="2"/>
          </rPr>
          <t>SM488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168 PAX]_x000D_
_x000D_
[</t>
        </r>
        <r>
          <rPr>
            <b/>
            <sz val="8.5"/>
            <color indexed="21"/>
            <rFont val="Calibri"/>
            <family val="2"/>
          </rPr>
          <t xml:space="preserve">WEEKLY </t>
        </r>
        <r>
          <rPr>
            <b/>
            <sz val="8.5"/>
            <color indexed="8"/>
            <rFont val="Calibri"/>
            <family val="2"/>
          </rPr>
          <t>» 38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S4 &amp; X20 &amp; U20 &amp; O20 &amp; I20 &amp; P84</t>
        </r>
      </text>
    </comment>
    <comment ref="B13" authorId="0" shapeId="0" xr:uid="{ADEA3CC4-FDA4-423B-AD9C-B4C87773DC1E}">
      <text>
        <r>
          <rPr>
            <b/>
            <sz val="8.5"/>
            <color indexed="8"/>
            <rFont val="Calibri"/>
            <family val="2"/>
          </rPr>
          <t xml:space="preserve">-{ </t>
        </r>
        <r>
          <rPr>
            <b/>
            <sz val="10"/>
            <color indexed="10"/>
            <rFont val="Calibri"/>
            <family val="2"/>
          </rPr>
          <t>SM488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168 PAX]_x000D_
_x000D_
[</t>
        </r>
        <r>
          <rPr>
            <b/>
            <sz val="8.5"/>
            <color indexed="21"/>
            <rFont val="Calibri"/>
            <family val="2"/>
          </rPr>
          <t xml:space="preserve">WEEKLY </t>
        </r>
        <r>
          <rPr>
            <b/>
            <sz val="8.5"/>
            <color indexed="8"/>
            <rFont val="Calibri"/>
            <family val="2"/>
          </rPr>
          <t>» 38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S4 &amp; X20 &amp; U20 &amp; O20 &amp; I20 &amp; P84</t>
        </r>
      </text>
    </comment>
    <comment ref="C13" authorId="0" shapeId="0" xr:uid="{1692B993-9666-403B-B1CD-ACA54D263085}">
      <text>
        <r>
          <rPr>
            <b/>
            <sz val="8.5"/>
            <color indexed="8"/>
            <rFont val="Calibri"/>
            <family val="2"/>
          </rPr>
          <t xml:space="preserve">-{ </t>
        </r>
        <r>
          <rPr>
            <b/>
            <sz val="10"/>
            <color indexed="10"/>
            <rFont val="Calibri"/>
            <family val="2"/>
          </rPr>
          <t>SM488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168 PAX]_x000D_
_x000D_
[</t>
        </r>
        <r>
          <rPr>
            <b/>
            <sz val="8.5"/>
            <color indexed="21"/>
            <rFont val="Calibri"/>
            <family val="2"/>
          </rPr>
          <t xml:space="preserve">WEEKLY </t>
        </r>
        <r>
          <rPr>
            <b/>
            <sz val="8.5"/>
            <color indexed="8"/>
            <rFont val="Calibri"/>
            <family val="2"/>
          </rPr>
          <t>» 38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S4 &amp; X20 &amp; U20 &amp; O20 &amp; I20 &amp; P84</t>
        </r>
      </text>
    </comment>
    <comment ref="D13" authorId="0" shapeId="0" xr:uid="{6D04F904-6C8B-45C5-AD97-41B53EAB35B1}">
      <text>
        <r>
          <rPr>
            <b/>
            <sz val="8.5"/>
            <color indexed="8"/>
            <rFont val="Calibri"/>
            <family val="2"/>
          </rPr>
          <t xml:space="preserve">-{ </t>
        </r>
        <r>
          <rPr>
            <b/>
            <sz val="10"/>
            <color indexed="10"/>
            <rFont val="Calibri"/>
            <family val="2"/>
          </rPr>
          <t>SM488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168 PAX]_x000D_
_x000D_
[</t>
        </r>
        <r>
          <rPr>
            <b/>
            <sz val="8.5"/>
            <color indexed="21"/>
            <rFont val="Calibri"/>
            <family val="2"/>
          </rPr>
          <t xml:space="preserve">WEEKLY </t>
        </r>
        <r>
          <rPr>
            <b/>
            <sz val="8.5"/>
            <color indexed="8"/>
            <rFont val="Calibri"/>
            <family val="2"/>
          </rPr>
          <t>» 38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S4 &amp; X20 &amp; U20 &amp; O20 &amp; I20 &amp; P84</t>
        </r>
      </text>
    </comment>
    <comment ref="E13" authorId="0" shapeId="0" xr:uid="{4F9CFD06-17B9-48D4-BB7F-FE2D69E2870F}">
      <text>
        <r>
          <rPr>
            <b/>
            <sz val="8.5"/>
            <color indexed="8"/>
            <rFont val="Calibri"/>
            <family val="2"/>
          </rPr>
          <t xml:space="preserve">-{ </t>
        </r>
        <r>
          <rPr>
            <b/>
            <sz val="10"/>
            <color indexed="10"/>
            <rFont val="Calibri"/>
            <family val="2"/>
          </rPr>
          <t>SM488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168 PAX]_x000D_
_x000D_
[</t>
        </r>
        <r>
          <rPr>
            <b/>
            <sz val="8.5"/>
            <color indexed="21"/>
            <rFont val="Calibri"/>
            <family val="2"/>
          </rPr>
          <t xml:space="preserve">WEEKLY </t>
        </r>
        <r>
          <rPr>
            <b/>
            <sz val="8.5"/>
            <color indexed="8"/>
            <rFont val="Calibri"/>
            <family val="2"/>
          </rPr>
          <t>» 38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S4 &amp; X20 &amp; U20 &amp; O20 &amp; I20 &amp; P84</t>
        </r>
      </text>
    </comment>
    <comment ref="F13" authorId="0" shapeId="0" xr:uid="{74D36FD8-00FE-4D5F-AD60-0C8E85B1C9BC}">
      <text>
        <r>
          <rPr>
            <b/>
            <sz val="8.5"/>
            <color indexed="8"/>
            <rFont val="Calibri"/>
            <family val="2"/>
          </rPr>
          <t xml:space="preserve">-{ </t>
        </r>
        <r>
          <rPr>
            <b/>
            <sz val="10"/>
            <color indexed="10"/>
            <rFont val="Calibri"/>
            <family val="2"/>
          </rPr>
          <t>SM488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168 PAX]_x000D_
_x000D_
[</t>
        </r>
        <r>
          <rPr>
            <b/>
            <sz val="8.5"/>
            <color indexed="21"/>
            <rFont val="Calibri"/>
            <family val="2"/>
          </rPr>
          <t xml:space="preserve">WEEKLY </t>
        </r>
        <r>
          <rPr>
            <b/>
            <sz val="8.5"/>
            <color indexed="8"/>
            <rFont val="Calibri"/>
            <family val="2"/>
          </rPr>
          <t>» 38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S4 &amp; X20 &amp; U20 &amp; O20 &amp; I20 &amp; P84</t>
        </r>
      </text>
    </comment>
    <comment ref="G13" authorId="0" shapeId="0" xr:uid="{DCA66796-64C3-4B03-949B-37B0C6951643}">
      <text>
        <r>
          <rPr>
            <b/>
            <sz val="8.5"/>
            <color indexed="8"/>
            <rFont val="Calibri"/>
            <family val="2"/>
          </rPr>
          <t xml:space="preserve">-{ </t>
        </r>
        <r>
          <rPr>
            <b/>
            <sz val="10"/>
            <color indexed="10"/>
            <rFont val="Calibri"/>
            <family val="2"/>
          </rPr>
          <t>SM488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168 PAX]_x000D_
_x000D_
[</t>
        </r>
        <r>
          <rPr>
            <b/>
            <sz val="8.5"/>
            <color indexed="21"/>
            <rFont val="Calibri"/>
            <family val="2"/>
          </rPr>
          <t xml:space="preserve">WEEKLY </t>
        </r>
        <r>
          <rPr>
            <b/>
            <sz val="8.5"/>
            <color indexed="8"/>
            <rFont val="Calibri"/>
            <family val="2"/>
          </rPr>
          <t>» 38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S4 &amp; X20 &amp; U20 &amp; O20 &amp; I20 &amp; P84</t>
        </r>
      </text>
    </comment>
    <comment ref="H13" authorId="0" shapeId="0" xr:uid="{C6E5B2D5-DC8C-478D-8A40-FB7126EF1916}">
      <text>
        <r>
          <rPr>
            <b/>
            <sz val="8.5"/>
            <color indexed="8"/>
            <rFont val="Calibri"/>
            <family val="2"/>
          </rPr>
          <t xml:space="preserve">-{ </t>
        </r>
        <r>
          <rPr>
            <b/>
            <sz val="10"/>
            <color indexed="10"/>
            <rFont val="Calibri"/>
            <family val="2"/>
          </rPr>
          <t>SM488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168 PAX]_x000D_
_x000D_
[</t>
        </r>
        <r>
          <rPr>
            <b/>
            <sz val="8.5"/>
            <color indexed="21"/>
            <rFont val="Calibri"/>
            <family val="2"/>
          </rPr>
          <t xml:space="preserve">WEEKLY </t>
        </r>
        <r>
          <rPr>
            <b/>
            <sz val="8.5"/>
            <color indexed="8"/>
            <rFont val="Calibri"/>
            <family val="2"/>
          </rPr>
          <t>» 38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S4 &amp; X20 &amp; U20 &amp; O20 &amp; I20 &amp; P84</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14" authorId="0" shapeId="0" xr:uid="{EBE52FAA-1ECA-47B4-B3D3-C75A76C0B397}">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26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G1]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V30 &amp; L21 &amp; G21 &amp; S16 &amp; W5 &amp; X1</t>
        </r>
      </text>
    </comment>
    <comment ref="B14" authorId="0" shapeId="0" xr:uid="{BF9AE122-EEA7-4EA6-B213-239D948AF369}">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26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G1]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V30 &amp; L21 &amp; G21 &amp; S16 &amp; W5 &amp; X1</t>
        </r>
      </text>
    </comment>
    <comment ref="C14" authorId="0" shapeId="0" xr:uid="{4572052D-166D-4C11-8BDD-85BBB7E00F81}">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26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G1]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V30 &amp; L21 &amp; G21 &amp; S16 &amp; W5 &amp; X1</t>
        </r>
      </text>
    </comment>
    <comment ref="D14" authorId="0" shapeId="0" xr:uid="{0CFC4B91-086F-4CDC-8791-81435608138C}">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26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G1]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V30 &amp; L21 &amp; G21 &amp; S16 &amp; W5 &amp; X1</t>
        </r>
      </text>
    </comment>
    <comment ref="E14" authorId="0" shapeId="0" xr:uid="{906685FE-CAA5-4133-BE8B-76064D30B0B5}">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26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G1]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V30 &amp; L21 &amp; G21 &amp; S16 &amp; W5 &amp; X1</t>
        </r>
      </text>
    </comment>
    <comment ref="F14" authorId="0" shapeId="0" xr:uid="{0AE00435-CE10-47CF-B61D-1CA755776F36}">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26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G1]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V30 &amp; L21 &amp; G21 &amp; S16 &amp; W5 &amp; X1</t>
        </r>
      </text>
    </comment>
    <comment ref="G14" authorId="0" shapeId="0" xr:uid="{6CA661F0-0C15-4A3E-9A55-CBB6BDDA0374}">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26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G1]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V30 &amp; L21 &amp; G21 &amp; S16 &amp; W5 &amp; X1</t>
        </r>
      </text>
    </comment>
    <comment ref="H14" authorId="0" shapeId="0" xr:uid="{4A663BF8-1016-47DC-BDEC-9AAFFD61DEBB}">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26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G1]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V30 &amp; L21 &amp; G21 &amp; S16 &amp; W5 &amp; X1</t>
        </r>
      </text>
    </comment>
    <comment ref="A28" authorId="0" shapeId="0" xr:uid="{38E55B5C-6990-4648-9056-898CBEB4403C}">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53.6%] - [</t>
        </r>
        <r>
          <rPr>
            <b/>
            <sz val="8.5"/>
            <color indexed="48"/>
            <rFont val="Calibri"/>
            <family val="2"/>
          </rPr>
          <t xml:space="preserve">SOLD </t>
        </r>
        <r>
          <rPr>
            <b/>
            <sz val="8.5"/>
            <color indexed="8"/>
            <rFont val="Calibri"/>
            <family val="2"/>
          </rPr>
          <t>» 96 PAX]_x000D_
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V21 &amp; L17 &amp; G22 &amp; S31 &amp; W5</t>
        </r>
      </text>
    </comment>
    <comment ref="B28" authorId="0" shapeId="0" xr:uid="{06418BF7-FD70-4AA3-A462-8EFA98B76E75}">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53.6%] - [</t>
        </r>
        <r>
          <rPr>
            <b/>
            <sz val="8.5"/>
            <color indexed="48"/>
            <rFont val="Calibri"/>
            <family val="2"/>
          </rPr>
          <t xml:space="preserve">SOLD </t>
        </r>
        <r>
          <rPr>
            <b/>
            <sz val="8.5"/>
            <color indexed="8"/>
            <rFont val="Calibri"/>
            <family val="2"/>
          </rPr>
          <t>» 96 PAX]_x000D_
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V21 &amp; L17 &amp; G22 &amp; S31 &amp; W5</t>
        </r>
      </text>
    </comment>
    <comment ref="C28" authorId="0" shapeId="0" xr:uid="{FD590059-E185-416D-A2B2-504D61737EA2}">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53.6%] - [</t>
        </r>
        <r>
          <rPr>
            <b/>
            <sz val="8.5"/>
            <color indexed="48"/>
            <rFont val="Calibri"/>
            <family val="2"/>
          </rPr>
          <t xml:space="preserve">SOLD </t>
        </r>
        <r>
          <rPr>
            <b/>
            <sz val="8.5"/>
            <color indexed="8"/>
            <rFont val="Calibri"/>
            <family val="2"/>
          </rPr>
          <t>» 96 PAX]_x000D_
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V21 &amp; L17 &amp; G22 &amp; S31 &amp; W5</t>
        </r>
      </text>
    </comment>
    <comment ref="D28" authorId="0" shapeId="0" xr:uid="{0DD0BADE-4565-402A-96B9-AE5247BE0294}">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53.6%] - [</t>
        </r>
        <r>
          <rPr>
            <b/>
            <sz val="8.5"/>
            <color indexed="48"/>
            <rFont val="Calibri"/>
            <family val="2"/>
          </rPr>
          <t xml:space="preserve">SOLD </t>
        </r>
        <r>
          <rPr>
            <b/>
            <sz val="8.5"/>
            <color indexed="8"/>
            <rFont val="Calibri"/>
            <family val="2"/>
          </rPr>
          <t>» 96 PAX]_x000D_
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V21 &amp; L17 &amp; G22 &amp; S31 &amp; W5</t>
        </r>
      </text>
    </comment>
    <comment ref="E28" authorId="0" shapeId="0" xr:uid="{9DBEB422-C294-4BD5-8543-C2925A5D3376}">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53.6%] - [</t>
        </r>
        <r>
          <rPr>
            <b/>
            <sz val="8.5"/>
            <color indexed="48"/>
            <rFont val="Calibri"/>
            <family val="2"/>
          </rPr>
          <t xml:space="preserve">SOLD </t>
        </r>
        <r>
          <rPr>
            <b/>
            <sz val="8.5"/>
            <color indexed="8"/>
            <rFont val="Calibri"/>
            <family val="2"/>
          </rPr>
          <t>» 96 PAX]_x000D_
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V21 &amp; L17 &amp; G22 &amp; S31 &amp; W5</t>
        </r>
      </text>
    </comment>
    <comment ref="F28" authorId="0" shapeId="0" xr:uid="{3624D65B-F16A-4572-9A21-865BE5553E19}">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53.6%] - [</t>
        </r>
        <r>
          <rPr>
            <b/>
            <sz val="8.5"/>
            <color indexed="48"/>
            <rFont val="Calibri"/>
            <family val="2"/>
          </rPr>
          <t xml:space="preserve">SOLD </t>
        </r>
        <r>
          <rPr>
            <b/>
            <sz val="8.5"/>
            <color indexed="8"/>
            <rFont val="Calibri"/>
            <family val="2"/>
          </rPr>
          <t>» 96 PAX]_x000D_
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V21 &amp; L17 &amp; G22 &amp; S31 &amp; W5</t>
        </r>
      </text>
    </comment>
    <comment ref="G28" authorId="0" shapeId="0" xr:uid="{AD359FE8-4A6D-4BF4-960C-7B0222C16BF2}">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53.6%] - [</t>
        </r>
        <r>
          <rPr>
            <b/>
            <sz val="8.5"/>
            <color indexed="48"/>
            <rFont val="Calibri"/>
            <family val="2"/>
          </rPr>
          <t xml:space="preserve">SOLD </t>
        </r>
        <r>
          <rPr>
            <b/>
            <sz val="8.5"/>
            <color indexed="8"/>
            <rFont val="Calibri"/>
            <family val="2"/>
          </rPr>
          <t>» 96 PAX]_x000D_
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V21 &amp; L17 &amp; G22 &amp; S31 &amp; W5</t>
        </r>
      </text>
    </comment>
    <comment ref="H28" authorId="0" shapeId="0" xr:uid="{63369F8E-5BCE-454A-BE7D-250E64194D86}">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53.6%] - [</t>
        </r>
        <r>
          <rPr>
            <b/>
            <sz val="8.5"/>
            <color indexed="48"/>
            <rFont val="Calibri"/>
            <family val="2"/>
          </rPr>
          <t xml:space="preserve">SOLD </t>
        </r>
        <r>
          <rPr>
            <b/>
            <sz val="8.5"/>
            <color indexed="8"/>
            <rFont val="Calibri"/>
            <family val="2"/>
          </rPr>
          <t>» 96 PAX]_x000D_
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V21 &amp; L17 &amp; G22 &amp; S31 &amp; W5</t>
        </r>
      </text>
    </comment>
    <comment ref="A29" authorId="0" shapeId="0" xr:uid="{1B3DCCBA-79E2-47C1-B086-8B8D55C1BD22}">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57.5%] - [</t>
        </r>
        <r>
          <rPr>
            <b/>
            <sz val="8.5"/>
            <color indexed="48"/>
            <rFont val="Calibri"/>
            <family val="2"/>
          </rPr>
          <t xml:space="preserve">SOLD </t>
        </r>
        <r>
          <rPr>
            <b/>
            <sz val="8.5"/>
            <color indexed="8"/>
            <rFont val="Calibri"/>
            <family val="2"/>
          </rPr>
          <t>» 103 PAX]_x000D_
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L1]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V20 &amp; L22 &amp; G24 &amp; S32 &amp; W5</t>
        </r>
      </text>
    </comment>
    <comment ref="B29" authorId="0" shapeId="0" xr:uid="{098590B6-92F4-44BF-BD06-D21980F34FAE}">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57.5%] - [</t>
        </r>
        <r>
          <rPr>
            <b/>
            <sz val="8.5"/>
            <color indexed="48"/>
            <rFont val="Calibri"/>
            <family val="2"/>
          </rPr>
          <t xml:space="preserve">SOLD </t>
        </r>
        <r>
          <rPr>
            <b/>
            <sz val="8.5"/>
            <color indexed="8"/>
            <rFont val="Calibri"/>
            <family val="2"/>
          </rPr>
          <t>» 103 PAX]_x000D_
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L1]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V20 &amp; L22 &amp; G24 &amp; S32 &amp; W5</t>
        </r>
      </text>
    </comment>
    <comment ref="C29" authorId="0" shapeId="0" xr:uid="{023A9AD7-340B-4DC6-8A39-C8C24F645749}">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57.5%] - [</t>
        </r>
        <r>
          <rPr>
            <b/>
            <sz val="8.5"/>
            <color indexed="48"/>
            <rFont val="Calibri"/>
            <family val="2"/>
          </rPr>
          <t xml:space="preserve">SOLD </t>
        </r>
        <r>
          <rPr>
            <b/>
            <sz val="8.5"/>
            <color indexed="8"/>
            <rFont val="Calibri"/>
            <family val="2"/>
          </rPr>
          <t>» 103 PAX]_x000D_
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L1]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V20 &amp; L22 &amp; G24 &amp; S32 &amp; W5</t>
        </r>
      </text>
    </comment>
    <comment ref="D29" authorId="0" shapeId="0" xr:uid="{5C501000-8631-455D-A538-5DBDB1B1947F}">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57.5%] - [</t>
        </r>
        <r>
          <rPr>
            <b/>
            <sz val="8.5"/>
            <color indexed="48"/>
            <rFont val="Calibri"/>
            <family val="2"/>
          </rPr>
          <t xml:space="preserve">SOLD </t>
        </r>
        <r>
          <rPr>
            <b/>
            <sz val="8.5"/>
            <color indexed="8"/>
            <rFont val="Calibri"/>
            <family val="2"/>
          </rPr>
          <t>» 103 PAX]_x000D_
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L1]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V20 &amp; L22 &amp; G24 &amp; S32 &amp; W5</t>
        </r>
      </text>
    </comment>
    <comment ref="E29" authorId="0" shapeId="0" xr:uid="{A075B843-DFF7-4EBF-AD40-E36C1C2F4526}">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57.5%] - [</t>
        </r>
        <r>
          <rPr>
            <b/>
            <sz val="8.5"/>
            <color indexed="48"/>
            <rFont val="Calibri"/>
            <family val="2"/>
          </rPr>
          <t xml:space="preserve">SOLD </t>
        </r>
        <r>
          <rPr>
            <b/>
            <sz val="8.5"/>
            <color indexed="8"/>
            <rFont val="Calibri"/>
            <family val="2"/>
          </rPr>
          <t>» 103 PAX]_x000D_
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L1]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V20 &amp; L22 &amp; G24 &amp; S32 &amp; W5</t>
        </r>
      </text>
    </comment>
    <comment ref="F29" authorId="0" shapeId="0" xr:uid="{2D8E759F-ACAF-4E1D-B367-E3CC9EDB2F4B}">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57.5%] - [</t>
        </r>
        <r>
          <rPr>
            <b/>
            <sz val="8.5"/>
            <color indexed="48"/>
            <rFont val="Calibri"/>
            <family val="2"/>
          </rPr>
          <t xml:space="preserve">SOLD </t>
        </r>
        <r>
          <rPr>
            <b/>
            <sz val="8.5"/>
            <color indexed="8"/>
            <rFont val="Calibri"/>
            <family val="2"/>
          </rPr>
          <t>» 103 PAX]_x000D_
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L1]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V20 &amp; L22 &amp; G24 &amp; S32 &amp; W5</t>
        </r>
      </text>
    </comment>
    <comment ref="G29" authorId="0" shapeId="0" xr:uid="{836954D1-9450-4388-BAB3-625C03F6232D}">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57.5%] - [</t>
        </r>
        <r>
          <rPr>
            <b/>
            <sz val="8.5"/>
            <color indexed="48"/>
            <rFont val="Calibri"/>
            <family val="2"/>
          </rPr>
          <t xml:space="preserve">SOLD </t>
        </r>
        <r>
          <rPr>
            <b/>
            <sz val="8.5"/>
            <color indexed="8"/>
            <rFont val="Calibri"/>
            <family val="2"/>
          </rPr>
          <t>» 103 PAX]_x000D_
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L1]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V20 &amp; L22 &amp; G24 &amp; S32 &amp; W5</t>
        </r>
      </text>
    </comment>
    <comment ref="H29" authorId="0" shapeId="0" xr:uid="{F8CCCD46-BB11-4EC6-BD27-2746149CA4EC}">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57.5%] - [</t>
        </r>
        <r>
          <rPr>
            <b/>
            <sz val="8.5"/>
            <color indexed="48"/>
            <rFont val="Calibri"/>
            <family val="2"/>
          </rPr>
          <t xml:space="preserve">SOLD </t>
        </r>
        <r>
          <rPr>
            <b/>
            <sz val="8.5"/>
            <color indexed="8"/>
            <rFont val="Calibri"/>
            <family val="2"/>
          </rPr>
          <t>» 103 PAX]_x000D_
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L1]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V20 &amp; L22 &amp; G24 &amp; S32 &amp; W5</t>
        </r>
      </text>
    </comment>
    <comment ref="A30" authorId="0" shapeId="0" xr:uid="{832ABFBE-816B-42D7-8A78-0D59B961278E}">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L4]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V16 &amp; L46 &amp; G17 &amp; S13 &amp; W5</t>
        </r>
      </text>
    </comment>
    <comment ref="B30" authorId="0" shapeId="0" xr:uid="{3428B8EC-346F-43BB-9955-875041813FD8}">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L4]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V16 &amp; L46 &amp; G17 &amp; S13 &amp; W5</t>
        </r>
      </text>
    </comment>
    <comment ref="C30" authorId="0" shapeId="0" xr:uid="{C13E2746-9216-4186-B9E3-DE8F49934958}">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L4]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V16 &amp; L46 &amp; G17 &amp; S13 &amp; W5</t>
        </r>
      </text>
    </comment>
    <comment ref="D30" authorId="0" shapeId="0" xr:uid="{E4F201F0-B47F-4309-B966-7B8B2348C0B5}">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L4]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V16 &amp; L46 &amp; G17 &amp; S13 &amp; W5</t>
        </r>
      </text>
    </comment>
    <comment ref="E30" authorId="0" shapeId="0" xr:uid="{AEA340E3-34DC-4775-AB80-6B4D211A2A35}">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L4]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V16 &amp; L46 &amp; G17 &amp; S13 &amp; W5</t>
        </r>
      </text>
    </comment>
    <comment ref="F30" authorId="0" shapeId="0" xr:uid="{2A423224-E75A-4A62-A9B6-D510CF1DE728}">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L4]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V16 &amp; L46 &amp; G17 &amp; S13 &amp; W5</t>
        </r>
      </text>
    </comment>
    <comment ref="G30" authorId="0" shapeId="0" xr:uid="{D91004A4-1FAE-403D-8708-8B9CCB5388AA}">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L4]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V16 &amp; L46 &amp; G17 &amp; S13 &amp; W5</t>
        </r>
      </text>
    </comment>
    <comment ref="H30" authorId="0" shapeId="0" xr:uid="{F59910D4-86AA-4719-A71B-7541B24DFA7C}">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L4]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V16 &amp; L46 &amp; G17 &amp; S13 &amp; W5</t>
        </r>
      </text>
    </comment>
    <comment ref="A38" authorId="0" shapeId="0" xr:uid="{8284EFAC-2C9E-4EFE-85D6-53403ECB26FD}">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59.8%] - [</t>
        </r>
        <r>
          <rPr>
            <b/>
            <sz val="8.5"/>
            <color indexed="48"/>
            <rFont val="Calibri"/>
            <family val="2"/>
          </rPr>
          <t xml:space="preserve">SOLD </t>
        </r>
        <r>
          <rPr>
            <b/>
            <sz val="8.5"/>
            <color indexed="8"/>
            <rFont val="Calibri"/>
            <family val="2"/>
          </rPr>
          <t>» 107 PAX]_x000D_
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K6 &amp; V30 &amp; L15 &amp; G17 &amp; S11 &amp; W5 &amp; T2 &amp; X5 &amp; U6 &amp; O4 &amp; I5 &amp; P1</t>
        </r>
      </text>
    </comment>
    <comment ref="B38" authorId="0" shapeId="0" xr:uid="{3D87009B-96A6-4DA9-A12A-5B7A84D5A715}">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59.8%] - [</t>
        </r>
        <r>
          <rPr>
            <b/>
            <sz val="8.5"/>
            <color indexed="48"/>
            <rFont val="Calibri"/>
            <family val="2"/>
          </rPr>
          <t xml:space="preserve">SOLD </t>
        </r>
        <r>
          <rPr>
            <b/>
            <sz val="8.5"/>
            <color indexed="8"/>
            <rFont val="Calibri"/>
            <family val="2"/>
          </rPr>
          <t>» 107 PAX]_x000D_
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K6 &amp; V30 &amp; L15 &amp; G17 &amp; S11 &amp; W5 &amp; T2 &amp; X5 &amp; U6 &amp; O4 &amp; I5 &amp; P1</t>
        </r>
      </text>
    </comment>
    <comment ref="C38" authorId="0" shapeId="0" xr:uid="{7D714FD5-B962-44AE-9BB3-0A5E54482644}">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59.8%] - [</t>
        </r>
        <r>
          <rPr>
            <b/>
            <sz val="8.5"/>
            <color indexed="48"/>
            <rFont val="Calibri"/>
            <family val="2"/>
          </rPr>
          <t xml:space="preserve">SOLD </t>
        </r>
        <r>
          <rPr>
            <b/>
            <sz val="8.5"/>
            <color indexed="8"/>
            <rFont val="Calibri"/>
            <family val="2"/>
          </rPr>
          <t>» 107 PAX]_x000D_
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K6 &amp; V30 &amp; L15 &amp; G17 &amp; S11 &amp; W5 &amp; T2 &amp; X5 &amp; U6 &amp; O4 &amp; I5 &amp; P1</t>
        </r>
      </text>
    </comment>
    <comment ref="D38" authorId="0" shapeId="0" xr:uid="{CE56446B-F6CB-4EA2-9888-D5325D747766}">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59.8%] - [</t>
        </r>
        <r>
          <rPr>
            <b/>
            <sz val="8.5"/>
            <color indexed="48"/>
            <rFont val="Calibri"/>
            <family val="2"/>
          </rPr>
          <t xml:space="preserve">SOLD </t>
        </r>
        <r>
          <rPr>
            <b/>
            <sz val="8.5"/>
            <color indexed="8"/>
            <rFont val="Calibri"/>
            <family val="2"/>
          </rPr>
          <t>» 107 PAX]_x000D_
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K6 &amp; V30 &amp; L15 &amp; G17 &amp; S11 &amp; W5 &amp; T2 &amp; X5 &amp; U6 &amp; O4 &amp; I5 &amp; P1</t>
        </r>
      </text>
    </comment>
    <comment ref="E38" authorId="0" shapeId="0" xr:uid="{88D6F0EA-B9CF-4B8B-8A2B-20D6C1024E7A}">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59.8%] - [</t>
        </r>
        <r>
          <rPr>
            <b/>
            <sz val="8.5"/>
            <color indexed="48"/>
            <rFont val="Calibri"/>
            <family val="2"/>
          </rPr>
          <t xml:space="preserve">SOLD </t>
        </r>
        <r>
          <rPr>
            <b/>
            <sz val="8.5"/>
            <color indexed="8"/>
            <rFont val="Calibri"/>
            <family val="2"/>
          </rPr>
          <t>» 107 PAX]_x000D_
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K6 &amp; V30 &amp; L15 &amp; G17 &amp; S11 &amp; W5 &amp; T2 &amp; X5 &amp; U6 &amp; O4 &amp; I5 &amp; P1</t>
        </r>
      </text>
    </comment>
    <comment ref="F38" authorId="0" shapeId="0" xr:uid="{AD6C5262-8453-4902-93A5-9626F7A622D3}">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59.8%] - [</t>
        </r>
        <r>
          <rPr>
            <b/>
            <sz val="8.5"/>
            <color indexed="48"/>
            <rFont val="Calibri"/>
            <family val="2"/>
          </rPr>
          <t xml:space="preserve">SOLD </t>
        </r>
        <r>
          <rPr>
            <b/>
            <sz val="8.5"/>
            <color indexed="8"/>
            <rFont val="Calibri"/>
            <family val="2"/>
          </rPr>
          <t>» 107 PAX]_x000D_
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K6 &amp; V30 &amp; L15 &amp; G17 &amp; S11 &amp; W5 &amp; T2 &amp; X5 &amp; U6 &amp; O4 &amp; I5 &amp; P1</t>
        </r>
      </text>
    </comment>
    <comment ref="G38" authorId="0" shapeId="0" xr:uid="{CE4828B2-830C-4B62-BB53-AA2581E99F5A}">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59.8%] - [</t>
        </r>
        <r>
          <rPr>
            <b/>
            <sz val="8.5"/>
            <color indexed="48"/>
            <rFont val="Calibri"/>
            <family val="2"/>
          </rPr>
          <t xml:space="preserve">SOLD </t>
        </r>
        <r>
          <rPr>
            <b/>
            <sz val="8.5"/>
            <color indexed="8"/>
            <rFont val="Calibri"/>
            <family val="2"/>
          </rPr>
          <t>» 107 PAX]_x000D_
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K6 &amp; V30 &amp; L15 &amp; G17 &amp; S11 &amp; W5 &amp; T2 &amp; X5 &amp; U6 &amp; O4 &amp; I5 &amp; P1</t>
        </r>
      </text>
    </comment>
    <comment ref="H38" authorId="0" shapeId="0" xr:uid="{723F3CB4-27C6-40CB-90BC-CE86141E3F5E}">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59.8%] - [</t>
        </r>
        <r>
          <rPr>
            <b/>
            <sz val="8.5"/>
            <color indexed="48"/>
            <rFont val="Calibri"/>
            <family val="2"/>
          </rPr>
          <t xml:space="preserve">SOLD </t>
        </r>
        <r>
          <rPr>
            <b/>
            <sz val="8.5"/>
            <color indexed="8"/>
            <rFont val="Calibri"/>
            <family val="2"/>
          </rPr>
          <t>» 107 PAX]_x000D_
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K6 &amp; V30 &amp; L15 &amp; G17 &amp; S11 &amp; W5 &amp; T2 &amp; X5 &amp; U6 &amp; O4 &amp; I5 &amp; P1</t>
        </r>
      </text>
    </comment>
    <comment ref="A71" authorId="0" shapeId="0" xr:uid="{1D358622-D678-4A98-90FA-0897D6D2D38E}">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176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V7 &amp; G1 &amp; S16 &amp; W10 &amp; T10 &amp; X10 &amp; U10 &amp; O10 &amp; I10 &amp; P92</t>
        </r>
      </text>
    </comment>
    <comment ref="B71" authorId="0" shapeId="0" xr:uid="{24B7CBED-84B9-47B3-9203-25ED465EA35A}">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176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V7 &amp; G1 &amp; S16 &amp; W10 &amp; T10 &amp; X10 &amp; U10 &amp; O10 &amp; I10 &amp; P92</t>
        </r>
      </text>
    </comment>
    <comment ref="C71" authorId="0" shapeId="0" xr:uid="{D6CDD7F5-C907-499E-87AB-CE9E01199E18}">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176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V7 &amp; G1 &amp; S16 &amp; W10 &amp; T10 &amp; X10 &amp; U10 &amp; O10 &amp; I10 &amp; P92</t>
        </r>
      </text>
    </comment>
    <comment ref="D71" authorId="0" shapeId="0" xr:uid="{7E33439D-60A9-4AE1-8ECA-57BC7AAAA8E4}">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176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V7 &amp; G1 &amp; S16 &amp; W10 &amp; T10 &amp; X10 &amp; U10 &amp; O10 &amp; I10 &amp; P92</t>
        </r>
      </text>
    </comment>
    <comment ref="E71" authorId="0" shapeId="0" xr:uid="{41B01E98-B327-425C-853A-FD7AFAB20D28}">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176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V7 &amp; G1 &amp; S16 &amp; W10 &amp; T10 &amp; X10 &amp; U10 &amp; O10 &amp; I10 &amp; P92</t>
        </r>
      </text>
    </comment>
    <comment ref="F71" authorId="0" shapeId="0" xr:uid="{5ABAE7F6-6D1A-4514-83F3-9119D988CAB3}">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176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V7 &amp; G1 &amp; S16 &amp; W10 &amp; T10 &amp; X10 &amp; U10 &amp; O10 &amp; I10 &amp; P92</t>
        </r>
      </text>
    </comment>
    <comment ref="G71" authorId="0" shapeId="0" xr:uid="{7B5450B5-824F-4F1D-8471-D675CF818D2A}">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176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V7 &amp; G1 &amp; S16 &amp; W10 &amp; T10 &amp; X10 &amp; U10 &amp; O10 &amp; I10 &amp; P92</t>
        </r>
      </text>
    </comment>
    <comment ref="H71" authorId="0" shapeId="0" xr:uid="{8FAA3696-A80F-4105-9543-E59256204121}">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176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V7 &amp; G1 &amp; S16 &amp; W10 &amp; T10 &amp; X10 &amp; U10 &amp; O10 &amp; I10 &amp; P92</t>
        </r>
      </text>
    </comment>
    <comment ref="A107" authorId="0" shapeId="0" xr:uid="{F4429B1C-68C3-4938-9C60-DE5A7C85FC26}">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178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K1]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K2 &amp; L1 &amp; G3 &amp; S3 &amp; W4 &amp; T10 &amp; X12 &amp; U5 &amp; O6 &amp; I4 &amp; E45 &amp; P82 &amp; N1</t>
        </r>
      </text>
    </comment>
    <comment ref="B107" authorId="0" shapeId="0" xr:uid="{5A7A840F-9B59-46DA-A40C-2C4C66FB45EF}">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178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K1]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K2 &amp; L1 &amp; G3 &amp; S3 &amp; W4 &amp; T10 &amp; X12 &amp; U5 &amp; O6 &amp; I4 &amp; E45 &amp; P82 &amp; N1</t>
        </r>
      </text>
    </comment>
    <comment ref="C107" authorId="0" shapeId="0" xr:uid="{B706E76D-98E4-42A2-A882-3AE702E4FF02}">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178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K1]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K2 &amp; L1 &amp; G3 &amp; S3 &amp; W4 &amp; T10 &amp; X12 &amp; U5 &amp; O6 &amp; I4 &amp; E45 &amp; P82 &amp; N1</t>
        </r>
      </text>
    </comment>
    <comment ref="D107" authorId="0" shapeId="0" xr:uid="{0D0FF6C3-55B4-47EC-812D-017EA2046A4F}">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178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K1]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K2 &amp; L1 &amp; G3 &amp; S3 &amp; W4 &amp; T10 &amp; X12 &amp; U5 &amp; O6 &amp; I4 &amp; E45 &amp; P82 &amp; N1</t>
        </r>
      </text>
    </comment>
    <comment ref="E107" authorId="0" shapeId="0" xr:uid="{8DA8CF81-CD42-46CA-AF46-79B4F54FBB2E}">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178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K1]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K2 &amp; L1 &amp; G3 &amp; S3 &amp; W4 &amp; T10 &amp; X12 &amp; U5 &amp; O6 &amp; I4 &amp; E45 &amp; P82 &amp; N1</t>
        </r>
      </text>
    </comment>
    <comment ref="F107" authorId="0" shapeId="0" xr:uid="{70F0A7E6-ADA7-4637-ACEC-05CBE341A331}">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178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K1]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K2 &amp; L1 &amp; G3 &amp; S3 &amp; W4 &amp; T10 &amp; X12 &amp; U5 &amp; O6 &amp; I4 &amp; E45 &amp; P82 &amp; N1</t>
        </r>
      </text>
    </comment>
    <comment ref="G107" authorId="0" shapeId="0" xr:uid="{A551751E-756E-4218-9B84-886B616247E8}">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178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K1]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K2 &amp; L1 &amp; G3 &amp; S3 &amp; W4 &amp; T10 &amp; X12 &amp; U5 &amp; O6 &amp; I4 &amp; E45 &amp; P82 &amp; N1</t>
        </r>
      </text>
    </comment>
    <comment ref="H107" authorId="0" shapeId="0" xr:uid="{C3BDD01B-1BF2-4040-8EDA-0D8E5D25F3C3}">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178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K1]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K2 &amp; L1 &amp; G3 &amp; S3 &amp; W4 &amp; T10 &amp; X12 &amp; U5 &amp; O6 &amp; I4 &amp; E45 &amp; P82 &amp; N1</t>
        </r>
      </text>
    </comment>
    <comment ref="A144" authorId="0" shapeId="0" xr:uid="{15E8E63A-2E2A-4562-B7E4-CC03097998B3}">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V3 &amp; G16 &amp; S17 &amp; W22 &amp; T10 &amp; X10 &amp; U17 &amp; O17 &amp; I17 &amp; P50</t>
        </r>
      </text>
    </comment>
    <comment ref="B144" authorId="0" shapeId="0" xr:uid="{85076819-C7F7-4D31-A535-96EBDFCCED6D}">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V3 &amp; G16 &amp; S17 &amp; W22 &amp; T10 &amp; X10 &amp; U17 &amp; O17 &amp; I17 &amp; P50</t>
        </r>
      </text>
    </comment>
    <comment ref="C144" authorId="0" shapeId="0" xr:uid="{008588E5-3C45-4B21-AF14-98394BC02753}">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V3 &amp; G16 &amp; S17 &amp; W22 &amp; T10 &amp; X10 &amp; U17 &amp; O17 &amp; I17 &amp; P50</t>
        </r>
      </text>
    </comment>
    <comment ref="D144" authorId="0" shapeId="0" xr:uid="{A11AABAD-3CFE-4EF8-8E0E-13786C892169}">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V3 &amp; G16 &amp; S17 &amp; W22 &amp; T10 &amp; X10 &amp; U17 &amp; O17 &amp; I17 &amp; P50</t>
        </r>
      </text>
    </comment>
    <comment ref="E144" authorId="0" shapeId="0" xr:uid="{1B479A1E-1B77-44B4-8CB7-2FE0ED34F662}">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V3 &amp; G16 &amp; S17 &amp; W22 &amp; T10 &amp; X10 &amp; U17 &amp; O17 &amp; I17 &amp; P50</t>
        </r>
      </text>
    </comment>
    <comment ref="F144" authorId="0" shapeId="0" xr:uid="{CF536B6E-E2AE-41DD-A06E-FC4860D7A9BF}">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V3 &amp; G16 &amp; S17 &amp; W22 &amp; T10 &amp; X10 &amp; U17 &amp; O17 &amp; I17 &amp; P50</t>
        </r>
      </text>
    </comment>
    <comment ref="G144" authorId="0" shapeId="0" xr:uid="{096351DD-3C68-45A9-B9BB-E17C1A68CC32}">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V3 &amp; G16 &amp; S17 &amp; W22 &amp; T10 &amp; X10 &amp; U17 &amp; O17 &amp; I17 &amp; P50</t>
        </r>
      </text>
    </comment>
    <comment ref="H144" authorId="0" shapeId="0" xr:uid="{C2E28C35-7544-4FF1-8618-F355B1693E93}">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V3 &amp; G16 &amp; S17 &amp; W22 &amp; T10 &amp; X10 &amp; U17 &amp; O17 &amp; I17 &amp; P50</t>
        </r>
      </text>
    </comment>
    <comment ref="A145" authorId="0" shapeId="0" xr:uid="{7AF75461-D657-4DCC-A732-49BDB718CD46}">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K5 &amp; L6 &amp; S24 &amp; W5 &amp; P135 &amp; N4</t>
        </r>
      </text>
    </comment>
    <comment ref="B145" authorId="0" shapeId="0" xr:uid="{E4B8C999-30D4-4BCB-BF0A-108A46721A35}">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K5 &amp; L6 &amp; S24 &amp; W5 &amp; P135 &amp; N4</t>
        </r>
      </text>
    </comment>
    <comment ref="C145" authorId="0" shapeId="0" xr:uid="{9F3E65F3-1292-492E-A35C-2D1B2E79890D}">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K5 &amp; L6 &amp; S24 &amp; W5 &amp; P135 &amp; N4</t>
        </r>
      </text>
    </comment>
    <comment ref="D145" authorId="0" shapeId="0" xr:uid="{9A8AD924-6991-4383-9387-373A4D7FB5C2}">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K5 &amp; L6 &amp; S24 &amp; W5 &amp; P135 &amp; N4</t>
        </r>
      </text>
    </comment>
    <comment ref="E145" authorId="0" shapeId="0" xr:uid="{0DE7B6A5-A2AC-42C9-B72C-C4F8C43F5499}">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K5 &amp; L6 &amp; S24 &amp; W5 &amp; P135 &amp; N4</t>
        </r>
      </text>
    </comment>
    <comment ref="F145" authorId="0" shapeId="0" xr:uid="{A1F56F4E-9FB0-4B88-8734-7EEC259FE326}">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K5 &amp; L6 &amp; S24 &amp; W5 &amp; P135 &amp; N4</t>
        </r>
      </text>
    </comment>
    <comment ref="G145" authorId="0" shapeId="0" xr:uid="{DDD9FDB6-ABF7-47EF-AE11-351A8C12C2B5}">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K5 &amp; L6 &amp; S24 &amp; W5 &amp; P135 &amp; N4</t>
        </r>
      </text>
    </comment>
    <comment ref="H145" authorId="0" shapeId="0" xr:uid="{7E821297-3BE4-4A2B-B75A-1E7B9747EE37}">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K5 &amp; L6 &amp; S24 &amp; W5 &amp; P135 &amp; N4</t>
        </r>
      </text>
    </comment>
    <comment ref="A163" authorId="0" shapeId="0" xr:uid="{4BD200CF-34A5-4C44-86C2-05E2E1D74EA8}">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61.5%] - [</t>
        </r>
        <r>
          <rPr>
            <b/>
            <sz val="8.5"/>
            <color indexed="48"/>
            <rFont val="Calibri"/>
            <family val="2"/>
          </rPr>
          <t xml:space="preserve">SOLD </t>
        </r>
        <r>
          <rPr>
            <b/>
            <sz val="8.5"/>
            <color indexed="8"/>
            <rFont val="Calibri"/>
            <family val="2"/>
          </rPr>
          <t>» 110 PAX]_x000D_
_x000D_
[</t>
        </r>
        <r>
          <rPr>
            <b/>
            <sz val="8.5"/>
            <color indexed="21"/>
            <rFont val="Calibri"/>
            <family val="2"/>
          </rPr>
          <t xml:space="preserve">WEEKLY </t>
        </r>
        <r>
          <rPr>
            <b/>
            <sz val="8.5"/>
            <color indexed="8"/>
            <rFont val="Calibri"/>
            <family val="2"/>
          </rPr>
          <t>» 49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S2]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S13 &amp; W17 &amp; T33 &amp; X4 &amp; U5 &amp; O4 &amp; I4 &amp; P28 &amp; N2</t>
        </r>
      </text>
    </comment>
    <comment ref="B163" authorId="0" shapeId="0" xr:uid="{832F1185-34FE-4A56-9EED-F8DA2FA2F065}">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61.5%] - [</t>
        </r>
        <r>
          <rPr>
            <b/>
            <sz val="8.5"/>
            <color indexed="48"/>
            <rFont val="Calibri"/>
            <family val="2"/>
          </rPr>
          <t xml:space="preserve">SOLD </t>
        </r>
        <r>
          <rPr>
            <b/>
            <sz val="8.5"/>
            <color indexed="8"/>
            <rFont val="Calibri"/>
            <family val="2"/>
          </rPr>
          <t>» 110 PAX]_x000D_
_x000D_
[</t>
        </r>
        <r>
          <rPr>
            <b/>
            <sz val="8.5"/>
            <color indexed="21"/>
            <rFont val="Calibri"/>
            <family val="2"/>
          </rPr>
          <t xml:space="preserve">WEEKLY </t>
        </r>
        <r>
          <rPr>
            <b/>
            <sz val="8.5"/>
            <color indexed="8"/>
            <rFont val="Calibri"/>
            <family val="2"/>
          </rPr>
          <t>» 49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S2]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S13 &amp; W17 &amp; T33 &amp; X4 &amp; U5 &amp; O4 &amp; I4 &amp; P28 &amp; N2</t>
        </r>
      </text>
    </comment>
    <comment ref="C163" authorId="0" shapeId="0" xr:uid="{35497844-B02E-4591-BD34-F17F1C35F1C0}">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61.5%] - [</t>
        </r>
        <r>
          <rPr>
            <b/>
            <sz val="8.5"/>
            <color indexed="48"/>
            <rFont val="Calibri"/>
            <family val="2"/>
          </rPr>
          <t xml:space="preserve">SOLD </t>
        </r>
        <r>
          <rPr>
            <b/>
            <sz val="8.5"/>
            <color indexed="8"/>
            <rFont val="Calibri"/>
            <family val="2"/>
          </rPr>
          <t>» 110 PAX]_x000D_
_x000D_
[</t>
        </r>
        <r>
          <rPr>
            <b/>
            <sz val="8.5"/>
            <color indexed="21"/>
            <rFont val="Calibri"/>
            <family val="2"/>
          </rPr>
          <t xml:space="preserve">WEEKLY </t>
        </r>
        <r>
          <rPr>
            <b/>
            <sz val="8.5"/>
            <color indexed="8"/>
            <rFont val="Calibri"/>
            <family val="2"/>
          </rPr>
          <t>» 49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S2]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S13 &amp; W17 &amp; T33 &amp; X4 &amp; U5 &amp; O4 &amp; I4 &amp; P28 &amp; N2</t>
        </r>
      </text>
    </comment>
    <comment ref="D163" authorId="0" shapeId="0" xr:uid="{4AEC5D02-6527-4A7A-82C4-32DBC65A8920}">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61.5%] - [</t>
        </r>
        <r>
          <rPr>
            <b/>
            <sz val="8.5"/>
            <color indexed="48"/>
            <rFont val="Calibri"/>
            <family val="2"/>
          </rPr>
          <t xml:space="preserve">SOLD </t>
        </r>
        <r>
          <rPr>
            <b/>
            <sz val="8.5"/>
            <color indexed="8"/>
            <rFont val="Calibri"/>
            <family val="2"/>
          </rPr>
          <t>» 110 PAX]_x000D_
_x000D_
[</t>
        </r>
        <r>
          <rPr>
            <b/>
            <sz val="8.5"/>
            <color indexed="21"/>
            <rFont val="Calibri"/>
            <family val="2"/>
          </rPr>
          <t xml:space="preserve">WEEKLY </t>
        </r>
        <r>
          <rPr>
            <b/>
            <sz val="8.5"/>
            <color indexed="8"/>
            <rFont val="Calibri"/>
            <family val="2"/>
          </rPr>
          <t>» 49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S2]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S13 &amp; W17 &amp; T33 &amp; X4 &amp; U5 &amp; O4 &amp; I4 &amp; P28 &amp; N2</t>
        </r>
      </text>
    </comment>
    <comment ref="E163" authorId="0" shapeId="0" xr:uid="{D1CE858C-9D64-41AA-AD5C-0EB4ACB252E4}">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61.5%] - [</t>
        </r>
        <r>
          <rPr>
            <b/>
            <sz val="8.5"/>
            <color indexed="48"/>
            <rFont val="Calibri"/>
            <family val="2"/>
          </rPr>
          <t xml:space="preserve">SOLD </t>
        </r>
        <r>
          <rPr>
            <b/>
            <sz val="8.5"/>
            <color indexed="8"/>
            <rFont val="Calibri"/>
            <family val="2"/>
          </rPr>
          <t>» 110 PAX]_x000D_
_x000D_
[</t>
        </r>
        <r>
          <rPr>
            <b/>
            <sz val="8.5"/>
            <color indexed="21"/>
            <rFont val="Calibri"/>
            <family val="2"/>
          </rPr>
          <t xml:space="preserve">WEEKLY </t>
        </r>
        <r>
          <rPr>
            <b/>
            <sz val="8.5"/>
            <color indexed="8"/>
            <rFont val="Calibri"/>
            <family val="2"/>
          </rPr>
          <t>» 49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S2]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S13 &amp; W17 &amp; T33 &amp; X4 &amp; U5 &amp; O4 &amp; I4 &amp; P28 &amp; N2</t>
        </r>
      </text>
    </comment>
    <comment ref="F163" authorId="0" shapeId="0" xr:uid="{A086304D-E7FA-4B95-9161-7C3F5C578C11}">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61.5%] - [</t>
        </r>
        <r>
          <rPr>
            <b/>
            <sz val="8.5"/>
            <color indexed="48"/>
            <rFont val="Calibri"/>
            <family val="2"/>
          </rPr>
          <t xml:space="preserve">SOLD </t>
        </r>
        <r>
          <rPr>
            <b/>
            <sz val="8.5"/>
            <color indexed="8"/>
            <rFont val="Calibri"/>
            <family val="2"/>
          </rPr>
          <t>» 110 PAX]_x000D_
_x000D_
[</t>
        </r>
        <r>
          <rPr>
            <b/>
            <sz val="8.5"/>
            <color indexed="21"/>
            <rFont val="Calibri"/>
            <family val="2"/>
          </rPr>
          <t xml:space="preserve">WEEKLY </t>
        </r>
        <r>
          <rPr>
            <b/>
            <sz val="8.5"/>
            <color indexed="8"/>
            <rFont val="Calibri"/>
            <family val="2"/>
          </rPr>
          <t>» 49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S2]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S13 &amp; W17 &amp; T33 &amp; X4 &amp; U5 &amp; O4 &amp; I4 &amp; P28 &amp; N2</t>
        </r>
      </text>
    </comment>
    <comment ref="G163" authorId="0" shapeId="0" xr:uid="{7F7EBB3B-7879-4860-AE15-DD4392847575}">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61.5%] - [</t>
        </r>
        <r>
          <rPr>
            <b/>
            <sz val="8.5"/>
            <color indexed="48"/>
            <rFont val="Calibri"/>
            <family val="2"/>
          </rPr>
          <t xml:space="preserve">SOLD </t>
        </r>
        <r>
          <rPr>
            <b/>
            <sz val="8.5"/>
            <color indexed="8"/>
            <rFont val="Calibri"/>
            <family val="2"/>
          </rPr>
          <t>» 110 PAX]_x000D_
_x000D_
[</t>
        </r>
        <r>
          <rPr>
            <b/>
            <sz val="8.5"/>
            <color indexed="21"/>
            <rFont val="Calibri"/>
            <family val="2"/>
          </rPr>
          <t xml:space="preserve">WEEKLY </t>
        </r>
        <r>
          <rPr>
            <b/>
            <sz val="8.5"/>
            <color indexed="8"/>
            <rFont val="Calibri"/>
            <family val="2"/>
          </rPr>
          <t>» 49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S2]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S13 &amp; W17 &amp; T33 &amp; X4 &amp; U5 &amp; O4 &amp; I4 &amp; P28 &amp; N2</t>
        </r>
      </text>
    </comment>
    <comment ref="H163" authorId="0" shapeId="0" xr:uid="{EE4E8D50-EAC1-40AA-8A98-D77A86A38AB0}">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61.5%] - [</t>
        </r>
        <r>
          <rPr>
            <b/>
            <sz val="8.5"/>
            <color indexed="48"/>
            <rFont val="Calibri"/>
            <family val="2"/>
          </rPr>
          <t xml:space="preserve">SOLD </t>
        </r>
        <r>
          <rPr>
            <b/>
            <sz val="8.5"/>
            <color indexed="8"/>
            <rFont val="Calibri"/>
            <family val="2"/>
          </rPr>
          <t>» 110 PAX]_x000D_
_x000D_
[</t>
        </r>
        <r>
          <rPr>
            <b/>
            <sz val="8.5"/>
            <color indexed="21"/>
            <rFont val="Calibri"/>
            <family val="2"/>
          </rPr>
          <t xml:space="preserve">WEEKLY </t>
        </r>
        <r>
          <rPr>
            <b/>
            <sz val="8.5"/>
            <color indexed="8"/>
            <rFont val="Calibri"/>
            <family val="2"/>
          </rPr>
          <t>» 49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S2]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S13 &amp; W17 &amp; T33 &amp; X4 &amp; U5 &amp; O4 &amp; I4 &amp; P28 &amp; N2</t>
        </r>
      </text>
    </comment>
    <comment ref="A164" authorId="0" shapeId="0" xr:uid="{370EEECD-C696-4D8C-BD86-FBD3C8021907}">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34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S5]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G5 &amp; S32 &amp; W20 &amp; T16 &amp; X9 &amp; U5 &amp; O5 &amp; I5</t>
        </r>
      </text>
    </comment>
    <comment ref="B164" authorId="0" shapeId="0" xr:uid="{48BA1119-E08F-4F29-9175-87B7DADD4D95}">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34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S5]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G5 &amp; S32 &amp; W20 &amp; T16 &amp; X9 &amp; U5 &amp; O5 &amp; I5</t>
        </r>
      </text>
    </comment>
    <comment ref="C164" authorId="0" shapeId="0" xr:uid="{7041C17D-22D8-4121-AB79-485CB7C380E0}">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34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S5]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G5 &amp; S32 &amp; W20 &amp; T16 &amp; X9 &amp; U5 &amp; O5 &amp; I5</t>
        </r>
      </text>
    </comment>
    <comment ref="D164" authorId="0" shapeId="0" xr:uid="{83546510-F9EA-49CB-8F1C-FA89B4A319F2}">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34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S5]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G5 &amp; S32 &amp; W20 &amp; T16 &amp; X9 &amp; U5 &amp; O5 &amp; I5</t>
        </r>
      </text>
    </comment>
    <comment ref="E164" authorId="0" shapeId="0" xr:uid="{66120E11-F672-4B77-99B5-EADA4C318D37}">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34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S5]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G5 &amp; S32 &amp; W20 &amp; T16 &amp; X9 &amp; U5 &amp; O5 &amp; I5</t>
        </r>
      </text>
    </comment>
    <comment ref="F164" authorId="0" shapeId="0" xr:uid="{31BE7BDA-3927-425D-9C6C-D4AC757FA085}">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34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S5]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G5 &amp; S32 &amp; W20 &amp; T16 &amp; X9 &amp; U5 &amp; O5 &amp; I5</t>
        </r>
      </text>
    </comment>
    <comment ref="G164" authorId="0" shapeId="0" xr:uid="{20275363-22E4-470C-AECD-3060A6E5460A}">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34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S5]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G5 &amp; S32 &amp; W20 &amp; T16 &amp; X9 &amp; U5 &amp; O5 &amp; I5</t>
        </r>
      </text>
    </comment>
    <comment ref="H164" authorId="0" shapeId="0" xr:uid="{2BE88370-6044-467A-B203-F9EE9464B71A}">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34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S5]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G5 &amp; S32 &amp; W20 &amp; T16 &amp; X9 &amp; U5 &amp; O5 &amp; I5</t>
        </r>
      </text>
    </comment>
    <comment ref="A165" authorId="0" shapeId="0" xr:uid="{057C01EE-28E0-4315-B482-3F1041CCFB80}">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88.7%] - [</t>
        </r>
        <r>
          <rPr>
            <b/>
            <sz val="8.5"/>
            <color indexed="48"/>
            <rFont val="Calibri"/>
            <family val="2"/>
          </rPr>
          <t xml:space="preserve">SOLD </t>
        </r>
        <r>
          <rPr>
            <b/>
            <sz val="8.5"/>
            <color indexed="8"/>
            <rFont val="Calibri"/>
            <family val="2"/>
          </rPr>
          <t>» 149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S10 &amp; W20 &amp; T18 &amp; X9 &amp; U20 &amp; O4 &amp; I5 &amp; P62</t>
        </r>
      </text>
    </comment>
    <comment ref="B165" authorId="0" shapeId="0" xr:uid="{F1A132A3-9010-4EFD-839E-78E9EC594829}">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88.7%] - [</t>
        </r>
        <r>
          <rPr>
            <b/>
            <sz val="8.5"/>
            <color indexed="48"/>
            <rFont val="Calibri"/>
            <family val="2"/>
          </rPr>
          <t xml:space="preserve">SOLD </t>
        </r>
        <r>
          <rPr>
            <b/>
            <sz val="8.5"/>
            <color indexed="8"/>
            <rFont val="Calibri"/>
            <family val="2"/>
          </rPr>
          <t>» 149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S10 &amp; W20 &amp; T18 &amp; X9 &amp; U20 &amp; O4 &amp; I5 &amp; P62</t>
        </r>
      </text>
    </comment>
    <comment ref="C165" authorId="0" shapeId="0" xr:uid="{EA6819F7-CB67-4CE2-B6B8-1C020527C766}">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88.7%] - [</t>
        </r>
        <r>
          <rPr>
            <b/>
            <sz val="8.5"/>
            <color indexed="48"/>
            <rFont val="Calibri"/>
            <family val="2"/>
          </rPr>
          <t xml:space="preserve">SOLD </t>
        </r>
        <r>
          <rPr>
            <b/>
            <sz val="8.5"/>
            <color indexed="8"/>
            <rFont val="Calibri"/>
            <family val="2"/>
          </rPr>
          <t>» 149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S10 &amp; W20 &amp; T18 &amp; X9 &amp; U20 &amp; O4 &amp; I5 &amp; P62</t>
        </r>
      </text>
    </comment>
    <comment ref="D165" authorId="0" shapeId="0" xr:uid="{5745AEFF-0229-49FB-A12B-71267F6F6532}">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88.7%] - [</t>
        </r>
        <r>
          <rPr>
            <b/>
            <sz val="8.5"/>
            <color indexed="48"/>
            <rFont val="Calibri"/>
            <family val="2"/>
          </rPr>
          <t xml:space="preserve">SOLD </t>
        </r>
        <r>
          <rPr>
            <b/>
            <sz val="8.5"/>
            <color indexed="8"/>
            <rFont val="Calibri"/>
            <family val="2"/>
          </rPr>
          <t>» 149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S10 &amp; W20 &amp; T18 &amp; X9 &amp; U20 &amp; O4 &amp; I5 &amp; P62</t>
        </r>
      </text>
    </comment>
    <comment ref="E165" authorId="0" shapeId="0" xr:uid="{B8097666-4F7F-4B2E-815B-97F412331F96}">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88.7%] - [</t>
        </r>
        <r>
          <rPr>
            <b/>
            <sz val="8.5"/>
            <color indexed="48"/>
            <rFont val="Calibri"/>
            <family val="2"/>
          </rPr>
          <t xml:space="preserve">SOLD </t>
        </r>
        <r>
          <rPr>
            <b/>
            <sz val="8.5"/>
            <color indexed="8"/>
            <rFont val="Calibri"/>
            <family val="2"/>
          </rPr>
          <t>» 149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S10 &amp; W20 &amp; T18 &amp; X9 &amp; U20 &amp; O4 &amp; I5 &amp; P62</t>
        </r>
      </text>
    </comment>
    <comment ref="F165" authorId="0" shapeId="0" xr:uid="{460A776B-C4C7-4CBD-A965-180D942F4BC4}">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88.7%] - [</t>
        </r>
        <r>
          <rPr>
            <b/>
            <sz val="8.5"/>
            <color indexed="48"/>
            <rFont val="Calibri"/>
            <family val="2"/>
          </rPr>
          <t xml:space="preserve">SOLD </t>
        </r>
        <r>
          <rPr>
            <b/>
            <sz val="8.5"/>
            <color indexed="8"/>
            <rFont val="Calibri"/>
            <family val="2"/>
          </rPr>
          <t>» 149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S10 &amp; W20 &amp; T18 &amp; X9 &amp; U20 &amp; O4 &amp; I5 &amp; P62</t>
        </r>
      </text>
    </comment>
    <comment ref="G165" authorId="0" shapeId="0" xr:uid="{00458AA9-669D-4EF7-B5F5-618EE737BC72}">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88.7%] - [</t>
        </r>
        <r>
          <rPr>
            <b/>
            <sz val="8.5"/>
            <color indexed="48"/>
            <rFont val="Calibri"/>
            <family val="2"/>
          </rPr>
          <t xml:space="preserve">SOLD </t>
        </r>
        <r>
          <rPr>
            <b/>
            <sz val="8.5"/>
            <color indexed="8"/>
            <rFont val="Calibri"/>
            <family val="2"/>
          </rPr>
          <t>» 149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S10 &amp; W20 &amp; T18 &amp; X9 &amp; U20 &amp; O4 &amp; I5 &amp; P62</t>
        </r>
      </text>
    </comment>
    <comment ref="H165" authorId="0" shapeId="0" xr:uid="{DF25AAB3-E0DC-477C-973B-222A7EC26559}">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88.7%] - [</t>
        </r>
        <r>
          <rPr>
            <b/>
            <sz val="8.5"/>
            <color indexed="48"/>
            <rFont val="Calibri"/>
            <family val="2"/>
          </rPr>
          <t xml:space="preserve">SOLD </t>
        </r>
        <r>
          <rPr>
            <b/>
            <sz val="8.5"/>
            <color indexed="8"/>
            <rFont val="Calibri"/>
            <family val="2"/>
          </rPr>
          <t>» 149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S10 &amp; W20 &amp; T18 &amp; X9 &amp; U20 &amp; O4 &amp; I5 &amp; P62</t>
        </r>
      </text>
    </comment>
    <comment ref="A166" authorId="0" shapeId="0" xr:uid="{57F69AC6-F18E-42F6-92CF-024C0444A6A1}">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92.2%] - [</t>
        </r>
        <r>
          <rPr>
            <b/>
            <sz val="8.5"/>
            <color indexed="48"/>
            <rFont val="Calibri"/>
            <family val="2"/>
          </rPr>
          <t xml:space="preserve">SOLD </t>
        </r>
        <r>
          <rPr>
            <b/>
            <sz val="8.5"/>
            <color indexed="8"/>
            <rFont val="Calibri"/>
            <family val="2"/>
          </rPr>
          <t>» 165 PAX]_x000D_
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G5]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L6 &amp; G3 &amp; S13 &amp; U3 &amp; O5 &amp; I7 &amp; P128</t>
        </r>
      </text>
    </comment>
    <comment ref="B166" authorId="0" shapeId="0" xr:uid="{96417A18-BAA6-4B39-B242-35685B7BC26A}">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92.2%] - [</t>
        </r>
        <r>
          <rPr>
            <b/>
            <sz val="8.5"/>
            <color indexed="48"/>
            <rFont val="Calibri"/>
            <family val="2"/>
          </rPr>
          <t xml:space="preserve">SOLD </t>
        </r>
        <r>
          <rPr>
            <b/>
            <sz val="8.5"/>
            <color indexed="8"/>
            <rFont val="Calibri"/>
            <family val="2"/>
          </rPr>
          <t>» 165 PAX]_x000D_
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G5]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L6 &amp; G3 &amp; S13 &amp; U3 &amp; O5 &amp; I7 &amp; P128</t>
        </r>
      </text>
    </comment>
    <comment ref="C166" authorId="0" shapeId="0" xr:uid="{C1273492-E329-46A0-B9CF-DBF2AAE497E0}">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92.2%] - [</t>
        </r>
        <r>
          <rPr>
            <b/>
            <sz val="8.5"/>
            <color indexed="48"/>
            <rFont val="Calibri"/>
            <family val="2"/>
          </rPr>
          <t xml:space="preserve">SOLD </t>
        </r>
        <r>
          <rPr>
            <b/>
            <sz val="8.5"/>
            <color indexed="8"/>
            <rFont val="Calibri"/>
            <family val="2"/>
          </rPr>
          <t>» 165 PAX]_x000D_
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G5]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L6 &amp; G3 &amp; S13 &amp; U3 &amp; O5 &amp; I7 &amp; P128</t>
        </r>
      </text>
    </comment>
    <comment ref="D166" authorId="0" shapeId="0" xr:uid="{B814E89A-8613-4A85-8642-15ED9D2B0D1D}">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92.2%] - [</t>
        </r>
        <r>
          <rPr>
            <b/>
            <sz val="8.5"/>
            <color indexed="48"/>
            <rFont val="Calibri"/>
            <family val="2"/>
          </rPr>
          <t xml:space="preserve">SOLD </t>
        </r>
        <r>
          <rPr>
            <b/>
            <sz val="8.5"/>
            <color indexed="8"/>
            <rFont val="Calibri"/>
            <family val="2"/>
          </rPr>
          <t>» 165 PAX]_x000D_
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G5]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L6 &amp; G3 &amp; S13 &amp; U3 &amp; O5 &amp; I7 &amp; P128</t>
        </r>
      </text>
    </comment>
    <comment ref="E166" authorId="0" shapeId="0" xr:uid="{C5091855-E7FB-4ECA-B55F-2B0671A84170}">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92.2%] - [</t>
        </r>
        <r>
          <rPr>
            <b/>
            <sz val="8.5"/>
            <color indexed="48"/>
            <rFont val="Calibri"/>
            <family val="2"/>
          </rPr>
          <t xml:space="preserve">SOLD </t>
        </r>
        <r>
          <rPr>
            <b/>
            <sz val="8.5"/>
            <color indexed="8"/>
            <rFont val="Calibri"/>
            <family val="2"/>
          </rPr>
          <t>» 165 PAX]_x000D_
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G5]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L6 &amp; G3 &amp; S13 &amp; U3 &amp; O5 &amp; I7 &amp; P128</t>
        </r>
      </text>
    </comment>
    <comment ref="F166" authorId="0" shapeId="0" xr:uid="{D96C9E1D-1CE9-4EF4-ACD7-AD67EBD02477}">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92.2%] - [</t>
        </r>
        <r>
          <rPr>
            <b/>
            <sz val="8.5"/>
            <color indexed="48"/>
            <rFont val="Calibri"/>
            <family val="2"/>
          </rPr>
          <t xml:space="preserve">SOLD </t>
        </r>
        <r>
          <rPr>
            <b/>
            <sz val="8.5"/>
            <color indexed="8"/>
            <rFont val="Calibri"/>
            <family val="2"/>
          </rPr>
          <t>» 165 PAX]_x000D_
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G5]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L6 &amp; G3 &amp; S13 &amp; U3 &amp; O5 &amp; I7 &amp; P128</t>
        </r>
      </text>
    </comment>
    <comment ref="G166" authorId="0" shapeId="0" xr:uid="{84335DCC-8D5E-49A4-9289-8469ABAB1B25}">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92.2%] - [</t>
        </r>
        <r>
          <rPr>
            <b/>
            <sz val="8.5"/>
            <color indexed="48"/>
            <rFont val="Calibri"/>
            <family val="2"/>
          </rPr>
          <t xml:space="preserve">SOLD </t>
        </r>
        <r>
          <rPr>
            <b/>
            <sz val="8.5"/>
            <color indexed="8"/>
            <rFont val="Calibri"/>
            <family val="2"/>
          </rPr>
          <t>» 165 PAX]_x000D_
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G5]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L6 &amp; G3 &amp; S13 &amp; U3 &amp; O5 &amp; I7 &amp; P128</t>
        </r>
      </text>
    </comment>
    <comment ref="H166" authorId="0" shapeId="0" xr:uid="{10B859FA-212A-4DD3-B210-22561B145D27}">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92.2%] - [</t>
        </r>
        <r>
          <rPr>
            <b/>
            <sz val="8.5"/>
            <color indexed="48"/>
            <rFont val="Calibri"/>
            <family val="2"/>
          </rPr>
          <t xml:space="preserve">SOLD </t>
        </r>
        <r>
          <rPr>
            <b/>
            <sz val="8.5"/>
            <color indexed="8"/>
            <rFont val="Calibri"/>
            <family val="2"/>
          </rPr>
          <t>» 165 PAX]_x000D_
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G5]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L6 &amp; G3 &amp; S13 &amp; U3 &amp; O5 &amp; I7 &amp; P128</t>
        </r>
      </text>
    </comment>
    <comment ref="A191" authorId="0" shapeId="0" xr:uid="{3083573D-2465-4E86-8FCB-BFBEABF414BC}">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181 PAX]_x000D_
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 &amp; G4 &amp; S11 &amp; T7 &amp; X12 &amp; U5 &amp; O5 &amp; I7 &amp; P129</t>
        </r>
      </text>
    </comment>
    <comment ref="B191" authorId="0" shapeId="0" xr:uid="{330D1917-972C-4E50-A177-0EA619D846E1}">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181 PAX]_x000D_
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 &amp; G4 &amp; S11 &amp; T7 &amp; X12 &amp; U5 &amp; O5 &amp; I7 &amp; P129</t>
        </r>
      </text>
    </comment>
    <comment ref="C191" authorId="0" shapeId="0" xr:uid="{164771B9-5336-4EA1-A130-FCE8BE48A443}">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181 PAX]_x000D_
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 &amp; G4 &amp; S11 &amp; T7 &amp; X12 &amp; U5 &amp; O5 &amp; I7 &amp; P129</t>
        </r>
      </text>
    </comment>
    <comment ref="D191" authorId="0" shapeId="0" xr:uid="{2BDCB458-EAEC-40B7-8718-5B2A37D7A8BD}">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181 PAX]_x000D_
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 &amp; G4 &amp; S11 &amp; T7 &amp; X12 &amp; U5 &amp; O5 &amp; I7 &amp; P129</t>
        </r>
      </text>
    </comment>
    <comment ref="E191" authorId="0" shapeId="0" xr:uid="{3B921E27-EE2D-41B8-8B2E-C0A5623BA8F8}">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181 PAX]_x000D_
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 &amp; G4 &amp; S11 &amp; T7 &amp; X12 &amp; U5 &amp; O5 &amp; I7 &amp; P129</t>
        </r>
      </text>
    </comment>
    <comment ref="F191" authorId="0" shapeId="0" xr:uid="{06C99567-41F4-41EA-820E-9D3179C0AFA6}">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181 PAX]_x000D_
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 &amp; G4 &amp; S11 &amp; T7 &amp; X12 &amp; U5 &amp; O5 &amp; I7 &amp; P129</t>
        </r>
      </text>
    </comment>
    <comment ref="G191" authorId="0" shapeId="0" xr:uid="{D4C9164D-53E2-4B94-BC6C-6D451EFD2494}">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181 PAX]_x000D_
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 &amp; G4 &amp; S11 &amp; T7 &amp; X12 &amp; U5 &amp; O5 &amp; I7 &amp; P129</t>
        </r>
      </text>
    </comment>
    <comment ref="H191" authorId="0" shapeId="0" xr:uid="{00A0A918-9417-4ABC-A8C2-6FA4B2CFECA6}">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181 PAX]_x000D_
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 &amp; G4 &amp; S11 &amp; T7 &amp; X12 &amp; U5 &amp; O5 &amp; I7 &amp; P129</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4" authorId="0" shapeId="0" xr:uid="{7B54D858-5DC6-4047-A759-B02083BDA2B1}">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26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G1]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V30 &amp; L21 &amp; G21 &amp; S16 &amp; W5 &amp; X1</t>
        </r>
      </text>
    </comment>
    <comment ref="B4" authorId="0" shapeId="0" xr:uid="{90FE6F76-991F-4097-9209-19E65B124770}">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26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G1]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V30 &amp; L21 &amp; G21 &amp; S16 &amp; W5 &amp; X1</t>
        </r>
      </text>
    </comment>
    <comment ref="C4" authorId="0" shapeId="0" xr:uid="{8D584AF8-6377-44C5-A245-1F990157FA73}">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26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G1]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V30 &amp; L21 &amp; G21 &amp; S16 &amp; W5 &amp; X1</t>
        </r>
      </text>
    </comment>
    <comment ref="D4" authorId="0" shapeId="0" xr:uid="{EBFF5090-5D48-47FE-A856-CA3F4E581C24}">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26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G1]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V30 &amp; L21 &amp; G21 &amp; S16 &amp; W5 &amp; X1</t>
        </r>
      </text>
    </comment>
    <comment ref="E4" authorId="0" shapeId="0" xr:uid="{B8E033E5-C89D-4799-903B-0F47417FFE23}">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26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G1]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V30 &amp; L21 &amp; G21 &amp; S16 &amp; W5 &amp; X1</t>
        </r>
      </text>
    </comment>
    <comment ref="F4" authorId="0" shapeId="0" xr:uid="{723617D2-5736-455A-BFFF-3DEAC6731AC3}">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26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G1]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V30 &amp; L21 &amp; G21 &amp; S16 &amp; W5 &amp; X1</t>
        </r>
      </text>
    </comment>
    <comment ref="G4" authorId="0" shapeId="0" xr:uid="{52CC656D-B4BA-4DE5-8E3A-3C57A3A133BC}">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26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G1]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V30 &amp; L21 &amp; G21 &amp; S16 &amp; W5 &amp; X1</t>
        </r>
      </text>
    </comment>
    <comment ref="H4" authorId="0" shapeId="0" xr:uid="{9053D9AD-3BC9-4961-8A20-B78EC5FA3A71}">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26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G1]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V30 &amp; L21 &amp; G21 &amp; S16 &amp; W5 &amp; X1</t>
        </r>
      </text>
    </comment>
    <comment ref="A13" authorId="0" shapeId="0" xr:uid="{AD5DECCD-F0D8-4BC6-B6D6-B3F69B38839E}">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53.6%] - [</t>
        </r>
        <r>
          <rPr>
            <b/>
            <sz val="8.5"/>
            <color indexed="48"/>
            <rFont val="Calibri"/>
            <family val="2"/>
          </rPr>
          <t xml:space="preserve">SOLD </t>
        </r>
        <r>
          <rPr>
            <b/>
            <sz val="8.5"/>
            <color indexed="8"/>
            <rFont val="Calibri"/>
            <family val="2"/>
          </rPr>
          <t>» 96 PAX]_x000D_
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V21 &amp; L17 &amp; G22 &amp; S31 &amp; W5</t>
        </r>
      </text>
    </comment>
    <comment ref="B13" authorId="0" shapeId="0" xr:uid="{0CC56811-E9C1-49E8-917A-EC5A180B0097}">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53.6%] - [</t>
        </r>
        <r>
          <rPr>
            <b/>
            <sz val="8.5"/>
            <color indexed="48"/>
            <rFont val="Calibri"/>
            <family val="2"/>
          </rPr>
          <t xml:space="preserve">SOLD </t>
        </r>
        <r>
          <rPr>
            <b/>
            <sz val="8.5"/>
            <color indexed="8"/>
            <rFont val="Calibri"/>
            <family val="2"/>
          </rPr>
          <t>» 96 PAX]_x000D_
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V21 &amp; L17 &amp; G22 &amp; S31 &amp; W5</t>
        </r>
      </text>
    </comment>
    <comment ref="C13" authorId="0" shapeId="0" xr:uid="{B1BB90CC-A487-4090-9B1E-3C9C6097D1FF}">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53.6%] - [</t>
        </r>
        <r>
          <rPr>
            <b/>
            <sz val="8.5"/>
            <color indexed="48"/>
            <rFont val="Calibri"/>
            <family val="2"/>
          </rPr>
          <t xml:space="preserve">SOLD </t>
        </r>
        <r>
          <rPr>
            <b/>
            <sz val="8.5"/>
            <color indexed="8"/>
            <rFont val="Calibri"/>
            <family val="2"/>
          </rPr>
          <t>» 96 PAX]_x000D_
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V21 &amp; L17 &amp; G22 &amp; S31 &amp; W5</t>
        </r>
      </text>
    </comment>
    <comment ref="D13" authorId="0" shapeId="0" xr:uid="{4FD01632-B64A-45B8-B65F-08C26D56F0D9}">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53.6%] - [</t>
        </r>
        <r>
          <rPr>
            <b/>
            <sz val="8.5"/>
            <color indexed="48"/>
            <rFont val="Calibri"/>
            <family val="2"/>
          </rPr>
          <t xml:space="preserve">SOLD </t>
        </r>
        <r>
          <rPr>
            <b/>
            <sz val="8.5"/>
            <color indexed="8"/>
            <rFont val="Calibri"/>
            <family val="2"/>
          </rPr>
          <t>» 96 PAX]_x000D_
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V21 &amp; L17 &amp; G22 &amp; S31 &amp; W5</t>
        </r>
      </text>
    </comment>
    <comment ref="E13" authorId="0" shapeId="0" xr:uid="{2494506A-630A-436E-9604-7931F46FB4B5}">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53.6%] - [</t>
        </r>
        <r>
          <rPr>
            <b/>
            <sz val="8.5"/>
            <color indexed="48"/>
            <rFont val="Calibri"/>
            <family val="2"/>
          </rPr>
          <t xml:space="preserve">SOLD </t>
        </r>
        <r>
          <rPr>
            <b/>
            <sz val="8.5"/>
            <color indexed="8"/>
            <rFont val="Calibri"/>
            <family val="2"/>
          </rPr>
          <t>» 96 PAX]_x000D_
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V21 &amp; L17 &amp; G22 &amp; S31 &amp; W5</t>
        </r>
      </text>
    </comment>
    <comment ref="F13" authorId="0" shapeId="0" xr:uid="{A4B5BA28-4113-4229-A4E0-88136A3858B5}">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53.6%] - [</t>
        </r>
        <r>
          <rPr>
            <b/>
            <sz val="8.5"/>
            <color indexed="48"/>
            <rFont val="Calibri"/>
            <family val="2"/>
          </rPr>
          <t xml:space="preserve">SOLD </t>
        </r>
        <r>
          <rPr>
            <b/>
            <sz val="8.5"/>
            <color indexed="8"/>
            <rFont val="Calibri"/>
            <family val="2"/>
          </rPr>
          <t>» 96 PAX]_x000D_
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V21 &amp; L17 &amp; G22 &amp; S31 &amp; W5</t>
        </r>
      </text>
    </comment>
    <comment ref="G13" authorId="0" shapeId="0" xr:uid="{864FD9F7-8D81-4807-8D95-D2F3DA1CB79D}">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53.6%] - [</t>
        </r>
        <r>
          <rPr>
            <b/>
            <sz val="8.5"/>
            <color indexed="48"/>
            <rFont val="Calibri"/>
            <family val="2"/>
          </rPr>
          <t xml:space="preserve">SOLD </t>
        </r>
        <r>
          <rPr>
            <b/>
            <sz val="8.5"/>
            <color indexed="8"/>
            <rFont val="Calibri"/>
            <family val="2"/>
          </rPr>
          <t>» 96 PAX]_x000D_
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V21 &amp; L17 &amp; G22 &amp; S31 &amp; W5</t>
        </r>
      </text>
    </comment>
    <comment ref="H13" authorId="0" shapeId="0" xr:uid="{C7757D39-4F2B-4978-9812-BE6A37D0ADBB}">
      <text>
        <r>
          <rPr>
            <b/>
            <sz val="8.5"/>
            <color indexed="8"/>
            <rFont val="Calibri"/>
            <family val="2"/>
          </rPr>
          <t xml:space="preserve">-{ </t>
        </r>
        <r>
          <rPr>
            <b/>
            <sz val="10"/>
            <color indexed="10"/>
            <rFont val="Calibri"/>
            <family val="2"/>
          </rPr>
          <t>SM472</t>
        </r>
        <r>
          <rPr>
            <b/>
            <sz val="8.5"/>
            <color indexed="8"/>
            <rFont val="Calibri"/>
            <family val="2"/>
          </rPr>
          <t xml:space="preserve"> }-_x000D_
_x000D_
[</t>
        </r>
        <r>
          <rPr>
            <b/>
            <sz val="8.5"/>
            <color indexed="48"/>
            <rFont val="Calibri"/>
            <family val="2"/>
          </rPr>
          <t xml:space="preserve">LF </t>
        </r>
        <r>
          <rPr>
            <b/>
            <sz val="8.5"/>
            <color indexed="8"/>
            <rFont val="Calibri"/>
            <family val="2"/>
          </rPr>
          <t>» 53.6%] - [</t>
        </r>
        <r>
          <rPr>
            <b/>
            <sz val="8.5"/>
            <color indexed="48"/>
            <rFont val="Calibri"/>
            <family val="2"/>
          </rPr>
          <t xml:space="preserve">SOLD </t>
        </r>
        <r>
          <rPr>
            <b/>
            <sz val="8.5"/>
            <color indexed="8"/>
            <rFont val="Calibri"/>
            <family val="2"/>
          </rPr>
          <t>» 96 PAX]_x000D_
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L4]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V21 &amp; L17 &amp; G22 &amp; S31 &amp; W5</t>
        </r>
      </text>
    </comment>
    <comment ref="A14" authorId="0" shapeId="0" xr:uid="{24F58805-0307-486F-8B2A-85D30E33CCA7}">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57.5%] - [</t>
        </r>
        <r>
          <rPr>
            <b/>
            <sz val="8.5"/>
            <color indexed="48"/>
            <rFont val="Calibri"/>
            <family val="2"/>
          </rPr>
          <t xml:space="preserve">SOLD </t>
        </r>
        <r>
          <rPr>
            <b/>
            <sz val="8.5"/>
            <color indexed="8"/>
            <rFont val="Calibri"/>
            <family val="2"/>
          </rPr>
          <t>» 103 PAX]_x000D_
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L1]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V20 &amp; L22 &amp; G24 &amp; S32 &amp; W5</t>
        </r>
      </text>
    </comment>
    <comment ref="B14" authorId="0" shapeId="0" xr:uid="{950DF226-F7BA-44B9-93AB-2C072487E6FA}">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57.5%] - [</t>
        </r>
        <r>
          <rPr>
            <b/>
            <sz val="8.5"/>
            <color indexed="48"/>
            <rFont val="Calibri"/>
            <family val="2"/>
          </rPr>
          <t xml:space="preserve">SOLD </t>
        </r>
        <r>
          <rPr>
            <b/>
            <sz val="8.5"/>
            <color indexed="8"/>
            <rFont val="Calibri"/>
            <family val="2"/>
          </rPr>
          <t>» 103 PAX]_x000D_
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L1]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V20 &amp; L22 &amp; G24 &amp; S32 &amp; W5</t>
        </r>
      </text>
    </comment>
    <comment ref="C14" authorId="0" shapeId="0" xr:uid="{EAE5E780-FEE9-4DE1-BCF8-EB34567940CD}">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57.5%] - [</t>
        </r>
        <r>
          <rPr>
            <b/>
            <sz val="8.5"/>
            <color indexed="48"/>
            <rFont val="Calibri"/>
            <family val="2"/>
          </rPr>
          <t xml:space="preserve">SOLD </t>
        </r>
        <r>
          <rPr>
            <b/>
            <sz val="8.5"/>
            <color indexed="8"/>
            <rFont val="Calibri"/>
            <family val="2"/>
          </rPr>
          <t>» 103 PAX]_x000D_
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L1]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V20 &amp; L22 &amp; G24 &amp; S32 &amp; W5</t>
        </r>
      </text>
    </comment>
    <comment ref="D14" authorId="0" shapeId="0" xr:uid="{6C639B25-362A-4F6F-99A1-B793D49B5198}">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57.5%] - [</t>
        </r>
        <r>
          <rPr>
            <b/>
            <sz val="8.5"/>
            <color indexed="48"/>
            <rFont val="Calibri"/>
            <family val="2"/>
          </rPr>
          <t xml:space="preserve">SOLD </t>
        </r>
        <r>
          <rPr>
            <b/>
            <sz val="8.5"/>
            <color indexed="8"/>
            <rFont val="Calibri"/>
            <family val="2"/>
          </rPr>
          <t>» 103 PAX]_x000D_
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L1]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V20 &amp; L22 &amp; G24 &amp; S32 &amp; W5</t>
        </r>
      </text>
    </comment>
    <comment ref="E14" authorId="0" shapeId="0" xr:uid="{6EED98AE-1375-4E1F-97D6-FB1BE45CB78B}">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57.5%] - [</t>
        </r>
        <r>
          <rPr>
            <b/>
            <sz val="8.5"/>
            <color indexed="48"/>
            <rFont val="Calibri"/>
            <family val="2"/>
          </rPr>
          <t xml:space="preserve">SOLD </t>
        </r>
        <r>
          <rPr>
            <b/>
            <sz val="8.5"/>
            <color indexed="8"/>
            <rFont val="Calibri"/>
            <family val="2"/>
          </rPr>
          <t>» 103 PAX]_x000D_
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L1]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V20 &amp; L22 &amp; G24 &amp; S32 &amp; W5</t>
        </r>
      </text>
    </comment>
    <comment ref="F14" authorId="0" shapeId="0" xr:uid="{70EE7256-0364-40BC-9120-1145E5D45825}">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57.5%] - [</t>
        </r>
        <r>
          <rPr>
            <b/>
            <sz val="8.5"/>
            <color indexed="48"/>
            <rFont val="Calibri"/>
            <family val="2"/>
          </rPr>
          <t xml:space="preserve">SOLD </t>
        </r>
        <r>
          <rPr>
            <b/>
            <sz val="8.5"/>
            <color indexed="8"/>
            <rFont val="Calibri"/>
            <family val="2"/>
          </rPr>
          <t>» 103 PAX]_x000D_
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L1]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V20 &amp; L22 &amp; G24 &amp; S32 &amp; W5</t>
        </r>
      </text>
    </comment>
    <comment ref="G14" authorId="0" shapeId="0" xr:uid="{543FE41A-AFDB-4FE8-BC1C-17C269AB2292}">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57.5%] - [</t>
        </r>
        <r>
          <rPr>
            <b/>
            <sz val="8.5"/>
            <color indexed="48"/>
            <rFont val="Calibri"/>
            <family val="2"/>
          </rPr>
          <t xml:space="preserve">SOLD </t>
        </r>
        <r>
          <rPr>
            <b/>
            <sz val="8.5"/>
            <color indexed="8"/>
            <rFont val="Calibri"/>
            <family val="2"/>
          </rPr>
          <t>» 103 PAX]_x000D_
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L1]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V20 &amp; L22 &amp; G24 &amp; S32 &amp; W5</t>
        </r>
      </text>
    </comment>
    <comment ref="H14" authorId="0" shapeId="0" xr:uid="{5ADE757F-5D2D-4093-9BDE-63F2E6BCDF4D}">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57.5%] - [</t>
        </r>
        <r>
          <rPr>
            <b/>
            <sz val="8.5"/>
            <color indexed="48"/>
            <rFont val="Calibri"/>
            <family val="2"/>
          </rPr>
          <t xml:space="preserve">SOLD </t>
        </r>
        <r>
          <rPr>
            <b/>
            <sz val="8.5"/>
            <color indexed="8"/>
            <rFont val="Calibri"/>
            <family val="2"/>
          </rPr>
          <t>» 103 PAX]_x000D_
_x000D_
[</t>
        </r>
        <r>
          <rPr>
            <b/>
            <sz val="8.5"/>
            <color indexed="21"/>
            <rFont val="Calibri"/>
            <family val="2"/>
          </rPr>
          <t xml:space="preserve">WEEKLY </t>
        </r>
        <r>
          <rPr>
            <b/>
            <sz val="8.5"/>
            <color indexed="8"/>
            <rFont val="Calibri"/>
            <family val="2"/>
          </rPr>
          <t>» 11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L1]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V20 &amp; L22 &amp; G24 &amp; S32 &amp; W5</t>
        </r>
      </text>
    </comment>
    <comment ref="A15" authorId="0" shapeId="0" xr:uid="{ADBFC32D-92CA-49BB-8B7D-891A7C95A821}">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L4]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V16 &amp; L46 &amp; G17 &amp; S13 &amp; W5</t>
        </r>
      </text>
    </comment>
    <comment ref="B15" authorId="0" shapeId="0" xr:uid="{F889A5F3-434F-4A4C-A121-FFB61C9E7728}">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L4]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V16 &amp; L46 &amp; G17 &amp; S13 &amp; W5</t>
        </r>
      </text>
    </comment>
    <comment ref="C15" authorId="0" shapeId="0" xr:uid="{0B9FFD97-AA63-43AE-A727-DE7AD63D9043}">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L4]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V16 &amp; L46 &amp; G17 &amp; S13 &amp; W5</t>
        </r>
      </text>
    </comment>
    <comment ref="D15" authorId="0" shapeId="0" xr:uid="{9DD6F11C-1AA7-4EAD-94AB-9F4BDC984C69}">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L4]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V16 &amp; L46 &amp; G17 &amp; S13 &amp; W5</t>
        </r>
      </text>
    </comment>
    <comment ref="E15" authorId="0" shapeId="0" xr:uid="{8E612109-29E2-4173-A111-3C30FCA25627}">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L4]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V16 &amp; L46 &amp; G17 &amp; S13 &amp; W5</t>
        </r>
      </text>
    </comment>
    <comment ref="F15" authorId="0" shapeId="0" xr:uid="{A222F90E-0246-4867-851C-3B534B9A07D0}">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L4]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V16 &amp; L46 &amp; G17 &amp; S13 &amp; W5</t>
        </r>
      </text>
    </comment>
    <comment ref="G15" authorId="0" shapeId="0" xr:uid="{398FDA5E-EAD2-49A2-A070-DD15D347DAB5}">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L4]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V16 &amp; L46 &amp; G17 &amp; S13 &amp; W5</t>
        </r>
      </text>
    </comment>
    <comment ref="H15" authorId="0" shapeId="0" xr:uid="{60F47532-69A8-41C2-BF0B-A67D4FCE55EB}">
      <text>
        <r>
          <rPr>
            <b/>
            <sz val="8.5"/>
            <color indexed="8"/>
            <rFont val="Calibri"/>
            <family val="2"/>
          </rPr>
          <t xml:space="preserve">-{ </t>
        </r>
        <r>
          <rPr>
            <b/>
            <sz val="10"/>
            <color indexed="10"/>
            <rFont val="Calibri"/>
            <family val="2"/>
          </rPr>
          <t>SM480</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L4]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V16 &amp; L46 &amp; G17 &amp; S13 &amp; W5</t>
        </r>
      </text>
    </comment>
    <comment ref="A17" authorId="0" shapeId="0" xr:uid="{C72724F9-8629-4A9E-A00D-486E1AA6E34B}">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59.8%] - [</t>
        </r>
        <r>
          <rPr>
            <b/>
            <sz val="8.5"/>
            <color indexed="48"/>
            <rFont val="Calibri"/>
            <family val="2"/>
          </rPr>
          <t xml:space="preserve">SOLD </t>
        </r>
        <r>
          <rPr>
            <b/>
            <sz val="8.5"/>
            <color indexed="8"/>
            <rFont val="Calibri"/>
            <family val="2"/>
          </rPr>
          <t>» 107 PAX]_x000D_
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K6 &amp; V30 &amp; L15 &amp; G17 &amp; S11 &amp; W5 &amp; T2 &amp; X5 &amp; U6 &amp; O4 &amp; I5 &amp; P1</t>
        </r>
      </text>
    </comment>
    <comment ref="B17" authorId="0" shapeId="0" xr:uid="{1544BFBD-B1CC-42C8-9E94-1BA4509A390F}">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59.8%] - [</t>
        </r>
        <r>
          <rPr>
            <b/>
            <sz val="8.5"/>
            <color indexed="48"/>
            <rFont val="Calibri"/>
            <family val="2"/>
          </rPr>
          <t xml:space="preserve">SOLD </t>
        </r>
        <r>
          <rPr>
            <b/>
            <sz val="8.5"/>
            <color indexed="8"/>
            <rFont val="Calibri"/>
            <family val="2"/>
          </rPr>
          <t>» 107 PAX]_x000D_
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K6 &amp; V30 &amp; L15 &amp; G17 &amp; S11 &amp; W5 &amp; T2 &amp; X5 &amp; U6 &amp; O4 &amp; I5 &amp; P1</t>
        </r>
      </text>
    </comment>
    <comment ref="C17" authorId="0" shapeId="0" xr:uid="{BE474C68-9ED1-4D1A-AD2D-3681ACF79362}">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59.8%] - [</t>
        </r>
        <r>
          <rPr>
            <b/>
            <sz val="8.5"/>
            <color indexed="48"/>
            <rFont val="Calibri"/>
            <family val="2"/>
          </rPr>
          <t xml:space="preserve">SOLD </t>
        </r>
        <r>
          <rPr>
            <b/>
            <sz val="8.5"/>
            <color indexed="8"/>
            <rFont val="Calibri"/>
            <family val="2"/>
          </rPr>
          <t>» 107 PAX]_x000D_
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K6 &amp; V30 &amp; L15 &amp; G17 &amp; S11 &amp; W5 &amp; T2 &amp; X5 &amp; U6 &amp; O4 &amp; I5 &amp; P1</t>
        </r>
      </text>
    </comment>
    <comment ref="D17" authorId="0" shapeId="0" xr:uid="{1FCB5F2E-31A7-45EA-86C5-C91150D143EA}">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59.8%] - [</t>
        </r>
        <r>
          <rPr>
            <b/>
            <sz val="8.5"/>
            <color indexed="48"/>
            <rFont val="Calibri"/>
            <family val="2"/>
          </rPr>
          <t xml:space="preserve">SOLD </t>
        </r>
        <r>
          <rPr>
            <b/>
            <sz val="8.5"/>
            <color indexed="8"/>
            <rFont val="Calibri"/>
            <family val="2"/>
          </rPr>
          <t>» 107 PAX]_x000D_
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K6 &amp; V30 &amp; L15 &amp; G17 &amp; S11 &amp; W5 &amp; T2 &amp; X5 &amp; U6 &amp; O4 &amp; I5 &amp; P1</t>
        </r>
      </text>
    </comment>
    <comment ref="E17" authorId="0" shapeId="0" xr:uid="{A072DD17-C9EC-45DB-8D1A-0E6569232781}">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59.8%] - [</t>
        </r>
        <r>
          <rPr>
            <b/>
            <sz val="8.5"/>
            <color indexed="48"/>
            <rFont val="Calibri"/>
            <family val="2"/>
          </rPr>
          <t xml:space="preserve">SOLD </t>
        </r>
        <r>
          <rPr>
            <b/>
            <sz val="8.5"/>
            <color indexed="8"/>
            <rFont val="Calibri"/>
            <family val="2"/>
          </rPr>
          <t>» 107 PAX]_x000D_
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K6 &amp; V30 &amp; L15 &amp; G17 &amp; S11 &amp; W5 &amp; T2 &amp; X5 &amp; U6 &amp; O4 &amp; I5 &amp; P1</t>
        </r>
      </text>
    </comment>
    <comment ref="F17" authorId="0" shapeId="0" xr:uid="{EF581EDF-ABDB-47BD-A790-F3A4A76447C4}">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59.8%] - [</t>
        </r>
        <r>
          <rPr>
            <b/>
            <sz val="8.5"/>
            <color indexed="48"/>
            <rFont val="Calibri"/>
            <family val="2"/>
          </rPr>
          <t xml:space="preserve">SOLD </t>
        </r>
        <r>
          <rPr>
            <b/>
            <sz val="8.5"/>
            <color indexed="8"/>
            <rFont val="Calibri"/>
            <family val="2"/>
          </rPr>
          <t>» 107 PAX]_x000D_
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K6 &amp; V30 &amp; L15 &amp; G17 &amp; S11 &amp; W5 &amp; T2 &amp; X5 &amp; U6 &amp; O4 &amp; I5 &amp; P1</t>
        </r>
      </text>
    </comment>
    <comment ref="G17" authorId="0" shapeId="0" xr:uid="{05091AA2-AA81-41CA-97B3-965605DA9797}">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59.8%] - [</t>
        </r>
        <r>
          <rPr>
            <b/>
            <sz val="8.5"/>
            <color indexed="48"/>
            <rFont val="Calibri"/>
            <family val="2"/>
          </rPr>
          <t xml:space="preserve">SOLD </t>
        </r>
        <r>
          <rPr>
            <b/>
            <sz val="8.5"/>
            <color indexed="8"/>
            <rFont val="Calibri"/>
            <family val="2"/>
          </rPr>
          <t>» 107 PAX]_x000D_
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K6 &amp; V30 &amp; L15 &amp; G17 &amp; S11 &amp; W5 &amp; T2 &amp; X5 &amp; U6 &amp; O4 &amp; I5 &amp; P1</t>
        </r>
      </text>
    </comment>
    <comment ref="H17" authorId="0" shapeId="0" xr:uid="{592B81AD-6AE1-4E1A-BC78-E8987B61BEE5}">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59.8%] - [</t>
        </r>
        <r>
          <rPr>
            <b/>
            <sz val="8.5"/>
            <color indexed="48"/>
            <rFont val="Calibri"/>
            <family val="2"/>
          </rPr>
          <t xml:space="preserve">SOLD </t>
        </r>
        <r>
          <rPr>
            <b/>
            <sz val="8.5"/>
            <color indexed="8"/>
            <rFont val="Calibri"/>
            <family val="2"/>
          </rPr>
          <t>» 107 PAX]_x000D_
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V7]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K6 &amp; V30 &amp; L15 &amp; G17 &amp; S11 &amp; W5 &amp; T2 &amp; X5 &amp; U6 &amp; O4 &amp; I5 &amp; P1</t>
        </r>
      </text>
    </comment>
    <comment ref="A18" authorId="0" shapeId="0" xr:uid="{DC7AF22F-7911-42F5-804D-D8E3EB2029B9}">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176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V7 &amp; G1 &amp; S16 &amp; W10 &amp; T10 &amp; X10 &amp; U10 &amp; O10 &amp; I10 &amp; P92</t>
        </r>
      </text>
    </comment>
    <comment ref="B18" authorId="0" shapeId="0" xr:uid="{87D23C09-F8C2-40E8-8615-41B3185C1421}">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176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V7 &amp; G1 &amp; S16 &amp; W10 &amp; T10 &amp; X10 &amp; U10 &amp; O10 &amp; I10 &amp; P92</t>
        </r>
      </text>
    </comment>
    <comment ref="C18" authorId="0" shapeId="0" xr:uid="{83774A32-8D90-4EE6-9749-20EB3F1C3979}">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176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V7 &amp; G1 &amp; S16 &amp; W10 &amp; T10 &amp; X10 &amp; U10 &amp; O10 &amp; I10 &amp; P92</t>
        </r>
      </text>
    </comment>
    <comment ref="D18" authorId="0" shapeId="0" xr:uid="{C8282747-B63E-4698-8278-561B3633F97E}">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176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V7 &amp; G1 &amp; S16 &amp; W10 &amp; T10 &amp; X10 &amp; U10 &amp; O10 &amp; I10 &amp; P92</t>
        </r>
      </text>
    </comment>
    <comment ref="E18" authorId="0" shapeId="0" xr:uid="{1858C891-D13E-4161-9D43-884EE58248B2}">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176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V7 &amp; G1 &amp; S16 &amp; W10 &amp; T10 &amp; X10 &amp; U10 &amp; O10 &amp; I10 &amp; P92</t>
        </r>
      </text>
    </comment>
    <comment ref="F18" authorId="0" shapeId="0" xr:uid="{F5652E17-D953-4978-BE5C-519CEB61B4A0}">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176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V7 &amp; G1 &amp; S16 &amp; W10 &amp; T10 &amp; X10 &amp; U10 &amp; O10 &amp; I10 &amp; P92</t>
        </r>
      </text>
    </comment>
    <comment ref="G18" authorId="0" shapeId="0" xr:uid="{0C735FA6-C380-4D13-A731-1270C40336E7}">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176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V7 &amp; G1 &amp; S16 &amp; W10 &amp; T10 &amp; X10 &amp; U10 &amp; O10 &amp; I10 &amp; P92</t>
        </r>
      </text>
    </comment>
    <comment ref="H18" authorId="0" shapeId="0" xr:uid="{998A7FFF-7C24-459E-9AD8-53F0376E37A9}">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176 PAX]_x000D_
_x000D_
[</t>
        </r>
        <r>
          <rPr>
            <b/>
            <sz val="8.5"/>
            <color indexed="21"/>
            <rFont val="Calibri"/>
            <family val="2"/>
          </rPr>
          <t xml:space="preserve">WEEKLY </t>
        </r>
        <r>
          <rPr>
            <b/>
            <sz val="8.5"/>
            <color indexed="8"/>
            <rFont val="Calibri"/>
            <family val="2"/>
          </rPr>
          <t>» 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174]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V7 &amp; G1 &amp; S16 &amp; W10 &amp; T10 &amp; X10 &amp; U10 &amp; O10 &amp; I10 &amp; P92</t>
        </r>
      </text>
    </comment>
    <comment ref="A19" authorId="0" shapeId="0" xr:uid="{D009B54D-03C7-4EF2-BD44-9554DE760B4A}">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178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K1]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K2 &amp; L1 &amp; G3 &amp; S3 &amp; W4 &amp; T10 &amp; X12 &amp; U5 &amp; O6 &amp; I4 &amp; E45 &amp; P82 &amp; N1</t>
        </r>
      </text>
    </comment>
    <comment ref="B19" authorId="0" shapeId="0" xr:uid="{5244B9F6-D6A5-44CD-8FD2-14A91752C455}">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178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K1]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K2 &amp; L1 &amp; G3 &amp; S3 &amp; W4 &amp; T10 &amp; X12 &amp; U5 &amp; O6 &amp; I4 &amp; E45 &amp; P82 &amp; N1</t>
        </r>
      </text>
    </comment>
    <comment ref="C19" authorId="0" shapeId="0" xr:uid="{C4D48E33-0411-4292-88DC-00E7015CE342}">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178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K1]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K2 &amp; L1 &amp; G3 &amp; S3 &amp; W4 &amp; T10 &amp; X12 &amp; U5 &amp; O6 &amp; I4 &amp; E45 &amp; P82 &amp; N1</t>
        </r>
      </text>
    </comment>
    <comment ref="D19" authorId="0" shapeId="0" xr:uid="{D3718E58-71A3-47DC-97B1-4BCB1C676F17}">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178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K1]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K2 &amp; L1 &amp; G3 &amp; S3 &amp; W4 &amp; T10 &amp; X12 &amp; U5 &amp; O6 &amp; I4 &amp; E45 &amp; P82 &amp; N1</t>
        </r>
      </text>
    </comment>
    <comment ref="E19" authorId="0" shapeId="0" xr:uid="{A985F75A-66D5-4D7B-9A7F-9EE666BED88C}">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178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K1]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K2 &amp; L1 &amp; G3 &amp; S3 &amp; W4 &amp; T10 &amp; X12 &amp; U5 &amp; O6 &amp; I4 &amp; E45 &amp; P82 &amp; N1</t>
        </r>
      </text>
    </comment>
    <comment ref="F19" authorId="0" shapeId="0" xr:uid="{7413BAD9-606C-46A0-A07C-91460E220F8C}">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178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K1]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K2 &amp; L1 &amp; G3 &amp; S3 &amp; W4 &amp; T10 &amp; X12 &amp; U5 &amp; O6 &amp; I4 &amp; E45 &amp; P82 &amp; N1</t>
        </r>
      </text>
    </comment>
    <comment ref="G19" authorId="0" shapeId="0" xr:uid="{D9B5EAF2-3333-4EAD-A52A-2DE063A4A0AB}">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178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K1]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K2 &amp; L1 &amp; G3 &amp; S3 &amp; W4 &amp; T10 &amp; X12 &amp; U5 &amp; O6 &amp; I4 &amp; E45 &amp; P82 &amp; N1</t>
        </r>
      </text>
    </comment>
    <comment ref="H19" authorId="0" shapeId="0" xr:uid="{4426FC71-B6B3-4166-A042-89B5CE5D02C4}">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99.4%] - [</t>
        </r>
        <r>
          <rPr>
            <b/>
            <sz val="8.5"/>
            <color indexed="48"/>
            <rFont val="Calibri"/>
            <family val="2"/>
          </rPr>
          <t xml:space="preserve">SOLD </t>
        </r>
        <r>
          <rPr>
            <b/>
            <sz val="8.5"/>
            <color indexed="8"/>
            <rFont val="Calibri"/>
            <family val="2"/>
          </rPr>
          <t>» 178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K1]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16-NOV]_x000D_
_x000D_
{</t>
        </r>
        <r>
          <rPr>
            <b/>
            <sz val="8.5"/>
            <color indexed="10"/>
            <rFont val="Calibri"/>
            <family val="2"/>
          </rPr>
          <t>CLASSES</t>
        </r>
        <r>
          <rPr>
            <b/>
            <sz val="8.5"/>
            <color indexed="8"/>
            <rFont val="Calibri"/>
            <family val="2"/>
          </rPr>
          <t>}_x000D_
_x000D_
K2 &amp; L1 &amp; G3 &amp; S3 &amp; W4 &amp; T10 &amp; X12 &amp; U5 &amp; O6 &amp; I4 &amp; E45 &amp; P82 &amp; N1</t>
        </r>
      </text>
    </comment>
    <comment ref="A21" authorId="0" shapeId="0" xr:uid="{CD93B09A-9868-49DF-A37C-3419D912E8A3}">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V3 &amp; G16 &amp; S17 &amp; W22 &amp; T10 &amp; X10 &amp; U17 &amp; O17 &amp; I17 &amp; P50</t>
        </r>
      </text>
    </comment>
    <comment ref="B21" authorId="0" shapeId="0" xr:uid="{D4FA7C62-1F76-4180-99DE-A940888F94B8}">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V3 &amp; G16 &amp; S17 &amp; W22 &amp; T10 &amp; X10 &amp; U17 &amp; O17 &amp; I17 &amp; P50</t>
        </r>
      </text>
    </comment>
    <comment ref="C21" authorId="0" shapeId="0" xr:uid="{338C8940-6928-4D1F-BA9C-01255AE4BC91}">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V3 &amp; G16 &amp; S17 &amp; W22 &amp; T10 &amp; X10 &amp; U17 &amp; O17 &amp; I17 &amp; P50</t>
        </r>
      </text>
    </comment>
    <comment ref="D21" authorId="0" shapeId="0" xr:uid="{5B05F00B-FF47-4041-8691-289F85FF567D}">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V3 &amp; G16 &amp; S17 &amp; W22 &amp; T10 &amp; X10 &amp; U17 &amp; O17 &amp; I17 &amp; P50</t>
        </r>
      </text>
    </comment>
    <comment ref="E21" authorId="0" shapeId="0" xr:uid="{DE8CF10E-8CE1-4E2C-9A42-33F8A83995F6}">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V3 &amp; G16 &amp; S17 &amp; W22 &amp; T10 &amp; X10 &amp; U17 &amp; O17 &amp; I17 &amp; P50</t>
        </r>
      </text>
    </comment>
    <comment ref="F21" authorId="0" shapeId="0" xr:uid="{63891201-17AC-40DD-A7D4-887FE525C350}">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V3 &amp; G16 &amp; S17 &amp; W22 &amp; T10 &amp; X10 &amp; U17 &amp; O17 &amp; I17 &amp; P50</t>
        </r>
      </text>
    </comment>
    <comment ref="G21" authorId="0" shapeId="0" xr:uid="{47FE0C15-766E-4EF0-81B7-DE41676D5984}">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V3 &amp; G16 &amp; S17 &amp; W22 &amp; T10 &amp; X10 &amp; U17 &amp; O17 &amp; I17 &amp; P50</t>
        </r>
      </text>
    </comment>
    <comment ref="H21" authorId="0" shapeId="0" xr:uid="{6E96E5F9-DDC0-498F-A9C0-5563E6070372}">
      <text>
        <r>
          <rPr>
            <b/>
            <sz val="8.5"/>
            <color indexed="8"/>
            <rFont val="Calibri"/>
            <family val="2"/>
          </rPr>
          <t xml:space="preserve">-{ </t>
        </r>
        <r>
          <rPr>
            <b/>
            <sz val="10"/>
            <color indexed="10"/>
            <rFont val="Calibri"/>
            <family val="2"/>
          </rPr>
          <t>SM450</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NIL]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10-NOV]_x000D_
_x000D_
{</t>
        </r>
        <r>
          <rPr>
            <b/>
            <sz val="8.5"/>
            <color indexed="10"/>
            <rFont val="Calibri"/>
            <family val="2"/>
          </rPr>
          <t>CLASSES</t>
        </r>
        <r>
          <rPr>
            <b/>
            <sz val="8.5"/>
            <color indexed="8"/>
            <rFont val="Calibri"/>
            <family val="2"/>
          </rPr>
          <t>}_x000D_
_x000D_
V3 &amp; G16 &amp; S17 &amp; W22 &amp; T10 &amp; X10 &amp; U17 &amp; O17 &amp; I17 &amp; P50</t>
        </r>
      </text>
    </comment>
    <comment ref="A22" authorId="0" shapeId="0" xr:uid="{161A0A3C-7442-4D6F-8C6E-E2C9C6F3066E}">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K5 &amp; L6 &amp; S24 &amp; W5 &amp; P135 &amp; N4</t>
        </r>
      </text>
    </comment>
    <comment ref="B22" authorId="0" shapeId="0" xr:uid="{268DE88D-479A-4605-9807-372B840905BE}">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K5 &amp; L6 &amp; S24 &amp; W5 &amp; P135 &amp; N4</t>
        </r>
      </text>
    </comment>
    <comment ref="C22" authorId="0" shapeId="0" xr:uid="{1CF20494-C243-403E-8A5E-EE87D9B64D72}">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K5 &amp; L6 &amp; S24 &amp; W5 &amp; P135 &amp; N4</t>
        </r>
      </text>
    </comment>
    <comment ref="D22" authorId="0" shapeId="0" xr:uid="{2BB2D20B-3765-415D-9F25-9F0D40C45A43}">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K5 &amp; L6 &amp; S24 &amp; W5 &amp; P135 &amp; N4</t>
        </r>
      </text>
    </comment>
    <comment ref="E22" authorId="0" shapeId="0" xr:uid="{ADE9059F-58A6-43D6-AF82-5DBE40F06016}">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K5 &amp; L6 &amp; S24 &amp; W5 &amp; P135 &amp; N4</t>
        </r>
      </text>
    </comment>
    <comment ref="F22" authorId="0" shapeId="0" xr:uid="{B0761053-28BD-4C67-8317-BB9EF8309AA4}">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K5 &amp; L6 &amp; S24 &amp; W5 &amp; P135 &amp; N4</t>
        </r>
      </text>
    </comment>
    <comment ref="G22" authorId="0" shapeId="0" xr:uid="{B3C83F72-F7D1-4E46-889A-7BBBBAE33402}">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K5 &amp; L6 &amp; S24 &amp; W5 &amp; P135 &amp; N4</t>
        </r>
      </text>
    </comment>
    <comment ref="H22" authorId="0" shapeId="0" xr:uid="{98300A06-F71F-4464-A6BE-2466A7E1404B}">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K5 &amp; L6 &amp; S24 &amp; W5 &amp; P135 &amp; N4</t>
        </r>
      </text>
    </comment>
    <comment ref="A25" authorId="0" shapeId="0" xr:uid="{D30950F4-E9AC-4431-974C-456287388B89}">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61.5%] - [</t>
        </r>
        <r>
          <rPr>
            <b/>
            <sz val="8.5"/>
            <color indexed="48"/>
            <rFont val="Calibri"/>
            <family val="2"/>
          </rPr>
          <t xml:space="preserve">SOLD </t>
        </r>
        <r>
          <rPr>
            <b/>
            <sz val="8.5"/>
            <color indexed="8"/>
            <rFont val="Calibri"/>
            <family val="2"/>
          </rPr>
          <t>» 110 PAX]_x000D_
_x000D_
[</t>
        </r>
        <r>
          <rPr>
            <b/>
            <sz val="8.5"/>
            <color indexed="21"/>
            <rFont val="Calibri"/>
            <family val="2"/>
          </rPr>
          <t xml:space="preserve">WEEKLY </t>
        </r>
        <r>
          <rPr>
            <b/>
            <sz val="8.5"/>
            <color indexed="8"/>
            <rFont val="Calibri"/>
            <family val="2"/>
          </rPr>
          <t>» 49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S2]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S13 &amp; W17 &amp; T33 &amp; X4 &amp; U5 &amp; O4 &amp; I4 &amp; P28 &amp; N2</t>
        </r>
      </text>
    </comment>
    <comment ref="B25" authorId="0" shapeId="0" xr:uid="{9BB58DA5-2A9B-4231-B72D-E74B96233ED5}">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61.5%] - [</t>
        </r>
        <r>
          <rPr>
            <b/>
            <sz val="8.5"/>
            <color indexed="48"/>
            <rFont val="Calibri"/>
            <family val="2"/>
          </rPr>
          <t xml:space="preserve">SOLD </t>
        </r>
        <r>
          <rPr>
            <b/>
            <sz val="8.5"/>
            <color indexed="8"/>
            <rFont val="Calibri"/>
            <family val="2"/>
          </rPr>
          <t>» 110 PAX]_x000D_
_x000D_
[</t>
        </r>
        <r>
          <rPr>
            <b/>
            <sz val="8.5"/>
            <color indexed="21"/>
            <rFont val="Calibri"/>
            <family val="2"/>
          </rPr>
          <t xml:space="preserve">WEEKLY </t>
        </r>
        <r>
          <rPr>
            <b/>
            <sz val="8.5"/>
            <color indexed="8"/>
            <rFont val="Calibri"/>
            <family val="2"/>
          </rPr>
          <t>» 49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S2]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S13 &amp; W17 &amp; T33 &amp; X4 &amp; U5 &amp; O4 &amp; I4 &amp; P28 &amp; N2</t>
        </r>
      </text>
    </comment>
    <comment ref="C25" authorId="0" shapeId="0" xr:uid="{8DB5DE91-F740-4293-8554-0A2140F3AC8D}">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61.5%] - [</t>
        </r>
        <r>
          <rPr>
            <b/>
            <sz val="8.5"/>
            <color indexed="48"/>
            <rFont val="Calibri"/>
            <family val="2"/>
          </rPr>
          <t xml:space="preserve">SOLD </t>
        </r>
        <r>
          <rPr>
            <b/>
            <sz val="8.5"/>
            <color indexed="8"/>
            <rFont val="Calibri"/>
            <family val="2"/>
          </rPr>
          <t>» 110 PAX]_x000D_
_x000D_
[</t>
        </r>
        <r>
          <rPr>
            <b/>
            <sz val="8.5"/>
            <color indexed="21"/>
            <rFont val="Calibri"/>
            <family val="2"/>
          </rPr>
          <t xml:space="preserve">WEEKLY </t>
        </r>
        <r>
          <rPr>
            <b/>
            <sz val="8.5"/>
            <color indexed="8"/>
            <rFont val="Calibri"/>
            <family val="2"/>
          </rPr>
          <t>» 49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S2]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S13 &amp; W17 &amp; T33 &amp; X4 &amp; U5 &amp; O4 &amp; I4 &amp; P28 &amp; N2</t>
        </r>
      </text>
    </comment>
    <comment ref="D25" authorId="0" shapeId="0" xr:uid="{14F8FB83-D304-4EDC-912D-3726534DD34D}">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61.5%] - [</t>
        </r>
        <r>
          <rPr>
            <b/>
            <sz val="8.5"/>
            <color indexed="48"/>
            <rFont val="Calibri"/>
            <family val="2"/>
          </rPr>
          <t xml:space="preserve">SOLD </t>
        </r>
        <r>
          <rPr>
            <b/>
            <sz val="8.5"/>
            <color indexed="8"/>
            <rFont val="Calibri"/>
            <family val="2"/>
          </rPr>
          <t>» 110 PAX]_x000D_
_x000D_
[</t>
        </r>
        <r>
          <rPr>
            <b/>
            <sz val="8.5"/>
            <color indexed="21"/>
            <rFont val="Calibri"/>
            <family val="2"/>
          </rPr>
          <t xml:space="preserve">WEEKLY </t>
        </r>
        <r>
          <rPr>
            <b/>
            <sz val="8.5"/>
            <color indexed="8"/>
            <rFont val="Calibri"/>
            <family val="2"/>
          </rPr>
          <t>» 49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S2]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S13 &amp; W17 &amp; T33 &amp; X4 &amp; U5 &amp; O4 &amp; I4 &amp; P28 &amp; N2</t>
        </r>
      </text>
    </comment>
    <comment ref="E25" authorId="0" shapeId="0" xr:uid="{D481FAD0-9C47-4352-815E-D010C35F7BFC}">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61.5%] - [</t>
        </r>
        <r>
          <rPr>
            <b/>
            <sz val="8.5"/>
            <color indexed="48"/>
            <rFont val="Calibri"/>
            <family val="2"/>
          </rPr>
          <t xml:space="preserve">SOLD </t>
        </r>
        <r>
          <rPr>
            <b/>
            <sz val="8.5"/>
            <color indexed="8"/>
            <rFont val="Calibri"/>
            <family val="2"/>
          </rPr>
          <t>» 110 PAX]_x000D_
_x000D_
[</t>
        </r>
        <r>
          <rPr>
            <b/>
            <sz val="8.5"/>
            <color indexed="21"/>
            <rFont val="Calibri"/>
            <family val="2"/>
          </rPr>
          <t xml:space="preserve">WEEKLY </t>
        </r>
        <r>
          <rPr>
            <b/>
            <sz val="8.5"/>
            <color indexed="8"/>
            <rFont val="Calibri"/>
            <family val="2"/>
          </rPr>
          <t>» 49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S2]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S13 &amp; W17 &amp; T33 &amp; X4 &amp; U5 &amp; O4 &amp; I4 &amp; P28 &amp; N2</t>
        </r>
      </text>
    </comment>
    <comment ref="F25" authorId="0" shapeId="0" xr:uid="{DBC24994-19D4-4318-9C86-74149439B89E}">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61.5%] - [</t>
        </r>
        <r>
          <rPr>
            <b/>
            <sz val="8.5"/>
            <color indexed="48"/>
            <rFont val="Calibri"/>
            <family val="2"/>
          </rPr>
          <t xml:space="preserve">SOLD </t>
        </r>
        <r>
          <rPr>
            <b/>
            <sz val="8.5"/>
            <color indexed="8"/>
            <rFont val="Calibri"/>
            <family val="2"/>
          </rPr>
          <t>» 110 PAX]_x000D_
_x000D_
[</t>
        </r>
        <r>
          <rPr>
            <b/>
            <sz val="8.5"/>
            <color indexed="21"/>
            <rFont val="Calibri"/>
            <family val="2"/>
          </rPr>
          <t xml:space="preserve">WEEKLY </t>
        </r>
        <r>
          <rPr>
            <b/>
            <sz val="8.5"/>
            <color indexed="8"/>
            <rFont val="Calibri"/>
            <family val="2"/>
          </rPr>
          <t>» 49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S2]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S13 &amp; W17 &amp; T33 &amp; X4 &amp; U5 &amp; O4 &amp; I4 &amp; P28 &amp; N2</t>
        </r>
      </text>
    </comment>
    <comment ref="G25" authorId="0" shapeId="0" xr:uid="{4A60D781-7D9D-41F0-A310-0059B802AC7C}">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61.5%] - [</t>
        </r>
        <r>
          <rPr>
            <b/>
            <sz val="8.5"/>
            <color indexed="48"/>
            <rFont val="Calibri"/>
            <family val="2"/>
          </rPr>
          <t xml:space="preserve">SOLD </t>
        </r>
        <r>
          <rPr>
            <b/>
            <sz val="8.5"/>
            <color indexed="8"/>
            <rFont val="Calibri"/>
            <family val="2"/>
          </rPr>
          <t>» 110 PAX]_x000D_
_x000D_
[</t>
        </r>
        <r>
          <rPr>
            <b/>
            <sz val="8.5"/>
            <color indexed="21"/>
            <rFont val="Calibri"/>
            <family val="2"/>
          </rPr>
          <t xml:space="preserve">WEEKLY </t>
        </r>
        <r>
          <rPr>
            <b/>
            <sz val="8.5"/>
            <color indexed="8"/>
            <rFont val="Calibri"/>
            <family val="2"/>
          </rPr>
          <t>» 49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S2]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S13 &amp; W17 &amp; T33 &amp; X4 &amp; U5 &amp; O4 &amp; I4 &amp; P28 &amp; N2</t>
        </r>
      </text>
    </comment>
    <comment ref="H25" authorId="0" shapeId="0" xr:uid="{197F7CF9-4665-45B7-8CD8-A8212471E458}">
      <text>
        <r>
          <rPr>
            <b/>
            <sz val="8.5"/>
            <color indexed="8"/>
            <rFont val="Calibri"/>
            <family val="2"/>
          </rPr>
          <t xml:space="preserve">-{ </t>
        </r>
        <r>
          <rPr>
            <b/>
            <sz val="10"/>
            <color indexed="10"/>
            <rFont val="Calibri"/>
            <family val="2"/>
          </rPr>
          <t>SM424</t>
        </r>
        <r>
          <rPr>
            <b/>
            <sz val="8.5"/>
            <color indexed="8"/>
            <rFont val="Calibri"/>
            <family val="2"/>
          </rPr>
          <t xml:space="preserve"> }-_x000D_
_x000D_
[</t>
        </r>
        <r>
          <rPr>
            <b/>
            <sz val="8.5"/>
            <color indexed="48"/>
            <rFont val="Calibri"/>
            <family val="2"/>
          </rPr>
          <t xml:space="preserve">LF </t>
        </r>
        <r>
          <rPr>
            <b/>
            <sz val="8.5"/>
            <color indexed="8"/>
            <rFont val="Calibri"/>
            <family val="2"/>
          </rPr>
          <t>» 61.5%] - [</t>
        </r>
        <r>
          <rPr>
            <b/>
            <sz val="8.5"/>
            <color indexed="48"/>
            <rFont val="Calibri"/>
            <family val="2"/>
          </rPr>
          <t xml:space="preserve">SOLD </t>
        </r>
        <r>
          <rPr>
            <b/>
            <sz val="8.5"/>
            <color indexed="8"/>
            <rFont val="Calibri"/>
            <family val="2"/>
          </rPr>
          <t>» 110 PAX]_x000D_
_x000D_
[</t>
        </r>
        <r>
          <rPr>
            <b/>
            <sz val="8.5"/>
            <color indexed="21"/>
            <rFont val="Calibri"/>
            <family val="2"/>
          </rPr>
          <t xml:space="preserve">WEEKLY </t>
        </r>
        <r>
          <rPr>
            <b/>
            <sz val="8.5"/>
            <color indexed="8"/>
            <rFont val="Calibri"/>
            <family val="2"/>
          </rPr>
          <t>» 49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S2]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S13 &amp; W17 &amp; T33 &amp; X4 &amp; U5 &amp; O4 &amp; I4 &amp; P28 &amp; N2</t>
        </r>
      </text>
    </comment>
    <comment ref="A26" authorId="0" shapeId="0" xr:uid="{E517CAD8-DD7E-4A86-9261-13DB9A08F219}">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34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S5]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G5 &amp; S32 &amp; W20 &amp; T16 &amp; X9 &amp; U5 &amp; O5 &amp; I5</t>
        </r>
      </text>
    </comment>
    <comment ref="B26" authorId="0" shapeId="0" xr:uid="{CD068F44-871B-47D0-894B-AA8C67F2F9CA}">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34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S5]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G5 &amp; S32 &amp; W20 &amp; T16 &amp; X9 &amp; U5 &amp; O5 &amp; I5</t>
        </r>
      </text>
    </comment>
    <comment ref="C26" authorId="0" shapeId="0" xr:uid="{9A4856FF-C741-4FCB-86B7-A6C152A34D56}">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34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S5]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G5 &amp; S32 &amp; W20 &amp; T16 &amp; X9 &amp; U5 &amp; O5 &amp; I5</t>
        </r>
      </text>
    </comment>
    <comment ref="D26" authorId="0" shapeId="0" xr:uid="{5C18A77C-7511-476F-A942-9E08626E3485}">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34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S5]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G5 &amp; S32 &amp; W20 &amp; T16 &amp; X9 &amp; U5 &amp; O5 &amp; I5</t>
        </r>
      </text>
    </comment>
    <comment ref="E26" authorId="0" shapeId="0" xr:uid="{95FD7587-303C-4C14-A8DE-70D268B7CEC4}">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34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S5]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G5 &amp; S32 &amp; W20 &amp; T16 &amp; X9 &amp; U5 &amp; O5 &amp; I5</t>
        </r>
      </text>
    </comment>
    <comment ref="F26" authorId="0" shapeId="0" xr:uid="{6A22C943-A774-40AA-A957-7085520C1D08}">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34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S5]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G5 &amp; S32 &amp; W20 &amp; T16 &amp; X9 &amp; U5 &amp; O5 &amp; I5</t>
        </r>
      </text>
    </comment>
    <comment ref="G26" authorId="0" shapeId="0" xr:uid="{743B18C6-708C-4D22-8243-9B949DE7F4D1}">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34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S5]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G5 &amp; S32 &amp; W20 &amp; T16 &amp; X9 &amp; U5 &amp; O5 &amp; I5</t>
        </r>
      </text>
    </comment>
    <comment ref="H26" authorId="0" shapeId="0" xr:uid="{BA2C0DD8-AA17-4AF8-AC7D-188433D1DEE9}">
      <text>
        <r>
          <rPr>
            <b/>
            <sz val="8.5"/>
            <color indexed="8"/>
            <rFont val="Calibri"/>
            <family val="2"/>
          </rPr>
          <t xml:space="preserve">-{ </t>
        </r>
        <r>
          <rPr>
            <b/>
            <sz val="10"/>
            <color indexed="10"/>
            <rFont val="Calibri"/>
            <family val="2"/>
          </rPr>
          <t>SM476</t>
        </r>
        <r>
          <rPr>
            <b/>
            <sz val="8.5"/>
            <color indexed="8"/>
            <rFont val="Calibri"/>
            <family val="2"/>
          </rPr>
          <t xml:space="preserve"> }-_x000D_
_x000D_
[</t>
        </r>
        <r>
          <rPr>
            <b/>
            <sz val="8.5"/>
            <color indexed="48"/>
            <rFont val="Calibri"/>
            <family val="2"/>
          </rPr>
          <t xml:space="preserve">LF </t>
        </r>
        <r>
          <rPr>
            <b/>
            <sz val="8.5"/>
            <color indexed="8"/>
            <rFont val="Calibri"/>
            <family val="2"/>
          </rPr>
          <t>» 54.2%] - [</t>
        </r>
        <r>
          <rPr>
            <b/>
            <sz val="8.5"/>
            <color indexed="48"/>
            <rFont val="Calibri"/>
            <family val="2"/>
          </rPr>
          <t xml:space="preserve">SOLD </t>
        </r>
        <r>
          <rPr>
            <b/>
            <sz val="8.5"/>
            <color indexed="8"/>
            <rFont val="Calibri"/>
            <family val="2"/>
          </rPr>
          <t>» 97 PAX]_x000D_
_x000D_
[</t>
        </r>
        <r>
          <rPr>
            <b/>
            <sz val="8.5"/>
            <color indexed="21"/>
            <rFont val="Calibri"/>
            <family val="2"/>
          </rPr>
          <t xml:space="preserve">WEEKLY </t>
        </r>
        <r>
          <rPr>
            <b/>
            <sz val="8.5"/>
            <color indexed="8"/>
            <rFont val="Calibri"/>
            <family val="2"/>
          </rPr>
          <t>» 34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S5]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18-NOV]_x000D_
_x000D_
{</t>
        </r>
        <r>
          <rPr>
            <b/>
            <sz val="8.5"/>
            <color indexed="10"/>
            <rFont val="Calibri"/>
            <family val="2"/>
          </rPr>
          <t>CLASSES</t>
        </r>
        <r>
          <rPr>
            <b/>
            <sz val="8.5"/>
            <color indexed="8"/>
            <rFont val="Calibri"/>
            <family val="2"/>
          </rPr>
          <t>}_x000D_
_x000D_
G5 &amp; S32 &amp; W20 &amp; T16 &amp; X9 &amp; U5 &amp; O5 &amp; I5</t>
        </r>
      </text>
    </comment>
    <comment ref="A27" authorId="0" shapeId="0" xr:uid="{569FD7B0-91D5-4FD4-8453-A8C1CD486C49}">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88.7%] - [</t>
        </r>
        <r>
          <rPr>
            <b/>
            <sz val="8.5"/>
            <color indexed="48"/>
            <rFont val="Calibri"/>
            <family val="2"/>
          </rPr>
          <t xml:space="preserve">SOLD </t>
        </r>
        <r>
          <rPr>
            <b/>
            <sz val="8.5"/>
            <color indexed="8"/>
            <rFont val="Calibri"/>
            <family val="2"/>
          </rPr>
          <t>» 149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S10 &amp; W20 &amp; T18 &amp; X9 &amp; U20 &amp; O4 &amp; I5 &amp; P62</t>
        </r>
      </text>
    </comment>
    <comment ref="B27" authorId="0" shapeId="0" xr:uid="{4CD92ABF-4550-4887-A74B-E6910BB44418}">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88.7%] - [</t>
        </r>
        <r>
          <rPr>
            <b/>
            <sz val="8.5"/>
            <color indexed="48"/>
            <rFont val="Calibri"/>
            <family val="2"/>
          </rPr>
          <t xml:space="preserve">SOLD </t>
        </r>
        <r>
          <rPr>
            <b/>
            <sz val="8.5"/>
            <color indexed="8"/>
            <rFont val="Calibri"/>
            <family val="2"/>
          </rPr>
          <t>» 149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S10 &amp; W20 &amp; T18 &amp; X9 &amp; U20 &amp; O4 &amp; I5 &amp; P62</t>
        </r>
      </text>
    </comment>
    <comment ref="C27" authorId="0" shapeId="0" xr:uid="{45C53931-42C9-40DB-9AFF-7990DC4D1F5B}">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88.7%] - [</t>
        </r>
        <r>
          <rPr>
            <b/>
            <sz val="8.5"/>
            <color indexed="48"/>
            <rFont val="Calibri"/>
            <family val="2"/>
          </rPr>
          <t xml:space="preserve">SOLD </t>
        </r>
        <r>
          <rPr>
            <b/>
            <sz val="8.5"/>
            <color indexed="8"/>
            <rFont val="Calibri"/>
            <family val="2"/>
          </rPr>
          <t>» 149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S10 &amp; W20 &amp; T18 &amp; X9 &amp; U20 &amp; O4 &amp; I5 &amp; P62</t>
        </r>
      </text>
    </comment>
    <comment ref="D27" authorId="0" shapeId="0" xr:uid="{86726327-CFED-4D6B-88BF-8E876E9DD7F0}">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88.7%] - [</t>
        </r>
        <r>
          <rPr>
            <b/>
            <sz val="8.5"/>
            <color indexed="48"/>
            <rFont val="Calibri"/>
            <family val="2"/>
          </rPr>
          <t xml:space="preserve">SOLD </t>
        </r>
        <r>
          <rPr>
            <b/>
            <sz val="8.5"/>
            <color indexed="8"/>
            <rFont val="Calibri"/>
            <family val="2"/>
          </rPr>
          <t>» 149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S10 &amp; W20 &amp; T18 &amp; X9 &amp; U20 &amp; O4 &amp; I5 &amp; P62</t>
        </r>
      </text>
    </comment>
    <comment ref="E27" authorId="0" shapeId="0" xr:uid="{33A270A0-C222-440E-A7A9-62AC604768F5}">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88.7%] - [</t>
        </r>
        <r>
          <rPr>
            <b/>
            <sz val="8.5"/>
            <color indexed="48"/>
            <rFont val="Calibri"/>
            <family val="2"/>
          </rPr>
          <t xml:space="preserve">SOLD </t>
        </r>
        <r>
          <rPr>
            <b/>
            <sz val="8.5"/>
            <color indexed="8"/>
            <rFont val="Calibri"/>
            <family val="2"/>
          </rPr>
          <t>» 149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S10 &amp; W20 &amp; T18 &amp; X9 &amp; U20 &amp; O4 &amp; I5 &amp; P62</t>
        </r>
      </text>
    </comment>
    <comment ref="F27" authorId="0" shapeId="0" xr:uid="{3C113459-D278-4540-8CEA-87972F8A0CD9}">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88.7%] - [</t>
        </r>
        <r>
          <rPr>
            <b/>
            <sz val="8.5"/>
            <color indexed="48"/>
            <rFont val="Calibri"/>
            <family val="2"/>
          </rPr>
          <t xml:space="preserve">SOLD </t>
        </r>
        <r>
          <rPr>
            <b/>
            <sz val="8.5"/>
            <color indexed="8"/>
            <rFont val="Calibri"/>
            <family val="2"/>
          </rPr>
          <t>» 149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S10 &amp; W20 &amp; T18 &amp; X9 &amp; U20 &amp; O4 &amp; I5 &amp; P62</t>
        </r>
      </text>
    </comment>
    <comment ref="G27" authorId="0" shapeId="0" xr:uid="{A4083C1C-2F6C-4DD1-B908-32AA23A55938}">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88.7%] - [</t>
        </r>
        <r>
          <rPr>
            <b/>
            <sz val="8.5"/>
            <color indexed="48"/>
            <rFont val="Calibri"/>
            <family val="2"/>
          </rPr>
          <t xml:space="preserve">SOLD </t>
        </r>
        <r>
          <rPr>
            <b/>
            <sz val="8.5"/>
            <color indexed="8"/>
            <rFont val="Calibri"/>
            <family val="2"/>
          </rPr>
          <t>» 149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S10 &amp; W20 &amp; T18 &amp; X9 &amp; U20 &amp; O4 &amp; I5 &amp; P62</t>
        </r>
      </text>
    </comment>
    <comment ref="H27" authorId="0" shapeId="0" xr:uid="{6C0BF23F-9B8A-4C03-AC5B-42E42AFE6878}">
      <text>
        <r>
          <rPr>
            <b/>
            <sz val="8.5"/>
            <color indexed="8"/>
            <rFont val="Calibri"/>
            <family val="2"/>
          </rPr>
          <t xml:space="preserve">-{ </t>
        </r>
        <r>
          <rPr>
            <b/>
            <sz val="10"/>
            <color indexed="10"/>
            <rFont val="Calibri"/>
            <family val="2"/>
          </rPr>
          <t>SM432</t>
        </r>
        <r>
          <rPr>
            <b/>
            <sz val="8.5"/>
            <color indexed="8"/>
            <rFont val="Calibri"/>
            <family val="2"/>
          </rPr>
          <t xml:space="preserve"> }-_x000D_
_x000D_
[</t>
        </r>
        <r>
          <rPr>
            <b/>
            <sz val="8.5"/>
            <color indexed="48"/>
            <rFont val="Calibri"/>
            <family val="2"/>
          </rPr>
          <t xml:space="preserve">LF </t>
        </r>
        <r>
          <rPr>
            <b/>
            <sz val="8.5"/>
            <color indexed="8"/>
            <rFont val="Calibri"/>
            <family val="2"/>
          </rPr>
          <t>» 88.7%] - [</t>
        </r>
        <r>
          <rPr>
            <b/>
            <sz val="8.5"/>
            <color indexed="48"/>
            <rFont val="Calibri"/>
            <family val="2"/>
          </rPr>
          <t xml:space="preserve">SOLD </t>
        </r>
        <r>
          <rPr>
            <b/>
            <sz val="8.5"/>
            <color indexed="8"/>
            <rFont val="Calibri"/>
            <family val="2"/>
          </rPr>
          <t>» 149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S10 &amp; W20 &amp; T18 &amp; X9 &amp; U20 &amp; O4 &amp; I5 &amp; P62</t>
        </r>
      </text>
    </comment>
    <comment ref="A28" authorId="0" shapeId="0" xr:uid="{68059AFD-E882-48FF-8A8D-6B2EA176B595}">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92.2%] - [</t>
        </r>
        <r>
          <rPr>
            <b/>
            <sz val="8.5"/>
            <color indexed="48"/>
            <rFont val="Calibri"/>
            <family val="2"/>
          </rPr>
          <t xml:space="preserve">SOLD </t>
        </r>
        <r>
          <rPr>
            <b/>
            <sz val="8.5"/>
            <color indexed="8"/>
            <rFont val="Calibri"/>
            <family val="2"/>
          </rPr>
          <t>» 165 PAX]_x000D_
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G5]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L6 &amp; G3 &amp; S13 &amp; U3 &amp; O5 &amp; I7 &amp; P128</t>
        </r>
      </text>
    </comment>
    <comment ref="B28" authorId="0" shapeId="0" xr:uid="{B85CFCE2-8DAE-44F5-B65F-157AD9A38C03}">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92.2%] - [</t>
        </r>
        <r>
          <rPr>
            <b/>
            <sz val="8.5"/>
            <color indexed="48"/>
            <rFont val="Calibri"/>
            <family val="2"/>
          </rPr>
          <t xml:space="preserve">SOLD </t>
        </r>
        <r>
          <rPr>
            <b/>
            <sz val="8.5"/>
            <color indexed="8"/>
            <rFont val="Calibri"/>
            <family val="2"/>
          </rPr>
          <t>» 165 PAX]_x000D_
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G5]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L6 &amp; G3 &amp; S13 &amp; U3 &amp; O5 &amp; I7 &amp; P128</t>
        </r>
      </text>
    </comment>
    <comment ref="C28" authorId="0" shapeId="0" xr:uid="{6A5EE392-24D0-49D0-B476-CD7422C6C8D1}">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92.2%] - [</t>
        </r>
        <r>
          <rPr>
            <b/>
            <sz val="8.5"/>
            <color indexed="48"/>
            <rFont val="Calibri"/>
            <family val="2"/>
          </rPr>
          <t xml:space="preserve">SOLD </t>
        </r>
        <r>
          <rPr>
            <b/>
            <sz val="8.5"/>
            <color indexed="8"/>
            <rFont val="Calibri"/>
            <family val="2"/>
          </rPr>
          <t>» 165 PAX]_x000D_
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G5]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L6 &amp; G3 &amp; S13 &amp; U3 &amp; O5 &amp; I7 &amp; P128</t>
        </r>
      </text>
    </comment>
    <comment ref="D28" authorId="0" shapeId="0" xr:uid="{387C0D72-6E24-468D-9DEB-473FF02E7169}">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92.2%] - [</t>
        </r>
        <r>
          <rPr>
            <b/>
            <sz val="8.5"/>
            <color indexed="48"/>
            <rFont val="Calibri"/>
            <family val="2"/>
          </rPr>
          <t xml:space="preserve">SOLD </t>
        </r>
        <r>
          <rPr>
            <b/>
            <sz val="8.5"/>
            <color indexed="8"/>
            <rFont val="Calibri"/>
            <family val="2"/>
          </rPr>
          <t>» 165 PAX]_x000D_
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G5]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L6 &amp; G3 &amp; S13 &amp; U3 &amp; O5 &amp; I7 &amp; P128</t>
        </r>
      </text>
    </comment>
    <comment ref="E28" authorId="0" shapeId="0" xr:uid="{9FB2227F-D259-4AB4-A856-9015D954B724}">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92.2%] - [</t>
        </r>
        <r>
          <rPr>
            <b/>
            <sz val="8.5"/>
            <color indexed="48"/>
            <rFont val="Calibri"/>
            <family val="2"/>
          </rPr>
          <t xml:space="preserve">SOLD </t>
        </r>
        <r>
          <rPr>
            <b/>
            <sz val="8.5"/>
            <color indexed="8"/>
            <rFont val="Calibri"/>
            <family val="2"/>
          </rPr>
          <t>» 165 PAX]_x000D_
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G5]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L6 &amp; G3 &amp; S13 &amp; U3 &amp; O5 &amp; I7 &amp; P128</t>
        </r>
      </text>
    </comment>
    <comment ref="F28" authorId="0" shapeId="0" xr:uid="{32ABEA9F-FF42-459F-9194-EB30C54A0DCD}">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92.2%] - [</t>
        </r>
        <r>
          <rPr>
            <b/>
            <sz val="8.5"/>
            <color indexed="48"/>
            <rFont val="Calibri"/>
            <family val="2"/>
          </rPr>
          <t xml:space="preserve">SOLD </t>
        </r>
        <r>
          <rPr>
            <b/>
            <sz val="8.5"/>
            <color indexed="8"/>
            <rFont val="Calibri"/>
            <family val="2"/>
          </rPr>
          <t>» 165 PAX]_x000D_
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G5]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L6 &amp; G3 &amp; S13 &amp; U3 &amp; O5 &amp; I7 &amp; P128</t>
        </r>
      </text>
    </comment>
    <comment ref="G28" authorId="0" shapeId="0" xr:uid="{F55D6622-A72E-42F8-BEEA-E4F139D3F1C1}">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92.2%] - [</t>
        </r>
        <r>
          <rPr>
            <b/>
            <sz val="8.5"/>
            <color indexed="48"/>
            <rFont val="Calibri"/>
            <family val="2"/>
          </rPr>
          <t xml:space="preserve">SOLD </t>
        </r>
        <r>
          <rPr>
            <b/>
            <sz val="8.5"/>
            <color indexed="8"/>
            <rFont val="Calibri"/>
            <family val="2"/>
          </rPr>
          <t>» 165 PAX]_x000D_
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G5]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L6 &amp; G3 &amp; S13 &amp; U3 &amp; O5 &amp; I7 &amp; P128</t>
        </r>
      </text>
    </comment>
    <comment ref="H28" authorId="0" shapeId="0" xr:uid="{8261D04E-A910-4184-8867-CFA35D3DB590}">
      <text>
        <r>
          <rPr>
            <b/>
            <sz val="8.5"/>
            <color indexed="8"/>
            <rFont val="Calibri"/>
            <family val="2"/>
          </rPr>
          <t xml:space="preserve">-{ </t>
        </r>
        <r>
          <rPr>
            <b/>
            <sz val="10"/>
            <color indexed="10"/>
            <rFont val="Calibri"/>
            <family val="2"/>
          </rPr>
          <t>SM460</t>
        </r>
        <r>
          <rPr>
            <b/>
            <sz val="8.5"/>
            <color indexed="8"/>
            <rFont val="Calibri"/>
            <family val="2"/>
          </rPr>
          <t xml:space="preserve"> }-_x000D_
_x000D_
[</t>
        </r>
        <r>
          <rPr>
            <b/>
            <sz val="8.5"/>
            <color indexed="48"/>
            <rFont val="Calibri"/>
            <family val="2"/>
          </rPr>
          <t xml:space="preserve">LF </t>
        </r>
        <r>
          <rPr>
            <b/>
            <sz val="8.5"/>
            <color indexed="8"/>
            <rFont val="Calibri"/>
            <family val="2"/>
          </rPr>
          <t>» 92.2%] - [</t>
        </r>
        <r>
          <rPr>
            <b/>
            <sz val="8.5"/>
            <color indexed="48"/>
            <rFont val="Calibri"/>
            <family val="2"/>
          </rPr>
          <t xml:space="preserve">SOLD </t>
        </r>
        <r>
          <rPr>
            <b/>
            <sz val="8.5"/>
            <color indexed="8"/>
            <rFont val="Calibri"/>
            <family val="2"/>
          </rPr>
          <t>» 165 PAX]_x000D_
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G5]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L6 &amp; G3 &amp; S13 &amp; U3 &amp; O5 &amp; I7 &amp; P128</t>
        </r>
      </text>
    </comment>
    <comment ref="A29" authorId="0" shapeId="0" xr:uid="{F7920D36-F0C0-475A-AC91-BCCEAE12E5B0}">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181 PAX]_x000D_
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 &amp; G4 &amp; S11 &amp; T7 &amp; X12 &amp; U5 &amp; O5 &amp; I7 &amp; P129</t>
        </r>
      </text>
    </comment>
    <comment ref="B29" authorId="0" shapeId="0" xr:uid="{DF8944EB-2E12-4CE3-B6ED-A10313B853DD}">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181 PAX]_x000D_
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 &amp; G4 &amp; S11 &amp; T7 &amp; X12 &amp; U5 &amp; O5 &amp; I7 &amp; P129</t>
        </r>
      </text>
    </comment>
    <comment ref="C29" authorId="0" shapeId="0" xr:uid="{77CB2C13-18EF-4DE2-93C6-3AB528293C22}">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181 PAX]_x000D_
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 &amp; G4 &amp; S11 &amp; T7 &amp; X12 &amp; U5 &amp; O5 &amp; I7 &amp; P129</t>
        </r>
      </text>
    </comment>
    <comment ref="D29" authorId="0" shapeId="0" xr:uid="{993958E3-DD9C-4CB4-A196-B75CD774D6B5}">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181 PAX]_x000D_
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 &amp; G4 &amp; S11 &amp; T7 &amp; X12 &amp; U5 &amp; O5 &amp; I7 &amp; P129</t>
        </r>
      </text>
    </comment>
    <comment ref="E29" authorId="0" shapeId="0" xr:uid="{9E6C7B20-427E-4899-AA9A-A235F6AA849C}">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181 PAX]_x000D_
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 &amp; G4 &amp; S11 &amp; T7 &amp; X12 &amp; U5 &amp; O5 &amp; I7 &amp; P129</t>
        </r>
      </text>
    </comment>
    <comment ref="F29" authorId="0" shapeId="0" xr:uid="{6FBFF16D-95FF-4438-A3A3-C2672D90C9D3}">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181 PAX]_x000D_
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 &amp; G4 &amp; S11 &amp; T7 &amp; X12 &amp; U5 &amp; O5 &amp; I7 &amp; P129</t>
        </r>
      </text>
    </comment>
    <comment ref="G29" authorId="0" shapeId="0" xr:uid="{74E447F0-B77A-46A2-AE34-D727142B4677}">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181 PAX]_x000D_
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 &amp; G4 &amp; S11 &amp; T7 &amp; X12 &amp; U5 &amp; O5 &amp; I7 &amp; P129</t>
        </r>
      </text>
    </comment>
    <comment ref="H29" authorId="0" shapeId="0" xr:uid="{55F3E655-D0F4-4505-98AB-FB297EEBE63F}">
      <text>
        <r>
          <rPr>
            <b/>
            <sz val="8.5"/>
            <color indexed="8"/>
            <rFont val="Calibri"/>
            <family val="2"/>
          </rPr>
          <t xml:space="preserve">-{ </t>
        </r>
        <r>
          <rPr>
            <b/>
            <sz val="10"/>
            <color indexed="10"/>
            <rFont val="Calibri"/>
            <family val="2"/>
          </rPr>
          <t>SM478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181 PAX]_x000D_
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 &amp; G4 &amp; S11 &amp; T7 &amp; X12 &amp; U5 &amp; O5 &amp; I7 &amp; P129</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7" authorId="0" shapeId="0" xr:uid="{613D4A3E-29CC-433F-A174-39099FD7CA95}">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H1 &amp; Q5 &amp; K7 &amp; L3 &amp; G18 &amp; S13 &amp; W14 &amp; T17 &amp; X17 &amp; P84</t>
        </r>
      </text>
    </comment>
    <comment ref="B7" authorId="0" shapeId="0" xr:uid="{B1EE9F9B-8BE9-43A0-AB9F-2E62C37CE77A}">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H1 &amp; Q5 &amp; K7 &amp; L3 &amp; G18 &amp; S13 &amp; W14 &amp; T17 &amp; X17 &amp; P84</t>
        </r>
      </text>
    </comment>
    <comment ref="C7" authorId="0" shapeId="0" xr:uid="{E74432E8-EF76-4454-8CA1-59D911B7348B}">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H1 &amp; Q5 &amp; K7 &amp; L3 &amp; G18 &amp; S13 &amp; W14 &amp; T17 &amp; X17 &amp; P84</t>
        </r>
      </text>
    </comment>
    <comment ref="D7" authorId="0" shapeId="0" xr:uid="{CFC83240-B207-402B-805D-7D500210A46B}">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H1 &amp; Q5 &amp; K7 &amp; L3 &amp; G18 &amp; S13 &amp; W14 &amp; T17 &amp; X17 &amp; P84</t>
        </r>
      </text>
    </comment>
    <comment ref="E7" authorId="0" shapeId="0" xr:uid="{F1E77AF7-35B9-4C38-B5BD-3600D6900D20}">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H1 &amp; Q5 &amp; K7 &amp; L3 &amp; G18 &amp; S13 &amp; W14 &amp; T17 &amp; X17 &amp; P84</t>
        </r>
      </text>
    </comment>
    <comment ref="F7" authorId="0" shapeId="0" xr:uid="{B2521C99-D7ED-487E-B517-2AB42B8B64E5}">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H1 &amp; Q5 &amp; K7 &amp; L3 &amp; G18 &amp; S13 &amp; W14 &amp; T17 &amp; X17 &amp; P84</t>
        </r>
      </text>
    </comment>
    <comment ref="G7" authorId="0" shapeId="0" xr:uid="{2F3EB9BA-5F9A-44B7-B367-491FF75FEA1E}">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H1 &amp; Q5 &amp; K7 &amp; L3 &amp; G18 &amp; S13 &amp; W14 &amp; T17 &amp; X17 &amp; P84</t>
        </r>
      </text>
    </comment>
    <comment ref="H7" authorId="0" shapeId="0" xr:uid="{F0BFC5D1-77A2-4C62-AF2E-17BA9362879B}">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H1 &amp; Q5 &amp; K7 &amp; L3 &amp; G18 &amp; S13 &amp; W14 &amp; T17 &amp; X17 &amp; P84</t>
        </r>
      </text>
    </comment>
    <comment ref="A29" authorId="0" shapeId="0" xr:uid="{C94A4828-26F6-449B-B8A9-0A6E2C6C4396}">
      <text>
        <r>
          <rPr>
            <b/>
            <sz val="8.5"/>
            <color indexed="8"/>
            <rFont val="Calibri"/>
            <family val="2"/>
          </rPr>
          <t xml:space="preserve">-{ </t>
        </r>
        <r>
          <rPr>
            <b/>
            <sz val="10"/>
            <color indexed="10"/>
            <rFont val="Calibri"/>
            <family val="2"/>
          </rPr>
          <t>SM458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L11 &amp; S16 &amp; W2 &amp; T15 &amp; X17 &amp; P118</t>
        </r>
      </text>
    </comment>
    <comment ref="B29" authorId="0" shapeId="0" xr:uid="{F9469D3C-97E7-42AF-B6F1-6B33E514D43E}">
      <text>
        <r>
          <rPr>
            <b/>
            <sz val="8.5"/>
            <color indexed="8"/>
            <rFont val="Calibri"/>
            <family val="2"/>
          </rPr>
          <t xml:space="preserve">-{ </t>
        </r>
        <r>
          <rPr>
            <b/>
            <sz val="10"/>
            <color indexed="10"/>
            <rFont val="Calibri"/>
            <family val="2"/>
          </rPr>
          <t>SM458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L11 &amp; S16 &amp; W2 &amp; T15 &amp; X17 &amp; P118</t>
        </r>
      </text>
    </comment>
    <comment ref="C29" authorId="0" shapeId="0" xr:uid="{3BF4FC98-A7D4-4001-B75F-B2EA831CAB2B}">
      <text>
        <r>
          <rPr>
            <b/>
            <sz val="8.5"/>
            <color indexed="8"/>
            <rFont val="Calibri"/>
            <family val="2"/>
          </rPr>
          <t xml:space="preserve">-{ </t>
        </r>
        <r>
          <rPr>
            <b/>
            <sz val="10"/>
            <color indexed="10"/>
            <rFont val="Calibri"/>
            <family val="2"/>
          </rPr>
          <t>SM458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L11 &amp; S16 &amp; W2 &amp; T15 &amp; X17 &amp; P118</t>
        </r>
      </text>
    </comment>
    <comment ref="D29" authorId="0" shapeId="0" xr:uid="{1D38E022-88FE-4758-A1C0-93D015C745DB}">
      <text>
        <r>
          <rPr>
            <b/>
            <sz val="8.5"/>
            <color indexed="8"/>
            <rFont val="Calibri"/>
            <family val="2"/>
          </rPr>
          <t xml:space="preserve">-{ </t>
        </r>
        <r>
          <rPr>
            <b/>
            <sz val="10"/>
            <color indexed="10"/>
            <rFont val="Calibri"/>
            <family val="2"/>
          </rPr>
          <t>SM458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L11 &amp; S16 &amp; W2 &amp; T15 &amp; X17 &amp; P118</t>
        </r>
      </text>
    </comment>
    <comment ref="E29" authorId="0" shapeId="0" xr:uid="{9A6D2FFF-1704-4CC3-ACF4-74A413BF0439}">
      <text>
        <r>
          <rPr>
            <b/>
            <sz val="8.5"/>
            <color indexed="8"/>
            <rFont val="Calibri"/>
            <family val="2"/>
          </rPr>
          <t xml:space="preserve">-{ </t>
        </r>
        <r>
          <rPr>
            <b/>
            <sz val="10"/>
            <color indexed="10"/>
            <rFont val="Calibri"/>
            <family val="2"/>
          </rPr>
          <t>SM458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L11 &amp; S16 &amp; W2 &amp; T15 &amp; X17 &amp; P118</t>
        </r>
      </text>
    </comment>
    <comment ref="F29" authorId="0" shapeId="0" xr:uid="{F66D12D4-FCF3-41F6-A07E-0EB0D6A9EE90}">
      <text>
        <r>
          <rPr>
            <b/>
            <sz val="8.5"/>
            <color indexed="8"/>
            <rFont val="Calibri"/>
            <family val="2"/>
          </rPr>
          <t xml:space="preserve">-{ </t>
        </r>
        <r>
          <rPr>
            <b/>
            <sz val="10"/>
            <color indexed="10"/>
            <rFont val="Calibri"/>
            <family val="2"/>
          </rPr>
          <t>SM458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L11 &amp; S16 &amp; W2 &amp; T15 &amp; X17 &amp; P118</t>
        </r>
      </text>
    </comment>
    <comment ref="G29" authorId="0" shapeId="0" xr:uid="{FD4FD710-7E3F-47BF-9E76-6405AA01FDCF}">
      <text>
        <r>
          <rPr>
            <b/>
            <sz val="8.5"/>
            <color indexed="8"/>
            <rFont val="Calibri"/>
            <family val="2"/>
          </rPr>
          <t xml:space="preserve">-{ </t>
        </r>
        <r>
          <rPr>
            <b/>
            <sz val="10"/>
            <color indexed="10"/>
            <rFont val="Calibri"/>
            <family val="2"/>
          </rPr>
          <t>SM458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L11 &amp; S16 &amp; W2 &amp; T15 &amp; X17 &amp; P118</t>
        </r>
      </text>
    </comment>
    <comment ref="H29" authorId="0" shapeId="0" xr:uid="{D1AC9B1A-8D0E-4935-A23F-0088346387FA}">
      <text>
        <r>
          <rPr>
            <b/>
            <sz val="8.5"/>
            <color indexed="8"/>
            <rFont val="Calibri"/>
            <family val="2"/>
          </rPr>
          <t xml:space="preserve">-{ </t>
        </r>
        <r>
          <rPr>
            <b/>
            <sz val="10"/>
            <color indexed="10"/>
            <rFont val="Calibri"/>
            <family val="2"/>
          </rPr>
          <t>SM458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L11 &amp; S16 &amp; W2 &amp; T15 &amp; X17 &amp; P118</t>
        </r>
      </text>
    </comment>
    <comment ref="A30" authorId="0" shapeId="0" xr:uid="{E2205FC4-3374-442C-A6B2-5F3FEB9A0CBB}">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V5 &amp; L14 &amp; S7 &amp; X14 &amp; P136</t>
        </r>
      </text>
    </comment>
    <comment ref="B30" authorId="0" shapeId="0" xr:uid="{C604CF34-86CE-44E4-8E3A-75DDC5DEC9DA}">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V5 &amp; L14 &amp; S7 &amp; X14 &amp; P136</t>
        </r>
      </text>
    </comment>
    <comment ref="C30" authorId="0" shapeId="0" xr:uid="{344C7F04-6A1D-475B-B13B-47986C1690B6}">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V5 &amp; L14 &amp; S7 &amp; X14 &amp; P136</t>
        </r>
      </text>
    </comment>
    <comment ref="D30" authorId="0" shapeId="0" xr:uid="{0BE2AE55-D6F0-41DE-9FA0-0E5C8803155F}">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V5 &amp; L14 &amp; S7 &amp; X14 &amp; P136</t>
        </r>
      </text>
    </comment>
    <comment ref="E30" authorId="0" shapeId="0" xr:uid="{FA65B544-FEF9-46DE-959B-EBD4C467D0E5}">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V5 &amp; L14 &amp; S7 &amp; X14 &amp; P136</t>
        </r>
      </text>
    </comment>
    <comment ref="F30" authorId="0" shapeId="0" xr:uid="{97AFC3B5-CA49-4BB6-9ABC-A2F8BD1595A3}">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V5 &amp; L14 &amp; S7 &amp; X14 &amp; P136</t>
        </r>
      </text>
    </comment>
    <comment ref="G30" authorId="0" shapeId="0" xr:uid="{DAF2A055-EC96-4E56-B03A-860E023F0021}">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V5 &amp; L14 &amp; S7 &amp; X14 &amp; P136</t>
        </r>
      </text>
    </comment>
    <comment ref="H30" authorId="0" shapeId="0" xr:uid="{294431FA-DC07-433E-A99B-75F5B597BA06}">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V5 &amp; L14 &amp; S7 &amp; X14 &amp; P136</t>
        </r>
      </text>
    </comment>
    <comment ref="A44" authorId="0" shapeId="0" xr:uid="{A1B052C6-7008-43A3-A11D-F31346D4A016}">
      <text>
        <r>
          <rPr>
            <b/>
            <sz val="8.5"/>
            <color indexed="8"/>
            <rFont val="Calibri"/>
            <family val="2"/>
          </rPr>
          <t xml:space="preserve">-{ </t>
        </r>
        <r>
          <rPr>
            <b/>
            <sz val="10"/>
            <color indexed="10"/>
            <rFont val="Calibri"/>
            <family val="2"/>
          </rPr>
          <t>SM458</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29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V2]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V18 &amp; L5 &amp; G5 &amp; S6 &amp; X9 &amp; P134</t>
        </r>
      </text>
    </comment>
    <comment ref="B44" authorId="0" shapeId="0" xr:uid="{C58BE330-0417-41BA-ACB5-F6A0A36A9C58}">
      <text>
        <r>
          <rPr>
            <b/>
            <sz val="8.5"/>
            <color indexed="8"/>
            <rFont val="Calibri"/>
            <family val="2"/>
          </rPr>
          <t xml:space="preserve">-{ </t>
        </r>
        <r>
          <rPr>
            <b/>
            <sz val="10"/>
            <color indexed="10"/>
            <rFont val="Calibri"/>
            <family val="2"/>
          </rPr>
          <t>SM458</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29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V2]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V18 &amp; L5 &amp; G5 &amp; S6 &amp; X9 &amp; P134</t>
        </r>
      </text>
    </comment>
    <comment ref="C44" authorId="0" shapeId="0" xr:uid="{58043FFB-E224-4B57-8248-24913C3C261C}">
      <text>
        <r>
          <rPr>
            <b/>
            <sz val="8.5"/>
            <color indexed="8"/>
            <rFont val="Calibri"/>
            <family val="2"/>
          </rPr>
          <t xml:space="preserve">-{ </t>
        </r>
        <r>
          <rPr>
            <b/>
            <sz val="10"/>
            <color indexed="10"/>
            <rFont val="Calibri"/>
            <family val="2"/>
          </rPr>
          <t>SM458</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29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V2]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V18 &amp; L5 &amp; G5 &amp; S6 &amp; X9 &amp; P134</t>
        </r>
      </text>
    </comment>
    <comment ref="D44" authorId="0" shapeId="0" xr:uid="{AC290814-B1B5-4C1E-A975-98213B6F04B3}">
      <text>
        <r>
          <rPr>
            <b/>
            <sz val="8.5"/>
            <color indexed="8"/>
            <rFont val="Calibri"/>
            <family val="2"/>
          </rPr>
          <t xml:space="preserve">-{ </t>
        </r>
        <r>
          <rPr>
            <b/>
            <sz val="10"/>
            <color indexed="10"/>
            <rFont val="Calibri"/>
            <family val="2"/>
          </rPr>
          <t>SM458</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29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V2]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V18 &amp; L5 &amp; G5 &amp; S6 &amp; X9 &amp; P134</t>
        </r>
      </text>
    </comment>
    <comment ref="E44" authorId="0" shapeId="0" xr:uid="{374DE5F7-827E-438C-9A09-FCA4DAD59892}">
      <text>
        <r>
          <rPr>
            <b/>
            <sz val="8.5"/>
            <color indexed="8"/>
            <rFont val="Calibri"/>
            <family val="2"/>
          </rPr>
          <t xml:space="preserve">-{ </t>
        </r>
        <r>
          <rPr>
            <b/>
            <sz val="10"/>
            <color indexed="10"/>
            <rFont val="Calibri"/>
            <family val="2"/>
          </rPr>
          <t>SM458</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29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V2]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V18 &amp; L5 &amp; G5 &amp; S6 &amp; X9 &amp; P134</t>
        </r>
      </text>
    </comment>
    <comment ref="F44" authorId="0" shapeId="0" xr:uid="{FD0A244A-75A2-4173-B865-7F5EA69BE1B9}">
      <text>
        <r>
          <rPr>
            <b/>
            <sz val="8.5"/>
            <color indexed="8"/>
            <rFont val="Calibri"/>
            <family val="2"/>
          </rPr>
          <t xml:space="preserve">-{ </t>
        </r>
        <r>
          <rPr>
            <b/>
            <sz val="10"/>
            <color indexed="10"/>
            <rFont val="Calibri"/>
            <family val="2"/>
          </rPr>
          <t>SM458</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29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V2]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V18 &amp; L5 &amp; G5 &amp; S6 &amp; X9 &amp; P134</t>
        </r>
      </text>
    </comment>
    <comment ref="G44" authorId="0" shapeId="0" xr:uid="{0A3A6C49-9A9D-4F4C-AA78-31846E3D71FB}">
      <text>
        <r>
          <rPr>
            <b/>
            <sz val="8.5"/>
            <color indexed="8"/>
            <rFont val="Calibri"/>
            <family val="2"/>
          </rPr>
          <t xml:space="preserve">-{ </t>
        </r>
        <r>
          <rPr>
            <b/>
            <sz val="10"/>
            <color indexed="10"/>
            <rFont val="Calibri"/>
            <family val="2"/>
          </rPr>
          <t>SM458</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29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V2]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V18 &amp; L5 &amp; G5 &amp; S6 &amp; X9 &amp; P134</t>
        </r>
      </text>
    </comment>
    <comment ref="H44" authorId="0" shapeId="0" xr:uid="{75FA4989-0645-4C9E-BA5C-846981DBCBD2}">
      <text>
        <r>
          <rPr>
            <b/>
            <sz val="8.5"/>
            <color indexed="8"/>
            <rFont val="Calibri"/>
            <family val="2"/>
          </rPr>
          <t xml:space="preserve">-{ </t>
        </r>
        <r>
          <rPr>
            <b/>
            <sz val="10"/>
            <color indexed="10"/>
            <rFont val="Calibri"/>
            <family val="2"/>
          </rPr>
          <t>SM458</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29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V2]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V18 &amp; L5 &amp; G5 &amp; S6 &amp; X9 &amp; P134</t>
        </r>
      </text>
    </comment>
    <comment ref="A48" authorId="0" shapeId="0" xr:uid="{E7A4B75E-D805-4B6A-856C-5D342D856821}">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K1 &amp; V4 &amp; L3 &amp; G5 &amp; S10 &amp; W12 &amp; T3 &amp; X5 &amp; P136</t>
        </r>
      </text>
    </comment>
    <comment ref="B48" authorId="0" shapeId="0" xr:uid="{70E3F9D2-34B6-4638-A947-0CA942ED5AB8}">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K1 &amp; V4 &amp; L3 &amp; G5 &amp; S10 &amp; W12 &amp; T3 &amp; X5 &amp; P136</t>
        </r>
      </text>
    </comment>
    <comment ref="C48" authorId="0" shapeId="0" xr:uid="{5B702F22-DB2E-41F5-A386-EAA54809AA3E}">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K1 &amp; V4 &amp; L3 &amp; G5 &amp; S10 &amp; W12 &amp; T3 &amp; X5 &amp; P136</t>
        </r>
      </text>
    </comment>
    <comment ref="D48" authorId="0" shapeId="0" xr:uid="{95DCD0AE-B3D2-4315-821B-90C2CC515F2D}">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K1 &amp; V4 &amp; L3 &amp; G5 &amp; S10 &amp; W12 &amp; T3 &amp; X5 &amp; P136</t>
        </r>
      </text>
    </comment>
    <comment ref="E48" authorId="0" shapeId="0" xr:uid="{D1AD9E93-B8A5-4656-BB4F-7845AEF9F998}">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K1 &amp; V4 &amp; L3 &amp; G5 &amp; S10 &amp; W12 &amp; T3 &amp; X5 &amp; P136</t>
        </r>
      </text>
    </comment>
    <comment ref="F48" authorId="0" shapeId="0" xr:uid="{B87EEF77-894D-4784-BF02-DD6728621E98}">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K1 &amp; V4 &amp; L3 &amp; G5 &amp; S10 &amp; W12 &amp; T3 &amp; X5 &amp; P136</t>
        </r>
      </text>
    </comment>
    <comment ref="G48" authorId="0" shapeId="0" xr:uid="{272953DE-AF98-4A1B-8645-7C12E8022471}">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K1 &amp; V4 &amp; L3 &amp; G5 &amp; S10 &amp; W12 &amp; T3 &amp; X5 &amp; P136</t>
        </r>
      </text>
    </comment>
    <comment ref="H48" authorId="0" shapeId="0" xr:uid="{AFEF030F-BC38-487A-8852-6D2A081EE8E2}">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K1 &amp; V4 &amp; L3 &amp; G5 &amp; S10 &amp; W12 &amp; T3 &amp; X5 &amp; P136</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2" authorId="0" shapeId="0" xr:uid="{30961D33-2227-4777-8C6C-C16D8BD6F174}">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H1 &amp; Q5 &amp; K7 &amp; L3 &amp; G18 &amp; S13 &amp; W14 &amp; T17 &amp; X17 &amp; P84</t>
        </r>
      </text>
    </comment>
    <comment ref="B2" authorId="0" shapeId="0" xr:uid="{6DA2110A-5D9B-415A-9675-82CAE208D9B8}">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H1 &amp; Q5 &amp; K7 &amp; L3 &amp; G18 &amp; S13 &amp; W14 &amp; T17 &amp; X17 &amp; P84</t>
        </r>
      </text>
    </comment>
    <comment ref="C2" authorId="0" shapeId="0" xr:uid="{99323D93-7E83-45BA-BCE9-299AB4FB018F}">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H1 &amp; Q5 &amp; K7 &amp; L3 &amp; G18 &amp; S13 &amp; W14 &amp; T17 &amp; X17 &amp; P84</t>
        </r>
      </text>
    </comment>
    <comment ref="D2" authorId="0" shapeId="0" xr:uid="{33E5866C-1B4E-47CF-ABD2-0EED1D0D5F56}">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H1 &amp; Q5 &amp; K7 &amp; L3 &amp; G18 &amp; S13 &amp; W14 &amp; T17 &amp; X17 &amp; P84</t>
        </r>
      </text>
    </comment>
    <comment ref="E2" authorId="0" shapeId="0" xr:uid="{7AD59915-AFFD-4524-974F-FB2F1F3C6D0C}">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H1 &amp; Q5 &amp; K7 &amp; L3 &amp; G18 &amp; S13 &amp; W14 &amp; T17 &amp; X17 &amp; P84</t>
        </r>
      </text>
    </comment>
    <comment ref="F2" authorId="0" shapeId="0" xr:uid="{C71894FD-6DB8-403D-B973-1F6ED32D9049}">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H1 &amp; Q5 &amp; K7 &amp; L3 &amp; G18 &amp; S13 &amp; W14 &amp; T17 &amp; X17 &amp; P84</t>
        </r>
      </text>
    </comment>
    <comment ref="G2" authorId="0" shapeId="0" xr:uid="{D69C9C4E-A46B-4C4B-B5F3-9D03ECD6281E}">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H1 &amp; Q5 &amp; K7 &amp; L3 &amp; G18 &amp; S13 &amp; W14 &amp; T17 &amp; X17 &amp; P84</t>
        </r>
      </text>
    </comment>
    <comment ref="H2" authorId="0" shapeId="0" xr:uid="{33E3DCE6-EB3C-4A7D-BE0B-6A2FA1E629C9}">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H1 &amp; Q5 &amp; K7 &amp; L3 &amp; G18 &amp; S13 &amp; W14 &amp; T17 &amp; X17 &amp; P84</t>
        </r>
      </text>
    </comment>
    <comment ref="A14" authorId="0" shapeId="0" xr:uid="{1DCA5298-362A-4CD3-8EFC-8527C4CF85BF}">
      <text>
        <r>
          <rPr>
            <b/>
            <sz val="8.5"/>
            <color indexed="8"/>
            <rFont val="Calibri"/>
            <family val="2"/>
          </rPr>
          <t xml:space="preserve">-{ </t>
        </r>
        <r>
          <rPr>
            <b/>
            <sz val="10"/>
            <color indexed="10"/>
            <rFont val="Calibri"/>
            <family val="2"/>
          </rPr>
          <t>SM458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L11 &amp; S16 &amp; W2 &amp; T15 &amp; X17 &amp; P118</t>
        </r>
      </text>
    </comment>
    <comment ref="B14" authorId="0" shapeId="0" xr:uid="{C6AEBF58-8EC2-4269-A2ED-DB7BA77A6843}">
      <text>
        <r>
          <rPr>
            <b/>
            <sz val="8.5"/>
            <color indexed="8"/>
            <rFont val="Calibri"/>
            <family val="2"/>
          </rPr>
          <t xml:space="preserve">-{ </t>
        </r>
        <r>
          <rPr>
            <b/>
            <sz val="10"/>
            <color indexed="10"/>
            <rFont val="Calibri"/>
            <family val="2"/>
          </rPr>
          <t>SM458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L11 &amp; S16 &amp; W2 &amp; T15 &amp; X17 &amp; P118</t>
        </r>
      </text>
    </comment>
    <comment ref="C14" authorId="0" shapeId="0" xr:uid="{45F5F671-3A46-4C36-8C13-6707580DF4E0}">
      <text>
        <r>
          <rPr>
            <b/>
            <sz val="8.5"/>
            <color indexed="8"/>
            <rFont val="Calibri"/>
            <family val="2"/>
          </rPr>
          <t xml:space="preserve">-{ </t>
        </r>
        <r>
          <rPr>
            <b/>
            <sz val="10"/>
            <color indexed="10"/>
            <rFont val="Calibri"/>
            <family val="2"/>
          </rPr>
          <t>SM458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L11 &amp; S16 &amp; W2 &amp; T15 &amp; X17 &amp; P118</t>
        </r>
      </text>
    </comment>
    <comment ref="D14" authorId="0" shapeId="0" xr:uid="{66FC510E-01FD-4F2B-9525-9F28CDD8C63C}">
      <text>
        <r>
          <rPr>
            <b/>
            <sz val="8.5"/>
            <color indexed="8"/>
            <rFont val="Calibri"/>
            <family val="2"/>
          </rPr>
          <t xml:space="preserve">-{ </t>
        </r>
        <r>
          <rPr>
            <b/>
            <sz val="10"/>
            <color indexed="10"/>
            <rFont val="Calibri"/>
            <family val="2"/>
          </rPr>
          <t>SM458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L11 &amp; S16 &amp; W2 &amp; T15 &amp; X17 &amp; P118</t>
        </r>
      </text>
    </comment>
    <comment ref="E14" authorId="0" shapeId="0" xr:uid="{1618C48C-EEE5-4E2E-80DF-CF2A73A9891A}">
      <text>
        <r>
          <rPr>
            <b/>
            <sz val="8.5"/>
            <color indexed="8"/>
            <rFont val="Calibri"/>
            <family val="2"/>
          </rPr>
          <t xml:space="preserve">-{ </t>
        </r>
        <r>
          <rPr>
            <b/>
            <sz val="10"/>
            <color indexed="10"/>
            <rFont val="Calibri"/>
            <family val="2"/>
          </rPr>
          <t>SM458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L11 &amp; S16 &amp; W2 &amp; T15 &amp; X17 &amp; P118</t>
        </r>
      </text>
    </comment>
    <comment ref="F14" authorId="0" shapeId="0" xr:uid="{067EE6F3-B986-43FF-923B-68584C3E7450}">
      <text>
        <r>
          <rPr>
            <b/>
            <sz val="8.5"/>
            <color indexed="8"/>
            <rFont val="Calibri"/>
            <family val="2"/>
          </rPr>
          <t xml:space="preserve">-{ </t>
        </r>
        <r>
          <rPr>
            <b/>
            <sz val="10"/>
            <color indexed="10"/>
            <rFont val="Calibri"/>
            <family val="2"/>
          </rPr>
          <t>SM458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L11 &amp; S16 &amp; W2 &amp; T15 &amp; X17 &amp; P118</t>
        </r>
      </text>
    </comment>
    <comment ref="G14" authorId="0" shapeId="0" xr:uid="{52933009-2CA8-41DE-BF10-06CE51BDD469}">
      <text>
        <r>
          <rPr>
            <b/>
            <sz val="8.5"/>
            <color indexed="8"/>
            <rFont val="Calibri"/>
            <family val="2"/>
          </rPr>
          <t xml:space="preserve">-{ </t>
        </r>
        <r>
          <rPr>
            <b/>
            <sz val="10"/>
            <color indexed="10"/>
            <rFont val="Calibri"/>
            <family val="2"/>
          </rPr>
          <t>SM458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L11 &amp; S16 &amp; W2 &amp; T15 &amp; X17 &amp; P118</t>
        </r>
      </text>
    </comment>
    <comment ref="H14" authorId="0" shapeId="0" xr:uid="{3CDEC1D9-C4DD-4789-9D1D-6C81794E9A26}">
      <text>
        <r>
          <rPr>
            <b/>
            <sz val="8.5"/>
            <color indexed="8"/>
            <rFont val="Calibri"/>
            <family val="2"/>
          </rPr>
          <t xml:space="preserve">-{ </t>
        </r>
        <r>
          <rPr>
            <b/>
            <sz val="10"/>
            <color indexed="10"/>
            <rFont val="Calibri"/>
            <family val="2"/>
          </rPr>
          <t>SM458</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L11 &amp; S16 &amp; W2 &amp; T15 &amp; X17 &amp; P118</t>
        </r>
      </text>
    </comment>
    <comment ref="A15" authorId="0" shapeId="0" xr:uid="{5861AC8D-A7C2-4BC0-9ECC-0B21CF7FF4F1}">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V5 &amp; L14 &amp; S7 &amp; X14 &amp; P136</t>
        </r>
      </text>
    </comment>
    <comment ref="B15" authorId="0" shapeId="0" xr:uid="{9D0FD53E-42DE-40C9-AD83-F444BC9056A4}">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V5 &amp; L14 &amp; S7 &amp; X14 &amp; P136</t>
        </r>
      </text>
    </comment>
    <comment ref="C15" authorId="0" shapeId="0" xr:uid="{3C9E44D3-2A17-4488-A48E-1F6868E39460}">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V5 &amp; L14 &amp; S7 &amp; X14 &amp; P136</t>
        </r>
      </text>
    </comment>
    <comment ref="D15" authorId="0" shapeId="0" xr:uid="{4A38F42F-DA8B-49DC-A025-847D40E081A4}">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V5 &amp; L14 &amp; S7 &amp; X14 &amp; P136</t>
        </r>
      </text>
    </comment>
    <comment ref="E15" authorId="0" shapeId="0" xr:uid="{DD2A3062-CA85-4908-81BE-CBF05F19F74F}">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V5 &amp; L14 &amp; S7 &amp; X14 &amp; P136</t>
        </r>
      </text>
    </comment>
    <comment ref="F15" authorId="0" shapeId="0" xr:uid="{AA85642C-412F-416E-9DA8-F646EEE49421}">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V5 &amp; L14 &amp; S7 &amp; X14 &amp; P136</t>
        </r>
      </text>
    </comment>
    <comment ref="G15" authorId="0" shapeId="0" xr:uid="{8D8EEDD0-4456-4157-803E-22B63166B876}">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V5 &amp; L14 &amp; S7 &amp; X14 &amp; P136</t>
        </r>
      </text>
    </comment>
    <comment ref="H15" authorId="0" shapeId="0" xr:uid="{2CC283B9-BB44-445F-B4BA-81E91B48D75E}">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K3 &amp; V5 &amp; L14 &amp; S7 &amp; X14 &amp; P136</t>
        </r>
      </text>
    </comment>
    <comment ref="A27" authorId="0" shapeId="0" xr:uid="{AF396319-D635-4A0F-BAE3-EC3B833F33A7}">
      <text>
        <r>
          <rPr>
            <b/>
            <sz val="8.5"/>
            <color indexed="8"/>
            <rFont val="Calibri"/>
            <family val="2"/>
          </rPr>
          <t xml:space="preserve">-{ </t>
        </r>
        <r>
          <rPr>
            <b/>
            <sz val="10"/>
            <color indexed="10"/>
            <rFont val="Calibri"/>
            <family val="2"/>
          </rPr>
          <t>SM458</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29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V2]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V18 &amp; L5 &amp; G5 &amp; S6 &amp; X9 &amp; P134</t>
        </r>
      </text>
    </comment>
    <comment ref="B27" authorId="0" shapeId="0" xr:uid="{C3C30CF2-D566-4701-BC64-51BACE4D4517}">
      <text>
        <r>
          <rPr>
            <b/>
            <sz val="8.5"/>
            <color indexed="8"/>
            <rFont val="Calibri"/>
            <family val="2"/>
          </rPr>
          <t xml:space="preserve">-{ </t>
        </r>
        <r>
          <rPr>
            <b/>
            <sz val="10"/>
            <color indexed="10"/>
            <rFont val="Calibri"/>
            <family val="2"/>
          </rPr>
          <t>SM458</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29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V2]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V18 &amp; L5 &amp; G5 &amp; S6 &amp; X9 &amp; P134</t>
        </r>
      </text>
    </comment>
    <comment ref="C27" authorId="0" shapeId="0" xr:uid="{AD8E62EB-C675-42DE-9E04-DCF4B12FD59E}">
      <text>
        <r>
          <rPr>
            <b/>
            <sz val="8.5"/>
            <color indexed="8"/>
            <rFont val="Calibri"/>
            <family val="2"/>
          </rPr>
          <t xml:space="preserve">-{ </t>
        </r>
        <r>
          <rPr>
            <b/>
            <sz val="10"/>
            <color indexed="10"/>
            <rFont val="Calibri"/>
            <family val="2"/>
          </rPr>
          <t>SM458</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29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V2]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V18 &amp; L5 &amp; G5 &amp; S6 &amp; X9 &amp; P134</t>
        </r>
      </text>
    </comment>
    <comment ref="D27" authorId="0" shapeId="0" xr:uid="{C89DE7E6-609D-4FC0-B312-0618170A3C50}">
      <text>
        <r>
          <rPr>
            <b/>
            <sz val="8.5"/>
            <color indexed="8"/>
            <rFont val="Calibri"/>
            <family val="2"/>
          </rPr>
          <t xml:space="preserve">-{ </t>
        </r>
        <r>
          <rPr>
            <b/>
            <sz val="10"/>
            <color indexed="10"/>
            <rFont val="Calibri"/>
            <family val="2"/>
          </rPr>
          <t>SM458</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29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V2]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V18 &amp; L5 &amp; G5 &amp; S6 &amp; X9 &amp; P134</t>
        </r>
      </text>
    </comment>
    <comment ref="E27" authorId="0" shapeId="0" xr:uid="{4AEB2353-FF75-45FC-9E57-2522BF976E02}">
      <text>
        <r>
          <rPr>
            <b/>
            <sz val="8.5"/>
            <color indexed="8"/>
            <rFont val="Calibri"/>
            <family val="2"/>
          </rPr>
          <t xml:space="preserve">-{ </t>
        </r>
        <r>
          <rPr>
            <b/>
            <sz val="10"/>
            <color indexed="10"/>
            <rFont val="Calibri"/>
            <family val="2"/>
          </rPr>
          <t>SM458</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29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V2]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V18 &amp; L5 &amp; G5 &amp; S6 &amp; X9 &amp; P134</t>
        </r>
      </text>
    </comment>
    <comment ref="F27" authorId="0" shapeId="0" xr:uid="{A7BFAB36-15D3-4AE1-A916-93A82B99BBC5}">
      <text>
        <r>
          <rPr>
            <b/>
            <sz val="8.5"/>
            <color indexed="8"/>
            <rFont val="Calibri"/>
            <family val="2"/>
          </rPr>
          <t xml:space="preserve">-{ </t>
        </r>
        <r>
          <rPr>
            <b/>
            <sz val="10"/>
            <color indexed="10"/>
            <rFont val="Calibri"/>
            <family val="2"/>
          </rPr>
          <t>SM458</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29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V2]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V18 &amp; L5 &amp; G5 &amp; S6 &amp; X9 &amp; P134</t>
        </r>
      </text>
    </comment>
    <comment ref="G27" authorId="0" shapeId="0" xr:uid="{C1C28C3B-F348-461B-AC7F-3A73CFAF23AF}">
      <text>
        <r>
          <rPr>
            <b/>
            <sz val="8.5"/>
            <color indexed="8"/>
            <rFont val="Calibri"/>
            <family val="2"/>
          </rPr>
          <t xml:space="preserve">-{ </t>
        </r>
        <r>
          <rPr>
            <b/>
            <sz val="10"/>
            <color indexed="10"/>
            <rFont val="Calibri"/>
            <family val="2"/>
          </rPr>
          <t>SM458</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29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V2]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V18 &amp; L5 &amp; G5 &amp; S6 &amp; X9 &amp; P134</t>
        </r>
      </text>
    </comment>
    <comment ref="H27" authorId="0" shapeId="0" xr:uid="{298B6F4F-ED33-493E-9328-EBD145722FFC}">
      <text>
        <r>
          <rPr>
            <b/>
            <sz val="8.5"/>
            <color indexed="8"/>
            <rFont val="Calibri"/>
            <family val="2"/>
          </rPr>
          <t xml:space="preserve">-{ </t>
        </r>
        <r>
          <rPr>
            <b/>
            <sz val="10"/>
            <color indexed="10"/>
            <rFont val="Calibri"/>
            <family val="2"/>
          </rPr>
          <t>SM458</t>
        </r>
        <r>
          <rPr>
            <b/>
            <sz val="8.5"/>
            <color indexed="8"/>
            <rFont val="Calibri"/>
            <family val="2"/>
          </rPr>
          <t xml:space="preserve"> }-_x000D_
_x000D_
[</t>
        </r>
        <r>
          <rPr>
            <b/>
            <sz val="8.5"/>
            <color indexed="48"/>
            <rFont val="Calibri"/>
            <family val="2"/>
          </rPr>
          <t xml:space="preserve">LF </t>
        </r>
        <r>
          <rPr>
            <b/>
            <sz val="8.5"/>
            <color indexed="8"/>
            <rFont val="Calibri"/>
            <family val="2"/>
          </rPr>
          <t>» 98.9%] - [</t>
        </r>
        <r>
          <rPr>
            <b/>
            <sz val="8.5"/>
            <color indexed="48"/>
            <rFont val="Calibri"/>
            <family val="2"/>
          </rPr>
          <t xml:space="preserve">SOLD </t>
        </r>
        <r>
          <rPr>
            <b/>
            <sz val="8.5"/>
            <color indexed="8"/>
            <rFont val="Calibri"/>
            <family val="2"/>
          </rPr>
          <t>» 177 PAX]_x000D_
_x000D_
[</t>
        </r>
        <r>
          <rPr>
            <b/>
            <sz val="8.5"/>
            <color indexed="21"/>
            <rFont val="Calibri"/>
            <family val="2"/>
          </rPr>
          <t xml:space="preserve">WEEKLY </t>
        </r>
        <r>
          <rPr>
            <b/>
            <sz val="8.5"/>
            <color indexed="8"/>
            <rFont val="Calibri"/>
            <family val="2"/>
          </rPr>
          <t>» 29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V2]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V18 &amp; L5 &amp; G5 &amp; S6 &amp; X9 &amp; P134</t>
        </r>
      </text>
    </comment>
    <comment ref="A28" authorId="0" shapeId="0" xr:uid="{CA5F9E2D-8D14-4087-A907-C306F17187BF}">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K1 &amp; V4 &amp; L3 &amp; G5 &amp; S10 &amp; W12 &amp; T3 &amp; X5 &amp; P136</t>
        </r>
      </text>
    </comment>
    <comment ref="B28" authorId="0" shapeId="0" xr:uid="{634A2C3D-60AD-445F-B783-F72A6327F261}">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K1 &amp; V4 &amp; L3 &amp; G5 &amp; S10 &amp; W12 &amp; T3 &amp; X5 &amp; P136</t>
        </r>
      </text>
    </comment>
    <comment ref="C28" authorId="0" shapeId="0" xr:uid="{A1AD71B4-FCF2-4F0A-8F17-65C0CBF132BE}">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K1 &amp; V4 &amp; L3 &amp; G5 &amp; S10 &amp; W12 &amp; T3 &amp; X5 &amp; P136</t>
        </r>
      </text>
    </comment>
    <comment ref="D28" authorId="0" shapeId="0" xr:uid="{019E7A71-3C2F-48F7-8FD7-E147B7B62291}">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K1 &amp; V4 &amp; L3 &amp; G5 &amp; S10 &amp; W12 &amp; T3 &amp; X5 &amp; P136</t>
        </r>
      </text>
    </comment>
    <comment ref="E28" authorId="0" shapeId="0" xr:uid="{8E4AB59B-A02A-445C-ABED-600B44E38CBB}">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K1 &amp; V4 &amp; L3 &amp; G5 &amp; S10 &amp; W12 &amp; T3 &amp; X5 &amp; P136</t>
        </r>
      </text>
    </comment>
    <comment ref="F28" authorId="0" shapeId="0" xr:uid="{49044E1D-75CE-4A87-8A2E-544EB3BB6142}">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K1 &amp; V4 &amp; L3 &amp; G5 &amp; S10 &amp; W12 &amp; T3 &amp; X5 &amp; P136</t>
        </r>
      </text>
    </comment>
    <comment ref="G28" authorId="0" shapeId="0" xr:uid="{2FBB8615-0EE3-41C7-BDC9-28DB0A37F5E4}">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K1 &amp; V4 &amp; L3 &amp; G5 &amp; S10 &amp; W12 &amp; T3 &amp; X5 &amp; P136</t>
        </r>
      </text>
    </comment>
    <comment ref="H28" authorId="0" shapeId="0" xr:uid="{91DB88C0-941F-40C8-B9AF-D93DD021DFAF}">
      <text>
        <r>
          <rPr>
            <b/>
            <sz val="8.5"/>
            <color indexed="8"/>
            <rFont val="Calibri"/>
            <family val="2"/>
          </rPr>
          <t xml:space="preserve">-{ </t>
        </r>
        <r>
          <rPr>
            <b/>
            <sz val="10"/>
            <color indexed="10"/>
            <rFont val="Calibri"/>
            <family val="2"/>
          </rPr>
          <t>SM452</t>
        </r>
        <r>
          <rPr>
            <b/>
            <sz val="8.5"/>
            <color indexed="8"/>
            <rFont val="Calibri"/>
            <family val="2"/>
          </rPr>
          <t xml:space="preserve"> }-_x000D_
_x000D_
[</t>
        </r>
        <r>
          <rPr>
            <b/>
            <sz val="8.5"/>
            <color indexed="48"/>
            <rFont val="Calibri"/>
            <family val="2"/>
          </rPr>
          <t xml:space="preserve">LF </t>
        </r>
        <r>
          <rPr>
            <b/>
            <sz val="8.5"/>
            <color indexed="8"/>
            <rFont val="Calibri"/>
            <family val="2"/>
          </rPr>
          <t>» 1.0%] - [</t>
        </r>
        <r>
          <rPr>
            <b/>
            <sz val="8.5"/>
            <color indexed="48"/>
            <rFont val="Calibri"/>
            <family val="2"/>
          </rPr>
          <t xml:space="preserve">SOLD </t>
        </r>
        <r>
          <rPr>
            <b/>
            <sz val="8.5"/>
            <color indexed="8"/>
            <rFont val="Calibri"/>
            <family val="2"/>
          </rPr>
          <t>» 179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K1 &amp; V4 &amp; L3 &amp; G5 &amp; S10 &amp; W12 &amp; T3 &amp; X5 &amp; P136</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2" authorId="0" shapeId="0" xr:uid="{1DF5ED01-9140-4DFA-9692-831F4042B7F8}">
      <text>
        <r>
          <rPr>
            <b/>
            <sz val="8.5"/>
            <color indexed="8"/>
            <rFont val="Calibri"/>
            <family val="2"/>
          </rPr>
          <t xml:space="preserve">-{ </t>
        </r>
        <r>
          <rPr>
            <b/>
            <sz val="10"/>
            <color indexed="10"/>
            <rFont val="Calibri"/>
            <family val="2"/>
          </rPr>
          <t>SM492</t>
        </r>
        <r>
          <rPr>
            <b/>
            <sz val="8.5"/>
            <color indexed="8"/>
            <rFont val="Calibri"/>
            <family val="2"/>
          </rPr>
          <t xml:space="preserve"> }-_x000D_
_x000D_
[</t>
        </r>
        <r>
          <rPr>
            <b/>
            <sz val="8.5"/>
            <color indexed="48"/>
            <rFont val="Calibri"/>
            <family val="2"/>
          </rPr>
          <t xml:space="preserve">LF </t>
        </r>
        <r>
          <rPr>
            <b/>
            <sz val="8.5"/>
            <color indexed="8"/>
            <rFont val="Calibri"/>
            <family val="2"/>
          </rPr>
          <t>» 70.2%] - [</t>
        </r>
        <r>
          <rPr>
            <b/>
            <sz val="8.5"/>
            <color indexed="48"/>
            <rFont val="Calibri"/>
            <family val="2"/>
          </rPr>
          <t xml:space="preserve">SOLD </t>
        </r>
        <r>
          <rPr>
            <b/>
            <sz val="8.5"/>
            <color indexed="8"/>
            <rFont val="Calibri"/>
            <family val="2"/>
          </rPr>
          <t>» 118 PAX]_x000D_
_x000D_
[</t>
        </r>
        <r>
          <rPr>
            <b/>
            <sz val="8.5"/>
            <color indexed="21"/>
            <rFont val="Calibri"/>
            <family val="2"/>
          </rPr>
          <t xml:space="preserve">WEEKLY </t>
        </r>
        <r>
          <rPr>
            <b/>
            <sz val="8.5"/>
            <color indexed="8"/>
            <rFont val="Calibri"/>
            <family val="2"/>
          </rPr>
          <t>» 66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S5 &amp; W3 &amp; T5 &amp; X18 &amp; U18 &amp; O38 &amp; I28 &amp; P3</t>
        </r>
      </text>
    </comment>
    <comment ref="B2" authorId="0" shapeId="0" xr:uid="{9B22FBCE-CDD4-499B-831A-673A056E0CD1}">
      <text>
        <r>
          <rPr>
            <b/>
            <sz val="8.5"/>
            <color indexed="8"/>
            <rFont val="Calibri"/>
            <family val="2"/>
          </rPr>
          <t xml:space="preserve">-{ </t>
        </r>
        <r>
          <rPr>
            <b/>
            <sz val="10"/>
            <color indexed="10"/>
            <rFont val="Calibri"/>
            <family val="2"/>
          </rPr>
          <t>SM492</t>
        </r>
        <r>
          <rPr>
            <b/>
            <sz val="8.5"/>
            <color indexed="8"/>
            <rFont val="Calibri"/>
            <family val="2"/>
          </rPr>
          <t xml:space="preserve"> }-_x000D_
_x000D_
[</t>
        </r>
        <r>
          <rPr>
            <b/>
            <sz val="8.5"/>
            <color indexed="48"/>
            <rFont val="Calibri"/>
            <family val="2"/>
          </rPr>
          <t xml:space="preserve">LF </t>
        </r>
        <r>
          <rPr>
            <b/>
            <sz val="8.5"/>
            <color indexed="8"/>
            <rFont val="Calibri"/>
            <family val="2"/>
          </rPr>
          <t>» 70.2%] - [</t>
        </r>
        <r>
          <rPr>
            <b/>
            <sz val="8.5"/>
            <color indexed="48"/>
            <rFont val="Calibri"/>
            <family val="2"/>
          </rPr>
          <t xml:space="preserve">SOLD </t>
        </r>
        <r>
          <rPr>
            <b/>
            <sz val="8.5"/>
            <color indexed="8"/>
            <rFont val="Calibri"/>
            <family val="2"/>
          </rPr>
          <t>» 118 PAX]_x000D_
_x000D_
[</t>
        </r>
        <r>
          <rPr>
            <b/>
            <sz val="8.5"/>
            <color indexed="21"/>
            <rFont val="Calibri"/>
            <family val="2"/>
          </rPr>
          <t xml:space="preserve">WEEKLY </t>
        </r>
        <r>
          <rPr>
            <b/>
            <sz val="8.5"/>
            <color indexed="8"/>
            <rFont val="Calibri"/>
            <family val="2"/>
          </rPr>
          <t>» 66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S5 &amp; W3 &amp; T5 &amp; X18 &amp; U18 &amp; O38 &amp; I28 &amp; P3</t>
        </r>
      </text>
    </comment>
    <comment ref="C2" authorId="0" shapeId="0" xr:uid="{CB389382-E55B-4213-A57B-2B618C4E2826}">
      <text>
        <r>
          <rPr>
            <b/>
            <sz val="8.5"/>
            <color indexed="8"/>
            <rFont val="Calibri"/>
            <family val="2"/>
          </rPr>
          <t xml:space="preserve">-{ </t>
        </r>
        <r>
          <rPr>
            <b/>
            <sz val="10"/>
            <color indexed="10"/>
            <rFont val="Calibri"/>
            <family val="2"/>
          </rPr>
          <t>SM492</t>
        </r>
        <r>
          <rPr>
            <b/>
            <sz val="8.5"/>
            <color indexed="8"/>
            <rFont val="Calibri"/>
            <family val="2"/>
          </rPr>
          <t xml:space="preserve"> }-_x000D_
_x000D_
[</t>
        </r>
        <r>
          <rPr>
            <b/>
            <sz val="8.5"/>
            <color indexed="48"/>
            <rFont val="Calibri"/>
            <family val="2"/>
          </rPr>
          <t xml:space="preserve">LF </t>
        </r>
        <r>
          <rPr>
            <b/>
            <sz val="8.5"/>
            <color indexed="8"/>
            <rFont val="Calibri"/>
            <family val="2"/>
          </rPr>
          <t>» 70.2%] - [</t>
        </r>
        <r>
          <rPr>
            <b/>
            <sz val="8.5"/>
            <color indexed="48"/>
            <rFont val="Calibri"/>
            <family val="2"/>
          </rPr>
          <t xml:space="preserve">SOLD </t>
        </r>
        <r>
          <rPr>
            <b/>
            <sz val="8.5"/>
            <color indexed="8"/>
            <rFont val="Calibri"/>
            <family val="2"/>
          </rPr>
          <t>» 118 PAX]_x000D_
_x000D_
[</t>
        </r>
        <r>
          <rPr>
            <b/>
            <sz val="8.5"/>
            <color indexed="21"/>
            <rFont val="Calibri"/>
            <family val="2"/>
          </rPr>
          <t xml:space="preserve">WEEKLY </t>
        </r>
        <r>
          <rPr>
            <b/>
            <sz val="8.5"/>
            <color indexed="8"/>
            <rFont val="Calibri"/>
            <family val="2"/>
          </rPr>
          <t>» 66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S5 &amp; W3 &amp; T5 &amp; X18 &amp; U18 &amp; O38 &amp; I28 &amp; P3</t>
        </r>
      </text>
    </comment>
    <comment ref="D2" authorId="0" shapeId="0" xr:uid="{9A55AC63-5958-4F22-BE57-D5E139758CC2}">
      <text>
        <r>
          <rPr>
            <b/>
            <sz val="8.5"/>
            <color indexed="8"/>
            <rFont val="Calibri"/>
            <family val="2"/>
          </rPr>
          <t xml:space="preserve">-{ </t>
        </r>
        <r>
          <rPr>
            <b/>
            <sz val="10"/>
            <color indexed="10"/>
            <rFont val="Calibri"/>
            <family val="2"/>
          </rPr>
          <t>SM492</t>
        </r>
        <r>
          <rPr>
            <b/>
            <sz val="8.5"/>
            <color indexed="8"/>
            <rFont val="Calibri"/>
            <family val="2"/>
          </rPr>
          <t xml:space="preserve"> }-_x000D_
_x000D_
[</t>
        </r>
        <r>
          <rPr>
            <b/>
            <sz val="8.5"/>
            <color indexed="48"/>
            <rFont val="Calibri"/>
            <family val="2"/>
          </rPr>
          <t xml:space="preserve">LF </t>
        </r>
        <r>
          <rPr>
            <b/>
            <sz val="8.5"/>
            <color indexed="8"/>
            <rFont val="Calibri"/>
            <family val="2"/>
          </rPr>
          <t>» 70.2%] - [</t>
        </r>
        <r>
          <rPr>
            <b/>
            <sz val="8.5"/>
            <color indexed="48"/>
            <rFont val="Calibri"/>
            <family val="2"/>
          </rPr>
          <t xml:space="preserve">SOLD </t>
        </r>
        <r>
          <rPr>
            <b/>
            <sz val="8.5"/>
            <color indexed="8"/>
            <rFont val="Calibri"/>
            <family val="2"/>
          </rPr>
          <t>» 118 PAX]_x000D_
_x000D_
[</t>
        </r>
        <r>
          <rPr>
            <b/>
            <sz val="8.5"/>
            <color indexed="21"/>
            <rFont val="Calibri"/>
            <family val="2"/>
          </rPr>
          <t xml:space="preserve">WEEKLY </t>
        </r>
        <r>
          <rPr>
            <b/>
            <sz val="8.5"/>
            <color indexed="8"/>
            <rFont val="Calibri"/>
            <family val="2"/>
          </rPr>
          <t>» 66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S5 &amp; W3 &amp; T5 &amp; X18 &amp; U18 &amp; O38 &amp; I28 &amp; P3</t>
        </r>
      </text>
    </comment>
    <comment ref="E2" authorId="0" shapeId="0" xr:uid="{35B98025-65D4-4033-B697-7B4C753C285E}">
      <text>
        <r>
          <rPr>
            <b/>
            <sz val="8.5"/>
            <color indexed="8"/>
            <rFont val="Calibri"/>
            <family val="2"/>
          </rPr>
          <t xml:space="preserve">-{ </t>
        </r>
        <r>
          <rPr>
            <b/>
            <sz val="10"/>
            <color indexed="10"/>
            <rFont val="Calibri"/>
            <family val="2"/>
          </rPr>
          <t>SM492</t>
        </r>
        <r>
          <rPr>
            <b/>
            <sz val="8.5"/>
            <color indexed="8"/>
            <rFont val="Calibri"/>
            <family val="2"/>
          </rPr>
          <t xml:space="preserve"> }-_x000D_
_x000D_
[</t>
        </r>
        <r>
          <rPr>
            <b/>
            <sz val="8.5"/>
            <color indexed="48"/>
            <rFont val="Calibri"/>
            <family val="2"/>
          </rPr>
          <t xml:space="preserve">LF </t>
        </r>
        <r>
          <rPr>
            <b/>
            <sz val="8.5"/>
            <color indexed="8"/>
            <rFont val="Calibri"/>
            <family val="2"/>
          </rPr>
          <t>» 70.2%] - [</t>
        </r>
        <r>
          <rPr>
            <b/>
            <sz val="8.5"/>
            <color indexed="48"/>
            <rFont val="Calibri"/>
            <family val="2"/>
          </rPr>
          <t xml:space="preserve">SOLD </t>
        </r>
        <r>
          <rPr>
            <b/>
            <sz val="8.5"/>
            <color indexed="8"/>
            <rFont val="Calibri"/>
            <family val="2"/>
          </rPr>
          <t>» 118 PAX]_x000D_
_x000D_
[</t>
        </r>
        <r>
          <rPr>
            <b/>
            <sz val="8.5"/>
            <color indexed="21"/>
            <rFont val="Calibri"/>
            <family val="2"/>
          </rPr>
          <t xml:space="preserve">WEEKLY </t>
        </r>
        <r>
          <rPr>
            <b/>
            <sz val="8.5"/>
            <color indexed="8"/>
            <rFont val="Calibri"/>
            <family val="2"/>
          </rPr>
          <t>» 66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S5 &amp; W3 &amp; T5 &amp; X18 &amp; U18 &amp; O38 &amp; I28 &amp; P3</t>
        </r>
      </text>
    </comment>
    <comment ref="F2" authorId="0" shapeId="0" xr:uid="{EBEA12F1-7D69-45CB-A55A-9B13AA347DFB}">
      <text>
        <r>
          <rPr>
            <b/>
            <sz val="8.5"/>
            <color indexed="8"/>
            <rFont val="Calibri"/>
            <family val="2"/>
          </rPr>
          <t xml:space="preserve">-{ </t>
        </r>
        <r>
          <rPr>
            <b/>
            <sz val="10"/>
            <color indexed="10"/>
            <rFont val="Calibri"/>
            <family val="2"/>
          </rPr>
          <t>SM492</t>
        </r>
        <r>
          <rPr>
            <b/>
            <sz val="8.5"/>
            <color indexed="8"/>
            <rFont val="Calibri"/>
            <family val="2"/>
          </rPr>
          <t xml:space="preserve"> }-_x000D_
_x000D_
[</t>
        </r>
        <r>
          <rPr>
            <b/>
            <sz val="8.5"/>
            <color indexed="48"/>
            <rFont val="Calibri"/>
            <family val="2"/>
          </rPr>
          <t xml:space="preserve">LF </t>
        </r>
        <r>
          <rPr>
            <b/>
            <sz val="8.5"/>
            <color indexed="8"/>
            <rFont val="Calibri"/>
            <family val="2"/>
          </rPr>
          <t>» 70.2%] - [</t>
        </r>
        <r>
          <rPr>
            <b/>
            <sz val="8.5"/>
            <color indexed="48"/>
            <rFont val="Calibri"/>
            <family val="2"/>
          </rPr>
          <t xml:space="preserve">SOLD </t>
        </r>
        <r>
          <rPr>
            <b/>
            <sz val="8.5"/>
            <color indexed="8"/>
            <rFont val="Calibri"/>
            <family val="2"/>
          </rPr>
          <t>» 118 PAX]_x000D_
_x000D_
[</t>
        </r>
        <r>
          <rPr>
            <b/>
            <sz val="8.5"/>
            <color indexed="21"/>
            <rFont val="Calibri"/>
            <family val="2"/>
          </rPr>
          <t xml:space="preserve">WEEKLY </t>
        </r>
        <r>
          <rPr>
            <b/>
            <sz val="8.5"/>
            <color indexed="8"/>
            <rFont val="Calibri"/>
            <family val="2"/>
          </rPr>
          <t>» 66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S5 &amp; W3 &amp; T5 &amp; X18 &amp; U18 &amp; O38 &amp; I28 &amp; P3</t>
        </r>
      </text>
    </comment>
    <comment ref="G2" authorId="0" shapeId="0" xr:uid="{9F0DBB1B-7165-498B-89F6-CF0465E03452}">
      <text>
        <r>
          <rPr>
            <b/>
            <sz val="8.5"/>
            <color indexed="8"/>
            <rFont val="Calibri"/>
            <family val="2"/>
          </rPr>
          <t xml:space="preserve">-{ </t>
        </r>
        <r>
          <rPr>
            <b/>
            <sz val="10"/>
            <color indexed="10"/>
            <rFont val="Calibri"/>
            <family val="2"/>
          </rPr>
          <t>SM492</t>
        </r>
        <r>
          <rPr>
            <b/>
            <sz val="8.5"/>
            <color indexed="8"/>
            <rFont val="Calibri"/>
            <family val="2"/>
          </rPr>
          <t xml:space="preserve"> }-_x000D_
_x000D_
[</t>
        </r>
        <r>
          <rPr>
            <b/>
            <sz val="8.5"/>
            <color indexed="48"/>
            <rFont val="Calibri"/>
            <family val="2"/>
          </rPr>
          <t xml:space="preserve">LF </t>
        </r>
        <r>
          <rPr>
            <b/>
            <sz val="8.5"/>
            <color indexed="8"/>
            <rFont val="Calibri"/>
            <family val="2"/>
          </rPr>
          <t>» 70.2%] - [</t>
        </r>
        <r>
          <rPr>
            <b/>
            <sz val="8.5"/>
            <color indexed="48"/>
            <rFont val="Calibri"/>
            <family val="2"/>
          </rPr>
          <t xml:space="preserve">SOLD </t>
        </r>
        <r>
          <rPr>
            <b/>
            <sz val="8.5"/>
            <color indexed="8"/>
            <rFont val="Calibri"/>
            <family val="2"/>
          </rPr>
          <t>» 118 PAX]_x000D_
_x000D_
[</t>
        </r>
        <r>
          <rPr>
            <b/>
            <sz val="8.5"/>
            <color indexed="21"/>
            <rFont val="Calibri"/>
            <family val="2"/>
          </rPr>
          <t xml:space="preserve">WEEKLY </t>
        </r>
        <r>
          <rPr>
            <b/>
            <sz val="8.5"/>
            <color indexed="8"/>
            <rFont val="Calibri"/>
            <family val="2"/>
          </rPr>
          <t>» 66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S5 &amp; W3 &amp; T5 &amp; X18 &amp; U18 &amp; O38 &amp; I28 &amp; P3</t>
        </r>
      </text>
    </comment>
    <comment ref="H2" authorId="0" shapeId="0" xr:uid="{584E3966-1DB0-45B2-9BE8-14B6043D6A45}">
      <text>
        <r>
          <rPr>
            <b/>
            <sz val="8.5"/>
            <color indexed="8"/>
            <rFont val="Calibri"/>
            <family val="2"/>
          </rPr>
          <t xml:space="preserve">-{ </t>
        </r>
        <r>
          <rPr>
            <b/>
            <sz val="10"/>
            <color indexed="10"/>
            <rFont val="Calibri"/>
            <family val="2"/>
          </rPr>
          <t>SM492</t>
        </r>
        <r>
          <rPr>
            <b/>
            <sz val="8.5"/>
            <color indexed="8"/>
            <rFont val="Calibri"/>
            <family val="2"/>
          </rPr>
          <t xml:space="preserve"> }-_x000D_
_x000D_
[</t>
        </r>
        <r>
          <rPr>
            <b/>
            <sz val="8.5"/>
            <color indexed="48"/>
            <rFont val="Calibri"/>
            <family val="2"/>
          </rPr>
          <t xml:space="preserve">LF </t>
        </r>
        <r>
          <rPr>
            <b/>
            <sz val="8.5"/>
            <color indexed="8"/>
            <rFont val="Calibri"/>
            <family val="2"/>
          </rPr>
          <t>» 70.2%] - [</t>
        </r>
        <r>
          <rPr>
            <b/>
            <sz val="8.5"/>
            <color indexed="48"/>
            <rFont val="Calibri"/>
            <family val="2"/>
          </rPr>
          <t xml:space="preserve">SOLD </t>
        </r>
        <r>
          <rPr>
            <b/>
            <sz val="8.5"/>
            <color indexed="8"/>
            <rFont val="Calibri"/>
            <family val="2"/>
          </rPr>
          <t>» 118 PAX]_x000D_
_x000D_
[</t>
        </r>
        <r>
          <rPr>
            <b/>
            <sz val="8.5"/>
            <color indexed="21"/>
            <rFont val="Calibri"/>
            <family val="2"/>
          </rPr>
          <t xml:space="preserve">WEEKLY </t>
        </r>
        <r>
          <rPr>
            <b/>
            <sz val="8.5"/>
            <color indexed="8"/>
            <rFont val="Calibri"/>
            <family val="2"/>
          </rPr>
          <t>» 66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S5 &amp; W3 &amp; T5 &amp; X18 &amp; U18 &amp; O38 &amp; I28 &amp; P3</t>
        </r>
      </text>
    </comment>
    <comment ref="A14" authorId="0" shapeId="0" xr:uid="{D64A2D37-25C8-421E-9500-9DAFEAAB1FF8}">
      <text>
        <r>
          <rPr>
            <b/>
            <sz val="8.5"/>
            <color indexed="8"/>
            <rFont val="Calibri"/>
            <family val="2"/>
          </rPr>
          <t xml:space="preserve">-{ </t>
        </r>
        <r>
          <rPr>
            <b/>
            <sz val="10"/>
            <color indexed="10"/>
            <rFont val="Calibri"/>
            <family val="2"/>
          </rPr>
          <t>SM454</t>
        </r>
        <r>
          <rPr>
            <b/>
            <sz val="8.5"/>
            <color indexed="8"/>
            <rFont val="Calibri"/>
            <family val="2"/>
          </rPr>
          <t xml:space="preserve"> }-_x000D_
_x000D_
[</t>
        </r>
        <r>
          <rPr>
            <b/>
            <sz val="8.5"/>
            <color indexed="48"/>
            <rFont val="Calibri"/>
            <family val="2"/>
          </rPr>
          <t xml:space="preserve">LF </t>
        </r>
        <r>
          <rPr>
            <b/>
            <sz val="8.5"/>
            <color indexed="8"/>
            <rFont val="Calibri"/>
            <family val="2"/>
          </rPr>
          <t>» 77.4%] - [</t>
        </r>
        <r>
          <rPr>
            <b/>
            <sz val="8.5"/>
            <color indexed="48"/>
            <rFont val="Calibri"/>
            <family val="2"/>
          </rPr>
          <t xml:space="preserve">SOLD </t>
        </r>
        <r>
          <rPr>
            <b/>
            <sz val="8.5"/>
            <color indexed="8"/>
            <rFont val="Calibri"/>
            <family val="2"/>
          </rPr>
          <t>» 130 PAX]_x000D_
_x000D_
[</t>
        </r>
        <r>
          <rPr>
            <b/>
            <sz val="8.5"/>
            <color indexed="21"/>
            <rFont val="Calibri"/>
            <family val="2"/>
          </rPr>
          <t xml:space="preserve">WEEKLY </t>
        </r>
        <r>
          <rPr>
            <b/>
            <sz val="8.5"/>
            <color indexed="8"/>
            <rFont val="Calibri"/>
            <family val="2"/>
          </rPr>
          <t>» 53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 &amp; W1 &amp; X13 &amp; U20 &amp; O40 &amp; I20 &amp; P34</t>
        </r>
      </text>
    </comment>
    <comment ref="B14" authorId="0" shapeId="0" xr:uid="{BEB8B9CA-767A-4C0A-8813-7A2C1FEC19DA}">
      <text>
        <r>
          <rPr>
            <b/>
            <sz val="8.5"/>
            <color indexed="8"/>
            <rFont val="Calibri"/>
            <family val="2"/>
          </rPr>
          <t xml:space="preserve">-{ </t>
        </r>
        <r>
          <rPr>
            <b/>
            <sz val="10"/>
            <color indexed="10"/>
            <rFont val="Calibri"/>
            <family val="2"/>
          </rPr>
          <t>SM454</t>
        </r>
        <r>
          <rPr>
            <b/>
            <sz val="8.5"/>
            <color indexed="8"/>
            <rFont val="Calibri"/>
            <family val="2"/>
          </rPr>
          <t xml:space="preserve"> }-_x000D_
_x000D_
[</t>
        </r>
        <r>
          <rPr>
            <b/>
            <sz val="8.5"/>
            <color indexed="48"/>
            <rFont val="Calibri"/>
            <family val="2"/>
          </rPr>
          <t xml:space="preserve">LF </t>
        </r>
        <r>
          <rPr>
            <b/>
            <sz val="8.5"/>
            <color indexed="8"/>
            <rFont val="Calibri"/>
            <family val="2"/>
          </rPr>
          <t>» 77.4%] - [</t>
        </r>
        <r>
          <rPr>
            <b/>
            <sz val="8.5"/>
            <color indexed="48"/>
            <rFont val="Calibri"/>
            <family val="2"/>
          </rPr>
          <t xml:space="preserve">SOLD </t>
        </r>
        <r>
          <rPr>
            <b/>
            <sz val="8.5"/>
            <color indexed="8"/>
            <rFont val="Calibri"/>
            <family val="2"/>
          </rPr>
          <t>» 130 PAX]_x000D_
_x000D_
[</t>
        </r>
        <r>
          <rPr>
            <b/>
            <sz val="8.5"/>
            <color indexed="21"/>
            <rFont val="Calibri"/>
            <family val="2"/>
          </rPr>
          <t xml:space="preserve">WEEKLY </t>
        </r>
        <r>
          <rPr>
            <b/>
            <sz val="8.5"/>
            <color indexed="8"/>
            <rFont val="Calibri"/>
            <family val="2"/>
          </rPr>
          <t>» 53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 &amp; W1 &amp; X13 &amp; U20 &amp; O40 &amp; I20 &amp; P34</t>
        </r>
      </text>
    </comment>
    <comment ref="C14" authorId="0" shapeId="0" xr:uid="{04A1232C-1715-44D5-9081-0EDC7738B285}">
      <text>
        <r>
          <rPr>
            <b/>
            <sz val="8.5"/>
            <color indexed="8"/>
            <rFont val="Calibri"/>
            <family val="2"/>
          </rPr>
          <t xml:space="preserve">-{ </t>
        </r>
        <r>
          <rPr>
            <b/>
            <sz val="10"/>
            <color indexed="10"/>
            <rFont val="Calibri"/>
            <family val="2"/>
          </rPr>
          <t>SM454</t>
        </r>
        <r>
          <rPr>
            <b/>
            <sz val="8.5"/>
            <color indexed="8"/>
            <rFont val="Calibri"/>
            <family val="2"/>
          </rPr>
          <t xml:space="preserve"> }-_x000D_
_x000D_
[</t>
        </r>
        <r>
          <rPr>
            <b/>
            <sz val="8.5"/>
            <color indexed="48"/>
            <rFont val="Calibri"/>
            <family val="2"/>
          </rPr>
          <t xml:space="preserve">LF </t>
        </r>
        <r>
          <rPr>
            <b/>
            <sz val="8.5"/>
            <color indexed="8"/>
            <rFont val="Calibri"/>
            <family val="2"/>
          </rPr>
          <t>» 77.4%] - [</t>
        </r>
        <r>
          <rPr>
            <b/>
            <sz val="8.5"/>
            <color indexed="48"/>
            <rFont val="Calibri"/>
            <family val="2"/>
          </rPr>
          <t xml:space="preserve">SOLD </t>
        </r>
        <r>
          <rPr>
            <b/>
            <sz val="8.5"/>
            <color indexed="8"/>
            <rFont val="Calibri"/>
            <family val="2"/>
          </rPr>
          <t>» 130 PAX]_x000D_
_x000D_
[</t>
        </r>
        <r>
          <rPr>
            <b/>
            <sz val="8.5"/>
            <color indexed="21"/>
            <rFont val="Calibri"/>
            <family val="2"/>
          </rPr>
          <t xml:space="preserve">WEEKLY </t>
        </r>
        <r>
          <rPr>
            <b/>
            <sz val="8.5"/>
            <color indexed="8"/>
            <rFont val="Calibri"/>
            <family val="2"/>
          </rPr>
          <t>» 53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 &amp; W1 &amp; X13 &amp; U20 &amp; O40 &amp; I20 &amp; P34</t>
        </r>
      </text>
    </comment>
    <comment ref="D14" authorId="0" shapeId="0" xr:uid="{D64C42C1-158C-4AC3-896C-CB666441B489}">
      <text>
        <r>
          <rPr>
            <b/>
            <sz val="8.5"/>
            <color indexed="8"/>
            <rFont val="Calibri"/>
            <family val="2"/>
          </rPr>
          <t xml:space="preserve">-{ </t>
        </r>
        <r>
          <rPr>
            <b/>
            <sz val="10"/>
            <color indexed="10"/>
            <rFont val="Calibri"/>
            <family val="2"/>
          </rPr>
          <t>SM454</t>
        </r>
        <r>
          <rPr>
            <b/>
            <sz val="8.5"/>
            <color indexed="8"/>
            <rFont val="Calibri"/>
            <family val="2"/>
          </rPr>
          <t xml:space="preserve"> }-_x000D_
_x000D_
[</t>
        </r>
        <r>
          <rPr>
            <b/>
            <sz val="8.5"/>
            <color indexed="48"/>
            <rFont val="Calibri"/>
            <family val="2"/>
          </rPr>
          <t xml:space="preserve">LF </t>
        </r>
        <r>
          <rPr>
            <b/>
            <sz val="8.5"/>
            <color indexed="8"/>
            <rFont val="Calibri"/>
            <family val="2"/>
          </rPr>
          <t>» 77.4%] - [</t>
        </r>
        <r>
          <rPr>
            <b/>
            <sz val="8.5"/>
            <color indexed="48"/>
            <rFont val="Calibri"/>
            <family val="2"/>
          </rPr>
          <t xml:space="preserve">SOLD </t>
        </r>
        <r>
          <rPr>
            <b/>
            <sz val="8.5"/>
            <color indexed="8"/>
            <rFont val="Calibri"/>
            <family val="2"/>
          </rPr>
          <t>» 130 PAX]_x000D_
_x000D_
[</t>
        </r>
        <r>
          <rPr>
            <b/>
            <sz val="8.5"/>
            <color indexed="21"/>
            <rFont val="Calibri"/>
            <family val="2"/>
          </rPr>
          <t xml:space="preserve">WEEKLY </t>
        </r>
        <r>
          <rPr>
            <b/>
            <sz val="8.5"/>
            <color indexed="8"/>
            <rFont val="Calibri"/>
            <family val="2"/>
          </rPr>
          <t>» 53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 &amp; W1 &amp; X13 &amp; U20 &amp; O40 &amp; I20 &amp; P34</t>
        </r>
      </text>
    </comment>
    <comment ref="E14" authorId="0" shapeId="0" xr:uid="{AA6F825A-BDD6-4F32-A82E-FCA4169A23A3}">
      <text>
        <r>
          <rPr>
            <b/>
            <sz val="8.5"/>
            <color indexed="8"/>
            <rFont val="Calibri"/>
            <family val="2"/>
          </rPr>
          <t xml:space="preserve">-{ </t>
        </r>
        <r>
          <rPr>
            <b/>
            <sz val="10"/>
            <color indexed="10"/>
            <rFont val="Calibri"/>
            <family val="2"/>
          </rPr>
          <t>SM454</t>
        </r>
        <r>
          <rPr>
            <b/>
            <sz val="8.5"/>
            <color indexed="8"/>
            <rFont val="Calibri"/>
            <family val="2"/>
          </rPr>
          <t xml:space="preserve"> }-_x000D_
_x000D_
[</t>
        </r>
        <r>
          <rPr>
            <b/>
            <sz val="8.5"/>
            <color indexed="48"/>
            <rFont val="Calibri"/>
            <family val="2"/>
          </rPr>
          <t xml:space="preserve">LF </t>
        </r>
        <r>
          <rPr>
            <b/>
            <sz val="8.5"/>
            <color indexed="8"/>
            <rFont val="Calibri"/>
            <family val="2"/>
          </rPr>
          <t>» 77.4%] - [</t>
        </r>
        <r>
          <rPr>
            <b/>
            <sz val="8.5"/>
            <color indexed="48"/>
            <rFont val="Calibri"/>
            <family val="2"/>
          </rPr>
          <t xml:space="preserve">SOLD </t>
        </r>
        <r>
          <rPr>
            <b/>
            <sz val="8.5"/>
            <color indexed="8"/>
            <rFont val="Calibri"/>
            <family val="2"/>
          </rPr>
          <t>» 130 PAX]_x000D_
_x000D_
[</t>
        </r>
        <r>
          <rPr>
            <b/>
            <sz val="8.5"/>
            <color indexed="21"/>
            <rFont val="Calibri"/>
            <family val="2"/>
          </rPr>
          <t xml:space="preserve">WEEKLY </t>
        </r>
        <r>
          <rPr>
            <b/>
            <sz val="8.5"/>
            <color indexed="8"/>
            <rFont val="Calibri"/>
            <family val="2"/>
          </rPr>
          <t>» 53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 &amp; W1 &amp; X13 &amp; U20 &amp; O40 &amp; I20 &amp; P34</t>
        </r>
      </text>
    </comment>
    <comment ref="F14" authorId="0" shapeId="0" xr:uid="{8EC8D528-CFE6-4988-BC26-1AC713320436}">
      <text>
        <r>
          <rPr>
            <b/>
            <sz val="8.5"/>
            <color indexed="8"/>
            <rFont val="Calibri"/>
            <family val="2"/>
          </rPr>
          <t xml:space="preserve">-{ </t>
        </r>
        <r>
          <rPr>
            <b/>
            <sz val="10"/>
            <color indexed="10"/>
            <rFont val="Calibri"/>
            <family val="2"/>
          </rPr>
          <t>SM454</t>
        </r>
        <r>
          <rPr>
            <b/>
            <sz val="8.5"/>
            <color indexed="8"/>
            <rFont val="Calibri"/>
            <family val="2"/>
          </rPr>
          <t xml:space="preserve"> }-_x000D_
_x000D_
[</t>
        </r>
        <r>
          <rPr>
            <b/>
            <sz val="8.5"/>
            <color indexed="48"/>
            <rFont val="Calibri"/>
            <family val="2"/>
          </rPr>
          <t xml:space="preserve">LF </t>
        </r>
        <r>
          <rPr>
            <b/>
            <sz val="8.5"/>
            <color indexed="8"/>
            <rFont val="Calibri"/>
            <family val="2"/>
          </rPr>
          <t>» 77.4%] - [</t>
        </r>
        <r>
          <rPr>
            <b/>
            <sz val="8.5"/>
            <color indexed="48"/>
            <rFont val="Calibri"/>
            <family val="2"/>
          </rPr>
          <t xml:space="preserve">SOLD </t>
        </r>
        <r>
          <rPr>
            <b/>
            <sz val="8.5"/>
            <color indexed="8"/>
            <rFont val="Calibri"/>
            <family val="2"/>
          </rPr>
          <t>» 130 PAX]_x000D_
_x000D_
[</t>
        </r>
        <r>
          <rPr>
            <b/>
            <sz val="8.5"/>
            <color indexed="21"/>
            <rFont val="Calibri"/>
            <family val="2"/>
          </rPr>
          <t xml:space="preserve">WEEKLY </t>
        </r>
        <r>
          <rPr>
            <b/>
            <sz val="8.5"/>
            <color indexed="8"/>
            <rFont val="Calibri"/>
            <family val="2"/>
          </rPr>
          <t>» 53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 &amp; W1 &amp; X13 &amp; U20 &amp; O40 &amp; I20 &amp; P34</t>
        </r>
      </text>
    </comment>
    <comment ref="G14" authorId="0" shapeId="0" xr:uid="{E12672BC-6CF4-43A9-8C01-9232C7E3929C}">
      <text>
        <r>
          <rPr>
            <b/>
            <sz val="8.5"/>
            <color indexed="8"/>
            <rFont val="Calibri"/>
            <family val="2"/>
          </rPr>
          <t xml:space="preserve">-{ </t>
        </r>
        <r>
          <rPr>
            <b/>
            <sz val="10"/>
            <color indexed="10"/>
            <rFont val="Calibri"/>
            <family val="2"/>
          </rPr>
          <t>SM454</t>
        </r>
        <r>
          <rPr>
            <b/>
            <sz val="8.5"/>
            <color indexed="8"/>
            <rFont val="Calibri"/>
            <family val="2"/>
          </rPr>
          <t xml:space="preserve"> }-_x000D_
_x000D_
[</t>
        </r>
        <r>
          <rPr>
            <b/>
            <sz val="8.5"/>
            <color indexed="48"/>
            <rFont val="Calibri"/>
            <family val="2"/>
          </rPr>
          <t xml:space="preserve">LF </t>
        </r>
        <r>
          <rPr>
            <b/>
            <sz val="8.5"/>
            <color indexed="8"/>
            <rFont val="Calibri"/>
            <family val="2"/>
          </rPr>
          <t>» 77.4%] - [</t>
        </r>
        <r>
          <rPr>
            <b/>
            <sz val="8.5"/>
            <color indexed="48"/>
            <rFont val="Calibri"/>
            <family val="2"/>
          </rPr>
          <t xml:space="preserve">SOLD </t>
        </r>
        <r>
          <rPr>
            <b/>
            <sz val="8.5"/>
            <color indexed="8"/>
            <rFont val="Calibri"/>
            <family val="2"/>
          </rPr>
          <t>» 130 PAX]_x000D_
_x000D_
[</t>
        </r>
        <r>
          <rPr>
            <b/>
            <sz val="8.5"/>
            <color indexed="21"/>
            <rFont val="Calibri"/>
            <family val="2"/>
          </rPr>
          <t xml:space="preserve">WEEKLY </t>
        </r>
        <r>
          <rPr>
            <b/>
            <sz val="8.5"/>
            <color indexed="8"/>
            <rFont val="Calibri"/>
            <family val="2"/>
          </rPr>
          <t>» 53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 &amp; W1 &amp; X13 &amp; U20 &amp; O40 &amp; I20 &amp; P34</t>
        </r>
      </text>
    </comment>
    <comment ref="H14" authorId="0" shapeId="0" xr:uid="{7E0626FD-4F75-4E10-BB5B-3C845ECB0BA2}">
      <text>
        <r>
          <rPr>
            <b/>
            <sz val="8.5"/>
            <color indexed="8"/>
            <rFont val="Calibri"/>
            <family val="2"/>
          </rPr>
          <t xml:space="preserve">-{ </t>
        </r>
        <r>
          <rPr>
            <b/>
            <sz val="10"/>
            <color indexed="10"/>
            <rFont val="Calibri"/>
            <family val="2"/>
          </rPr>
          <t>SM454</t>
        </r>
        <r>
          <rPr>
            <b/>
            <sz val="8.5"/>
            <color indexed="8"/>
            <rFont val="Calibri"/>
            <family val="2"/>
          </rPr>
          <t xml:space="preserve"> }-_x000D_
_x000D_
[</t>
        </r>
        <r>
          <rPr>
            <b/>
            <sz val="8.5"/>
            <color indexed="48"/>
            <rFont val="Calibri"/>
            <family val="2"/>
          </rPr>
          <t xml:space="preserve">LF </t>
        </r>
        <r>
          <rPr>
            <b/>
            <sz val="8.5"/>
            <color indexed="8"/>
            <rFont val="Calibri"/>
            <family val="2"/>
          </rPr>
          <t>» 77.4%] - [</t>
        </r>
        <r>
          <rPr>
            <b/>
            <sz val="8.5"/>
            <color indexed="48"/>
            <rFont val="Calibri"/>
            <family val="2"/>
          </rPr>
          <t xml:space="preserve">SOLD </t>
        </r>
        <r>
          <rPr>
            <b/>
            <sz val="8.5"/>
            <color indexed="8"/>
            <rFont val="Calibri"/>
            <family val="2"/>
          </rPr>
          <t>» 130 PAX]_x000D_
_x000D_
[</t>
        </r>
        <r>
          <rPr>
            <b/>
            <sz val="8.5"/>
            <color indexed="21"/>
            <rFont val="Calibri"/>
            <family val="2"/>
          </rPr>
          <t xml:space="preserve">WEEKLY </t>
        </r>
        <r>
          <rPr>
            <b/>
            <sz val="8.5"/>
            <color indexed="8"/>
            <rFont val="Calibri"/>
            <family val="2"/>
          </rPr>
          <t>» 53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 &amp; W1 &amp; X13 &amp; U20 &amp; O40 &amp; I20 &amp; P34</t>
        </r>
      </text>
    </comment>
    <comment ref="A15" authorId="0" shapeId="0" xr:uid="{A731DE66-EA17-452D-90F7-5349F2A5350D}">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70.8%] - [</t>
        </r>
        <r>
          <rPr>
            <b/>
            <sz val="8.5"/>
            <color indexed="48"/>
            <rFont val="Calibri"/>
            <family val="2"/>
          </rPr>
          <t xml:space="preserve">SOLD </t>
        </r>
        <r>
          <rPr>
            <b/>
            <sz val="8.5"/>
            <color indexed="8"/>
            <rFont val="Calibri"/>
            <family val="2"/>
          </rPr>
          <t>» 119 PAX]_x000D_
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S2 &amp; X6 &amp; U19 &amp; P91</t>
        </r>
      </text>
    </comment>
    <comment ref="B15" authorId="0" shapeId="0" xr:uid="{9143F798-A0C2-4B4C-A9F9-24285AFF521A}">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70.8%] - [</t>
        </r>
        <r>
          <rPr>
            <b/>
            <sz val="8.5"/>
            <color indexed="48"/>
            <rFont val="Calibri"/>
            <family val="2"/>
          </rPr>
          <t xml:space="preserve">SOLD </t>
        </r>
        <r>
          <rPr>
            <b/>
            <sz val="8.5"/>
            <color indexed="8"/>
            <rFont val="Calibri"/>
            <family val="2"/>
          </rPr>
          <t>» 119 PAX]_x000D_
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S2 &amp; X6 &amp; U19 &amp; P91</t>
        </r>
      </text>
    </comment>
    <comment ref="C15" authorId="0" shapeId="0" xr:uid="{CD7F1E4B-F901-4331-9CC0-403036C6C75C}">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70.8%] - [</t>
        </r>
        <r>
          <rPr>
            <b/>
            <sz val="8.5"/>
            <color indexed="48"/>
            <rFont val="Calibri"/>
            <family val="2"/>
          </rPr>
          <t xml:space="preserve">SOLD </t>
        </r>
        <r>
          <rPr>
            <b/>
            <sz val="8.5"/>
            <color indexed="8"/>
            <rFont val="Calibri"/>
            <family val="2"/>
          </rPr>
          <t>» 119 PAX]_x000D_
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S2 &amp; X6 &amp; U19 &amp; P91</t>
        </r>
      </text>
    </comment>
    <comment ref="D15" authorId="0" shapeId="0" xr:uid="{9BBC1DAA-1F78-47D0-A908-7F0743246248}">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70.8%] - [</t>
        </r>
        <r>
          <rPr>
            <b/>
            <sz val="8.5"/>
            <color indexed="48"/>
            <rFont val="Calibri"/>
            <family val="2"/>
          </rPr>
          <t xml:space="preserve">SOLD </t>
        </r>
        <r>
          <rPr>
            <b/>
            <sz val="8.5"/>
            <color indexed="8"/>
            <rFont val="Calibri"/>
            <family val="2"/>
          </rPr>
          <t>» 119 PAX]_x000D_
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S2 &amp; X6 &amp; U19 &amp; P91</t>
        </r>
      </text>
    </comment>
    <comment ref="E15" authorId="0" shapeId="0" xr:uid="{85D367AB-95BA-409D-A5AE-92D4CF0511D8}">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70.8%] - [</t>
        </r>
        <r>
          <rPr>
            <b/>
            <sz val="8.5"/>
            <color indexed="48"/>
            <rFont val="Calibri"/>
            <family val="2"/>
          </rPr>
          <t xml:space="preserve">SOLD </t>
        </r>
        <r>
          <rPr>
            <b/>
            <sz val="8.5"/>
            <color indexed="8"/>
            <rFont val="Calibri"/>
            <family val="2"/>
          </rPr>
          <t>» 119 PAX]_x000D_
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S2 &amp; X6 &amp; U19 &amp; P91</t>
        </r>
      </text>
    </comment>
    <comment ref="F15" authorId="0" shapeId="0" xr:uid="{D0074297-A6C3-460C-99F7-5B340B6F5F2D}">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70.8%] - [</t>
        </r>
        <r>
          <rPr>
            <b/>
            <sz val="8.5"/>
            <color indexed="48"/>
            <rFont val="Calibri"/>
            <family val="2"/>
          </rPr>
          <t xml:space="preserve">SOLD </t>
        </r>
        <r>
          <rPr>
            <b/>
            <sz val="8.5"/>
            <color indexed="8"/>
            <rFont val="Calibri"/>
            <family val="2"/>
          </rPr>
          <t>» 119 PAX]_x000D_
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S2 &amp; X6 &amp; U19 &amp; P91</t>
        </r>
      </text>
    </comment>
    <comment ref="G15" authorId="0" shapeId="0" xr:uid="{787F0FF2-7D18-464E-9503-A5A52DAB9FEF}">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70.8%] - [</t>
        </r>
        <r>
          <rPr>
            <b/>
            <sz val="8.5"/>
            <color indexed="48"/>
            <rFont val="Calibri"/>
            <family val="2"/>
          </rPr>
          <t xml:space="preserve">SOLD </t>
        </r>
        <r>
          <rPr>
            <b/>
            <sz val="8.5"/>
            <color indexed="8"/>
            <rFont val="Calibri"/>
            <family val="2"/>
          </rPr>
          <t>» 119 PAX]_x000D_
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S2 &amp; X6 &amp; U19 &amp; P91</t>
        </r>
      </text>
    </comment>
    <comment ref="H15" authorId="0" shapeId="0" xr:uid="{B55EF2C6-FD3E-4CBA-BD1A-E80DB839B3ED}">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70.8%] - [</t>
        </r>
        <r>
          <rPr>
            <b/>
            <sz val="8.5"/>
            <color indexed="48"/>
            <rFont val="Calibri"/>
            <family val="2"/>
          </rPr>
          <t xml:space="preserve">SOLD </t>
        </r>
        <r>
          <rPr>
            <b/>
            <sz val="8.5"/>
            <color indexed="8"/>
            <rFont val="Calibri"/>
            <family val="2"/>
          </rPr>
          <t>» 119 PAX]_x000D_
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S2 &amp; X6 &amp; U19 &amp; P91</t>
        </r>
      </text>
    </comment>
    <comment ref="A31" authorId="0" shapeId="0" xr:uid="{B3A89995-1FE6-49F5-BA7E-1D20689BC1E4}">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92.3%] - [</t>
        </r>
        <r>
          <rPr>
            <b/>
            <sz val="8.5"/>
            <color indexed="48"/>
            <rFont val="Calibri"/>
            <family val="2"/>
          </rPr>
          <t xml:space="preserve">SOLD </t>
        </r>
        <r>
          <rPr>
            <b/>
            <sz val="8.5"/>
            <color indexed="8"/>
            <rFont val="Calibri"/>
            <family val="2"/>
          </rPr>
          <t>» 155 PAX]_x000D_
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O7]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U5 &amp; O3 &amp; I3 &amp; P144</t>
        </r>
      </text>
    </comment>
    <comment ref="B31" authorId="0" shapeId="0" xr:uid="{4108FF3E-0CBD-43E9-9D02-9C48C499CDBC}">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92.3%] - [</t>
        </r>
        <r>
          <rPr>
            <b/>
            <sz val="8.5"/>
            <color indexed="48"/>
            <rFont val="Calibri"/>
            <family val="2"/>
          </rPr>
          <t xml:space="preserve">SOLD </t>
        </r>
        <r>
          <rPr>
            <b/>
            <sz val="8.5"/>
            <color indexed="8"/>
            <rFont val="Calibri"/>
            <family val="2"/>
          </rPr>
          <t>» 155 PAX]_x000D_
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O7]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U5 &amp; O3 &amp; I3 &amp; P144</t>
        </r>
      </text>
    </comment>
    <comment ref="C31" authorId="0" shapeId="0" xr:uid="{16DEDD0B-BE22-4D15-828D-887BD7890138}">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92.3%] - [</t>
        </r>
        <r>
          <rPr>
            <b/>
            <sz val="8.5"/>
            <color indexed="48"/>
            <rFont val="Calibri"/>
            <family val="2"/>
          </rPr>
          <t xml:space="preserve">SOLD </t>
        </r>
        <r>
          <rPr>
            <b/>
            <sz val="8.5"/>
            <color indexed="8"/>
            <rFont val="Calibri"/>
            <family val="2"/>
          </rPr>
          <t>» 155 PAX]_x000D_
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O7]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U5 &amp; O3 &amp; I3 &amp; P144</t>
        </r>
      </text>
    </comment>
    <comment ref="D31" authorId="0" shapeId="0" xr:uid="{2815666C-3C5E-40FC-8C97-450C0B3A53DC}">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92.3%] - [</t>
        </r>
        <r>
          <rPr>
            <b/>
            <sz val="8.5"/>
            <color indexed="48"/>
            <rFont val="Calibri"/>
            <family val="2"/>
          </rPr>
          <t xml:space="preserve">SOLD </t>
        </r>
        <r>
          <rPr>
            <b/>
            <sz val="8.5"/>
            <color indexed="8"/>
            <rFont val="Calibri"/>
            <family val="2"/>
          </rPr>
          <t>» 155 PAX]_x000D_
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O7]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U5 &amp; O3 &amp; I3 &amp; P144</t>
        </r>
      </text>
    </comment>
    <comment ref="E31" authorId="0" shapeId="0" xr:uid="{7A0496F9-45A8-48AE-B933-8427FEC3C4F7}">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92.3%] - [</t>
        </r>
        <r>
          <rPr>
            <b/>
            <sz val="8.5"/>
            <color indexed="48"/>
            <rFont val="Calibri"/>
            <family val="2"/>
          </rPr>
          <t xml:space="preserve">SOLD </t>
        </r>
        <r>
          <rPr>
            <b/>
            <sz val="8.5"/>
            <color indexed="8"/>
            <rFont val="Calibri"/>
            <family val="2"/>
          </rPr>
          <t>» 155 PAX]_x000D_
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O7]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U5 &amp; O3 &amp; I3 &amp; P144</t>
        </r>
      </text>
    </comment>
    <comment ref="F31" authorId="0" shapeId="0" xr:uid="{C15A38B1-C5D6-4617-8F54-5BD4BF914EE8}">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92.3%] - [</t>
        </r>
        <r>
          <rPr>
            <b/>
            <sz val="8.5"/>
            <color indexed="48"/>
            <rFont val="Calibri"/>
            <family val="2"/>
          </rPr>
          <t xml:space="preserve">SOLD </t>
        </r>
        <r>
          <rPr>
            <b/>
            <sz val="8.5"/>
            <color indexed="8"/>
            <rFont val="Calibri"/>
            <family val="2"/>
          </rPr>
          <t>» 155 PAX]_x000D_
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O7]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U5 &amp; O3 &amp; I3 &amp; P144</t>
        </r>
      </text>
    </comment>
    <comment ref="G31" authorId="0" shapeId="0" xr:uid="{BDEBB705-7DDC-43B0-9D2D-C58B70C7C0EC}">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92.3%] - [</t>
        </r>
        <r>
          <rPr>
            <b/>
            <sz val="8.5"/>
            <color indexed="48"/>
            <rFont val="Calibri"/>
            <family val="2"/>
          </rPr>
          <t xml:space="preserve">SOLD </t>
        </r>
        <r>
          <rPr>
            <b/>
            <sz val="8.5"/>
            <color indexed="8"/>
            <rFont val="Calibri"/>
            <family val="2"/>
          </rPr>
          <t>» 155 PAX]_x000D_
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O7]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U5 &amp; O3 &amp; I3 &amp; P144</t>
        </r>
      </text>
    </comment>
    <comment ref="H31" authorId="0" shapeId="0" xr:uid="{14E5DD50-7A2A-4287-9664-2E2295F3B406}">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92.3%] - [</t>
        </r>
        <r>
          <rPr>
            <b/>
            <sz val="8.5"/>
            <color indexed="48"/>
            <rFont val="Calibri"/>
            <family val="2"/>
          </rPr>
          <t xml:space="preserve">SOLD </t>
        </r>
        <r>
          <rPr>
            <b/>
            <sz val="8.5"/>
            <color indexed="8"/>
            <rFont val="Calibri"/>
            <family val="2"/>
          </rPr>
          <t>» 155 PAX]_x000D_
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O7]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U5 &amp; O3 &amp; I3 &amp; P144</t>
        </r>
      </text>
    </comment>
    <comment ref="A32" authorId="0" shapeId="0" xr:uid="{6BB2064F-2410-4A94-B206-1E909069BA38}">
      <text>
        <r>
          <rPr>
            <b/>
            <sz val="8.5"/>
            <color indexed="8"/>
            <rFont val="Calibri"/>
            <family val="2"/>
          </rPr>
          <t xml:space="preserve">-{ </t>
        </r>
        <r>
          <rPr>
            <b/>
            <sz val="10"/>
            <color indexed="10"/>
            <rFont val="Calibri"/>
            <family val="2"/>
          </rPr>
          <t>SM492</t>
        </r>
        <r>
          <rPr>
            <b/>
            <sz val="8.5"/>
            <color indexed="8"/>
            <rFont val="Calibri"/>
            <family val="2"/>
          </rPr>
          <t xml:space="preserve"> }-_x000D_
_x000D_
[</t>
        </r>
        <r>
          <rPr>
            <b/>
            <sz val="8.5"/>
            <color indexed="48"/>
            <rFont val="Calibri"/>
            <family val="2"/>
          </rPr>
          <t xml:space="preserve">LF </t>
        </r>
        <r>
          <rPr>
            <b/>
            <sz val="8.5"/>
            <color indexed="8"/>
            <rFont val="Calibri"/>
            <family val="2"/>
          </rPr>
          <t>» 67.3%] - [</t>
        </r>
        <r>
          <rPr>
            <b/>
            <sz val="8.5"/>
            <color indexed="48"/>
            <rFont val="Calibri"/>
            <family val="2"/>
          </rPr>
          <t xml:space="preserve">SOLD </t>
        </r>
        <r>
          <rPr>
            <b/>
            <sz val="8.5"/>
            <color indexed="8"/>
            <rFont val="Calibri"/>
            <family val="2"/>
          </rPr>
          <t>» 113 PAX]_x000D_
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O3]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U9 &amp; O9 &amp; I14 &amp; E80 &amp; P1</t>
        </r>
      </text>
    </comment>
    <comment ref="B32" authorId="0" shapeId="0" xr:uid="{2B83A5CC-018B-44E3-9BB9-26D181045E30}">
      <text>
        <r>
          <rPr>
            <b/>
            <sz val="8.5"/>
            <color indexed="8"/>
            <rFont val="Calibri"/>
            <family val="2"/>
          </rPr>
          <t xml:space="preserve">-{ </t>
        </r>
        <r>
          <rPr>
            <b/>
            <sz val="10"/>
            <color indexed="10"/>
            <rFont val="Calibri"/>
            <family val="2"/>
          </rPr>
          <t>SM492</t>
        </r>
        <r>
          <rPr>
            <b/>
            <sz val="8.5"/>
            <color indexed="8"/>
            <rFont val="Calibri"/>
            <family val="2"/>
          </rPr>
          <t xml:space="preserve"> }-_x000D_
_x000D_
[</t>
        </r>
        <r>
          <rPr>
            <b/>
            <sz val="8.5"/>
            <color indexed="48"/>
            <rFont val="Calibri"/>
            <family val="2"/>
          </rPr>
          <t xml:space="preserve">LF </t>
        </r>
        <r>
          <rPr>
            <b/>
            <sz val="8.5"/>
            <color indexed="8"/>
            <rFont val="Calibri"/>
            <family val="2"/>
          </rPr>
          <t>» 67.3%] - [</t>
        </r>
        <r>
          <rPr>
            <b/>
            <sz val="8.5"/>
            <color indexed="48"/>
            <rFont val="Calibri"/>
            <family val="2"/>
          </rPr>
          <t xml:space="preserve">SOLD </t>
        </r>
        <r>
          <rPr>
            <b/>
            <sz val="8.5"/>
            <color indexed="8"/>
            <rFont val="Calibri"/>
            <family val="2"/>
          </rPr>
          <t>» 113 PAX]_x000D_
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O3]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U9 &amp; O9 &amp; I14 &amp; E80 &amp; P1</t>
        </r>
      </text>
    </comment>
    <comment ref="C32" authorId="0" shapeId="0" xr:uid="{8429833D-4C52-4EFD-B3C2-2A72476C8E5B}">
      <text>
        <r>
          <rPr>
            <b/>
            <sz val="8.5"/>
            <color indexed="8"/>
            <rFont val="Calibri"/>
            <family val="2"/>
          </rPr>
          <t xml:space="preserve">-{ </t>
        </r>
        <r>
          <rPr>
            <b/>
            <sz val="10"/>
            <color indexed="10"/>
            <rFont val="Calibri"/>
            <family val="2"/>
          </rPr>
          <t>SM492</t>
        </r>
        <r>
          <rPr>
            <b/>
            <sz val="8.5"/>
            <color indexed="8"/>
            <rFont val="Calibri"/>
            <family val="2"/>
          </rPr>
          <t xml:space="preserve"> }-_x000D_
_x000D_
[</t>
        </r>
        <r>
          <rPr>
            <b/>
            <sz val="8.5"/>
            <color indexed="48"/>
            <rFont val="Calibri"/>
            <family val="2"/>
          </rPr>
          <t xml:space="preserve">LF </t>
        </r>
        <r>
          <rPr>
            <b/>
            <sz val="8.5"/>
            <color indexed="8"/>
            <rFont val="Calibri"/>
            <family val="2"/>
          </rPr>
          <t>» 67.3%] - [</t>
        </r>
        <r>
          <rPr>
            <b/>
            <sz val="8.5"/>
            <color indexed="48"/>
            <rFont val="Calibri"/>
            <family val="2"/>
          </rPr>
          <t xml:space="preserve">SOLD </t>
        </r>
        <r>
          <rPr>
            <b/>
            <sz val="8.5"/>
            <color indexed="8"/>
            <rFont val="Calibri"/>
            <family val="2"/>
          </rPr>
          <t>» 113 PAX]_x000D_
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O3]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U9 &amp; O9 &amp; I14 &amp; E80 &amp; P1</t>
        </r>
      </text>
    </comment>
    <comment ref="D32" authorId="0" shapeId="0" xr:uid="{904E3D86-F829-47FD-9E04-3DFD66D34AA9}">
      <text>
        <r>
          <rPr>
            <b/>
            <sz val="8.5"/>
            <color indexed="8"/>
            <rFont val="Calibri"/>
            <family val="2"/>
          </rPr>
          <t xml:space="preserve">-{ </t>
        </r>
        <r>
          <rPr>
            <b/>
            <sz val="10"/>
            <color indexed="10"/>
            <rFont val="Calibri"/>
            <family val="2"/>
          </rPr>
          <t>SM492</t>
        </r>
        <r>
          <rPr>
            <b/>
            <sz val="8.5"/>
            <color indexed="8"/>
            <rFont val="Calibri"/>
            <family val="2"/>
          </rPr>
          <t xml:space="preserve"> }-_x000D_
_x000D_
[</t>
        </r>
        <r>
          <rPr>
            <b/>
            <sz val="8.5"/>
            <color indexed="48"/>
            <rFont val="Calibri"/>
            <family val="2"/>
          </rPr>
          <t xml:space="preserve">LF </t>
        </r>
        <r>
          <rPr>
            <b/>
            <sz val="8.5"/>
            <color indexed="8"/>
            <rFont val="Calibri"/>
            <family val="2"/>
          </rPr>
          <t>» 67.3%] - [</t>
        </r>
        <r>
          <rPr>
            <b/>
            <sz val="8.5"/>
            <color indexed="48"/>
            <rFont val="Calibri"/>
            <family val="2"/>
          </rPr>
          <t xml:space="preserve">SOLD </t>
        </r>
        <r>
          <rPr>
            <b/>
            <sz val="8.5"/>
            <color indexed="8"/>
            <rFont val="Calibri"/>
            <family val="2"/>
          </rPr>
          <t>» 113 PAX]_x000D_
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O3]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U9 &amp; O9 &amp; I14 &amp; E80 &amp; P1</t>
        </r>
      </text>
    </comment>
    <comment ref="E32" authorId="0" shapeId="0" xr:uid="{75017E14-4644-4A78-A725-79D90D382A40}">
      <text>
        <r>
          <rPr>
            <b/>
            <sz val="8.5"/>
            <color indexed="8"/>
            <rFont val="Calibri"/>
            <family val="2"/>
          </rPr>
          <t xml:space="preserve">-{ </t>
        </r>
        <r>
          <rPr>
            <b/>
            <sz val="10"/>
            <color indexed="10"/>
            <rFont val="Calibri"/>
            <family val="2"/>
          </rPr>
          <t>SM492</t>
        </r>
        <r>
          <rPr>
            <b/>
            <sz val="8.5"/>
            <color indexed="8"/>
            <rFont val="Calibri"/>
            <family val="2"/>
          </rPr>
          <t xml:space="preserve"> }-_x000D_
_x000D_
[</t>
        </r>
        <r>
          <rPr>
            <b/>
            <sz val="8.5"/>
            <color indexed="48"/>
            <rFont val="Calibri"/>
            <family val="2"/>
          </rPr>
          <t xml:space="preserve">LF </t>
        </r>
        <r>
          <rPr>
            <b/>
            <sz val="8.5"/>
            <color indexed="8"/>
            <rFont val="Calibri"/>
            <family val="2"/>
          </rPr>
          <t>» 67.3%] - [</t>
        </r>
        <r>
          <rPr>
            <b/>
            <sz val="8.5"/>
            <color indexed="48"/>
            <rFont val="Calibri"/>
            <family val="2"/>
          </rPr>
          <t xml:space="preserve">SOLD </t>
        </r>
        <r>
          <rPr>
            <b/>
            <sz val="8.5"/>
            <color indexed="8"/>
            <rFont val="Calibri"/>
            <family val="2"/>
          </rPr>
          <t>» 113 PAX]_x000D_
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O3]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U9 &amp; O9 &amp; I14 &amp; E80 &amp; P1</t>
        </r>
      </text>
    </comment>
    <comment ref="F32" authorId="0" shapeId="0" xr:uid="{1920DB33-5E3F-4C2A-B1BB-8E13F303FFCD}">
      <text>
        <r>
          <rPr>
            <b/>
            <sz val="8.5"/>
            <color indexed="8"/>
            <rFont val="Calibri"/>
            <family val="2"/>
          </rPr>
          <t xml:space="preserve">-{ </t>
        </r>
        <r>
          <rPr>
            <b/>
            <sz val="10"/>
            <color indexed="10"/>
            <rFont val="Calibri"/>
            <family val="2"/>
          </rPr>
          <t>SM492</t>
        </r>
        <r>
          <rPr>
            <b/>
            <sz val="8.5"/>
            <color indexed="8"/>
            <rFont val="Calibri"/>
            <family val="2"/>
          </rPr>
          <t xml:space="preserve"> }-_x000D_
_x000D_
[</t>
        </r>
        <r>
          <rPr>
            <b/>
            <sz val="8.5"/>
            <color indexed="48"/>
            <rFont val="Calibri"/>
            <family val="2"/>
          </rPr>
          <t xml:space="preserve">LF </t>
        </r>
        <r>
          <rPr>
            <b/>
            <sz val="8.5"/>
            <color indexed="8"/>
            <rFont val="Calibri"/>
            <family val="2"/>
          </rPr>
          <t>» 67.3%] - [</t>
        </r>
        <r>
          <rPr>
            <b/>
            <sz val="8.5"/>
            <color indexed="48"/>
            <rFont val="Calibri"/>
            <family val="2"/>
          </rPr>
          <t xml:space="preserve">SOLD </t>
        </r>
        <r>
          <rPr>
            <b/>
            <sz val="8.5"/>
            <color indexed="8"/>
            <rFont val="Calibri"/>
            <family val="2"/>
          </rPr>
          <t>» 113 PAX]_x000D_
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O3]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U9 &amp; O9 &amp; I14 &amp; E80 &amp; P1</t>
        </r>
      </text>
    </comment>
    <comment ref="G32" authorId="0" shapeId="0" xr:uid="{6B6CA31D-509B-40EC-8875-98D7CDC17EEA}">
      <text>
        <r>
          <rPr>
            <b/>
            <sz val="8.5"/>
            <color indexed="8"/>
            <rFont val="Calibri"/>
            <family val="2"/>
          </rPr>
          <t xml:space="preserve">-{ </t>
        </r>
        <r>
          <rPr>
            <b/>
            <sz val="10"/>
            <color indexed="10"/>
            <rFont val="Calibri"/>
            <family val="2"/>
          </rPr>
          <t>SM492</t>
        </r>
        <r>
          <rPr>
            <b/>
            <sz val="8.5"/>
            <color indexed="8"/>
            <rFont val="Calibri"/>
            <family val="2"/>
          </rPr>
          <t xml:space="preserve"> }-_x000D_
_x000D_
[</t>
        </r>
        <r>
          <rPr>
            <b/>
            <sz val="8.5"/>
            <color indexed="48"/>
            <rFont val="Calibri"/>
            <family val="2"/>
          </rPr>
          <t xml:space="preserve">LF </t>
        </r>
        <r>
          <rPr>
            <b/>
            <sz val="8.5"/>
            <color indexed="8"/>
            <rFont val="Calibri"/>
            <family val="2"/>
          </rPr>
          <t>» 67.3%] - [</t>
        </r>
        <r>
          <rPr>
            <b/>
            <sz val="8.5"/>
            <color indexed="48"/>
            <rFont val="Calibri"/>
            <family val="2"/>
          </rPr>
          <t xml:space="preserve">SOLD </t>
        </r>
        <r>
          <rPr>
            <b/>
            <sz val="8.5"/>
            <color indexed="8"/>
            <rFont val="Calibri"/>
            <family val="2"/>
          </rPr>
          <t>» 113 PAX]_x000D_
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O3]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U9 &amp; O9 &amp; I14 &amp; E80 &amp; P1</t>
        </r>
      </text>
    </comment>
    <comment ref="H32" authorId="0" shapeId="0" xr:uid="{CD7D6DA0-44CD-4939-80E4-6C78B9A8D9C9}">
      <text>
        <r>
          <rPr>
            <b/>
            <sz val="8.5"/>
            <color indexed="8"/>
            <rFont val="Calibri"/>
            <family val="2"/>
          </rPr>
          <t xml:space="preserve">-{ </t>
        </r>
        <r>
          <rPr>
            <b/>
            <sz val="10"/>
            <color indexed="10"/>
            <rFont val="Calibri"/>
            <family val="2"/>
          </rPr>
          <t>SM492</t>
        </r>
        <r>
          <rPr>
            <b/>
            <sz val="8.5"/>
            <color indexed="8"/>
            <rFont val="Calibri"/>
            <family val="2"/>
          </rPr>
          <t xml:space="preserve"> }-_x000D_
_x000D_
[</t>
        </r>
        <r>
          <rPr>
            <b/>
            <sz val="8.5"/>
            <color indexed="48"/>
            <rFont val="Calibri"/>
            <family val="2"/>
          </rPr>
          <t xml:space="preserve">LF </t>
        </r>
        <r>
          <rPr>
            <b/>
            <sz val="8.5"/>
            <color indexed="8"/>
            <rFont val="Calibri"/>
            <family val="2"/>
          </rPr>
          <t>» 67.3%] - [</t>
        </r>
        <r>
          <rPr>
            <b/>
            <sz val="8.5"/>
            <color indexed="48"/>
            <rFont val="Calibri"/>
            <family val="2"/>
          </rPr>
          <t xml:space="preserve">SOLD </t>
        </r>
        <r>
          <rPr>
            <b/>
            <sz val="8.5"/>
            <color indexed="8"/>
            <rFont val="Calibri"/>
            <family val="2"/>
          </rPr>
          <t>» 113 PAX]_x000D_
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O3]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U9 &amp; O9 &amp; I14 &amp; E80 &amp; P1</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2" authorId="0" shapeId="0" xr:uid="{4CC854E7-6240-46F0-A22C-4F020D52A52E}">
      <text>
        <r>
          <rPr>
            <b/>
            <sz val="8.5"/>
            <color indexed="8"/>
            <rFont val="Calibri"/>
            <family val="2"/>
          </rPr>
          <t xml:space="preserve">-{ </t>
        </r>
        <r>
          <rPr>
            <b/>
            <sz val="10"/>
            <color indexed="10"/>
            <rFont val="Calibri"/>
            <family val="2"/>
          </rPr>
          <t>SM492</t>
        </r>
        <r>
          <rPr>
            <b/>
            <sz val="8.5"/>
            <color indexed="8"/>
            <rFont val="Calibri"/>
            <family val="2"/>
          </rPr>
          <t xml:space="preserve"> }-_x000D_
_x000D_
[</t>
        </r>
        <r>
          <rPr>
            <b/>
            <sz val="8.5"/>
            <color indexed="48"/>
            <rFont val="Calibri"/>
            <family val="2"/>
          </rPr>
          <t xml:space="preserve">LF </t>
        </r>
        <r>
          <rPr>
            <b/>
            <sz val="8.5"/>
            <color indexed="8"/>
            <rFont val="Calibri"/>
            <family val="2"/>
          </rPr>
          <t>» 70.2%] - [</t>
        </r>
        <r>
          <rPr>
            <b/>
            <sz val="8.5"/>
            <color indexed="48"/>
            <rFont val="Calibri"/>
            <family val="2"/>
          </rPr>
          <t xml:space="preserve">SOLD </t>
        </r>
        <r>
          <rPr>
            <b/>
            <sz val="8.5"/>
            <color indexed="8"/>
            <rFont val="Calibri"/>
            <family val="2"/>
          </rPr>
          <t>» 118 PAX]_x000D_
_x000D_
[</t>
        </r>
        <r>
          <rPr>
            <b/>
            <sz val="8.5"/>
            <color indexed="21"/>
            <rFont val="Calibri"/>
            <family val="2"/>
          </rPr>
          <t xml:space="preserve">WEEKLY </t>
        </r>
        <r>
          <rPr>
            <b/>
            <sz val="8.5"/>
            <color indexed="8"/>
            <rFont val="Calibri"/>
            <family val="2"/>
          </rPr>
          <t>» 66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S5 &amp; W3 &amp; T5 &amp; X18 &amp; U18 &amp; O38 &amp; I28 &amp; P3</t>
        </r>
      </text>
    </comment>
    <comment ref="B2" authorId="0" shapeId="0" xr:uid="{130E55CB-609B-4F87-87E2-734B4BB5844E}">
      <text>
        <r>
          <rPr>
            <b/>
            <sz val="8.5"/>
            <color indexed="8"/>
            <rFont val="Calibri"/>
            <family val="2"/>
          </rPr>
          <t xml:space="preserve">-{ </t>
        </r>
        <r>
          <rPr>
            <b/>
            <sz val="10"/>
            <color indexed="10"/>
            <rFont val="Calibri"/>
            <family val="2"/>
          </rPr>
          <t>SM492</t>
        </r>
        <r>
          <rPr>
            <b/>
            <sz val="8.5"/>
            <color indexed="8"/>
            <rFont val="Calibri"/>
            <family val="2"/>
          </rPr>
          <t xml:space="preserve"> }-_x000D_
_x000D_
[</t>
        </r>
        <r>
          <rPr>
            <b/>
            <sz val="8.5"/>
            <color indexed="48"/>
            <rFont val="Calibri"/>
            <family val="2"/>
          </rPr>
          <t xml:space="preserve">LF </t>
        </r>
        <r>
          <rPr>
            <b/>
            <sz val="8.5"/>
            <color indexed="8"/>
            <rFont val="Calibri"/>
            <family val="2"/>
          </rPr>
          <t>» 70.2%] - [</t>
        </r>
        <r>
          <rPr>
            <b/>
            <sz val="8.5"/>
            <color indexed="48"/>
            <rFont val="Calibri"/>
            <family val="2"/>
          </rPr>
          <t xml:space="preserve">SOLD </t>
        </r>
        <r>
          <rPr>
            <b/>
            <sz val="8.5"/>
            <color indexed="8"/>
            <rFont val="Calibri"/>
            <family val="2"/>
          </rPr>
          <t>» 118 PAX]_x000D_
_x000D_
[</t>
        </r>
        <r>
          <rPr>
            <b/>
            <sz val="8.5"/>
            <color indexed="21"/>
            <rFont val="Calibri"/>
            <family val="2"/>
          </rPr>
          <t xml:space="preserve">WEEKLY </t>
        </r>
        <r>
          <rPr>
            <b/>
            <sz val="8.5"/>
            <color indexed="8"/>
            <rFont val="Calibri"/>
            <family val="2"/>
          </rPr>
          <t>» 66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S5 &amp; W3 &amp; T5 &amp; X18 &amp; U18 &amp; O38 &amp; I28 &amp; P3</t>
        </r>
      </text>
    </comment>
    <comment ref="C2" authorId="0" shapeId="0" xr:uid="{E6A42C21-84E2-40B7-93A4-C1831B12383D}">
      <text>
        <r>
          <rPr>
            <b/>
            <sz val="8.5"/>
            <color indexed="8"/>
            <rFont val="Calibri"/>
            <family val="2"/>
          </rPr>
          <t xml:space="preserve">-{ </t>
        </r>
        <r>
          <rPr>
            <b/>
            <sz val="10"/>
            <color indexed="10"/>
            <rFont val="Calibri"/>
            <family val="2"/>
          </rPr>
          <t>SM492</t>
        </r>
        <r>
          <rPr>
            <b/>
            <sz val="8.5"/>
            <color indexed="8"/>
            <rFont val="Calibri"/>
            <family val="2"/>
          </rPr>
          <t xml:space="preserve"> }-_x000D_
_x000D_
[</t>
        </r>
        <r>
          <rPr>
            <b/>
            <sz val="8.5"/>
            <color indexed="48"/>
            <rFont val="Calibri"/>
            <family val="2"/>
          </rPr>
          <t xml:space="preserve">LF </t>
        </r>
        <r>
          <rPr>
            <b/>
            <sz val="8.5"/>
            <color indexed="8"/>
            <rFont val="Calibri"/>
            <family val="2"/>
          </rPr>
          <t>» 70.2%] - [</t>
        </r>
        <r>
          <rPr>
            <b/>
            <sz val="8.5"/>
            <color indexed="48"/>
            <rFont val="Calibri"/>
            <family val="2"/>
          </rPr>
          <t xml:space="preserve">SOLD </t>
        </r>
        <r>
          <rPr>
            <b/>
            <sz val="8.5"/>
            <color indexed="8"/>
            <rFont val="Calibri"/>
            <family val="2"/>
          </rPr>
          <t>» 118 PAX]_x000D_
_x000D_
[</t>
        </r>
        <r>
          <rPr>
            <b/>
            <sz val="8.5"/>
            <color indexed="21"/>
            <rFont val="Calibri"/>
            <family val="2"/>
          </rPr>
          <t xml:space="preserve">WEEKLY </t>
        </r>
        <r>
          <rPr>
            <b/>
            <sz val="8.5"/>
            <color indexed="8"/>
            <rFont val="Calibri"/>
            <family val="2"/>
          </rPr>
          <t>» 66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S5 &amp; W3 &amp; T5 &amp; X18 &amp; U18 &amp; O38 &amp; I28 &amp; P3</t>
        </r>
      </text>
    </comment>
    <comment ref="D2" authorId="0" shapeId="0" xr:uid="{48E99572-FF7E-4119-B1AF-444B036F1985}">
      <text>
        <r>
          <rPr>
            <b/>
            <sz val="8.5"/>
            <color indexed="8"/>
            <rFont val="Calibri"/>
            <family val="2"/>
          </rPr>
          <t xml:space="preserve">-{ </t>
        </r>
        <r>
          <rPr>
            <b/>
            <sz val="10"/>
            <color indexed="10"/>
            <rFont val="Calibri"/>
            <family val="2"/>
          </rPr>
          <t>SM492</t>
        </r>
        <r>
          <rPr>
            <b/>
            <sz val="8.5"/>
            <color indexed="8"/>
            <rFont val="Calibri"/>
            <family val="2"/>
          </rPr>
          <t xml:space="preserve"> }-_x000D_
_x000D_
[</t>
        </r>
        <r>
          <rPr>
            <b/>
            <sz val="8.5"/>
            <color indexed="48"/>
            <rFont val="Calibri"/>
            <family val="2"/>
          </rPr>
          <t xml:space="preserve">LF </t>
        </r>
        <r>
          <rPr>
            <b/>
            <sz val="8.5"/>
            <color indexed="8"/>
            <rFont val="Calibri"/>
            <family val="2"/>
          </rPr>
          <t>» 70.2%] - [</t>
        </r>
        <r>
          <rPr>
            <b/>
            <sz val="8.5"/>
            <color indexed="48"/>
            <rFont val="Calibri"/>
            <family val="2"/>
          </rPr>
          <t xml:space="preserve">SOLD </t>
        </r>
        <r>
          <rPr>
            <b/>
            <sz val="8.5"/>
            <color indexed="8"/>
            <rFont val="Calibri"/>
            <family val="2"/>
          </rPr>
          <t>» 118 PAX]_x000D_
_x000D_
[</t>
        </r>
        <r>
          <rPr>
            <b/>
            <sz val="8.5"/>
            <color indexed="21"/>
            <rFont val="Calibri"/>
            <family val="2"/>
          </rPr>
          <t xml:space="preserve">WEEKLY </t>
        </r>
        <r>
          <rPr>
            <b/>
            <sz val="8.5"/>
            <color indexed="8"/>
            <rFont val="Calibri"/>
            <family val="2"/>
          </rPr>
          <t>» 66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S5 &amp; W3 &amp; T5 &amp; X18 &amp; U18 &amp; O38 &amp; I28 &amp; P3</t>
        </r>
      </text>
    </comment>
    <comment ref="E2" authorId="0" shapeId="0" xr:uid="{87F1D457-8B20-45AE-910D-F5B4764797D7}">
      <text>
        <r>
          <rPr>
            <b/>
            <sz val="8.5"/>
            <color indexed="8"/>
            <rFont val="Calibri"/>
            <family val="2"/>
          </rPr>
          <t xml:space="preserve">-{ </t>
        </r>
        <r>
          <rPr>
            <b/>
            <sz val="10"/>
            <color indexed="10"/>
            <rFont val="Calibri"/>
            <family val="2"/>
          </rPr>
          <t>SM492</t>
        </r>
        <r>
          <rPr>
            <b/>
            <sz val="8.5"/>
            <color indexed="8"/>
            <rFont val="Calibri"/>
            <family val="2"/>
          </rPr>
          <t xml:space="preserve"> }-_x000D_
_x000D_
[</t>
        </r>
        <r>
          <rPr>
            <b/>
            <sz val="8.5"/>
            <color indexed="48"/>
            <rFont val="Calibri"/>
            <family val="2"/>
          </rPr>
          <t xml:space="preserve">LF </t>
        </r>
        <r>
          <rPr>
            <b/>
            <sz val="8.5"/>
            <color indexed="8"/>
            <rFont val="Calibri"/>
            <family val="2"/>
          </rPr>
          <t>» 70.2%] - [</t>
        </r>
        <r>
          <rPr>
            <b/>
            <sz val="8.5"/>
            <color indexed="48"/>
            <rFont val="Calibri"/>
            <family val="2"/>
          </rPr>
          <t xml:space="preserve">SOLD </t>
        </r>
        <r>
          <rPr>
            <b/>
            <sz val="8.5"/>
            <color indexed="8"/>
            <rFont val="Calibri"/>
            <family val="2"/>
          </rPr>
          <t>» 118 PAX]_x000D_
_x000D_
[</t>
        </r>
        <r>
          <rPr>
            <b/>
            <sz val="8.5"/>
            <color indexed="21"/>
            <rFont val="Calibri"/>
            <family val="2"/>
          </rPr>
          <t xml:space="preserve">WEEKLY </t>
        </r>
        <r>
          <rPr>
            <b/>
            <sz val="8.5"/>
            <color indexed="8"/>
            <rFont val="Calibri"/>
            <family val="2"/>
          </rPr>
          <t>» 66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S5 &amp; W3 &amp; T5 &amp; X18 &amp; U18 &amp; O38 &amp; I28 &amp; P3</t>
        </r>
      </text>
    </comment>
    <comment ref="F2" authorId="0" shapeId="0" xr:uid="{6116F32E-BD53-4363-A769-F0949FA84D1B}">
      <text>
        <r>
          <rPr>
            <b/>
            <sz val="8.5"/>
            <color indexed="8"/>
            <rFont val="Calibri"/>
            <family val="2"/>
          </rPr>
          <t xml:space="preserve">-{ </t>
        </r>
        <r>
          <rPr>
            <b/>
            <sz val="10"/>
            <color indexed="10"/>
            <rFont val="Calibri"/>
            <family val="2"/>
          </rPr>
          <t>SM492</t>
        </r>
        <r>
          <rPr>
            <b/>
            <sz val="8.5"/>
            <color indexed="8"/>
            <rFont val="Calibri"/>
            <family val="2"/>
          </rPr>
          <t xml:space="preserve"> }-_x000D_
_x000D_
[</t>
        </r>
        <r>
          <rPr>
            <b/>
            <sz val="8.5"/>
            <color indexed="48"/>
            <rFont val="Calibri"/>
            <family val="2"/>
          </rPr>
          <t xml:space="preserve">LF </t>
        </r>
        <r>
          <rPr>
            <b/>
            <sz val="8.5"/>
            <color indexed="8"/>
            <rFont val="Calibri"/>
            <family val="2"/>
          </rPr>
          <t>» 70.2%] - [</t>
        </r>
        <r>
          <rPr>
            <b/>
            <sz val="8.5"/>
            <color indexed="48"/>
            <rFont val="Calibri"/>
            <family val="2"/>
          </rPr>
          <t xml:space="preserve">SOLD </t>
        </r>
        <r>
          <rPr>
            <b/>
            <sz val="8.5"/>
            <color indexed="8"/>
            <rFont val="Calibri"/>
            <family val="2"/>
          </rPr>
          <t>» 118 PAX]_x000D_
_x000D_
[</t>
        </r>
        <r>
          <rPr>
            <b/>
            <sz val="8.5"/>
            <color indexed="21"/>
            <rFont val="Calibri"/>
            <family val="2"/>
          </rPr>
          <t xml:space="preserve">WEEKLY </t>
        </r>
        <r>
          <rPr>
            <b/>
            <sz val="8.5"/>
            <color indexed="8"/>
            <rFont val="Calibri"/>
            <family val="2"/>
          </rPr>
          <t>» 66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S5 &amp; W3 &amp; T5 &amp; X18 &amp; U18 &amp; O38 &amp; I28 &amp; P3</t>
        </r>
      </text>
    </comment>
    <comment ref="G2" authorId="0" shapeId="0" xr:uid="{07F24832-665E-473F-ABBB-5CED71DA15F9}">
      <text>
        <r>
          <rPr>
            <b/>
            <sz val="8.5"/>
            <color indexed="8"/>
            <rFont val="Calibri"/>
            <family val="2"/>
          </rPr>
          <t xml:space="preserve">-{ </t>
        </r>
        <r>
          <rPr>
            <b/>
            <sz val="10"/>
            <color indexed="10"/>
            <rFont val="Calibri"/>
            <family val="2"/>
          </rPr>
          <t>SM492</t>
        </r>
        <r>
          <rPr>
            <b/>
            <sz val="8.5"/>
            <color indexed="8"/>
            <rFont val="Calibri"/>
            <family val="2"/>
          </rPr>
          <t xml:space="preserve"> }-_x000D_
_x000D_
[</t>
        </r>
        <r>
          <rPr>
            <b/>
            <sz val="8.5"/>
            <color indexed="48"/>
            <rFont val="Calibri"/>
            <family val="2"/>
          </rPr>
          <t xml:space="preserve">LF </t>
        </r>
        <r>
          <rPr>
            <b/>
            <sz val="8.5"/>
            <color indexed="8"/>
            <rFont val="Calibri"/>
            <family val="2"/>
          </rPr>
          <t>» 70.2%] - [</t>
        </r>
        <r>
          <rPr>
            <b/>
            <sz val="8.5"/>
            <color indexed="48"/>
            <rFont val="Calibri"/>
            <family val="2"/>
          </rPr>
          <t xml:space="preserve">SOLD </t>
        </r>
        <r>
          <rPr>
            <b/>
            <sz val="8.5"/>
            <color indexed="8"/>
            <rFont val="Calibri"/>
            <family val="2"/>
          </rPr>
          <t>» 118 PAX]_x000D_
_x000D_
[</t>
        </r>
        <r>
          <rPr>
            <b/>
            <sz val="8.5"/>
            <color indexed="21"/>
            <rFont val="Calibri"/>
            <family val="2"/>
          </rPr>
          <t xml:space="preserve">WEEKLY </t>
        </r>
        <r>
          <rPr>
            <b/>
            <sz val="8.5"/>
            <color indexed="8"/>
            <rFont val="Calibri"/>
            <family val="2"/>
          </rPr>
          <t>» 66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S5 &amp; W3 &amp; T5 &amp; X18 &amp; U18 &amp; O38 &amp; I28 &amp; P3</t>
        </r>
      </text>
    </comment>
    <comment ref="H2" authorId="0" shapeId="0" xr:uid="{3EB41981-535B-47A6-B555-C699FA004AA7}">
      <text>
        <r>
          <rPr>
            <b/>
            <sz val="8.5"/>
            <color indexed="8"/>
            <rFont val="Calibri"/>
            <family val="2"/>
          </rPr>
          <t xml:space="preserve">-{ </t>
        </r>
        <r>
          <rPr>
            <b/>
            <sz val="10"/>
            <color indexed="10"/>
            <rFont val="Calibri"/>
            <family val="2"/>
          </rPr>
          <t>SM492</t>
        </r>
        <r>
          <rPr>
            <b/>
            <sz val="8.5"/>
            <color indexed="8"/>
            <rFont val="Calibri"/>
            <family val="2"/>
          </rPr>
          <t xml:space="preserve"> }-_x000D_
_x000D_
[</t>
        </r>
        <r>
          <rPr>
            <b/>
            <sz val="8.5"/>
            <color indexed="48"/>
            <rFont val="Calibri"/>
            <family val="2"/>
          </rPr>
          <t xml:space="preserve">LF </t>
        </r>
        <r>
          <rPr>
            <b/>
            <sz val="8.5"/>
            <color indexed="8"/>
            <rFont val="Calibri"/>
            <family val="2"/>
          </rPr>
          <t>» 70.2%] - [</t>
        </r>
        <r>
          <rPr>
            <b/>
            <sz val="8.5"/>
            <color indexed="48"/>
            <rFont val="Calibri"/>
            <family val="2"/>
          </rPr>
          <t xml:space="preserve">SOLD </t>
        </r>
        <r>
          <rPr>
            <b/>
            <sz val="8.5"/>
            <color indexed="8"/>
            <rFont val="Calibri"/>
            <family val="2"/>
          </rPr>
          <t>» 118 PAX]_x000D_
_x000D_
[</t>
        </r>
        <r>
          <rPr>
            <b/>
            <sz val="8.5"/>
            <color indexed="21"/>
            <rFont val="Calibri"/>
            <family val="2"/>
          </rPr>
          <t xml:space="preserve">WEEKLY </t>
        </r>
        <r>
          <rPr>
            <b/>
            <sz val="8.5"/>
            <color indexed="8"/>
            <rFont val="Calibri"/>
            <family val="2"/>
          </rPr>
          <t>» 66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S5 &amp; W3 &amp; T5 &amp; X18 &amp; U18 &amp; O38 &amp; I28 &amp; P3</t>
        </r>
      </text>
    </comment>
    <comment ref="A14" authorId="0" shapeId="0" xr:uid="{802FE8EF-BEAE-4512-B456-101F2D3D6719}">
      <text>
        <r>
          <rPr>
            <b/>
            <sz val="8.5"/>
            <color indexed="8"/>
            <rFont val="Calibri"/>
            <family val="2"/>
          </rPr>
          <t xml:space="preserve">-{ </t>
        </r>
        <r>
          <rPr>
            <b/>
            <sz val="10"/>
            <color indexed="10"/>
            <rFont val="Calibri"/>
            <family val="2"/>
          </rPr>
          <t>SM454</t>
        </r>
        <r>
          <rPr>
            <b/>
            <sz val="8.5"/>
            <color indexed="8"/>
            <rFont val="Calibri"/>
            <family val="2"/>
          </rPr>
          <t xml:space="preserve"> }-_x000D_
_x000D_
[</t>
        </r>
        <r>
          <rPr>
            <b/>
            <sz val="8.5"/>
            <color indexed="48"/>
            <rFont val="Calibri"/>
            <family val="2"/>
          </rPr>
          <t xml:space="preserve">LF </t>
        </r>
        <r>
          <rPr>
            <b/>
            <sz val="8.5"/>
            <color indexed="8"/>
            <rFont val="Calibri"/>
            <family val="2"/>
          </rPr>
          <t>» 77.4%] - [</t>
        </r>
        <r>
          <rPr>
            <b/>
            <sz val="8.5"/>
            <color indexed="48"/>
            <rFont val="Calibri"/>
            <family val="2"/>
          </rPr>
          <t xml:space="preserve">SOLD </t>
        </r>
        <r>
          <rPr>
            <b/>
            <sz val="8.5"/>
            <color indexed="8"/>
            <rFont val="Calibri"/>
            <family val="2"/>
          </rPr>
          <t>» 130 PAX]_x000D_
_x000D_
[</t>
        </r>
        <r>
          <rPr>
            <b/>
            <sz val="8.5"/>
            <color indexed="21"/>
            <rFont val="Calibri"/>
            <family val="2"/>
          </rPr>
          <t xml:space="preserve">WEEKLY </t>
        </r>
        <r>
          <rPr>
            <b/>
            <sz val="8.5"/>
            <color indexed="8"/>
            <rFont val="Calibri"/>
            <family val="2"/>
          </rPr>
          <t>» 53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 &amp; W1 &amp; X13 &amp; U20 &amp; O40 &amp; I20 &amp; P34</t>
        </r>
      </text>
    </comment>
    <comment ref="B14" authorId="0" shapeId="0" xr:uid="{FB5CAFA1-7E66-4F93-811B-6D04DDFAC50D}">
      <text>
        <r>
          <rPr>
            <b/>
            <sz val="8.5"/>
            <color indexed="8"/>
            <rFont val="Calibri"/>
            <family val="2"/>
          </rPr>
          <t xml:space="preserve">-{ </t>
        </r>
        <r>
          <rPr>
            <b/>
            <sz val="10"/>
            <color indexed="10"/>
            <rFont val="Calibri"/>
            <family val="2"/>
          </rPr>
          <t>SM454</t>
        </r>
        <r>
          <rPr>
            <b/>
            <sz val="8.5"/>
            <color indexed="8"/>
            <rFont val="Calibri"/>
            <family val="2"/>
          </rPr>
          <t xml:space="preserve"> }-_x000D_
_x000D_
[</t>
        </r>
        <r>
          <rPr>
            <b/>
            <sz val="8.5"/>
            <color indexed="48"/>
            <rFont val="Calibri"/>
            <family val="2"/>
          </rPr>
          <t xml:space="preserve">LF </t>
        </r>
        <r>
          <rPr>
            <b/>
            <sz val="8.5"/>
            <color indexed="8"/>
            <rFont val="Calibri"/>
            <family val="2"/>
          </rPr>
          <t>» 77.4%] - [</t>
        </r>
        <r>
          <rPr>
            <b/>
            <sz val="8.5"/>
            <color indexed="48"/>
            <rFont val="Calibri"/>
            <family val="2"/>
          </rPr>
          <t xml:space="preserve">SOLD </t>
        </r>
        <r>
          <rPr>
            <b/>
            <sz val="8.5"/>
            <color indexed="8"/>
            <rFont val="Calibri"/>
            <family val="2"/>
          </rPr>
          <t>» 130 PAX]_x000D_
_x000D_
[</t>
        </r>
        <r>
          <rPr>
            <b/>
            <sz val="8.5"/>
            <color indexed="21"/>
            <rFont val="Calibri"/>
            <family val="2"/>
          </rPr>
          <t xml:space="preserve">WEEKLY </t>
        </r>
        <r>
          <rPr>
            <b/>
            <sz val="8.5"/>
            <color indexed="8"/>
            <rFont val="Calibri"/>
            <family val="2"/>
          </rPr>
          <t>» 53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 &amp; W1 &amp; X13 &amp; U20 &amp; O40 &amp; I20 &amp; P34</t>
        </r>
      </text>
    </comment>
    <comment ref="C14" authorId="0" shapeId="0" xr:uid="{5AD5A1ED-A9A3-4D47-AB1D-6691DB407E63}">
      <text>
        <r>
          <rPr>
            <b/>
            <sz val="8.5"/>
            <color indexed="8"/>
            <rFont val="Calibri"/>
            <family val="2"/>
          </rPr>
          <t xml:space="preserve">-{ </t>
        </r>
        <r>
          <rPr>
            <b/>
            <sz val="10"/>
            <color indexed="10"/>
            <rFont val="Calibri"/>
            <family val="2"/>
          </rPr>
          <t>SM454</t>
        </r>
        <r>
          <rPr>
            <b/>
            <sz val="8.5"/>
            <color indexed="8"/>
            <rFont val="Calibri"/>
            <family val="2"/>
          </rPr>
          <t xml:space="preserve"> }-_x000D_
_x000D_
[</t>
        </r>
        <r>
          <rPr>
            <b/>
            <sz val="8.5"/>
            <color indexed="48"/>
            <rFont val="Calibri"/>
            <family val="2"/>
          </rPr>
          <t xml:space="preserve">LF </t>
        </r>
        <r>
          <rPr>
            <b/>
            <sz val="8.5"/>
            <color indexed="8"/>
            <rFont val="Calibri"/>
            <family val="2"/>
          </rPr>
          <t>» 77.4%] - [</t>
        </r>
        <r>
          <rPr>
            <b/>
            <sz val="8.5"/>
            <color indexed="48"/>
            <rFont val="Calibri"/>
            <family val="2"/>
          </rPr>
          <t xml:space="preserve">SOLD </t>
        </r>
        <r>
          <rPr>
            <b/>
            <sz val="8.5"/>
            <color indexed="8"/>
            <rFont val="Calibri"/>
            <family val="2"/>
          </rPr>
          <t>» 130 PAX]_x000D_
_x000D_
[</t>
        </r>
        <r>
          <rPr>
            <b/>
            <sz val="8.5"/>
            <color indexed="21"/>
            <rFont val="Calibri"/>
            <family val="2"/>
          </rPr>
          <t xml:space="preserve">WEEKLY </t>
        </r>
        <r>
          <rPr>
            <b/>
            <sz val="8.5"/>
            <color indexed="8"/>
            <rFont val="Calibri"/>
            <family val="2"/>
          </rPr>
          <t>» 53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 &amp; W1 &amp; X13 &amp; U20 &amp; O40 &amp; I20 &amp; P34</t>
        </r>
      </text>
    </comment>
    <comment ref="D14" authorId="0" shapeId="0" xr:uid="{6E8C9141-3FF8-4FDE-AF32-CC9710DEB626}">
      <text>
        <r>
          <rPr>
            <b/>
            <sz val="8.5"/>
            <color indexed="8"/>
            <rFont val="Calibri"/>
            <family val="2"/>
          </rPr>
          <t xml:space="preserve">-{ </t>
        </r>
        <r>
          <rPr>
            <b/>
            <sz val="10"/>
            <color indexed="10"/>
            <rFont val="Calibri"/>
            <family val="2"/>
          </rPr>
          <t>SM454</t>
        </r>
        <r>
          <rPr>
            <b/>
            <sz val="8.5"/>
            <color indexed="8"/>
            <rFont val="Calibri"/>
            <family val="2"/>
          </rPr>
          <t xml:space="preserve"> }-_x000D_
_x000D_
[</t>
        </r>
        <r>
          <rPr>
            <b/>
            <sz val="8.5"/>
            <color indexed="48"/>
            <rFont val="Calibri"/>
            <family val="2"/>
          </rPr>
          <t xml:space="preserve">LF </t>
        </r>
        <r>
          <rPr>
            <b/>
            <sz val="8.5"/>
            <color indexed="8"/>
            <rFont val="Calibri"/>
            <family val="2"/>
          </rPr>
          <t>» 77.4%] - [</t>
        </r>
        <r>
          <rPr>
            <b/>
            <sz val="8.5"/>
            <color indexed="48"/>
            <rFont val="Calibri"/>
            <family val="2"/>
          </rPr>
          <t xml:space="preserve">SOLD </t>
        </r>
        <r>
          <rPr>
            <b/>
            <sz val="8.5"/>
            <color indexed="8"/>
            <rFont val="Calibri"/>
            <family val="2"/>
          </rPr>
          <t>» 130 PAX]_x000D_
_x000D_
[</t>
        </r>
        <r>
          <rPr>
            <b/>
            <sz val="8.5"/>
            <color indexed="21"/>
            <rFont val="Calibri"/>
            <family val="2"/>
          </rPr>
          <t xml:space="preserve">WEEKLY </t>
        </r>
        <r>
          <rPr>
            <b/>
            <sz val="8.5"/>
            <color indexed="8"/>
            <rFont val="Calibri"/>
            <family val="2"/>
          </rPr>
          <t>» 53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 &amp; W1 &amp; X13 &amp; U20 &amp; O40 &amp; I20 &amp; P34</t>
        </r>
      </text>
    </comment>
    <comment ref="E14" authorId="0" shapeId="0" xr:uid="{20374EE4-76A9-4C41-8837-FCD573C47DAC}">
      <text>
        <r>
          <rPr>
            <b/>
            <sz val="8.5"/>
            <color indexed="8"/>
            <rFont val="Calibri"/>
            <family val="2"/>
          </rPr>
          <t xml:space="preserve">-{ </t>
        </r>
        <r>
          <rPr>
            <b/>
            <sz val="10"/>
            <color indexed="10"/>
            <rFont val="Calibri"/>
            <family val="2"/>
          </rPr>
          <t>SM454</t>
        </r>
        <r>
          <rPr>
            <b/>
            <sz val="8.5"/>
            <color indexed="8"/>
            <rFont val="Calibri"/>
            <family val="2"/>
          </rPr>
          <t xml:space="preserve"> }-_x000D_
_x000D_
[</t>
        </r>
        <r>
          <rPr>
            <b/>
            <sz val="8.5"/>
            <color indexed="48"/>
            <rFont val="Calibri"/>
            <family val="2"/>
          </rPr>
          <t xml:space="preserve">LF </t>
        </r>
        <r>
          <rPr>
            <b/>
            <sz val="8.5"/>
            <color indexed="8"/>
            <rFont val="Calibri"/>
            <family val="2"/>
          </rPr>
          <t>» 77.4%] - [</t>
        </r>
        <r>
          <rPr>
            <b/>
            <sz val="8.5"/>
            <color indexed="48"/>
            <rFont val="Calibri"/>
            <family val="2"/>
          </rPr>
          <t xml:space="preserve">SOLD </t>
        </r>
        <r>
          <rPr>
            <b/>
            <sz val="8.5"/>
            <color indexed="8"/>
            <rFont val="Calibri"/>
            <family val="2"/>
          </rPr>
          <t>» 130 PAX]_x000D_
_x000D_
[</t>
        </r>
        <r>
          <rPr>
            <b/>
            <sz val="8.5"/>
            <color indexed="21"/>
            <rFont val="Calibri"/>
            <family val="2"/>
          </rPr>
          <t xml:space="preserve">WEEKLY </t>
        </r>
        <r>
          <rPr>
            <b/>
            <sz val="8.5"/>
            <color indexed="8"/>
            <rFont val="Calibri"/>
            <family val="2"/>
          </rPr>
          <t>» 53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 &amp; W1 &amp; X13 &amp; U20 &amp; O40 &amp; I20 &amp; P34</t>
        </r>
      </text>
    </comment>
    <comment ref="F14" authorId="0" shapeId="0" xr:uid="{BA76FB5B-682F-4212-8E7F-3198A56C15B6}">
      <text>
        <r>
          <rPr>
            <b/>
            <sz val="8.5"/>
            <color indexed="8"/>
            <rFont val="Calibri"/>
            <family val="2"/>
          </rPr>
          <t xml:space="preserve">-{ </t>
        </r>
        <r>
          <rPr>
            <b/>
            <sz val="10"/>
            <color indexed="10"/>
            <rFont val="Calibri"/>
            <family val="2"/>
          </rPr>
          <t>SM454</t>
        </r>
        <r>
          <rPr>
            <b/>
            <sz val="8.5"/>
            <color indexed="8"/>
            <rFont val="Calibri"/>
            <family val="2"/>
          </rPr>
          <t xml:space="preserve"> }-_x000D_
_x000D_
[</t>
        </r>
        <r>
          <rPr>
            <b/>
            <sz val="8.5"/>
            <color indexed="48"/>
            <rFont val="Calibri"/>
            <family val="2"/>
          </rPr>
          <t xml:space="preserve">LF </t>
        </r>
        <r>
          <rPr>
            <b/>
            <sz val="8.5"/>
            <color indexed="8"/>
            <rFont val="Calibri"/>
            <family val="2"/>
          </rPr>
          <t>» 77.4%] - [</t>
        </r>
        <r>
          <rPr>
            <b/>
            <sz val="8.5"/>
            <color indexed="48"/>
            <rFont val="Calibri"/>
            <family val="2"/>
          </rPr>
          <t xml:space="preserve">SOLD </t>
        </r>
        <r>
          <rPr>
            <b/>
            <sz val="8.5"/>
            <color indexed="8"/>
            <rFont val="Calibri"/>
            <family val="2"/>
          </rPr>
          <t>» 130 PAX]_x000D_
_x000D_
[</t>
        </r>
        <r>
          <rPr>
            <b/>
            <sz val="8.5"/>
            <color indexed="21"/>
            <rFont val="Calibri"/>
            <family val="2"/>
          </rPr>
          <t xml:space="preserve">WEEKLY </t>
        </r>
        <r>
          <rPr>
            <b/>
            <sz val="8.5"/>
            <color indexed="8"/>
            <rFont val="Calibri"/>
            <family val="2"/>
          </rPr>
          <t>» 53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 &amp; W1 &amp; X13 &amp; U20 &amp; O40 &amp; I20 &amp; P34</t>
        </r>
      </text>
    </comment>
    <comment ref="G14" authorId="0" shapeId="0" xr:uid="{ADB4F427-A085-4EB1-B2BE-BC76450F4FB2}">
      <text>
        <r>
          <rPr>
            <b/>
            <sz val="8.5"/>
            <color indexed="8"/>
            <rFont val="Calibri"/>
            <family val="2"/>
          </rPr>
          <t xml:space="preserve">-{ </t>
        </r>
        <r>
          <rPr>
            <b/>
            <sz val="10"/>
            <color indexed="10"/>
            <rFont val="Calibri"/>
            <family val="2"/>
          </rPr>
          <t>SM454</t>
        </r>
        <r>
          <rPr>
            <b/>
            <sz val="8.5"/>
            <color indexed="8"/>
            <rFont val="Calibri"/>
            <family val="2"/>
          </rPr>
          <t xml:space="preserve"> }-_x000D_
_x000D_
[</t>
        </r>
        <r>
          <rPr>
            <b/>
            <sz val="8.5"/>
            <color indexed="48"/>
            <rFont val="Calibri"/>
            <family val="2"/>
          </rPr>
          <t xml:space="preserve">LF </t>
        </r>
        <r>
          <rPr>
            <b/>
            <sz val="8.5"/>
            <color indexed="8"/>
            <rFont val="Calibri"/>
            <family val="2"/>
          </rPr>
          <t>» 77.4%] - [</t>
        </r>
        <r>
          <rPr>
            <b/>
            <sz val="8.5"/>
            <color indexed="48"/>
            <rFont val="Calibri"/>
            <family val="2"/>
          </rPr>
          <t xml:space="preserve">SOLD </t>
        </r>
        <r>
          <rPr>
            <b/>
            <sz val="8.5"/>
            <color indexed="8"/>
            <rFont val="Calibri"/>
            <family val="2"/>
          </rPr>
          <t>» 130 PAX]_x000D_
_x000D_
[</t>
        </r>
        <r>
          <rPr>
            <b/>
            <sz val="8.5"/>
            <color indexed="21"/>
            <rFont val="Calibri"/>
            <family val="2"/>
          </rPr>
          <t xml:space="preserve">WEEKLY </t>
        </r>
        <r>
          <rPr>
            <b/>
            <sz val="8.5"/>
            <color indexed="8"/>
            <rFont val="Calibri"/>
            <family val="2"/>
          </rPr>
          <t>» 53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 &amp; W1 &amp; X13 &amp; U20 &amp; O40 &amp; I20 &amp; P34</t>
        </r>
      </text>
    </comment>
    <comment ref="H14" authorId="0" shapeId="0" xr:uid="{87D519FA-A60C-40AF-AD7D-6FDAB7F14005}">
      <text>
        <r>
          <rPr>
            <b/>
            <sz val="8.5"/>
            <color indexed="8"/>
            <rFont val="Calibri"/>
            <family val="2"/>
          </rPr>
          <t xml:space="preserve">-{ </t>
        </r>
        <r>
          <rPr>
            <b/>
            <sz val="10"/>
            <color indexed="10"/>
            <rFont val="Calibri"/>
            <family val="2"/>
          </rPr>
          <t>SM454</t>
        </r>
        <r>
          <rPr>
            <b/>
            <sz val="8.5"/>
            <color indexed="8"/>
            <rFont val="Calibri"/>
            <family val="2"/>
          </rPr>
          <t xml:space="preserve"> }-_x000D_
_x000D_
[</t>
        </r>
        <r>
          <rPr>
            <b/>
            <sz val="8.5"/>
            <color indexed="48"/>
            <rFont val="Calibri"/>
            <family val="2"/>
          </rPr>
          <t xml:space="preserve">LF </t>
        </r>
        <r>
          <rPr>
            <b/>
            <sz val="8.5"/>
            <color indexed="8"/>
            <rFont val="Calibri"/>
            <family val="2"/>
          </rPr>
          <t>» 77.4%] - [</t>
        </r>
        <r>
          <rPr>
            <b/>
            <sz val="8.5"/>
            <color indexed="48"/>
            <rFont val="Calibri"/>
            <family val="2"/>
          </rPr>
          <t xml:space="preserve">SOLD </t>
        </r>
        <r>
          <rPr>
            <b/>
            <sz val="8.5"/>
            <color indexed="8"/>
            <rFont val="Calibri"/>
            <family val="2"/>
          </rPr>
          <t>» 130 PAX]_x000D_
_x000D_
[</t>
        </r>
        <r>
          <rPr>
            <b/>
            <sz val="8.5"/>
            <color indexed="21"/>
            <rFont val="Calibri"/>
            <family val="2"/>
          </rPr>
          <t xml:space="preserve">WEEKLY </t>
        </r>
        <r>
          <rPr>
            <b/>
            <sz val="8.5"/>
            <color indexed="8"/>
            <rFont val="Calibri"/>
            <family val="2"/>
          </rPr>
          <t>» 53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S2 &amp; W1 &amp; X13 &amp; U20 &amp; O40 &amp; I20 &amp; P34</t>
        </r>
      </text>
    </comment>
    <comment ref="A15" authorId="0" shapeId="0" xr:uid="{76C85EE6-0481-48B9-8F12-F144D3D38536}">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70.8%] - [</t>
        </r>
        <r>
          <rPr>
            <b/>
            <sz val="8.5"/>
            <color indexed="48"/>
            <rFont val="Calibri"/>
            <family val="2"/>
          </rPr>
          <t xml:space="preserve">SOLD </t>
        </r>
        <r>
          <rPr>
            <b/>
            <sz val="8.5"/>
            <color indexed="8"/>
            <rFont val="Calibri"/>
            <family val="2"/>
          </rPr>
          <t>» 119 PAX]_x000D_
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S2 &amp; X6 &amp; U19 &amp; P91</t>
        </r>
      </text>
    </comment>
    <comment ref="B15" authorId="0" shapeId="0" xr:uid="{87030EEF-1B9F-4606-96A6-3483693F9AF3}">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70.8%] - [</t>
        </r>
        <r>
          <rPr>
            <b/>
            <sz val="8.5"/>
            <color indexed="48"/>
            <rFont val="Calibri"/>
            <family val="2"/>
          </rPr>
          <t xml:space="preserve">SOLD </t>
        </r>
        <r>
          <rPr>
            <b/>
            <sz val="8.5"/>
            <color indexed="8"/>
            <rFont val="Calibri"/>
            <family val="2"/>
          </rPr>
          <t>» 119 PAX]_x000D_
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S2 &amp; X6 &amp; U19 &amp; P91</t>
        </r>
      </text>
    </comment>
    <comment ref="C15" authorId="0" shapeId="0" xr:uid="{8888F8C4-E4A1-496B-827D-BC681D4B6CB2}">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70.8%] - [</t>
        </r>
        <r>
          <rPr>
            <b/>
            <sz val="8.5"/>
            <color indexed="48"/>
            <rFont val="Calibri"/>
            <family val="2"/>
          </rPr>
          <t xml:space="preserve">SOLD </t>
        </r>
        <r>
          <rPr>
            <b/>
            <sz val="8.5"/>
            <color indexed="8"/>
            <rFont val="Calibri"/>
            <family val="2"/>
          </rPr>
          <t>» 119 PAX]_x000D_
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S2 &amp; X6 &amp; U19 &amp; P91</t>
        </r>
      </text>
    </comment>
    <comment ref="D15" authorId="0" shapeId="0" xr:uid="{226F2EE8-6052-495B-BA4C-2E473C775D97}">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70.8%] - [</t>
        </r>
        <r>
          <rPr>
            <b/>
            <sz val="8.5"/>
            <color indexed="48"/>
            <rFont val="Calibri"/>
            <family val="2"/>
          </rPr>
          <t xml:space="preserve">SOLD </t>
        </r>
        <r>
          <rPr>
            <b/>
            <sz val="8.5"/>
            <color indexed="8"/>
            <rFont val="Calibri"/>
            <family val="2"/>
          </rPr>
          <t>» 119 PAX]_x000D_
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S2 &amp; X6 &amp; U19 &amp; P91</t>
        </r>
      </text>
    </comment>
    <comment ref="E15" authorId="0" shapeId="0" xr:uid="{8FC042F8-70A4-4468-B5D5-67A4C8990661}">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70.8%] - [</t>
        </r>
        <r>
          <rPr>
            <b/>
            <sz val="8.5"/>
            <color indexed="48"/>
            <rFont val="Calibri"/>
            <family val="2"/>
          </rPr>
          <t xml:space="preserve">SOLD </t>
        </r>
        <r>
          <rPr>
            <b/>
            <sz val="8.5"/>
            <color indexed="8"/>
            <rFont val="Calibri"/>
            <family val="2"/>
          </rPr>
          <t>» 119 PAX]_x000D_
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S2 &amp; X6 &amp; U19 &amp; P91</t>
        </r>
      </text>
    </comment>
    <comment ref="F15" authorId="0" shapeId="0" xr:uid="{8FCA40C0-22C8-42B9-B558-DFDBD82D4DB3}">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70.8%] - [</t>
        </r>
        <r>
          <rPr>
            <b/>
            <sz val="8.5"/>
            <color indexed="48"/>
            <rFont val="Calibri"/>
            <family val="2"/>
          </rPr>
          <t xml:space="preserve">SOLD </t>
        </r>
        <r>
          <rPr>
            <b/>
            <sz val="8.5"/>
            <color indexed="8"/>
            <rFont val="Calibri"/>
            <family val="2"/>
          </rPr>
          <t>» 119 PAX]_x000D_
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S2 &amp; X6 &amp; U19 &amp; P91</t>
        </r>
      </text>
    </comment>
    <comment ref="G15" authorId="0" shapeId="0" xr:uid="{FCF2B26E-0BD2-4170-8F5C-5BD55CA77077}">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70.8%] - [</t>
        </r>
        <r>
          <rPr>
            <b/>
            <sz val="8.5"/>
            <color indexed="48"/>
            <rFont val="Calibri"/>
            <family val="2"/>
          </rPr>
          <t xml:space="preserve">SOLD </t>
        </r>
        <r>
          <rPr>
            <b/>
            <sz val="8.5"/>
            <color indexed="8"/>
            <rFont val="Calibri"/>
            <family val="2"/>
          </rPr>
          <t>» 119 PAX]_x000D_
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S2 &amp; X6 &amp; U19 &amp; P91</t>
        </r>
      </text>
    </comment>
    <comment ref="H15" authorId="0" shapeId="0" xr:uid="{656F8006-6BEC-4AAB-822F-AE61475E02A8}">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70.8%] - [</t>
        </r>
        <r>
          <rPr>
            <b/>
            <sz val="8.5"/>
            <color indexed="48"/>
            <rFont val="Calibri"/>
            <family val="2"/>
          </rPr>
          <t xml:space="preserve">SOLD </t>
        </r>
        <r>
          <rPr>
            <b/>
            <sz val="8.5"/>
            <color indexed="8"/>
            <rFont val="Calibri"/>
            <family val="2"/>
          </rPr>
          <t>» 119 PAX]_x000D_
_x000D_
[</t>
        </r>
        <r>
          <rPr>
            <b/>
            <sz val="8.5"/>
            <color indexed="21"/>
            <rFont val="Calibri"/>
            <family val="2"/>
          </rPr>
          <t xml:space="preserve">WEEKLY </t>
        </r>
        <r>
          <rPr>
            <b/>
            <sz val="8.5"/>
            <color indexed="8"/>
            <rFont val="Calibri"/>
            <family val="2"/>
          </rPr>
          <t>» 8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X2]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S2 &amp; X6 &amp; U19 &amp; P91</t>
        </r>
      </text>
    </comment>
    <comment ref="A27" authorId="0" shapeId="0" xr:uid="{F95819EA-EEF3-4853-8D94-6FD950EEF925}">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92.3%] - [</t>
        </r>
        <r>
          <rPr>
            <b/>
            <sz val="8.5"/>
            <color indexed="48"/>
            <rFont val="Calibri"/>
            <family val="2"/>
          </rPr>
          <t xml:space="preserve">SOLD </t>
        </r>
        <r>
          <rPr>
            <b/>
            <sz val="8.5"/>
            <color indexed="8"/>
            <rFont val="Calibri"/>
            <family val="2"/>
          </rPr>
          <t>» 155 PAX]_x000D_
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O7]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U5 &amp; O3 &amp; I3 &amp; P144</t>
        </r>
      </text>
    </comment>
    <comment ref="B27" authorId="0" shapeId="0" xr:uid="{52D45164-02EB-423B-8240-CF9B5D66F87E}">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92.3%] - [</t>
        </r>
        <r>
          <rPr>
            <b/>
            <sz val="8.5"/>
            <color indexed="48"/>
            <rFont val="Calibri"/>
            <family val="2"/>
          </rPr>
          <t xml:space="preserve">SOLD </t>
        </r>
        <r>
          <rPr>
            <b/>
            <sz val="8.5"/>
            <color indexed="8"/>
            <rFont val="Calibri"/>
            <family val="2"/>
          </rPr>
          <t>» 155 PAX]_x000D_
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O7]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U5 &amp; O3 &amp; I3 &amp; P144</t>
        </r>
      </text>
    </comment>
    <comment ref="C27" authorId="0" shapeId="0" xr:uid="{ACDB7CC5-762A-4179-AE8D-32DFEAF9A7CD}">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92.3%] - [</t>
        </r>
        <r>
          <rPr>
            <b/>
            <sz val="8.5"/>
            <color indexed="48"/>
            <rFont val="Calibri"/>
            <family val="2"/>
          </rPr>
          <t xml:space="preserve">SOLD </t>
        </r>
        <r>
          <rPr>
            <b/>
            <sz val="8.5"/>
            <color indexed="8"/>
            <rFont val="Calibri"/>
            <family val="2"/>
          </rPr>
          <t>» 155 PAX]_x000D_
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O7]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U5 &amp; O3 &amp; I3 &amp; P144</t>
        </r>
      </text>
    </comment>
    <comment ref="D27" authorId="0" shapeId="0" xr:uid="{EC9DF143-4AAD-458D-B7DE-4494E3641F9D}">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92.3%] - [</t>
        </r>
        <r>
          <rPr>
            <b/>
            <sz val="8.5"/>
            <color indexed="48"/>
            <rFont val="Calibri"/>
            <family val="2"/>
          </rPr>
          <t xml:space="preserve">SOLD </t>
        </r>
        <r>
          <rPr>
            <b/>
            <sz val="8.5"/>
            <color indexed="8"/>
            <rFont val="Calibri"/>
            <family val="2"/>
          </rPr>
          <t>» 155 PAX]_x000D_
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O7]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U5 &amp; O3 &amp; I3 &amp; P144</t>
        </r>
      </text>
    </comment>
    <comment ref="E27" authorId="0" shapeId="0" xr:uid="{D1D1B659-822B-46EB-8597-C9495E1BE972}">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92.3%] - [</t>
        </r>
        <r>
          <rPr>
            <b/>
            <sz val="8.5"/>
            <color indexed="48"/>
            <rFont val="Calibri"/>
            <family val="2"/>
          </rPr>
          <t xml:space="preserve">SOLD </t>
        </r>
        <r>
          <rPr>
            <b/>
            <sz val="8.5"/>
            <color indexed="8"/>
            <rFont val="Calibri"/>
            <family val="2"/>
          </rPr>
          <t>» 155 PAX]_x000D_
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O7]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U5 &amp; O3 &amp; I3 &amp; P144</t>
        </r>
      </text>
    </comment>
    <comment ref="F27" authorId="0" shapeId="0" xr:uid="{599E9F3B-933E-4DF3-9C4B-A7B4C826867E}">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92.3%] - [</t>
        </r>
        <r>
          <rPr>
            <b/>
            <sz val="8.5"/>
            <color indexed="48"/>
            <rFont val="Calibri"/>
            <family val="2"/>
          </rPr>
          <t xml:space="preserve">SOLD </t>
        </r>
        <r>
          <rPr>
            <b/>
            <sz val="8.5"/>
            <color indexed="8"/>
            <rFont val="Calibri"/>
            <family val="2"/>
          </rPr>
          <t>» 155 PAX]_x000D_
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O7]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U5 &amp; O3 &amp; I3 &amp; P144</t>
        </r>
      </text>
    </comment>
    <comment ref="G27" authorId="0" shapeId="0" xr:uid="{FD6F98B7-6119-49F2-9E17-1A0785362FC5}">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92.3%] - [</t>
        </r>
        <r>
          <rPr>
            <b/>
            <sz val="8.5"/>
            <color indexed="48"/>
            <rFont val="Calibri"/>
            <family val="2"/>
          </rPr>
          <t xml:space="preserve">SOLD </t>
        </r>
        <r>
          <rPr>
            <b/>
            <sz val="8.5"/>
            <color indexed="8"/>
            <rFont val="Calibri"/>
            <family val="2"/>
          </rPr>
          <t>» 155 PAX]_x000D_
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O7]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U5 &amp; O3 &amp; I3 &amp; P144</t>
        </r>
      </text>
    </comment>
    <comment ref="H27" authorId="0" shapeId="0" xr:uid="{295DE0BD-EACD-4BA6-805C-4CB9A66C8112}">
      <text>
        <r>
          <rPr>
            <b/>
            <sz val="8.5"/>
            <color indexed="8"/>
            <rFont val="Calibri"/>
            <family val="2"/>
          </rPr>
          <t xml:space="preserve">-{ </t>
        </r>
        <r>
          <rPr>
            <b/>
            <sz val="10"/>
            <color indexed="10"/>
            <rFont val="Calibri"/>
            <family val="2"/>
          </rPr>
          <t>SM456</t>
        </r>
        <r>
          <rPr>
            <b/>
            <sz val="8.5"/>
            <color indexed="8"/>
            <rFont val="Calibri"/>
            <family val="2"/>
          </rPr>
          <t xml:space="preserve"> }-_x000D_
_x000D_
[</t>
        </r>
        <r>
          <rPr>
            <b/>
            <sz val="8.5"/>
            <color indexed="48"/>
            <rFont val="Calibri"/>
            <family val="2"/>
          </rPr>
          <t xml:space="preserve">LF </t>
        </r>
        <r>
          <rPr>
            <b/>
            <sz val="8.5"/>
            <color indexed="8"/>
            <rFont val="Calibri"/>
            <family val="2"/>
          </rPr>
          <t>» 92.3%] - [</t>
        </r>
        <r>
          <rPr>
            <b/>
            <sz val="8.5"/>
            <color indexed="48"/>
            <rFont val="Calibri"/>
            <family val="2"/>
          </rPr>
          <t xml:space="preserve">SOLD </t>
        </r>
        <r>
          <rPr>
            <b/>
            <sz val="8.5"/>
            <color indexed="8"/>
            <rFont val="Calibri"/>
            <family val="2"/>
          </rPr>
          <t>» 155 PAX]_x000D_
_x000D_
[</t>
        </r>
        <r>
          <rPr>
            <b/>
            <sz val="8.5"/>
            <color indexed="21"/>
            <rFont val="Calibri"/>
            <family val="2"/>
          </rPr>
          <t xml:space="preserve">WEEKLY </t>
        </r>
        <r>
          <rPr>
            <b/>
            <sz val="8.5"/>
            <color indexed="8"/>
            <rFont val="Calibri"/>
            <family val="2"/>
          </rPr>
          <t>» 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O7]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U5 &amp; O3 &amp; I3 &amp; P144</t>
        </r>
      </text>
    </comment>
    <comment ref="A28" authorId="0" shapeId="0" xr:uid="{179A671D-68CF-4B74-AC94-284D104087BF}">
      <text>
        <r>
          <rPr>
            <b/>
            <sz val="8.5"/>
            <color indexed="8"/>
            <rFont val="Calibri"/>
            <family val="2"/>
          </rPr>
          <t xml:space="preserve">-{ </t>
        </r>
        <r>
          <rPr>
            <b/>
            <sz val="10"/>
            <color indexed="10"/>
            <rFont val="Calibri"/>
            <family val="2"/>
          </rPr>
          <t>SM492</t>
        </r>
        <r>
          <rPr>
            <b/>
            <sz val="8.5"/>
            <color indexed="8"/>
            <rFont val="Calibri"/>
            <family val="2"/>
          </rPr>
          <t xml:space="preserve"> }-_x000D_
_x000D_
[</t>
        </r>
        <r>
          <rPr>
            <b/>
            <sz val="8.5"/>
            <color indexed="48"/>
            <rFont val="Calibri"/>
            <family val="2"/>
          </rPr>
          <t xml:space="preserve">LF </t>
        </r>
        <r>
          <rPr>
            <b/>
            <sz val="8.5"/>
            <color indexed="8"/>
            <rFont val="Calibri"/>
            <family val="2"/>
          </rPr>
          <t>» 67.3%] - [</t>
        </r>
        <r>
          <rPr>
            <b/>
            <sz val="8.5"/>
            <color indexed="48"/>
            <rFont val="Calibri"/>
            <family val="2"/>
          </rPr>
          <t xml:space="preserve">SOLD </t>
        </r>
        <r>
          <rPr>
            <b/>
            <sz val="8.5"/>
            <color indexed="8"/>
            <rFont val="Calibri"/>
            <family val="2"/>
          </rPr>
          <t>» 113 PAX]_x000D_
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O3]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U9 &amp; O9 &amp; I14 &amp; E80 &amp; P1</t>
        </r>
      </text>
    </comment>
    <comment ref="B28" authorId="0" shapeId="0" xr:uid="{1B2A2940-DC34-476D-A9F7-3C95B4CF9AA4}">
      <text>
        <r>
          <rPr>
            <b/>
            <sz val="8.5"/>
            <color indexed="8"/>
            <rFont val="Calibri"/>
            <family val="2"/>
          </rPr>
          <t xml:space="preserve">-{ </t>
        </r>
        <r>
          <rPr>
            <b/>
            <sz val="10"/>
            <color indexed="10"/>
            <rFont val="Calibri"/>
            <family val="2"/>
          </rPr>
          <t>SM492</t>
        </r>
        <r>
          <rPr>
            <b/>
            <sz val="8.5"/>
            <color indexed="8"/>
            <rFont val="Calibri"/>
            <family val="2"/>
          </rPr>
          <t xml:space="preserve"> }-_x000D_
_x000D_
[</t>
        </r>
        <r>
          <rPr>
            <b/>
            <sz val="8.5"/>
            <color indexed="48"/>
            <rFont val="Calibri"/>
            <family val="2"/>
          </rPr>
          <t xml:space="preserve">LF </t>
        </r>
        <r>
          <rPr>
            <b/>
            <sz val="8.5"/>
            <color indexed="8"/>
            <rFont val="Calibri"/>
            <family val="2"/>
          </rPr>
          <t>» 67.3%] - [</t>
        </r>
        <r>
          <rPr>
            <b/>
            <sz val="8.5"/>
            <color indexed="48"/>
            <rFont val="Calibri"/>
            <family val="2"/>
          </rPr>
          <t xml:space="preserve">SOLD </t>
        </r>
        <r>
          <rPr>
            <b/>
            <sz val="8.5"/>
            <color indexed="8"/>
            <rFont val="Calibri"/>
            <family val="2"/>
          </rPr>
          <t>» 113 PAX]_x000D_
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O3]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U9 &amp; O9 &amp; I14 &amp; E80 &amp; P1</t>
        </r>
      </text>
    </comment>
    <comment ref="C28" authorId="0" shapeId="0" xr:uid="{3F84C3F1-C533-4AE1-921A-E41AFAFCB709}">
      <text>
        <r>
          <rPr>
            <b/>
            <sz val="8.5"/>
            <color indexed="8"/>
            <rFont val="Calibri"/>
            <family val="2"/>
          </rPr>
          <t xml:space="preserve">-{ </t>
        </r>
        <r>
          <rPr>
            <b/>
            <sz val="10"/>
            <color indexed="10"/>
            <rFont val="Calibri"/>
            <family val="2"/>
          </rPr>
          <t>SM492</t>
        </r>
        <r>
          <rPr>
            <b/>
            <sz val="8.5"/>
            <color indexed="8"/>
            <rFont val="Calibri"/>
            <family val="2"/>
          </rPr>
          <t xml:space="preserve"> }-_x000D_
_x000D_
[</t>
        </r>
        <r>
          <rPr>
            <b/>
            <sz val="8.5"/>
            <color indexed="48"/>
            <rFont val="Calibri"/>
            <family val="2"/>
          </rPr>
          <t xml:space="preserve">LF </t>
        </r>
        <r>
          <rPr>
            <b/>
            <sz val="8.5"/>
            <color indexed="8"/>
            <rFont val="Calibri"/>
            <family val="2"/>
          </rPr>
          <t>» 67.3%] - [</t>
        </r>
        <r>
          <rPr>
            <b/>
            <sz val="8.5"/>
            <color indexed="48"/>
            <rFont val="Calibri"/>
            <family val="2"/>
          </rPr>
          <t xml:space="preserve">SOLD </t>
        </r>
        <r>
          <rPr>
            <b/>
            <sz val="8.5"/>
            <color indexed="8"/>
            <rFont val="Calibri"/>
            <family val="2"/>
          </rPr>
          <t>» 113 PAX]_x000D_
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O3]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U9 &amp; O9 &amp; I14 &amp; E80 &amp; P1</t>
        </r>
      </text>
    </comment>
    <comment ref="D28" authorId="0" shapeId="0" xr:uid="{35FD4171-F33E-4901-8EA2-4937A4F4BD2D}">
      <text>
        <r>
          <rPr>
            <b/>
            <sz val="8.5"/>
            <color indexed="8"/>
            <rFont val="Calibri"/>
            <family val="2"/>
          </rPr>
          <t xml:space="preserve">-{ </t>
        </r>
        <r>
          <rPr>
            <b/>
            <sz val="10"/>
            <color indexed="10"/>
            <rFont val="Calibri"/>
            <family val="2"/>
          </rPr>
          <t>SM492</t>
        </r>
        <r>
          <rPr>
            <b/>
            <sz val="8.5"/>
            <color indexed="8"/>
            <rFont val="Calibri"/>
            <family val="2"/>
          </rPr>
          <t xml:space="preserve"> }-_x000D_
_x000D_
[</t>
        </r>
        <r>
          <rPr>
            <b/>
            <sz val="8.5"/>
            <color indexed="48"/>
            <rFont val="Calibri"/>
            <family val="2"/>
          </rPr>
          <t xml:space="preserve">LF </t>
        </r>
        <r>
          <rPr>
            <b/>
            <sz val="8.5"/>
            <color indexed="8"/>
            <rFont val="Calibri"/>
            <family val="2"/>
          </rPr>
          <t>» 67.3%] - [</t>
        </r>
        <r>
          <rPr>
            <b/>
            <sz val="8.5"/>
            <color indexed="48"/>
            <rFont val="Calibri"/>
            <family val="2"/>
          </rPr>
          <t xml:space="preserve">SOLD </t>
        </r>
        <r>
          <rPr>
            <b/>
            <sz val="8.5"/>
            <color indexed="8"/>
            <rFont val="Calibri"/>
            <family val="2"/>
          </rPr>
          <t>» 113 PAX]_x000D_
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O3]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U9 &amp; O9 &amp; I14 &amp; E80 &amp; P1</t>
        </r>
      </text>
    </comment>
    <comment ref="E28" authorId="0" shapeId="0" xr:uid="{1B01D97F-96A6-47CA-A8B2-F383EF7DE327}">
      <text>
        <r>
          <rPr>
            <b/>
            <sz val="8.5"/>
            <color indexed="8"/>
            <rFont val="Calibri"/>
            <family val="2"/>
          </rPr>
          <t xml:space="preserve">-{ </t>
        </r>
        <r>
          <rPr>
            <b/>
            <sz val="10"/>
            <color indexed="10"/>
            <rFont val="Calibri"/>
            <family val="2"/>
          </rPr>
          <t>SM492</t>
        </r>
        <r>
          <rPr>
            <b/>
            <sz val="8.5"/>
            <color indexed="8"/>
            <rFont val="Calibri"/>
            <family val="2"/>
          </rPr>
          <t xml:space="preserve"> }-_x000D_
_x000D_
[</t>
        </r>
        <r>
          <rPr>
            <b/>
            <sz val="8.5"/>
            <color indexed="48"/>
            <rFont val="Calibri"/>
            <family val="2"/>
          </rPr>
          <t xml:space="preserve">LF </t>
        </r>
        <r>
          <rPr>
            <b/>
            <sz val="8.5"/>
            <color indexed="8"/>
            <rFont val="Calibri"/>
            <family val="2"/>
          </rPr>
          <t>» 67.3%] - [</t>
        </r>
        <r>
          <rPr>
            <b/>
            <sz val="8.5"/>
            <color indexed="48"/>
            <rFont val="Calibri"/>
            <family val="2"/>
          </rPr>
          <t xml:space="preserve">SOLD </t>
        </r>
        <r>
          <rPr>
            <b/>
            <sz val="8.5"/>
            <color indexed="8"/>
            <rFont val="Calibri"/>
            <family val="2"/>
          </rPr>
          <t>» 113 PAX]_x000D_
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O3]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U9 &amp; O9 &amp; I14 &amp; E80 &amp; P1</t>
        </r>
      </text>
    </comment>
    <comment ref="F28" authorId="0" shapeId="0" xr:uid="{A9E11F20-2C00-4A30-B343-F9E90F2944E3}">
      <text>
        <r>
          <rPr>
            <b/>
            <sz val="8.5"/>
            <color indexed="8"/>
            <rFont val="Calibri"/>
            <family val="2"/>
          </rPr>
          <t xml:space="preserve">-{ </t>
        </r>
        <r>
          <rPr>
            <b/>
            <sz val="10"/>
            <color indexed="10"/>
            <rFont val="Calibri"/>
            <family val="2"/>
          </rPr>
          <t>SM492</t>
        </r>
        <r>
          <rPr>
            <b/>
            <sz val="8.5"/>
            <color indexed="8"/>
            <rFont val="Calibri"/>
            <family val="2"/>
          </rPr>
          <t xml:space="preserve"> }-_x000D_
_x000D_
[</t>
        </r>
        <r>
          <rPr>
            <b/>
            <sz val="8.5"/>
            <color indexed="48"/>
            <rFont val="Calibri"/>
            <family val="2"/>
          </rPr>
          <t xml:space="preserve">LF </t>
        </r>
        <r>
          <rPr>
            <b/>
            <sz val="8.5"/>
            <color indexed="8"/>
            <rFont val="Calibri"/>
            <family val="2"/>
          </rPr>
          <t>» 67.3%] - [</t>
        </r>
        <r>
          <rPr>
            <b/>
            <sz val="8.5"/>
            <color indexed="48"/>
            <rFont val="Calibri"/>
            <family val="2"/>
          </rPr>
          <t xml:space="preserve">SOLD </t>
        </r>
        <r>
          <rPr>
            <b/>
            <sz val="8.5"/>
            <color indexed="8"/>
            <rFont val="Calibri"/>
            <family val="2"/>
          </rPr>
          <t>» 113 PAX]_x000D_
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O3]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U9 &amp; O9 &amp; I14 &amp; E80 &amp; P1</t>
        </r>
      </text>
    </comment>
    <comment ref="G28" authorId="0" shapeId="0" xr:uid="{AFFFFB10-DDC6-4DE8-AA59-902769FE0BBD}">
      <text>
        <r>
          <rPr>
            <b/>
            <sz val="8.5"/>
            <color indexed="8"/>
            <rFont val="Calibri"/>
            <family val="2"/>
          </rPr>
          <t xml:space="preserve">-{ </t>
        </r>
        <r>
          <rPr>
            <b/>
            <sz val="10"/>
            <color indexed="10"/>
            <rFont val="Calibri"/>
            <family val="2"/>
          </rPr>
          <t>SM492</t>
        </r>
        <r>
          <rPr>
            <b/>
            <sz val="8.5"/>
            <color indexed="8"/>
            <rFont val="Calibri"/>
            <family val="2"/>
          </rPr>
          <t xml:space="preserve"> }-_x000D_
_x000D_
[</t>
        </r>
        <r>
          <rPr>
            <b/>
            <sz val="8.5"/>
            <color indexed="48"/>
            <rFont val="Calibri"/>
            <family val="2"/>
          </rPr>
          <t xml:space="preserve">LF </t>
        </r>
        <r>
          <rPr>
            <b/>
            <sz val="8.5"/>
            <color indexed="8"/>
            <rFont val="Calibri"/>
            <family val="2"/>
          </rPr>
          <t>» 67.3%] - [</t>
        </r>
        <r>
          <rPr>
            <b/>
            <sz val="8.5"/>
            <color indexed="48"/>
            <rFont val="Calibri"/>
            <family val="2"/>
          </rPr>
          <t xml:space="preserve">SOLD </t>
        </r>
        <r>
          <rPr>
            <b/>
            <sz val="8.5"/>
            <color indexed="8"/>
            <rFont val="Calibri"/>
            <family val="2"/>
          </rPr>
          <t>» 113 PAX]_x000D_
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O3]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U9 &amp; O9 &amp; I14 &amp; E80 &amp; P1</t>
        </r>
      </text>
    </comment>
    <comment ref="H28" authorId="0" shapeId="0" xr:uid="{911B1E44-59A8-40D8-BA96-EAC0390741F2}">
      <text>
        <r>
          <rPr>
            <b/>
            <sz val="8.5"/>
            <color indexed="8"/>
            <rFont val="Calibri"/>
            <family val="2"/>
          </rPr>
          <t xml:space="preserve">-{ </t>
        </r>
        <r>
          <rPr>
            <b/>
            <sz val="10"/>
            <color indexed="10"/>
            <rFont val="Calibri"/>
            <family val="2"/>
          </rPr>
          <t>SM492</t>
        </r>
        <r>
          <rPr>
            <b/>
            <sz val="8.5"/>
            <color indexed="8"/>
            <rFont val="Calibri"/>
            <family val="2"/>
          </rPr>
          <t xml:space="preserve"> }-_x000D_
_x000D_
[</t>
        </r>
        <r>
          <rPr>
            <b/>
            <sz val="8.5"/>
            <color indexed="48"/>
            <rFont val="Calibri"/>
            <family val="2"/>
          </rPr>
          <t xml:space="preserve">LF </t>
        </r>
        <r>
          <rPr>
            <b/>
            <sz val="8.5"/>
            <color indexed="8"/>
            <rFont val="Calibri"/>
            <family val="2"/>
          </rPr>
          <t>» 67.3%] - [</t>
        </r>
        <r>
          <rPr>
            <b/>
            <sz val="8.5"/>
            <color indexed="48"/>
            <rFont val="Calibri"/>
            <family val="2"/>
          </rPr>
          <t xml:space="preserve">SOLD </t>
        </r>
        <r>
          <rPr>
            <b/>
            <sz val="8.5"/>
            <color indexed="8"/>
            <rFont val="Calibri"/>
            <family val="2"/>
          </rPr>
          <t>» 113 PAX]_x000D_
_x000D_
[</t>
        </r>
        <r>
          <rPr>
            <b/>
            <sz val="8.5"/>
            <color indexed="21"/>
            <rFont val="Calibri"/>
            <family val="2"/>
          </rPr>
          <t xml:space="preserve">WEEKLY </t>
        </r>
        <r>
          <rPr>
            <b/>
            <sz val="8.5"/>
            <color indexed="8"/>
            <rFont val="Calibri"/>
            <family val="2"/>
          </rPr>
          <t>» 23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O3]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U9 &amp; O9 &amp; I14 &amp; E80 &amp; P1</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33" authorId="0" shapeId="0" xr:uid="{E0A0E90F-3BCB-49AE-8AB8-F5AFED5FDAF2}">
      <text>
        <r>
          <rPr>
            <b/>
            <sz val="8.5"/>
            <color indexed="8"/>
            <rFont val="Calibri"/>
            <family val="2"/>
          </rPr>
          <t xml:space="preserve">-{ </t>
        </r>
        <r>
          <rPr>
            <b/>
            <sz val="10"/>
            <color indexed="10"/>
            <rFont val="Calibri"/>
            <family val="2"/>
          </rPr>
          <t>SM462</t>
        </r>
        <r>
          <rPr>
            <b/>
            <sz val="8.5"/>
            <color indexed="8"/>
            <rFont val="Calibri"/>
            <family val="2"/>
          </rPr>
          <t xml:space="preserve"> }-_x000D_
_x000D_
[</t>
        </r>
        <r>
          <rPr>
            <b/>
            <sz val="8.5"/>
            <color indexed="48"/>
            <rFont val="Calibri"/>
            <family val="2"/>
          </rPr>
          <t xml:space="preserve">LF </t>
        </r>
        <r>
          <rPr>
            <b/>
            <sz val="8.5"/>
            <color indexed="8"/>
            <rFont val="Calibri"/>
            <family val="2"/>
          </rPr>
          <t>» 81.5%]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29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K4 &amp; G5 &amp; S20 &amp; W39 &amp; T10 &amp; X10 &amp; U9 &amp; O10 &amp; I30</t>
        </r>
      </text>
    </comment>
    <comment ref="B33" authorId="0" shapeId="0" xr:uid="{6ED05479-BE34-4265-BD96-17E6BBBDF3C8}">
      <text>
        <r>
          <rPr>
            <b/>
            <sz val="8.5"/>
            <color indexed="8"/>
            <rFont val="Calibri"/>
            <family val="2"/>
          </rPr>
          <t xml:space="preserve">-{ </t>
        </r>
        <r>
          <rPr>
            <b/>
            <sz val="10"/>
            <color indexed="10"/>
            <rFont val="Calibri"/>
            <family val="2"/>
          </rPr>
          <t>SM462</t>
        </r>
        <r>
          <rPr>
            <b/>
            <sz val="8.5"/>
            <color indexed="8"/>
            <rFont val="Calibri"/>
            <family val="2"/>
          </rPr>
          <t xml:space="preserve"> }-_x000D_
_x000D_
[</t>
        </r>
        <r>
          <rPr>
            <b/>
            <sz val="8.5"/>
            <color indexed="48"/>
            <rFont val="Calibri"/>
            <family val="2"/>
          </rPr>
          <t xml:space="preserve">LF </t>
        </r>
        <r>
          <rPr>
            <b/>
            <sz val="8.5"/>
            <color indexed="8"/>
            <rFont val="Calibri"/>
            <family val="2"/>
          </rPr>
          <t>» 81.5%]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29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K4 &amp; G5 &amp; S20 &amp; W39 &amp; T10 &amp; X10 &amp; U9 &amp; O10 &amp; I30</t>
        </r>
      </text>
    </comment>
    <comment ref="C33" authorId="0" shapeId="0" xr:uid="{D53D75D5-8092-4475-BF31-07E7A0E7AC6C}">
      <text>
        <r>
          <rPr>
            <b/>
            <sz val="8.5"/>
            <color indexed="8"/>
            <rFont val="Calibri"/>
            <family val="2"/>
          </rPr>
          <t xml:space="preserve">-{ </t>
        </r>
        <r>
          <rPr>
            <b/>
            <sz val="10"/>
            <color indexed="10"/>
            <rFont val="Calibri"/>
            <family val="2"/>
          </rPr>
          <t>SM462</t>
        </r>
        <r>
          <rPr>
            <b/>
            <sz val="8.5"/>
            <color indexed="8"/>
            <rFont val="Calibri"/>
            <family val="2"/>
          </rPr>
          <t xml:space="preserve"> }-_x000D_
_x000D_
[</t>
        </r>
        <r>
          <rPr>
            <b/>
            <sz val="8.5"/>
            <color indexed="48"/>
            <rFont val="Calibri"/>
            <family val="2"/>
          </rPr>
          <t xml:space="preserve">LF </t>
        </r>
        <r>
          <rPr>
            <b/>
            <sz val="8.5"/>
            <color indexed="8"/>
            <rFont val="Calibri"/>
            <family val="2"/>
          </rPr>
          <t>» 81.5%]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29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K4 &amp; G5 &amp; S20 &amp; W39 &amp; T10 &amp; X10 &amp; U9 &amp; O10 &amp; I30</t>
        </r>
      </text>
    </comment>
    <comment ref="D33" authorId="0" shapeId="0" xr:uid="{EC2A664B-6D3F-495C-AC36-485F68ADCFC9}">
      <text>
        <r>
          <rPr>
            <b/>
            <sz val="8.5"/>
            <color indexed="8"/>
            <rFont val="Calibri"/>
            <family val="2"/>
          </rPr>
          <t xml:space="preserve">-{ </t>
        </r>
        <r>
          <rPr>
            <b/>
            <sz val="10"/>
            <color indexed="10"/>
            <rFont val="Calibri"/>
            <family val="2"/>
          </rPr>
          <t>SM462</t>
        </r>
        <r>
          <rPr>
            <b/>
            <sz val="8.5"/>
            <color indexed="8"/>
            <rFont val="Calibri"/>
            <family val="2"/>
          </rPr>
          <t xml:space="preserve"> }-_x000D_
_x000D_
[</t>
        </r>
        <r>
          <rPr>
            <b/>
            <sz val="8.5"/>
            <color indexed="48"/>
            <rFont val="Calibri"/>
            <family val="2"/>
          </rPr>
          <t xml:space="preserve">LF </t>
        </r>
        <r>
          <rPr>
            <b/>
            <sz val="8.5"/>
            <color indexed="8"/>
            <rFont val="Calibri"/>
            <family val="2"/>
          </rPr>
          <t>» 81.5%]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29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K4 &amp; G5 &amp; S20 &amp; W39 &amp; T10 &amp; X10 &amp; U9 &amp; O10 &amp; I30</t>
        </r>
      </text>
    </comment>
    <comment ref="E33" authorId="0" shapeId="0" xr:uid="{737DD86C-9645-4043-8F9B-21008F272015}">
      <text>
        <r>
          <rPr>
            <b/>
            <sz val="8.5"/>
            <color indexed="8"/>
            <rFont val="Calibri"/>
            <family val="2"/>
          </rPr>
          <t xml:space="preserve">-{ </t>
        </r>
        <r>
          <rPr>
            <b/>
            <sz val="10"/>
            <color indexed="10"/>
            <rFont val="Calibri"/>
            <family val="2"/>
          </rPr>
          <t>SM462</t>
        </r>
        <r>
          <rPr>
            <b/>
            <sz val="8.5"/>
            <color indexed="8"/>
            <rFont val="Calibri"/>
            <family val="2"/>
          </rPr>
          <t xml:space="preserve"> }-_x000D_
_x000D_
[</t>
        </r>
        <r>
          <rPr>
            <b/>
            <sz val="8.5"/>
            <color indexed="48"/>
            <rFont val="Calibri"/>
            <family val="2"/>
          </rPr>
          <t xml:space="preserve">LF </t>
        </r>
        <r>
          <rPr>
            <b/>
            <sz val="8.5"/>
            <color indexed="8"/>
            <rFont val="Calibri"/>
            <family val="2"/>
          </rPr>
          <t>» 81.5%]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29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K4 &amp; G5 &amp; S20 &amp; W39 &amp; T10 &amp; X10 &amp; U9 &amp; O10 &amp; I30</t>
        </r>
      </text>
    </comment>
    <comment ref="F33" authorId="0" shapeId="0" xr:uid="{239A28F1-E3A5-415F-A482-C7F9F3340028}">
      <text>
        <r>
          <rPr>
            <b/>
            <sz val="8.5"/>
            <color indexed="8"/>
            <rFont val="Calibri"/>
            <family val="2"/>
          </rPr>
          <t xml:space="preserve">-{ </t>
        </r>
        <r>
          <rPr>
            <b/>
            <sz val="10"/>
            <color indexed="10"/>
            <rFont val="Calibri"/>
            <family val="2"/>
          </rPr>
          <t>SM462</t>
        </r>
        <r>
          <rPr>
            <b/>
            <sz val="8.5"/>
            <color indexed="8"/>
            <rFont val="Calibri"/>
            <family val="2"/>
          </rPr>
          <t xml:space="preserve"> }-_x000D_
_x000D_
[</t>
        </r>
        <r>
          <rPr>
            <b/>
            <sz val="8.5"/>
            <color indexed="48"/>
            <rFont val="Calibri"/>
            <family val="2"/>
          </rPr>
          <t xml:space="preserve">LF </t>
        </r>
        <r>
          <rPr>
            <b/>
            <sz val="8.5"/>
            <color indexed="8"/>
            <rFont val="Calibri"/>
            <family val="2"/>
          </rPr>
          <t>» 81.5%]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29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K4 &amp; G5 &amp; S20 &amp; W39 &amp; T10 &amp; X10 &amp; U9 &amp; O10 &amp; I30</t>
        </r>
      </text>
    </comment>
    <comment ref="G33" authorId="0" shapeId="0" xr:uid="{B123A3AE-8105-4B85-A24E-8C18D6967E49}">
      <text>
        <r>
          <rPr>
            <b/>
            <sz val="8.5"/>
            <color indexed="8"/>
            <rFont val="Calibri"/>
            <family val="2"/>
          </rPr>
          <t xml:space="preserve">-{ </t>
        </r>
        <r>
          <rPr>
            <b/>
            <sz val="10"/>
            <color indexed="10"/>
            <rFont val="Calibri"/>
            <family val="2"/>
          </rPr>
          <t>SM462</t>
        </r>
        <r>
          <rPr>
            <b/>
            <sz val="8.5"/>
            <color indexed="8"/>
            <rFont val="Calibri"/>
            <family val="2"/>
          </rPr>
          <t xml:space="preserve"> }-_x000D_
_x000D_
[</t>
        </r>
        <r>
          <rPr>
            <b/>
            <sz val="8.5"/>
            <color indexed="48"/>
            <rFont val="Calibri"/>
            <family val="2"/>
          </rPr>
          <t xml:space="preserve">LF </t>
        </r>
        <r>
          <rPr>
            <b/>
            <sz val="8.5"/>
            <color indexed="8"/>
            <rFont val="Calibri"/>
            <family val="2"/>
          </rPr>
          <t>» 81.5%]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29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K4 &amp; G5 &amp; S20 &amp; W39 &amp; T10 &amp; X10 &amp; U9 &amp; O10 &amp; I30</t>
        </r>
      </text>
    </comment>
    <comment ref="H33" authorId="0" shapeId="0" xr:uid="{EA0E683E-E11C-43FE-A3FA-75F4E7928E19}">
      <text>
        <r>
          <rPr>
            <b/>
            <sz val="8.5"/>
            <color indexed="8"/>
            <rFont val="Calibri"/>
            <family val="2"/>
          </rPr>
          <t xml:space="preserve">-{ </t>
        </r>
        <r>
          <rPr>
            <b/>
            <sz val="10"/>
            <color indexed="10"/>
            <rFont val="Calibri"/>
            <family val="2"/>
          </rPr>
          <t>SM462</t>
        </r>
        <r>
          <rPr>
            <b/>
            <sz val="8.5"/>
            <color indexed="8"/>
            <rFont val="Calibri"/>
            <family val="2"/>
          </rPr>
          <t xml:space="preserve"> }-_x000D_
_x000D_
[</t>
        </r>
        <r>
          <rPr>
            <b/>
            <sz val="8.5"/>
            <color indexed="48"/>
            <rFont val="Calibri"/>
            <family val="2"/>
          </rPr>
          <t xml:space="preserve">LF </t>
        </r>
        <r>
          <rPr>
            <b/>
            <sz val="8.5"/>
            <color indexed="8"/>
            <rFont val="Calibri"/>
            <family val="2"/>
          </rPr>
          <t>» 81.5%]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29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K4 &amp; G5 &amp; S20 &amp; W39 &amp; T10 &amp; X10 &amp; U9 &amp; O10 &amp; I30</t>
        </r>
      </text>
    </comment>
    <comment ref="A34" authorId="0" shapeId="0" xr:uid="{4C2F034F-0275-494F-8B2D-27009396AE69}">
      <text>
        <r>
          <rPr>
            <b/>
            <sz val="8.5"/>
            <color indexed="8"/>
            <rFont val="Calibri"/>
            <family val="2"/>
          </rPr>
          <t xml:space="preserve">-{ </t>
        </r>
        <r>
          <rPr>
            <b/>
            <sz val="10"/>
            <color indexed="10"/>
            <rFont val="Calibri"/>
            <family val="2"/>
          </rPr>
          <t>SM470</t>
        </r>
        <r>
          <rPr>
            <b/>
            <sz val="8.5"/>
            <color indexed="8"/>
            <rFont val="Calibri"/>
            <family val="2"/>
          </rPr>
          <t xml:space="preserve"> }-_x000D_
_x000D_
[</t>
        </r>
        <r>
          <rPr>
            <b/>
            <sz val="8.5"/>
            <color indexed="48"/>
            <rFont val="Calibri"/>
            <family val="2"/>
          </rPr>
          <t xml:space="preserve">LF </t>
        </r>
        <r>
          <rPr>
            <b/>
            <sz val="8.5"/>
            <color indexed="8"/>
            <rFont val="Calibri"/>
            <family val="2"/>
          </rPr>
          <t>» 78.0%] - [</t>
        </r>
        <r>
          <rPr>
            <b/>
            <sz val="8.5"/>
            <color indexed="48"/>
            <rFont val="Calibri"/>
            <family val="2"/>
          </rPr>
          <t xml:space="preserve">SOLD </t>
        </r>
        <r>
          <rPr>
            <b/>
            <sz val="8.5"/>
            <color indexed="8"/>
            <rFont val="Calibri"/>
            <family val="2"/>
          </rPr>
          <t>» 131 PAX]_x000D_
_x000D_
[</t>
        </r>
        <r>
          <rPr>
            <b/>
            <sz val="8.5"/>
            <color indexed="21"/>
            <rFont val="Calibri"/>
            <family val="2"/>
          </rPr>
          <t xml:space="preserve">WEEKLY </t>
        </r>
        <r>
          <rPr>
            <b/>
            <sz val="8.5"/>
            <color indexed="8"/>
            <rFont val="Calibri"/>
            <family val="2"/>
          </rPr>
          <t>» 49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S20 &amp; W15 &amp; T60 &amp; X35</t>
        </r>
      </text>
    </comment>
    <comment ref="B34" authorId="0" shapeId="0" xr:uid="{D449A6A9-1487-4CC1-9B28-0F127448E59E}">
      <text>
        <r>
          <rPr>
            <b/>
            <sz val="8.5"/>
            <color indexed="8"/>
            <rFont val="Calibri"/>
            <family val="2"/>
          </rPr>
          <t xml:space="preserve">-{ </t>
        </r>
        <r>
          <rPr>
            <b/>
            <sz val="10"/>
            <color indexed="10"/>
            <rFont val="Calibri"/>
            <family val="2"/>
          </rPr>
          <t>SM470</t>
        </r>
        <r>
          <rPr>
            <b/>
            <sz val="8.5"/>
            <color indexed="8"/>
            <rFont val="Calibri"/>
            <family val="2"/>
          </rPr>
          <t xml:space="preserve"> }-_x000D_
_x000D_
[</t>
        </r>
        <r>
          <rPr>
            <b/>
            <sz val="8.5"/>
            <color indexed="48"/>
            <rFont val="Calibri"/>
            <family val="2"/>
          </rPr>
          <t xml:space="preserve">LF </t>
        </r>
        <r>
          <rPr>
            <b/>
            <sz val="8.5"/>
            <color indexed="8"/>
            <rFont val="Calibri"/>
            <family val="2"/>
          </rPr>
          <t>» 78.0%] - [</t>
        </r>
        <r>
          <rPr>
            <b/>
            <sz val="8.5"/>
            <color indexed="48"/>
            <rFont val="Calibri"/>
            <family val="2"/>
          </rPr>
          <t xml:space="preserve">SOLD </t>
        </r>
        <r>
          <rPr>
            <b/>
            <sz val="8.5"/>
            <color indexed="8"/>
            <rFont val="Calibri"/>
            <family val="2"/>
          </rPr>
          <t>» 131 PAX]_x000D_
_x000D_
[</t>
        </r>
        <r>
          <rPr>
            <b/>
            <sz val="8.5"/>
            <color indexed="21"/>
            <rFont val="Calibri"/>
            <family val="2"/>
          </rPr>
          <t xml:space="preserve">WEEKLY </t>
        </r>
        <r>
          <rPr>
            <b/>
            <sz val="8.5"/>
            <color indexed="8"/>
            <rFont val="Calibri"/>
            <family val="2"/>
          </rPr>
          <t>» 49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S20 &amp; W15 &amp; T60 &amp; X35</t>
        </r>
      </text>
    </comment>
    <comment ref="C34" authorId="0" shapeId="0" xr:uid="{AE1C8993-01D6-49D6-875A-BEAB9A0FC963}">
      <text>
        <r>
          <rPr>
            <b/>
            <sz val="8.5"/>
            <color indexed="8"/>
            <rFont val="Calibri"/>
            <family val="2"/>
          </rPr>
          <t xml:space="preserve">-{ </t>
        </r>
        <r>
          <rPr>
            <b/>
            <sz val="10"/>
            <color indexed="10"/>
            <rFont val="Calibri"/>
            <family val="2"/>
          </rPr>
          <t>SM470</t>
        </r>
        <r>
          <rPr>
            <b/>
            <sz val="8.5"/>
            <color indexed="8"/>
            <rFont val="Calibri"/>
            <family val="2"/>
          </rPr>
          <t xml:space="preserve"> }-_x000D_
_x000D_
[</t>
        </r>
        <r>
          <rPr>
            <b/>
            <sz val="8.5"/>
            <color indexed="48"/>
            <rFont val="Calibri"/>
            <family val="2"/>
          </rPr>
          <t xml:space="preserve">LF </t>
        </r>
        <r>
          <rPr>
            <b/>
            <sz val="8.5"/>
            <color indexed="8"/>
            <rFont val="Calibri"/>
            <family val="2"/>
          </rPr>
          <t>» 78.0%] - [</t>
        </r>
        <r>
          <rPr>
            <b/>
            <sz val="8.5"/>
            <color indexed="48"/>
            <rFont val="Calibri"/>
            <family val="2"/>
          </rPr>
          <t xml:space="preserve">SOLD </t>
        </r>
        <r>
          <rPr>
            <b/>
            <sz val="8.5"/>
            <color indexed="8"/>
            <rFont val="Calibri"/>
            <family val="2"/>
          </rPr>
          <t>» 131 PAX]_x000D_
_x000D_
[</t>
        </r>
        <r>
          <rPr>
            <b/>
            <sz val="8.5"/>
            <color indexed="21"/>
            <rFont val="Calibri"/>
            <family val="2"/>
          </rPr>
          <t xml:space="preserve">WEEKLY </t>
        </r>
        <r>
          <rPr>
            <b/>
            <sz val="8.5"/>
            <color indexed="8"/>
            <rFont val="Calibri"/>
            <family val="2"/>
          </rPr>
          <t>» 49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S20 &amp; W15 &amp; T60 &amp; X35</t>
        </r>
      </text>
    </comment>
    <comment ref="D34" authorId="0" shapeId="0" xr:uid="{334B6FAF-40AD-4806-8BB0-7CD240F2DAE1}">
      <text>
        <r>
          <rPr>
            <b/>
            <sz val="8.5"/>
            <color indexed="8"/>
            <rFont val="Calibri"/>
            <family val="2"/>
          </rPr>
          <t xml:space="preserve">-{ </t>
        </r>
        <r>
          <rPr>
            <b/>
            <sz val="10"/>
            <color indexed="10"/>
            <rFont val="Calibri"/>
            <family val="2"/>
          </rPr>
          <t>SM470</t>
        </r>
        <r>
          <rPr>
            <b/>
            <sz val="8.5"/>
            <color indexed="8"/>
            <rFont val="Calibri"/>
            <family val="2"/>
          </rPr>
          <t xml:space="preserve"> }-_x000D_
_x000D_
[</t>
        </r>
        <r>
          <rPr>
            <b/>
            <sz val="8.5"/>
            <color indexed="48"/>
            <rFont val="Calibri"/>
            <family val="2"/>
          </rPr>
          <t xml:space="preserve">LF </t>
        </r>
        <r>
          <rPr>
            <b/>
            <sz val="8.5"/>
            <color indexed="8"/>
            <rFont val="Calibri"/>
            <family val="2"/>
          </rPr>
          <t>» 78.0%] - [</t>
        </r>
        <r>
          <rPr>
            <b/>
            <sz val="8.5"/>
            <color indexed="48"/>
            <rFont val="Calibri"/>
            <family val="2"/>
          </rPr>
          <t xml:space="preserve">SOLD </t>
        </r>
        <r>
          <rPr>
            <b/>
            <sz val="8.5"/>
            <color indexed="8"/>
            <rFont val="Calibri"/>
            <family val="2"/>
          </rPr>
          <t>» 131 PAX]_x000D_
_x000D_
[</t>
        </r>
        <r>
          <rPr>
            <b/>
            <sz val="8.5"/>
            <color indexed="21"/>
            <rFont val="Calibri"/>
            <family val="2"/>
          </rPr>
          <t xml:space="preserve">WEEKLY </t>
        </r>
        <r>
          <rPr>
            <b/>
            <sz val="8.5"/>
            <color indexed="8"/>
            <rFont val="Calibri"/>
            <family val="2"/>
          </rPr>
          <t>» 49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S20 &amp; W15 &amp; T60 &amp; X35</t>
        </r>
      </text>
    </comment>
    <comment ref="E34" authorId="0" shapeId="0" xr:uid="{1336C7AB-BE46-4D12-8C12-EB9311A816A7}">
      <text>
        <r>
          <rPr>
            <b/>
            <sz val="8.5"/>
            <color indexed="8"/>
            <rFont val="Calibri"/>
            <family val="2"/>
          </rPr>
          <t xml:space="preserve">-{ </t>
        </r>
        <r>
          <rPr>
            <b/>
            <sz val="10"/>
            <color indexed="10"/>
            <rFont val="Calibri"/>
            <family val="2"/>
          </rPr>
          <t>SM470</t>
        </r>
        <r>
          <rPr>
            <b/>
            <sz val="8.5"/>
            <color indexed="8"/>
            <rFont val="Calibri"/>
            <family val="2"/>
          </rPr>
          <t xml:space="preserve"> }-_x000D_
_x000D_
[</t>
        </r>
        <r>
          <rPr>
            <b/>
            <sz val="8.5"/>
            <color indexed="48"/>
            <rFont val="Calibri"/>
            <family val="2"/>
          </rPr>
          <t xml:space="preserve">LF </t>
        </r>
        <r>
          <rPr>
            <b/>
            <sz val="8.5"/>
            <color indexed="8"/>
            <rFont val="Calibri"/>
            <family val="2"/>
          </rPr>
          <t>» 78.0%] - [</t>
        </r>
        <r>
          <rPr>
            <b/>
            <sz val="8.5"/>
            <color indexed="48"/>
            <rFont val="Calibri"/>
            <family val="2"/>
          </rPr>
          <t xml:space="preserve">SOLD </t>
        </r>
        <r>
          <rPr>
            <b/>
            <sz val="8.5"/>
            <color indexed="8"/>
            <rFont val="Calibri"/>
            <family val="2"/>
          </rPr>
          <t>» 131 PAX]_x000D_
_x000D_
[</t>
        </r>
        <r>
          <rPr>
            <b/>
            <sz val="8.5"/>
            <color indexed="21"/>
            <rFont val="Calibri"/>
            <family val="2"/>
          </rPr>
          <t xml:space="preserve">WEEKLY </t>
        </r>
        <r>
          <rPr>
            <b/>
            <sz val="8.5"/>
            <color indexed="8"/>
            <rFont val="Calibri"/>
            <family val="2"/>
          </rPr>
          <t>» 49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S20 &amp; W15 &amp; T60 &amp; X35</t>
        </r>
      </text>
    </comment>
    <comment ref="F34" authorId="0" shapeId="0" xr:uid="{6D95466C-9C9B-49A3-B005-A24E560CF741}">
      <text>
        <r>
          <rPr>
            <b/>
            <sz val="8.5"/>
            <color indexed="8"/>
            <rFont val="Calibri"/>
            <family val="2"/>
          </rPr>
          <t xml:space="preserve">-{ </t>
        </r>
        <r>
          <rPr>
            <b/>
            <sz val="10"/>
            <color indexed="10"/>
            <rFont val="Calibri"/>
            <family val="2"/>
          </rPr>
          <t>SM470</t>
        </r>
        <r>
          <rPr>
            <b/>
            <sz val="8.5"/>
            <color indexed="8"/>
            <rFont val="Calibri"/>
            <family val="2"/>
          </rPr>
          <t xml:space="preserve"> }-_x000D_
_x000D_
[</t>
        </r>
        <r>
          <rPr>
            <b/>
            <sz val="8.5"/>
            <color indexed="48"/>
            <rFont val="Calibri"/>
            <family val="2"/>
          </rPr>
          <t xml:space="preserve">LF </t>
        </r>
        <r>
          <rPr>
            <b/>
            <sz val="8.5"/>
            <color indexed="8"/>
            <rFont val="Calibri"/>
            <family val="2"/>
          </rPr>
          <t>» 78.0%] - [</t>
        </r>
        <r>
          <rPr>
            <b/>
            <sz val="8.5"/>
            <color indexed="48"/>
            <rFont val="Calibri"/>
            <family val="2"/>
          </rPr>
          <t xml:space="preserve">SOLD </t>
        </r>
        <r>
          <rPr>
            <b/>
            <sz val="8.5"/>
            <color indexed="8"/>
            <rFont val="Calibri"/>
            <family val="2"/>
          </rPr>
          <t>» 131 PAX]_x000D_
_x000D_
[</t>
        </r>
        <r>
          <rPr>
            <b/>
            <sz val="8.5"/>
            <color indexed="21"/>
            <rFont val="Calibri"/>
            <family val="2"/>
          </rPr>
          <t xml:space="preserve">WEEKLY </t>
        </r>
        <r>
          <rPr>
            <b/>
            <sz val="8.5"/>
            <color indexed="8"/>
            <rFont val="Calibri"/>
            <family val="2"/>
          </rPr>
          <t>» 49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S20 &amp; W15 &amp; T60 &amp; X35</t>
        </r>
      </text>
    </comment>
    <comment ref="G34" authorId="0" shapeId="0" xr:uid="{5002BE24-A792-400E-A2F8-E85CCAE24299}">
      <text>
        <r>
          <rPr>
            <b/>
            <sz val="8.5"/>
            <color indexed="8"/>
            <rFont val="Calibri"/>
            <family val="2"/>
          </rPr>
          <t xml:space="preserve">-{ </t>
        </r>
        <r>
          <rPr>
            <b/>
            <sz val="10"/>
            <color indexed="10"/>
            <rFont val="Calibri"/>
            <family val="2"/>
          </rPr>
          <t>SM470</t>
        </r>
        <r>
          <rPr>
            <b/>
            <sz val="8.5"/>
            <color indexed="8"/>
            <rFont val="Calibri"/>
            <family val="2"/>
          </rPr>
          <t xml:space="preserve"> }-_x000D_
_x000D_
[</t>
        </r>
        <r>
          <rPr>
            <b/>
            <sz val="8.5"/>
            <color indexed="48"/>
            <rFont val="Calibri"/>
            <family val="2"/>
          </rPr>
          <t xml:space="preserve">LF </t>
        </r>
        <r>
          <rPr>
            <b/>
            <sz val="8.5"/>
            <color indexed="8"/>
            <rFont val="Calibri"/>
            <family val="2"/>
          </rPr>
          <t>» 78.0%] - [</t>
        </r>
        <r>
          <rPr>
            <b/>
            <sz val="8.5"/>
            <color indexed="48"/>
            <rFont val="Calibri"/>
            <family val="2"/>
          </rPr>
          <t xml:space="preserve">SOLD </t>
        </r>
        <r>
          <rPr>
            <b/>
            <sz val="8.5"/>
            <color indexed="8"/>
            <rFont val="Calibri"/>
            <family val="2"/>
          </rPr>
          <t>» 131 PAX]_x000D_
_x000D_
[</t>
        </r>
        <r>
          <rPr>
            <b/>
            <sz val="8.5"/>
            <color indexed="21"/>
            <rFont val="Calibri"/>
            <family val="2"/>
          </rPr>
          <t xml:space="preserve">WEEKLY </t>
        </r>
        <r>
          <rPr>
            <b/>
            <sz val="8.5"/>
            <color indexed="8"/>
            <rFont val="Calibri"/>
            <family val="2"/>
          </rPr>
          <t>» 49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S20 &amp; W15 &amp; T60 &amp; X35</t>
        </r>
      </text>
    </comment>
    <comment ref="H34" authorId="0" shapeId="0" xr:uid="{8D93F409-885B-4976-9B9B-E1470A1F15E1}">
      <text>
        <r>
          <rPr>
            <b/>
            <sz val="8.5"/>
            <color indexed="8"/>
            <rFont val="Calibri"/>
            <family val="2"/>
          </rPr>
          <t xml:space="preserve">-{ </t>
        </r>
        <r>
          <rPr>
            <b/>
            <sz val="10"/>
            <color indexed="10"/>
            <rFont val="Calibri"/>
            <family val="2"/>
          </rPr>
          <t>SM470</t>
        </r>
        <r>
          <rPr>
            <b/>
            <sz val="8.5"/>
            <color indexed="8"/>
            <rFont val="Calibri"/>
            <family val="2"/>
          </rPr>
          <t xml:space="preserve"> }-_x000D_
_x000D_
[</t>
        </r>
        <r>
          <rPr>
            <b/>
            <sz val="8.5"/>
            <color indexed="48"/>
            <rFont val="Calibri"/>
            <family val="2"/>
          </rPr>
          <t xml:space="preserve">LF </t>
        </r>
        <r>
          <rPr>
            <b/>
            <sz val="8.5"/>
            <color indexed="8"/>
            <rFont val="Calibri"/>
            <family val="2"/>
          </rPr>
          <t>» 78.0%] - [</t>
        </r>
        <r>
          <rPr>
            <b/>
            <sz val="8.5"/>
            <color indexed="48"/>
            <rFont val="Calibri"/>
            <family val="2"/>
          </rPr>
          <t xml:space="preserve">SOLD </t>
        </r>
        <r>
          <rPr>
            <b/>
            <sz val="8.5"/>
            <color indexed="8"/>
            <rFont val="Calibri"/>
            <family val="2"/>
          </rPr>
          <t>» 131 PAX]_x000D_
_x000D_
[</t>
        </r>
        <r>
          <rPr>
            <b/>
            <sz val="8.5"/>
            <color indexed="21"/>
            <rFont val="Calibri"/>
            <family val="2"/>
          </rPr>
          <t xml:space="preserve">WEEKLY </t>
        </r>
        <r>
          <rPr>
            <b/>
            <sz val="8.5"/>
            <color indexed="8"/>
            <rFont val="Calibri"/>
            <family val="2"/>
          </rPr>
          <t>» 49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S20 &amp; W15 &amp; T60 &amp; X35</t>
        </r>
      </text>
    </comment>
    <comment ref="A73" authorId="0" shapeId="0" xr:uid="{7E9A4B74-CC9F-44F1-A64A-21AF1BCE7655}">
      <text>
        <r>
          <rPr>
            <b/>
            <sz val="8.5"/>
            <color indexed="8"/>
            <rFont val="Calibri"/>
            <family val="2"/>
          </rPr>
          <t xml:space="preserve">-{ </t>
        </r>
        <r>
          <rPr>
            <b/>
            <sz val="10"/>
            <color indexed="10"/>
            <rFont val="Calibri"/>
            <family val="2"/>
          </rPr>
          <t>SM462</t>
        </r>
        <r>
          <rPr>
            <b/>
            <sz val="8.5"/>
            <color indexed="8"/>
            <rFont val="Calibri"/>
            <family val="2"/>
          </rPr>
          <t xml:space="preserve"> }-_x000D_
_x000D_
[</t>
        </r>
        <r>
          <rPr>
            <b/>
            <sz val="8.5"/>
            <color indexed="48"/>
            <rFont val="Calibri"/>
            <family val="2"/>
          </rPr>
          <t xml:space="preserve">LF </t>
        </r>
        <r>
          <rPr>
            <b/>
            <sz val="8.5"/>
            <color indexed="8"/>
            <rFont val="Calibri"/>
            <family val="2"/>
          </rPr>
          <t>» 70.8%] - [</t>
        </r>
        <r>
          <rPr>
            <b/>
            <sz val="8.5"/>
            <color indexed="48"/>
            <rFont val="Calibri"/>
            <family val="2"/>
          </rPr>
          <t xml:space="preserve">SOLD </t>
        </r>
        <r>
          <rPr>
            <b/>
            <sz val="8.5"/>
            <color indexed="8"/>
            <rFont val="Calibri"/>
            <family val="2"/>
          </rPr>
          <t>» 119 PAX]_x000D_
_x000D_
[</t>
        </r>
        <r>
          <rPr>
            <b/>
            <sz val="8.5"/>
            <color indexed="21"/>
            <rFont val="Calibri"/>
            <family val="2"/>
          </rPr>
          <t xml:space="preserve">WEEKLY </t>
        </r>
        <r>
          <rPr>
            <b/>
            <sz val="8.5"/>
            <color indexed="8"/>
            <rFont val="Calibri"/>
            <family val="2"/>
          </rPr>
          <t>» 30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25]_x000D_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K2 &amp; W2 &amp; T13 &amp; X68 &amp; U5 &amp; O24 &amp; I5</t>
        </r>
      </text>
    </comment>
    <comment ref="B73" authorId="0" shapeId="0" xr:uid="{D44BDEE4-0C14-4706-889D-990D5B776E01}">
      <text>
        <r>
          <rPr>
            <b/>
            <sz val="8.5"/>
            <color indexed="8"/>
            <rFont val="Calibri"/>
            <family val="2"/>
          </rPr>
          <t xml:space="preserve">-{ </t>
        </r>
        <r>
          <rPr>
            <b/>
            <sz val="10"/>
            <color indexed="10"/>
            <rFont val="Calibri"/>
            <family val="2"/>
          </rPr>
          <t>SM462</t>
        </r>
        <r>
          <rPr>
            <b/>
            <sz val="8.5"/>
            <color indexed="8"/>
            <rFont val="Calibri"/>
            <family val="2"/>
          </rPr>
          <t xml:space="preserve"> }-_x000D_
_x000D_
[</t>
        </r>
        <r>
          <rPr>
            <b/>
            <sz val="8.5"/>
            <color indexed="48"/>
            <rFont val="Calibri"/>
            <family val="2"/>
          </rPr>
          <t xml:space="preserve">LF </t>
        </r>
        <r>
          <rPr>
            <b/>
            <sz val="8.5"/>
            <color indexed="8"/>
            <rFont val="Calibri"/>
            <family val="2"/>
          </rPr>
          <t>» 70.8%] - [</t>
        </r>
        <r>
          <rPr>
            <b/>
            <sz val="8.5"/>
            <color indexed="48"/>
            <rFont val="Calibri"/>
            <family val="2"/>
          </rPr>
          <t xml:space="preserve">SOLD </t>
        </r>
        <r>
          <rPr>
            <b/>
            <sz val="8.5"/>
            <color indexed="8"/>
            <rFont val="Calibri"/>
            <family val="2"/>
          </rPr>
          <t>» 119 PAX]_x000D_
_x000D_
[</t>
        </r>
        <r>
          <rPr>
            <b/>
            <sz val="8.5"/>
            <color indexed="21"/>
            <rFont val="Calibri"/>
            <family val="2"/>
          </rPr>
          <t xml:space="preserve">WEEKLY </t>
        </r>
        <r>
          <rPr>
            <b/>
            <sz val="8.5"/>
            <color indexed="8"/>
            <rFont val="Calibri"/>
            <family val="2"/>
          </rPr>
          <t>» 30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25]_x000D_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K2 &amp; W2 &amp; T13 &amp; X68 &amp; U5 &amp; O24 &amp; I5</t>
        </r>
      </text>
    </comment>
    <comment ref="C73" authorId="0" shapeId="0" xr:uid="{54534F62-54E6-4D80-9199-278394E1D97C}">
      <text>
        <r>
          <rPr>
            <b/>
            <sz val="8.5"/>
            <color indexed="8"/>
            <rFont val="Calibri"/>
            <family val="2"/>
          </rPr>
          <t xml:space="preserve">-{ </t>
        </r>
        <r>
          <rPr>
            <b/>
            <sz val="10"/>
            <color indexed="10"/>
            <rFont val="Calibri"/>
            <family val="2"/>
          </rPr>
          <t>SM462</t>
        </r>
        <r>
          <rPr>
            <b/>
            <sz val="8.5"/>
            <color indexed="8"/>
            <rFont val="Calibri"/>
            <family val="2"/>
          </rPr>
          <t xml:space="preserve"> }-_x000D_
_x000D_
[</t>
        </r>
        <r>
          <rPr>
            <b/>
            <sz val="8.5"/>
            <color indexed="48"/>
            <rFont val="Calibri"/>
            <family val="2"/>
          </rPr>
          <t xml:space="preserve">LF </t>
        </r>
        <r>
          <rPr>
            <b/>
            <sz val="8.5"/>
            <color indexed="8"/>
            <rFont val="Calibri"/>
            <family val="2"/>
          </rPr>
          <t>» 70.8%] - [</t>
        </r>
        <r>
          <rPr>
            <b/>
            <sz val="8.5"/>
            <color indexed="48"/>
            <rFont val="Calibri"/>
            <family val="2"/>
          </rPr>
          <t xml:space="preserve">SOLD </t>
        </r>
        <r>
          <rPr>
            <b/>
            <sz val="8.5"/>
            <color indexed="8"/>
            <rFont val="Calibri"/>
            <family val="2"/>
          </rPr>
          <t>» 119 PAX]_x000D_
_x000D_
[</t>
        </r>
        <r>
          <rPr>
            <b/>
            <sz val="8.5"/>
            <color indexed="21"/>
            <rFont val="Calibri"/>
            <family val="2"/>
          </rPr>
          <t xml:space="preserve">WEEKLY </t>
        </r>
        <r>
          <rPr>
            <b/>
            <sz val="8.5"/>
            <color indexed="8"/>
            <rFont val="Calibri"/>
            <family val="2"/>
          </rPr>
          <t>» 30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25]_x000D_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K2 &amp; W2 &amp; T13 &amp; X68 &amp; U5 &amp; O24 &amp; I5</t>
        </r>
      </text>
    </comment>
    <comment ref="D73" authorId="0" shapeId="0" xr:uid="{E8C2DDF7-5990-402E-8D02-CFC6CD170962}">
      <text>
        <r>
          <rPr>
            <b/>
            <sz val="8.5"/>
            <color indexed="8"/>
            <rFont val="Calibri"/>
            <family val="2"/>
          </rPr>
          <t xml:space="preserve">-{ </t>
        </r>
        <r>
          <rPr>
            <b/>
            <sz val="10"/>
            <color indexed="10"/>
            <rFont val="Calibri"/>
            <family val="2"/>
          </rPr>
          <t>SM462</t>
        </r>
        <r>
          <rPr>
            <b/>
            <sz val="8.5"/>
            <color indexed="8"/>
            <rFont val="Calibri"/>
            <family val="2"/>
          </rPr>
          <t xml:space="preserve"> }-_x000D_
_x000D_
[</t>
        </r>
        <r>
          <rPr>
            <b/>
            <sz val="8.5"/>
            <color indexed="48"/>
            <rFont val="Calibri"/>
            <family val="2"/>
          </rPr>
          <t xml:space="preserve">LF </t>
        </r>
        <r>
          <rPr>
            <b/>
            <sz val="8.5"/>
            <color indexed="8"/>
            <rFont val="Calibri"/>
            <family val="2"/>
          </rPr>
          <t>» 70.8%] - [</t>
        </r>
        <r>
          <rPr>
            <b/>
            <sz val="8.5"/>
            <color indexed="48"/>
            <rFont val="Calibri"/>
            <family val="2"/>
          </rPr>
          <t xml:space="preserve">SOLD </t>
        </r>
        <r>
          <rPr>
            <b/>
            <sz val="8.5"/>
            <color indexed="8"/>
            <rFont val="Calibri"/>
            <family val="2"/>
          </rPr>
          <t>» 119 PAX]_x000D_
_x000D_
[</t>
        </r>
        <r>
          <rPr>
            <b/>
            <sz val="8.5"/>
            <color indexed="21"/>
            <rFont val="Calibri"/>
            <family val="2"/>
          </rPr>
          <t xml:space="preserve">WEEKLY </t>
        </r>
        <r>
          <rPr>
            <b/>
            <sz val="8.5"/>
            <color indexed="8"/>
            <rFont val="Calibri"/>
            <family val="2"/>
          </rPr>
          <t>» 30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25]_x000D_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K2 &amp; W2 &amp; T13 &amp; X68 &amp; U5 &amp; O24 &amp; I5</t>
        </r>
      </text>
    </comment>
    <comment ref="E73" authorId="0" shapeId="0" xr:uid="{1C8DDE32-F8AC-4614-826F-5DD6ECF80367}">
      <text>
        <r>
          <rPr>
            <b/>
            <sz val="8.5"/>
            <color indexed="8"/>
            <rFont val="Calibri"/>
            <family val="2"/>
          </rPr>
          <t xml:space="preserve">-{ </t>
        </r>
        <r>
          <rPr>
            <b/>
            <sz val="10"/>
            <color indexed="10"/>
            <rFont val="Calibri"/>
            <family val="2"/>
          </rPr>
          <t>SM462</t>
        </r>
        <r>
          <rPr>
            <b/>
            <sz val="8.5"/>
            <color indexed="8"/>
            <rFont val="Calibri"/>
            <family val="2"/>
          </rPr>
          <t xml:space="preserve"> }-_x000D_
_x000D_
[</t>
        </r>
        <r>
          <rPr>
            <b/>
            <sz val="8.5"/>
            <color indexed="48"/>
            <rFont val="Calibri"/>
            <family val="2"/>
          </rPr>
          <t xml:space="preserve">LF </t>
        </r>
        <r>
          <rPr>
            <b/>
            <sz val="8.5"/>
            <color indexed="8"/>
            <rFont val="Calibri"/>
            <family val="2"/>
          </rPr>
          <t>» 70.8%] - [</t>
        </r>
        <r>
          <rPr>
            <b/>
            <sz val="8.5"/>
            <color indexed="48"/>
            <rFont val="Calibri"/>
            <family val="2"/>
          </rPr>
          <t xml:space="preserve">SOLD </t>
        </r>
        <r>
          <rPr>
            <b/>
            <sz val="8.5"/>
            <color indexed="8"/>
            <rFont val="Calibri"/>
            <family val="2"/>
          </rPr>
          <t>» 119 PAX]_x000D_
_x000D_
[</t>
        </r>
        <r>
          <rPr>
            <b/>
            <sz val="8.5"/>
            <color indexed="21"/>
            <rFont val="Calibri"/>
            <family val="2"/>
          </rPr>
          <t xml:space="preserve">WEEKLY </t>
        </r>
        <r>
          <rPr>
            <b/>
            <sz val="8.5"/>
            <color indexed="8"/>
            <rFont val="Calibri"/>
            <family val="2"/>
          </rPr>
          <t>» 30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25]_x000D_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K2 &amp; W2 &amp; T13 &amp; X68 &amp; U5 &amp; O24 &amp; I5</t>
        </r>
      </text>
    </comment>
    <comment ref="F73" authorId="0" shapeId="0" xr:uid="{FF60A47D-3B69-4168-8889-5BBD10D29B9D}">
      <text>
        <r>
          <rPr>
            <b/>
            <sz val="8.5"/>
            <color indexed="8"/>
            <rFont val="Calibri"/>
            <family val="2"/>
          </rPr>
          <t xml:space="preserve">-{ </t>
        </r>
        <r>
          <rPr>
            <b/>
            <sz val="10"/>
            <color indexed="10"/>
            <rFont val="Calibri"/>
            <family val="2"/>
          </rPr>
          <t>SM462</t>
        </r>
        <r>
          <rPr>
            <b/>
            <sz val="8.5"/>
            <color indexed="8"/>
            <rFont val="Calibri"/>
            <family val="2"/>
          </rPr>
          <t xml:space="preserve"> }-_x000D_
_x000D_
[</t>
        </r>
        <r>
          <rPr>
            <b/>
            <sz val="8.5"/>
            <color indexed="48"/>
            <rFont val="Calibri"/>
            <family val="2"/>
          </rPr>
          <t xml:space="preserve">LF </t>
        </r>
        <r>
          <rPr>
            <b/>
            <sz val="8.5"/>
            <color indexed="8"/>
            <rFont val="Calibri"/>
            <family val="2"/>
          </rPr>
          <t>» 70.8%] - [</t>
        </r>
        <r>
          <rPr>
            <b/>
            <sz val="8.5"/>
            <color indexed="48"/>
            <rFont val="Calibri"/>
            <family val="2"/>
          </rPr>
          <t xml:space="preserve">SOLD </t>
        </r>
        <r>
          <rPr>
            <b/>
            <sz val="8.5"/>
            <color indexed="8"/>
            <rFont val="Calibri"/>
            <family val="2"/>
          </rPr>
          <t>» 119 PAX]_x000D_
_x000D_
[</t>
        </r>
        <r>
          <rPr>
            <b/>
            <sz val="8.5"/>
            <color indexed="21"/>
            <rFont val="Calibri"/>
            <family val="2"/>
          </rPr>
          <t xml:space="preserve">WEEKLY </t>
        </r>
        <r>
          <rPr>
            <b/>
            <sz val="8.5"/>
            <color indexed="8"/>
            <rFont val="Calibri"/>
            <family val="2"/>
          </rPr>
          <t>» 30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25]_x000D_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K2 &amp; W2 &amp; T13 &amp; X68 &amp; U5 &amp; O24 &amp; I5</t>
        </r>
      </text>
    </comment>
    <comment ref="G73" authorId="0" shapeId="0" xr:uid="{CE0D67C8-770B-410E-9190-2D33B3749E92}">
      <text>
        <r>
          <rPr>
            <b/>
            <sz val="8.5"/>
            <color indexed="8"/>
            <rFont val="Calibri"/>
            <family val="2"/>
          </rPr>
          <t xml:space="preserve">-{ </t>
        </r>
        <r>
          <rPr>
            <b/>
            <sz val="10"/>
            <color indexed="10"/>
            <rFont val="Calibri"/>
            <family val="2"/>
          </rPr>
          <t>SM462</t>
        </r>
        <r>
          <rPr>
            <b/>
            <sz val="8.5"/>
            <color indexed="8"/>
            <rFont val="Calibri"/>
            <family val="2"/>
          </rPr>
          <t xml:space="preserve"> }-_x000D_
_x000D_
[</t>
        </r>
        <r>
          <rPr>
            <b/>
            <sz val="8.5"/>
            <color indexed="48"/>
            <rFont val="Calibri"/>
            <family val="2"/>
          </rPr>
          <t xml:space="preserve">LF </t>
        </r>
        <r>
          <rPr>
            <b/>
            <sz val="8.5"/>
            <color indexed="8"/>
            <rFont val="Calibri"/>
            <family val="2"/>
          </rPr>
          <t>» 70.8%] - [</t>
        </r>
        <r>
          <rPr>
            <b/>
            <sz val="8.5"/>
            <color indexed="48"/>
            <rFont val="Calibri"/>
            <family val="2"/>
          </rPr>
          <t xml:space="preserve">SOLD </t>
        </r>
        <r>
          <rPr>
            <b/>
            <sz val="8.5"/>
            <color indexed="8"/>
            <rFont val="Calibri"/>
            <family val="2"/>
          </rPr>
          <t>» 119 PAX]_x000D_
_x000D_
[</t>
        </r>
        <r>
          <rPr>
            <b/>
            <sz val="8.5"/>
            <color indexed="21"/>
            <rFont val="Calibri"/>
            <family val="2"/>
          </rPr>
          <t xml:space="preserve">WEEKLY </t>
        </r>
        <r>
          <rPr>
            <b/>
            <sz val="8.5"/>
            <color indexed="8"/>
            <rFont val="Calibri"/>
            <family val="2"/>
          </rPr>
          <t>» 30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25]_x000D_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K2 &amp; W2 &amp; T13 &amp; X68 &amp; U5 &amp; O24 &amp; I5</t>
        </r>
      </text>
    </comment>
    <comment ref="H73" authorId="0" shapeId="0" xr:uid="{740E7BEE-7BE9-4237-834D-AD1C44A1B2AB}">
      <text>
        <r>
          <rPr>
            <b/>
            <sz val="8.5"/>
            <color indexed="8"/>
            <rFont val="Calibri"/>
            <family val="2"/>
          </rPr>
          <t xml:space="preserve">-{ </t>
        </r>
        <r>
          <rPr>
            <b/>
            <sz val="10"/>
            <color indexed="10"/>
            <rFont val="Calibri"/>
            <family val="2"/>
          </rPr>
          <t>SM462</t>
        </r>
        <r>
          <rPr>
            <b/>
            <sz val="8.5"/>
            <color indexed="8"/>
            <rFont val="Calibri"/>
            <family val="2"/>
          </rPr>
          <t xml:space="preserve"> }-_x000D_
_x000D_
[</t>
        </r>
        <r>
          <rPr>
            <b/>
            <sz val="8.5"/>
            <color indexed="48"/>
            <rFont val="Calibri"/>
            <family val="2"/>
          </rPr>
          <t xml:space="preserve">LF </t>
        </r>
        <r>
          <rPr>
            <b/>
            <sz val="8.5"/>
            <color indexed="8"/>
            <rFont val="Calibri"/>
            <family val="2"/>
          </rPr>
          <t>» 70.8%] - [</t>
        </r>
        <r>
          <rPr>
            <b/>
            <sz val="8.5"/>
            <color indexed="48"/>
            <rFont val="Calibri"/>
            <family val="2"/>
          </rPr>
          <t xml:space="preserve">SOLD </t>
        </r>
        <r>
          <rPr>
            <b/>
            <sz val="8.5"/>
            <color indexed="8"/>
            <rFont val="Calibri"/>
            <family val="2"/>
          </rPr>
          <t>» 119 PAX]_x000D_
_x000D_
[</t>
        </r>
        <r>
          <rPr>
            <b/>
            <sz val="8.5"/>
            <color indexed="21"/>
            <rFont val="Calibri"/>
            <family val="2"/>
          </rPr>
          <t xml:space="preserve">WEEKLY </t>
        </r>
        <r>
          <rPr>
            <b/>
            <sz val="8.5"/>
            <color indexed="8"/>
            <rFont val="Calibri"/>
            <family val="2"/>
          </rPr>
          <t>» 30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25]_x000D_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K2 &amp; W2 &amp; T13 &amp; X68 &amp; U5 &amp; O24 &amp; I5</t>
        </r>
      </text>
    </comment>
    <comment ref="A130" authorId="0" shapeId="0" xr:uid="{48E89E2D-8D9A-45AF-B40C-5BCC1D809165}">
      <text>
        <r>
          <rPr>
            <b/>
            <sz val="8.5"/>
            <color indexed="8"/>
            <rFont val="Calibri"/>
            <family val="2"/>
          </rPr>
          <t xml:space="preserve">-{ </t>
        </r>
        <r>
          <rPr>
            <b/>
            <sz val="10"/>
            <color indexed="10"/>
            <rFont val="Calibri"/>
            <family val="2"/>
          </rPr>
          <t>SM462</t>
        </r>
        <r>
          <rPr>
            <b/>
            <sz val="8.5"/>
            <color indexed="8"/>
            <rFont val="Calibri"/>
            <family val="2"/>
          </rPr>
          <t xml:space="preserve"> }-_x000D_
_x000D_
[</t>
        </r>
        <r>
          <rPr>
            <b/>
            <sz val="8.5"/>
            <color indexed="48"/>
            <rFont val="Calibri"/>
            <family val="2"/>
          </rPr>
          <t xml:space="preserve">LF </t>
        </r>
        <r>
          <rPr>
            <b/>
            <sz val="8.5"/>
            <color indexed="8"/>
            <rFont val="Calibri"/>
            <family val="2"/>
          </rPr>
          <t>» 75.6%] - [</t>
        </r>
        <r>
          <rPr>
            <b/>
            <sz val="8.5"/>
            <color indexed="48"/>
            <rFont val="Calibri"/>
            <family val="2"/>
          </rPr>
          <t xml:space="preserve">SOLD </t>
        </r>
        <r>
          <rPr>
            <b/>
            <sz val="8.5"/>
            <color indexed="8"/>
            <rFont val="Calibri"/>
            <family val="2"/>
          </rPr>
          <t>» 127 PAX]_x000D_
_x000D_
[</t>
        </r>
        <r>
          <rPr>
            <b/>
            <sz val="8.5"/>
            <color indexed="21"/>
            <rFont val="Calibri"/>
            <family val="2"/>
          </rPr>
          <t xml:space="preserve">WEEKLY </t>
        </r>
        <r>
          <rPr>
            <b/>
            <sz val="8.5"/>
            <color indexed="8"/>
            <rFont val="Calibri"/>
            <family val="2"/>
          </rPr>
          <t>» 49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T5]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K1 &amp; T5 &amp; X10 &amp; U40 &amp; O20 &amp; I50 &amp; N1</t>
        </r>
      </text>
    </comment>
    <comment ref="B130" authorId="0" shapeId="0" xr:uid="{F4429859-3C09-4CF4-BE24-7BCAA02A1DC9}">
      <text>
        <r>
          <rPr>
            <b/>
            <sz val="8.5"/>
            <color indexed="8"/>
            <rFont val="Calibri"/>
            <family val="2"/>
          </rPr>
          <t xml:space="preserve">-{ </t>
        </r>
        <r>
          <rPr>
            <b/>
            <sz val="10"/>
            <color indexed="10"/>
            <rFont val="Calibri"/>
            <family val="2"/>
          </rPr>
          <t>SM462</t>
        </r>
        <r>
          <rPr>
            <b/>
            <sz val="8.5"/>
            <color indexed="8"/>
            <rFont val="Calibri"/>
            <family val="2"/>
          </rPr>
          <t xml:space="preserve"> }-_x000D_
_x000D_
[</t>
        </r>
        <r>
          <rPr>
            <b/>
            <sz val="8.5"/>
            <color indexed="48"/>
            <rFont val="Calibri"/>
            <family val="2"/>
          </rPr>
          <t xml:space="preserve">LF </t>
        </r>
        <r>
          <rPr>
            <b/>
            <sz val="8.5"/>
            <color indexed="8"/>
            <rFont val="Calibri"/>
            <family val="2"/>
          </rPr>
          <t>» 75.6%] - [</t>
        </r>
        <r>
          <rPr>
            <b/>
            <sz val="8.5"/>
            <color indexed="48"/>
            <rFont val="Calibri"/>
            <family val="2"/>
          </rPr>
          <t xml:space="preserve">SOLD </t>
        </r>
        <r>
          <rPr>
            <b/>
            <sz val="8.5"/>
            <color indexed="8"/>
            <rFont val="Calibri"/>
            <family val="2"/>
          </rPr>
          <t>» 127 PAX]_x000D_
_x000D_
[</t>
        </r>
        <r>
          <rPr>
            <b/>
            <sz val="8.5"/>
            <color indexed="21"/>
            <rFont val="Calibri"/>
            <family val="2"/>
          </rPr>
          <t xml:space="preserve">WEEKLY </t>
        </r>
        <r>
          <rPr>
            <b/>
            <sz val="8.5"/>
            <color indexed="8"/>
            <rFont val="Calibri"/>
            <family val="2"/>
          </rPr>
          <t>» 49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T5]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K1 &amp; T5 &amp; X10 &amp; U40 &amp; O20 &amp; I50 &amp; N1</t>
        </r>
      </text>
    </comment>
    <comment ref="C130" authorId="0" shapeId="0" xr:uid="{135E5113-D92C-4347-8888-8CB678BD7200}">
      <text>
        <r>
          <rPr>
            <b/>
            <sz val="8.5"/>
            <color indexed="8"/>
            <rFont val="Calibri"/>
            <family val="2"/>
          </rPr>
          <t xml:space="preserve">-{ </t>
        </r>
        <r>
          <rPr>
            <b/>
            <sz val="10"/>
            <color indexed="10"/>
            <rFont val="Calibri"/>
            <family val="2"/>
          </rPr>
          <t>SM462</t>
        </r>
        <r>
          <rPr>
            <b/>
            <sz val="8.5"/>
            <color indexed="8"/>
            <rFont val="Calibri"/>
            <family val="2"/>
          </rPr>
          <t xml:space="preserve"> }-_x000D_
_x000D_
[</t>
        </r>
        <r>
          <rPr>
            <b/>
            <sz val="8.5"/>
            <color indexed="48"/>
            <rFont val="Calibri"/>
            <family val="2"/>
          </rPr>
          <t xml:space="preserve">LF </t>
        </r>
        <r>
          <rPr>
            <b/>
            <sz val="8.5"/>
            <color indexed="8"/>
            <rFont val="Calibri"/>
            <family val="2"/>
          </rPr>
          <t>» 75.6%] - [</t>
        </r>
        <r>
          <rPr>
            <b/>
            <sz val="8.5"/>
            <color indexed="48"/>
            <rFont val="Calibri"/>
            <family val="2"/>
          </rPr>
          <t xml:space="preserve">SOLD </t>
        </r>
        <r>
          <rPr>
            <b/>
            <sz val="8.5"/>
            <color indexed="8"/>
            <rFont val="Calibri"/>
            <family val="2"/>
          </rPr>
          <t>» 127 PAX]_x000D_
_x000D_
[</t>
        </r>
        <r>
          <rPr>
            <b/>
            <sz val="8.5"/>
            <color indexed="21"/>
            <rFont val="Calibri"/>
            <family val="2"/>
          </rPr>
          <t xml:space="preserve">WEEKLY </t>
        </r>
        <r>
          <rPr>
            <b/>
            <sz val="8.5"/>
            <color indexed="8"/>
            <rFont val="Calibri"/>
            <family val="2"/>
          </rPr>
          <t>» 49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T5]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K1 &amp; T5 &amp; X10 &amp; U40 &amp; O20 &amp; I50 &amp; N1</t>
        </r>
      </text>
    </comment>
    <comment ref="D130" authorId="0" shapeId="0" xr:uid="{BBEA394A-7510-41B2-A994-682429ABC1FC}">
      <text>
        <r>
          <rPr>
            <b/>
            <sz val="8.5"/>
            <color indexed="8"/>
            <rFont val="Calibri"/>
            <family val="2"/>
          </rPr>
          <t xml:space="preserve">-{ </t>
        </r>
        <r>
          <rPr>
            <b/>
            <sz val="10"/>
            <color indexed="10"/>
            <rFont val="Calibri"/>
            <family val="2"/>
          </rPr>
          <t>SM462</t>
        </r>
        <r>
          <rPr>
            <b/>
            <sz val="8.5"/>
            <color indexed="8"/>
            <rFont val="Calibri"/>
            <family val="2"/>
          </rPr>
          <t xml:space="preserve"> }-_x000D_
_x000D_
[</t>
        </r>
        <r>
          <rPr>
            <b/>
            <sz val="8.5"/>
            <color indexed="48"/>
            <rFont val="Calibri"/>
            <family val="2"/>
          </rPr>
          <t xml:space="preserve">LF </t>
        </r>
        <r>
          <rPr>
            <b/>
            <sz val="8.5"/>
            <color indexed="8"/>
            <rFont val="Calibri"/>
            <family val="2"/>
          </rPr>
          <t>» 75.6%] - [</t>
        </r>
        <r>
          <rPr>
            <b/>
            <sz val="8.5"/>
            <color indexed="48"/>
            <rFont val="Calibri"/>
            <family val="2"/>
          </rPr>
          <t xml:space="preserve">SOLD </t>
        </r>
        <r>
          <rPr>
            <b/>
            <sz val="8.5"/>
            <color indexed="8"/>
            <rFont val="Calibri"/>
            <family val="2"/>
          </rPr>
          <t>» 127 PAX]_x000D_
_x000D_
[</t>
        </r>
        <r>
          <rPr>
            <b/>
            <sz val="8.5"/>
            <color indexed="21"/>
            <rFont val="Calibri"/>
            <family val="2"/>
          </rPr>
          <t xml:space="preserve">WEEKLY </t>
        </r>
        <r>
          <rPr>
            <b/>
            <sz val="8.5"/>
            <color indexed="8"/>
            <rFont val="Calibri"/>
            <family val="2"/>
          </rPr>
          <t>» 49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T5]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K1 &amp; T5 &amp; X10 &amp; U40 &amp; O20 &amp; I50 &amp; N1</t>
        </r>
      </text>
    </comment>
    <comment ref="E130" authorId="0" shapeId="0" xr:uid="{62315927-53BE-4B96-8915-12D6E0FC8546}">
      <text>
        <r>
          <rPr>
            <b/>
            <sz val="8.5"/>
            <color indexed="8"/>
            <rFont val="Calibri"/>
            <family val="2"/>
          </rPr>
          <t xml:space="preserve">-{ </t>
        </r>
        <r>
          <rPr>
            <b/>
            <sz val="10"/>
            <color indexed="10"/>
            <rFont val="Calibri"/>
            <family val="2"/>
          </rPr>
          <t>SM462</t>
        </r>
        <r>
          <rPr>
            <b/>
            <sz val="8.5"/>
            <color indexed="8"/>
            <rFont val="Calibri"/>
            <family val="2"/>
          </rPr>
          <t xml:space="preserve"> }-_x000D_
_x000D_
[</t>
        </r>
        <r>
          <rPr>
            <b/>
            <sz val="8.5"/>
            <color indexed="48"/>
            <rFont val="Calibri"/>
            <family val="2"/>
          </rPr>
          <t xml:space="preserve">LF </t>
        </r>
        <r>
          <rPr>
            <b/>
            <sz val="8.5"/>
            <color indexed="8"/>
            <rFont val="Calibri"/>
            <family val="2"/>
          </rPr>
          <t>» 75.6%] - [</t>
        </r>
        <r>
          <rPr>
            <b/>
            <sz val="8.5"/>
            <color indexed="48"/>
            <rFont val="Calibri"/>
            <family val="2"/>
          </rPr>
          <t xml:space="preserve">SOLD </t>
        </r>
        <r>
          <rPr>
            <b/>
            <sz val="8.5"/>
            <color indexed="8"/>
            <rFont val="Calibri"/>
            <family val="2"/>
          </rPr>
          <t>» 127 PAX]_x000D_
_x000D_
[</t>
        </r>
        <r>
          <rPr>
            <b/>
            <sz val="8.5"/>
            <color indexed="21"/>
            <rFont val="Calibri"/>
            <family val="2"/>
          </rPr>
          <t xml:space="preserve">WEEKLY </t>
        </r>
        <r>
          <rPr>
            <b/>
            <sz val="8.5"/>
            <color indexed="8"/>
            <rFont val="Calibri"/>
            <family val="2"/>
          </rPr>
          <t>» 49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T5]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K1 &amp; T5 &amp; X10 &amp; U40 &amp; O20 &amp; I50 &amp; N1</t>
        </r>
      </text>
    </comment>
    <comment ref="F130" authorId="0" shapeId="0" xr:uid="{8C1606E5-A86A-46C9-936E-F2BF4ECE1309}">
      <text>
        <r>
          <rPr>
            <b/>
            <sz val="8.5"/>
            <color indexed="8"/>
            <rFont val="Calibri"/>
            <family val="2"/>
          </rPr>
          <t xml:space="preserve">-{ </t>
        </r>
        <r>
          <rPr>
            <b/>
            <sz val="10"/>
            <color indexed="10"/>
            <rFont val="Calibri"/>
            <family val="2"/>
          </rPr>
          <t>SM462</t>
        </r>
        <r>
          <rPr>
            <b/>
            <sz val="8.5"/>
            <color indexed="8"/>
            <rFont val="Calibri"/>
            <family val="2"/>
          </rPr>
          <t xml:space="preserve"> }-_x000D_
_x000D_
[</t>
        </r>
        <r>
          <rPr>
            <b/>
            <sz val="8.5"/>
            <color indexed="48"/>
            <rFont val="Calibri"/>
            <family val="2"/>
          </rPr>
          <t xml:space="preserve">LF </t>
        </r>
        <r>
          <rPr>
            <b/>
            <sz val="8.5"/>
            <color indexed="8"/>
            <rFont val="Calibri"/>
            <family val="2"/>
          </rPr>
          <t>» 75.6%] - [</t>
        </r>
        <r>
          <rPr>
            <b/>
            <sz val="8.5"/>
            <color indexed="48"/>
            <rFont val="Calibri"/>
            <family val="2"/>
          </rPr>
          <t xml:space="preserve">SOLD </t>
        </r>
        <r>
          <rPr>
            <b/>
            <sz val="8.5"/>
            <color indexed="8"/>
            <rFont val="Calibri"/>
            <family val="2"/>
          </rPr>
          <t>» 127 PAX]_x000D_
_x000D_
[</t>
        </r>
        <r>
          <rPr>
            <b/>
            <sz val="8.5"/>
            <color indexed="21"/>
            <rFont val="Calibri"/>
            <family val="2"/>
          </rPr>
          <t xml:space="preserve">WEEKLY </t>
        </r>
        <r>
          <rPr>
            <b/>
            <sz val="8.5"/>
            <color indexed="8"/>
            <rFont val="Calibri"/>
            <family val="2"/>
          </rPr>
          <t>» 49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T5]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K1 &amp; T5 &amp; X10 &amp; U40 &amp; O20 &amp; I50 &amp; N1</t>
        </r>
      </text>
    </comment>
    <comment ref="G130" authorId="0" shapeId="0" xr:uid="{B1315F03-35C1-41A1-AD4C-51448723F7BD}">
      <text>
        <r>
          <rPr>
            <b/>
            <sz val="8.5"/>
            <color indexed="8"/>
            <rFont val="Calibri"/>
            <family val="2"/>
          </rPr>
          <t xml:space="preserve">-{ </t>
        </r>
        <r>
          <rPr>
            <b/>
            <sz val="10"/>
            <color indexed="10"/>
            <rFont val="Calibri"/>
            <family val="2"/>
          </rPr>
          <t>SM462</t>
        </r>
        <r>
          <rPr>
            <b/>
            <sz val="8.5"/>
            <color indexed="8"/>
            <rFont val="Calibri"/>
            <family val="2"/>
          </rPr>
          <t xml:space="preserve"> }-_x000D_
_x000D_
[</t>
        </r>
        <r>
          <rPr>
            <b/>
            <sz val="8.5"/>
            <color indexed="48"/>
            <rFont val="Calibri"/>
            <family val="2"/>
          </rPr>
          <t xml:space="preserve">LF </t>
        </r>
        <r>
          <rPr>
            <b/>
            <sz val="8.5"/>
            <color indexed="8"/>
            <rFont val="Calibri"/>
            <family val="2"/>
          </rPr>
          <t>» 75.6%] - [</t>
        </r>
        <r>
          <rPr>
            <b/>
            <sz val="8.5"/>
            <color indexed="48"/>
            <rFont val="Calibri"/>
            <family val="2"/>
          </rPr>
          <t xml:space="preserve">SOLD </t>
        </r>
        <r>
          <rPr>
            <b/>
            <sz val="8.5"/>
            <color indexed="8"/>
            <rFont val="Calibri"/>
            <family val="2"/>
          </rPr>
          <t>» 127 PAX]_x000D_
_x000D_
[</t>
        </r>
        <r>
          <rPr>
            <b/>
            <sz val="8.5"/>
            <color indexed="21"/>
            <rFont val="Calibri"/>
            <family val="2"/>
          </rPr>
          <t xml:space="preserve">WEEKLY </t>
        </r>
        <r>
          <rPr>
            <b/>
            <sz val="8.5"/>
            <color indexed="8"/>
            <rFont val="Calibri"/>
            <family val="2"/>
          </rPr>
          <t>» 49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T5]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K1 &amp; T5 &amp; X10 &amp; U40 &amp; O20 &amp; I50 &amp; N1</t>
        </r>
      </text>
    </comment>
    <comment ref="H130" authorId="0" shapeId="0" xr:uid="{0D86FFDA-B609-4D1F-97C8-6794F7B1994B}">
      <text>
        <r>
          <rPr>
            <b/>
            <sz val="8.5"/>
            <color indexed="8"/>
            <rFont val="Calibri"/>
            <family val="2"/>
          </rPr>
          <t xml:space="preserve">-{ </t>
        </r>
        <r>
          <rPr>
            <b/>
            <sz val="10"/>
            <color indexed="10"/>
            <rFont val="Calibri"/>
            <family val="2"/>
          </rPr>
          <t>SM462</t>
        </r>
        <r>
          <rPr>
            <b/>
            <sz val="8.5"/>
            <color indexed="8"/>
            <rFont val="Calibri"/>
            <family val="2"/>
          </rPr>
          <t xml:space="preserve"> }-_x000D_
_x000D_
[</t>
        </r>
        <r>
          <rPr>
            <b/>
            <sz val="8.5"/>
            <color indexed="48"/>
            <rFont val="Calibri"/>
            <family val="2"/>
          </rPr>
          <t xml:space="preserve">LF </t>
        </r>
        <r>
          <rPr>
            <b/>
            <sz val="8.5"/>
            <color indexed="8"/>
            <rFont val="Calibri"/>
            <family val="2"/>
          </rPr>
          <t>» 75.6%] - [</t>
        </r>
        <r>
          <rPr>
            <b/>
            <sz val="8.5"/>
            <color indexed="48"/>
            <rFont val="Calibri"/>
            <family val="2"/>
          </rPr>
          <t xml:space="preserve">SOLD </t>
        </r>
        <r>
          <rPr>
            <b/>
            <sz val="8.5"/>
            <color indexed="8"/>
            <rFont val="Calibri"/>
            <family val="2"/>
          </rPr>
          <t>» 127 PAX]_x000D_
_x000D_
[</t>
        </r>
        <r>
          <rPr>
            <b/>
            <sz val="8.5"/>
            <color indexed="21"/>
            <rFont val="Calibri"/>
            <family val="2"/>
          </rPr>
          <t xml:space="preserve">WEEKLY </t>
        </r>
        <r>
          <rPr>
            <b/>
            <sz val="8.5"/>
            <color indexed="8"/>
            <rFont val="Calibri"/>
            <family val="2"/>
          </rPr>
          <t>» 49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T5]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K1 &amp; T5 &amp; X10 &amp; U40 &amp; O20 &amp; I50 &amp; N1</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3" authorId="0" shapeId="0" xr:uid="{1CA4D689-3AF1-4550-AAAE-502A39640858}">
      <text>
        <r>
          <rPr>
            <b/>
            <sz val="8.5"/>
            <color indexed="8"/>
            <rFont val="Calibri"/>
            <family val="2"/>
          </rPr>
          <t xml:space="preserve">-{ </t>
        </r>
        <r>
          <rPr>
            <b/>
            <sz val="10"/>
            <color indexed="10"/>
            <rFont val="Calibri"/>
            <family val="2"/>
          </rPr>
          <t>SM462</t>
        </r>
        <r>
          <rPr>
            <b/>
            <sz val="8.5"/>
            <color indexed="8"/>
            <rFont val="Calibri"/>
            <family val="2"/>
          </rPr>
          <t xml:space="preserve"> }-_x000D_
_x000D_
[</t>
        </r>
        <r>
          <rPr>
            <b/>
            <sz val="8.5"/>
            <color indexed="48"/>
            <rFont val="Calibri"/>
            <family val="2"/>
          </rPr>
          <t xml:space="preserve">LF </t>
        </r>
        <r>
          <rPr>
            <b/>
            <sz val="8.5"/>
            <color indexed="8"/>
            <rFont val="Calibri"/>
            <family val="2"/>
          </rPr>
          <t>» 81.5%]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29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K4 &amp; G5 &amp; S20 &amp; W39 &amp; T10 &amp; X10 &amp; U9 &amp; O10 &amp; I30</t>
        </r>
      </text>
    </comment>
    <comment ref="B3" authorId="0" shapeId="0" xr:uid="{10DD097D-4E2C-44B7-820E-A73E0DCE9C65}">
      <text>
        <r>
          <rPr>
            <b/>
            <sz val="8.5"/>
            <color indexed="8"/>
            <rFont val="Calibri"/>
            <family val="2"/>
          </rPr>
          <t xml:space="preserve">-{ </t>
        </r>
        <r>
          <rPr>
            <b/>
            <sz val="10"/>
            <color indexed="10"/>
            <rFont val="Calibri"/>
            <family val="2"/>
          </rPr>
          <t>SM462</t>
        </r>
        <r>
          <rPr>
            <b/>
            <sz val="8.5"/>
            <color indexed="8"/>
            <rFont val="Calibri"/>
            <family val="2"/>
          </rPr>
          <t xml:space="preserve"> }-_x000D_
_x000D_
[</t>
        </r>
        <r>
          <rPr>
            <b/>
            <sz val="8.5"/>
            <color indexed="48"/>
            <rFont val="Calibri"/>
            <family val="2"/>
          </rPr>
          <t xml:space="preserve">LF </t>
        </r>
        <r>
          <rPr>
            <b/>
            <sz val="8.5"/>
            <color indexed="8"/>
            <rFont val="Calibri"/>
            <family val="2"/>
          </rPr>
          <t>» 81.5%]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29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K4 &amp; G5 &amp; S20 &amp; W39 &amp; T10 &amp; X10 &amp; U9 &amp; O10 &amp; I30</t>
        </r>
      </text>
    </comment>
    <comment ref="C3" authorId="0" shapeId="0" xr:uid="{DFA7D58B-D8B6-4ED8-A9D4-EF527E55C1B4}">
      <text>
        <r>
          <rPr>
            <b/>
            <sz val="8.5"/>
            <color indexed="8"/>
            <rFont val="Calibri"/>
            <family val="2"/>
          </rPr>
          <t xml:space="preserve">-{ </t>
        </r>
        <r>
          <rPr>
            <b/>
            <sz val="10"/>
            <color indexed="10"/>
            <rFont val="Calibri"/>
            <family val="2"/>
          </rPr>
          <t>SM462</t>
        </r>
        <r>
          <rPr>
            <b/>
            <sz val="8.5"/>
            <color indexed="8"/>
            <rFont val="Calibri"/>
            <family val="2"/>
          </rPr>
          <t xml:space="preserve"> }-_x000D_
_x000D_
[</t>
        </r>
        <r>
          <rPr>
            <b/>
            <sz val="8.5"/>
            <color indexed="48"/>
            <rFont val="Calibri"/>
            <family val="2"/>
          </rPr>
          <t xml:space="preserve">LF </t>
        </r>
        <r>
          <rPr>
            <b/>
            <sz val="8.5"/>
            <color indexed="8"/>
            <rFont val="Calibri"/>
            <family val="2"/>
          </rPr>
          <t>» 81.5%]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29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K4 &amp; G5 &amp; S20 &amp; W39 &amp; T10 &amp; X10 &amp; U9 &amp; O10 &amp; I30</t>
        </r>
      </text>
    </comment>
    <comment ref="D3" authorId="0" shapeId="0" xr:uid="{AF8D3C98-B608-4549-AA43-087D6DF4EAD6}">
      <text>
        <r>
          <rPr>
            <b/>
            <sz val="8.5"/>
            <color indexed="8"/>
            <rFont val="Calibri"/>
            <family val="2"/>
          </rPr>
          <t xml:space="preserve">-{ </t>
        </r>
        <r>
          <rPr>
            <b/>
            <sz val="10"/>
            <color indexed="10"/>
            <rFont val="Calibri"/>
            <family val="2"/>
          </rPr>
          <t>SM462</t>
        </r>
        <r>
          <rPr>
            <b/>
            <sz val="8.5"/>
            <color indexed="8"/>
            <rFont val="Calibri"/>
            <family val="2"/>
          </rPr>
          <t xml:space="preserve"> }-_x000D_
_x000D_
[</t>
        </r>
        <r>
          <rPr>
            <b/>
            <sz val="8.5"/>
            <color indexed="48"/>
            <rFont val="Calibri"/>
            <family val="2"/>
          </rPr>
          <t xml:space="preserve">LF </t>
        </r>
        <r>
          <rPr>
            <b/>
            <sz val="8.5"/>
            <color indexed="8"/>
            <rFont val="Calibri"/>
            <family val="2"/>
          </rPr>
          <t>» 81.5%]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29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K4 &amp; G5 &amp; S20 &amp; W39 &amp; T10 &amp; X10 &amp; U9 &amp; O10 &amp; I30</t>
        </r>
      </text>
    </comment>
    <comment ref="E3" authorId="0" shapeId="0" xr:uid="{926DB4D4-3760-44B8-BEFB-4A670F17EE5D}">
      <text>
        <r>
          <rPr>
            <b/>
            <sz val="8.5"/>
            <color indexed="8"/>
            <rFont val="Calibri"/>
            <family val="2"/>
          </rPr>
          <t xml:space="preserve">-{ </t>
        </r>
        <r>
          <rPr>
            <b/>
            <sz val="10"/>
            <color indexed="10"/>
            <rFont val="Calibri"/>
            <family val="2"/>
          </rPr>
          <t>SM462</t>
        </r>
        <r>
          <rPr>
            <b/>
            <sz val="8.5"/>
            <color indexed="8"/>
            <rFont val="Calibri"/>
            <family val="2"/>
          </rPr>
          <t xml:space="preserve"> }-_x000D_
_x000D_
[</t>
        </r>
        <r>
          <rPr>
            <b/>
            <sz val="8.5"/>
            <color indexed="48"/>
            <rFont val="Calibri"/>
            <family val="2"/>
          </rPr>
          <t xml:space="preserve">LF </t>
        </r>
        <r>
          <rPr>
            <b/>
            <sz val="8.5"/>
            <color indexed="8"/>
            <rFont val="Calibri"/>
            <family val="2"/>
          </rPr>
          <t>» 81.5%]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29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K4 &amp; G5 &amp; S20 &amp; W39 &amp; T10 &amp; X10 &amp; U9 &amp; O10 &amp; I30</t>
        </r>
      </text>
    </comment>
    <comment ref="F3" authorId="0" shapeId="0" xr:uid="{CBD7B3ED-A1D4-4532-86DC-0C96FA498507}">
      <text>
        <r>
          <rPr>
            <b/>
            <sz val="8.5"/>
            <color indexed="8"/>
            <rFont val="Calibri"/>
            <family val="2"/>
          </rPr>
          <t xml:space="preserve">-{ </t>
        </r>
        <r>
          <rPr>
            <b/>
            <sz val="10"/>
            <color indexed="10"/>
            <rFont val="Calibri"/>
            <family val="2"/>
          </rPr>
          <t>SM462</t>
        </r>
        <r>
          <rPr>
            <b/>
            <sz val="8.5"/>
            <color indexed="8"/>
            <rFont val="Calibri"/>
            <family val="2"/>
          </rPr>
          <t xml:space="preserve"> }-_x000D_
_x000D_
[</t>
        </r>
        <r>
          <rPr>
            <b/>
            <sz val="8.5"/>
            <color indexed="48"/>
            <rFont val="Calibri"/>
            <family val="2"/>
          </rPr>
          <t xml:space="preserve">LF </t>
        </r>
        <r>
          <rPr>
            <b/>
            <sz val="8.5"/>
            <color indexed="8"/>
            <rFont val="Calibri"/>
            <family val="2"/>
          </rPr>
          <t>» 81.5%]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29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K4 &amp; G5 &amp; S20 &amp; W39 &amp; T10 &amp; X10 &amp; U9 &amp; O10 &amp; I30</t>
        </r>
      </text>
    </comment>
    <comment ref="G3" authorId="0" shapeId="0" xr:uid="{7F8CA297-E8E8-4C32-8892-F341BC394133}">
      <text>
        <r>
          <rPr>
            <b/>
            <sz val="8.5"/>
            <color indexed="8"/>
            <rFont val="Calibri"/>
            <family val="2"/>
          </rPr>
          <t xml:space="preserve">-{ </t>
        </r>
        <r>
          <rPr>
            <b/>
            <sz val="10"/>
            <color indexed="10"/>
            <rFont val="Calibri"/>
            <family val="2"/>
          </rPr>
          <t>SM462</t>
        </r>
        <r>
          <rPr>
            <b/>
            <sz val="8.5"/>
            <color indexed="8"/>
            <rFont val="Calibri"/>
            <family val="2"/>
          </rPr>
          <t xml:space="preserve"> }-_x000D_
_x000D_
[</t>
        </r>
        <r>
          <rPr>
            <b/>
            <sz val="8.5"/>
            <color indexed="48"/>
            <rFont val="Calibri"/>
            <family val="2"/>
          </rPr>
          <t xml:space="preserve">LF </t>
        </r>
        <r>
          <rPr>
            <b/>
            <sz val="8.5"/>
            <color indexed="8"/>
            <rFont val="Calibri"/>
            <family val="2"/>
          </rPr>
          <t>» 81.5%]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29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K4 &amp; G5 &amp; S20 &amp; W39 &amp; T10 &amp; X10 &amp; U9 &amp; O10 &amp; I30</t>
        </r>
      </text>
    </comment>
    <comment ref="H3" authorId="0" shapeId="0" xr:uid="{6A4D69A4-793B-474A-AA29-EEEA01F02B3D}">
      <text>
        <r>
          <rPr>
            <b/>
            <sz val="8.5"/>
            <color indexed="8"/>
            <rFont val="Calibri"/>
            <family val="2"/>
          </rPr>
          <t xml:space="preserve">-{ </t>
        </r>
        <r>
          <rPr>
            <b/>
            <sz val="10"/>
            <color indexed="10"/>
            <rFont val="Calibri"/>
            <family val="2"/>
          </rPr>
          <t>SM462</t>
        </r>
        <r>
          <rPr>
            <b/>
            <sz val="8.5"/>
            <color indexed="8"/>
            <rFont val="Calibri"/>
            <family val="2"/>
          </rPr>
          <t xml:space="preserve"> }-_x000D_
_x000D_
[</t>
        </r>
        <r>
          <rPr>
            <b/>
            <sz val="8.5"/>
            <color indexed="48"/>
            <rFont val="Calibri"/>
            <family val="2"/>
          </rPr>
          <t xml:space="preserve">LF </t>
        </r>
        <r>
          <rPr>
            <b/>
            <sz val="8.5"/>
            <color indexed="8"/>
            <rFont val="Calibri"/>
            <family val="2"/>
          </rPr>
          <t>» 81.5%] - [</t>
        </r>
        <r>
          <rPr>
            <b/>
            <sz val="8.5"/>
            <color indexed="48"/>
            <rFont val="Calibri"/>
            <family val="2"/>
          </rPr>
          <t xml:space="preserve">SOLD </t>
        </r>
        <r>
          <rPr>
            <b/>
            <sz val="8.5"/>
            <color indexed="8"/>
            <rFont val="Calibri"/>
            <family val="2"/>
          </rPr>
          <t>» 137 PAX]_x000D_
_x000D_
[</t>
        </r>
        <r>
          <rPr>
            <b/>
            <sz val="8.5"/>
            <color indexed="21"/>
            <rFont val="Calibri"/>
            <family val="2"/>
          </rPr>
          <t xml:space="preserve">WEEKLY </t>
        </r>
        <r>
          <rPr>
            <b/>
            <sz val="8.5"/>
            <color indexed="8"/>
            <rFont val="Calibri"/>
            <family val="2"/>
          </rPr>
          <t>» 29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K4 &amp; G5 &amp; S20 &amp; W39 &amp; T10 &amp; X10 &amp; U9 &amp; O10 &amp; I30</t>
        </r>
      </text>
    </comment>
    <comment ref="A4" authorId="0" shapeId="0" xr:uid="{D9378194-C881-4F89-82FD-3065DA86BEDB}">
      <text>
        <r>
          <rPr>
            <b/>
            <sz val="8.5"/>
            <color indexed="8"/>
            <rFont val="Calibri"/>
            <family val="2"/>
          </rPr>
          <t xml:space="preserve">-{ </t>
        </r>
        <r>
          <rPr>
            <b/>
            <sz val="10"/>
            <color indexed="10"/>
            <rFont val="Calibri"/>
            <family val="2"/>
          </rPr>
          <t>SM470</t>
        </r>
        <r>
          <rPr>
            <b/>
            <sz val="8.5"/>
            <color indexed="8"/>
            <rFont val="Calibri"/>
            <family val="2"/>
          </rPr>
          <t xml:space="preserve"> }-_x000D_
_x000D_
[</t>
        </r>
        <r>
          <rPr>
            <b/>
            <sz val="8.5"/>
            <color indexed="48"/>
            <rFont val="Calibri"/>
            <family val="2"/>
          </rPr>
          <t xml:space="preserve">LF </t>
        </r>
        <r>
          <rPr>
            <b/>
            <sz val="8.5"/>
            <color indexed="8"/>
            <rFont val="Calibri"/>
            <family val="2"/>
          </rPr>
          <t>» 78.0%] - [</t>
        </r>
        <r>
          <rPr>
            <b/>
            <sz val="8.5"/>
            <color indexed="48"/>
            <rFont val="Calibri"/>
            <family val="2"/>
          </rPr>
          <t xml:space="preserve">SOLD </t>
        </r>
        <r>
          <rPr>
            <b/>
            <sz val="8.5"/>
            <color indexed="8"/>
            <rFont val="Calibri"/>
            <family val="2"/>
          </rPr>
          <t>» 131 PAX]_x000D_
_x000D_
[</t>
        </r>
        <r>
          <rPr>
            <b/>
            <sz val="8.5"/>
            <color indexed="21"/>
            <rFont val="Calibri"/>
            <family val="2"/>
          </rPr>
          <t xml:space="preserve">WEEKLY </t>
        </r>
        <r>
          <rPr>
            <b/>
            <sz val="8.5"/>
            <color indexed="8"/>
            <rFont val="Calibri"/>
            <family val="2"/>
          </rPr>
          <t>» 49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S20 &amp; W15 &amp; T60 &amp; X35</t>
        </r>
      </text>
    </comment>
    <comment ref="B4" authorId="0" shapeId="0" xr:uid="{2845FC96-D685-48F2-B205-E820A0442B1F}">
      <text>
        <r>
          <rPr>
            <b/>
            <sz val="8.5"/>
            <color indexed="8"/>
            <rFont val="Calibri"/>
            <family val="2"/>
          </rPr>
          <t xml:space="preserve">-{ </t>
        </r>
        <r>
          <rPr>
            <b/>
            <sz val="10"/>
            <color indexed="10"/>
            <rFont val="Calibri"/>
            <family val="2"/>
          </rPr>
          <t>SM470</t>
        </r>
        <r>
          <rPr>
            <b/>
            <sz val="8.5"/>
            <color indexed="8"/>
            <rFont val="Calibri"/>
            <family val="2"/>
          </rPr>
          <t xml:space="preserve"> }-_x000D_
_x000D_
[</t>
        </r>
        <r>
          <rPr>
            <b/>
            <sz val="8.5"/>
            <color indexed="48"/>
            <rFont val="Calibri"/>
            <family val="2"/>
          </rPr>
          <t xml:space="preserve">LF </t>
        </r>
        <r>
          <rPr>
            <b/>
            <sz val="8.5"/>
            <color indexed="8"/>
            <rFont val="Calibri"/>
            <family val="2"/>
          </rPr>
          <t>» 78.0%] - [</t>
        </r>
        <r>
          <rPr>
            <b/>
            <sz val="8.5"/>
            <color indexed="48"/>
            <rFont val="Calibri"/>
            <family val="2"/>
          </rPr>
          <t xml:space="preserve">SOLD </t>
        </r>
        <r>
          <rPr>
            <b/>
            <sz val="8.5"/>
            <color indexed="8"/>
            <rFont val="Calibri"/>
            <family val="2"/>
          </rPr>
          <t>» 131 PAX]_x000D_
_x000D_
[</t>
        </r>
        <r>
          <rPr>
            <b/>
            <sz val="8.5"/>
            <color indexed="21"/>
            <rFont val="Calibri"/>
            <family val="2"/>
          </rPr>
          <t xml:space="preserve">WEEKLY </t>
        </r>
        <r>
          <rPr>
            <b/>
            <sz val="8.5"/>
            <color indexed="8"/>
            <rFont val="Calibri"/>
            <family val="2"/>
          </rPr>
          <t>» 49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S20 &amp; W15 &amp; T60 &amp; X35</t>
        </r>
      </text>
    </comment>
    <comment ref="C4" authorId="0" shapeId="0" xr:uid="{C7041ED3-6BC4-4139-8D43-CD1180B4E24B}">
      <text>
        <r>
          <rPr>
            <b/>
            <sz val="8.5"/>
            <color indexed="8"/>
            <rFont val="Calibri"/>
            <family val="2"/>
          </rPr>
          <t xml:space="preserve">-{ </t>
        </r>
        <r>
          <rPr>
            <b/>
            <sz val="10"/>
            <color indexed="10"/>
            <rFont val="Calibri"/>
            <family val="2"/>
          </rPr>
          <t>SM470</t>
        </r>
        <r>
          <rPr>
            <b/>
            <sz val="8.5"/>
            <color indexed="8"/>
            <rFont val="Calibri"/>
            <family val="2"/>
          </rPr>
          <t xml:space="preserve"> }-_x000D_
_x000D_
[</t>
        </r>
        <r>
          <rPr>
            <b/>
            <sz val="8.5"/>
            <color indexed="48"/>
            <rFont val="Calibri"/>
            <family val="2"/>
          </rPr>
          <t xml:space="preserve">LF </t>
        </r>
        <r>
          <rPr>
            <b/>
            <sz val="8.5"/>
            <color indexed="8"/>
            <rFont val="Calibri"/>
            <family val="2"/>
          </rPr>
          <t>» 78.0%] - [</t>
        </r>
        <r>
          <rPr>
            <b/>
            <sz val="8.5"/>
            <color indexed="48"/>
            <rFont val="Calibri"/>
            <family val="2"/>
          </rPr>
          <t xml:space="preserve">SOLD </t>
        </r>
        <r>
          <rPr>
            <b/>
            <sz val="8.5"/>
            <color indexed="8"/>
            <rFont val="Calibri"/>
            <family val="2"/>
          </rPr>
          <t>» 131 PAX]_x000D_
_x000D_
[</t>
        </r>
        <r>
          <rPr>
            <b/>
            <sz val="8.5"/>
            <color indexed="21"/>
            <rFont val="Calibri"/>
            <family val="2"/>
          </rPr>
          <t xml:space="preserve">WEEKLY </t>
        </r>
        <r>
          <rPr>
            <b/>
            <sz val="8.5"/>
            <color indexed="8"/>
            <rFont val="Calibri"/>
            <family val="2"/>
          </rPr>
          <t>» 49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S20 &amp; W15 &amp; T60 &amp; X35</t>
        </r>
      </text>
    </comment>
    <comment ref="D4" authorId="0" shapeId="0" xr:uid="{FF0226EE-2AA7-4718-82FD-6189838692A4}">
      <text>
        <r>
          <rPr>
            <b/>
            <sz val="8.5"/>
            <color indexed="8"/>
            <rFont val="Calibri"/>
            <family val="2"/>
          </rPr>
          <t xml:space="preserve">-{ </t>
        </r>
        <r>
          <rPr>
            <b/>
            <sz val="10"/>
            <color indexed="10"/>
            <rFont val="Calibri"/>
            <family val="2"/>
          </rPr>
          <t>SM470</t>
        </r>
        <r>
          <rPr>
            <b/>
            <sz val="8.5"/>
            <color indexed="8"/>
            <rFont val="Calibri"/>
            <family val="2"/>
          </rPr>
          <t xml:space="preserve"> }-_x000D_
_x000D_
[</t>
        </r>
        <r>
          <rPr>
            <b/>
            <sz val="8.5"/>
            <color indexed="48"/>
            <rFont val="Calibri"/>
            <family val="2"/>
          </rPr>
          <t xml:space="preserve">LF </t>
        </r>
        <r>
          <rPr>
            <b/>
            <sz val="8.5"/>
            <color indexed="8"/>
            <rFont val="Calibri"/>
            <family val="2"/>
          </rPr>
          <t>» 78.0%] - [</t>
        </r>
        <r>
          <rPr>
            <b/>
            <sz val="8.5"/>
            <color indexed="48"/>
            <rFont val="Calibri"/>
            <family val="2"/>
          </rPr>
          <t xml:space="preserve">SOLD </t>
        </r>
        <r>
          <rPr>
            <b/>
            <sz val="8.5"/>
            <color indexed="8"/>
            <rFont val="Calibri"/>
            <family val="2"/>
          </rPr>
          <t>» 131 PAX]_x000D_
_x000D_
[</t>
        </r>
        <r>
          <rPr>
            <b/>
            <sz val="8.5"/>
            <color indexed="21"/>
            <rFont val="Calibri"/>
            <family val="2"/>
          </rPr>
          <t xml:space="preserve">WEEKLY </t>
        </r>
        <r>
          <rPr>
            <b/>
            <sz val="8.5"/>
            <color indexed="8"/>
            <rFont val="Calibri"/>
            <family val="2"/>
          </rPr>
          <t>» 49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S20 &amp; W15 &amp; T60 &amp; X35</t>
        </r>
      </text>
    </comment>
    <comment ref="E4" authorId="0" shapeId="0" xr:uid="{49AC98C5-1E1D-47BC-B3FA-7EC1784E43FF}">
      <text>
        <r>
          <rPr>
            <b/>
            <sz val="8.5"/>
            <color indexed="8"/>
            <rFont val="Calibri"/>
            <family val="2"/>
          </rPr>
          <t xml:space="preserve">-{ </t>
        </r>
        <r>
          <rPr>
            <b/>
            <sz val="10"/>
            <color indexed="10"/>
            <rFont val="Calibri"/>
            <family val="2"/>
          </rPr>
          <t>SM470</t>
        </r>
        <r>
          <rPr>
            <b/>
            <sz val="8.5"/>
            <color indexed="8"/>
            <rFont val="Calibri"/>
            <family val="2"/>
          </rPr>
          <t xml:space="preserve"> }-_x000D_
_x000D_
[</t>
        </r>
        <r>
          <rPr>
            <b/>
            <sz val="8.5"/>
            <color indexed="48"/>
            <rFont val="Calibri"/>
            <family val="2"/>
          </rPr>
          <t xml:space="preserve">LF </t>
        </r>
        <r>
          <rPr>
            <b/>
            <sz val="8.5"/>
            <color indexed="8"/>
            <rFont val="Calibri"/>
            <family val="2"/>
          </rPr>
          <t>» 78.0%] - [</t>
        </r>
        <r>
          <rPr>
            <b/>
            <sz val="8.5"/>
            <color indexed="48"/>
            <rFont val="Calibri"/>
            <family val="2"/>
          </rPr>
          <t xml:space="preserve">SOLD </t>
        </r>
        <r>
          <rPr>
            <b/>
            <sz val="8.5"/>
            <color indexed="8"/>
            <rFont val="Calibri"/>
            <family val="2"/>
          </rPr>
          <t>» 131 PAX]_x000D_
_x000D_
[</t>
        </r>
        <r>
          <rPr>
            <b/>
            <sz val="8.5"/>
            <color indexed="21"/>
            <rFont val="Calibri"/>
            <family val="2"/>
          </rPr>
          <t xml:space="preserve">WEEKLY </t>
        </r>
        <r>
          <rPr>
            <b/>
            <sz val="8.5"/>
            <color indexed="8"/>
            <rFont val="Calibri"/>
            <family val="2"/>
          </rPr>
          <t>» 49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S20 &amp; W15 &amp; T60 &amp; X35</t>
        </r>
      </text>
    </comment>
    <comment ref="F4" authorId="0" shapeId="0" xr:uid="{B1F10794-15FF-4DD6-A412-B0CFB972C558}">
      <text>
        <r>
          <rPr>
            <b/>
            <sz val="8.5"/>
            <color indexed="8"/>
            <rFont val="Calibri"/>
            <family val="2"/>
          </rPr>
          <t xml:space="preserve">-{ </t>
        </r>
        <r>
          <rPr>
            <b/>
            <sz val="10"/>
            <color indexed="10"/>
            <rFont val="Calibri"/>
            <family val="2"/>
          </rPr>
          <t>SM470</t>
        </r>
        <r>
          <rPr>
            <b/>
            <sz val="8.5"/>
            <color indexed="8"/>
            <rFont val="Calibri"/>
            <family val="2"/>
          </rPr>
          <t xml:space="preserve"> }-_x000D_
_x000D_
[</t>
        </r>
        <r>
          <rPr>
            <b/>
            <sz val="8.5"/>
            <color indexed="48"/>
            <rFont val="Calibri"/>
            <family val="2"/>
          </rPr>
          <t xml:space="preserve">LF </t>
        </r>
        <r>
          <rPr>
            <b/>
            <sz val="8.5"/>
            <color indexed="8"/>
            <rFont val="Calibri"/>
            <family val="2"/>
          </rPr>
          <t>» 78.0%] - [</t>
        </r>
        <r>
          <rPr>
            <b/>
            <sz val="8.5"/>
            <color indexed="48"/>
            <rFont val="Calibri"/>
            <family val="2"/>
          </rPr>
          <t xml:space="preserve">SOLD </t>
        </r>
        <r>
          <rPr>
            <b/>
            <sz val="8.5"/>
            <color indexed="8"/>
            <rFont val="Calibri"/>
            <family val="2"/>
          </rPr>
          <t>» 131 PAX]_x000D_
_x000D_
[</t>
        </r>
        <r>
          <rPr>
            <b/>
            <sz val="8.5"/>
            <color indexed="21"/>
            <rFont val="Calibri"/>
            <family val="2"/>
          </rPr>
          <t xml:space="preserve">WEEKLY </t>
        </r>
        <r>
          <rPr>
            <b/>
            <sz val="8.5"/>
            <color indexed="8"/>
            <rFont val="Calibri"/>
            <family val="2"/>
          </rPr>
          <t>» 49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S20 &amp; W15 &amp; T60 &amp; X35</t>
        </r>
      </text>
    </comment>
    <comment ref="G4" authorId="0" shapeId="0" xr:uid="{7BDE8C03-0AF0-406D-BD20-C449DFBEA151}">
      <text>
        <r>
          <rPr>
            <b/>
            <sz val="8.5"/>
            <color indexed="8"/>
            <rFont val="Calibri"/>
            <family val="2"/>
          </rPr>
          <t xml:space="preserve">-{ </t>
        </r>
        <r>
          <rPr>
            <b/>
            <sz val="10"/>
            <color indexed="10"/>
            <rFont val="Calibri"/>
            <family val="2"/>
          </rPr>
          <t>SM470</t>
        </r>
        <r>
          <rPr>
            <b/>
            <sz val="8.5"/>
            <color indexed="8"/>
            <rFont val="Calibri"/>
            <family val="2"/>
          </rPr>
          <t xml:space="preserve"> }-_x000D_
_x000D_
[</t>
        </r>
        <r>
          <rPr>
            <b/>
            <sz val="8.5"/>
            <color indexed="48"/>
            <rFont val="Calibri"/>
            <family val="2"/>
          </rPr>
          <t xml:space="preserve">LF </t>
        </r>
        <r>
          <rPr>
            <b/>
            <sz val="8.5"/>
            <color indexed="8"/>
            <rFont val="Calibri"/>
            <family val="2"/>
          </rPr>
          <t>» 78.0%] - [</t>
        </r>
        <r>
          <rPr>
            <b/>
            <sz val="8.5"/>
            <color indexed="48"/>
            <rFont val="Calibri"/>
            <family val="2"/>
          </rPr>
          <t xml:space="preserve">SOLD </t>
        </r>
        <r>
          <rPr>
            <b/>
            <sz val="8.5"/>
            <color indexed="8"/>
            <rFont val="Calibri"/>
            <family val="2"/>
          </rPr>
          <t>» 131 PAX]_x000D_
_x000D_
[</t>
        </r>
        <r>
          <rPr>
            <b/>
            <sz val="8.5"/>
            <color indexed="21"/>
            <rFont val="Calibri"/>
            <family val="2"/>
          </rPr>
          <t xml:space="preserve">WEEKLY </t>
        </r>
        <r>
          <rPr>
            <b/>
            <sz val="8.5"/>
            <color indexed="8"/>
            <rFont val="Calibri"/>
            <family val="2"/>
          </rPr>
          <t>» 49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S20 &amp; W15 &amp; T60 &amp; X35</t>
        </r>
      </text>
    </comment>
    <comment ref="H4" authorId="0" shapeId="0" xr:uid="{87718C79-8AE2-41A0-8E2F-0F79026E34B1}">
      <text>
        <r>
          <rPr>
            <b/>
            <sz val="8.5"/>
            <color indexed="8"/>
            <rFont val="Calibri"/>
            <family val="2"/>
          </rPr>
          <t xml:space="preserve">-{ </t>
        </r>
        <r>
          <rPr>
            <b/>
            <sz val="10"/>
            <color indexed="10"/>
            <rFont val="Calibri"/>
            <family val="2"/>
          </rPr>
          <t>SM470</t>
        </r>
        <r>
          <rPr>
            <b/>
            <sz val="8.5"/>
            <color indexed="8"/>
            <rFont val="Calibri"/>
            <family val="2"/>
          </rPr>
          <t xml:space="preserve"> }-_x000D_
_x000D_
[</t>
        </r>
        <r>
          <rPr>
            <b/>
            <sz val="8.5"/>
            <color indexed="48"/>
            <rFont val="Calibri"/>
            <family val="2"/>
          </rPr>
          <t xml:space="preserve">LF </t>
        </r>
        <r>
          <rPr>
            <b/>
            <sz val="8.5"/>
            <color indexed="8"/>
            <rFont val="Calibri"/>
            <family val="2"/>
          </rPr>
          <t>» 78.0%] - [</t>
        </r>
        <r>
          <rPr>
            <b/>
            <sz val="8.5"/>
            <color indexed="48"/>
            <rFont val="Calibri"/>
            <family val="2"/>
          </rPr>
          <t xml:space="preserve">SOLD </t>
        </r>
        <r>
          <rPr>
            <b/>
            <sz val="8.5"/>
            <color indexed="8"/>
            <rFont val="Calibri"/>
            <family val="2"/>
          </rPr>
          <t>» 131 PAX]_x000D_
_x000D_
[</t>
        </r>
        <r>
          <rPr>
            <b/>
            <sz val="8.5"/>
            <color indexed="21"/>
            <rFont val="Calibri"/>
            <family val="2"/>
          </rPr>
          <t xml:space="preserve">WEEKLY </t>
        </r>
        <r>
          <rPr>
            <b/>
            <sz val="8.5"/>
            <color indexed="8"/>
            <rFont val="Calibri"/>
            <family val="2"/>
          </rPr>
          <t>» 49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G9]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S20 &amp; W15 &amp; T60 &amp; X35</t>
        </r>
      </text>
    </comment>
    <comment ref="A12" authorId="0" shapeId="0" xr:uid="{95242BB7-6B03-49A6-9C8C-A7AFD98C4F8D}">
      <text>
        <r>
          <rPr>
            <b/>
            <sz val="8.5"/>
            <color indexed="8"/>
            <rFont val="Calibri"/>
            <family val="2"/>
          </rPr>
          <t xml:space="preserve">-{ </t>
        </r>
        <r>
          <rPr>
            <b/>
            <sz val="10"/>
            <color indexed="10"/>
            <rFont val="Calibri"/>
            <family val="2"/>
          </rPr>
          <t>SM462</t>
        </r>
        <r>
          <rPr>
            <b/>
            <sz val="8.5"/>
            <color indexed="8"/>
            <rFont val="Calibri"/>
            <family val="2"/>
          </rPr>
          <t xml:space="preserve"> }-_x000D_
_x000D_
[</t>
        </r>
        <r>
          <rPr>
            <b/>
            <sz val="8.5"/>
            <color indexed="48"/>
            <rFont val="Calibri"/>
            <family val="2"/>
          </rPr>
          <t xml:space="preserve">LF </t>
        </r>
        <r>
          <rPr>
            <b/>
            <sz val="8.5"/>
            <color indexed="8"/>
            <rFont val="Calibri"/>
            <family val="2"/>
          </rPr>
          <t>» 70.8%] - [</t>
        </r>
        <r>
          <rPr>
            <b/>
            <sz val="8.5"/>
            <color indexed="48"/>
            <rFont val="Calibri"/>
            <family val="2"/>
          </rPr>
          <t xml:space="preserve">SOLD </t>
        </r>
        <r>
          <rPr>
            <b/>
            <sz val="8.5"/>
            <color indexed="8"/>
            <rFont val="Calibri"/>
            <family val="2"/>
          </rPr>
          <t>» 119 PAX]_x000D_
_x000D_
[</t>
        </r>
        <r>
          <rPr>
            <b/>
            <sz val="8.5"/>
            <color indexed="21"/>
            <rFont val="Calibri"/>
            <family val="2"/>
          </rPr>
          <t xml:space="preserve">WEEKLY </t>
        </r>
        <r>
          <rPr>
            <b/>
            <sz val="8.5"/>
            <color indexed="8"/>
            <rFont val="Calibri"/>
            <family val="2"/>
          </rPr>
          <t>» 30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25]_x000D_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K2 &amp; W2 &amp; T13 &amp; X68 &amp; U5 &amp; O24 &amp; I5</t>
        </r>
      </text>
    </comment>
    <comment ref="B12" authorId="0" shapeId="0" xr:uid="{2BA20735-18DE-456D-BDEC-8A68F2CD37A3}">
      <text>
        <r>
          <rPr>
            <b/>
            <sz val="8.5"/>
            <color indexed="8"/>
            <rFont val="Calibri"/>
            <family val="2"/>
          </rPr>
          <t xml:space="preserve">-{ </t>
        </r>
        <r>
          <rPr>
            <b/>
            <sz val="10"/>
            <color indexed="10"/>
            <rFont val="Calibri"/>
            <family val="2"/>
          </rPr>
          <t>SM462</t>
        </r>
        <r>
          <rPr>
            <b/>
            <sz val="8.5"/>
            <color indexed="8"/>
            <rFont val="Calibri"/>
            <family val="2"/>
          </rPr>
          <t xml:space="preserve"> }-_x000D_
_x000D_
[</t>
        </r>
        <r>
          <rPr>
            <b/>
            <sz val="8.5"/>
            <color indexed="48"/>
            <rFont val="Calibri"/>
            <family val="2"/>
          </rPr>
          <t xml:space="preserve">LF </t>
        </r>
        <r>
          <rPr>
            <b/>
            <sz val="8.5"/>
            <color indexed="8"/>
            <rFont val="Calibri"/>
            <family val="2"/>
          </rPr>
          <t>» 70.8%] - [</t>
        </r>
        <r>
          <rPr>
            <b/>
            <sz val="8.5"/>
            <color indexed="48"/>
            <rFont val="Calibri"/>
            <family val="2"/>
          </rPr>
          <t xml:space="preserve">SOLD </t>
        </r>
        <r>
          <rPr>
            <b/>
            <sz val="8.5"/>
            <color indexed="8"/>
            <rFont val="Calibri"/>
            <family val="2"/>
          </rPr>
          <t>» 119 PAX]_x000D_
_x000D_
[</t>
        </r>
        <r>
          <rPr>
            <b/>
            <sz val="8.5"/>
            <color indexed="21"/>
            <rFont val="Calibri"/>
            <family val="2"/>
          </rPr>
          <t xml:space="preserve">WEEKLY </t>
        </r>
        <r>
          <rPr>
            <b/>
            <sz val="8.5"/>
            <color indexed="8"/>
            <rFont val="Calibri"/>
            <family val="2"/>
          </rPr>
          <t>» 30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25]_x000D_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K2 &amp; W2 &amp; T13 &amp; X68 &amp; U5 &amp; O24 &amp; I5</t>
        </r>
      </text>
    </comment>
    <comment ref="C12" authorId="0" shapeId="0" xr:uid="{24B04997-2C47-4EF5-A4A0-B0F8F6082F1A}">
      <text>
        <r>
          <rPr>
            <b/>
            <sz val="8.5"/>
            <color indexed="8"/>
            <rFont val="Calibri"/>
            <family val="2"/>
          </rPr>
          <t xml:space="preserve">-{ </t>
        </r>
        <r>
          <rPr>
            <b/>
            <sz val="10"/>
            <color indexed="10"/>
            <rFont val="Calibri"/>
            <family val="2"/>
          </rPr>
          <t>SM462</t>
        </r>
        <r>
          <rPr>
            <b/>
            <sz val="8.5"/>
            <color indexed="8"/>
            <rFont val="Calibri"/>
            <family val="2"/>
          </rPr>
          <t xml:space="preserve"> }-_x000D_
_x000D_
[</t>
        </r>
        <r>
          <rPr>
            <b/>
            <sz val="8.5"/>
            <color indexed="48"/>
            <rFont val="Calibri"/>
            <family val="2"/>
          </rPr>
          <t xml:space="preserve">LF </t>
        </r>
        <r>
          <rPr>
            <b/>
            <sz val="8.5"/>
            <color indexed="8"/>
            <rFont val="Calibri"/>
            <family val="2"/>
          </rPr>
          <t>» 70.8%] - [</t>
        </r>
        <r>
          <rPr>
            <b/>
            <sz val="8.5"/>
            <color indexed="48"/>
            <rFont val="Calibri"/>
            <family val="2"/>
          </rPr>
          <t xml:space="preserve">SOLD </t>
        </r>
        <r>
          <rPr>
            <b/>
            <sz val="8.5"/>
            <color indexed="8"/>
            <rFont val="Calibri"/>
            <family val="2"/>
          </rPr>
          <t>» 119 PAX]_x000D_
_x000D_
[</t>
        </r>
        <r>
          <rPr>
            <b/>
            <sz val="8.5"/>
            <color indexed="21"/>
            <rFont val="Calibri"/>
            <family val="2"/>
          </rPr>
          <t xml:space="preserve">WEEKLY </t>
        </r>
        <r>
          <rPr>
            <b/>
            <sz val="8.5"/>
            <color indexed="8"/>
            <rFont val="Calibri"/>
            <family val="2"/>
          </rPr>
          <t>» 30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25]_x000D_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K2 &amp; W2 &amp; T13 &amp; X68 &amp; U5 &amp; O24 &amp; I5</t>
        </r>
      </text>
    </comment>
    <comment ref="D12" authorId="0" shapeId="0" xr:uid="{032EF9BC-65DA-4D52-93E9-BB6BD24B8CDD}">
      <text>
        <r>
          <rPr>
            <b/>
            <sz val="8.5"/>
            <color indexed="8"/>
            <rFont val="Calibri"/>
            <family val="2"/>
          </rPr>
          <t xml:space="preserve">-{ </t>
        </r>
        <r>
          <rPr>
            <b/>
            <sz val="10"/>
            <color indexed="10"/>
            <rFont val="Calibri"/>
            <family val="2"/>
          </rPr>
          <t>SM462</t>
        </r>
        <r>
          <rPr>
            <b/>
            <sz val="8.5"/>
            <color indexed="8"/>
            <rFont val="Calibri"/>
            <family val="2"/>
          </rPr>
          <t xml:space="preserve"> }-_x000D_
_x000D_
[</t>
        </r>
        <r>
          <rPr>
            <b/>
            <sz val="8.5"/>
            <color indexed="48"/>
            <rFont val="Calibri"/>
            <family val="2"/>
          </rPr>
          <t xml:space="preserve">LF </t>
        </r>
        <r>
          <rPr>
            <b/>
            <sz val="8.5"/>
            <color indexed="8"/>
            <rFont val="Calibri"/>
            <family val="2"/>
          </rPr>
          <t>» 70.8%] - [</t>
        </r>
        <r>
          <rPr>
            <b/>
            <sz val="8.5"/>
            <color indexed="48"/>
            <rFont val="Calibri"/>
            <family val="2"/>
          </rPr>
          <t xml:space="preserve">SOLD </t>
        </r>
        <r>
          <rPr>
            <b/>
            <sz val="8.5"/>
            <color indexed="8"/>
            <rFont val="Calibri"/>
            <family val="2"/>
          </rPr>
          <t>» 119 PAX]_x000D_
_x000D_
[</t>
        </r>
        <r>
          <rPr>
            <b/>
            <sz val="8.5"/>
            <color indexed="21"/>
            <rFont val="Calibri"/>
            <family val="2"/>
          </rPr>
          <t xml:space="preserve">WEEKLY </t>
        </r>
        <r>
          <rPr>
            <b/>
            <sz val="8.5"/>
            <color indexed="8"/>
            <rFont val="Calibri"/>
            <family val="2"/>
          </rPr>
          <t>» 30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25]_x000D_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K2 &amp; W2 &amp; T13 &amp; X68 &amp; U5 &amp; O24 &amp; I5</t>
        </r>
      </text>
    </comment>
    <comment ref="E12" authorId="0" shapeId="0" xr:uid="{43361F4A-638F-4DC4-B4AF-717AB15C9CC9}">
      <text>
        <r>
          <rPr>
            <b/>
            <sz val="8.5"/>
            <color indexed="8"/>
            <rFont val="Calibri"/>
            <family val="2"/>
          </rPr>
          <t xml:space="preserve">-{ </t>
        </r>
        <r>
          <rPr>
            <b/>
            <sz val="10"/>
            <color indexed="10"/>
            <rFont val="Calibri"/>
            <family val="2"/>
          </rPr>
          <t>SM462</t>
        </r>
        <r>
          <rPr>
            <b/>
            <sz val="8.5"/>
            <color indexed="8"/>
            <rFont val="Calibri"/>
            <family val="2"/>
          </rPr>
          <t xml:space="preserve"> }-_x000D_
_x000D_
[</t>
        </r>
        <r>
          <rPr>
            <b/>
            <sz val="8.5"/>
            <color indexed="48"/>
            <rFont val="Calibri"/>
            <family val="2"/>
          </rPr>
          <t xml:space="preserve">LF </t>
        </r>
        <r>
          <rPr>
            <b/>
            <sz val="8.5"/>
            <color indexed="8"/>
            <rFont val="Calibri"/>
            <family val="2"/>
          </rPr>
          <t>» 70.8%] - [</t>
        </r>
        <r>
          <rPr>
            <b/>
            <sz val="8.5"/>
            <color indexed="48"/>
            <rFont val="Calibri"/>
            <family val="2"/>
          </rPr>
          <t xml:space="preserve">SOLD </t>
        </r>
        <r>
          <rPr>
            <b/>
            <sz val="8.5"/>
            <color indexed="8"/>
            <rFont val="Calibri"/>
            <family val="2"/>
          </rPr>
          <t>» 119 PAX]_x000D_
_x000D_
[</t>
        </r>
        <r>
          <rPr>
            <b/>
            <sz val="8.5"/>
            <color indexed="21"/>
            <rFont val="Calibri"/>
            <family val="2"/>
          </rPr>
          <t xml:space="preserve">WEEKLY </t>
        </r>
        <r>
          <rPr>
            <b/>
            <sz val="8.5"/>
            <color indexed="8"/>
            <rFont val="Calibri"/>
            <family val="2"/>
          </rPr>
          <t>» 30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25]_x000D_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K2 &amp; W2 &amp; T13 &amp; X68 &amp; U5 &amp; O24 &amp; I5</t>
        </r>
      </text>
    </comment>
    <comment ref="F12" authorId="0" shapeId="0" xr:uid="{34D29450-7AC1-415C-8005-192C9B5C3F17}">
      <text>
        <r>
          <rPr>
            <b/>
            <sz val="8.5"/>
            <color indexed="8"/>
            <rFont val="Calibri"/>
            <family val="2"/>
          </rPr>
          <t xml:space="preserve">-{ </t>
        </r>
        <r>
          <rPr>
            <b/>
            <sz val="10"/>
            <color indexed="10"/>
            <rFont val="Calibri"/>
            <family val="2"/>
          </rPr>
          <t>SM462</t>
        </r>
        <r>
          <rPr>
            <b/>
            <sz val="8.5"/>
            <color indexed="8"/>
            <rFont val="Calibri"/>
            <family val="2"/>
          </rPr>
          <t xml:space="preserve"> }-_x000D_
_x000D_
[</t>
        </r>
        <r>
          <rPr>
            <b/>
            <sz val="8.5"/>
            <color indexed="48"/>
            <rFont val="Calibri"/>
            <family val="2"/>
          </rPr>
          <t xml:space="preserve">LF </t>
        </r>
        <r>
          <rPr>
            <b/>
            <sz val="8.5"/>
            <color indexed="8"/>
            <rFont val="Calibri"/>
            <family val="2"/>
          </rPr>
          <t>» 70.8%] - [</t>
        </r>
        <r>
          <rPr>
            <b/>
            <sz val="8.5"/>
            <color indexed="48"/>
            <rFont val="Calibri"/>
            <family val="2"/>
          </rPr>
          <t xml:space="preserve">SOLD </t>
        </r>
        <r>
          <rPr>
            <b/>
            <sz val="8.5"/>
            <color indexed="8"/>
            <rFont val="Calibri"/>
            <family val="2"/>
          </rPr>
          <t>» 119 PAX]_x000D_
_x000D_
[</t>
        </r>
        <r>
          <rPr>
            <b/>
            <sz val="8.5"/>
            <color indexed="21"/>
            <rFont val="Calibri"/>
            <family val="2"/>
          </rPr>
          <t xml:space="preserve">WEEKLY </t>
        </r>
        <r>
          <rPr>
            <b/>
            <sz val="8.5"/>
            <color indexed="8"/>
            <rFont val="Calibri"/>
            <family val="2"/>
          </rPr>
          <t>» 30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25]_x000D_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K2 &amp; W2 &amp; T13 &amp; X68 &amp; U5 &amp; O24 &amp; I5</t>
        </r>
      </text>
    </comment>
    <comment ref="G12" authorId="0" shapeId="0" xr:uid="{951EE008-E527-4C74-9018-84896056710D}">
      <text>
        <r>
          <rPr>
            <b/>
            <sz val="8.5"/>
            <color indexed="8"/>
            <rFont val="Calibri"/>
            <family val="2"/>
          </rPr>
          <t xml:space="preserve">-{ </t>
        </r>
        <r>
          <rPr>
            <b/>
            <sz val="10"/>
            <color indexed="10"/>
            <rFont val="Calibri"/>
            <family val="2"/>
          </rPr>
          <t>SM462</t>
        </r>
        <r>
          <rPr>
            <b/>
            <sz val="8.5"/>
            <color indexed="8"/>
            <rFont val="Calibri"/>
            <family val="2"/>
          </rPr>
          <t xml:space="preserve"> }-_x000D_
_x000D_
[</t>
        </r>
        <r>
          <rPr>
            <b/>
            <sz val="8.5"/>
            <color indexed="48"/>
            <rFont val="Calibri"/>
            <family val="2"/>
          </rPr>
          <t xml:space="preserve">LF </t>
        </r>
        <r>
          <rPr>
            <b/>
            <sz val="8.5"/>
            <color indexed="8"/>
            <rFont val="Calibri"/>
            <family val="2"/>
          </rPr>
          <t>» 70.8%] - [</t>
        </r>
        <r>
          <rPr>
            <b/>
            <sz val="8.5"/>
            <color indexed="48"/>
            <rFont val="Calibri"/>
            <family val="2"/>
          </rPr>
          <t xml:space="preserve">SOLD </t>
        </r>
        <r>
          <rPr>
            <b/>
            <sz val="8.5"/>
            <color indexed="8"/>
            <rFont val="Calibri"/>
            <family val="2"/>
          </rPr>
          <t>» 119 PAX]_x000D_
_x000D_
[</t>
        </r>
        <r>
          <rPr>
            <b/>
            <sz val="8.5"/>
            <color indexed="21"/>
            <rFont val="Calibri"/>
            <family val="2"/>
          </rPr>
          <t xml:space="preserve">WEEKLY </t>
        </r>
        <r>
          <rPr>
            <b/>
            <sz val="8.5"/>
            <color indexed="8"/>
            <rFont val="Calibri"/>
            <family val="2"/>
          </rPr>
          <t>» 30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25]_x000D_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K2 &amp; W2 &amp; T13 &amp; X68 &amp; U5 &amp; O24 &amp; I5</t>
        </r>
      </text>
    </comment>
    <comment ref="H12" authorId="0" shapeId="0" xr:uid="{5084436F-0FD4-46B6-BDA9-5FFFAB40A465}">
      <text>
        <r>
          <rPr>
            <b/>
            <sz val="8.5"/>
            <color indexed="8"/>
            <rFont val="Calibri"/>
            <family val="2"/>
          </rPr>
          <t xml:space="preserve">-{ </t>
        </r>
        <r>
          <rPr>
            <b/>
            <sz val="10"/>
            <color indexed="10"/>
            <rFont val="Calibri"/>
            <family val="2"/>
          </rPr>
          <t>SM462</t>
        </r>
        <r>
          <rPr>
            <b/>
            <sz val="8.5"/>
            <color indexed="8"/>
            <rFont val="Calibri"/>
            <family val="2"/>
          </rPr>
          <t xml:space="preserve"> }-_x000D_
_x000D_
[</t>
        </r>
        <r>
          <rPr>
            <b/>
            <sz val="8.5"/>
            <color indexed="48"/>
            <rFont val="Calibri"/>
            <family val="2"/>
          </rPr>
          <t xml:space="preserve">LF </t>
        </r>
        <r>
          <rPr>
            <b/>
            <sz val="8.5"/>
            <color indexed="8"/>
            <rFont val="Calibri"/>
            <family val="2"/>
          </rPr>
          <t>» 70.8%] - [</t>
        </r>
        <r>
          <rPr>
            <b/>
            <sz val="8.5"/>
            <color indexed="48"/>
            <rFont val="Calibri"/>
            <family val="2"/>
          </rPr>
          <t xml:space="preserve">SOLD </t>
        </r>
        <r>
          <rPr>
            <b/>
            <sz val="8.5"/>
            <color indexed="8"/>
            <rFont val="Calibri"/>
            <family val="2"/>
          </rPr>
          <t>» 119 PAX]_x000D_
_x000D_
[</t>
        </r>
        <r>
          <rPr>
            <b/>
            <sz val="8.5"/>
            <color indexed="21"/>
            <rFont val="Calibri"/>
            <family val="2"/>
          </rPr>
          <t xml:space="preserve">WEEKLY </t>
        </r>
        <r>
          <rPr>
            <b/>
            <sz val="8.5"/>
            <color indexed="8"/>
            <rFont val="Calibri"/>
            <family val="2"/>
          </rPr>
          <t>» 30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25]_x000D_
_x000D_
[</t>
        </r>
        <r>
          <rPr>
            <b/>
            <sz val="8.5"/>
            <color indexed="48"/>
            <rFont val="Calibri"/>
            <family val="2"/>
          </rPr>
          <t>LOWESTAVAIL</t>
        </r>
        <r>
          <rPr>
            <b/>
            <sz val="8.5"/>
            <color indexed="8"/>
            <rFont val="Calibri"/>
            <family val="2"/>
          </rPr>
          <t xml:space="preserve"> » T9]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K2 &amp; W2 &amp; T13 &amp; X68 &amp; U5 &amp; O24 &amp; I5</t>
        </r>
      </text>
    </comment>
    <comment ref="A15" authorId="0" shapeId="0" xr:uid="{E531D5A2-6A7D-47B8-B714-751ED1DC2322}">
      <text>
        <r>
          <rPr>
            <b/>
            <sz val="8.5"/>
            <color indexed="8"/>
            <rFont val="Calibri"/>
            <family val="2"/>
          </rPr>
          <t xml:space="preserve">-{ </t>
        </r>
        <r>
          <rPr>
            <b/>
            <sz val="10"/>
            <color indexed="10"/>
            <rFont val="Calibri"/>
            <family val="2"/>
          </rPr>
          <t>SM462</t>
        </r>
        <r>
          <rPr>
            <b/>
            <sz val="8.5"/>
            <color indexed="8"/>
            <rFont val="Calibri"/>
            <family val="2"/>
          </rPr>
          <t xml:space="preserve"> }-_x000D_
_x000D_
[</t>
        </r>
        <r>
          <rPr>
            <b/>
            <sz val="8.5"/>
            <color indexed="48"/>
            <rFont val="Calibri"/>
            <family val="2"/>
          </rPr>
          <t xml:space="preserve">LF </t>
        </r>
        <r>
          <rPr>
            <b/>
            <sz val="8.5"/>
            <color indexed="8"/>
            <rFont val="Calibri"/>
            <family val="2"/>
          </rPr>
          <t>» 75.6%] - [</t>
        </r>
        <r>
          <rPr>
            <b/>
            <sz val="8.5"/>
            <color indexed="48"/>
            <rFont val="Calibri"/>
            <family val="2"/>
          </rPr>
          <t xml:space="preserve">SOLD </t>
        </r>
        <r>
          <rPr>
            <b/>
            <sz val="8.5"/>
            <color indexed="8"/>
            <rFont val="Calibri"/>
            <family val="2"/>
          </rPr>
          <t>» 127 PAX]_x000D_
_x000D_
[</t>
        </r>
        <r>
          <rPr>
            <b/>
            <sz val="8.5"/>
            <color indexed="21"/>
            <rFont val="Calibri"/>
            <family val="2"/>
          </rPr>
          <t xml:space="preserve">WEEKLY </t>
        </r>
        <r>
          <rPr>
            <b/>
            <sz val="8.5"/>
            <color indexed="8"/>
            <rFont val="Calibri"/>
            <family val="2"/>
          </rPr>
          <t>» 49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T5]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K1 &amp; T5 &amp; X10 &amp; U40 &amp; O20 &amp; I50 &amp; N1</t>
        </r>
      </text>
    </comment>
    <comment ref="B15" authorId="0" shapeId="0" xr:uid="{142C49ED-E14A-408A-BEB5-FF22DF95AF32}">
      <text>
        <r>
          <rPr>
            <b/>
            <sz val="8.5"/>
            <color indexed="8"/>
            <rFont val="Calibri"/>
            <family val="2"/>
          </rPr>
          <t xml:space="preserve">-{ </t>
        </r>
        <r>
          <rPr>
            <b/>
            <sz val="10"/>
            <color indexed="10"/>
            <rFont val="Calibri"/>
            <family val="2"/>
          </rPr>
          <t>SM462</t>
        </r>
        <r>
          <rPr>
            <b/>
            <sz val="8.5"/>
            <color indexed="8"/>
            <rFont val="Calibri"/>
            <family val="2"/>
          </rPr>
          <t xml:space="preserve"> }-_x000D_
_x000D_
[</t>
        </r>
        <r>
          <rPr>
            <b/>
            <sz val="8.5"/>
            <color indexed="48"/>
            <rFont val="Calibri"/>
            <family val="2"/>
          </rPr>
          <t xml:space="preserve">LF </t>
        </r>
        <r>
          <rPr>
            <b/>
            <sz val="8.5"/>
            <color indexed="8"/>
            <rFont val="Calibri"/>
            <family val="2"/>
          </rPr>
          <t>» 75.6%] - [</t>
        </r>
        <r>
          <rPr>
            <b/>
            <sz val="8.5"/>
            <color indexed="48"/>
            <rFont val="Calibri"/>
            <family val="2"/>
          </rPr>
          <t xml:space="preserve">SOLD </t>
        </r>
        <r>
          <rPr>
            <b/>
            <sz val="8.5"/>
            <color indexed="8"/>
            <rFont val="Calibri"/>
            <family val="2"/>
          </rPr>
          <t>» 127 PAX]_x000D_
_x000D_
[</t>
        </r>
        <r>
          <rPr>
            <b/>
            <sz val="8.5"/>
            <color indexed="21"/>
            <rFont val="Calibri"/>
            <family val="2"/>
          </rPr>
          <t xml:space="preserve">WEEKLY </t>
        </r>
        <r>
          <rPr>
            <b/>
            <sz val="8.5"/>
            <color indexed="8"/>
            <rFont val="Calibri"/>
            <family val="2"/>
          </rPr>
          <t>» 49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T5]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K1 &amp; T5 &amp; X10 &amp; U40 &amp; O20 &amp; I50 &amp; N1</t>
        </r>
      </text>
    </comment>
    <comment ref="C15" authorId="0" shapeId="0" xr:uid="{D80370D5-4F26-455F-B5CD-C3B4B77B9293}">
      <text>
        <r>
          <rPr>
            <b/>
            <sz val="8.5"/>
            <color indexed="8"/>
            <rFont val="Calibri"/>
            <family val="2"/>
          </rPr>
          <t xml:space="preserve">-{ </t>
        </r>
        <r>
          <rPr>
            <b/>
            <sz val="10"/>
            <color indexed="10"/>
            <rFont val="Calibri"/>
            <family val="2"/>
          </rPr>
          <t>SM462</t>
        </r>
        <r>
          <rPr>
            <b/>
            <sz val="8.5"/>
            <color indexed="8"/>
            <rFont val="Calibri"/>
            <family val="2"/>
          </rPr>
          <t xml:space="preserve"> }-_x000D_
_x000D_
[</t>
        </r>
        <r>
          <rPr>
            <b/>
            <sz val="8.5"/>
            <color indexed="48"/>
            <rFont val="Calibri"/>
            <family val="2"/>
          </rPr>
          <t xml:space="preserve">LF </t>
        </r>
        <r>
          <rPr>
            <b/>
            <sz val="8.5"/>
            <color indexed="8"/>
            <rFont val="Calibri"/>
            <family val="2"/>
          </rPr>
          <t>» 75.6%] - [</t>
        </r>
        <r>
          <rPr>
            <b/>
            <sz val="8.5"/>
            <color indexed="48"/>
            <rFont val="Calibri"/>
            <family val="2"/>
          </rPr>
          <t xml:space="preserve">SOLD </t>
        </r>
        <r>
          <rPr>
            <b/>
            <sz val="8.5"/>
            <color indexed="8"/>
            <rFont val="Calibri"/>
            <family val="2"/>
          </rPr>
          <t>» 127 PAX]_x000D_
_x000D_
[</t>
        </r>
        <r>
          <rPr>
            <b/>
            <sz val="8.5"/>
            <color indexed="21"/>
            <rFont val="Calibri"/>
            <family val="2"/>
          </rPr>
          <t xml:space="preserve">WEEKLY </t>
        </r>
        <r>
          <rPr>
            <b/>
            <sz val="8.5"/>
            <color indexed="8"/>
            <rFont val="Calibri"/>
            <family val="2"/>
          </rPr>
          <t>» 49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T5]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K1 &amp; T5 &amp; X10 &amp; U40 &amp; O20 &amp; I50 &amp; N1</t>
        </r>
      </text>
    </comment>
    <comment ref="D15" authorId="0" shapeId="0" xr:uid="{587F8643-D326-4890-B901-8B5CC20CB94F}">
      <text>
        <r>
          <rPr>
            <b/>
            <sz val="8.5"/>
            <color indexed="8"/>
            <rFont val="Calibri"/>
            <family val="2"/>
          </rPr>
          <t xml:space="preserve">-{ </t>
        </r>
        <r>
          <rPr>
            <b/>
            <sz val="10"/>
            <color indexed="10"/>
            <rFont val="Calibri"/>
            <family val="2"/>
          </rPr>
          <t>SM462</t>
        </r>
        <r>
          <rPr>
            <b/>
            <sz val="8.5"/>
            <color indexed="8"/>
            <rFont val="Calibri"/>
            <family val="2"/>
          </rPr>
          <t xml:space="preserve"> }-_x000D_
_x000D_
[</t>
        </r>
        <r>
          <rPr>
            <b/>
            <sz val="8.5"/>
            <color indexed="48"/>
            <rFont val="Calibri"/>
            <family val="2"/>
          </rPr>
          <t xml:space="preserve">LF </t>
        </r>
        <r>
          <rPr>
            <b/>
            <sz val="8.5"/>
            <color indexed="8"/>
            <rFont val="Calibri"/>
            <family val="2"/>
          </rPr>
          <t>» 75.6%] - [</t>
        </r>
        <r>
          <rPr>
            <b/>
            <sz val="8.5"/>
            <color indexed="48"/>
            <rFont val="Calibri"/>
            <family val="2"/>
          </rPr>
          <t xml:space="preserve">SOLD </t>
        </r>
        <r>
          <rPr>
            <b/>
            <sz val="8.5"/>
            <color indexed="8"/>
            <rFont val="Calibri"/>
            <family val="2"/>
          </rPr>
          <t>» 127 PAX]_x000D_
_x000D_
[</t>
        </r>
        <r>
          <rPr>
            <b/>
            <sz val="8.5"/>
            <color indexed="21"/>
            <rFont val="Calibri"/>
            <family val="2"/>
          </rPr>
          <t xml:space="preserve">WEEKLY </t>
        </r>
        <r>
          <rPr>
            <b/>
            <sz val="8.5"/>
            <color indexed="8"/>
            <rFont val="Calibri"/>
            <family val="2"/>
          </rPr>
          <t>» 49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T5]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K1 &amp; T5 &amp; X10 &amp; U40 &amp; O20 &amp; I50 &amp; N1</t>
        </r>
      </text>
    </comment>
    <comment ref="E15" authorId="0" shapeId="0" xr:uid="{A869BCDC-E42E-45CC-99B6-37571B344859}">
      <text>
        <r>
          <rPr>
            <b/>
            <sz val="8.5"/>
            <color indexed="8"/>
            <rFont val="Calibri"/>
            <family val="2"/>
          </rPr>
          <t xml:space="preserve">-{ </t>
        </r>
        <r>
          <rPr>
            <b/>
            <sz val="10"/>
            <color indexed="10"/>
            <rFont val="Calibri"/>
            <family val="2"/>
          </rPr>
          <t>SM462</t>
        </r>
        <r>
          <rPr>
            <b/>
            <sz val="8.5"/>
            <color indexed="8"/>
            <rFont val="Calibri"/>
            <family val="2"/>
          </rPr>
          <t xml:space="preserve"> }-_x000D_
_x000D_
[</t>
        </r>
        <r>
          <rPr>
            <b/>
            <sz val="8.5"/>
            <color indexed="48"/>
            <rFont val="Calibri"/>
            <family val="2"/>
          </rPr>
          <t xml:space="preserve">LF </t>
        </r>
        <r>
          <rPr>
            <b/>
            <sz val="8.5"/>
            <color indexed="8"/>
            <rFont val="Calibri"/>
            <family val="2"/>
          </rPr>
          <t>» 75.6%] - [</t>
        </r>
        <r>
          <rPr>
            <b/>
            <sz val="8.5"/>
            <color indexed="48"/>
            <rFont val="Calibri"/>
            <family val="2"/>
          </rPr>
          <t xml:space="preserve">SOLD </t>
        </r>
        <r>
          <rPr>
            <b/>
            <sz val="8.5"/>
            <color indexed="8"/>
            <rFont val="Calibri"/>
            <family val="2"/>
          </rPr>
          <t>» 127 PAX]_x000D_
_x000D_
[</t>
        </r>
        <r>
          <rPr>
            <b/>
            <sz val="8.5"/>
            <color indexed="21"/>
            <rFont val="Calibri"/>
            <family val="2"/>
          </rPr>
          <t xml:space="preserve">WEEKLY </t>
        </r>
        <r>
          <rPr>
            <b/>
            <sz val="8.5"/>
            <color indexed="8"/>
            <rFont val="Calibri"/>
            <family val="2"/>
          </rPr>
          <t>» 49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T5]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K1 &amp; T5 &amp; X10 &amp; U40 &amp; O20 &amp; I50 &amp; N1</t>
        </r>
      </text>
    </comment>
    <comment ref="F15" authorId="0" shapeId="0" xr:uid="{F593E391-88FA-4CAA-A4B8-FDB6690E36E3}">
      <text>
        <r>
          <rPr>
            <b/>
            <sz val="8.5"/>
            <color indexed="8"/>
            <rFont val="Calibri"/>
            <family val="2"/>
          </rPr>
          <t xml:space="preserve">-{ </t>
        </r>
        <r>
          <rPr>
            <b/>
            <sz val="10"/>
            <color indexed="10"/>
            <rFont val="Calibri"/>
            <family val="2"/>
          </rPr>
          <t>SM462</t>
        </r>
        <r>
          <rPr>
            <b/>
            <sz val="8.5"/>
            <color indexed="8"/>
            <rFont val="Calibri"/>
            <family val="2"/>
          </rPr>
          <t xml:space="preserve"> }-_x000D_
_x000D_
[</t>
        </r>
        <r>
          <rPr>
            <b/>
            <sz val="8.5"/>
            <color indexed="48"/>
            <rFont val="Calibri"/>
            <family val="2"/>
          </rPr>
          <t xml:space="preserve">LF </t>
        </r>
        <r>
          <rPr>
            <b/>
            <sz val="8.5"/>
            <color indexed="8"/>
            <rFont val="Calibri"/>
            <family val="2"/>
          </rPr>
          <t>» 75.6%] - [</t>
        </r>
        <r>
          <rPr>
            <b/>
            <sz val="8.5"/>
            <color indexed="48"/>
            <rFont val="Calibri"/>
            <family val="2"/>
          </rPr>
          <t xml:space="preserve">SOLD </t>
        </r>
        <r>
          <rPr>
            <b/>
            <sz val="8.5"/>
            <color indexed="8"/>
            <rFont val="Calibri"/>
            <family val="2"/>
          </rPr>
          <t>» 127 PAX]_x000D_
_x000D_
[</t>
        </r>
        <r>
          <rPr>
            <b/>
            <sz val="8.5"/>
            <color indexed="21"/>
            <rFont val="Calibri"/>
            <family val="2"/>
          </rPr>
          <t xml:space="preserve">WEEKLY </t>
        </r>
        <r>
          <rPr>
            <b/>
            <sz val="8.5"/>
            <color indexed="8"/>
            <rFont val="Calibri"/>
            <family val="2"/>
          </rPr>
          <t>» 49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T5]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K1 &amp; T5 &amp; X10 &amp; U40 &amp; O20 &amp; I50 &amp; N1</t>
        </r>
      </text>
    </comment>
    <comment ref="G15" authorId="0" shapeId="0" xr:uid="{C6C2B6C4-9532-4A83-95E4-90FF4FFC9272}">
      <text>
        <r>
          <rPr>
            <b/>
            <sz val="8.5"/>
            <color indexed="8"/>
            <rFont val="Calibri"/>
            <family val="2"/>
          </rPr>
          <t xml:space="preserve">-{ </t>
        </r>
        <r>
          <rPr>
            <b/>
            <sz val="10"/>
            <color indexed="10"/>
            <rFont val="Calibri"/>
            <family val="2"/>
          </rPr>
          <t>SM462</t>
        </r>
        <r>
          <rPr>
            <b/>
            <sz val="8.5"/>
            <color indexed="8"/>
            <rFont val="Calibri"/>
            <family val="2"/>
          </rPr>
          <t xml:space="preserve"> }-_x000D_
_x000D_
[</t>
        </r>
        <r>
          <rPr>
            <b/>
            <sz val="8.5"/>
            <color indexed="48"/>
            <rFont val="Calibri"/>
            <family val="2"/>
          </rPr>
          <t xml:space="preserve">LF </t>
        </r>
        <r>
          <rPr>
            <b/>
            <sz val="8.5"/>
            <color indexed="8"/>
            <rFont val="Calibri"/>
            <family val="2"/>
          </rPr>
          <t>» 75.6%] - [</t>
        </r>
        <r>
          <rPr>
            <b/>
            <sz val="8.5"/>
            <color indexed="48"/>
            <rFont val="Calibri"/>
            <family val="2"/>
          </rPr>
          <t xml:space="preserve">SOLD </t>
        </r>
        <r>
          <rPr>
            <b/>
            <sz val="8.5"/>
            <color indexed="8"/>
            <rFont val="Calibri"/>
            <family val="2"/>
          </rPr>
          <t>» 127 PAX]_x000D_
_x000D_
[</t>
        </r>
        <r>
          <rPr>
            <b/>
            <sz val="8.5"/>
            <color indexed="21"/>
            <rFont val="Calibri"/>
            <family val="2"/>
          </rPr>
          <t xml:space="preserve">WEEKLY </t>
        </r>
        <r>
          <rPr>
            <b/>
            <sz val="8.5"/>
            <color indexed="8"/>
            <rFont val="Calibri"/>
            <family val="2"/>
          </rPr>
          <t>» 49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T5]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K1 &amp; T5 &amp; X10 &amp; U40 &amp; O20 &amp; I50 &amp; N1</t>
        </r>
      </text>
    </comment>
    <comment ref="H15" authorId="0" shapeId="0" xr:uid="{6FB0E89E-5923-458E-A730-DB91EF76F183}">
      <text>
        <r>
          <rPr>
            <b/>
            <sz val="8.5"/>
            <color indexed="8"/>
            <rFont val="Calibri"/>
            <family val="2"/>
          </rPr>
          <t xml:space="preserve">-{ </t>
        </r>
        <r>
          <rPr>
            <b/>
            <sz val="10"/>
            <color indexed="10"/>
            <rFont val="Calibri"/>
            <family val="2"/>
          </rPr>
          <t>SM462</t>
        </r>
        <r>
          <rPr>
            <b/>
            <sz val="8.5"/>
            <color indexed="8"/>
            <rFont val="Calibri"/>
            <family val="2"/>
          </rPr>
          <t xml:space="preserve"> }-_x000D_
_x000D_
[</t>
        </r>
        <r>
          <rPr>
            <b/>
            <sz val="8.5"/>
            <color indexed="48"/>
            <rFont val="Calibri"/>
            <family val="2"/>
          </rPr>
          <t xml:space="preserve">LF </t>
        </r>
        <r>
          <rPr>
            <b/>
            <sz val="8.5"/>
            <color indexed="8"/>
            <rFont val="Calibri"/>
            <family val="2"/>
          </rPr>
          <t>» 75.6%] - [</t>
        </r>
        <r>
          <rPr>
            <b/>
            <sz val="8.5"/>
            <color indexed="48"/>
            <rFont val="Calibri"/>
            <family val="2"/>
          </rPr>
          <t xml:space="preserve">SOLD </t>
        </r>
        <r>
          <rPr>
            <b/>
            <sz val="8.5"/>
            <color indexed="8"/>
            <rFont val="Calibri"/>
            <family val="2"/>
          </rPr>
          <t>» 127 PAX]_x000D_
_x000D_
[</t>
        </r>
        <r>
          <rPr>
            <b/>
            <sz val="8.5"/>
            <color indexed="21"/>
            <rFont val="Calibri"/>
            <family val="2"/>
          </rPr>
          <t xml:space="preserve">WEEKLY </t>
        </r>
        <r>
          <rPr>
            <b/>
            <sz val="8.5"/>
            <color indexed="8"/>
            <rFont val="Calibri"/>
            <family val="2"/>
          </rPr>
          <t>» 49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T5]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K1 &amp; T5 &amp; X10 &amp; U40 &amp; O20 &amp; I50 &amp; N1</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24" authorId="0" shapeId="0" xr:uid="{3E6504B9-2E8E-4C5C-8293-92233D53E5AD}">
      <text>
        <r>
          <rPr>
            <b/>
            <sz val="8.5"/>
            <color indexed="8"/>
            <rFont val="Calibri"/>
            <family val="2"/>
          </rPr>
          <t xml:space="preserve">-{ </t>
        </r>
        <r>
          <rPr>
            <b/>
            <sz val="10"/>
            <color indexed="10"/>
            <rFont val="Calibri"/>
            <family val="2"/>
          </rPr>
          <t>SM464</t>
        </r>
        <r>
          <rPr>
            <b/>
            <sz val="8.5"/>
            <color indexed="8"/>
            <rFont val="Calibri"/>
            <family val="2"/>
          </rPr>
          <t xml:space="preserve"> }-_x000D_
_x000D_
[</t>
        </r>
        <r>
          <rPr>
            <b/>
            <sz val="8.5"/>
            <color indexed="48"/>
            <rFont val="Calibri"/>
            <family val="2"/>
          </rPr>
          <t xml:space="preserve">LF </t>
        </r>
        <r>
          <rPr>
            <b/>
            <sz val="8.5"/>
            <color indexed="8"/>
            <rFont val="Calibri"/>
            <family val="2"/>
          </rPr>
          <t>» 52.4%] - [</t>
        </r>
        <r>
          <rPr>
            <b/>
            <sz val="8.5"/>
            <color indexed="48"/>
            <rFont val="Calibri"/>
            <family val="2"/>
          </rPr>
          <t xml:space="preserve">SOLD </t>
        </r>
        <r>
          <rPr>
            <b/>
            <sz val="8.5"/>
            <color indexed="8"/>
            <rFont val="Calibri"/>
            <family val="2"/>
          </rPr>
          <t>» 88 PAX]_x000D_
_x000D_
[</t>
        </r>
        <r>
          <rPr>
            <b/>
            <sz val="8.5"/>
            <color indexed="21"/>
            <rFont val="Calibri"/>
            <family val="2"/>
          </rPr>
          <t xml:space="preserve">WEEKLY </t>
        </r>
        <r>
          <rPr>
            <b/>
            <sz val="8.5"/>
            <color indexed="8"/>
            <rFont val="Calibri"/>
            <family val="2"/>
          </rPr>
          <t>» 47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10]_x000D_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W4 &amp; U4 &amp; O59 &amp; I20</t>
        </r>
      </text>
    </comment>
    <comment ref="B24" authorId="0" shapeId="0" xr:uid="{6718E55E-9B21-4A99-92D3-B6EFAFDA778B}">
      <text>
        <r>
          <rPr>
            <b/>
            <sz val="8.5"/>
            <color indexed="8"/>
            <rFont val="Calibri"/>
            <family val="2"/>
          </rPr>
          <t xml:space="preserve">-{ </t>
        </r>
        <r>
          <rPr>
            <b/>
            <sz val="10"/>
            <color indexed="10"/>
            <rFont val="Calibri"/>
            <family val="2"/>
          </rPr>
          <t>SM464</t>
        </r>
        <r>
          <rPr>
            <b/>
            <sz val="8.5"/>
            <color indexed="8"/>
            <rFont val="Calibri"/>
            <family val="2"/>
          </rPr>
          <t xml:space="preserve"> }-_x000D_
_x000D_
[</t>
        </r>
        <r>
          <rPr>
            <b/>
            <sz val="8.5"/>
            <color indexed="48"/>
            <rFont val="Calibri"/>
            <family val="2"/>
          </rPr>
          <t xml:space="preserve">LF </t>
        </r>
        <r>
          <rPr>
            <b/>
            <sz val="8.5"/>
            <color indexed="8"/>
            <rFont val="Calibri"/>
            <family val="2"/>
          </rPr>
          <t>» 52.4%] - [</t>
        </r>
        <r>
          <rPr>
            <b/>
            <sz val="8.5"/>
            <color indexed="48"/>
            <rFont val="Calibri"/>
            <family val="2"/>
          </rPr>
          <t xml:space="preserve">SOLD </t>
        </r>
        <r>
          <rPr>
            <b/>
            <sz val="8.5"/>
            <color indexed="8"/>
            <rFont val="Calibri"/>
            <family val="2"/>
          </rPr>
          <t>» 88 PAX]_x000D_
_x000D_
[</t>
        </r>
        <r>
          <rPr>
            <b/>
            <sz val="8.5"/>
            <color indexed="21"/>
            <rFont val="Calibri"/>
            <family val="2"/>
          </rPr>
          <t xml:space="preserve">WEEKLY </t>
        </r>
        <r>
          <rPr>
            <b/>
            <sz val="8.5"/>
            <color indexed="8"/>
            <rFont val="Calibri"/>
            <family val="2"/>
          </rPr>
          <t>» 47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10]_x000D_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W4 &amp; U4 &amp; O59 &amp; I20</t>
        </r>
      </text>
    </comment>
    <comment ref="C24" authorId="0" shapeId="0" xr:uid="{75914900-978B-4F71-8C0C-37C1379FC0C8}">
      <text>
        <r>
          <rPr>
            <b/>
            <sz val="8.5"/>
            <color indexed="8"/>
            <rFont val="Calibri"/>
            <family val="2"/>
          </rPr>
          <t xml:space="preserve">-{ </t>
        </r>
        <r>
          <rPr>
            <b/>
            <sz val="10"/>
            <color indexed="10"/>
            <rFont val="Calibri"/>
            <family val="2"/>
          </rPr>
          <t>SM464</t>
        </r>
        <r>
          <rPr>
            <b/>
            <sz val="8.5"/>
            <color indexed="8"/>
            <rFont val="Calibri"/>
            <family val="2"/>
          </rPr>
          <t xml:space="preserve"> }-_x000D_
_x000D_
[</t>
        </r>
        <r>
          <rPr>
            <b/>
            <sz val="8.5"/>
            <color indexed="48"/>
            <rFont val="Calibri"/>
            <family val="2"/>
          </rPr>
          <t xml:space="preserve">LF </t>
        </r>
        <r>
          <rPr>
            <b/>
            <sz val="8.5"/>
            <color indexed="8"/>
            <rFont val="Calibri"/>
            <family val="2"/>
          </rPr>
          <t>» 52.4%] - [</t>
        </r>
        <r>
          <rPr>
            <b/>
            <sz val="8.5"/>
            <color indexed="48"/>
            <rFont val="Calibri"/>
            <family val="2"/>
          </rPr>
          <t xml:space="preserve">SOLD </t>
        </r>
        <r>
          <rPr>
            <b/>
            <sz val="8.5"/>
            <color indexed="8"/>
            <rFont val="Calibri"/>
            <family val="2"/>
          </rPr>
          <t>» 88 PAX]_x000D_
_x000D_
[</t>
        </r>
        <r>
          <rPr>
            <b/>
            <sz val="8.5"/>
            <color indexed="21"/>
            <rFont val="Calibri"/>
            <family val="2"/>
          </rPr>
          <t xml:space="preserve">WEEKLY </t>
        </r>
        <r>
          <rPr>
            <b/>
            <sz val="8.5"/>
            <color indexed="8"/>
            <rFont val="Calibri"/>
            <family val="2"/>
          </rPr>
          <t>» 47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10]_x000D_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W4 &amp; U4 &amp; O59 &amp; I20</t>
        </r>
      </text>
    </comment>
    <comment ref="D24" authorId="0" shapeId="0" xr:uid="{9F6DE053-5A63-4DC2-BC14-2829A2F6BA50}">
      <text>
        <r>
          <rPr>
            <b/>
            <sz val="8.5"/>
            <color indexed="8"/>
            <rFont val="Calibri"/>
            <family val="2"/>
          </rPr>
          <t xml:space="preserve">-{ </t>
        </r>
        <r>
          <rPr>
            <b/>
            <sz val="10"/>
            <color indexed="10"/>
            <rFont val="Calibri"/>
            <family val="2"/>
          </rPr>
          <t>SM464</t>
        </r>
        <r>
          <rPr>
            <b/>
            <sz val="8.5"/>
            <color indexed="8"/>
            <rFont val="Calibri"/>
            <family val="2"/>
          </rPr>
          <t xml:space="preserve"> }-_x000D_
_x000D_
[</t>
        </r>
        <r>
          <rPr>
            <b/>
            <sz val="8.5"/>
            <color indexed="48"/>
            <rFont val="Calibri"/>
            <family val="2"/>
          </rPr>
          <t xml:space="preserve">LF </t>
        </r>
        <r>
          <rPr>
            <b/>
            <sz val="8.5"/>
            <color indexed="8"/>
            <rFont val="Calibri"/>
            <family val="2"/>
          </rPr>
          <t>» 52.4%] - [</t>
        </r>
        <r>
          <rPr>
            <b/>
            <sz val="8.5"/>
            <color indexed="48"/>
            <rFont val="Calibri"/>
            <family val="2"/>
          </rPr>
          <t xml:space="preserve">SOLD </t>
        </r>
        <r>
          <rPr>
            <b/>
            <sz val="8.5"/>
            <color indexed="8"/>
            <rFont val="Calibri"/>
            <family val="2"/>
          </rPr>
          <t>» 88 PAX]_x000D_
_x000D_
[</t>
        </r>
        <r>
          <rPr>
            <b/>
            <sz val="8.5"/>
            <color indexed="21"/>
            <rFont val="Calibri"/>
            <family val="2"/>
          </rPr>
          <t xml:space="preserve">WEEKLY </t>
        </r>
        <r>
          <rPr>
            <b/>
            <sz val="8.5"/>
            <color indexed="8"/>
            <rFont val="Calibri"/>
            <family val="2"/>
          </rPr>
          <t>» 47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10]_x000D_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W4 &amp; U4 &amp; O59 &amp; I20</t>
        </r>
      </text>
    </comment>
    <comment ref="E24" authorId="0" shapeId="0" xr:uid="{36C7720B-FB3E-4AF7-8EF5-3535A4084F60}">
      <text>
        <r>
          <rPr>
            <b/>
            <sz val="8.5"/>
            <color indexed="8"/>
            <rFont val="Calibri"/>
            <family val="2"/>
          </rPr>
          <t xml:space="preserve">-{ </t>
        </r>
        <r>
          <rPr>
            <b/>
            <sz val="10"/>
            <color indexed="10"/>
            <rFont val="Calibri"/>
            <family val="2"/>
          </rPr>
          <t>SM464</t>
        </r>
        <r>
          <rPr>
            <b/>
            <sz val="8.5"/>
            <color indexed="8"/>
            <rFont val="Calibri"/>
            <family val="2"/>
          </rPr>
          <t xml:space="preserve"> }-_x000D_
_x000D_
[</t>
        </r>
        <r>
          <rPr>
            <b/>
            <sz val="8.5"/>
            <color indexed="48"/>
            <rFont val="Calibri"/>
            <family val="2"/>
          </rPr>
          <t xml:space="preserve">LF </t>
        </r>
        <r>
          <rPr>
            <b/>
            <sz val="8.5"/>
            <color indexed="8"/>
            <rFont val="Calibri"/>
            <family val="2"/>
          </rPr>
          <t>» 52.4%] - [</t>
        </r>
        <r>
          <rPr>
            <b/>
            <sz val="8.5"/>
            <color indexed="48"/>
            <rFont val="Calibri"/>
            <family val="2"/>
          </rPr>
          <t xml:space="preserve">SOLD </t>
        </r>
        <r>
          <rPr>
            <b/>
            <sz val="8.5"/>
            <color indexed="8"/>
            <rFont val="Calibri"/>
            <family val="2"/>
          </rPr>
          <t>» 88 PAX]_x000D_
_x000D_
[</t>
        </r>
        <r>
          <rPr>
            <b/>
            <sz val="8.5"/>
            <color indexed="21"/>
            <rFont val="Calibri"/>
            <family val="2"/>
          </rPr>
          <t xml:space="preserve">WEEKLY </t>
        </r>
        <r>
          <rPr>
            <b/>
            <sz val="8.5"/>
            <color indexed="8"/>
            <rFont val="Calibri"/>
            <family val="2"/>
          </rPr>
          <t>» 47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10]_x000D_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W4 &amp; U4 &amp; O59 &amp; I20</t>
        </r>
      </text>
    </comment>
    <comment ref="F24" authorId="0" shapeId="0" xr:uid="{8AEF4DA9-A591-4EE2-9A9B-9D4A660FE5CB}">
      <text>
        <r>
          <rPr>
            <b/>
            <sz val="8.5"/>
            <color indexed="8"/>
            <rFont val="Calibri"/>
            <family val="2"/>
          </rPr>
          <t xml:space="preserve">-{ </t>
        </r>
        <r>
          <rPr>
            <b/>
            <sz val="10"/>
            <color indexed="10"/>
            <rFont val="Calibri"/>
            <family val="2"/>
          </rPr>
          <t>SM464</t>
        </r>
        <r>
          <rPr>
            <b/>
            <sz val="8.5"/>
            <color indexed="8"/>
            <rFont val="Calibri"/>
            <family val="2"/>
          </rPr>
          <t xml:space="preserve"> }-_x000D_
_x000D_
[</t>
        </r>
        <r>
          <rPr>
            <b/>
            <sz val="8.5"/>
            <color indexed="48"/>
            <rFont val="Calibri"/>
            <family val="2"/>
          </rPr>
          <t xml:space="preserve">LF </t>
        </r>
        <r>
          <rPr>
            <b/>
            <sz val="8.5"/>
            <color indexed="8"/>
            <rFont val="Calibri"/>
            <family val="2"/>
          </rPr>
          <t>» 52.4%] - [</t>
        </r>
        <r>
          <rPr>
            <b/>
            <sz val="8.5"/>
            <color indexed="48"/>
            <rFont val="Calibri"/>
            <family val="2"/>
          </rPr>
          <t xml:space="preserve">SOLD </t>
        </r>
        <r>
          <rPr>
            <b/>
            <sz val="8.5"/>
            <color indexed="8"/>
            <rFont val="Calibri"/>
            <family val="2"/>
          </rPr>
          <t>» 88 PAX]_x000D_
_x000D_
[</t>
        </r>
        <r>
          <rPr>
            <b/>
            <sz val="8.5"/>
            <color indexed="21"/>
            <rFont val="Calibri"/>
            <family val="2"/>
          </rPr>
          <t xml:space="preserve">WEEKLY </t>
        </r>
        <r>
          <rPr>
            <b/>
            <sz val="8.5"/>
            <color indexed="8"/>
            <rFont val="Calibri"/>
            <family val="2"/>
          </rPr>
          <t>» 47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10]_x000D_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W4 &amp; U4 &amp; O59 &amp; I20</t>
        </r>
      </text>
    </comment>
    <comment ref="G24" authorId="0" shapeId="0" xr:uid="{2EFC0CA1-98D0-4179-902E-8B2641EA7014}">
      <text>
        <r>
          <rPr>
            <b/>
            <sz val="8.5"/>
            <color indexed="8"/>
            <rFont val="Calibri"/>
            <family val="2"/>
          </rPr>
          <t xml:space="preserve">-{ </t>
        </r>
        <r>
          <rPr>
            <b/>
            <sz val="10"/>
            <color indexed="10"/>
            <rFont val="Calibri"/>
            <family val="2"/>
          </rPr>
          <t>SM464</t>
        </r>
        <r>
          <rPr>
            <b/>
            <sz val="8.5"/>
            <color indexed="8"/>
            <rFont val="Calibri"/>
            <family val="2"/>
          </rPr>
          <t xml:space="preserve"> }-_x000D_
_x000D_
[</t>
        </r>
        <r>
          <rPr>
            <b/>
            <sz val="8.5"/>
            <color indexed="48"/>
            <rFont val="Calibri"/>
            <family val="2"/>
          </rPr>
          <t xml:space="preserve">LF </t>
        </r>
        <r>
          <rPr>
            <b/>
            <sz val="8.5"/>
            <color indexed="8"/>
            <rFont val="Calibri"/>
            <family val="2"/>
          </rPr>
          <t>» 52.4%] - [</t>
        </r>
        <r>
          <rPr>
            <b/>
            <sz val="8.5"/>
            <color indexed="48"/>
            <rFont val="Calibri"/>
            <family val="2"/>
          </rPr>
          <t xml:space="preserve">SOLD </t>
        </r>
        <r>
          <rPr>
            <b/>
            <sz val="8.5"/>
            <color indexed="8"/>
            <rFont val="Calibri"/>
            <family val="2"/>
          </rPr>
          <t>» 88 PAX]_x000D_
_x000D_
[</t>
        </r>
        <r>
          <rPr>
            <b/>
            <sz val="8.5"/>
            <color indexed="21"/>
            <rFont val="Calibri"/>
            <family val="2"/>
          </rPr>
          <t xml:space="preserve">WEEKLY </t>
        </r>
        <r>
          <rPr>
            <b/>
            <sz val="8.5"/>
            <color indexed="8"/>
            <rFont val="Calibri"/>
            <family val="2"/>
          </rPr>
          <t>» 47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10]_x000D_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W4 &amp; U4 &amp; O59 &amp; I20</t>
        </r>
      </text>
    </comment>
    <comment ref="H24" authorId="0" shapeId="0" xr:uid="{162356EB-3111-44EC-AEF9-FB1DA9E645A7}">
      <text>
        <r>
          <rPr>
            <b/>
            <sz val="8.5"/>
            <color indexed="8"/>
            <rFont val="Calibri"/>
            <family val="2"/>
          </rPr>
          <t xml:space="preserve">-{ </t>
        </r>
        <r>
          <rPr>
            <b/>
            <sz val="10"/>
            <color indexed="10"/>
            <rFont val="Calibri"/>
            <family val="2"/>
          </rPr>
          <t>SM464</t>
        </r>
        <r>
          <rPr>
            <b/>
            <sz val="8.5"/>
            <color indexed="8"/>
            <rFont val="Calibri"/>
            <family val="2"/>
          </rPr>
          <t xml:space="preserve"> }-_x000D_
_x000D_
[</t>
        </r>
        <r>
          <rPr>
            <b/>
            <sz val="8.5"/>
            <color indexed="48"/>
            <rFont val="Calibri"/>
            <family val="2"/>
          </rPr>
          <t xml:space="preserve">LF </t>
        </r>
        <r>
          <rPr>
            <b/>
            <sz val="8.5"/>
            <color indexed="8"/>
            <rFont val="Calibri"/>
            <family val="2"/>
          </rPr>
          <t>» 52.4%] - [</t>
        </r>
        <r>
          <rPr>
            <b/>
            <sz val="8.5"/>
            <color indexed="48"/>
            <rFont val="Calibri"/>
            <family val="2"/>
          </rPr>
          <t xml:space="preserve">SOLD </t>
        </r>
        <r>
          <rPr>
            <b/>
            <sz val="8.5"/>
            <color indexed="8"/>
            <rFont val="Calibri"/>
            <family val="2"/>
          </rPr>
          <t>» 88 PAX]_x000D_
_x000D_
[</t>
        </r>
        <r>
          <rPr>
            <b/>
            <sz val="8.5"/>
            <color indexed="21"/>
            <rFont val="Calibri"/>
            <family val="2"/>
          </rPr>
          <t xml:space="preserve">WEEKLY </t>
        </r>
        <r>
          <rPr>
            <b/>
            <sz val="8.5"/>
            <color indexed="8"/>
            <rFont val="Calibri"/>
            <family val="2"/>
          </rPr>
          <t>» 47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10]_x000D_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W4 &amp; U4 &amp; O59 &amp; I20</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24" authorId="0" shapeId="0" xr:uid="{8F40A8E5-3A38-47C5-95A2-BEA0322E631E}">
      <text>
        <r>
          <rPr>
            <b/>
            <sz val="8.5"/>
            <color indexed="8"/>
            <rFont val="Calibri"/>
            <family val="2"/>
          </rPr>
          <t xml:space="preserve">-{ </t>
        </r>
        <r>
          <rPr>
            <b/>
            <sz val="10"/>
            <color indexed="10"/>
            <rFont val="Calibri"/>
            <family val="2"/>
          </rPr>
          <t>SM464</t>
        </r>
        <r>
          <rPr>
            <b/>
            <sz val="8.5"/>
            <color indexed="8"/>
            <rFont val="Calibri"/>
            <family val="2"/>
          </rPr>
          <t xml:space="preserve"> }-_x000D_
_x000D_
[</t>
        </r>
        <r>
          <rPr>
            <b/>
            <sz val="8.5"/>
            <color indexed="48"/>
            <rFont val="Calibri"/>
            <family val="2"/>
          </rPr>
          <t xml:space="preserve">LF </t>
        </r>
        <r>
          <rPr>
            <b/>
            <sz val="8.5"/>
            <color indexed="8"/>
            <rFont val="Calibri"/>
            <family val="2"/>
          </rPr>
          <t>» 52.4%] - [</t>
        </r>
        <r>
          <rPr>
            <b/>
            <sz val="8.5"/>
            <color indexed="48"/>
            <rFont val="Calibri"/>
            <family val="2"/>
          </rPr>
          <t xml:space="preserve">SOLD </t>
        </r>
        <r>
          <rPr>
            <b/>
            <sz val="8.5"/>
            <color indexed="8"/>
            <rFont val="Calibri"/>
            <family val="2"/>
          </rPr>
          <t>» 88 PAX]_x000D_
_x000D_
[</t>
        </r>
        <r>
          <rPr>
            <b/>
            <sz val="8.5"/>
            <color indexed="21"/>
            <rFont val="Calibri"/>
            <family val="2"/>
          </rPr>
          <t xml:space="preserve">WEEKLY </t>
        </r>
        <r>
          <rPr>
            <b/>
            <sz val="8.5"/>
            <color indexed="8"/>
            <rFont val="Calibri"/>
            <family val="2"/>
          </rPr>
          <t>» 47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10]_x000D_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W4 &amp; U4 &amp; O59 &amp; I20</t>
        </r>
      </text>
    </comment>
    <comment ref="B24" authorId="0" shapeId="0" xr:uid="{1345ACBA-3BED-4447-829D-B6143F55A464}">
      <text>
        <r>
          <rPr>
            <b/>
            <sz val="8.5"/>
            <color indexed="8"/>
            <rFont val="Calibri"/>
            <family val="2"/>
          </rPr>
          <t xml:space="preserve">-{ </t>
        </r>
        <r>
          <rPr>
            <b/>
            <sz val="10"/>
            <color indexed="10"/>
            <rFont val="Calibri"/>
            <family val="2"/>
          </rPr>
          <t>SM464</t>
        </r>
        <r>
          <rPr>
            <b/>
            <sz val="8.5"/>
            <color indexed="8"/>
            <rFont val="Calibri"/>
            <family val="2"/>
          </rPr>
          <t xml:space="preserve"> }-_x000D_
_x000D_
[</t>
        </r>
        <r>
          <rPr>
            <b/>
            <sz val="8.5"/>
            <color indexed="48"/>
            <rFont val="Calibri"/>
            <family val="2"/>
          </rPr>
          <t xml:space="preserve">LF </t>
        </r>
        <r>
          <rPr>
            <b/>
            <sz val="8.5"/>
            <color indexed="8"/>
            <rFont val="Calibri"/>
            <family val="2"/>
          </rPr>
          <t>» 52.4%] - [</t>
        </r>
        <r>
          <rPr>
            <b/>
            <sz val="8.5"/>
            <color indexed="48"/>
            <rFont val="Calibri"/>
            <family val="2"/>
          </rPr>
          <t xml:space="preserve">SOLD </t>
        </r>
        <r>
          <rPr>
            <b/>
            <sz val="8.5"/>
            <color indexed="8"/>
            <rFont val="Calibri"/>
            <family val="2"/>
          </rPr>
          <t>» 88 PAX]_x000D_
_x000D_
[</t>
        </r>
        <r>
          <rPr>
            <b/>
            <sz val="8.5"/>
            <color indexed="21"/>
            <rFont val="Calibri"/>
            <family val="2"/>
          </rPr>
          <t xml:space="preserve">WEEKLY </t>
        </r>
        <r>
          <rPr>
            <b/>
            <sz val="8.5"/>
            <color indexed="8"/>
            <rFont val="Calibri"/>
            <family val="2"/>
          </rPr>
          <t>» 47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10]_x000D_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W4 &amp; U4 &amp; O59 &amp; I20</t>
        </r>
      </text>
    </comment>
    <comment ref="C24" authorId="0" shapeId="0" xr:uid="{71C45B3C-42DC-4C46-A5BD-3F2BF4B63472}">
      <text>
        <r>
          <rPr>
            <b/>
            <sz val="8.5"/>
            <color indexed="8"/>
            <rFont val="Calibri"/>
            <family val="2"/>
          </rPr>
          <t xml:space="preserve">-{ </t>
        </r>
        <r>
          <rPr>
            <b/>
            <sz val="10"/>
            <color indexed="10"/>
            <rFont val="Calibri"/>
            <family val="2"/>
          </rPr>
          <t>SM464</t>
        </r>
        <r>
          <rPr>
            <b/>
            <sz val="8.5"/>
            <color indexed="8"/>
            <rFont val="Calibri"/>
            <family val="2"/>
          </rPr>
          <t xml:space="preserve"> }-_x000D_
_x000D_
[</t>
        </r>
        <r>
          <rPr>
            <b/>
            <sz val="8.5"/>
            <color indexed="48"/>
            <rFont val="Calibri"/>
            <family val="2"/>
          </rPr>
          <t xml:space="preserve">LF </t>
        </r>
        <r>
          <rPr>
            <b/>
            <sz val="8.5"/>
            <color indexed="8"/>
            <rFont val="Calibri"/>
            <family val="2"/>
          </rPr>
          <t>» 52.4%] - [</t>
        </r>
        <r>
          <rPr>
            <b/>
            <sz val="8.5"/>
            <color indexed="48"/>
            <rFont val="Calibri"/>
            <family val="2"/>
          </rPr>
          <t xml:space="preserve">SOLD </t>
        </r>
        <r>
          <rPr>
            <b/>
            <sz val="8.5"/>
            <color indexed="8"/>
            <rFont val="Calibri"/>
            <family val="2"/>
          </rPr>
          <t>» 88 PAX]_x000D_
_x000D_
[</t>
        </r>
        <r>
          <rPr>
            <b/>
            <sz val="8.5"/>
            <color indexed="21"/>
            <rFont val="Calibri"/>
            <family val="2"/>
          </rPr>
          <t xml:space="preserve">WEEKLY </t>
        </r>
        <r>
          <rPr>
            <b/>
            <sz val="8.5"/>
            <color indexed="8"/>
            <rFont val="Calibri"/>
            <family val="2"/>
          </rPr>
          <t>» 47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10]_x000D_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W4 &amp; U4 &amp; O59 &amp; I20</t>
        </r>
      </text>
    </comment>
    <comment ref="D24" authorId="0" shapeId="0" xr:uid="{5C0B435C-6DB2-4660-A383-67CE0285F101}">
      <text>
        <r>
          <rPr>
            <b/>
            <sz val="8.5"/>
            <color indexed="8"/>
            <rFont val="Calibri"/>
            <family val="2"/>
          </rPr>
          <t xml:space="preserve">-{ </t>
        </r>
        <r>
          <rPr>
            <b/>
            <sz val="10"/>
            <color indexed="10"/>
            <rFont val="Calibri"/>
            <family val="2"/>
          </rPr>
          <t>SM464</t>
        </r>
        <r>
          <rPr>
            <b/>
            <sz val="8.5"/>
            <color indexed="8"/>
            <rFont val="Calibri"/>
            <family val="2"/>
          </rPr>
          <t xml:space="preserve"> }-_x000D_
_x000D_
[</t>
        </r>
        <r>
          <rPr>
            <b/>
            <sz val="8.5"/>
            <color indexed="48"/>
            <rFont val="Calibri"/>
            <family val="2"/>
          </rPr>
          <t xml:space="preserve">LF </t>
        </r>
        <r>
          <rPr>
            <b/>
            <sz val="8.5"/>
            <color indexed="8"/>
            <rFont val="Calibri"/>
            <family val="2"/>
          </rPr>
          <t>» 52.4%] - [</t>
        </r>
        <r>
          <rPr>
            <b/>
            <sz val="8.5"/>
            <color indexed="48"/>
            <rFont val="Calibri"/>
            <family val="2"/>
          </rPr>
          <t xml:space="preserve">SOLD </t>
        </r>
        <r>
          <rPr>
            <b/>
            <sz val="8.5"/>
            <color indexed="8"/>
            <rFont val="Calibri"/>
            <family val="2"/>
          </rPr>
          <t>» 88 PAX]_x000D_
_x000D_
[</t>
        </r>
        <r>
          <rPr>
            <b/>
            <sz val="8.5"/>
            <color indexed="21"/>
            <rFont val="Calibri"/>
            <family val="2"/>
          </rPr>
          <t xml:space="preserve">WEEKLY </t>
        </r>
        <r>
          <rPr>
            <b/>
            <sz val="8.5"/>
            <color indexed="8"/>
            <rFont val="Calibri"/>
            <family val="2"/>
          </rPr>
          <t>» 47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10]_x000D_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W4 &amp; U4 &amp; O59 &amp; I20</t>
        </r>
      </text>
    </comment>
    <comment ref="E24" authorId="0" shapeId="0" xr:uid="{988595D5-3831-4530-9F86-C642B1CC9AA3}">
      <text>
        <r>
          <rPr>
            <b/>
            <sz val="8.5"/>
            <color indexed="8"/>
            <rFont val="Calibri"/>
            <family val="2"/>
          </rPr>
          <t xml:space="preserve">-{ </t>
        </r>
        <r>
          <rPr>
            <b/>
            <sz val="10"/>
            <color indexed="10"/>
            <rFont val="Calibri"/>
            <family val="2"/>
          </rPr>
          <t>SM464</t>
        </r>
        <r>
          <rPr>
            <b/>
            <sz val="8.5"/>
            <color indexed="8"/>
            <rFont val="Calibri"/>
            <family val="2"/>
          </rPr>
          <t xml:space="preserve"> }-_x000D_
_x000D_
[</t>
        </r>
        <r>
          <rPr>
            <b/>
            <sz val="8.5"/>
            <color indexed="48"/>
            <rFont val="Calibri"/>
            <family val="2"/>
          </rPr>
          <t xml:space="preserve">LF </t>
        </r>
        <r>
          <rPr>
            <b/>
            <sz val="8.5"/>
            <color indexed="8"/>
            <rFont val="Calibri"/>
            <family val="2"/>
          </rPr>
          <t>» 52.4%] - [</t>
        </r>
        <r>
          <rPr>
            <b/>
            <sz val="8.5"/>
            <color indexed="48"/>
            <rFont val="Calibri"/>
            <family val="2"/>
          </rPr>
          <t xml:space="preserve">SOLD </t>
        </r>
        <r>
          <rPr>
            <b/>
            <sz val="8.5"/>
            <color indexed="8"/>
            <rFont val="Calibri"/>
            <family val="2"/>
          </rPr>
          <t>» 88 PAX]_x000D_
_x000D_
[</t>
        </r>
        <r>
          <rPr>
            <b/>
            <sz val="8.5"/>
            <color indexed="21"/>
            <rFont val="Calibri"/>
            <family val="2"/>
          </rPr>
          <t xml:space="preserve">WEEKLY </t>
        </r>
        <r>
          <rPr>
            <b/>
            <sz val="8.5"/>
            <color indexed="8"/>
            <rFont val="Calibri"/>
            <family val="2"/>
          </rPr>
          <t>» 47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10]_x000D_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W4 &amp; U4 &amp; O59 &amp; I20</t>
        </r>
      </text>
    </comment>
    <comment ref="F24" authorId="0" shapeId="0" xr:uid="{8EA6ACE5-F98A-4AAD-8273-3F54603FE2EB}">
      <text>
        <r>
          <rPr>
            <b/>
            <sz val="8.5"/>
            <color indexed="8"/>
            <rFont val="Calibri"/>
            <family val="2"/>
          </rPr>
          <t xml:space="preserve">-{ </t>
        </r>
        <r>
          <rPr>
            <b/>
            <sz val="10"/>
            <color indexed="10"/>
            <rFont val="Calibri"/>
            <family val="2"/>
          </rPr>
          <t>SM464</t>
        </r>
        <r>
          <rPr>
            <b/>
            <sz val="8.5"/>
            <color indexed="8"/>
            <rFont val="Calibri"/>
            <family val="2"/>
          </rPr>
          <t xml:space="preserve"> }-_x000D_
_x000D_
[</t>
        </r>
        <r>
          <rPr>
            <b/>
            <sz val="8.5"/>
            <color indexed="48"/>
            <rFont val="Calibri"/>
            <family val="2"/>
          </rPr>
          <t xml:space="preserve">LF </t>
        </r>
        <r>
          <rPr>
            <b/>
            <sz val="8.5"/>
            <color indexed="8"/>
            <rFont val="Calibri"/>
            <family val="2"/>
          </rPr>
          <t>» 52.4%] - [</t>
        </r>
        <r>
          <rPr>
            <b/>
            <sz val="8.5"/>
            <color indexed="48"/>
            <rFont val="Calibri"/>
            <family val="2"/>
          </rPr>
          <t xml:space="preserve">SOLD </t>
        </r>
        <r>
          <rPr>
            <b/>
            <sz val="8.5"/>
            <color indexed="8"/>
            <rFont val="Calibri"/>
            <family val="2"/>
          </rPr>
          <t>» 88 PAX]_x000D_
_x000D_
[</t>
        </r>
        <r>
          <rPr>
            <b/>
            <sz val="8.5"/>
            <color indexed="21"/>
            <rFont val="Calibri"/>
            <family val="2"/>
          </rPr>
          <t xml:space="preserve">WEEKLY </t>
        </r>
        <r>
          <rPr>
            <b/>
            <sz val="8.5"/>
            <color indexed="8"/>
            <rFont val="Calibri"/>
            <family val="2"/>
          </rPr>
          <t>» 47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10]_x000D_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W4 &amp; U4 &amp; O59 &amp; I20</t>
        </r>
      </text>
    </comment>
    <comment ref="G24" authorId="0" shapeId="0" xr:uid="{60838789-815C-43C4-846B-487CD050A3EC}">
      <text>
        <r>
          <rPr>
            <b/>
            <sz val="8.5"/>
            <color indexed="8"/>
            <rFont val="Calibri"/>
            <family val="2"/>
          </rPr>
          <t xml:space="preserve">-{ </t>
        </r>
        <r>
          <rPr>
            <b/>
            <sz val="10"/>
            <color indexed="10"/>
            <rFont val="Calibri"/>
            <family val="2"/>
          </rPr>
          <t>SM464</t>
        </r>
        <r>
          <rPr>
            <b/>
            <sz val="8.5"/>
            <color indexed="8"/>
            <rFont val="Calibri"/>
            <family val="2"/>
          </rPr>
          <t xml:space="preserve"> }-_x000D_
_x000D_
[</t>
        </r>
        <r>
          <rPr>
            <b/>
            <sz val="8.5"/>
            <color indexed="48"/>
            <rFont val="Calibri"/>
            <family val="2"/>
          </rPr>
          <t xml:space="preserve">LF </t>
        </r>
        <r>
          <rPr>
            <b/>
            <sz val="8.5"/>
            <color indexed="8"/>
            <rFont val="Calibri"/>
            <family val="2"/>
          </rPr>
          <t>» 52.4%] - [</t>
        </r>
        <r>
          <rPr>
            <b/>
            <sz val="8.5"/>
            <color indexed="48"/>
            <rFont val="Calibri"/>
            <family val="2"/>
          </rPr>
          <t xml:space="preserve">SOLD </t>
        </r>
        <r>
          <rPr>
            <b/>
            <sz val="8.5"/>
            <color indexed="8"/>
            <rFont val="Calibri"/>
            <family val="2"/>
          </rPr>
          <t>» 88 PAX]_x000D_
_x000D_
[</t>
        </r>
        <r>
          <rPr>
            <b/>
            <sz val="8.5"/>
            <color indexed="21"/>
            <rFont val="Calibri"/>
            <family val="2"/>
          </rPr>
          <t xml:space="preserve">WEEKLY </t>
        </r>
        <r>
          <rPr>
            <b/>
            <sz val="8.5"/>
            <color indexed="8"/>
            <rFont val="Calibri"/>
            <family val="2"/>
          </rPr>
          <t>» 47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10]_x000D_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W4 &amp; U4 &amp; O59 &amp; I20</t>
        </r>
      </text>
    </comment>
    <comment ref="H24" authorId="0" shapeId="0" xr:uid="{DF2484E4-690D-4003-BDCB-E64799A7983C}">
      <text>
        <r>
          <rPr>
            <b/>
            <sz val="8.5"/>
            <color indexed="8"/>
            <rFont val="Calibri"/>
            <family val="2"/>
          </rPr>
          <t xml:space="preserve">-{ </t>
        </r>
        <r>
          <rPr>
            <b/>
            <sz val="10"/>
            <color indexed="10"/>
            <rFont val="Calibri"/>
            <family val="2"/>
          </rPr>
          <t>SM464</t>
        </r>
        <r>
          <rPr>
            <b/>
            <sz val="8.5"/>
            <color indexed="8"/>
            <rFont val="Calibri"/>
            <family val="2"/>
          </rPr>
          <t xml:space="preserve"> }-_x000D_
_x000D_
[</t>
        </r>
        <r>
          <rPr>
            <b/>
            <sz val="8.5"/>
            <color indexed="48"/>
            <rFont val="Calibri"/>
            <family val="2"/>
          </rPr>
          <t xml:space="preserve">LF </t>
        </r>
        <r>
          <rPr>
            <b/>
            <sz val="8.5"/>
            <color indexed="8"/>
            <rFont val="Calibri"/>
            <family val="2"/>
          </rPr>
          <t>» 52.4%] - [</t>
        </r>
        <r>
          <rPr>
            <b/>
            <sz val="8.5"/>
            <color indexed="48"/>
            <rFont val="Calibri"/>
            <family val="2"/>
          </rPr>
          <t xml:space="preserve">SOLD </t>
        </r>
        <r>
          <rPr>
            <b/>
            <sz val="8.5"/>
            <color indexed="8"/>
            <rFont val="Calibri"/>
            <family val="2"/>
          </rPr>
          <t>» 88 PAX]_x000D_
_x000D_
[</t>
        </r>
        <r>
          <rPr>
            <b/>
            <sz val="8.5"/>
            <color indexed="21"/>
            <rFont val="Calibri"/>
            <family val="2"/>
          </rPr>
          <t xml:space="preserve">WEEKLY </t>
        </r>
        <r>
          <rPr>
            <b/>
            <sz val="8.5"/>
            <color indexed="8"/>
            <rFont val="Calibri"/>
            <family val="2"/>
          </rPr>
          <t>» 47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10]_x000D_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W4 &amp; U4 &amp; O59 &amp; I20</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9" authorId="0" shapeId="0" xr:uid="{28A048A4-236B-44FE-9067-8989EB8AE48F}">
      <text>
        <r>
          <rPr>
            <b/>
            <sz val="8.5"/>
            <color indexed="8"/>
            <rFont val="Calibri"/>
            <family val="2"/>
          </rPr>
          <t xml:space="preserve">-{ </t>
        </r>
        <r>
          <rPr>
            <b/>
            <sz val="10"/>
            <color indexed="10"/>
            <rFont val="Calibri"/>
            <family val="2"/>
          </rPr>
          <t>SM434</t>
        </r>
        <r>
          <rPr>
            <b/>
            <sz val="8.5"/>
            <color indexed="8"/>
            <rFont val="Calibri"/>
            <family val="2"/>
          </rPr>
          <t xml:space="preserve"> }-_x000D_
_x000D_
[</t>
        </r>
        <r>
          <rPr>
            <b/>
            <sz val="8.5"/>
            <color indexed="48"/>
            <rFont val="Calibri"/>
            <family val="2"/>
          </rPr>
          <t xml:space="preserve">LF </t>
        </r>
        <r>
          <rPr>
            <b/>
            <sz val="8.5"/>
            <color indexed="8"/>
            <rFont val="Calibri"/>
            <family val="2"/>
          </rPr>
          <t>» 61.3%] - [</t>
        </r>
        <r>
          <rPr>
            <b/>
            <sz val="8.5"/>
            <color indexed="48"/>
            <rFont val="Calibri"/>
            <family val="2"/>
          </rPr>
          <t xml:space="preserve">SOLD </t>
        </r>
        <r>
          <rPr>
            <b/>
            <sz val="8.5"/>
            <color indexed="8"/>
            <rFont val="Calibri"/>
            <family val="2"/>
          </rPr>
          <t>» 103 PAX]_x000D_
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K1]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Q9 &amp; K19 &amp; V10 &amp; L16 &amp; G35 &amp; S10 &amp; W3 &amp; O1</t>
        </r>
      </text>
    </comment>
    <comment ref="B9" authorId="0" shapeId="0" xr:uid="{5A19A428-15FA-4296-93C0-2BE18FF2154F}">
      <text>
        <r>
          <rPr>
            <b/>
            <sz val="8.5"/>
            <color indexed="8"/>
            <rFont val="Calibri"/>
            <family val="2"/>
          </rPr>
          <t xml:space="preserve">-{ </t>
        </r>
        <r>
          <rPr>
            <b/>
            <sz val="10"/>
            <color indexed="10"/>
            <rFont val="Calibri"/>
            <family val="2"/>
          </rPr>
          <t>SM434</t>
        </r>
        <r>
          <rPr>
            <b/>
            <sz val="8.5"/>
            <color indexed="8"/>
            <rFont val="Calibri"/>
            <family val="2"/>
          </rPr>
          <t xml:space="preserve"> }-_x000D_
_x000D_
[</t>
        </r>
        <r>
          <rPr>
            <b/>
            <sz val="8.5"/>
            <color indexed="48"/>
            <rFont val="Calibri"/>
            <family val="2"/>
          </rPr>
          <t xml:space="preserve">LF </t>
        </r>
        <r>
          <rPr>
            <b/>
            <sz val="8.5"/>
            <color indexed="8"/>
            <rFont val="Calibri"/>
            <family val="2"/>
          </rPr>
          <t>» 61.3%] - [</t>
        </r>
        <r>
          <rPr>
            <b/>
            <sz val="8.5"/>
            <color indexed="48"/>
            <rFont val="Calibri"/>
            <family val="2"/>
          </rPr>
          <t xml:space="preserve">SOLD </t>
        </r>
        <r>
          <rPr>
            <b/>
            <sz val="8.5"/>
            <color indexed="8"/>
            <rFont val="Calibri"/>
            <family val="2"/>
          </rPr>
          <t>» 103 PAX]_x000D_
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K1]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Q9 &amp; K19 &amp; V10 &amp; L16 &amp; G35 &amp; S10 &amp; W3 &amp; O1</t>
        </r>
      </text>
    </comment>
    <comment ref="C9" authorId="0" shapeId="0" xr:uid="{ABFB542E-DF4E-4D20-865A-A6C782B1359F}">
      <text>
        <r>
          <rPr>
            <b/>
            <sz val="8.5"/>
            <color indexed="8"/>
            <rFont val="Calibri"/>
            <family val="2"/>
          </rPr>
          <t xml:space="preserve">-{ </t>
        </r>
        <r>
          <rPr>
            <b/>
            <sz val="10"/>
            <color indexed="10"/>
            <rFont val="Calibri"/>
            <family val="2"/>
          </rPr>
          <t>SM434</t>
        </r>
        <r>
          <rPr>
            <b/>
            <sz val="8.5"/>
            <color indexed="8"/>
            <rFont val="Calibri"/>
            <family val="2"/>
          </rPr>
          <t xml:space="preserve"> }-_x000D_
_x000D_
[</t>
        </r>
        <r>
          <rPr>
            <b/>
            <sz val="8.5"/>
            <color indexed="48"/>
            <rFont val="Calibri"/>
            <family val="2"/>
          </rPr>
          <t xml:space="preserve">LF </t>
        </r>
        <r>
          <rPr>
            <b/>
            <sz val="8.5"/>
            <color indexed="8"/>
            <rFont val="Calibri"/>
            <family val="2"/>
          </rPr>
          <t>» 61.3%] - [</t>
        </r>
        <r>
          <rPr>
            <b/>
            <sz val="8.5"/>
            <color indexed="48"/>
            <rFont val="Calibri"/>
            <family val="2"/>
          </rPr>
          <t xml:space="preserve">SOLD </t>
        </r>
        <r>
          <rPr>
            <b/>
            <sz val="8.5"/>
            <color indexed="8"/>
            <rFont val="Calibri"/>
            <family val="2"/>
          </rPr>
          <t>» 103 PAX]_x000D_
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K1]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Q9 &amp; K19 &amp; V10 &amp; L16 &amp; G35 &amp; S10 &amp; W3 &amp; O1</t>
        </r>
      </text>
    </comment>
    <comment ref="D9" authorId="0" shapeId="0" xr:uid="{10BAAB45-875B-4E32-B93F-B69719806896}">
      <text>
        <r>
          <rPr>
            <b/>
            <sz val="8.5"/>
            <color indexed="8"/>
            <rFont val="Calibri"/>
            <family val="2"/>
          </rPr>
          <t xml:space="preserve">-{ </t>
        </r>
        <r>
          <rPr>
            <b/>
            <sz val="10"/>
            <color indexed="10"/>
            <rFont val="Calibri"/>
            <family val="2"/>
          </rPr>
          <t>SM434</t>
        </r>
        <r>
          <rPr>
            <b/>
            <sz val="8.5"/>
            <color indexed="8"/>
            <rFont val="Calibri"/>
            <family val="2"/>
          </rPr>
          <t xml:space="preserve"> }-_x000D_
_x000D_
[</t>
        </r>
        <r>
          <rPr>
            <b/>
            <sz val="8.5"/>
            <color indexed="48"/>
            <rFont val="Calibri"/>
            <family val="2"/>
          </rPr>
          <t xml:space="preserve">LF </t>
        </r>
        <r>
          <rPr>
            <b/>
            <sz val="8.5"/>
            <color indexed="8"/>
            <rFont val="Calibri"/>
            <family val="2"/>
          </rPr>
          <t>» 61.3%] - [</t>
        </r>
        <r>
          <rPr>
            <b/>
            <sz val="8.5"/>
            <color indexed="48"/>
            <rFont val="Calibri"/>
            <family val="2"/>
          </rPr>
          <t xml:space="preserve">SOLD </t>
        </r>
        <r>
          <rPr>
            <b/>
            <sz val="8.5"/>
            <color indexed="8"/>
            <rFont val="Calibri"/>
            <family val="2"/>
          </rPr>
          <t>» 103 PAX]_x000D_
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K1]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Q9 &amp; K19 &amp; V10 &amp; L16 &amp; G35 &amp; S10 &amp; W3 &amp; O1</t>
        </r>
      </text>
    </comment>
    <comment ref="E9" authorId="0" shapeId="0" xr:uid="{FE363347-9727-4C8D-B0CF-1E7790B90CA6}">
      <text>
        <r>
          <rPr>
            <b/>
            <sz val="8.5"/>
            <color indexed="8"/>
            <rFont val="Calibri"/>
            <family val="2"/>
          </rPr>
          <t xml:space="preserve">-{ </t>
        </r>
        <r>
          <rPr>
            <b/>
            <sz val="10"/>
            <color indexed="10"/>
            <rFont val="Calibri"/>
            <family val="2"/>
          </rPr>
          <t>SM434</t>
        </r>
        <r>
          <rPr>
            <b/>
            <sz val="8.5"/>
            <color indexed="8"/>
            <rFont val="Calibri"/>
            <family val="2"/>
          </rPr>
          <t xml:space="preserve"> }-_x000D_
_x000D_
[</t>
        </r>
        <r>
          <rPr>
            <b/>
            <sz val="8.5"/>
            <color indexed="48"/>
            <rFont val="Calibri"/>
            <family val="2"/>
          </rPr>
          <t xml:space="preserve">LF </t>
        </r>
        <r>
          <rPr>
            <b/>
            <sz val="8.5"/>
            <color indexed="8"/>
            <rFont val="Calibri"/>
            <family val="2"/>
          </rPr>
          <t>» 61.3%] - [</t>
        </r>
        <r>
          <rPr>
            <b/>
            <sz val="8.5"/>
            <color indexed="48"/>
            <rFont val="Calibri"/>
            <family val="2"/>
          </rPr>
          <t xml:space="preserve">SOLD </t>
        </r>
        <r>
          <rPr>
            <b/>
            <sz val="8.5"/>
            <color indexed="8"/>
            <rFont val="Calibri"/>
            <family val="2"/>
          </rPr>
          <t>» 103 PAX]_x000D_
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K1]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Q9 &amp; K19 &amp; V10 &amp; L16 &amp; G35 &amp; S10 &amp; W3 &amp; O1</t>
        </r>
      </text>
    </comment>
    <comment ref="F9" authorId="0" shapeId="0" xr:uid="{9D91E33A-BFA1-41E2-B36C-9E002AFE9A73}">
      <text>
        <r>
          <rPr>
            <b/>
            <sz val="8.5"/>
            <color indexed="8"/>
            <rFont val="Calibri"/>
            <family val="2"/>
          </rPr>
          <t xml:space="preserve">-{ </t>
        </r>
        <r>
          <rPr>
            <b/>
            <sz val="10"/>
            <color indexed="10"/>
            <rFont val="Calibri"/>
            <family val="2"/>
          </rPr>
          <t>SM434</t>
        </r>
        <r>
          <rPr>
            <b/>
            <sz val="8.5"/>
            <color indexed="8"/>
            <rFont val="Calibri"/>
            <family val="2"/>
          </rPr>
          <t xml:space="preserve"> }-_x000D_
_x000D_
[</t>
        </r>
        <r>
          <rPr>
            <b/>
            <sz val="8.5"/>
            <color indexed="48"/>
            <rFont val="Calibri"/>
            <family val="2"/>
          </rPr>
          <t xml:space="preserve">LF </t>
        </r>
        <r>
          <rPr>
            <b/>
            <sz val="8.5"/>
            <color indexed="8"/>
            <rFont val="Calibri"/>
            <family val="2"/>
          </rPr>
          <t>» 61.3%] - [</t>
        </r>
        <r>
          <rPr>
            <b/>
            <sz val="8.5"/>
            <color indexed="48"/>
            <rFont val="Calibri"/>
            <family val="2"/>
          </rPr>
          <t xml:space="preserve">SOLD </t>
        </r>
        <r>
          <rPr>
            <b/>
            <sz val="8.5"/>
            <color indexed="8"/>
            <rFont val="Calibri"/>
            <family val="2"/>
          </rPr>
          <t>» 103 PAX]_x000D_
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K1]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Q9 &amp; K19 &amp; V10 &amp; L16 &amp; G35 &amp; S10 &amp; W3 &amp; O1</t>
        </r>
      </text>
    </comment>
    <comment ref="G9" authorId="0" shapeId="0" xr:uid="{A7564E39-8B95-4C81-92CC-C74975C6BEE8}">
      <text>
        <r>
          <rPr>
            <b/>
            <sz val="8.5"/>
            <color indexed="8"/>
            <rFont val="Calibri"/>
            <family val="2"/>
          </rPr>
          <t xml:space="preserve">-{ </t>
        </r>
        <r>
          <rPr>
            <b/>
            <sz val="10"/>
            <color indexed="10"/>
            <rFont val="Calibri"/>
            <family val="2"/>
          </rPr>
          <t>SM434</t>
        </r>
        <r>
          <rPr>
            <b/>
            <sz val="8.5"/>
            <color indexed="8"/>
            <rFont val="Calibri"/>
            <family val="2"/>
          </rPr>
          <t xml:space="preserve"> }-_x000D_
_x000D_
[</t>
        </r>
        <r>
          <rPr>
            <b/>
            <sz val="8.5"/>
            <color indexed="48"/>
            <rFont val="Calibri"/>
            <family val="2"/>
          </rPr>
          <t xml:space="preserve">LF </t>
        </r>
        <r>
          <rPr>
            <b/>
            <sz val="8.5"/>
            <color indexed="8"/>
            <rFont val="Calibri"/>
            <family val="2"/>
          </rPr>
          <t>» 61.3%] - [</t>
        </r>
        <r>
          <rPr>
            <b/>
            <sz val="8.5"/>
            <color indexed="48"/>
            <rFont val="Calibri"/>
            <family val="2"/>
          </rPr>
          <t xml:space="preserve">SOLD </t>
        </r>
        <r>
          <rPr>
            <b/>
            <sz val="8.5"/>
            <color indexed="8"/>
            <rFont val="Calibri"/>
            <family val="2"/>
          </rPr>
          <t>» 103 PAX]_x000D_
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K1]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Q9 &amp; K19 &amp; V10 &amp; L16 &amp; G35 &amp; S10 &amp; W3 &amp; O1</t>
        </r>
      </text>
    </comment>
    <comment ref="H9" authorId="0" shapeId="0" xr:uid="{8AD02EE2-90CA-4072-A012-1395C5A331E3}">
      <text>
        <r>
          <rPr>
            <b/>
            <sz val="8.5"/>
            <color indexed="8"/>
            <rFont val="Calibri"/>
            <family val="2"/>
          </rPr>
          <t xml:space="preserve">-{ </t>
        </r>
        <r>
          <rPr>
            <b/>
            <sz val="10"/>
            <color indexed="10"/>
            <rFont val="Calibri"/>
            <family val="2"/>
          </rPr>
          <t>SM434</t>
        </r>
        <r>
          <rPr>
            <b/>
            <sz val="8.5"/>
            <color indexed="8"/>
            <rFont val="Calibri"/>
            <family val="2"/>
          </rPr>
          <t xml:space="preserve"> }-_x000D_
_x000D_
[</t>
        </r>
        <r>
          <rPr>
            <b/>
            <sz val="8.5"/>
            <color indexed="48"/>
            <rFont val="Calibri"/>
            <family val="2"/>
          </rPr>
          <t xml:space="preserve">LF </t>
        </r>
        <r>
          <rPr>
            <b/>
            <sz val="8.5"/>
            <color indexed="8"/>
            <rFont val="Calibri"/>
            <family val="2"/>
          </rPr>
          <t>» 61.3%] - [</t>
        </r>
        <r>
          <rPr>
            <b/>
            <sz val="8.5"/>
            <color indexed="48"/>
            <rFont val="Calibri"/>
            <family val="2"/>
          </rPr>
          <t xml:space="preserve">SOLD </t>
        </r>
        <r>
          <rPr>
            <b/>
            <sz val="8.5"/>
            <color indexed="8"/>
            <rFont val="Calibri"/>
            <family val="2"/>
          </rPr>
          <t>» 103 PAX]_x000D_
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K1]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Q9 &amp; K19 &amp; V10 &amp; L16 &amp; G35 &amp; S10 &amp; W3 &amp; O1</t>
        </r>
      </text>
    </comment>
    <comment ref="A24" authorId="0" shapeId="0" xr:uid="{93169664-C5F9-43BC-8B53-4447484531A8}">
      <text>
        <r>
          <rPr>
            <b/>
            <sz val="8.5"/>
            <color indexed="8"/>
            <rFont val="Calibri"/>
            <family val="2"/>
          </rPr>
          <t xml:space="preserve">-{ </t>
        </r>
        <r>
          <rPr>
            <b/>
            <sz val="10"/>
            <color indexed="10"/>
            <rFont val="Calibri"/>
            <family val="2"/>
          </rPr>
          <t>SM434</t>
        </r>
        <r>
          <rPr>
            <b/>
            <sz val="8.5"/>
            <color indexed="8"/>
            <rFont val="Calibri"/>
            <family val="2"/>
          </rPr>
          <t xml:space="preserve"> }-_x000D_
_x000D_
[</t>
        </r>
        <r>
          <rPr>
            <b/>
            <sz val="8.5"/>
            <color indexed="48"/>
            <rFont val="Calibri"/>
            <family val="2"/>
          </rPr>
          <t xml:space="preserve">LF </t>
        </r>
        <r>
          <rPr>
            <b/>
            <sz val="8.5"/>
            <color indexed="8"/>
            <rFont val="Calibri"/>
            <family val="2"/>
          </rPr>
          <t>» 48.2%] - [</t>
        </r>
        <r>
          <rPr>
            <b/>
            <sz val="8.5"/>
            <color indexed="48"/>
            <rFont val="Calibri"/>
            <family val="2"/>
          </rPr>
          <t xml:space="preserve">SOLD </t>
        </r>
        <r>
          <rPr>
            <b/>
            <sz val="8.5"/>
            <color indexed="8"/>
            <rFont val="Calibri"/>
            <family val="2"/>
          </rPr>
          <t>» 81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S2]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G1 &amp; S18 &amp; W12 &amp; X8 &amp; U8 &amp; O8 &amp; I26</t>
        </r>
      </text>
    </comment>
    <comment ref="B24" authorId="0" shapeId="0" xr:uid="{DB609B0B-A1A5-400C-82FE-9B7C7FBF8A4B}">
      <text>
        <r>
          <rPr>
            <b/>
            <sz val="8.5"/>
            <color indexed="8"/>
            <rFont val="Calibri"/>
            <family val="2"/>
          </rPr>
          <t xml:space="preserve">-{ </t>
        </r>
        <r>
          <rPr>
            <b/>
            <sz val="10"/>
            <color indexed="10"/>
            <rFont val="Calibri"/>
            <family val="2"/>
          </rPr>
          <t>SM434</t>
        </r>
        <r>
          <rPr>
            <b/>
            <sz val="8.5"/>
            <color indexed="8"/>
            <rFont val="Calibri"/>
            <family val="2"/>
          </rPr>
          <t xml:space="preserve"> }-_x000D_
_x000D_
[</t>
        </r>
        <r>
          <rPr>
            <b/>
            <sz val="8.5"/>
            <color indexed="48"/>
            <rFont val="Calibri"/>
            <family val="2"/>
          </rPr>
          <t xml:space="preserve">LF </t>
        </r>
        <r>
          <rPr>
            <b/>
            <sz val="8.5"/>
            <color indexed="8"/>
            <rFont val="Calibri"/>
            <family val="2"/>
          </rPr>
          <t>» 48.2%] - [</t>
        </r>
        <r>
          <rPr>
            <b/>
            <sz val="8.5"/>
            <color indexed="48"/>
            <rFont val="Calibri"/>
            <family val="2"/>
          </rPr>
          <t xml:space="preserve">SOLD </t>
        </r>
        <r>
          <rPr>
            <b/>
            <sz val="8.5"/>
            <color indexed="8"/>
            <rFont val="Calibri"/>
            <family val="2"/>
          </rPr>
          <t>» 81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S2]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G1 &amp; S18 &amp; W12 &amp; X8 &amp; U8 &amp; O8 &amp; I26</t>
        </r>
      </text>
    </comment>
    <comment ref="C24" authorId="0" shapeId="0" xr:uid="{B50820BE-84D5-4BA8-B626-2864A25DB2CC}">
      <text>
        <r>
          <rPr>
            <b/>
            <sz val="8.5"/>
            <color indexed="8"/>
            <rFont val="Calibri"/>
            <family val="2"/>
          </rPr>
          <t xml:space="preserve">-{ </t>
        </r>
        <r>
          <rPr>
            <b/>
            <sz val="10"/>
            <color indexed="10"/>
            <rFont val="Calibri"/>
            <family val="2"/>
          </rPr>
          <t>SM434</t>
        </r>
        <r>
          <rPr>
            <b/>
            <sz val="8.5"/>
            <color indexed="8"/>
            <rFont val="Calibri"/>
            <family val="2"/>
          </rPr>
          <t xml:space="preserve"> }-_x000D_
_x000D_
[</t>
        </r>
        <r>
          <rPr>
            <b/>
            <sz val="8.5"/>
            <color indexed="48"/>
            <rFont val="Calibri"/>
            <family val="2"/>
          </rPr>
          <t xml:space="preserve">LF </t>
        </r>
        <r>
          <rPr>
            <b/>
            <sz val="8.5"/>
            <color indexed="8"/>
            <rFont val="Calibri"/>
            <family val="2"/>
          </rPr>
          <t>» 48.2%] - [</t>
        </r>
        <r>
          <rPr>
            <b/>
            <sz val="8.5"/>
            <color indexed="48"/>
            <rFont val="Calibri"/>
            <family val="2"/>
          </rPr>
          <t xml:space="preserve">SOLD </t>
        </r>
        <r>
          <rPr>
            <b/>
            <sz val="8.5"/>
            <color indexed="8"/>
            <rFont val="Calibri"/>
            <family val="2"/>
          </rPr>
          <t>» 81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S2]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G1 &amp; S18 &amp; W12 &amp; X8 &amp; U8 &amp; O8 &amp; I26</t>
        </r>
      </text>
    </comment>
    <comment ref="D24" authorId="0" shapeId="0" xr:uid="{1CE02A93-884B-4A8C-B0D8-45883B7AD648}">
      <text>
        <r>
          <rPr>
            <b/>
            <sz val="8.5"/>
            <color indexed="8"/>
            <rFont val="Calibri"/>
            <family val="2"/>
          </rPr>
          <t xml:space="preserve">-{ </t>
        </r>
        <r>
          <rPr>
            <b/>
            <sz val="10"/>
            <color indexed="10"/>
            <rFont val="Calibri"/>
            <family val="2"/>
          </rPr>
          <t>SM434</t>
        </r>
        <r>
          <rPr>
            <b/>
            <sz val="8.5"/>
            <color indexed="8"/>
            <rFont val="Calibri"/>
            <family val="2"/>
          </rPr>
          <t xml:space="preserve"> }-_x000D_
_x000D_
[</t>
        </r>
        <r>
          <rPr>
            <b/>
            <sz val="8.5"/>
            <color indexed="48"/>
            <rFont val="Calibri"/>
            <family val="2"/>
          </rPr>
          <t xml:space="preserve">LF </t>
        </r>
        <r>
          <rPr>
            <b/>
            <sz val="8.5"/>
            <color indexed="8"/>
            <rFont val="Calibri"/>
            <family val="2"/>
          </rPr>
          <t>» 48.2%] - [</t>
        </r>
        <r>
          <rPr>
            <b/>
            <sz val="8.5"/>
            <color indexed="48"/>
            <rFont val="Calibri"/>
            <family val="2"/>
          </rPr>
          <t xml:space="preserve">SOLD </t>
        </r>
        <r>
          <rPr>
            <b/>
            <sz val="8.5"/>
            <color indexed="8"/>
            <rFont val="Calibri"/>
            <family val="2"/>
          </rPr>
          <t>» 81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S2]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G1 &amp; S18 &amp; W12 &amp; X8 &amp; U8 &amp; O8 &amp; I26</t>
        </r>
      </text>
    </comment>
    <comment ref="E24" authorId="0" shapeId="0" xr:uid="{15551FC0-690D-46CB-AE72-50AE20B9AA06}">
      <text>
        <r>
          <rPr>
            <b/>
            <sz val="8.5"/>
            <color indexed="8"/>
            <rFont val="Calibri"/>
            <family val="2"/>
          </rPr>
          <t xml:space="preserve">-{ </t>
        </r>
        <r>
          <rPr>
            <b/>
            <sz val="10"/>
            <color indexed="10"/>
            <rFont val="Calibri"/>
            <family val="2"/>
          </rPr>
          <t>SM434</t>
        </r>
        <r>
          <rPr>
            <b/>
            <sz val="8.5"/>
            <color indexed="8"/>
            <rFont val="Calibri"/>
            <family val="2"/>
          </rPr>
          <t xml:space="preserve"> }-_x000D_
_x000D_
[</t>
        </r>
        <r>
          <rPr>
            <b/>
            <sz val="8.5"/>
            <color indexed="48"/>
            <rFont val="Calibri"/>
            <family val="2"/>
          </rPr>
          <t xml:space="preserve">LF </t>
        </r>
        <r>
          <rPr>
            <b/>
            <sz val="8.5"/>
            <color indexed="8"/>
            <rFont val="Calibri"/>
            <family val="2"/>
          </rPr>
          <t>» 48.2%] - [</t>
        </r>
        <r>
          <rPr>
            <b/>
            <sz val="8.5"/>
            <color indexed="48"/>
            <rFont val="Calibri"/>
            <family val="2"/>
          </rPr>
          <t xml:space="preserve">SOLD </t>
        </r>
        <r>
          <rPr>
            <b/>
            <sz val="8.5"/>
            <color indexed="8"/>
            <rFont val="Calibri"/>
            <family val="2"/>
          </rPr>
          <t>» 81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S2]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G1 &amp; S18 &amp; W12 &amp; X8 &amp; U8 &amp; O8 &amp; I26</t>
        </r>
      </text>
    </comment>
    <comment ref="F24" authorId="0" shapeId="0" xr:uid="{D92499F9-80C9-4718-8229-5DA114491104}">
      <text>
        <r>
          <rPr>
            <b/>
            <sz val="8.5"/>
            <color indexed="8"/>
            <rFont val="Calibri"/>
            <family val="2"/>
          </rPr>
          <t xml:space="preserve">-{ </t>
        </r>
        <r>
          <rPr>
            <b/>
            <sz val="10"/>
            <color indexed="10"/>
            <rFont val="Calibri"/>
            <family val="2"/>
          </rPr>
          <t>SM434</t>
        </r>
        <r>
          <rPr>
            <b/>
            <sz val="8.5"/>
            <color indexed="8"/>
            <rFont val="Calibri"/>
            <family val="2"/>
          </rPr>
          <t xml:space="preserve"> }-_x000D_
_x000D_
[</t>
        </r>
        <r>
          <rPr>
            <b/>
            <sz val="8.5"/>
            <color indexed="48"/>
            <rFont val="Calibri"/>
            <family val="2"/>
          </rPr>
          <t xml:space="preserve">LF </t>
        </r>
        <r>
          <rPr>
            <b/>
            <sz val="8.5"/>
            <color indexed="8"/>
            <rFont val="Calibri"/>
            <family val="2"/>
          </rPr>
          <t>» 48.2%] - [</t>
        </r>
        <r>
          <rPr>
            <b/>
            <sz val="8.5"/>
            <color indexed="48"/>
            <rFont val="Calibri"/>
            <family val="2"/>
          </rPr>
          <t xml:space="preserve">SOLD </t>
        </r>
        <r>
          <rPr>
            <b/>
            <sz val="8.5"/>
            <color indexed="8"/>
            <rFont val="Calibri"/>
            <family val="2"/>
          </rPr>
          <t>» 81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S2]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G1 &amp; S18 &amp; W12 &amp; X8 &amp; U8 &amp; O8 &amp; I26</t>
        </r>
      </text>
    </comment>
    <comment ref="G24" authorId="0" shapeId="0" xr:uid="{30E24532-36DB-4F3A-ACBB-66C3D2A11A4E}">
      <text>
        <r>
          <rPr>
            <b/>
            <sz val="8.5"/>
            <color indexed="8"/>
            <rFont val="Calibri"/>
            <family val="2"/>
          </rPr>
          <t xml:space="preserve">-{ </t>
        </r>
        <r>
          <rPr>
            <b/>
            <sz val="10"/>
            <color indexed="10"/>
            <rFont val="Calibri"/>
            <family val="2"/>
          </rPr>
          <t>SM434</t>
        </r>
        <r>
          <rPr>
            <b/>
            <sz val="8.5"/>
            <color indexed="8"/>
            <rFont val="Calibri"/>
            <family val="2"/>
          </rPr>
          <t xml:space="preserve"> }-_x000D_
_x000D_
[</t>
        </r>
        <r>
          <rPr>
            <b/>
            <sz val="8.5"/>
            <color indexed="48"/>
            <rFont val="Calibri"/>
            <family val="2"/>
          </rPr>
          <t xml:space="preserve">LF </t>
        </r>
        <r>
          <rPr>
            <b/>
            <sz val="8.5"/>
            <color indexed="8"/>
            <rFont val="Calibri"/>
            <family val="2"/>
          </rPr>
          <t>» 48.2%] - [</t>
        </r>
        <r>
          <rPr>
            <b/>
            <sz val="8.5"/>
            <color indexed="48"/>
            <rFont val="Calibri"/>
            <family val="2"/>
          </rPr>
          <t xml:space="preserve">SOLD </t>
        </r>
        <r>
          <rPr>
            <b/>
            <sz val="8.5"/>
            <color indexed="8"/>
            <rFont val="Calibri"/>
            <family val="2"/>
          </rPr>
          <t>» 81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S2]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G1 &amp; S18 &amp; W12 &amp; X8 &amp; U8 &amp; O8 &amp; I26</t>
        </r>
      </text>
    </comment>
    <comment ref="H24" authorId="0" shapeId="0" xr:uid="{78394A07-A13E-4252-A541-705EF8C7B7D6}">
      <text>
        <r>
          <rPr>
            <b/>
            <sz val="8.5"/>
            <color indexed="8"/>
            <rFont val="Calibri"/>
            <family val="2"/>
          </rPr>
          <t xml:space="preserve">-{ </t>
        </r>
        <r>
          <rPr>
            <b/>
            <sz val="10"/>
            <color indexed="10"/>
            <rFont val="Calibri"/>
            <family val="2"/>
          </rPr>
          <t>SM434</t>
        </r>
        <r>
          <rPr>
            <b/>
            <sz val="8.5"/>
            <color indexed="8"/>
            <rFont val="Calibri"/>
            <family val="2"/>
          </rPr>
          <t xml:space="preserve"> }-_x000D_
_x000D_
[</t>
        </r>
        <r>
          <rPr>
            <b/>
            <sz val="8.5"/>
            <color indexed="48"/>
            <rFont val="Calibri"/>
            <family val="2"/>
          </rPr>
          <t xml:space="preserve">LF </t>
        </r>
        <r>
          <rPr>
            <b/>
            <sz val="8.5"/>
            <color indexed="8"/>
            <rFont val="Calibri"/>
            <family val="2"/>
          </rPr>
          <t>» 48.2%] - [</t>
        </r>
        <r>
          <rPr>
            <b/>
            <sz val="8.5"/>
            <color indexed="48"/>
            <rFont val="Calibri"/>
            <family val="2"/>
          </rPr>
          <t xml:space="preserve">SOLD </t>
        </r>
        <r>
          <rPr>
            <b/>
            <sz val="8.5"/>
            <color indexed="8"/>
            <rFont val="Calibri"/>
            <family val="2"/>
          </rPr>
          <t>» 81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S2]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G1 &amp; S18 &amp; W12 &amp; X8 &amp; U8 &amp; O8 &amp; I26</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2" authorId="0" shapeId="0" xr:uid="{ABCEE010-D1DD-4CFD-AF9B-899DF47664E2}">
      <text>
        <r>
          <rPr>
            <b/>
            <sz val="8.5"/>
            <color indexed="8"/>
            <rFont val="Calibri"/>
            <family val="2"/>
          </rPr>
          <t xml:space="preserve">-{ </t>
        </r>
        <r>
          <rPr>
            <b/>
            <sz val="10"/>
            <color indexed="10"/>
            <rFont val="Calibri"/>
            <family val="2"/>
          </rPr>
          <t>SM434</t>
        </r>
        <r>
          <rPr>
            <b/>
            <sz val="8.5"/>
            <color indexed="8"/>
            <rFont val="Calibri"/>
            <family val="2"/>
          </rPr>
          <t xml:space="preserve"> }-_x000D_
_x000D_
[</t>
        </r>
        <r>
          <rPr>
            <b/>
            <sz val="8.5"/>
            <color indexed="48"/>
            <rFont val="Calibri"/>
            <family val="2"/>
          </rPr>
          <t xml:space="preserve">LF </t>
        </r>
        <r>
          <rPr>
            <b/>
            <sz val="8.5"/>
            <color indexed="8"/>
            <rFont val="Calibri"/>
            <family val="2"/>
          </rPr>
          <t>» 61.3%] - [</t>
        </r>
        <r>
          <rPr>
            <b/>
            <sz val="8.5"/>
            <color indexed="48"/>
            <rFont val="Calibri"/>
            <family val="2"/>
          </rPr>
          <t xml:space="preserve">SOLD </t>
        </r>
        <r>
          <rPr>
            <b/>
            <sz val="8.5"/>
            <color indexed="8"/>
            <rFont val="Calibri"/>
            <family val="2"/>
          </rPr>
          <t>» 103 PAX]_x000D_
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K1]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Q9 &amp; K19 &amp; V10 &amp; L16 &amp; G35 &amp; S10 &amp; W3 &amp; O1</t>
        </r>
      </text>
    </comment>
    <comment ref="B2" authorId="0" shapeId="0" xr:uid="{511CD75F-BDE9-429E-A73D-4F8D3DB1CA8D}">
      <text>
        <r>
          <rPr>
            <b/>
            <sz val="8.5"/>
            <color indexed="8"/>
            <rFont val="Calibri"/>
            <family val="2"/>
          </rPr>
          <t xml:space="preserve">-{ </t>
        </r>
        <r>
          <rPr>
            <b/>
            <sz val="10"/>
            <color indexed="10"/>
            <rFont val="Calibri"/>
            <family val="2"/>
          </rPr>
          <t>SM434</t>
        </r>
        <r>
          <rPr>
            <b/>
            <sz val="8.5"/>
            <color indexed="8"/>
            <rFont val="Calibri"/>
            <family val="2"/>
          </rPr>
          <t xml:space="preserve"> }-_x000D_
_x000D_
[</t>
        </r>
        <r>
          <rPr>
            <b/>
            <sz val="8.5"/>
            <color indexed="48"/>
            <rFont val="Calibri"/>
            <family val="2"/>
          </rPr>
          <t xml:space="preserve">LF </t>
        </r>
        <r>
          <rPr>
            <b/>
            <sz val="8.5"/>
            <color indexed="8"/>
            <rFont val="Calibri"/>
            <family val="2"/>
          </rPr>
          <t>» 61.3%] - [</t>
        </r>
        <r>
          <rPr>
            <b/>
            <sz val="8.5"/>
            <color indexed="48"/>
            <rFont val="Calibri"/>
            <family val="2"/>
          </rPr>
          <t xml:space="preserve">SOLD </t>
        </r>
        <r>
          <rPr>
            <b/>
            <sz val="8.5"/>
            <color indexed="8"/>
            <rFont val="Calibri"/>
            <family val="2"/>
          </rPr>
          <t>» 103 PAX]_x000D_
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K1]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Q9 &amp; K19 &amp; V10 &amp; L16 &amp; G35 &amp; S10 &amp; W3 &amp; O1</t>
        </r>
      </text>
    </comment>
    <comment ref="C2" authorId="0" shapeId="0" xr:uid="{25A1370B-D788-4744-BF4A-CBE7B9D4AD5F}">
      <text>
        <r>
          <rPr>
            <b/>
            <sz val="8.5"/>
            <color indexed="8"/>
            <rFont val="Calibri"/>
            <family val="2"/>
          </rPr>
          <t xml:space="preserve">-{ </t>
        </r>
        <r>
          <rPr>
            <b/>
            <sz val="10"/>
            <color indexed="10"/>
            <rFont val="Calibri"/>
            <family val="2"/>
          </rPr>
          <t>SM434</t>
        </r>
        <r>
          <rPr>
            <b/>
            <sz val="8.5"/>
            <color indexed="8"/>
            <rFont val="Calibri"/>
            <family val="2"/>
          </rPr>
          <t xml:space="preserve"> }-_x000D_
_x000D_
[</t>
        </r>
        <r>
          <rPr>
            <b/>
            <sz val="8.5"/>
            <color indexed="48"/>
            <rFont val="Calibri"/>
            <family val="2"/>
          </rPr>
          <t xml:space="preserve">LF </t>
        </r>
        <r>
          <rPr>
            <b/>
            <sz val="8.5"/>
            <color indexed="8"/>
            <rFont val="Calibri"/>
            <family val="2"/>
          </rPr>
          <t>» 61.3%] - [</t>
        </r>
        <r>
          <rPr>
            <b/>
            <sz val="8.5"/>
            <color indexed="48"/>
            <rFont val="Calibri"/>
            <family val="2"/>
          </rPr>
          <t xml:space="preserve">SOLD </t>
        </r>
        <r>
          <rPr>
            <b/>
            <sz val="8.5"/>
            <color indexed="8"/>
            <rFont val="Calibri"/>
            <family val="2"/>
          </rPr>
          <t>» 103 PAX]_x000D_
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K1]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Q9 &amp; K19 &amp; V10 &amp; L16 &amp; G35 &amp; S10 &amp; W3 &amp; O1</t>
        </r>
      </text>
    </comment>
    <comment ref="D2" authorId="0" shapeId="0" xr:uid="{41460FA8-5D8E-42B5-99AA-A2E4123D81BB}">
      <text>
        <r>
          <rPr>
            <b/>
            <sz val="8.5"/>
            <color indexed="8"/>
            <rFont val="Calibri"/>
            <family val="2"/>
          </rPr>
          <t xml:space="preserve">-{ </t>
        </r>
        <r>
          <rPr>
            <b/>
            <sz val="10"/>
            <color indexed="10"/>
            <rFont val="Calibri"/>
            <family val="2"/>
          </rPr>
          <t>SM434</t>
        </r>
        <r>
          <rPr>
            <b/>
            <sz val="8.5"/>
            <color indexed="8"/>
            <rFont val="Calibri"/>
            <family val="2"/>
          </rPr>
          <t xml:space="preserve"> }-_x000D_
_x000D_
[</t>
        </r>
        <r>
          <rPr>
            <b/>
            <sz val="8.5"/>
            <color indexed="48"/>
            <rFont val="Calibri"/>
            <family val="2"/>
          </rPr>
          <t xml:space="preserve">LF </t>
        </r>
        <r>
          <rPr>
            <b/>
            <sz val="8.5"/>
            <color indexed="8"/>
            <rFont val="Calibri"/>
            <family val="2"/>
          </rPr>
          <t>» 61.3%] - [</t>
        </r>
        <r>
          <rPr>
            <b/>
            <sz val="8.5"/>
            <color indexed="48"/>
            <rFont val="Calibri"/>
            <family val="2"/>
          </rPr>
          <t xml:space="preserve">SOLD </t>
        </r>
        <r>
          <rPr>
            <b/>
            <sz val="8.5"/>
            <color indexed="8"/>
            <rFont val="Calibri"/>
            <family val="2"/>
          </rPr>
          <t>» 103 PAX]_x000D_
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K1]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Q9 &amp; K19 &amp; V10 &amp; L16 &amp; G35 &amp; S10 &amp; W3 &amp; O1</t>
        </r>
      </text>
    </comment>
    <comment ref="E2" authorId="0" shapeId="0" xr:uid="{4A02E9AA-127D-44BA-9290-9174720D8352}">
      <text>
        <r>
          <rPr>
            <b/>
            <sz val="8.5"/>
            <color indexed="8"/>
            <rFont val="Calibri"/>
            <family val="2"/>
          </rPr>
          <t xml:space="preserve">-{ </t>
        </r>
        <r>
          <rPr>
            <b/>
            <sz val="10"/>
            <color indexed="10"/>
            <rFont val="Calibri"/>
            <family val="2"/>
          </rPr>
          <t>SM434</t>
        </r>
        <r>
          <rPr>
            <b/>
            <sz val="8.5"/>
            <color indexed="8"/>
            <rFont val="Calibri"/>
            <family val="2"/>
          </rPr>
          <t xml:space="preserve"> }-_x000D_
_x000D_
[</t>
        </r>
        <r>
          <rPr>
            <b/>
            <sz val="8.5"/>
            <color indexed="48"/>
            <rFont val="Calibri"/>
            <family val="2"/>
          </rPr>
          <t xml:space="preserve">LF </t>
        </r>
        <r>
          <rPr>
            <b/>
            <sz val="8.5"/>
            <color indexed="8"/>
            <rFont val="Calibri"/>
            <family val="2"/>
          </rPr>
          <t>» 61.3%] - [</t>
        </r>
        <r>
          <rPr>
            <b/>
            <sz val="8.5"/>
            <color indexed="48"/>
            <rFont val="Calibri"/>
            <family val="2"/>
          </rPr>
          <t xml:space="preserve">SOLD </t>
        </r>
        <r>
          <rPr>
            <b/>
            <sz val="8.5"/>
            <color indexed="8"/>
            <rFont val="Calibri"/>
            <family val="2"/>
          </rPr>
          <t>» 103 PAX]_x000D_
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K1]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Q9 &amp; K19 &amp; V10 &amp; L16 &amp; G35 &amp; S10 &amp; W3 &amp; O1</t>
        </r>
      </text>
    </comment>
    <comment ref="F2" authorId="0" shapeId="0" xr:uid="{E8ADCCF0-839F-48A5-A24B-F7474C27CB66}">
      <text>
        <r>
          <rPr>
            <b/>
            <sz val="8.5"/>
            <color indexed="8"/>
            <rFont val="Calibri"/>
            <family val="2"/>
          </rPr>
          <t xml:space="preserve">-{ </t>
        </r>
        <r>
          <rPr>
            <b/>
            <sz val="10"/>
            <color indexed="10"/>
            <rFont val="Calibri"/>
            <family val="2"/>
          </rPr>
          <t>SM434</t>
        </r>
        <r>
          <rPr>
            <b/>
            <sz val="8.5"/>
            <color indexed="8"/>
            <rFont val="Calibri"/>
            <family val="2"/>
          </rPr>
          <t xml:space="preserve"> }-_x000D_
_x000D_
[</t>
        </r>
        <r>
          <rPr>
            <b/>
            <sz val="8.5"/>
            <color indexed="48"/>
            <rFont val="Calibri"/>
            <family val="2"/>
          </rPr>
          <t xml:space="preserve">LF </t>
        </r>
        <r>
          <rPr>
            <b/>
            <sz val="8.5"/>
            <color indexed="8"/>
            <rFont val="Calibri"/>
            <family val="2"/>
          </rPr>
          <t>» 61.3%] - [</t>
        </r>
        <r>
          <rPr>
            <b/>
            <sz val="8.5"/>
            <color indexed="48"/>
            <rFont val="Calibri"/>
            <family val="2"/>
          </rPr>
          <t xml:space="preserve">SOLD </t>
        </r>
        <r>
          <rPr>
            <b/>
            <sz val="8.5"/>
            <color indexed="8"/>
            <rFont val="Calibri"/>
            <family val="2"/>
          </rPr>
          <t>» 103 PAX]_x000D_
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K1]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Q9 &amp; K19 &amp; V10 &amp; L16 &amp; G35 &amp; S10 &amp; W3 &amp; O1</t>
        </r>
      </text>
    </comment>
    <comment ref="G2" authorId="0" shapeId="0" xr:uid="{1FC6D691-6B3A-4795-957D-B163CB3C4B84}">
      <text>
        <r>
          <rPr>
            <b/>
            <sz val="8.5"/>
            <color indexed="8"/>
            <rFont val="Calibri"/>
            <family val="2"/>
          </rPr>
          <t xml:space="preserve">-{ </t>
        </r>
        <r>
          <rPr>
            <b/>
            <sz val="10"/>
            <color indexed="10"/>
            <rFont val="Calibri"/>
            <family val="2"/>
          </rPr>
          <t>SM434</t>
        </r>
        <r>
          <rPr>
            <b/>
            <sz val="8.5"/>
            <color indexed="8"/>
            <rFont val="Calibri"/>
            <family val="2"/>
          </rPr>
          <t xml:space="preserve"> }-_x000D_
_x000D_
[</t>
        </r>
        <r>
          <rPr>
            <b/>
            <sz val="8.5"/>
            <color indexed="48"/>
            <rFont val="Calibri"/>
            <family val="2"/>
          </rPr>
          <t xml:space="preserve">LF </t>
        </r>
        <r>
          <rPr>
            <b/>
            <sz val="8.5"/>
            <color indexed="8"/>
            <rFont val="Calibri"/>
            <family val="2"/>
          </rPr>
          <t>» 61.3%] - [</t>
        </r>
        <r>
          <rPr>
            <b/>
            <sz val="8.5"/>
            <color indexed="48"/>
            <rFont val="Calibri"/>
            <family val="2"/>
          </rPr>
          <t xml:space="preserve">SOLD </t>
        </r>
        <r>
          <rPr>
            <b/>
            <sz val="8.5"/>
            <color indexed="8"/>
            <rFont val="Calibri"/>
            <family val="2"/>
          </rPr>
          <t>» 103 PAX]_x000D_
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K1]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Q9 &amp; K19 &amp; V10 &amp; L16 &amp; G35 &amp; S10 &amp; W3 &amp; O1</t>
        </r>
      </text>
    </comment>
    <comment ref="H2" authorId="0" shapeId="0" xr:uid="{B6C01996-B7D9-4137-8EE9-BF5557780E85}">
      <text>
        <r>
          <rPr>
            <b/>
            <sz val="8.5"/>
            <color indexed="8"/>
            <rFont val="Calibri"/>
            <family val="2"/>
          </rPr>
          <t xml:space="preserve">-{ </t>
        </r>
        <r>
          <rPr>
            <b/>
            <sz val="10"/>
            <color indexed="10"/>
            <rFont val="Calibri"/>
            <family val="2"/>
          </rPr>
          <t>SM434</t>
        </r>
        <r>
          <rPr>
            <b/>
            <sz val="8.5"/>
            <color indexed="8"/>
            <rFont val="Calibri"/>
            <family val="2"/>
          </rPr>
          <t xml:space="preserve"> }-_x000D_
_x000D_
[</t>
        </r>
        <r>
          <rPr>
            <b/>
            <sz val="8.5"/>
            <color indexed="48"/>
            <rFont val="Calibri"/>
            <family val="2"/>
          </rPr>
          <t xml:space="preserve">LF </t>
        </r>
        <r>
          <rPr>
            <b/>
            <sz val="8.5"/>
            <color indexed="8"/>
            <rFont val="Calibri"/>
            <family val="2"/>
          </rPr>
          <t>» 61.3%] - [</t>
        </r>
        <r>
          <rPr>
            <b/>
            <sz val="8.5"/>
            <color indexed="48"/>
            <rFont val="Calibri"/>
            <family val="2"/>
          </rPr>
          <t xml:space="preserve">SOLD </t>
        </r>
        <r>
          <rPr>
            <b/>
            <sz val="8.5"/>
            <color indexed="8"/>
            <rFont val="Calibri"/>
            <family val="2"/>
          </rPr>
          <t>» 103 PAX]_x000D_
_x000D_
[</t>
        </r>
        <r>
          <rPr>
            <b/>
            <sz val="8.5"/>
            <color indexed="21"/>
            <rFont val="Calibri"/>
            <family val="2"/>
          </rPr>
          <t xml:space="preserve">WEEKLY </t>
        </r>
        <r>
          <rPr>
            <b/>
            <sz val="8.5"/>
            <color indexed="8"/>
            <rFont val="Calibri"/>
            <family val="2"/>
          </rPr>
          <t>» 14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6]_x000D_
_x000D_
[</t>
        </r>
        <r>
          <rPr>
            <b/>
            <sz val="8.5"/>
            <color indexed="48"/>
            <rFont val="Calibri"/>
            <family val="2"/>
          </rPr>
          <t>LOWESTAVAIL</t>
        </r>
        <r>
          <rPr>
            <b/>
            <sz val="8.5"/>
            <color indexed="8"/>
            <rFont val="Calibri"/>
            <family val="2"/>
          </rPr>
          <t xml:space="preserve"> » K1]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Q9 &amp; K19 &amp; V10 &amp; L16 &amp; G35 &amp; S10 &amp; W3 &amp; O1</t>
        </r>
      </text>
    </comment>
    <comment ref="A6" authorId="0" shapeId="0" xr:uid="{092D8E7A-F03A-4633-A3A9-C63CBAF15825}">
      <text>
        <r>
          <rPr>
            <b/>
            <sz val="8.5"/>
            <color indexed="8"/>
            <rFont val="Calibri"/>
            <family val="2"/>
          </rPr>
          <t xml:space="preserve">-{ </t>
        </r>
        <r>
          <rPr>
            <b/>
            <sz val="10"/>
            <color indexed="10"/>
            <rFont val="Calibri"/>
            <family val="2"/>
          </rPr>
          <t>SM434</t>
        </r>
        <r>
          <rPr>
            <b/>
            <sz val="8.5"/>
            <color indexed="8"/>
            <rFont val="Calibri"/>
            <family val="2"/>
          </rPr>
          <t xml:space="preserve"> }-_x000D_
_x000D_
[</t>
        </r>
        <r>
          <rPr>
            <b/>
            <sz val="8.5"/>
            <color indexed="48"/>
            <rFont val="Calibri"/>
            <family val="2"/>
          </rPr>
          <t xml:space="preserve">LF </t>
        </r>
        <r>
          <rPr>
            <b/>
            <sz val="8.5"/>
            <color indexed="8"/>
            <rFont val="Calibri"/>
            <family val="2"/>
          </rPr>
          <t>» 48.2%] - [</t>
        </r>
        <r>
          <rPr>
            <b/>
            <sz val="8.5"/>
            <color indexed="48"/>
            <rFont val="Calibri"/>
            <family val="2"/>
          </rPr>
          <t xml:space="preserve">SOLD </t>
        </r>
        <r>
          <rPr>
            <b/>
            <sz val="8.5"/>
            <color indexed="8"/>
            <rFont val="Calibri"/>
            <family val="2"/>
          </rPr>
          <t>» 81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S2]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G1 &amp; S18 &amp; W12 &amp; X8 &amp; U8 &amp; O8 &amp; I26</t>
        </r>
      </text>
    </comment>
    <comment ref="B6" authorId="0" shapeId="0" xr:uid="{639F20D2-B6A9-4E97-AD7C-073848B07954}">
      <text>
        <r>
          <rPr>
            <b/>
            <sz val="8.5"/>
            <color indexed="8"/>
            <rFont val="Calibri"/>
            <family val="2"/>
          </rPr>
          <t xml:space="preserve">-{ </t>
        </r>
        <r>
          <rPr>
            <b/>
            <sz val="10"/>
            <color indexed="10"/>
            <rFont val="Calibri"/>
            <family val="2"/>
          </rPr>
          <t>SM434</t>
        </r>
        <r>
          <rPr>
            <b/>
            <sz val="8.5"/>
            <color indexed="8"/>
            <rFont val="Calibri"/>
            <family val="2"/>
          </rPr>
          <t xml:space="preserve"> }-_x000D_
_x000D_
[</t>
        </r>
        <r>
          <rPr>
            <b/>
            <sz val="8.5"/>
            <color indexed="48"/>
            <rFont val="Calibri"/>
            <family val="2"/>
          </rPr>
          <t xml:space="preserve">LF </t>
        </r>
        <r>
          <rPr>
            <b/>
            <sz val="8.5"/>
            <color indexed="8"/>
            <rFont val="Calibri"/>
            <family val="2"/>
          </rPr>
          <t>» 48.2%] - [</t>
        </r>
        <r>
          <rPr>
            <b/>
            <sz val="8.5"/>
            <color indexed="48"/>
            <rFont val="Calibri"/>
            <family val="2"/>
          </rPr>
          <t xml:space="preserve">SOLD </t>
        </r>
        <r>
          <rPr>
            <b/>
            <sz val="8.5"/>
            <color indexed="8"/>
            <rFont val="Calibri"/>
            <family val="2"/>
          </rPr>
          <t>» 81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S2]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G1 &amp; S18 &amp; W12 &amp; X8 &amp; U8 &amp; O8 &amp; I26</t>
        </r>
      </text>
    </comment>
    <comment ref="C6" authorId="0" shapeId="0" xr:uid="{22E20024-C971-4ABA-BD43-EF88D3CFECF7}">
      <text>
        <r>
          <rPr>
            <b/>
            <sz val="8.5"/>
            <color indexed="8"/>
            <rFont val="Calibri"/>
            <family val="2"/>
          </rPr>
          <t xml:space="preserve">-{ </t>
        </r>
        <r>
          <rPr>
            <b/>
            <sz val="10"/>
            <color indexed="10"/>
            <rFont val="Calibri"/>
            <family val="2"/>
          </rPr>
          <t>SM434</t>
        </r>
        <r>
          <rPr>
            <b/>
            <sz val="8.5"/>
            <color indexed="8"/>
            <rFont val="Calibri"/>
            <family val="2"/>
          </rPr>
          <t xml:space="preserve"> }-_x000D_
_x000D_
[</t>
        </r>
        <r>
          <rPr>
            <b/>
            <sz val="8.5"/>
            <color indexed="48"/>
            <rFont val="Calibri"/>
            <family val="2"/>
          </rPr>
          <t xml:space="preserve">LF </t>
        </r>
        <r>
          <rPr>
            <b/>
            <sz val="8.5"/>
            <color indexed="8"/>
            <rFont val="Calibri"/>
            <family val="2"/>
          </rPr>
          <t>» 48.2%] - [</t>
        </r>
        <r>
          <rPr>
            <b/>
            <sz val="8.5"/>
            <color indexed="48"/>
            <rFont val="Calibri"/>
            <family val="2"/>
          </rPr>
          <t xml:space="preserve">SOLD </t>
        </r>
        <r>
          <rPr>
            <b/>
            <sz val="8.5"/>
            <color indexed="8"/>
            <rFont val="Calibri"/>
            <family val="2"/>
          </rPr>
          <t>» 81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S2]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G1 &amp; S18 &amp; W12 &amp; X8 &amp; U8 &amp; O8 &amp; I26</t>
        </r>
      </text>
    </comment>
    <comment ref="D6" authorId="0" shapeId="0" xr:uid="{F1C125E4-AEB8-4111-A703-A18E9589AE33}">
      <text>
        <r>
          <rPr>
            <b/>
            <sz val="8.5"/>
            <color indexed="8"/>
            <rFont val="Calibri"/>
            <family val="2"/>
          </rPr>
          <t xml:space="preserve">-{ </t>
        </r>
        <r>
          <rPr>
            <b/>
            <sz val="10"/>
            <color indexed="10"/>
            <rFont val="Calibri"/>
            <family val="2"/>
          </rPr>
          <t>SM434</t>
        </r>
        <r>
          <rPr>
            <b/>
            <sz val="8.5"/>
            <color indexed="8"/>
            <rFont val="Calibri"/>
            <family val="2"/>
          </rPr>
          <t xml:space="preserve"> }-_x000D_
_x000D_
[</t>
        </r>
        <r>
          <rPr>
            <b/>
            <sz val="8.5"/>
            <color indexed="48"/>
            <rFont val="Calibri"/>
            <family val="2"/>
          </rPr>
          <t xml:space="preserve">LF </t>
        </r>
        <r>
          <rPr>
            <b/>
            <sz val="8.5"/>
            <color indexed="8"/>
            <rFont val="Calibri"/>
            <family val="2"/>
          </rPr>
          <t>» 48.2%] - [</t>
        </r>
        <r>
          <rPr>
            <b/>
            <sz val="8.5"/>
            <color indexed="48"/>
            <rFont val="Calibri"/>
            <family val="2"/>
          </rPr>
          <t xml:space="preserve">SOLD </t>
        </r>
        <r>
          <rPr>
            <b/>
            <sz val="8.5"/>
            <color indexed="8"/>
            <rFont val="Calibri"/>
            <family val="2"/>
          </rPr>
          <t>» 81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S2]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G1 &amp; S18 &amp; W12 &amp; X8 &amp; U8 &amp; O8 &amp; I26</t>
        </r>
      </text>
    </comment>
    <comment ref="E6" authorId="0" shapeId="0" xr:uid="{C802ACE5-8DC7-4858-BE0A-F77569472B10}">
      <text>
        <r>
          <rPr>
            <b/>
            <sz val="8.5"/>
            <color indexed="8"/>
            <rFont val="Calibri"/>
            <family val="2"/>
          </rPr>
          <t xml:space="preserve">-{ </t>
        </r>
        <r>
          <rPr>
            <b/>
            <sz val="10"/>
            <color indexed="10"/>
            <rFont val="Calibri"/>
            <family val="2"/>
          </rPr>
          <t>SM434</t>
        </r>
        <r>
          <rPr>
            <b/>
            <sz val="8.5"/>
            <color indexed="8"/>
            <rFont val="Calibri"/>
            <family val="2"/>
          </rPr>
          <t xml:space="preserve"> }-_x000D_
_x000D_
[</t>
        </r>
        <r>
          <rPr>
            <b/>
            <sz val="8.5"/>
            <color indexed="48"/>
            <rFont val="Calibri"/>
            <family val="2"/>
          </rPr>
          <t xml:space="preserve">LF </t>
        </r>
        <r>
          <rPr>
            <b/>
            <sz val="8.5"/>
            <color indexed="8"/>
            <rFont val="Calibri"/>
            <family val="2"/>
          </rPr>
          <t>» 48.2%] - [</t>
        </r>
        <r>
          <rPr>
            <b/>
            <sz val="8.5"/>
            <color indexed="48"/>
            <rFont val="Calibri"/>
            <family val="2"/>
          </rPr>
          <t xml:space="preserve">SOLD </t>
        </r>
        <r>
          <rPr>
            <b/>
            <sz val="8.5"/>
            <color indexed="8"/>
            <rFont val="Calibri"/>
            <family val="2"/>
          </rPr>
          <t>» 81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S2]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G1 &amp; S18 &amp; W12 &amp; X8 &amp; U8 &amp; O8 &amp; I26</t>
        </r>
      </text>
    </comment>
    <comment ref="F6" authorId="0" shapeId="0" xr:uid="{69C17375-DA0B-462E-B415-3C8B99D564B7}">
      <text>
        <r>
          <rPr>
            <b/>
            <sz val="8.5"/>
            <color indexed="8"/>
            <rFont val="Calibri"/>
            <family val="2"/>
          </rPr>
          <t xml:space="preserve">-{ </t>
        </r>
        <r>
          <rPr>
            <b/>
            <sz val="10"/>
            <color indexed="10"/>
            <rFont val="Calibri"/>
            <family val="2"/>
          </rPr>
          <t>SM434</t>
        </r>
        <r>
          <rPr>
            <b/>
            <sz val="8.5"/>
            <color indexed="8"/>
            <rFont val="Calibri"/>
            <family val="2"/>
          </rPr>
          <t xml:space="preserve"> }-_x000D_
_x000D_
[</t>
        </r>
        <r>
          <rPr>
            <b/>
            <sz val="8.5"/>
            <color indexed="48"/>
            <rFont val="Calibri"/>
            <family val="2"/>
          </rPr>
          <t xml:space="preserve">LF </t>
        </r>
        <r>
          <rPr>
            <b/>
            <sz val="8.5"/>
            <color indexed="8"/>
            <rFont val="Calibri"/>
            <family val="2"/>
          </rPr>
          <t>» 48.2%] - [</t>
        </r>
        <r>
          <rPr>
            <b/>
            <sz val="8.5"/>
            <color indexed="48"/>
            <rFont val="Calibri"/>
            <family val="2"/>
          </rPr>
          <t xml:space="preserve">SOLD </t>
        </r>
        <r>
          <rPr>
            <b/>
            <sz val="8.5"/>
            <color indexed="8"/>
            <rFont val="Calibri"/>
            <family val="2"/>
          </rPr>
          <t>» 81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S2]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G1 &amp; S18 &amp; W12 &amp; X8 &amp; U8 &amp; O8 &amp; I26</t>
        </r>
      </text>
    </comment>
    <comment ref="G6" authorId="0" shapeId="0" xr:uid="{4BB8A43A-C938-48A5-A19C-16736560C172}">
      <text>
        <r>
          <rPr>
            <b/>
            <sz val="8.5"/>
            <color indexed="8"/>
            <rFont val="Calibri"/>
            <family val="2"/>
          </rPr>
          <t xml:space="preserve">-{ </t>
        </r>
        <r>
          <rPr>
            <b/>
            <sz val="10"/>
            <color indexed="10"/>
            <rFont val="Calibri"/>
            <family val="2"/>
          </rPr>
          <t>SM434</t>
        </r>
        <r>
          <rPr>
            <b/>
            <sz val="8.5"/>
            <color indexed="8"/>
            <rFont val="Calibri"/>
            <family val="2"/>
          </rPr>
          <t xml:space="preserve"> }-_x000D_
_x000D_
[</t>
        </r>
        <r>
          <rPr>
            <b/>
            <sz val="8.5"/>
            <color indexed="48"/>
            <rFont val="Calibri"/>
            <family val="2"/>
          </rPr>
          <t xml:space="preserve">LF </t>
        </r>
        <r>
          <rPr>
            <b/>
            <sz val="8.5"/>
            <color indexed="8"/>
            <rFont val="Calibri"/>
            <family val="2"/>
          </rPr>
          <t>» 48.2%] - [</t>
        </r>
        <r>
          <rPr>
            <b/>
            <sz val="8.5"/>
            <color indexed="48"/>
            <rFont val="Calibri"/>
            <family val="2"/>
          </rPr>
          <t xml:space="preserve">SOLD </t>
        </r>
        <r>
          <rPr>
            <b/>
            <sz val="8.5"/>
            <color indexed="8"/>
            <rFont val="Calibri"/>
            <family val="2"/>
          </rPr>
          <t>» 81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S2]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G1 &amp; S18 &amp; W12 &amp; X8 &amp; U8 &amp; O8 &amp; I26</t>
        </r>
      </text>
    </comment>
    <comment ref="H6" authorId="0" shapeId="0" xr:uid="{A001E30A-C5F9-4F7C-B39D-CCCE24C092A6}">
      <text>
        <r>
          <rPr>
            <b/>
            <sz val="8.5"/>
            <color indexed="8"/>
            <rFont val="Calibri"/>
            <family val="2"/>
          </rPr>
          <t xml:space="preserve">-{ </t>
        </r>
        <r>
          <rPr>
            <b/>
            <sz val="10"/>
            <color indexed="10"/>
            <rFont val="Calibri"/>
            <family val="2"/>
          </rPr>
          <t>SM434</t>
        </r>
        <r>
          <rPr>
            <b/>
            <sz val="8.5"/>
            <color indexed="8"/>
            <rFont val="Calibri"/>
            <family val="2"/>
          </rPr>
          <t xml:space="preserve"> }-_x000D_
_x000D_
[</t>
        </r>
        <r>
          <rPr>
            <b/>
            <sz val="8.5"/>
            <color indexed="48"/>
            <rFont val="Calibri"/>
            <family val="2"/>
          </rPr>
          <t xml:space="preserve">LF </t>
        </r>
        <r>
          <rPr>
            <b/>
            <sz val="8.5"/>
            <color indexed="8"/>
            <rFont val="Calibri"/>
            <family val="2"/>
          </rPr>
          <t>» 48.2%] - [</t>
        </r>
        <r>
          <rPr>
            <b/>
            <sz val="8.5"/>
            <color indexed="48"/>
            <rFont val="Calibri"/>
            <family val="2"/>
          </rPr>
          <t xml:space="preserve">SOLD </t>
        </r>
        <r>
          <rPr>
            <b/>
            <sz val="8.5"/>
            <color indexed="8"/>
            <rFont val="Calibri"/>
            <family val="2"/>
          </rPr>
          <t>» 81 PAX]_x000D_
_x000D_
[</t>
        </r>
        <r>
          <rPr>
            <b/>
            <sz val="8.5"/>
            <color indexed="21"/>
            <rFont val="Calibri"/>
            <family val="2"/>
          </rPr>
          <t xml:space="preserve">WEEKLY </t>
        </r>
        <r>
          <rPr>
            <b/>
            <sz val="8.5"/>
            <color indexed="8"/>
            <rFont val="Calibri"/>
            <family val="2"/>
          </rPr>
          <t>» 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NIL]_x000D_
_x000D_
[</t>
        </r>
        <r>
          <rPr>
            <b/>
            <sz val="8.5"/>
            <color indexed="48"/>
            <rFont val="Calibri"/>
            <family val="2"/>
          </rPr>
          <t>LOWESTAVAIL</t>
        </r>
        <r>
          <rPr>
            <b/>
            <sz val="8.5"/>
            <color indexed="8"/>
            <rFont val="Calibri"/>
            <family val="2"/>
          </rPr>
          <t xml:space="preserve"> » S2]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17-NOV]_x000D_
_x000D_
{</t>
        </r>
        <r>
          <rPr>
            <b/>
            <sz val="8.5"/>
            <color indexed="10"/>
            <rFont val="Calibri"/>
            <family val="2"/>
          </rPr>
          <t>CLASSES</t>
        </r>
        <r>
          <rPr>
            <b/>
            <sz val="8.5"/>
            <color indexed="8"/>
            <rFont val="Calibri"/>
            <family val="2"/>
          </rPr>
          <t>}_x000D_
_x000D_
G1 &amp; S18 &amp; W12 &amp; X8 &amp; U8 &amp; O8 &amp; I26</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2" authorId="0" shapeId="0" xr:uid="{48AEA74A-3EE8-456C-9BD2-750729A8DD0F}">
      <text>
        <r>
          <rPr>
            <b/>
            <sz val="8.5"/>
            <color indexed="8"/>
            <rFont val="Calibri"/>
            <family val="2"/>
          </rPr>
          <t xml:space="preserve">-{ </t>
        </r>
        <r>
          <rPr>
            <b/>
            <sz val="10"/>
            <color indexed="10"/>
            <rFont val="Calibri"/>
            <family val="2"/>
          </rPr>
          <t>SM438</t>
        </r>
        <r>
          <rPr>
            <b/>
            <sz val="8.5"/>
            <color indexed="8"/>
            <rFont val="Calibri"/>
            <family val="2"/>
          </rPr>
          <t xml:space="preserve"> }-_x000D_
_x000D_
[</t>
        </r>
        <r>
          <rPr>
            <b/>
            <sz val="8.5"/>
            <color indexed="48"/>
            <rFont val="Calibri"/>
            <family val="2"/>
          </rPr>
          <t xml:space="preserve">LF </t>
        </r>
        <r>
          <rPr>
            <b/>
            <sz val="8.5"/>
            <color indexed="8"/>
            <rFont val="Calibri"/>
            <family val="2"/>
          </rPr>
          <t>» 84.5%] - [</t>
        </r>
        <r>
          <rPr>
            <b/>
            <sz val="8.5"/>
            <color indexed="48"/>
            <rFont val="Calibri"/>
            <family val="2"/>
          </rPr>
          <t xml:space="preserve">SOLD </t>
        </r>
        <r>
          <rPr>
            <b/>
            <sz val="8.5"/>
            <color indexed="8"/>
            <rFont val="Calibri"/>
            <family val="2"/>
          </rPr>
          <t>» 142 PAX]_x000D_
_x000D_
[</t>
        </r>
        <r>
          <rPr>
            <b/>
            <sz val="8.5"/>
            <color indexed="21"/>
            <rFont val="Calibri"/>
            <family val="2"/>
          </rPr>
          <t xml:space="preserve">WEEKLY </t>
        </r>
        <r>
          <rPr>
            <b/>
            <sz val="8.5"/>
            <color indexed="8"/>
            <rFont val="Calibri"/>
            <family val="2"/>
          </rPr>
          <t>» 64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S20 &amp; W22 &amp; T20 &amp; X19 &amp; U20 &amp; O20 &amp; I20</t>
        </r>
      </text>
    </comment>
    <comment ref="B2" authorId="0" shapeId="0" xr:uid="{96D5A262-97BE-4D2D-A293-0367584ECDEF}">
      <text>
        <r>
          <rPr>
            <b/>
            <sz val="8.5"/>
            <color indexed="8"/>
            <rFont val="Calibri"/>
            <family val="2"/>
          </rPr>
          <t xml:space="preserve">-{ </t>
        </r>
        <r>
          <rPr>
            <b/>
            <sz val="10"/>
            <color indexed="10"/>
            <rFont val="Calibri"/>
            <family val="2"/>
          </rPr>
          <t>SM438</t>
        </r>
        <r>
          <rPr>
            <b/>
            <sz val="8.5"/>
            <color indexed="8"/>
            <rFont val="Calibri"/>
            <family val="2"/>
          </rPr>
          <t xml:space="preserve"> }-_x000D_
_x000D_
[</t>
        </r>
        <r>
          <rPr>
            <b/>
            <sz val="8.5"/>
            <color indexed="48"/>
            <rFont val="Calibri"/>
            <family val="2"/>
          </rPr>
          <t xml:space="preserve">LF </t>
        </r>
        <r>
          <rPr>
            <b/>
            <sz val="8.5"/>
            <color indexed="8"/>
            <rFont val="Calibri"/>
            <family val="2"/>
          </rPr>
          <t>» 84.5%] - [</t>
        </r>
        <r>
          <rPr>
            <b/>
            <sz val="8.5"/>
            <color indexed="48"/>
            <rFont val="Calibri"/>
            <family val="2"/>
          </rPr>
          <t xml:space="preserve">SOLD </t>
        </r>
        <r>
          <rPr>
            <b/>
            <sz val="8.5"/>
            <color indexed="8"/>
            <rFont val="Calibri"/>
            <family val="2"/>
          </rPr>
          <t>» 142 PAX]_x000D_
_x000D_
[</t>
        </r>
        <r>
          <rPr>
            <b/>
            <sz val="8.5"/>
            <color indexed="21"/>
            <rFont val="Calibri"/>
            <family val="2"/>
          </rPr>
          <t xml:space="preserve">WEEKLY </t>
        </r>
        <r>
          <rPr>
            <b/>
            <sz val="8.5"/>
            <color indexed="8"/>
            <rFont val="Calibri"/>
            <family val="2"/>
          </rPr>
          <t>» 64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S20 &amp; W22 &amp; T20 &amp; X19 &amp; U20 &amp; O20 &amp; I20</t>
        </r>
      </text>
    </comment>
    <comment ref="C2" authorId="0" shapeId="0" xr:uid="{C90D4867-52D9-44C5-B18E-CEA284C3F9AD}">
      <text>
        <r>
          <rPr>
            <b/>
            <sz val="8.5"/>
            <color indexed="8"/>
            <rFont val="Calibri"/>
            <family val="2"/>
          </rPr>
          <t xml:space="preserve">-{ </t>
        </r>
        <r>
          <rPr>
            <b/>
            <sz val="10"/>
            <color indexed="10"/>
            <rFont val="Calibri"/>
            <family val="2"/>
          </rPr>
          <t>SM438</t>
        </r>
        <r>
          <rPr>
            <b/>
            <sz val="8.5"/>
            <color indexed="8"/>
            <rFont val="Calibri"/>
            <family val="2"/>
          </rPr>
          <t xml:space="preserve"> }-_x000D_
_x000D_
[</t>
        </r>
        <r>
          <rPr>
            <b/>
            <sz val="8.5"/>
            <color indexed="48"/>
            <rFont val="Calibri"/>
            <family val="2"/>
          </rPr>
          <t xml:space="preserve">LF </t>
        </r>
        <r>
          <rPr>
            <b/>
            <sz val="8.5"/>
            <color indexed="8"/>
            <rFont val="Calibri"/>
            <family val="2"/>
          </rPr>
          <t>» 84.5%] - [</t>
        </r>
        <r>
          <rPr>
            <b/>
            <sz val="8.5"/>
            <color indexed="48"/>
            <rFont val="Calibri"/>
            <family val="2"/>
          </rPr>
          <t xml:space="preserve">SOLD </t>
        </r>
        <r>
          <rPr>
            <b/>
            <sz val="8.5"/>
            <color indexed="8"/>
            <rFont val="Calibri"/>
            <family val="2"/>
          </rPr>
          <t>» 142 PAX]_x000D_
_x000D_
[</t>
        </r>
        <r>
          <rPr>
            <b/>
            <sz val="8.5"/>
            <color indexed="21"/>
            <rFont val="Calibri"/>
            <family val="2"/>
          </rPr>
          <t xml:space="preserve">WEEKLY </t>
        </r>
        <r>
          <rPr>
            <b/>
            <sz val="8.5"/>
            <color indexed="8"/>
            <rFont val="Calibri"/>
            <family val="2"/>
          </rPr>
          <t>» 64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S20 &amp; W22 &amp; T20 &amp; X19 &amp; U20 &amp; O20 &amp; I20</t>
        </r>
      </text>
    </comment>
    <comment ref="D2" authorId="0" shapeId="0" xr:uid="{10D53F5C-5A32-443F-8A2E-9B86A24400C0}">
      <text>
        <r>
          <rPr>
            <b/>
            <sz val="8.5"/>
            <color indexed="8"/>
            <rFont val="Calibri"/>
            <family val="2"/>
          </rPr>
          <t xml:space="preserve">-{ </t>
        </r>
        <r>
          <rPr>
            <b/>
            <sz val="10"/>
            <color indexed="10"/>
            <rFont val="Calibri"/>
            <family val="2"/>
          </rPr>
          <t>SM438</t>
        </r>
        <r>
          <rPr>
            <b/>
            <sz val="8.5"/>
            <color indexed="8"/>
            <rFont val="Calibri"/>
            <family val="2"/>
          </rPr>
          <t xml:space="preserve"> }-_x000D_
_x000D_
[</t>
        </r>
        <r>
          <rPr>
            <b/>
            <sz val="8.5"/>
            <color indexed="48"/>
            <rFont val="Calibri"/>
            <family val="2"/>
          </rPr>
          <t xml:space="preserve">LF </t>
        </r>
        <r>
          <rPr>
            <b/>
            <sz val="8.5"/>
            <color indexed="8"/>
            <rFont val="Calibri"/>
            <family val="2"/>
          </rPr>
          <t>» 84.5%] - [</t>
        </r>
        <r>
          <rPr>
            <b/>
            <sz val="8.5"/>
            <color indexed="48"/>
            <rFont val="Calibri"/>
            <family val="2"/>
          </rPr>
          <t xml:space="preserve">SOLD </t>
        </r>
        <r>
          <rPr>
            <b/>
            <sz val="8.5"/>
            <color indexed="8"/>
            <rFont val="Calibri"/>
            <family val="2"/>
          </rPr>
          <t>» 142 PAX]_x000D_
_x000D_
[</t>
        </r>
        <r>
          <rPr>
            <b/>
            <sz val="8.5"/>
            <color indexed="21"/>
            <rFont val="Calibri"/>
            <family val="2"/>
          </rPr>
          <t xml:space="preserve">WEEKLY </t>
        </r>
        <r>
          <rPr>
            <b/>
            <sz val="8.5"/>
            <color indexed="8"/>
            <rFont val="Calibri"/>
            <family val="2"/>
          </rPr>
          <t>» 64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S20 &amp; W22 &amp; T20 &amp; X19 &amp; U20 &amp; O20 &amp; I20</t>
        </r>
      </text>
    </comment>
    <comment ref="E2" authorId="0" shapeId="0" xr:uid="{180DC681-7C2D-4570-88D5-649026C59F17}">
      <text>
        <r>
          <rPr>
            <b/>
            <sz val="8.5"/>
            <color indexed="8"/>
            <rFont val="Calibri"/>
            <family val="2"/>
          </rPr>
          <t xml:space="preserve">-{ </t>
        </r>
        <r>
          <rPr>
            <b/>
            <sz val="10"/>
            <color indexed="10"/>
            <rFont val="Calibri"/>
            <family val="2"/>
          </rPr>
          <t>SM438</t>
        </r>
        <r>
          <rPr>
            <b/>
            <sz val="8.5"/>
            <color indexed="8"/>
            <rFont val="Calibri"/>
            <family val="2"/>
          </rPr>
          <t xml:space="preserve"> }-_x000D_
_x000D_
[</t>
        </r>
        <r>
          <rPr>
            <b/>
            <sz val="8.5"/>
            <color indexed="48"/>
            <rFont val="Calibri"/>
            <family val="2"/>
          </rPr>
          <t xml:space="preserve">LF </t>
        </r>
        <r>
          <rPr>
            <b/>
            <sz val="8.5"/>
            <color indexed="8"/>
            <rFont val="Calibri"/>
            <family val="2"/>
          </rPr>
          <t>» 84.5%] - [</t>
        </r>
        <r>
          <rPr>
            <b/>
            <sz val="8.5"/>
            <color indexed="48"/>
            <rFont val="Calibri"/>
            <family val="2"/>
          </rPr>
          <t xml:space="preserve">SOLD </t>
        </r>
        <r>
          <rPr>
            <b/>
            <sz val="8.5"/>
            <color indexed="8"/>
            <rFont val="Calibri"/>
            <family val="2"/>
          </rPr>
          <t>» 142 PAX]_x000D_
_x000D_
[</t>
        </r>
        <r>
          <rPr>
            <b/>
            <sz val="8.5"/>
            <color indexed="21"/>
            <rFont val="Calibri"/>
            <family val="2"/>
          </rPr>
          <t xml:space="preserve">WEEKLY </t>
        </r>
        <r>
          <rPr>
            <b/>
            <sz val="8.5"/>
            <color indexed="8"/>
            <rFont val="Calibri"/>
            <family val="2"/>
          </rPr>
          <t>» 64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S20 &amp; W22 &amp; T20 &amp; X19 &amp; U20 &amp; O20 &amp; I20</t>
        </r>
      </text>
    </comment>
    <comment ref="F2" authorId="0" shapeId="0" xr:uid="{E0E3B9DF-C042-4BF8-A533-67D59256102A}">
      <text>
        <r>
          <rPr>
            <b/>
            <sz val="8.5"/>
            <color indexed="8"/>
            <rFont val="Calibri"/>
            <family val="2"/>
          </rPr>
          <t xml:space="preserve">-{ </t>
        </r>
        <r>
          <rPr>
            <b/>
            <sz val="10"/>
            <color indexed="10"/>
            <rFont val="Calibri"/>
            <family val="2"/>
          </rPr>
          <t>SM438</t>
        </r>
        <r>
          <rPr>
            <b/>
            <sz val="8.5"/>
            <color indexed="8"/>
            <rFont val="Calibri"/>
            <family val="2"/>
          </rPr>
          <t xml:space="preserve"> }-_x000D_
_x000D_
[</t>
        </r>
        <r>
          <rPr>
            <b/>
            <sz val="8.5"/>
            <color indexed="48"/>
            <rFont val="Calibri"/>
            <family val="2"/>
          </rPr>
          <t xml:space="preserve">LF </t>
        </r>
        <r>
          <rPr>
            <b/>
            <sz val="8.5"/>
            <color indexed="8"/>
            <rFont val="Calibri"/>
            <family val="2"/>
          </rPr>
          <t>» 84.5%] - [</t>
        </r>
        <r>
          <rPr>
            <b/>
            <sz val="8.5"/>
            <color indexed="48"/>
            <rFont val="Calibri"/>
            <family val="2"/>
          </rPr>
          <t xml:space="preserve">SOLD </t>
        </r>
        <r>
          <rPr>
            <b/>
            <sz val="8.5"/>
            <color indexed="8"/>
            <rFont val="Calibri"/>
            <family val="2"/>
          </rPr>
          <t>» 142 PAX]_x000D_
_x000D_
[</t>
        </r>
        <r>
          <rPr>
            <b/>
            <sz val="8.5"/>
            <color indexed="21"/>
            <rFont val="Calibri"/>
            <family val="2"/>
          </rPr>
          <t xml:space="preserve">WEEKLY </t>
        </r>
        <r>
          <rPr>
            <b/>
            <sz val="8.5"/>
            <color indexed="8"/>
            <rFont val="Calibri"/>
            <family val="2"/>
          </rPr>
          <t>» 64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S20 &amp; W22 &amp; T20 &amp; X19 &amp; U20 &amp; O20 &amp; I20</t>
        </r>
      </text>
    </comment>
    <comment ref="G2" authorId="0" shapeId="0" xr:uid="{01121FA3-3E8A-4509-BACB-C835DE7C90E0}">
      <text>
        <r>
          <rPr>
            <b/>
            <sz val="8.5"/>
            <color indexed="8"/>
            <rFont val="Calibri"/>
            <family val="2"/>
          </rPr>
          <t xml:space="preserve">-{ </t>
        </r>
        <r>
          <rPr>
            <b/>
            <sz val="10"/>
            <color indexed="10"/>
            <rFont val="Calibri"/>
            <family val="2"/>
          </rPr>
          <t>SM438</t>
        </r>
        <r>
          <rPr>
            <b/>
            <sz val="8.5"/>
            <color indexed="8"/>
            <rFont val="Calibri"/>
            <family val="2"/>
          </rPr>
          <t xml:space="preserve"> }-_x000D_
_x000D_
[</t>
        </r>
        <r>
          <rPr>
            <b/>
            <sz val="8.5"/>
            <color indexed="48"/>
            <rFont val="Calibri"/>
            <family val="2"/>
          </rPr>
          <t xml:space="preserve">LF </t>
        </r>
        <r>
          <rPr>
            <b/>
            <sz val="8.5"/>
            <color indexed="8"/>
            <rFont val="Calibri"/>
            <family val="2"/>
          </rPr>
          <t>» 84.5%] - [</t>
        </r>
        <r>
          <rPr>
            <b/>
            <sz val="8.5"/>
            <color indexed="48"/>
            <rFont val="Calibri"/>
            <family val="2"/>
          </rPr>
          <t xml:space="preserve">SOLD </t>
        </r>
        <r>
          <rPr>
            <b/>
            <sz val="8.5"/>
            <color indexed="8"/>
            <rFont val="Calibri"/>
            <family val="2"/>
          </rPr>
          <t>» 142 PAX]_x000D_
_x000D_
[</t>
        </r>
        <r>
          <rPr>
            <b/>
            <sz val="8.5"/>
            <color indexed="21"/>
            <rFont val="Calibri"/>
            <family val="2"/>
          </rPr>
          <t xml:space="preserve">WEEKLY </t>
        </r>
        <r>
          <rPr>
            <b/>
            <sz val="8.5"/>
            <color indexed="8"/>
            <rFont val="Calibri"/>
            <family val="2"/>
          </rPr>
          <t>» 64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S20 &amp; W22 &amp; T20 &amp; X19 &amp; U20 &amp; O20 &amp; I20</t>
        </r>
      </text>
    </comment>
    <comment ref="H2" authorId="0" shapeId="0" xr:uid="{E8F80355-A040-4712-A391-27A12E8EB35C}">
      <text>
        <r>
          <rPr>
            <b/>
            <sz val="8.5"/>
            <color indexed="8"/>
            <rFont val="Calibri"/>
            <family val="2"/>
          </rPr>
          <t xml:space="preserve">-{ </t>
        </r>
        <r>
          <rPr>
            <b/>
            <sz val="10"/>
            <color indexed="10"/>
            <rFont val="Calibri"/>
            <family val="2"/>
          </rPr>
          <t>SM438</t>
        </r>
        <r>
          <rPr>
            <b/>
            <sz val="8.5"/>
            <color indexed="8"/>
            <rFont val="Calibri"/>
            <family val="2"/>
          </rPr>
          <t xml:space="preserve"> }-_x000D_
_x000D_
[</t>
        </r>
        <r>
          <rPr>
            <b/>
            <sz val="8.5"/>
            <color indexed="48"/>
            <rFont val="Calibri"/>
            <family val="2"/>
          </rPr>
          <t xml:space="preserve">LF </t>
        </r>
        <r>
          <rPr>
            <b/>
            <sz val="8.5"/>
            <color indexed="8"/>
            <rFont val="Calibri"/>
            <family val="2"/>
          </rPr>
          <t>» 84.5%] - [</t>
        </r>
        <r>
          <rPr>
            <b/>
            <sz val="8.5"/>
            <color indexed="48"/>
            <rFont val="Calibri"/>
            <family val="2"/>
          </rPr>
          <t xml:space="preserve">SOLD </t>
        </r>
        <r>
          <rPr>
            <b/>
            <sz val="8.5"/>
            <color indexed="8"/>
            <rFont val="Calibri"/>
            <family val="2"/>
          </rPr>
          <t>» 142 PAX]_x000D_
_x000D_
[</t>
        </r>
        <r>
          <rPr>
            <b/>
            <sz val="8.5"/>
            <color indexed="21"/>
            <rFont val="Calibri"/>
            <family val="2"/>
          </rPr>
          <t xml:space="preserve">WEEKLY </t>
        </r>
        <r>
          <rPr>
            <b/>
            <sz val="8.5"/>
            <color indexed="8"/>
            <rFont val="Calibri"/>
            <family val="2"/>
          </rPr>
          <t>» 64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S20 &amp; W22 &amp; T20 &amp; X19 &amp; U20 &amp; O20 &amp; I20</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2" authorId="0" shapeId="0" xr:uid="{54A1D538-9D4F-4C3F-88E1-E5C38DC28300}">
      <text>
        <r>
          <rPr>
            <b/>
            <sz val="8.5"/>
            <color indexed="8"/>
            <rFont val="Calibri"/>
            <family val="2"/>
          </rPr>
          <t xml:space="preserve">-{ </t>
        </r>
        <r>
          <rPr>
            <b/>
            <sz val="10"/>
            <color indexed="10"/>
            <rFont val="Calibri"/>
            <family val="2"/>
          </rPr>
          <t>SM438</t>
        </r>
        <r>
          <rPr>
            <b/>
            <sz val="8.5"/>
            <color indexed="8"/>
            <rFont val="Calibri"/>
            <family val="2"/>
          </rPr>
          <t xml:space="preserve"> }-_x000D_
_x000D_
[</t>
        </r>
        <r>
          <rPr>
            <b/>
            <sz val="8.5"/>
            <color indexed="48"/>
            <rFont val="Calibri"/>
            <family val="2"/>
          </rPr>
          <t xml:space="preserve">LF </t>
        </r>
        <r>
          <rPr>
            <b/>
            <sz val="8.5"/>
            <color indexed="8"/>
            <rFont val="Calibri"/>
            <family val="2"/>
          </rPr>
          <t>» 84.5%] - [</t>
        </r>
        <r>
          <rPr>
            <b/>
            <sz val="8.5"/>
            <color indexed="48"/>
            <rFont val="Calibri"/>
            <family val="2"/>
          </rPr>
          <t xml:space="preserve">SOLD </t>
        </r>
        <r>
          <rPr>
            <b/>
            <sz val="8.5"/>
            <color indexed="8"/>
            <rFont val="Calibri"/>
            <family val="2"/>
          </rPr>
          <t>» 142 PAX]_x000D_
_x000D_
[</t>
        </r>
        <r>
          <rPr>
            <b/>
            <sz val="8.5"/>
            <color indexed="21"/>
            <rFont val="Calibri"/>
            <family val="2"/>
          </rPr>
          <t xml:space="preserve">WEEKLY </t>
        </r>
        <r>
          <rPr>
            <b/>
            <sz val="8.5"/>
            <color indexed="8"/>
            <rFont val="Calibri"/>
            <family val="2"/>
          </rPr>
          <t>» 64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S20 &amp; W22 &amp; T20 &amp; X19 &amp; U20 &amp; O20 &amp; I20</t>
        </r>
      </text>
    </comment>
    <comment ref="B2" authorId="0" shapeId="0" xr:uid="{DC042512-5FF3-4F58-A059-880E56C6BDEA}">
      <text>
        <r>
          <rPr>
            <b/>
            <sz val="8.5"/>
            <color indexed="8"/>
            <rFont val="Calibri"/>
            <family val="2"/>
          </rPr>
          <t xml:space="preserve">-{ </t>
        </r>
        <r>
          <rPr>
            <b/>
            <sz val="10"/>
            <color indexed="10"/>
            <rFont val="Calibri"/>
            <family val="2"/>
          </rPr>
          <t>SM438</t>
        </r>
        <r>
          <rPr>
            <b/>
            <sz val="8.5"/>
            <color indexed="8"/>
            <rFont val="Calibri"/>
            <family val="2"/>
          </rPr>
          <t xml:space="preserve"> }-_x000D_
_x000D_
[</t>
        </r>
        <r>
          <rPr>
            <b/>
            <sz val="8.5"/>
            <color indexed="48"/>
            <rFont val="Calibri"/>
            <family val="2"/>
          </rPr>
          <t xml:space="preserve">LF </t>
        </r>
        <r>
          <rPr>
            <b/>
            <sz val="8.5"/>
            <color indexed="8"/>
            <rFont val="Calibri"/>
            <family val="2"/>
          </rPr>
          <t>» 84.5%] - [</t>
        </r>
        <r>
          <rPr>
            <b/>
            <sz val="8.5"/>
            <color indexed="48"/>
            <rFont val="Calibri"/>
            <family val="2"/>
          </rPr>
          <t xml:space="preserve">SOLD </t>
        </r>
        <r>
          <rPr>
            <b/>
            <sz val="8.5"/>
            <color indexed="8"/>
            <rFont val="Calibri"/>
            <family val="2"/>
          </rPr>
          <t>» 142 PAX]_x000D_
_x000D_
[</t>
        </r>
        <r>
          <rPr>
            <b/>
            <sz val="8.5"/>
            <color indexed="21"/>
            <rFont val="Calibri"/>
            <family val="2"/>
          </rPr>
          <t xml:space="preserve">WEEKLY </t>
        </r>
        <r>
          <rPr>
            <b/>
            <sz val="8.5"/>
            <color indexed="8"/>
            <rFont val="Calibri"/>
            <family val="2"/>
          </rPr>
          <t>» 64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S20 &amp; W22 &amp; T20 &amp; X19 &amp; U20 &amp; O20 &amp; I20</t>
        </r>
      </text>
    </comment>
    <comment ref="C2" authorId="0" shapeId="0" xr:uid="{DF94C044-385D-4651-8DF4-942D9577018C}">
      <text>
        <r>
          <rPr>
            <b/>
            <sz val="8.5"/>
            <color indexed="8"/>
            <rFont val="Calibri"/>
            <family val="2"/>
          </rPr>
          <t xml:space="preserve">-{ </t>
        </r>
        <r>
          <rPr>
            <b/>
            <sz val="10"/>
            <color indexed="10"/>
            <rFont val="Calibri"/>
            <family val="2"/>
          </rPr>
          <t>SM438</t>
        </r>
        <r>
          <rPr>
            <b/>
            <sz val="8.5"/>
            <color indexed="8"/>
            <rFont val="Calibri"/>
            <family val="2"/>
          </rPr>
          <t xml:space="preserve"> }-_x000D_
_x000D_
[</t>
        </r>
        <r>
          <rPr>
            <b/>
            <sz val="8.5"/>
            <color indexed="48"/>
            <rFont val="Calibri"/>
            <family val="2"/>
          </rPr>
          <t xml:space="preserve">LF </t>
        </r>
        <r>
          <rPr>
            <b/>
            <sz val="8.5"/>
            <color indexed="8"/>
            <rFont val="Calibri"/>
            <family val="2"/>
          </rPr>
          <t>» 84.5%] - [</t>
        </r>
        <r>
          <rPr>
            <b/>
            <sz val="8.5"/>
            <color indexed="48"/>
            <rFont val="Calibri"/>
            <family val="2"/>
          </rPr>
          <t xml:space="preserve">SOLD </t>
        </r>
        <r>
          <rPr>
            <b/>
            <sz val="8.5"/>
            <color indexed="8"/>
            <rFont val="Calibri"/>
            <family val="2"/>
          </rPr>
          <t>» 142 PAX]_x000D_
_x000D_
[</t>
        </r>
        <r>
          <rPr>
            <b/>
            <sz val="8.5"/>
            <color indexed="21"/>
            <rFont val="Calibri"/>
            <family val="2"/>
          </rPr>
          <t xml:space="preserve">WEEKLY </t>
        </r>
        <r>
          <rPr>
            <b/>
            <sz val="8.5"/>
            <color indexed="8"/>
            <rFont val="Calibri"/>
            <family val="2"/>
          </rPr>
          <t>» 64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S20 &amp; W22 &amp; T20 &amp; X19 &amp; U20 &amp; O20 &amp; I20</t>
        </r>
      </text>
    </comment>
    <comment ref="D2" authorId="0" shapeId="0" xr:uid="{CF4667D3-04E7-45CA-8C4B-9565921B2C74}">
      <text>
        <r>
          <rPr>
            <b/>
            <sz val="8.5"/>
            <color indexed="8"/>
            <rFont val="Calibri"/>
            <family val="2"/>
          </rPr>
          <t xml:space="preserve">-{ </t>
        </r>
        <r>
          <rPr>
            <b/>
            <sz val="10"/>
            <color indexed="10"/>
            <rFont val="Calibri"/>
            <family val="2"/>
          </rPr>
          <t>SM438</t>
        </r>
        <r>
          <rPr>
            <b/>
            <sz val="8.5"/>
            <color indexed="8"/>
            <rFont val="Calibri"/>
            <family val="2"/>
          </rPr>
          <t xml:space="preserve"> }-_x000D_
_x000D_
[</t>
        </r>
        <r>
          <rPr>
            <b/>
            <sz val="8.5"/>
            <color indexed="48"/>
            <rFont val="Calibri"/>
            <family val="2"/>
          </rPr>
          <t xml:space="preserve">LF </t>
        </r>
        <r>
          <rPr>
            <b/>
            <sz val="8.5"/>
            <color indexed="8"/>
            <rFont val="Calibri"/>
            <family val="2"/>
          </rPr>
          <t>» 84.5%] - [</t>
        </r>
        <r>
          <rPr>
            <b/>
            <sz val="8.5"/>
            <color indexed="48"/>
            <rFont val="Calibri"/>
            <family val="2"/>
          </rPr>
          <t xml:space="preserve">SOLD </t>
        </r>
        <r>
          <rPr>
            <b/>
            <sz val="8.5"/>
            <color indexed="8"/>
            <rFont val="Calibri"/>
            <family val="2"/>
          </rPr>
          <t>» 142 PAX]_x000D_
_x000D_
[</t>
        </r>
        <r>
          <rPr>
            <b/>
            <sz val="8.5"/>
            <color indexed="21"/>
            <rFont val="Calibri"/>
            <family val="2"/>
          </rPr>
          <t xml:space="preserve">WEEKLY </t>
        </r>
        <r>
          <rPr>
            <b/>
            <sz val="8.5"/>
            <color indexed="8"/>
            <rFont val="Calibri"/>
            <family val="2"/>
          </rPr>
          <t>» 64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S20 &amp; W22 &amp; T20 &amp; X19 &amp; U20 &amp; O20 &amp; I20</t>
        </r>
      </text>
    </comment>
    <comment ref="E2" authorId="0" shapeId="0" xr:uid="{794F734A-2101-4AF2-A023-7E4374E0593F}">
      <text>
        <r>
          <rPr>
            <b/>
            <sz val="8.5"/>
            <color indexed="8"/>
            <rFont val="Calibri"/>
            <family val="2"/>
          </rPr>
          <t xml:space="preserve">-{ </t>
        </r>
        <r>
          <rPr>
            <b/>
            <sz val="10"/>
            <color indexed="10"/>
            <rFont val="Calibri"/>
            <family val="2"/>
          </rPr>
          <t>SM438</t>
        </r>
        <r>
          <rPr>
            <b/>
            <sz val="8.5"/>
            <color indexed="8"/>
            <rFont val="Calibri"/>
            <family val="2"/>
          </rPr>
          <t xml:space="preserve"> }-_x000D_
_x000D_
[</t>
        </r>
        <r>
          <rPr>
            <b/>
            <sz val="8.5"/>
            <color indexed="48"/>
            <rFont val="Calibri"/>
            <family val="2"/>
          </rPr>
          <t xml:space="preserve">LF </t>
        </r>
        <r>
          <rPr>
            <b/>
            <sz val="8.5"/>
            <color indexed="8"/>
            <rFont val="Calibri"/>
            <family val="2"/>
          </rPr>
          <t>» 84.5%] - [</t>
        </r>
        <r>
          <rPr>
            <b/>
            <sz val="8.5"/>
            <color indexed="48"/>
            <rFont val="Calibri"/>
            <family val="2"/>
          </rPr>
          <t xml:space="preserve">SOLD </t>
        </r>
        <r>
          <rPr>
            <b/>
            <sz val="8.5"/>
            <color indexed="8"/>
            <rFont val="Calibri"/>
            <family val="2"/>
          </rPr>
          <t>» 142 PAX]_x000D_
_x000D_
[</t>
        </r>
        <r>
          <rPr>
            <b/>
            <sz val="8.5"/>
            <color indexed="21"/>
            <rFont val="Calibri"/>
            <family val="2"/>
          </rPr>
          <t xml:space="preserve">WEEKLY </t>
        </r>
        <r>
          <rPr>
            <b/>
            <sz val="8.5"/>
            <color indexed="8"/>
            <rFont val="Calibri"/>
            <family val="2"/>
          </rPr>
          <t>» 64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S20 &amp; W22 &amp; T20 &amp; X19 &amp; U20 &amp; O20 &amp; I20</t>
        </r>
      </text>
    </comment>
    <comment ref="F2" authorId="0" shapeId="0" xr:uid="{BA398F80-C42A-4121-9E48-E8AFF011A8D1}">
      <text>
        <r>
          <rPr>
            <b/>
            <sz val="8.5"/>
            <color indexed="8"/>
            <rFont val="Calibri"/>
            <family val="2"/>
          </rPr>
          <t xml:space="preserve">-{ </t>
        </r>
        <r>
          <rPr>
            <b/>
            <sz val="10"/>
            <color indexed="10"/>
            <rFont val="Calibri"/>
            <family val="2"/>
          </rPr>
          <t>SM438</t>
        </r>
        <r>
          <rPr>
            <b/>
            <sz val="8.5"/>
            <color indexed="8"/>
            <rFont val="Calibri"/>
            <family val="2"/>
          </rPr>
          <t xml:space="preserve"> }-_x000D_
_x000D_
[</t>
        </r>
        <r>
          <rPr>
            <b/>
            <sz val="8.5"/>
            <color indexed="48"/>
            <rFont val="Calibri"/>
            <family val="2"/>
          </rPr>
          <t xml:space="preserve">LF </t>
        </r>
        <r>
          <rPr>
            <b/>
            <sz val="8.5"/>
            <color indexed="8"/>
            <rFont val="Calibri"/>
            <family val="2"/>
          </rPr>
          <t>» 84.5%] - [</t>
        </r>
        <r>
          <rPr>
            <b/>
            <sz val="8.5"/>
            <color indexed="48"/>
            <rFont val="Calibri"/>
            <family val="2"/>
          </rPr>
          <t xml:space="preserve">SOLD </t>
        </r>
        <r>
          <rPr>
            <b/>
            <sz val="8.5"/>
            <color indexed="8"/>
            <rFont val="Calibri"/>
            <family val="2"/>
          </rPr>
          <t>» 142 PAX]_x000D_
_x000D_
[</t>
        </r>
        <r>
          <rPr>
            <b/>
            <sz val="8.5"/>
            <color indexed="21"/>
            <rFont val="Calibri"/>
            <family val="2"/>
          </rPr>
          <t xml:space="preserve">WEEKLY </t>
        </r>
        <r>
          <rPr>
            <b/>
            <sz val="8.5"/>
            <color indexed="8"/>
            <rFont val="Calibri"/>
            <family val="2"/>
          </rPr>
          <t>» 64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S20 &amp; W22 &amp; T20 &amp; X19 &amp; U20 &amp; O20 &amp; I20</t>
        </r>
      </text>
    </comment>
    <comment ref="G2" authorId="0" shapeId="0" xr:uid="{D1C698FE-F156-4B5A-A08F-8DA57C15518C}">
      <text>
        <r>
          <rPr>
            <b/>
            <sz val="8.5"/>
            <color indexed="8"/>
            <rFont val="Calibri"/>
            <family val="2"/>
          </rPr>
          <t xml:space="preserve">-{ </t>
        </r>
        <r>
          <rPr>
            <b/>
            <sz val="10"/>
            <color indexed="10"/>
            <rFont val="Calibri"/>
            <family val="2"/>
          </rPr>
          <t>SM438</t>
        </r>
        <r>
          <rPr>
            <b/>
            <sz val="8.5"/>
            <color indexed="8"/>
            <rFont val="Calibri"/>
            <family val="2"/>
          </rPr>
          <t xml:space="preserve"> }-_x000D_
_x000D_
[</t>
        </r>
        <r>
          <rPr>
            <b/>
            <sz val="8.5"/>
            <color indexed="48"/>
            <rFont val="Calibri"/>
            <family val="2"/>
          </rPr>
          <t xml:space="preserve">LF </t>
        </r>
        <r>
          <rPr>
            <b/>
            <sz val="8.5"/>
            <color indexed="8"/>
            <rFont val="Calibri"/>
            <family val="2"/>
          </rPr>
          <t>» 84.5%] - [</t>
        </r>
        <r>
          <rPr>
            <b/>
            <sz val="8.5"/>
            <color indexed="48"/>
            <rFont val="Calibri"/>
            <family val="2"/>
          </rPr>
          <t xml:space="preserve">SOLD </t>
        </r>
        <r>
          <rPr>
            <b/>
            <sz val="8.5"/>
            <color indexed="8"/>
            <rFont val="Calibri"/>
            <family val="2"/>
          </rPr>
          <t>» 142 PAX]_x000D_
_x000D_
[</t>
        </r>
        <r>
          <rPr>
            <b/>
            <sz val="8.5"/>
            <color indexed="21"/>
            <rFont val="Calibri"/>
            <family val="2"/>
          </rPr>
          <t xml:space="preserve">WEEKLY </t>
        </r>
        <r>
          <rPr>
            <b/>
            <sz val="8.5"/>
            <color indexed="8"/>
            <rFont val="Calibri"/>
            <family val="2"/>
          </rPr>
          <t>» 64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S20 &amp; W22 &amp; T20 &amp; X19 &amp; U20 &amp; O20 &amp; I20</t>
        </r>
      </text>
    </comment>
    <comment ref="H2" authorId="0" shapeId="0" xr:uid="{3CAEF9BF-63BE-445B-8061-194340F8327D}">
      <text>
        <r>
          <rPr>
            <b/>
            <sz val="8.5"/>
            <color indexed="8"/>
            <rFont val="Calibri"/>
            <family val="2"/>
          </rPr>
          <t xml:space="preserve">-{ </t>
        </r>
        <r>
          <rPr>
            <b/>
            <sz val="10"/>
            <color indexed="10"/>
            <rFont val="Calibri"/>
            <family val="2"/>
          </rPr>
          <t>SM438</t>
        </r>
        <r>
          <rPr>
            <b/>
            <sz val="8.5"/>
            <color indexed="8"/>
            <rFont val="Calibri"/>
            <family val="2"/>
          </rPr>
          <t xml:space="preserve"> }-_x000D_
_x000D_
[</t>
        </r>
        <r>
          <rPr>
            <b/>
            <sz val="8.5"/>
            <color indexed="48"/>
            <rFont val="Calibri"/>
            <family val="2"/>
          </rPr>
          <t xml:space="preserve">LF </t>
        </r>
        <r>
          <rPr>
            <b/>
            <sz val="8.5"/>
            <color indexed="8"/>
            <rFont val="Calibri"/>
            <family val="2"/>
          </rPr>
          <t>» 84.5%] - [</t>
        </r>
        <r>
          <rPr>
            <b/>
            <sz val="8.5"/>
            <color indexed="48"/>
            <rFont val="Calibri"/>
            <family val="2"/>
          </rPr>
          <t xml:space="preserve">SOLD </t>
        </r>
        <r>
          <rPr>
            <b/>
            <sz val="8.5"/>
            <color indexed="8"/>
            <rFont val="Calibri"/>
            <family val="2"/>
          </rPr>
          <t>» 142 PAX]_x000D_
_x000D_
[</t>
        </r>
        <r>
          <rPr>
            <b/>
            <sz val="8.5"/>
            <color indexed="21"/>
            <rFont val="Calibri"/>
            <family val="2"/>
          </rPr>
          <t xml:space="preserve">WEEKLY </t>
        </r>
        <r>
          <rPr>
            <b/>
            <sz val="8.5"/>
            <color indexed="8"/>
            <rFont val="Calibri"/>
            <family val="2"/>
          </rPr>
          <t>» 64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X1]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S20 &amp; W22 &amp; T20 &amp; X19 &amp; U20 &amp; O20 &amp; I20</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8" authorId="0" shapeId="0" xr:uid="{8594A870-FED9-4D9D-84F7-F747A35774AA}">
      <text>
        <r>
          <rPr>
            <b/>
            <sz val="8.5"/>
            <color indexed="8"/>
            <rFont val="Calibri"/>
            <family val="2"/>
          </rPr>
          <t xml:space="preserve">-{ </t>
        </r>
        <r>
          <rPr>
            <b/>
            <sz val="10"/>
            <color indexed="10"/>
            <rFont val="Calibri"/>
            <family val="2"/>
          </rPr>
          <t>SM326</t>
        </r>
        <r>
          <rPr>
            <b/>
            <sz val="8.5"/>
            <color indexed="8"/>
            <rFont val="Calibri"/>
            <family val="2"/>
          </rPr>
          <t xml:space="preserve"> }-_x000D_
_x000D_
[</t>
        </r>
        <r>
          <rPr>
            <b/>
            <sz val="8.5"/>
            <color indexed="48"/>
            <rFont val="Calibri"/>
            <family val="2"/>
          </rPr>
          <t xml:space="preserve">LF </t>
        </r>
        <r>
          <rPr>
            <b/>
            <sz val="8.5"/>
            <color indexed="8"/>
            <rFont val="Calibri"/>
            <family val="2"/>
          </rPr>
          <t>» 76.3%] - [</t>
        </r>
        <r>
          <rPr>
            <b/>
            <sz val="8.5"/>
            <color indexed="48"/>
            <rFont val="Calibri"/>
            <family val="2"/>
          </rPr>
          <t xml:space="preserve">SOLD </t>
        </r>
        <r>
          <rPr>
            <b/>
            <sz val="8.5"/>
            <color indexed="8"/>
            <rFont val="Calibri"/>
            <family val="2"/>
          </rPr>
          <t>» 74 PAX]_x000D_
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97]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U3 &amp; O53 &amp; I18</t>
        </r>
      </text>
    </comment>
    <comment ref="B8" authorId="0" shapeId="0" xr:uid="{A0FE7438-66DE-4C8D-AE30-508D9CB58F3E}">
      <text>
        <r>
          <rPr>
            <b/>
            <sz val="8.5"/>
            <color indexed="8"/>
            <rFont val="Calibri"/>
            <family val="2"/>
          </rPr>
          <t xml:space="preserve">-{ </t>
        </r>
        <r>
          <rPr>
            <b/>
            <sz val="10"/>
            <color indexed="10"/>
            <rFont val="Calibri"/>
            <family val="2"/>
          </rPr>
          <t>SM326</t>
        </r>
        <r>
          <rPr>
            <b/>
            <sz val="8.5"/>
            <color indexed="8"/>
            <rFont val="Calibri"/>
            <family val="2"/>
          </rPr>
          <t xml:space="preserve"> }-_x000D_
_x000D_
[</t>
        </r>
        <r>
          <rPr>
            <b/>
            <sz val="8.5"/>
            <color indexed="48"/>
            <rFont val="Calibri"/>
            <family val="2"/>
          </rPr>
          <t xml:space="preserve">LF </t>
        </r>
        <r>
          <rPr>
            <b/>
            <sz val="8.5"/>
            <color indexed="8"/>
            <rFont val="Calibri"/>
            <family val="2"/>
          </rPr>
          <t>» 76.3%] - [</t>
        </r>
        <r>
          <rPr>
            <b/>
            <sz val="8.5"/>
            <color indexed="48"/>
            <rFont val="Calibri"/>
            <family val="2"/>
          </rPr>
          <t xml:space="preserve">SOLD </t>
        </r>
        <r>
          <rPr>
            <b/>
            <sz val="8.5"/>
            <color indexed="8"/>
            <rFont val="Calibri"/>
            <family val="2"/>
          </rPr>
          <t>» 74 PAX]_x000D_
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97]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U3 &amp; O53 &amp; I18</t>
        </r>
      </text>
    </comment>
    <comment ref="C8" authorId="0" shapeId="0" xr:uid="{107CFEFE-40D6-493A-A47B-753A7344E4EB}">
      <text>
        <r>
          <rPr>
            <b/>
            <sz val="8.5"/>
            <color indexed="8"/>
            <rFont val="Calibri"/>
            <family val="2"/>
          </rPr>
          <t xml:space="preserve">-{ </t>
        </r>
        <r>
          <rPr>
            <b/>
            <sz val="10"/>
            <color indexed="10"/>
            <rFont val="Calibri"/>
            <family val="2"/>
          </rPr>
          <t>SM326</t>
        </r>
        <r>
          <rPr>
            <b/>
            <sz val="8.5"/>
            <color indexed="8"/>
            <rFont val="Calibri"/>
            <family val="2"/>
          </rPr>
          <t xml:space="preserve"> }-_x000D_
_x000D_
[</t>
        </r>
        <r>
          <rPr>
            <b/>
            <sz val="8.5"/>
            <color indexed="48"/>
            <rFont val="Calibri"/>
            <family val="2"/>
          </rPr>
          <t xml:space="preserve">LF </t>
        </r>
        <r>
          <rPr>
            <b/>
            <sz val="8.5"/>
            <color indexed="8"/>
            <rFont val="Calibri"/>
            <family val="2"/>
          </rPr>
          <t>» 76.3%] - [</t>
        </r>
        <r>
          <rPr>
            <b/>
            <sz val="8.5"/>
            <color indexed="48"/>
            <rFont val="Calibri"/>
            <family val="2"/>
          </rPr>
          <t xml:space="preserve">SOLD </t>
        </r>
        <r>
          <rPr>
            <b/>
            <sz val="8.5"/>
            <color indexed="8"/>
            <rFont val="Calibri"/>
            <family val="2"/>
          </rPr>
          <t>» 74 PAX]_x000D_
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97]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U3 &amp; O53 &amp; I18</t>
        </r>
      </text>
    </comment>
    <comment ref="D8" authorId="0" shapeId="0" xr:uid="{D0FAC4D9-B843-4915-9590-4FAF629EB51C}">
      <text>
        <r>
          <rPr>
            <b/>
            <sz val="8.5"/>
            <color indexed="8"/>
            <rFont val="Calibri"/>
            <family val="2"/>
          </rPr>
          <t xml:space="preserve">-{ </t>
        </r>
        <r>
          <rPr>
            <b/>
            <sz val="10"/>
            <color indexed="10"/>
            <rFont val="Calibri"/>
            <family val="2"/>
          </rPr>
          <t>SM326</t>
        </r>
        <r>
          <rPr>
            <b/>
            <sz val="8.5"/>
            <color indexed="8"/>
            <rFont val="Calibri"/>
            <family val="2"/>
          </rPr>
          <t xml:space="preserve"> }-_x000D_
_x000D_
[</t>
        </r>
        <r>
          <rPr>
            <b/>
            <sz val="8.5"/>
            <color indexed="48"/>
            <rFont val="Calibri"/>
            <family val="2"/>
          </rPr>
          <t xml:space="preserve">LF </t>
        </r>
        <r>
          <rPr>
            <b/>
            <sz val="8.5"/>
            <color indexed="8"/>
            <rFont val="Calibri"/>
            <family val="2"/>
          </rPr>
          <t>» 76.3%] - [</t>
        </r>
        <r>
          <rPr>
            <b/>
            <sz val="8.5"/>
            <color indexed="48"/>
            <rFont val="Calibri"/>
            <family val="2"/>
          </rPr>
          <t xml:space="preserve">SOLD </t>
        </r>
        <r>
          <rPr>
            <b/>
            <sz val="8.5"/>
            <color indexed="8"/>
            <rFont val="Calibri"/>
            <family val="2"/>
          </rPr>
          <t>» 74 PAX]_x000D_
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97]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U3 &amp; O53 &amp; I18</t>
        </r>
      </text>
    </comment>
    <comment ref="E8" authorId="0" shapeId="0" xr:uid="{91CDEB77-0DFD-405C-899C-9EA7E9486361}">
      <text>
        <r>
          <rPr>
            <b/>
            <sz val="8.5"/>
            <color indexed="8"/>
            <rFont val="Calibri"/>
            <family val="2"/>
          </rPr>
          <t xml:space="preserve">-{ </t>
        </r>
        <r>
          <rPr>
            <b/>
            <sz val="10"/>
            <color indexed="10"/>
            <rFont val="Calibri"/>
            <family val="2"/>
          </rPr>
          <t>SM326</t>
        </r>
        <r>
          <rPr>
            <b/>
            <sz val="8.5"/>
            <color indexed="8"/>
            <rFont val="Calibri"/>
            <family val="2"/>
          </rPr>
          <t xml:space="preserve"> }-_x000D_
_x000D_
[</t>
        </r>
        <r>
          <rPr>
            <b/>
            <sz val="8.5"/>
            <color indexed="48"/>
            <rFont val="Calibri"/>
            <family val="2"/>
          </rPr>
          <t xml:space="preserve">LF </t>
        </r>
        <r>
          <rPr>
            <b/>
            <sz val="8.5"/>
            <color indexed="8"/>
            <rFont val="Calibri"/>
            <family val="2"/>
          </rPr>
          <t>» 76.3%] - [</t>
        </r>
        <r>
          <rPr>
            <b/>
            <sz val="8.5"/>
            <color indexed="48"/>
            <rFont val="Calibri"/>
            <family val="2"/>
          </rPr>
          <t xml:space="preserve">SOLD </t>
        </r>
        <r>
          <rPr>
            <b/>
            <sz val="8.5"/>
            <color indexed="8"/>
            <rFont val="Calibri"/>
            <family val="2"/>
          </rPr>
          <t>» 74 PAX]_x000D_
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97]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U3 &amp; O53 &amp; I18</t>
        </r>
      </text>
    </comment>
    <comment ref="F8" authorId="0" shapeId="0" xr:uid="{A73A1F0E-9766-45F8-B438-5DBECD4CED99}">
      <text>
        <r>
          <rPr>
            <b/>
            <sz val="8.5"/>
            <color indexed="8"/>
            <rFont val="Calibri"/>
            <family val="2"/>
          </rPr>
          <t xml:space="preserve">-{ </t>
        </r>
        <r>
          <rPr>
            <b/>
            <sz val="10"/>
            <color indexed="10"/>
            <rFont val="Calibri"/>
            <family val="2"/>
          </rPr>
          <t>SM326</t>
        </r>
        <r>
          <rPr>
            <b/>
            <sz val="8.5"/>
            <color indexed="8"/>
            <rFont val="Calibri"/>
            <family val="2"/>
          </rPr>
          <t xml:space="preserve"> }-_x000D_
_x000D_
[</t>
        </r>
        <r>
          <rPr>
            <b/>
            <sz val="8.5"/>
            <color indexed="48"/>
            <rFont val="Calibri"/>
            <family val="2"/>
          </rPr>
          <t xml:space="preserve">LF </t>
        </r>
        <r>
          <rPr>
            <b/>
            <sz val="8.5"/>
            <color indexed="8"/>
            <rFont val="Calibri"/>
            <family val="2"/>
          </rPr>
          <t>» 76.3%] - [</t>
        </r>
        <r>
          <rPr>
            <b/>
            <sz val="8.5"/>
            <color indexed="48"/>
            <rFont val="Calibri"/>
            <family val="2"/>
          </rPr>
          <t xml:space="preserve">SOLD </t>
        </r>
        <r>
          <rPr>
            <b/>
            <sz val="8.5"/>
            <color indexed="8"/>
            <rFont val="Calibri"/>
            <family val="2"/>
          </rPr>
          <t>» 74 PAX]_x000D_
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97]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U3 &amp; O53 &amp; I18</t>
        </r>
      </text>
    </comment>
    <comment ref="G8" authorId="0" shapeId="0" xr:uid="{D6ADB692-2841-43F2-BFF2-4A9075BF4E34}">
      <text>
        <r>
          <rPr>
            <b/>
            <sz val="8.5"/>
            <color indexed="8"/>
            <rFont val="Calibri"/>
            <family val="2"/>
          </rPr>
          <t xml:space="preserve">-{ </t>
        </r>
        <r>
          <rPr>
            <b/>
            <sz val="10"/>
            <color indexed="10"/>
            <rFont val="Calibri"/>
            <family val="2"/>
          </rPr>
          <t>SM326</t>
        </r>
        <r>
          <rPr>
            <b/>
            <sz val="8.5"/>
            <color indexed="8"/>
            <rFont val="Calibri"/>
            <family val="2"/>
          </rPr>
          <t xml:space="preserve"> }-_x000D_
_x000D_
[</t>
        </r>
        <r>
          <rPr>
            <b/>
            <sz val="8.5"/>
            <color indexed="48"/>
            <rFont val="Calibri"/>
            <family val="2"/>
          </rPr>
          <t xml:space="preserve">LF </t>
        </r>
        <r>
          <rPr>
            <b/>
            <sz val="8.5"/>
            <color indexed="8"/>
            <rFont val="Calibri"/>
            <family val="2"/>
          </rPr>
          <t>» 76.3%] - [</t>
        </r>
        <r>
          <rPr>
            <b/>
            <sz val="8.5"/>
            <color indexed="48"/>
            <rFont val="Calibri"/>
            <family val="2"/>
          </rPr>
          <t xml:space="preserve">SOLD </t>
        </r>
        <r>
          <rPr>
            <b/>
            <sz val="8.5"/>
            <color indexed="8"/>
            <rFont val="Calibri"/>
            <family val="2"/>
          </rPr>
          <t>» 74 PAX]_x000D_
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97]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U3 &amp; O53 &amp; I18</t>
        </r>
      </text>
    </comment>
    <comment ref="H8" authorId="0" shapeId="0" xr:uid="{CA3FC818-B080-4E6B-9E74-BDA757589BA2}">
      <text>
        <r>
          <rPr>
            <b/>
            <sz val="8.5"/>
            <color indexed="8"/>
            <rFont val="Calibri"/>
            <family val="2"/>
          </rPr>
          <t xml:space="preserve">-{ </t>
        </r>
        <r>
          <rPr>
            <b/>
            <sz val="10"/>
            <color indexed="10"/>
            <rFont val="Calibri"/>
            <family val="2"/>
          </rPr>
          <t>SM326</t>
        </r>
        <r>
          <rPr>
            <b/>
            <sz val="8.5"/>
            <color indexed="8"/>
            <rFont val="Calibri"/>
            <family val="2"/>
          </rPr>
          <t xml:space="preserve"> }-_x000D_
_x000D_
[</t>
        </r>
        <r>
          <rPr>
            <b/>
            <sz val="8.5"/>
            <color indexed="48"/>
            <rFont val="Calibri"/>
            <family val="2"/>
          </rPr>
          <t xml:space="preserve">LF </t>
        </r>
        <r>
          <rPr>
            <b/>
            <sz val="8.5"/>
            <color indexed="8"/>
            <rFont val="Calibri"/>
            <family val="2"/>
          </rPr>
          <t>» 76.3%] - [</t>
        </r>
        <r>
          <rPr>
            <b/>
            <sz val="8.5"/>
            <color indexed="48"/>
            <rFont val="Calibri"/>
            <family val="2"/>
          </rPr>
          <t xml:space="preserve">SOLD </t>
        </r>
        <r>
          <rPr>
            <b/>
            <sz val="8.5"/>
            <color indexed="8"/>
            <rFont val="Calibri"/>
            <family val="2"/>
          </rPr>
          <t>» 74 PAX]_x000D_
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97]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U3 &amp; O53 &amp; I18</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8" authorId="0" shapeId="0" xr:uid="{5A44A0E9-C29B-44FD-AD34-74A4B0A9E91F}">
      <text>
        <r>
          <rPr>
            <b/>
            <sz val="8.5"/>
            <color indexed="8"/>
            <rFont val="Calibri"/>
            <family val="2"/>
          </rPr>
          <t xml:space="preserve">-{ </t>
        </r>
        <r>
          <rPr>
            <b/>
            <sz val="10"/>
            <color indexed="10"/>
            <rFont val="Calibri"/>
            <family val="2"/>
          </rPr>
          <t>SM326</t>
        </r>
        <r>
          <rPr>
            <b/>
            <sz val="8.5"/>
            <color indexed="8"/>
            <rFont val="Calibri"/>
            <family val="2"/>
          </rPr>
          <t xml:space="preserve"> }-_x000D_
_x000D_
[</t>
        </r>
        <r>
          <rPr>
            <b/>
            <sz val="8.5"/>
            <color indexed="48"/>
            <rFont val="Calibri"/>
            <family val="2"/>
          </rPr>
          <t xml:space="preserve">LF </t>
        </r>
        <r>
          <rPr>
            <b/>
            <sz val="8.5"/>
            <color indexed="8"/>
            <rFont val="Calibri"/>
            <family val="2"/>
          </rPr>
          <t>» 76.3%] - [</t>
        </r>
        <r>
          <rPr>
            <b/>
            <sz val="8.5"/>
            <color indexed="48"/>
            <rFont val="Calibri"/>
            <family val="2"/>
          </rPr>
          <t xml:space="preserve">SOLD </t>
        </r>
        <r>
          <rPr>
            <b/>
            <sz val="8.5"/>
            <color indexed="8"/>
            <rFont val="Calibri"/>
            <family val="2"/>
          </rPr>
          <t>» 74 PAX]_x000D_
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97]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U3 &amp; O53 &amp; I18</t>
        </r>
      </text>
    </comment>
    <comment ref="B8" authorId="0" shapeId="0" xr:uid="{56B90ED8-39AD-4E45-801B-5F22D6D51163}">
      <text>
        <r>
          <rPr>
            <b/>
            <sz val="8.5"/>
            <color indexed="8"/>
            <rFont val="Calibri"/>
            <family val="2"/>
          </rPr>
          <t xml:space="preserve">-{ </t>
        </r>
        <r>
          <rPr>
            <b/>
            <sz val="10"/>
            <color indexed="10"/>
            <rFont val="Calibri"/>
            <family val="2"/>
          </rPr>
          <t>SM326</t>
        </r>
        <r>
          <rPr>
            <b/>
            <sz val="8.5"/>
            <color indexed="8"/>
            <rFont val="Calibri"/>
            <family val="2"/>
          </rPr>
          <t xml:space="preserve"> }-_x000D_
_x000D_
[</t>
        </r>
        <r>
          <rPr>
            <b/>
            <sz val="8.5"/>
            <color indexed="48"/>
            <rFont val="Calibri"/>
            <family val="2"/>
          </rPr>
          <t xml:space="preserve">LF </t>
        </r>
        <r>
          <rPr>
            <b/>
            <sz val="8.5"/>
            <color indexed="8"/>
            <rFont val="Calibri"/>
            <family val="2"/>
          </rPr>
          <t>» 76.3%] - [</t>
        </r>
        <r>
          <rPr>
            <b/>
            <sz val="8.5"/>
            <color indexed="48"/>
            <rFont val="Calibri"/>
            <family val="2"/>
          </rPr>
          <t xml:space="preserve">SOLD </t>
        </r>
        <r>
          <rPr>
            <b/>
            <sz val="8.5"/>
            <color indexed="8"/>
            <rFont val="Calibri"/>
            <family val="2"/>
          </rPr>
          <t>» 74 PAX]_x000D_
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97]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U3 &amp; O53 &amp; I18</t>
        </r>
      </text>
    </comment>
    <comment ref="C8" authorId="0" shapeId="0" xr:uid="{62D43943-6AB7-4545-9F64-949B62B9D5D5}">
      <text>
        <r>
          <rPr>
            <b/>
            <sz val="8.5"/>
            <color indexed="8"/>
            <rFont val="Calibri"/>
            <family val="2"/>
          </rPr>
          <t xml:space="preserve">-{ </t>
        </r>
        <r>
          <rPr>
            <b/>
            <sz val="10"/>
            <color indexed="10"/>
            <rFont val="Calibri"/>
            <family val="2"/>
          </rPr>
          <t>SM326</t>
        </r>
        <r>
          <rPr>
            <b/>
            <sz val="8.5"/>
            <color indexed="8"/>
            <rFont val="Calibri"/>
            <family val="2"/>
          </rPr>
          <t xml:space="preserve"> }-_x000D_
_x000D_
[</t>
        </r>
        <r>
          <rPr>
            <b/>
            <sz val="8.5"/>
            <color indexed="48"/>
            <rFont val="Calibri"/>
            <family val="2"/>
          </rPr>
          <t xml:space="preserve">LF </t>
        </r>
        <r>
          <rPr>
            <b/>
            <sz val="8.5"/>
            <color indexed="8"/>
            <rFont val="Calibri"/>
            <family val="2"/>
          </rPr>
          <t>» 76.3%] - [</t>
        </r>
        <r>
          <rPr>
            <b/>
            <sz val="8.5"/>
            <color indexed="48"/>
            <rFont val="Calibri"/>
            <family val="2"/>
          </rPr>
          <t xml:space="preserve">SOLD </t>
        </r>
        <r>
          <rPr>
            <b/>
            <sz val="8.5"/>
            <color indexed="8"/>
            <rFont val="Calibri"/>
            <family val="2"/>
          </rPr>
          <t>» 74 PAX]_x000D_
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97]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U3 &amp; O53 &amp; I18</t>
        </r>
      </text>
    </comment>
    <comment ref="D8" authorId="0" shapeId="0" xr:uid="{2E0F9056-51BB-4259-B87E-69002C78A704}">
      <text>
        <r>
          <rPr>
            <b/>
            <sz val="8.5"/>
            <color indexed="8"/>
            <rFont val="Calibri"/>
            <family val="2"/>
          </rPr>
          <t xml:space="preserve">-{ </t>
        </r>
        <r>
          <rPr>
            <b/>
            <sz val="10"/>
            <color indexed="10"/>
            <rFont val="Calibri"/>
            <family val="2"/>
          </rPr>
          <t>SM326</t>
        </r>
        <r>
          <rPr>
            <b/>
            <sz val="8.5"/>
            <color indexed="8"/>
            <rFont val="Calibri"/>
            <family val="2"/>
          </rPr>
          <t xml:space="preserve"> }-_x000D_
_x000D_
[</t>
        </r>
        <r>
          <rPr>
            <b/>
            <sz val="8.5"/>
            <color indexed="48"/>
            <rFont val="Calibri"/>
            <family val="2"/>
          </rPr>
          <t xml:space="preserve">LF </t>
        </r>
        <r>
          <rPr>
            <b/>
            <sz val="8.5"/>
            <color indexed="8"/>
            <rFont val="Calibri"/>
            <family val="2"/>
          </rPr>
          <t>» 76.3%] - [</t>
        </r>
        <r>
          <rPr>
            <b/>
            <sz val="8.5"/>
            <color indexed="48"/>
            <rFont val="Calibri"/>
            <family val="2"/>
          </rPr>
          <t xml:space="preserve">SOLD </t>
        </r>
        <r>
          <rPr>
            <b/>
            <sz val="8.5"/>
            <color indexed="8"/>
            <rFont val="Calibri"/>
            <family val="2"/>
          </rPr>
          <t>» 74 PAX]_x000D_
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97]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U3 &amp; O53 &amp; I18</t>
        </r>
      </text>
    </comment>
    <comment ref="E8" authorId="0" shapeId="0" xr:uid="{7B88B3D1-3BED-4A53-BD36-1895B7238898}">
      <text>
        <r>
          <rPr>
            <b/>
            <sz val="8.5"/>
            <color indexed="8"/>
            <rFont val="Calibri"/>
            <family val="2"/>
          </rPr>
          <t xml:space="preserve">-{ </t>
        </r>
        <r>
          <rPr>
            <b/>
            <sz val="10"/>
            <color indexed="10"/>
            <rFont val="Calibri"/>
            <family val="2"/>
          </rPr>
          <t>SM326</t>
        </r>
        <r>
          <rPr>
            <b/>
            <sz val="8.5"/>
            <color indexed="8"/>
            <rFont val="Calibri"/>
            <family val="2"/>
          </rPr>
          <t xml:space="preserve"> }-_x000D_
_x000D_
[</t>
        </r>
        <r>
          <rPr>
            <b/>
            <sz val="8.5"/>
            <color indexed="48"/>
            <rFont val="Calibri"/>
            <family val="2"/>
          </rPr>
          <t xml:space="preserve">LF </t>
        </r>
        <r>
          <rPr>
            <b/>
            <sz val="8.5"/>
            <color indexed="8"/>
            <rFont val="Calibri"/>
            <family val="2"/>
          </rPr>
          <t>» 76.3%] - [</t>
        </r>
        <r>
          <rPr>
            <b/>
            <sz val="8.5"/>
            <color indexed="48"/>
            <rFont val="Calibri"/>
            <family val="2"/>
          </rPr>
          <t xml:space="preserve">SOLD </t>
        </r>
        <r>
          <rPr>
            <b/>
            <sz val="8.5"/>
            <color indexed="8"/>
            <rFont val="Calibri"/>
            <family val="2"/>
          </rPr>
          <t>» 74 PAX]_x000D_
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97]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U3 &amp; O53 &amp; I18</t>
        </r>
      </text>
    </comment>
    <comment ref="F8" authorId="0" shapeId="0" xr:uid="{59435DB5-67DA-4EB6-9D06-0F13C2EB0346}">
      <text>
        <r>
          <rPr>
            <b/>
            <sz val="8.5"/>
            <color indexed="8"/>
            <rFont val="Calibri"/>
            <family val="2"/>
          </rPr>
          <t xml:space="preserve">-{ </t>
        </r>
        <r>
          <rPr>
            <b/>
            <sz val="10"/>
            <color indexed="10"/>
            <rFont val="Calibri"/>
            <family val="2"/>
          </rPr>
          <t>SM326</t>
        </r>
        <r>
          <rPr>
            <b/>
            <sz val="8.5"/>
            <color indexed="8"/>
            <rFont val="Calibri"/>
            <family val="2"/>
          </rPr>
          <t xml:space="preserve"> }-_x000D_
_x000D_
[</t>
        </r>
        <r>
          <rPr>
            <b/>
            <sz val="8.5"/>
            <color indexed="48"/>
            <rFont val="Calibri"/>
            <family val="2"/>
          </rPr>
          <t xml:space="preserve">LF </t>
        </r>
        <r>
          <rPr>
            <b/>
            <sz val="8.5"/>
            <color indexed="8"/>
            <rFont val="Calibri"/>
            <family val="2"/>
          </rPr>
          <t>» 76.3%] - [</t>
        </r>
        <r>
          <rPr>
            <b/>
            <sz val="8.5"/>
            <color indexed="48"/>
            <rFont val="Calibri"/>
            <family val="2"/>
          </rPr>
          <t xml:space="preserve">SOLD </t>
        </r>
        <r>
          <rPr>
            <b/>
            <sz val="8.5"/>
            <color indexed="8"/>
            <rFont val="Calibri"/>
            <family val="2"/>
          </rPr>
          <t>» 74 PAX]_x000D_
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O9] - [</t>
        </r>
        <r>
          <rPr>
            <b/>
            <sz val="8.5"/>
            <color indexed="48"/>
            <rFont val="Calibri"/>
            <family val="2"/>
          </rPr>
          <t>CAPACITY</t>
        </r>
        <r>
          <rPr>
            <b/>
            <sz val="8.5"/>
            <color indexed="8"/>
            <rFont val="Calibri"/>
            <family val="2"/>
          </rPr>
          <t xml:space="preserve"> » 97]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U3 &amp; O53 &amp; I18</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2" authorId="0" shapeId="0" xr:uid="{3536595E-48C4-421D-AB38-E24B845FD6EC}">
      <text>
        <r>
          <rPr>
            <b/>
            <sz val="8.5"/>
            <color indexed="8"/>
            <rFont val="Calibri"/>
            <family val="2"/>
          </rPr>
          <t xml:space="preserve">-{ </t>
        </r>
        <r>
          <rPr>
            <b/>
            <sz val="10"/>
            <color indexed="10"/>
            <rFont val="Calibri"/>
            <family val="2"/>
          </rPr>
          <t>SM328</t>
        </r>
        <r>
          <rPr>
            <b/>
            <sz val="8.5"/>
            <color indexed="8"/>
            <rFont val="Calibri"/>
            <family val="2"/>
          </rPr>
          <t xml:space="preserve"> }-_x000D_
_x000D_
[</t>
        </r>
        <r>
          <rPr>
            <b/>
            <sz val="8.5"/>
            <color indexed="48"/>
            <rFont val="Calibri"/>
            <family val="2"/>
          </rPr>
          <t xml:space="preserve">LF </t>
        </r>
        <r>
          <rPr>
            <b/>
            <sz val="8.5"/>
            <color indexed="8"/>
            <rFont val="Calibri"/>
            <family val="2"/>
          </rPr>
          <t>» 41.1%] - [</t>
        </r>
        <r>
          <rPr>
            <b/>
            <sz val="8.5"/>
            <color indexed="48"/>
            <rFont val="Calibri"/>
            <family val="2"/>
          </rPr>
          <t xml:space="preserve">SOLD </t>
        </r>
        <r>
          <rPr>
            <b/>
            <sz val="8.5"/>
            <color indexed="8"/>
            <rFont val="Calibri"/>
            <family val="2"/>
          </rPr>
          <t>» 69 PAX]_x000D_
_x000D_
[</t>
        </r>
        <r>
          <rPr>
            <b/>
            <sz val="8.5"/>
            <color indexed="21"/>
            <rFont val="Calibri"/>
            <family val="2"/>
          </rPr>
          <t xml:space="preserve">WEEKLY </t>
        </r>
        <r>
          <rPr>
            <b/>
            <sz val="8.5"/>
            <color indexed="8"/>
            <rFont val="Calibri"/>
            <family val="2"/>
          </rPr>
          <t>» 33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_x000D_
[</t>
        </r>
        <r>
          <rPr>
            <b/>
            <sz val="8.5"/>
            <color indexed="48"/>
            <rFont val="Calibri"/>
            <family val="2"/>
          </rPr>
          <t>LOWESTAVAIL</t>
        </r>
        <r>
          <rPr>
            <b/>
            <sz val="8.5"/>
            <color indexed="8"/>
            <rFont val="Calibri"/>
            <family val="2"/>
          </rPr>
          <t xml:space="preserve"> » T2]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W2 &amp; T8 &amp; X10 &amp; U10 &amp; O11 &amp; I27</t>
        </r>
      </text>
    </comment>
    <comment ref="B2" authorId="0" shapeId="0" xr:uid="{0F392454-DDC7-44A8-8A91-916282CC6BDD}">
      <text>
        <r>
          <rPr>
            <b/>
            <sz val="8.5"/>
            <color indexed="8"/>
            <rFont val="Calibri"/>
            <family val="2"/>
          </rPr>
          <t xml:space="preserve">-{ </t>
        </r>
        <r>
          <rPr>
            <b/>
            <sz val="10"/>
            <color indexed="10"/>
            <rFont val="Calibri"/>
            <family val="2"/>
          </rPr>
          <t>SM328</t>
        </r>
        <r>
          <rPr>
            <b/>
            <sz val="8.5"/>
            <color indexed="8"/>
            <rFont val="Calibri"/>
            <family val="2"/>
          </rPr>
          <t xml:space="preserve"> }-_x000D_
_x000D_
[</t>
        </r>
        <r>
          <rPr>
            <b/>
            <sz val="8.5"/>
            <color indexed="48"/>
            <rFont val="Calibri"/>
            <family val="2"/>
          </rPr>
          <t xml:space="preserve">LF </t>
        </r>
        <r>
          <rPr>
            <b/>
            <sz val="8.5"/>
            <color indexed="8"/>
            <rFont val="Calibri"/>
            <family val="2"/>
          </rPr>
          <t>» 41.1%] - [</t>
        </r>
        <r>
          <rPr>
            <b/>
            <sz val="8.5"/>
            <color indexed="48"/>
            <rFont val="Calibri"/>
            <family val="2"/>
          </rPr>
          <t xml:space="preserve">SOLD </t>
        </r>
        <r>
          <rPr>
            <b/>
            <sz val="8.5"/>
            <color indexed="8"/>
            <rFont val="Calibri"/>
            <family val="2"/>
          </rPr>
          <t>» 69 PAX]_x000D_
_x000D_
[</t>
        </r>
        <r>
          <rPr>
            <b/>
            <sz val="8.5"/>
            <color indexed="21"/>
            <rFont val="Calibri"/>
            <family val="2"/>
          </rPr>
          <t xml:space="preserve">WEEKLY </t>
        </r>
        <r>
          <rPr>
            <b/>
            <sz val="8.5"/>
            <color indexed="8"/>
            <rFont val="Calibri"/>
            <family val="2"/>
          </rPr>
          <t>» 33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_x000D_
[</t>
        </r>
        <r>
          <rPr>
            <b/>
            <sz val="8.5"/>
            <color indexed="48"/>
            <rFont val="Calibri"/>
            <family val="2"/>
          </rPr>
          <t>LOWESTAVAIL</t>
        </r>
        <r>
          <rPr>
            <b/>
            <sz val="8.5"/>
            <color indexed="8"/>
            <rFont val="Calibri"/>
            <family val="2"/>
          </rPr>
          <t xml:space="preserve"> » T2]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W2 &amp; T8 &amp; X10 &amp; U10 &amp; O11 &amp; I27</t>
        </r>
      </text>
    </comment>
    <comment ref="C2" authorId="0" shapeId="0" xr:uid="{88D3216E-564F-4BEA-A6B0-0CE459DCE3CB}">
      <text>
        <r>
          <rPr>
            <b/>
            <sz val="8.5"/>
            <color indexed="8"/>
            <rFont val="Calibri"/>
            <family val="2"/>
          </rPr>
          <t xml:space="preserve">-{ </t>
        </r>
        <r>
          <rPr>
            <b/>
            <sz val="10"/>
            <color indexed="10"/>
            <rFont val="Calibri"/>
            <family val="2"/>
          </rPr>
          <t>SM328</t>
        </r>
        <r>
          <rPr>
            <b/>
            <sz val="8.5"/>
            <color indexed="8"/>
            <rFont val="Calibri"/>
            <family val="2"/>
          </rPr>
          <t xml:space="preserve"> }-_x000D_
_x000D_
[</t>
        </r>
        <r>
          <rPr>
            <b/>
            <sz val="8.5"/>
            <color indexed="48"/>
            <rFont val="Calibri"/>
            <family val="2"/>
          </rPr>
          <t xml:space="preserve">LF </t>
        </r>
        <r>
          <rPr>
            <b/>
            <sz val="8.5"/>
            <color indexed="8"/>
            <rFont val="Calibri"/>
            <family val="2"/>
          </rPr>
          <t>» 41.1%] - [</t>
        </r>
        <r>
          <rPr>
            <b/>
            <sz val="8.5"/>
            <color indexed="48"/>
            <rFont val="Calibri"/>
            <family val="2"/>
          </rPr>
          <t xml:space="preserve">SOLD </t>
        </r>
        <r>
          <rPr>
            <b/>
            <sz val="8.5"/>
            <color indexed="8"/>
            <rFont val="Calibri"/>
            <family val="2"/>
          </rPr>
          <t>» 69 PAX]_x000D_
_x000D_
[</t>
        </r>
        <r>
          <rPr>
            <b/>
            <sz val="8.5"/>
            <color indexed="21"/>
            <rFont val="Calibri"/>
            <family val="2"/>
          </rPr>
          <t xml:space="preserve">WEEKLY </t>
        </r>
        <r>
          <rPr>
            <b/>
            <sz val="8.5"/>
            <color indexed="8"/>
            <rFont val="Calibri"/>
            <family val="2"/>
          </rPr>
          <t>» 33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_x000D_
[</t>
        </r>
        <r>
          <rPr>
            <b/>
            <sz val="8.5"/>
            <color indexed="48"/>
            <rFont val="Calibri"/>
            <family val="2"/>
          </rPr>
          <t>LOWESTAVAIL</t>
        </r>
        <r>
          <rPr>
            <b/>
            <sz val="8.5"/>
            <color indexed="8"/>
            <rFont val="Calibri"/>
            <family val="2"/>
          </rPr>
          <t xml:space="preserve"> » T2]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W2 &amp; T8 &amp; X10 &amp; U10 &amp; O11 &amp; I27</t>
        </r>
      </text>
    </comment>
    <comment ref="D2" authorId="0" shapeId="0" xr:uid="{61D5ABB3-0D23-43FC-8E43-384BCB1F1B56}">
      <text>
        <r>
          <rPr>
            <b/>
            <sz val="8.5"/>
            <color indexed="8"/>
            <rFont val="Calibri"/>
            <family val="2"/>
          </rPr>
          <t xml:space="preserve">-{ </t>
        </r>
        <r>
          <rPr>
            <b/>
            <sz val="10"/>
            <color indexed="10"/>
            <rFont val="Calibri"/>
            <family val="2"/>
          </rPr>
          <t>SM328</t>
        </r>
        <r>
          <rPr>
            <b/>
            <sz val="8.5"/>
            <color indexed="8"/>
            <rFont val="Calibri"/>
            <family val="2"/>
          </rPr>
          <t xml:space="preserve"> }-_x000D_
_x000D_
[</t>
        </r>
        <r>
          <rPr>
            <b/>
            <sz val="8.5"/>
            <color indexed="48"/>
            <rFont val="Calibri"/>
            <family val="2"/>
          </rPr>
          <t xml:space="preserve">LF </t>
        </r>
        <r>
          <rPr>
            <b/>
            <sz val="8.5"/>
            <color indexed="8"/>
            <rFont val="Calibri"/>
            <family val="2"/>
          </rPr>
          <t>» 41.1%] - [</t>
        </r>
        <r>
          <rPr>
            <b/>
            <sz val="8.5"/>
            <color indexed="48"/>
            <rFont val="Calibri"/>
            <family val="2"/>
          </rPr>
          <t xml:space="preserve">SOLD </t>
        </r>
        <r>
          <rPr>
            <b/>
            <sz val="8.5"/>
            <color indexed="8"/>
            <rFont val="Calibri"/>
            <family val="2"/>
          </rPr>
          <t>» 69 PAX]_x000D_
_x000D_
[</t>
        </r>
        <r>
          <rPr>
            <b/>
            <sz val="8.5"/>
            <color indexed="21"/>
            <rFont val="Calibri"/>
            <family val="2"/>
          </rPr>
          <t xml:space="preserve">WEEKLY </t>
        </r>
        <r>
          <rPr>
            <b/>
            <sz val="8.5"/>
            <color indexed="8"/>
            <rFont val="Calibri"/>
            <family val="2"/>
          </rPr>
          <t>» 33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_x000D_
[</t>
        </r>
        <r>
          <rPr>
            <b/>
            <sz val="8.5"/>
            <color indexed="48"/>
            <rFont val="Calibri"/>
            <family val="2"/>
          </rPr>
          <t>LOWESTAVAIL</t>
        </r>
        <r>
          <rPr>
            <b/>
            <sz val="8.5"/>
            <color indexed="8"/>
            <rFont val="Calibri"/>
            <family val="2"/>
          </rPr>
          <t xml:space="preserve"> » T2]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W2 &amp; T8 &amp; X10 &amp; U10 &amp; O11 &amp; I27</t>
        </r>
      </text>
    </comment>
    <comment ref="E2" authorId="0" shapeId="0" xr:uid="{06EF5EDD-4125-40A9-BF81-E58FB4CE15DB}">
      <text>
        <r>
          <rPr>
            <b/>
            <sz val="8.5"/>
            <color indexed="8"/>
            <rFont val="Calibri"/>
            <family val="2"/>
          </rPr>
          <t xml:space="preserve">-{ </t>
        </r>
        <r>
          <rPr>
            <b/>
            <sz val="10"/>
            <color indexed="10"/>
            <rFont val="Calibri"/>
            <family val="2"/>
          </rPr>
          <t>SM328</t>
        </r>
        <r>
          <rPr>
            <b/>
            <sz val="8.5"/>
            <color indexed="8"/>
            <rFont val="Calibri"/>
            <family val="2"/>
          </rPr>
          <t xml:space="preserve"> }-_x000D_
_x000D_
[</t>
        </r>
        <r>
          <rPr>
            <b/>
            <sz val="8.5"/>
            <color indexed="48"/>
            <rFont val="Calibri"/>
            <family val="2"/>
          </rPr>
          <t xml:space="preserve">LF </t>
        </r>
        <r>
          <rPr>
            <b/>
            <sz val="8.5"/>
            <color indexed="8"/>
            <rFont val="Calibri"/>
            <family val="2"/>
          </rPr>
          <t>» 41.1%] - [</t>
        </r>
        <r>
          <rPr>
            <b/>
            <sz val="8.5"/>
            <color indexed="48"/>
            <rFont val="Calibri"/>
            <family val="2"/>
          </rPr>
          <t xml:space="preserve">SOLD </t>
        </r>
        <r>
          <rPr>
            <b/>
            <sz val="8.5"/>
            <color indexed="8"/>
            <rFont val="Calibri"/>
            <family val="2"/>
          </rPr>
          <t>» 69 PAX]_x000D_
_x000D_
[</t>
        </r>
        <r>
          <rPr>
            <b/>
            <sz val="8.5"/>
            <color indexed="21"/>
            <rFont val="Calibri"/>
            <family val="2"/>
          </rPr>
          <t xml:space="preserve">WEEKLY </t>
        </r>
        <r>
          <rPr>
            <b/>
            <sz val="8.5"/>
            <color indexed="8"/>
            <rFont val="Calibri"/>
            <family val="2"/>
          </rPr>
          <t>» 33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_x000D_
[</t>
        </r>
        <r>
          <rPr>
            <b/>
            <sz val="8.5"/>
            <color indexed="48"/>
            <rFont val="Calibri"/>
            <family val="2"/>
          </rPr>
          <t>LOWESTAVAIL</t>
        </r>
        <r>
          <rPr>
            <b/>
            <sz val="8.5"/>
            <color indexed="8"/>
            <rFont val="Calibri"/>
            <family val="2"/>
          </rPr>
          <t xml:space="preserve"> » T2]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W2 &amp; T8 &amp; X10 &amp; U10 &amp; O11 &amp; I27</t>
        </r>
      </text>
    </comment>
    <comment ref="F2" authorId="0" shapeId="0" xr:uid="{7EBE95DA-CC66-4FB7-ADC9-9ECC9BFF4A2D}">
      <text>
        <r>
          <rPr>
            <b/>
            <sz val="8.5"/>
            <color indexed="8"/>
            <rFont val="Calibri"/>
            <family val="2"/>
          </rPr>
          <t xml:space="preserve">-{ </t>
        </r>
        <r>
          <rPr>
            <b/>
            <sz val="10"/>
            <color indexed="10"/>
            <rFont val="Calibri"/>
            <family val="2"/>
          </rPr>
          <t>SM328</t>
        </r>
        <r>
          <rPr>
            <b/>
            <sz val="8.5"/>
            <color indexed="8"/>
            <rFont val="Calibri"/>
            <family val="2"/>
          </rPr>
          <t xml:space="preserve"> }-_x000D_
_x000D_
[</t>
        </r>
        <r>
          <rPr>
            <b/>
            <sz val="8.5"/>
            <color indexed="48"/>
            <rFont val="Calibri"/>
            <family val="2"/>
          </rPr>
          <t xml:space="preserve">LF </t>
        </r>
        <r>
          <rPr>
            <b/>
            <sz val="8.5"/>
            <color indexed="8"/>
            <rFont val="Calibri"/>
            <family val="2"/>
          </rPr>
          <t>» 41.1%] - [</t>
        </r>
        <r>
          <rPr>
            <b/>
            <sz val="8.5"/>
            <color indexed="48"/>
            <rFont val="Calibri"/>
            <family val="2"/>
          </rPr>
          <t xml:space="preserve">SOLD </t>
        </r>
        <r>
          <rPr>
            <b/>
            <sz val="8.5"/>
            <color indexed="8"/>
            <rFont val="Calibri"/>
            <family val="2"/>
          </rPr>
          <t>» 69 PAX]_x000D_
_x000D_
[</t>
        </r>
        <r>
          <rPr>
            <b/>
            <sz val="8.5"/>
            <color indexed="21"/>
            <rFont val="Calibri"/>
            <family val="2"/>
          </rPr>
          <t xml:space="preserve">WEEKLY </t>
        </r>
        <r>
          <rPr>
            <b/>
            <sz val="8.5"/>
            <color indexed="8"/>
            <rFont val="Calibri"/>
            <family val="2"/>
          </rPr>
          <t>» 33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_x000D_
[</t>
        </r>
        <r>
          <rPr>
            <b/>
            <sz val="8.5"/>
            <color indexed="48"/>
            <rFont val="Calibri"/>
            <family val="2"/>
          </rPr>
          <t>LOWESTAVAIL</t>
        </r>
        <r>
          <rPr>
            <b/>
            <sz val="8.5"/>
            <color indexed="8"/>
            <rFont val="Calibri"/>
            <family val="2"/>
          </rPr>
          <t xml:space="preserve"> » T2]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W2 &amp; T8 &amp; X10 &amp; U10 &amp; O11 &amp; I27</t>
        </r>
      </text>
    </comment>
    <comment ref="G2" authorId="0" shapeId="0" xr:uid="{DF5245B1-596C-46A3-B653-D728B56A9FDD}">
      <text>
        <r>
          <rPr>
            <b/>
            <sz val="8.5"/>
            <color indexed="8"/>
            <rFont val="Calibri"/>
            <family val="2"/>
          </rPr>
          <t xml:space="preserve">-{ </t>
        </r>
        <r>
          <rPr>
            <b/>
            <sz val="10"/>
            <color indexed="10"/>
            <rFont val="Calibri"/>
            <family val="2"/>
          </rPr>
          <t>SM328</t>
        </r>
        <r>
          <rPr>
            <b/>
            <sz val="8.5"/>
            <color indexed="8"/>
            <rFont val="Calibri"/>
            <family val="2"/>
          </rPr>
          <t xml:space="preserve"> }-_x000D_
_x000D_
[</t>
        </r>
        <r>
          <rPr>
            <b/>
            <sz val="8.5"/>
            <color indexed="48"/>
            <rFont val="Calibri"/>
            <family val="2"/>
          </rPr>
          <t xml:space="preserve">LF </t>
        </r>
        <r>
          <rPr>
            <b/>
            <sz val="8.5"/>
            <color indexed="8"/>
            <rFont val="Calibri"/>
            <family val="2"/>
          </rPr>
          <t>» 41.1%] - [</t>
        </r>
        <r>
          <rPr>
            <b/>
            <sz val="8.5"/>
            <color indexed="48"/>
            <rFont val="Calibri"/>
            <family val="2"/>
          </rPr>
          <t xml:space="preserve">SOLD </t>
        </r>
        <r>
          <rPr>
            <b/>
            <sz val="8.5"/>
            <color indexed="8"/>
            <rFont val="Calibri"/>
            <family val="2"/>
          </rPr>
          <t>» 69 PAX]_x000D_
_x000D_
[</t>
        </r>
        <r>
          <rPr>
            <b/>
            <sz val="8.5"/>
            <color indexed="21"/>
            <rFont val="Calibri"/>
            <family val="2"/>
          </rPr>
          <t xml:space="preserve">WEEKLY </t>
        </r>
        <r>
          <rPr>
            <b/>
            <sz val="8.5"/>
            <color indexed="8"/>
            <rFont val="Calibri"/>
            <family val="2"/>
          </rPr>
          <t>» 33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_x000D_
[</t>
        </r>
        <r>
          <rPr>
            <b/>
            <sz val="8.5"/>
            <color indexed="48"/>
            <rFont val="Calibri"/>
            <family val="2"/>
          </rPr>
          <t>LOWESTAVAIL</t>
        </r>
        <r>
          <rPr>
            <b/>
            <sz val="8.5"/>
            <color indexed="8"/>
            <rFont val="Calibri"/>
            <family val="2"/>
          </rPr>
          <t xml:space="preserve"> » T2]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W2 &amp; T8 &amp; X10 &amp; U10 &amp; O11 &amp; I27</t>
        </r>
      </text>
    </comment>
    <comment ref="H2" authorId="0" shapeId="0" xr:uid="{6D5CCC81-90A7-4881-B0AC-76EFEA6E9D7B}">
      <text>
        <r>
          <rPr>
            <b/>
            <sz val="8.5"/>
            <color indexed="8"/>
            <rFont val="Calibri"/>
            <family val="2"/>
          </rPr>
          <t xml:space="preserve">-{ </t>
        </r>
        <r>
          <rPr>
            <b/>
            <sz val="10"/>
            <color indexed="10"/>
            <rFont val="Calibri"/>
            <family val="2"/>
          </rPr>
          <t>SM328</t>
        </r>
        <r>
          <rPr>
            <b/>
            <sz val="8.5"/>
            <color indexed="8"/>
            <rFont val="Calibri"/>
            <family val="2"/>
          </rPr>
          <t xml:space="preserve"> }-_x000D_
_x000D_
[</t>
        </r>
        <r>
          <rPr>
            <b/>
            <sz val="8.5"/>
            <color indexed="48"/>
            <rFont val="Calibri"/>
            <family val="2"/>
          </rPr>
          <t xml:space="preserve">LF </t>
        </r>
        <r>
          <rPr>
            <b/>
            <sz val="8.5"/>
            <color indexed="8"/>
            <rFont val="Calibri"/>
            <family val="2"/>
          </rPr>
          <t>» 41.1%] - [</t>
        </r>
        <r>
          <rPr>
            <b/>
            <sz val="8.5"/>
            <color indexed="48"/>
            <rFont val="Calibri"/>
            <family val="2"/>
          </rPr>
          <t xml:space="preserve">SOLD </t>
        </r>
        <r>
          <rPr>
            <b/>
            <sz val="8.5"/>
            <color indexed="8"/>
            <rFont val="Calibri"/>
            <family val="2"/>
          </rPr>
          <t>» 69 PAX]_x000D_
_x000D_
[</t>
        </r>
        <r>
          <rPr>
            <b/>
            <sz val="8.5"/>
            <color indexed="21"/>
            <rFont val="Calibri"/>
            <family val="2"/>
          </rPr>
          <t xml:space="preserve">WEEKLY </t>
        </r>
        <r>
          <rPr>
            <b/>
            <sz val="8.5"/>
            <color indexed="8"/>
            <rFont val="Calibri"/>
            <family val="2"/>
          </rPr>
          <t>» 33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_x000D_
[</t>
        </r>
        <r>
          <rPr>
            <b/>
            <sz val="8.5"/>
            <color indexed="48"/>
            <rFont val="Calibri"/>
            <family val="2"/>
          </rPr>
          <t>LOWESTAVAIL</t>
        </r>
        <r>
          <rPr>
            <b/>
            <sz val="8.5"/>
            <color indexed="8"/>
            <rFont val="Calibri"/>
            <family val="2"/>
          </rPr>
          <t xml:space="preserve"> » T2]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W2 &amp; T8 &amp; X10 &amp; U10 &amp; O11 &amp; I27</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2" authorId="0" shapeId="0" xr:uid="{EE1B5894-F406-44AD-9B9F-9E2B856B2C4E}">
      <text>
        <r>
          <rPr>
            <b/>
            <sz val="8.5"/>
            <color indexed="8"/>
            <rFont val="Calibri"/>
            <family val="2"/>
          </rPr>
          <t xml:space="preserve">-{ </t>
        </r>
        <r>
          <rPr>
            <b/>
            <sz val="10"/>
            <color indexed="10"/>
            <rFont val="Calibri"/>
            <family val="2"/>
          </rPr>
          <t>SM328</t>
        </r>
        <r>
          <rPr>
            <b/>
            <sz val="8.5"/>
            <color indexed="8"/>
            <rFont val="Calibri"/>
            <family val="2"/>
          </rPr>
          <t xml:space="preserve"> }-_x000D_
_x000D_
[</t>
        </r>
        <r>
          <rPr>
            <b/>
            <sz val="8.5"/>
            <color indexed="48"/>
            <rFont val="Calibri"/>
            <family val="2"/>
          </rPr>
          <t xml:space="preserve">LF </t>
        </r>
        <r>
          <rPr>
            <b/>
            <sz val="8.5"/>
            <color indexed="8"/>
            <rFont val="Calibri"/>
            <family val="2"/>
          </rPr>
          <t>» 41.1%] - [</t>
        </r>
        <r>
          <rPr>
            <b/>
            <sz val="8.5"/>
            <color indexed="48"/>
            <rFont val="Calibri"/>
            <family val="2"/>
          </rPr>
          <t xml:space="preserve">SOLD </t>
        </r>
        <r>
          <rPr>
            <b/>
            <sz val="8.5"/>
            <color indexed="8"/>
            <rFont val="Calibri"/>
            <family val="2"/>
          </rPr>
          <t>» 69 PAX]_x000D_
_x000D_
[</t>
        </r>
        <r>
          <rPr>
            <b/>
            <sz val="8.5"/>
            <color indexed="21"/>
            <rFont val="Calibri"/>
            <family val="2"/>
          </rPr>
          <t xml:space="preserve">WEEKLY </t>
        </r>
        <r>
          <rPr>
            <b/>
            <sz val="8.5"/>
            <color indexed="8"/>
            <rFont val="Calibri"/>
            <family val="2"/>
          </rPr>
          <t>» 33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_x000D_
[</t>
        </r>
        <r>
          <rPr>
            <b/>
            <sz val="8.5"/>
            <color indexed="48"/>
            <rFont val="Calibri"/>
            <family val="2"/>
          </rPr>
          <t>LOWESTAVAIL</t>
        </r>
        <r>
          <rPr>
            <b/>
            <sz val="8.5"/>
            <color indexed="8"/>
            <rFont val="Calibri"/>
            <family val="2"/>
          </rPr>
          <t xml:space="preserve"> » T2]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W2 &amp; T8 &amp; X10 &amp; U10 &amp; O11 &amp; I27</t>
        </r>
      </text>
    </comment>
    <comment ref="B2" authorId="0" shapeId="0" xr:uid="{F22AA4A0-8B68-4269-8167-8D63059F23FC}">
      <text>
        <r>
          <rPr>
            <b/>
            <sz val="8.5"/>
            <color indexed="8"/>
            <rFont val="Calibri"/>
            <family val="2"/>
          </rPr>
          <t xml:space="preserve">-{ </t>
        </r>
        <r>
          <rPr>
            <b/>
            <sz val="10"/>
            <color indexed="10"/>
            <rFont val="Calibri"/>
            <family val="2"/>
          </rPr>
          <t>SM328</t>
        </r>
        <r>
          <rPr>
            <b/>
            <sz val="8.5"/>
            <color indexed="8"/>
            <rFont val="Calibri"/>
            <family val="2"/>
          </rPr>
          <t xml:space="preserve"> }-_x000D_
_x000D_
[</t>
        </r>
        <r>
          <rPr>
            <b/>
            <sz val="8.5"/>
            <color indexed="48"/>
            <rFont val="Calibri"/>
            <family val="2"/>
          </rPr>
          <t xml:space="preserve">LF </t>
        </r>
        <r>
          <rPr>
            <b/>
            <sz val="8.5"/>
            <color indexed="8"/>
            <rFont val="Calibri"/>
            <family val="2"/>
          </rPr>
          <t>» 41.1%] - [</t>
        </r>
        <r>
          <rPr>
            <b/>
            <sz val="8.5"/>
            <color indexed="48"/>
            <rFont val="Calibri"/>
            <family val="2"/>
          </rPr>
          <t xml:space="preserve">SOLD </t>
        </r>
        <r>
          <rPr>
            <b/>
            <sz val="8.5"/>
            <color indexed="8"/>
            <rFont val="Calibri"/>
            <family val="2"/>
          </rPr>
          <t>» 69 PAX]_x000D_
_x000D_
[</t>
        </r>
        <r>
          <rPr>
            <b/>
            <sz val="8.5"/>
            <color indexed="21"/>
            <rFont val="Calibri"/>
            <family val="2"/>
          </rPr>
          <t xml:space="preserve">WEEKLY </t>
        </r>
        <r>
          <rPr>
            <b/>
            <sz val="8.5"/>
            <color indexed="8"/>
            <rFont val="Calibri"/>
            <family val="2"/>
          </rPr>
          <t>» 33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_x000D_
[</t>
        </r>
        <r>
          <rPr>
            <b/>
            <sz val="8.5"/>
            <color indexed="48"/>
            <rFont val="Calibri"/>
            <family val="2"/>
          </rPr>
          <t>LOWESTAVAIL</t>
        </r>
        <r>
          <rPr>
            <b/>
            <sz val="8.5"/>
            <color indexed="8"/>
            <rFont val="Calibri"/>
            <family val="2"/>
          </rPr>
          <t xml:space="preserve"> » T2]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W2 &amp; T8 &amp; X10 &amp; U10 &amp; O11 &amp; I27</t>
        </r>
      </text>
    </comment>
    <comment ref="C2" authorId="0" shapeId="0" xr:uid="{81C84D80-3BA5-45F6-B560-E2A0636EAED5}">
      <text>
        <r>
          <rPr>
            <b/>
            <sz val="8.5"/>
            <color indexed="8"/>
            <rFont val="Calibri"/>
            <family val="2"/>
          </rPr>
          <t xml:space="preserve">-{ </t>
        </r>
        <r>
          <rPr>
            <b/>
            <sz val="10"/>
            <color indexed="10"/>
            <rFont val="Calibri"/>
            <family val="2"/>
          </rPr>
          <t>SM328</t>
        </r>
        <r>
          <rPr>
            <b/>
            <sz val="8.5"/>
            <color indexed="8"/>
            <rFont val="Calibri"/>
            <family val="2"/>
          </rPr>
          <t xml:space="preserve"> }-_x000D_
_x000D_
[</t>
        </r>
        <r>
          <rPr>
            <b/>
            <sz val="8.5"/>
            <color indexed="48"/>
            <rFont val="Calibri"/>
            <family val="2"/>
          </rPr>
          <t xml:space="preserve">LF </t>
        </r>
        <r>
          <rPr>
            <b/>
            <sz val="8.5"/>
            <color indexed="8"/>
            <rFont val="Calibri"/>
            <family val="2"/>
          </rPr>
          <t>» 41.1%] - [</t>
        </r>
        <r>
          <rPr>
            <b/>
            <sz val="8.5"/>
            <color indexed="48"/>
            <rFont val="Calibri"/>
            <family val="2"/>
          </rPr>
          <t xml:space="preserve">SOLD </t>
        </r>
        <r>
          <rPr>
            <b/>
            <sz val="8.5"/>
            <color indexed="8"/>
            <rFont val="Calibri"/>
            <family val="2"/>
          </rPr>
          <t>» 69 PAX]_x000D_
_x000D_
[</t>
        </r>
        <r>
          <rPr>
            <b/>
            <sz val="8.5"/>
            <color indexed="21"/>
            <rFont val="Calibri"/>
            <family val="2"/>
          </rPr>
          <t xml:space="preserve">WEEKLY </t>
        </r>
        <r>
          <rPr>
            <b/>
            <sz val="8.5"/>
            <color indexed="8"/>
            <rFont val="Calibri"/>
            <family val="2"/>
          </rPr>
          <t>» 33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_x000D_
[</t>
        </r>
        <r>
          <rPr>
            <b/>
            <sz val="8.5"/>
            <color indexed="48"/>
            <rFont val="Calibri"/>
            <family val="2"/>
          </rPr>
          <t>LOWESTAVAIL</t>
        </r>
        <r>
          <rPr>
            <b/>
            <sz val="8.5"/>
            <color indexed="8"/>
            <rFont val="Calibri"/>
            <family val="2"/>
          </rPr>
          <t xml:space="preserve"> » T2]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W2 &amp; T8 &amp; X10 &amp; U10 &amp; O11 &amp; I27</t>
        </r>
      </text>
    </comment>
    <comment ref="D2" authorId="0" shapeId="0" xr:uid="{BBB05B0A-5BD9-4CF5-9C86-1B4382F489A2}">
      <text>
        <r>
          <rPr>
            <b/>
            <sz val="8.5"/>
            <color indexed="8"/>
            <rFont val="Calibri"/>
            <family val="2"/>
          </rPr>
          <t xml:space="preserve">-{ </t>
        </r>
        <r>
          <rPr>
            <b/>
            <sz val="10"/>
            <color indexed="10"/>
            <rFont val="Calibri"/>
            <family val="2"/>
          </rPr>
          <t>SM328</t>
        </r>
        <r>
          <rPr>
            <b/>
            <sz val="8.5"/>
            <color indexed="8"/>
            <rFont val="Calibri"/>
            <family val="2"/>
          </rPr>
          <t xml:space="preserve"> }-_x000D_
_x000D_
[</t>
        </r>
        <r>
          <rPr>
            <b/>
            <sz val="8.5"/>
            <color indexed="48"/>
            <rFont val="Calibri"/>
            <family val="2"/>
          </rPr>
          <t xml:space="preserve">LF </t>
        </r>
        <r>
          <rPr>
            <b/>
            <sz val="8.5"/>
            <color indexed="8"/>
            <rFont val="Calibri"/>
            <family val="2"/>
          </rPr>
          <t>» 41.1%] - [</t>
        </r>
        <r>
          <rPr>
            <b/>
            <sz val="8.5"/>
            <color indexed="48"/>
            <rFont val="Calibri"/>
            <family val="2"/>
          </rPr>
          <t xml:space="preserve">SOLD </t>
        </r>
        <r>
          <rPr>
            <b/>
            <sz val="8.5"/>
            <color indexed="8"/>
            <rFont val="Calibri"/>
            <family val="2"/>
          </rPr>
          <t>» 69 PAX]_x000D_
_x000D_
[</t>
        </r>
        <r>
          <rPr>
            <b/>
            <sz val="8.5"/>
            <color indexed="21"/>
            <rFont val="Calibri"/>
            <family val="2"/>
          </rPr>
          <t xml:space="preserve">WEEKLY </t>
        </r>
        <r>
          <rPr>
            <b/>
            <sz val="8.5"/>
            <color indexed="8"/>
            <rFont val="Calibri"/>
            <family val="2"/>
          </rPr>
          <t>» 33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_x000D_
[</t>
        </r>
        <r>
          <rPr>
            <b/>
            <sz val="8.5"/>
            <color indexed="48"/>
            <rFont val="Calibri"/>
            <family val="2"/>
          </rPr>
          <t>LOWESTAVAIL</t>
        </r>
        <r>
          <rPr>
            <b/>
            <sz val="8.5"/>
            <color indexed="8"/>
            <rFont val="Calibri"/>
            <family val="2"/>
          </rPr>
          <t xml:space="preserve"> » T2]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W2 &amp; T8 &amp; X10 &amp; U10 &amp; O11 &amp; I27</t>
        </r>
      </text>
    </comment>
    <comment ref="E2" authorId="0" shapeId="0" xr:uid="{6BB682C8-BD4F-45BD-9C31-377E3FE6286C}">
      <text>
        <r>
          <rPr>
            <b/>
            <sz val="8.5"/>
            <color indexed="8"/>
            <rFont val="Calibri"/>
            <family val="2"/>
          </rPr>
          <t xml:space="preserve">-{ </t>
        </r>
        <r>
          <rPr>
            <b/>
            <sz val="10"/>
            <color indexed="10"/>
            <rFont val="Calibri"/>
            <family val="2"/>
          </rPr>
          <t>SM328</t>
        </r>
        <r>
          <rPr>
            <b/>
            <sz val="8.5"/>
            <color indexed="8"/>
            <rFont val="Calibri"/>
            <family val="2"/>
          </rPr>
          <t xml:space="preserve"> }-_x000D_
_x000D_
[</t>
        </r>
        <r>
          <rPr>
            <b/>
            <sz val="8.5"/>
            <color indexed="48"/>
            <rFont val="Calibri"/>
            <family val="2"/>
          </rPr>
          <t xml:space="preserve">LF </t>
        </r>
        <r>
          <rPr>
            <b/>
            <sz val="8.5"/>
            <color indexed="8"/>
            <rFont val="Calibri"/>
            <family val="2"/>
          </rPr>
          <t>» 41.1%] - [</t>
        </r>
        <r>
          <rPr>
            <b/>
            <sz val="8.5"/>
            <color indexed="48"/>
            <rFont val="Calibri"/>
            <family val="2"/>
          </rPr>
          <t xml:space="preserve">SOLD </t>
        </r>
        <r>
          <rPr>
            <b/>
            <sz val="8.5"/>
            <color indexed="8"/>
            <rFont val="Calibri"/>
            <family val="2"/>
          </rPr>
          <t>» 69 PAX]_x000D_
_x000D_
[</t>
        </r>
        <r>
          <rPr>
            <b/>
            <sz val="8.5"/>
            <color indexed="21"/>
            <rFont val="Calibri"/>
            <family val="2"/>
          </rPr>
          <t xml:space="preserve">WEEKLY </t>
        </r>
        <r>
          <rPr>
            <b/>
            <sz val="8.5"/>
            <color indexed="8"/>
            <rFont val="Calibri"/>
            <family val="2"/>
          </rPr>
          <t>» 33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_x000D_
[</t>
        </r>
        <r>
          <rPr>
            <b/>
            <sz val="8.5"/>
            <color indexed="48"/>
            <rFont val="Calibri"/>
            <family val="2"/>
          </rPr>
          <t>LOWESTAVAIL</t>
        </r>
        <r>
          <rPr>
            <b/>
            <sz val="8.5"/>
            <color indexed="8"/>
            <rFont val="Calibri"/>
            <family val="2"/>
          </rPr>
          <t xml:space="preserve"> » T2]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W2 &amp; T8 &amp; X10 &amp; U10 &amp; O11 &amp; I27</t>
        </r>
      </text>
    </comment>
    <comment ref="F2" authorId="0" shapeId="0" xr:uid="{D6062BC2-F56C-4829-BFE0-A3A05137713C}">
      <text>
        <r>
          <rPr>
            <b/>
            <sz val="8.5"/>
            <color indexed="8"/>
            <rFont val="Calibri"/>
            <family val="2"/>
          </rPr>
          <t xml:space="preserve">-{ </t>
        </r>
        <r>
          <rPr>
            <b/>
            <sz val="10"/>
            <color indexed="10"/>
            <rFont val="Calibri"/>
            <family val="2"/>
          </rPr>
          <t>SM328</t>
        </r>
        <r>
          <rPr>
            <b/>
            <sz val="8.5"/>
            <color indexed="8"/>
            <rFont val="Calibri"/>
            <family val="2"/>
          </rPr>
          <t xml:space="preserve"> }-_x000D_
_x000D_
[</t>
        </r>
        <r>
          <rPr>
            <b/>
            <sz val="8.5"/>
            <color indexed="48"/>
            <rFont val="Calibri"/>
            <family val="2"/>
          </rPr>
          <t xml:space="preserve">LF </t>
        </r>
        <r>
          <rPr>
            <b/>
            <sz val="8.5"/>
            <color indexed="8"/>
            <rFont val="Calibri"/>
            <family val="2"/>
          </rPr>
          <t>» 41.1%] - [</t>
        </r>
        <r>
          <rPr>
            <b/>
            <sz val="8.5"/>
            <color indexed="48"/>
            <rFont val="Calibri"/>
            <family val="2"/>
          </rPr>
          <t xml:space="preserve">SOLD </t>
        </r>
        <r>
          <rPr>
            <b/>
            <sz val="8.5"/>
            <color indexed="8"/>
            <rFont val="Calibri"/>
            <family val="2"/>
          </rPr>
          <t>» 69 PAX]_x000D_
_x000D_
[</t>
        </r>
        <r>
          <rPr>
            <b/>
            <sz val="8.5"/>
            <color indexed="21"/>
            <rFont val="Calibri"/>
            <family val="2"/>
          </rPr>
          <t xml:space="preserve">WEEKLY </t>
        </r>
        <r>
          <rPr>
            <b/>
            <sz val="8.5"/>
            <color indexed="8"/>
            <rFont val="Calibri"/>
            <family val="2"/>
          </rPr>
          <t>» 33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_x000D_
[</t>
        </r>
        <r>
          <rPr>
            <b/>
            <sz val="8.5"/>
            <color indexed="48"/>
            <rFont val="Calibri"/>
            <family val="2"/>
          </rPr>
          <t>LOWESTAVAIL</t>
        </r>
        <r>
          <rPr>
            <b/>
            <sz val="8.5"/>
            <color indexed="8"/>
            <rFont val="Calibri"/>
            <family val="2"/>
          </rPr>
          <t xml:space="preserve"> » T2]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W2 &amp; T8 &amp; X10 &amp; U10 &amp; O11 &amp; I27</t>
        </r>
      </text>
    </comment>
    <comment ref="G2" authorId="0" shapeId="0" xr:uid="{C3253BB5-9E61-4D3B-9907-D484D57F0698}">
      <text>
        <r>
          <rPr>
            <b/>
            <sz val="8.5"/>
            <color indexed="8"/>
            <rFont val="Calibri"/>
            <family val="2"/>
          </rPr>
          <t xml:space="preserve">-{ </t>
        </r>
        <r>
          <rPr>
            <b/>
            <sz val="10"/>
            <color indexed="10"/>
            <rFont val="Calibri"/>
            <family val="2"/>
          </rPr>
          <t>SM328</t>
        </r>
        <r>
          <rPr>
            <b/>
            <sz val="8.5"/>
            <color indexed="8"/>
            <rFont val="Calibri"/>
            <family val="2"/>
          </rPr>
          <t xml:space="preserve"> }-_x000D_
_x000D_
[</t>
        </r>
        <r>
          <rPr>
            <b/>
            <sz val="8.5"/>
            <color indexed="48"/>
            <rFont val="Calibri"/>
            <family val="2"/>
          </rPr>
          <t xml:space="preserve">LF </t>
        </r>
        <r>
          <rPr>
            <b/>
            <sz val="8.5"/>
            <color indexed="8"/>
            <rFont val="Calibri"/>
            <family val="2"/>
          </rPr>
          <t>» 41.1%] - [</t>
        </r>
        <r>
          <rPr>
            <b/>
            <sz val="8.5"/>
            <color indexed="48"/>
            <rFont val="Calibri"/>
            <family val="2"/>
          </rPr>
          <t xml:space="preserve">SOLD </t>
        </r>
        <r>
          <rPr>
            <b/>
            <sz val="8.5"/>
            <color indexed="8"/>
            <rFont val="Calibri"/>
            <family val="2"/>
          </rPr>
          <t>» 69 PAX]_x000D_
_x000D_
[</t>
        </r>
        <r>
          <rPr>
            <b/>
            <sz val="8.5"/>
            <color indexed="21"/>
            <rFont val="Calibri"/>
            <family val="2"/>
          </rPr>
          <t xml:space="preserve">WEEKLY </t>
        </r>
        <r>
          <rPr>
            <b/>
            <sz val="8.5"/>
            <color indexed="8"/>
            <rFont val="Calibri"/>
            <family val="2"/>
          </rPr>
          <t>» 33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_x000D_
[</t>
        </r>
        <r>
          <rPr>
            <b/>
            <sz val="8.5"/>
            <color indexed="48"/>
            <rFont val="Calibri"/>
            <family val="2"/>
          </rPr>
          <t>LOWESTAVAIL</t>
        </r>
        <r>
          <rPr>
            <b/>
            <sz val="8.5"/>
            <color indexed="8"/>
            <rFont val="Calibri"/>
            <family val="2"/>
          </rPr>
          <t xml:space="preserve"> » T2]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W2 &amp; T8 &amp; X10 &amp; U10 &amp; O11 &amp; I27</t>
        </r>
      </text>
    </comment>
    <comment ref="H2" authorId="0" shapeId="0" xr:uid="{43A77DA9-0595-4445-AB05-1B0CA3DAEA5B}">
      <text>
        <r>
          <rPr>
            <b/>
            <sz val="8.5"/>
            <color indexed="8"/>
            <rFont val="Calibri"/>
            <family val="2"/>
          </rPr>
          <t xml:space="preserve">-{ </t>
        </r>
        <r>
          <rPr>
            <b/>
            <sz val="10"/>
            <color indexed="10"/>
            <rFont val="Calibri"/>
            <family val="2"/>
          </rPr>
          <t>SM328</t>
        </r>
        <r>
          <rPr>
            <b/>
            <sz val="8.5"/>
            <color indexed="8"/>
            <rFont val="Calibri"/>
            <family val="2"/>
          </rPr>
          <t xml:space="preserve"> }-_x000D_
_x000D_
[</t>
        </r>
        <r>
          <rPr>
            <b/>
            <sz val="8.5"/>
            <color indexed="48"/>
            <rFont val="Calibri"/>
            <family val="2"/>
          </rPr>
          <t xml:space="preserve">LF </t>
        </r>
        <r>
          <rPr>
            <b/>
            <sz val="8.5"/>
            <color indexed="8"/>
            <rFont val="Calibri"/>
            <family val="2"/>
          </rPr>
          <t>» 41.1%] - [</t>
        </r>
        <r>
          <rPr>
            <b/>
            <sz val="8.5"/>
            <color indexed="48"/>
            <rFont val="Calibri"/>
            <family val="2"/>
          </rPr>
          <t xml:space="preserve">SOLD </t>
        </r>
        <r>
          <rPr>
            <b/>
            <sz val="8.5"/>
            <color indexed="8"/>
            <rFont val="Calibri"/>
            <family val="2"/>
          </rPr>
          <t>» 69 PAX]_x000D_
_x000D_
[</t>
        </r>
        <r>
          <rPr>
            <b/>
            <sz val="8.5"/>
            <color indexed="21"/>
            <rFont val="Calibri"/>
            <family val="2"/>
          </rPr>
          <t xml:space="preserve">WEEKLY </t>
        </r>
        <r>
          <rPr>
            <b/>
            <sz val="8.5"/>
            <color indexed="8"/>
            <rFont val="Calibri"/>
            <family val="2"/>
          </rPr>
          <t>» 33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11]_x000D_
_x000D_
[</t>
        </r>
        <r>
          <rPr>
            <b/>
            <sz val="8.5"/>
            <color indexed="48"/>
            <rFont val="Calibri"/>
            <family val="2"/>
          </rPr>
          <t>LOWESTAVAIL</t>
        </r>
        <r>
          <rPr>
            <b/>
            <sz val="8.5"/>
            <color indexed="8"/>
            <rFont val="Calibri"/>
            <family val="2"/>
          </rPr>
          <t xml:space="preserve"> » T2]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 &amp; W2 &amp; T8 &amp; X10 &amp; U10 &amp; O11 &amp; I27</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2" authorId="0" shapeId="0" xr:uid="{7D3F701D-9991-4862-A922-5744154E68A1}">
      <text>
        <r>
          <rPr>
            <b/>
            <sz val="8.5"/>
            <color indexed="8"/>
            <rFont val="Calibri"/>
            <family val="2"/>
          </rPr>
          <t xml:space="preserve">-{ </t>
        </r>
        <r>
          <rPr>
            <b/>
            <sz val="10"/>
            <color indexed="10"/>
            <rFont val="Calibri"/>
            <family val="2"/>
          </rPr>
          <t>SM322</t>
        </r>
        <r>
          <rPr>
            <b/>
            <sz val="8.5"/>
            <color indexed="8"/>
            <rFont val="Calibri"/>
            <family val="2"/>
          </rPr>
          <t xml:space="preserve"> }-_x000D_
_x000D_
[</t>
        </r>
        <r>
          <rPr>
            <b/>
            <sz val="8.5"/>
            <color indexed="48"/>
            <rFont val="Calibri"/>
            <family val="2"/>
          </rPr>
          <t xml:space="preserve">LF </t>
        </r>
        <r>
          <rPr>
            <b/>
            <sz val="8.5"/>
            <color indexed="8"/>
            <rFont val="Calibri"/>
            <family val="2"/>
          </rPr>
          <t>» 88.1%] - [</t>
        </r>
        <r>
          <rPr>
            <b/>
            <sz val="8.5"/>
            <color indexed="48"/>
            <rFont val="Calibri"/>
            <family val="2"/>
          </rPr>
          <t xml:space="preserve">SOLD </t>
        </r>
        <r>
          <rPr>
            <b/>
            <sz val="8.5"/>
            <color indexed="8"/>
            <rFont val="Calibri"/>
            <family val="2"/>
          </rPr>
          <t>» 148 PAX]_x000D_
_x000D_
[</t>
        </r>
        <r>
          <rPr>
            <b/>
            <sz val="8.5"/>
            <color indexed="21"/>
            <rFont val="Calibri"/>
            <family val="2"/>
          </rPr>
          <t xml:space="preserve">WEEKLY </t>
        </r>
        <r>
          <rPr>
            <b/>
            <sz val="8.5"/>
            <color indexed="8"/>
            <rFont val="Calibri"/>
            <family val="2"/>
          </rPr>
          <t>» 93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28]_x000D_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S10 &amp; W14 &amp; T21 &amp; X4 &amp; U20 &amp; O77 &amp; I2</t>
        </r>
      </text>
    </comment>
    <comment ref="B2" authorId="0" shapeId="0" xr:uid="{B555C1ED-EA82-44CD-8057-C625866D4542}">
      <text>
        <r>
          <rPr>
            <b/>
            <sz val="8.5"/>
            <color indexed="8"/>
            <rFont val="Calibri"/>
            <family val="2"/>
          </rPr>
          <t xml:space="preserve">-{ </t>
        </r>
        <r>
          <rPr>
            <b/>
            <sz val="10"/>
            <color indexed="10"/>
            <rFont val="Calibri"/>
            <family val="2"/>
          </rPr>
          <t>SM322</t>
        </r>
        <r>
          <rPr>
            <b/>
            <sz val="8.5"/>
            <color indexed="8"/>
            <rFont val="Calibri"/>
            <family val="2"/>
          </rPr>
          <t xml:space="preserve"> }-_x000D_
_x000D_
[</t>
        </r>
        <r>
          <rPr>
            <b/>
            <sz val="8.5"/>
            <color indexed="48"/>
            <rFont val="Calibri"/>
            <family val="2"/>
          </rPr>
          <t xml:space="preserve">LF </t>
        </r>
        <r>
          <rPr>
            <b/>
            <sz val="8.5"/>
            <color indexed="8"/>
            <rFont val="Calibri"/>
            <family val="2"/>
          </rPr>
          <t>» 88.1%] - [</t>
        </r>
        <r>
          <rPr>
            <b/>
            <sz val="8.5"/>
            <color indexed="48"/>
            <rFont val="Calibri"/>
            <family val="2"/>
          </rPr>
          <t xml:space="preserve">SOLD </t>
        </r>
        <r>
          <rPr>
            <b/>
            <sz val="8.5"/>
            <color indexed="8"/>
            <rFont val="Calibri"/>
            <family val="2"/>
          </rPr>
          <t>» 148 PAX]_x000D_
_x000D_
[</t>
        </r>
        <r>
          <rPr>
            <b/>
            <sz val="8.5"/>
            <color indexed="21"/>
            <rFont val="Calibri"/>
            <family val="2"/>
          </rPr>
          <t xml:space="preserve">WEEKLY </t>
        </r>
        <r>
          <rPr>
            <b/>
            <sz val="8.5"/>
            <color indexed="8"/>
            <rFont val="Calibri"/>
            <family val="2"/>
          </rPr>
          <t>» 93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28]_x000D_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S10 &amp; W14 &amp; T21 &amp; X4 &amp; U20 &amp; O77 &amp; I2</t>
        </r>
      </text>
    </comment>
    <comment ref="C2" authorId="0" shapeId="0" xr:uid="{E27A6988-004B-4D3D-9EC0-4E238EF4274B}">
      <text>
        <r>
          <rPr>
            <b/>
            <sz val="8.5"/>
            <color indexed="8"/>
            <rFont val="Calibri"/>
            <family val="2"/>
          </rPr>
          <t xml:space="preserve">-{ </t>
        </r>
        <r>
          <rPr>
            <b/>
            <sz val="10"/>
            <color indexed="10"/>
            <rFont val="Calibri"/>
            <family val="2"/>
          </rPr>
          <t>SM322</t>
        </r>
        <r>
          <rPr>
            <b/>
            <sz val="8.5"/>
            <color indexed="8"/>
            <rFont val="Calibri"/>
            <family val="2"/>
          </rPr>
          <t xml:space="preserve"> }-_x000D_
_x000D_
[</t>
        </r>
        <r>
          <rPr>
            <b/>
            <sz val="8.5"/>
            <color indexed="48"/>
            <rFont val="Calibri"/>
            <family val="2"/>
          </rPr>
          <t xml:space="preserve">LF </t>
        </r>
        <r>
          <rPr>
            <b/>
            <sz val="8.5"/>
            <color indexed="8"/>
            <rFont val="Calibri"/>
            <family val="2"/>
          </rPr>
          <t>» 88.1%] - [</t>
        </r>
        <r>
          <rPr>
            <b/>
            <sz val="8.5"/>
            <color indexed="48"/>
            <rFont val="Calibri"/>
            <family val="2"/>
          </rPr>
          <t xml:space="preserve">SOLD </t>
        </r>
        <r>
          <rPr>
            <b/>
            <sz val="8.5"/>
            <color indexed="8"/>
            <rFont val="Calibri"/>
            <family val="2"/>
          </rPr>
          <t>» 148 PAX]_x000D_
_x000D_
[</t>
        </r>
        <r>
          <rPr>
            <b/>
            <sz val="8.5"/>
            <color indexed="21"/>
            <rFont val="Calibri"/>
            <family val="2"/>
          </rPr>
          <t xml:space="preserve">WEEKLY </t>
        </r>
        <r>
          <rPr>
            <b/>
            <sz val="8.5"/>
            <color indexed="8"/>
            <rFont val="Calibri"/>
            <family val="2"/>
          </rPr>
          <t>» 93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28]_x000D_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S10 &amp; W14 &amp; T21 &amp; X4 &amp; U20 &amp; O77 &amp; I2</t>
        </r>
      </text>
    </comment>
    <comment ref="D2" authorId="0" shapeId="0" xr:uid="{413FAA29-1F54-442B-A0F7-B0BBA5AE5FA1}">
      <text>
        <r>
          <rPr>
            <b/>
            <sz val="8.5"/>
            <color indexed="8"/>
            <rFont val="Calibri"/>
            <family val="2"/>
          </rPr>
          <t xml:space="preserve">-{ </t>
        </r>
        <r>
          <rPr>
            <b/>
            <sz val="10"/>
            <color indexed="10"/>
            <rFont val="Calibri"/>
            <family val="2"/>
          </rPr>
          <t>SM322</t>
        </r>
        <r>
          <rPr>
            <b/>
            <sz val="8.5"/>
            <color indexed="8"/>
            <rFont val="Calibri"/>
            <family val="2"/>
          </rPr>
          <t xml:space="preserve"> }-_x000D_
_x000D_
[</t>
        </r>
        <r>
          <rPr>
            <b/>
            <sz val="8.5"/>
            <color indexed="48"/>
            <rFont val="Calibri"/>
            <family val="2"/>
          </rPr>
          <t xml:space="preserve">LF </t>
        </r>
        <r>
          <rPr>
            <b/>
            <sz val="8.5"/>
            <color indexed="8"/>
            <rFont val="Calibri"/>
            <family val="2"/>
          </rPr>
          <t>» 88.1%] - [</t>
        </r>
        <r>
          <rPr>
            <b/>
            <sz val="8.5"/>
            <color indexed="48"/>
            <rFont val="Calibri"/>
            <family val="2"/>
          </rPr>
          <t xml:space="preserve">SOLD </t>
        </r>
        <r>
          <rPr>
            <b/>
            <sz val="8.5"/>
            <color indexed="8"/>
            <rFont val="Calibri"/>
            <family val="2"/>
          </rPr>
          <t>» 148 PAX]_x000D_
_x000D_
[</t>
        </r>
        <r>
          <rPr>
            <b/>
            <sz val="8.5"/>
            <color indexed="21"/>
            <rFont val="Calibri"/>
            <family val="2"/>
          </rPr>
          <t xml:space="preserve">WEEKLY </t>
        </r>
        <r>
          <rPr>
            <b/>
            <sz val="8.5"/>
            <color indexed="8"/>
            <rFont val="Calibri"/>
            <family val="2"/>
          </rPr>
          <t>» 93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28]_x000D_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S10 &amp; W14 &amp; T21 &amp; X4 &amp; U20 &amp; O77 &amp; I2</t>
        </r>
      </text>
    </comment>
    <comment ref="E2" authorId="0" shapeId="0" xr:uid="{A04A3331-04DF-4E14-A924-E1021D877D96}">
      <text>
        <r>
          <rPr>
            <b/>
            <sz val="8.5"/>
            <color indexed="8"/>
            <rFont val="Calibri"/>
            <family val="2"/>
          </rPr>
          <t xml:space="preserve">-{ </t>
        </r>
        <r>
          <rPr>
            <b/>
            <sz val="10"/>
            <color indexed="10"/>
            <rFont val="Calibri"/>
            <family val="2"/>
          </rPr>
          <t>SM322</t>
        </r>
        <r>
          <rPr>
            <b/>
            <sz val="8.5"/>
            <color indexed="8"/>
            <rFont val="Calibri"/>
            <family val="2"/>
          </rPr>
          <t xml:space="preserve"> }-_x000D_
_x000D_
[</t>
        </r>
        <r>
          <rPr>
            <b/>
            <sz val="8.5"/>
            <color indexed="48"/>
            <rFont val="Calibri"/>
            <family val="2"/>
          </rPr>
          <t xml:space="preserve">LF </t>
        </r>
        <r>
          <rPr>
            <b/>
            <sz val="8.5"/>
            <color indexed="8"/>
            <rFont val="Calibri"/>
            <family val="2"/>
          </rPr>
          <t>» 88.1%] - [</t>
        </r>
        <r>
          <rPr>
            <b/>
            <sz val="8.5"/>
            <color indexed="48"/>
            <rFont val="Calibri"/>
            <family val="2"/>
          </rPr>
          <t xml:space="preserve">SOLD </t>
        </r>
        <r>
          <rPr>
            <b/>
            <sz val="8.5"/>
            <color indexed="8"/>
            <rFont val="Calibri"/>
            <family val="2"/>
          </rPr>
          <t>» 148 PAX]_x000D_
_x000D_
[</t>
        </r>
        <r>
          <rPr>
            <b/>
            <sz val="8.5"/>
            <color indexed="21"/>
            <rFont val="Calibri"/>
            <family val="2"/>
          </rPr>
          <t xml:space="preserve">WEEKLY </t>
        </r>
        <r>
          <rPr>
            <b/>
            <sz val="8.5"/>
            <color indexed="8"/>
            <rFont val="Calibri"/>
            <family val="2"/>
          </rPr>
          <t>» 93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28]_x000D_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S10 &amp; W14 &amp; T21 &amp; X4 &amp; U20 &amp; O77 &amp; I2</t>
        </r>
      </text>
    </comment>
    <comment ref="F2" authorId="0" shapeId="0" xr:uid="{0FE9B0F1-2C9D-412F-A621-F5F8B1A02A37}">
      <text>
        <r>
          <rPr>
            <b/>
            <sz val="8.5"/>
            <color indexed="8"/>
            <rFont val="Calibri"/>
            <family val="2"/>
          </rPr>
          <t xml:space="preserve">-{ </t>
        </r>
        <r>
          <rPr>
            <b/>
            <sz val="10"/>
            <color indexed="10"/>
            <rFont val="Calibri"/>
            <family val="2"/>
          </rPr>
          <t>SM322</t>
        </r>
        <r>
          <rPr>
            <b/>
            <sz val="8.5"/>
            <color indexed="8"/>
            <rFont val="Calibri"/>
            <family val="2"/>
          </rPr>
          <t xml:space="preserve"> }-_x000D_
_x000D_
[</t>
        </r>
        <r>
          <rPr>
            <b/>
            <sz val="8.5"/>
            <color indexed="48"/>
            <rFont val="Calibri"/>
            <family val="2"/>
          </rPr>
          <t xml:space="preserve">LF </t>
        </r>
        <r>
          <rPr>
            <b/>
            <sz val="8.5"/>
            <color indexed="8"/>
            <rFont val="Calibri"/>
            <family val="2"/>
          </rPr>
          <t>» 88.1%] - [</t>
        </r>
        <r>
          <rPr>
            <b/>
            <sz val="8.5"/>
            <color indexed="48"/>
            <rFont val="Calibri"/>
            <family val="2"/>
          </rPr>
          <t xml:space="preserve">SOLD </t>
        </r>
        <r>
          <rPr>
            <b/>
            <sz val="8.5"/>
            <color indexed="8"/>
            <rFont val="Calibri"/>
            <family val="2"/>
          </rPr>
          <t>» 148 PAX]_x000D_
_x000D_
[</t>
        </r>
        <r>
          <rPr>
            <b/>
            <sz val="8.5"/>
            <color indexed="21"/>
            <rFont val="Calibri"/>
            <family val="2"/>
          </rPr>
          <t xml:space="preserve">WEEKLY </t>
        </r>
        <r>
          <rPr>
            <b/>
            <sz val="8.5"/>
            <color indexed="8"/>
            <rFont val="Calibri"/>
            <family val="2"/>
          </rPr>
          <t>» 93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28]_x000D_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S10 &amp; W14 &amp; T21 &amp; X4 &amp; U20 &amp; O77 &amp; I2</t>
        </r>
      </text>
    </comment>
    <comment ref="G2" authorId="0" shapeId="0" xr:uid="{6B7A1DE6-8478-4D6D-B62A-3452ED8A9E7B}">
      <text>
        <r>
          <rPr>
            <b/>
            <sz val="8.5"/>
            <color indexed="8"/>
            <rFont val="Calibri"/>
            <family val="2"/>
          </rPr>
          <t xml:space="preserve">-{ </t>
        </r>
        <r>
          <rPr>
            <b/>
            <sz val="10"/>
            <color indexed="10"/>
            <rFont val="Calibri"/>
            <family val="2"/>
          </rPr>
          <t>SM322</t>
        </r>
        <r>
          <rPr>
            <b/>
            <sz val="8.5"/>
            <color indexed="8"/>
            <rFont val="Calibri"/>
            <family val="2"/>
          </rPr>
          <t xml:space="preserve"> }-_x000D_
_x000D_
[</t>
        </r>
        <r>
          <rPr>
            <b/>
            <sz val="8.5"/>
            <color indexed="48"/>
            <rFont val="Calibri"/>
            <family val="2"/>
          </rPr>
          <t xml:space="preserve">LF </t>
        </r>
        <r>
          <rPr>
            <b/>
            <sz val="8.5"/>
            <color indexed="8"/>
            <rFont val="Calibri"/>
            <family val="2"/>
          </rPr>
          <t>» 88.1%] - [</t>
        </r>
        <r>
          <rPr>
            <b/>
            <sz val="8.5"/>
            <color indexed="48"/>
            <rFont val="Calibri"/>
            <family val="2"/>
          </rPr>
          <t xml:space="preserve">SOLD </t>
        </r>
        <r>
          <rPr>
            <b/>
            <sz val="8.5"/>
            <color indexed="8"/>
            <rFont val="Calibri"/>
            <family val="2"/>
          </rPr>
          <t>» 148 PAX]_x000D_
_x000D_
[</t>
        </r>
        <r>
          <rPr>
            <b/>
            <sz val="8.5"/>
            <color indexed="21"/>
            <rFont val="Calibri"/>
            <family val="2"/>
          </rPr>
          <t xml:space="preserve">WEEKLY </t>
        </r>
        <r>
          <rPr>
            <b/>
            <sz val="8.5"/>
            <color indexed="8"/>
            <rFont val="Calibri"/>
            <family val="2"/>
          </rPr>
          <t>» 93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28]_x000D_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S10 &amp; W14 &amp; T21 &amp; X4 &amp; U20 &amp; O77 &amp; I2</t>
        </r>
      </text>
    </comment>
    <comment ref="H2" authorId="0" shapeId="0" xr:uid="{BB6BDD4F-F08C-4D01-8C36-F60F5440A6D9}">
      <text>
        <r>
          <rPr>
            <b/>
            <sz val="8.5"/>
            <color indexed="8"/>
            <rFont val="Calibri"/>
            <family val="2"/>
          </rPr>
          <t xml:space="preserve">-{ </t>
        </r>
        <r>
          <rPr>
            <b/>
            <sz val="10"/>
            <color indexed="10"/>
            <rFont val="Calibri"/>
            <family val="2"/>
          </rPr>
          <t>SM322</t>
        </r>
        <r>
          <rPr>
            <b/>
            <sz val="8.5"/>
            <color indexed="8"/>
            <rFont val="Calibri"/>
            <family val="2"/>
          </rPr>
          <t xml:space="preserve"> }-_x000D_
_x000D_
[</t>
        </r>
        <r>
          <rPr>
            <b/>
            <sz val="8.5"/>
            <color indexed="48"/>
            <rFont val="Calibri"/>
            <family val="2"/>
          </rPr>
          <t xml:space="preserve">LF </t>
        </r>
        <r>
          <rPr>
            <b/>
            <sz val="8.5"/>
            <color indexed="8"/>
            <rFont val="Calibri"/>
            <family val="2"/>
          </rPr>
          <t>» 88.1%] - [</t>
        </r>
        <r>
          <rPr>
            <b/>
            <sz val="8.5"/>
            <color indexed="48"/>
            <rFont val="Calibri"/>
            <family val="2"/>
          </rPr>
          <t xml:space="preserve">SOLD </t>
        </r>
        <r>
          <rPr>
            <b/>
            <sz val="8.5"/>
            <color indexed="8"/>
            <rFont val="Calibri"/>
            <family val="2"/>
          </rPr>
          <t>» 148 PAX]_x000D_
_x000D_
[</t>
        </r>
        <r>
          <rPr>
            <b/>
            <sz val="8.5"/>
            <color indexed="21"/>
            <rFont val="Calibri"/>
            <family val="2"/>
          </rPr>
          <t xml:space="preserve">WEEKLY </t>
        </r>
        <r>
          <rPr>
            <b/>
            <sz val="8.5"/>
            <color indexed="8"/>
            <rFont val="Calibri"/>
            <family val="2"/>
          </rPr>
          <t>» 93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28]_x000D_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S10 &amp; W14 &amp; T21 &amp; X4 &amp; U20 &amp; O77 &amp; I2</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2" authorId="0" shapeId="0" xr:uid="{93EE766C-C647-4C3A-B06B-A78D90B80DD7}">
      <text>
        <r>
          <rPr>
            <b/>
            <sz val="8.5"/>
            <color indexed="8"/>
            <rFont val="Calibri"/>
            <family val="2"/>
          </rPr>
          <t xml:space="preserve">-{ </t>
        </r>
        <r>
          <rPr>
            <b/>
            <sz val="10"/>
            <color indexed="10"/>
            <rFont val="Calibri"/>
            <family val="2"/>
          </rPr>
          <t>SM322</t>
        </r>
        <r>
          <rPr>
            <b/>
            <sz val="8.5"/>
            <color indexed="8"/>
            <rFont val="Calibri"/>
            <family val="2"/>
          </rPr>
          <t xml:space="preserve"> }-_x000D_
_x000D_
[</t>
        </r>
        <r>
          <rPr>
            <b/>
            <sz val="8.5"/>
            <color indexed="48"/>
            <rFont val="Calibri"/>
            <family val="2"/>
          </rPr>
          <t xml:space="preserve">LF </t>
        </r>
        <r>
          <rPr>
            <b/>
            <sz val="8.5"/>
            <color indexed="8"/>
            <rFont val="Calibri"/>
            <family val="2"/>
          </rPr>
          <t>» 88.1%] - [</t>
        </r>
        <r>
          <rPr>
            <b/>
            <sz val="8.5"/>
            <color indexed="48"/>
            <rFont val="Calibri"/>
            <family val="2"/>
          </rPr>
          <t xml:space="preserve">SOLD </t>
        </r>
        <r>
          <rPr>
            <b/>
            <sz val="8.5"/>
            <color indexed="8"/>
            <rFont val="Calibri"/>
            <family val="2"/>
          </rPr>
          <t>» 148 PAX]_x000D_
_x000D_
[</t>
        </r>
        <r>
          <rPr>
            <b/>
            <sz val="8.5"/>
            <color indexed="21"/>
            <rFont val="Calibri"/>
            <family val="2"/>
          </rPr>
          <t xml:space="preserve">WEEKLY </t>
        </r>
        <r>
          <rPr>
            <b/>
            <sz val="8.5"/>
            <color indexed="8"/>
            <rFont val="Calibri"/>
            <family val="2"/>
          </rPr>
          <t>» 93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28]_x000D_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S10 &amp; W14 &amp; T21 &amp; X4 &amp; U20 &amp; O77 &amp; I2</t>
        </r>
      </text>
    </comment>
    <comment ref="B2" authorId="0" shapeId="0" xr:uid="{5E0E88C1-6C4B-4181-970E-C0865EC6590D}">
      <text>
        <r>
          <rPr>
            <b/>
            <sz val="8.5"/>
            <color indexed="8"/>
            <rFont val="Calibri"/>
            <family val="2"/>
          </rPr>
          <t xml:space="preserve">-{ </t>
        </r>
        <r>
          <rPr>
            <b/>
            <sz val="10"/>
            <color indexed="10"/>
            <rFont val="Calibri"/>
            <family val="2"/>
          </rPr>
          <t>SM322</t>
        </r>
        <r>
          <rPr>
            <b/>
            <sz val="8.5"/>
            <color indexed="8"/>
            <rFont val="Calibri"/>
            <family val="2"/>
          </rPr>
          <t xml:space="preserve"> }-_x000D_
_x000D_
[</t>
        </r>
        <r>
          <rPr>
            <b/>
            <sz val="8.5"/>
            <color indexed="48"/>
            <rFont val="Calibri"/>
            <family val="2"/>
          </rPr>
          <t xml:space="preserve">LF </t>
        </r>
        <r>
          <rPr>
            <b/>
            <sz val="8.5"/>
            <color indexed="8"/>
            <rFont val="Calibri"/>
            <family val="2"/>
          </rPr>
          <t>» 88.1%] - [</t>
        </r>
        <r>
          <rPr>
            <b/>
            <sz val="8.5"/>
            <color indexed="48"/>
            <rFont val="Calibri"/>
            <family val="2"/>
          </rPr>
          <t xml:space="preserve">SOLD </t>
        </r>
        <r>
          <rPr>
            <b/>
            <sz val="8.5"/>
            <color indexed="8"/>
            <rFont val="Calibri"/>
            <family val="2"/>
          </rPr>
          <t>» 148 PAX]_x000D_
_x000D_
[</t>
        </r>
        <r>
          <rPr>
            <b/>
            <sz val="8.5"/>
            <color indexed="21"/>
            <rFont val="Calibri"/>
            <family val="2"/>
          </rPr>
          <t xml:space="preserve">WEEKLY </t>
        </r>
        <r>
          <rPr>
            <b/>
            <sz val="8.5"/>
            <color indexed="8"/>
            <rFont val="Calibri"/>
            <family val="2"/>
          </rPr>
          <t>» 93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28]_x000D_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S10 &amp; W14 &amp; T21 &amp; X4 &amp; U20 &amp; O77 &amp; I2</t>
        </r>
      </text>
    </comment>
    <comment ref="C2" authorId="0" shapeId="0" xr:uid="{71D18300-4A71-4FB8-BAAD-CC5B0E6D6D60}">
      <text>
        <r>
          <rPr>
            <b/>
            <sz val="8.5"/>
            <color indexed="8"/>
            <rFont val="Calibri"/>
            <family val="2"/>
          </rPr>
          <t xml:space="preserve">-{ </t>
        </r>
        <r>
          <rPr>
            <b/>
            <sz val="10"/>
            <color indexed="10"/>
            <rFont val="Calibri"/>
            <family val="2"/>
          </rPr>
          <t>SM322</t>
        </r>
        <r>
          <rPr>
            <b/>
            <sz val="8.5"/>
            <color indexed="8"/>
            <rFont val="Calibri"/>
            <family val="2"/>
          </rPr>
          <t xml:space="preserve"> }-_x000D_
_x000D_
[</t>
        </r>
        <r>
          <rPr>
            <b/>
            <sz val="8.5"/>
            <color indexed="48"/>
            <rFont val="Calibri"/>
            <family val="2"/>
          </rPr>
          <t xml:space="preserve">LF </t>
        </r>
        <r>
          <rPr>
            <b/>
            <sz val="8.5"/>
            <color indexed="8"/>
            <rFont val="Calibri"/>
            <family val="2"/>
          </rPr>
          <t>» 88.1%] - [</t>
        </r>
        <r>
          <rPr>
            <b/>
            <sz val="8.5"/>
            <color indexed="48"/>
            <rFont val="Calibri"/>
            <family val="2"/>
          </rPr>
          <t xml:space="preserve">SOLD </t>
        </r>
        <r>
          <rPr>
            <b/>
            <sz val="8.5"/>
            <color indexed="8"/>
            <rFont val="Calibri"/>
            <family val="2"/>
          </rPr>
          <t>» 148 PAX]_x000D_
_x000D_
[</t>
        </r>
        <r>
          <rPr>
            <b/>
            <sz val="8.5"/>
            <color indexed="21"/>
            <rFont val="Calibri"/>
            <family val="2"/>
          </rPr>
          <t xml:space="preserve">WEEKLY </t>
        </r>
        <r>
          <rPr>
            <b/>
            <sz val="8.5"/>
            <color indexed="8"/>
            <rFont val="Calibri"/>
            <family val="2"/>
          </rPr>
          <t>» 93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28]_x000D_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S10 &amp; W14 &amp; T21 &amp; X4 &amp; U20 &amp; O77 &amp; I2</t>
        </r>
      </text>
    </comment>
    <comment ref="D2" authorId="0" shapeId="0" xr:uid="{F2D8BBC1-F362-47D9-A251-C4A20C9BB987}">
      <text>
        <r>
          <rPr>
            <b/>
            <sz val="8.5"/>
            <color indexed="8"/>
            <rFont val="Calibri"/>
            <family val="2"/>
          </rPr>
          <t xml:space="preserve">-{ </t>
        </r>
        <r>
          <rPr>
            <b/>
            <sz val="10"/>
            <color indexed="10"/>
            <rFont val="Calibri"/>
            <family val="2"/>
          </rPr>
          <t>SM322</t>
        </r>
        <r>
          <rPr>
            <b/>
            <sz val="8.5"/>
            <color indexed="8"/>
            <rFont val="Calibri"/>
            <family val="2"/>
          </rPr>
          <t xml:space="preserve"> }-_x000D_
_x000D_
[</t>
        </r>
        <r>
          <rPr>
            <b/>
            <sz val="8.5"/>
            <color indexed="48"/>
            <rFont val="Calibri"/>
            <family val="2"/>
          </rPr>
          <t xml:space="preserve">LF </t>
        </r>
        <r>
          <rPr>
            <b/>
            <sz val="8.5"/>
            <color indexed="8"/>
            <rFont val="Calibri"/>
            <family val="2"/>
          </rPr>
          <t>» 88.1%] - [</t>
        </r>
        <r>
          <rPr>
            <b/>
            <sz val="8.5"/>
            <color indexed="48"/>
            <rFont val="Calibri"/>
            <family val="2"/>
          </rPr>
          <t xml:space="preserve">SOLD </t>
        </r>
        <r>
          <rPr>
            <b/>
            <sz val="8.5"/>
            <color indexed="8"/>
            <rFont val="Calibri"/>
            <family val="2"/>
          </rPr>
          <t>» 148 PAX]_x000D_
_x000D_
[</t>
        </r>
        <r>
          <rPr>
            <b/>
            <sz val="8.5"/>
            <color indexed="21"/>
            <rFont val="Calibri"/>
            <family val="2"/>
          </rPr>
          <t xml:space="preserve">WEEKLY </t>
        </r>
        <r>
          <rPr>
            <b/>
            <sz val="8.5"/>
            <color indexed="8"/>
            <rFont val="Calibri"/>
            <family val="2"/>
          </rPr>
          <t>» 93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28]_x000D_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S10 &amp; W14 &amp; T21 &amp; X4 &amp; U20 &amp; O77 &amp; I2</t>
        </r>
      </text>
    </comment>
    <comment ref="E2" authorId="0" shapeId="0" xr:uid="{01B5F9F9-7F90-42D1-BCC4-9F169F9800B5}">
      <text>
        <r>
          <rPr>
            <b/>
            <sz val="8.5"/>
            <color indexed="8"/>
            <rFont val="Calibri"/>
            <family val="2"/>
          </rPr>
          <t xml:space="preserve">-{ </t>
        </r>
        <r>
          <rPr>
            <b/>
            <sz val="10"/>
            <color indexed="10"/>
            <rFont val="Calibri"/>
            <family val="2"/>
          </rPr>
          <t>SM322</t>
        </r>
        <r>
          <rPr>
            <b/>
            <sz val="8.5"/>
            <color indexed="8"/>
            <rFont val="Calibri"/>
            <family val="2"/>
          </rPr>
          <t xml:space="preserve"> }-_x000D_
_x000D_
[</t>
        </r>
        <r>
          <rPr>
            <b/>
            <sz val="8.5"/>
            <color indexed="48"/>
            <rFont val="Calibri"/>
            <family val="2"/>
          </rPr>
          <t xml:space="preserve">LF </t>
        </r>
        <r>
          <rPr>
            <b/>
            <sz val="8.5"/>
            <color indexed="8"/>
            <rFont val="Calibri"/>
            <family val="2"/>
          </rPr>
          <t>» 88.1%] - [</t>
        </r>
        <r>
          <rPr>
            <b/>
            <sz val="8.5"/>
            <color indexed="48"/>
            <rFont val="Calibri"/>
            <family val="2"/>
          </rPr>
          <t xml:space="preserve">SOLD </t>
        </r>
        <r>
          <rPr>
            <b/>
            <sz val="8.5"/>
            <color indexed="8"/>
            <rFont val="Calibri"/>
            <family val="2"/>
          </rPr>
          <t>» 148 PAX]_x000D_
_x000D_
[</t>
        </r>
        <r>
          <rPr>
            <b/>
            <sz val="8.5"/>
            <color indexed="21"/>
            <rFont val="Calibri"/>
            <family val="2"/>
          </rPr>
          <t xml:space="preserve">WEEKLY </t>
        </r>
        <r>
          <rPr>
            <b/>
            <sz val="8.5"/>
            <color indexed="8"/>
            <rFont val="Calibri"/>
            <family val="2"/>
          </rPr>
          <t>» 93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28]_x000D_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S10 &amp; W14 &amp; T21 &amp; X4 &amp; U20 &amp; O77 &amp; I2</t>
        </r>
      </text>
    </comment>
    <comment ref="F2" authorId="0" shapeId="0" xr:uid="{65F3AE91-1110-416A-8DD4-C59AFB35AD4B}">
      <text>
        <r>
          <rPr>
            <b/>
            <sz val="8.5"/>
            <color indexed="8"/>
            <rFont val="Calibri"/>
            <family val="2"/>
          </rPr>
          <t xml:space="preserve">-{ </t>
        </r>
        <r>
          <rPr>
            <b/>
            <sz val="10"/>
            <color indexed="10"/>
            <rFont val="Calibri"/>
            <family val="2"/>
          </rPr>
          <t>SM322</t>
        </r>
        <r>
          <rPr>
            <b/>
            <sz val="8.5"/>
            <color indexed="8"/>
            <rFont val="Calibri"/>
            <family val="2"/>
          </rPr>
          <t xml:space="preserve"> }-_x000D_
_x000D_
[</t>
        </r>
        <r>
          <rPr>
            <b/>
            <sz val="8.5"/>
            <color indexed="48"/>
            <rFont val="Calibri"/>
            <family val="2"/>
          </rPr>
          <t xml:space="preserve">LF </t>
        </r>
        <r>
          <rPr>
            <b/>
            <sz val="8.5"/>
            <color indexed="8"/>
            <rFont val="Calibri"/>
            <family val="2"/>
          </rPr>
          <t>» 88.1%] - [</t>
        </r>
        <r>
          <rPr>
            <b/>
            <sz val="8.5"/>
            <color indexed="48"/>
            <rFont val="Calibri"/>
            <family val="2"/>
          </rPr>
          <t xml:space="preserve">SOLD </t>
        </r>
        <r>
          <rPr>
            <b/>
            <sz val="8.5"/>
            <color indexed="8"/>
            <rFont val="Calibri"/>
            <family val="2"/>
          </rPr>
          <t>» 148 PAX]_x000D_
_x000D_
[</t>
        </r>
        <r>
          <rPr>
            <b/>
            <sz val="8.5"/>
            <color indexed="21"/>
            <rFont val="Calibri"/>
            <family val="2"/>
          </rPr>
          <t xml:space="preserve">WEEKLY </t>
        </r>
        <r>
          <rPr>
            <b/>
            <sz val="8.5"/>
            <color indexed="8"/>
            <rFont val="Calibri"/>
            <family val="2"/>
          </rPr>
          <t>» 93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28]_x000D_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S10 &amp; W14 &amp; T21 &amp; X4 &amp; U20 &amp; O77 &amp; I2</t>
        </r>
      </text>
    </comment>
    <comment ref="G2" authorId="0" shapeId="0" xr:uid="{337BF051-97C5-4DCC-B62E-65A9EA0CDC64}">
      <text>
        <r>
          <rPr>
            <b/>
            <sz val="8.5"/>
            <color indexed="8"/>
            <rFont val="Calibri"/>
            <family val="2"/>
          </rPr>
          <t xml:space="preserve">-{ </t>
        </r>
        <r>
          <rPr>
            <b/>
            <sz val="10"/>
            <color indexed="10"/>
            <rFont val="Calibri"/>
            <family val="2"/>
          </rPr>
          <t>SM322</t>
        </r>
        <r>
          <rPr>
            <b/>
            <sz val="8.5"/>
            <color indexed="8"/>
            <rFont val="Calibri"/>
            <family val="2"/>
          </rPr>
          <t xml:space="preserve"> }-_x000D_
_x000D_
[</t>
        </r>
        <r>
          <rPr>
            <b/>
            <sz val="8.5"/>
            <color indexed="48"/>
            <rFont val="Calibri"/>
            <family val="2"/>
          </rPr>
          <t xml:space="preserve">LF </t>
        </r>
        <r>
          <rPr>
            <b/>
            <sz val="8.5"/>
            <color indexed="8"/>
            <rFont val="Calibri"/>
            <family val="2"/>
          </rPr>
          <t>» 88.1%] - [</t>
        </r>
        <r>
          <rPr>
            <b/>
            <sz val="8.5"/>
            <color indexed="48"/>
            <rFont val="Calibri"/>
            <family val="2"/>
          </rPr>
          <t xml:space="preserve">SOLD </t>
        </r>
        <r>
          <rPr>
            <b/>
            <sz val="8.5"/>
            <color indexed="8"/>
            <rFont val="Calibri"/>
            <family val="2"/>
          </rPr>
          <t>» 148 PAX]_x000D_
_x000D_
[</t>
        </r>
        <r>
          <rPr>
            <b/>
            <sz val="8.5"/>
            <color indexed="21"/>
            <rFont val="Calibri"/>
            <family val="2"/>
          </rPr>
          <t xml:space="preserve">WEEKLY </t>
        </r>
        <r>
          <rPr>
            <b/>
            <sz val="8.5"/>
            <color indexed="8"/>
            <rFont val="Calibri"/>
            <family val="2"/>
          </rPr>
          <t>» 93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28]_x000D_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S10 &amp; W14 &amp; T21 &amp; X4 &amp; U20 &amp; O77 &amp; I2</t>
        </r>
      </text>
    </comment>
    <comment ref="H2" authorId="0" shapeId="0" xr:uid="{2F5515C0-9428-4FF9-810D-FCE23D490236}">
      <text>
        <r>
          <rPr>
            <b/>
            <sz val="8.5"/>
            <color indexed="8"/>
            <rFont val="Calibri"/>
            <family val="2"/>
          </rPr>
          <t xml:space="preserve">-{ </t>
        </r>
        <r>
          <rPr>
            <b/>
            <sz val="10"/>
            <color indexed="10"/>
            <rFont val="Calibri"/>
            <family val="2"/>
          </rPr>
          <t>SM322</t>
        </r>
        <r>
          <rPr>
            <b/>
            <sz val="8.5"/>
            <color indexed="8"/>
            <rFont val="Calibri"/>
            <family val="2"/>
          </rPr>
          <t xml:space="preserve"> }-_x000D_
_x000D_
[</t>
        </r>
        <r>
          <rPr>
            <b/>
            <sz val="8.5"/>
            <color indexed="48"/>
            <rFont val="Calibri"/>
            <family val="2"/>
          </rPr>
          <t xml:space="preserve">LF </t>
        </r>
        <r>
          <rPr>
            <b/>
            <sz val="8.5"/>
            <color indexed="8"/>
            <rFont val="Calibri"/>
            <family val="2"/>
          </rPr>
          <t>» 88.1%] - [</t>
        </r>
        <r>
          <rPr>
            <b/>
            <sz val="8.5"/>
            <color indexed="48"/>
            <rFont val="Calibri"/>
            <family val="2"/>
          </rPr>
          <t xml:space="preserve">SOLD </t>
        </r>
        <r>
          <rPr>
            <b/>
            <sz val="8.5"/>
            <color indexed="8"/>
            <rFont val="Calibri"/>
            <family val="2"/>
          </rPr>
          <t>» 148 PAX]_x000D_
_x000D_
[</t>
        </r>
        <r>
          <rPr>
            <b/>
            <sz val="8.5"/>
            <color indexed="21"/>
            <rFont val="Calibri"/>
            <family val="2"/>
          </rPr>
          <t xml:space="preserve">WEEKLY </t>
        </r>
        <r>
          <rPr>
            <b/>
            <sz val="8.5"/>
            <color indexed="8"/>
            <rFont val="Calibri"/>
            <family val="2"/>
          </rPr>
          <t>» 93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28]_x000D_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S10 &amp; W14 &amp; T21 &amp; X4 &amp; U20 &amp; O77 &amp; I2</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2" authorId="0" shapeId="0" xr:uid="{4CDE4B67-8EBB-4DAE-9CC4-3429ACACFE28}">
      <text>
        <r>
          <rPr>
            <b/>
            <sz val="8.5"/>
            <color indexed="8"/>
            <rFont val="Calibri"/>
            <family val="2"/>
          </rPr>
          <t xml:space="preserve">-{ </t>
        </r>
        <r>
          <rPr>
            <b/>
            <sz val="10"/>
            <color indexed="10"/>
            <rFont val="Calibri"/>
            <family val="2"/>
          </rPr>
          <t>SM324</t>
        </r>
        <r>
          <rPr>
            <b/>
            <sz val="8.5"/>
            <color indexed="8"/>
            <rFont val="Calibri"/>
            <family val="2"/>
          </rPr>
          <t xml:space="preserve"> }-_x000D_
_x000D_
[</t>
        </r>
        <r>
          <rPr>
            <b/>
            <sz val="8.5"/>
            <color indexed="48"/>
            <rFont val="Calibri"/>
            <family val="2"/>
          </rPr>
          <t xml:space="preserve">LF </t>
        </r>
        <r>
          <rPr>
            <b/>
            <sz val="8.5"/>
            <color indexed="8"/>
            <rFont val="Calibri"/>
            <family val="2"/>
          </rPr>
          <t>» 90.5%] - [</t>
        </r>
        <r>
          <rPr>
            <b/>
            <sz val="8.5"/>
            <color indexed="48"/>
            <rFont val="Calibri"/>
            <family val="2"/>
          </rPr>
          <t xml:space="preserve">SOLD </t>
        </r>
        <r>
          <rPr>
            <b/>
            <sz val="8.5"/>
            <color indexed="8"/>
            <rFont val="Calibri"/>
            <family val="2"/>
          </rPr>
          <t>» 152 PAX]_x000D_
_x000D_
[</t>
        </r>
        <r>
          <rPr>
            <b/>
            <sz val="8.5"/>
            <color indexed="21"/>
            <rFont val="Calibri"/>
            <family val="2"/>
          </rPr>
          <t xml:space="preserve">WEEKLY </t>
        </r>
        <r>
          <rPr>
            <b/>
            <sz val="8.5"/>
            <color indexed="8"/>
            <rFont val="Calibri"/>
            <family val="2"/>
          </rPr>
          <t>» 83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12]_x000D_
_x000D_
[</t>
        </r>
        <r>
          <rPr>
            <b/>
            <sz val="8.5"/>
            <color indexed="48"/>
            <rFont val="Calibri"/>
            <family val="2"/>
          </rPr>
          <t>LOWESTAVAIL</t>
        </r>
        <r>
          <rPr>
            <b/>
            <sz val="8.5"/>
            <color indexed="8"/>
            <rFont val="Calibri"/>
            <family val="2"/>
          </rPr>
          <t xml:space="preserve"> » S8]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V4 &amp; L9 &amp; G9 &amp; S15 &amp; W3 &amp; T12 &amp; X25 &amp; U15 &amp; O52 &amp; I8</t>
        </r>
      </text>
    </comment>
    <comment ref="B2" authorId="0" shapeId="0" xr:uid="{B465AC3E-0357-486D-9DA7-792B3A72C1D0}">
      <text>
        <r>
          <rPr>
            <b/>
            <sz val="8.5"/>
            <color indexed="8"/>
            <rFont val="Calibri"/>
            <family val="2"/>
          </rPr>
          <t xml:space="preserve">-{ </t>
        </r>
        <r>
          <rPr>
            <b/>
            <sz val="10"/>
            <color indexed="10"/>
            <rFont val="Calibri"/>
            <family val="2"/>
          </rPr>
          <t>SM324</t>
        </r>
        <r>
          <rPr>
            <b/>
            <sz val="8.5"/>
            <color indexed="8"/>
            <rFont val="Calibri"/>
            <family val="2"/>
          </rPr>
          <t xml:space="preserve"> }-_x000D_
_x000D_
[</t>
        </r>
        <r>
          <rPr>
            <b/>
            <sz val="8.5"/>
            <color indexed="48"/>
            <rFont val="Calibri"/>
            <family val="2"/>
          </rPr>
          <t xml:space="preserve">LF </t>
        </r>
        <r>
          <rPr>
            <b/>
            <sz val="8.5"/>
            <color indexed="8"/>
            <rFont val="Calibri"/>
            <family val="2"/>
          </rPr>
          <t>» 90.5%] - [</t>
        </r>
        <r>
          <rPr>
            <b/>
            <sz val="8.5"/>
            <color indexed="48"/>
            <rFont val="Calibri"/>
            <family val="2"/>
          </rPr>
          <t xml:space="preserve">SOLD </t>
        </r>
        <r>
          <rPr>
            <b/>
            <sz val="8.5"/>
            <color indexed="8"/>
            <rFont val="Calibri"/>
            <family val="2"/>
          </rPr>
          <t>» 152 PAX]_x000D_
_x000D_
[</t>
        </r>
        <r>
          <rPr>
            <b/>
            <sz val="8.5"/>
            <color indexed="21"/>
            <rFont val="Calibri"/>
            <family val="2"/>
          </rPr>
          <t xml:space="preserve">WEEKLY </t>
        </r>
        <r>
          <rPr>
            <b/>
            <sz val="8.5"/>
            <color indexed="8"/>
            <rFont val="Calibri"/>
            <family val="2"/>
          </rPr>
          <t>» 83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12]_x000D_
_x000D_
[</t>
        </r>
        <r>
          <rPr>
            <b/>
            <sz val="8.5"/>
            <color indexed="48"/>
            <rFont val="Calibri"/>
            <family val="2"/>
          </rPr>
          <t>LOWESTAVAIL</t>
        </r>
        <r>
          <rPr>
            <b/>
            <sz val="8.5"/>
            <color indexed="8"/>
            <rFont val="Calibri"/>
            <family val="2"/>
          </rPr>
          <t xml:space="preserve"> » S8]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V4 &amp; L9 &amp; G9 &amp; S15 &amp; W3 &amp; T12 &amp; X25 &amp; U15 &amp; O52 &amp; I8</t>
        </r>
      </text>
    </comment>
    <comment ref="C2" authorId="0" shapeId="0" xr:uid="{8ED1F5BD-AD78-49B0-98F6-80ADA5FE9E09}">
      <text>
        <r>
          <rPr>
            <b/>
            <sz val="8.5"/>
            <color indexed="8"/>
            <rFont val="Calibri"/>
            <family val="2"/>
          </rPr>
          <t xml:space="preserve">-{ </t>
        </r>
        <r>
          <rPr>
            <b/>
            <sz val="10"/>
            <color indexed="10"/>
            <rFont val="Calibri"/>
            <family val="2"/>
          </rPr>
          <t>SM324</t>
        </r>
        <r>
          <rPr>
            <b/>
            <sz val="8.5"/>
            <color indexed="8"/>
            <rFont val="Calibri"/>
            <family val="2"/>
          </rPr>
          <t xml:space="preserve"> }-_x000D_
_x000D_
[</t>
        </r>
        <r>
          <rPr>
            <b/>
            <sz val="8.5"/>
            <color indexed="48"/>
            <rFont val="Calibri"/>
            <family val="2"/>
          </rPr>
          <t xml:space="preserve">LF </t>
        </r>
        <r>
          <rPr>
            <b/>
            <sz val="8.5"/>
            <color indexed="8"/>
            <rFont val="Calibri"/>
            <family val="2"/>
          </rPr>
          <t>» 90.5%] - [</t>
        </r>
        <r>
          <rPr>
            <b/>
            <sz val="8.5"/>
            <color indexed="48"/>
            <rFont val="Calibri"/>
            <family val="2"/>
          </rPr>
          <t xml:space="preserve">SOLD </t>
        </r>
        <r>
          <rPr>
            <b/>
            <sz val="8.5"/>
            <color indexed="8"/>
            <rFont val="Calibri"/>
            <family val="2"/>
          </rPr>
          <t>» 152 PAX]_x000D_
_x000D_
[</t>
        </r>
        <r>
          <rPr>
            <b/>
            <sz val="8.5"/>
            <color indexed="21"/>
            <rFont val="Calibri"/>
            <family val="2"/>
          </rPr>
          <t xml:space="preserve">WEEKLY </t>
        </r>
        <r>
          <rPr>
            <b/>
            <sz val="8.5"/>
            <color indexed="8"/>
            <rFont val="Calibri"/>
            <family val="2"/>
          </rPr>
          <t>» 83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12]_x000D_
_x000D_
[</t>
        </r>
        <r>
          <rPr>
            <b/>
            <sz val="8.5"/>
            <color indexed="48"/>
            <rFont val="Calibri"/>
            <family val="2"/>
          </rPr>
          <t>LOWESTAVAIL</t>
        </r>
        <r>
          <rPr>
            <b/>
            <sz val="8.5"/>
            <color indexed="8"/>
            <rFont val="Calibri"/>
            <family val="2"/>
          </rPr>
          <t xml:space="preserve"> » S8]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V4 &amp; L9 &amp; G9 &amp; S15 &amp; W3 &amp; T12 &amp; X25 &amp; U15 &amp; O52 &amp; I8</t>
        </r>
      </text>
    </comment>
    <comment ref="D2" authorId="0" shapeId="0" xr:uid="{83BC3622-0C0D-4AAF-B85D-8B5876EE53E0}">
      <text>
        <r>
          <rPr>
            <b/>
            <sz val="8.5"/>
            <color indexed="8"/>
            <rFont val="Calibri"/>
            <family val="2"/>
          </rPr>
          <t xml:space="preserve">-{ </t>
        </r>
        <r>
          <rPr>
            <b/>
            <sz val="10"/>
            <color indexed="10"/>
            <rFont val="Calibri"/>
            <family val="2"/>
          </rPr>
          <t>SM324</t>
        </r>
        <r>
          <rPr>
            <b/>
            <sz val="8.5"/>
            <color indexed="8"/>
            <rFont val="Calibri"/>
            <family val="2"/>
          </rPr>
          <t xml:space="preserve"> }-_x000D_
_x000D_
[</t>
        </r>
        <r>
          <rPr>
            <b/>
            <sz val="8.5"/>
            <color indexed="48"/>
            <rFont val="Calibri"/>
            <family val="2"/>
          </rPr>
          <t xml:space="preserve">LF </t>
        </r>
        <r>
          <rPr>
            <b/>
            <sz val="8.5"/>
            <color indexed="8"/>
            <rFont val="Calibri"/>
            <family val="2"/>
          </rPr>
          <t>» 90.5%] - [</t>
        </r>
        <r>
          <rPr>
            <b/>
            <sz val="8.5"/>
            <color indexed="48"/>
            <rFont val="Calibri"/>
            <family val="2"/>
          </rPr>
          <t xml:space="preserve">SOLD </t>
        </r>
        <r>
          <rPr>
            <b/>
            <sz val="8.5"/>
            <color indexed="8"/>
            <rFont val="Calibri"/>
            <family val="2"/>
          </rPr>
          <t>» 152 PAX]_x000D_
_x000D_
[</t>
        </r>
        <r>
          <rPr>
            <b/>
            <sz val="8.5"/>
            <color indexed="21"/>
            <rFont val="Calibri"/>
            <family val="2"/>
          </rPr>
          <t xml:space="preserve">WEEKLY </t>
        </r>
        <r>
          <rPr>
            <b/>
            <sz val="8.5"/>
            <color indexed="8"/>
            <rFont val="Calibri"/>
            <family val="2"/>
          </rPr>
          <t>» 83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12]_x000D_
_x000D_
[</t>
        </r>
        <r>
          <rPr>
            <b/>
            <sz val="8.5"/>
            <color indexed="48"/>
            <rFont val="Calibri"/>
            <family val="2"/>
          </rPr>
          <t>LOWESTAVAIL</t>
        </r>
        <r>
          <rPr>
            <b/>
            <sz val="8.5"/>
            <color indexed="8"/>
            <rFont val="Calibri"/>
            <family val="2"/>
          </rPr>
          <t xml:space="preserve"> » S8]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V4 &amp; L9 &amp; G9 &amp; S15 &amp; W3 &amp; T12 &amp; X25 &amp; U15 &amp; O52 &amp; I8</t>
        </r>
      </text>
    </comment>
    <comment ref="E2" authorId="0" shapeId="0" xr:uid="{614300B0-4C8F-40F2-80CF-50A1ADC474D3}">
      <text>
        <r>
          <rPr>
            <b/>
            <sz val="8.5"/>
            <color indexed="8"/>
            <rFont val="Calibri"/>
            <family val="2"/>
          </rPr>
          <t xml:space="preserve">-{ </t>
        </r>
        <r>
          <rPr>
            <b/>
            <sz val="10"/>
            <color indexed="10"/>
            <rFont val="Calibri"/>
            <family val="2"/>
          </rPr>
          <t>SM324</t>
        </r>
        <r>
          <rPr>
            <b/>
            <sz val="8.5"/>
            <color indexed="8"/>
            <rFont val="Calibri"/>
            <family val="2"/>
          </rPr>
          <t xml:space="preserve"> }-_x000D_
_x000D_
[</t>
        </r>
        <r>
          <rPr>
            <b/>
            <sz val="8.5"/>
            <color indexed="48"/>
            <rFont val="Calibri"/>
            <family val="2"/>
          </rPr>
          <t xml:space="preserve">LF </t>
        </r>
        <r>
          <rPr>
            <b/>
            <sz val="8.5"/>
            <color indexed="8"/>
            <rFont val="Calibri"/>
            <family val="2"/>
          </rPr>
          <t>» 90.5%] - [</t>
        </r>
        <r>
          <rPr>
            <b/>
            <sz val="8.5"/>
            <color indexed="48"/>
            <rFont val="Calibri"/>
            <family val="2"/>
          </rPr>
          <t xml:space="preserve">SOLD </t>
        </r>
        <r>
          <rPr>
            <b/>
            <sz val="8.5"/>
            <color indexed="8"/>
            <rFont val="Calibri"/>
            <family val="2"/>
          </rPr>
          <t>» 152 PAX]_x000D_
_x000D_
[</t>
        </r>
        <r>
          <rPr>
            <b/>
            <sz val="8.5"/>
            <color indexed="21"/>
            <rFont val="Calibri"/>
            <family val="2"/>
          </rPr>
          <t xml:space="preserve">WEEKLY </t>
        </r>
        <r>
          <rPr>
            <b/>
            <sz val="8.5"/>
            <color indexed="8"/>
            <rFont val="Calibri"/>
            <family val="2"/>
          </rPr>
          <t>» 83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12]_x000D_
_x000D_
[</t>
        </r>
        <r>
          <rPr>
            <b/>
            <sz val="8.5"/>
            <color indexed="48"/>
            <rFont val="Calibri"/>
            <family val="2"/>
          </rPr>
          <t>LOWESTAVAIL</t>
        </r>
        <r>
          <rPr>
            <b/>
            <sz val="8.5"/>
            <color indexed="8"/>
            <rFont val="Calibri"/>
            <family val="2"/>
          </rPr>
          <t xml:space="preserve"> » S8]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V4 &amp; L9 &amp; G9 &amp; S15 &amp; W3 &amp; T12 &amp; X25 &amp; U15 &amp; O52 &amp; I8</t>
        </r>
      </text>
    </comment>
    <comment ref="F2" authorId="0" shapeId="0" xr:uid="{40DA6742-EC6D-4E6F-AE30-C519E26ECE6A}">
      <text>
        <r>
          <rPr>
            <b/>
            <sz val="8.5"/>
            <color indexed="8"/>
            <rFont val="Calibri"/>
            <family val="2"/>
          </rPr>
          <t xml:space="preserve">-{ </t>
        </r>
        <r>
          <rPr>
            <b/>
            <sz val="10"/>
            <color indexed="10"/>
            <rFont val="Calibri"/>
            <family val="2"/>
          </rPr>
          <t>SM324</t>
        </r>
        <r>
          <rPr>
            <b/>
            <sz val="8.5"/>
            <color indexed="8"/>
            <rFont val="Calibri"/>
            <family val="2"/>
          </rPr>
          <t xml:space="preserve"> }-_x000D_
_x000D_
[</t>
        </r>
        <r>
          <rPr>
            <b/>
            <sz val="8.5"/>
            <color indexed="48"/>
            <rFont val="Calibri"/>
            <family val="2"/>
          </rPr>
          <t xml:space="preserve">LF </t>
        </r>
        <r>
          <rPr>
            <b/>
            <sz val="8.5"/>
            <color indexed="8"/>
            <rFont val="Calibri"/>
            <family val="2"/>
          </rPr>
          <t>» 90.5%] - [</t>
        </r>
        <r>
          <rPr>
            <b/>
            <sz val="8.5"/>
            <color indexed="48"/>
            <rFont val="Calibri"/>
            <family val="2"/>
          </rPr>
          <t xml:space="preserve">SOLD </t>
        </r>
        <r>
          <rPr>
            <b/>
            <sz val="8.5"/>
            <color indexed="8"/>
            <rFont val="Calibri"/>
            <family val="2"/>
          </rPr>
          <t>» 152 PAX]_x000D_
_x000D_
[</t>
        </r>
        <r>
          <rPr>
            <b/>
            <sz val="8.5"/>
            <color indexed="21"/>
            <rFont val="Calibri"/>
            <family val="2"/>
          </rPr>
          <t xml:space="preserve">WEEKLY </t>
        </r>
        <r>
          <rPr>
            <b/>
            <sz val="8.5"/>
            <color indexed="8"/>
            <rFont val="Calibri"/>
            <family val="2"/>
          </rPr>
          <t>» 83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12]_x000D_
_x000D_
[</t>
        </r>
        <r>
          <rPr>
            <b/>
            <sz val="8.5"/>
            <color indexed="48"/>
            <rFont val="Calibri"/>
            <family val="2"/>
          </rPr>
          <t>LOWESTAVAIL</t>
        </r>
        <r>
          <rPr>
            <b/>
            <sz val="8.5"/>
            <color indexed="8"/>
            <rFont val="Calibri"/>
            <family val="2"/>
          </rPr>
          <t xml:space="preserve"> » S8]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V4 &amp; L9 &amp; G9 &amp; S15 &amp; W3 &amp; T12 &amp; X25 &amp; U15 &amp; O52 &amp; I8</t>
        </r>
      </text>
    </comment>
    <comment ref="G2" authorId="0" shapeId="0" xr:uid="{4D98D942-6DE9-4D86-B0E4-7D555D1D49DA}">
      <text>
        <r>
          <rPr>
            <b/>
            <sz val="8.5"/>
            <color indexed="8"/>
            <rFont val="Calibri"/>
            <family val="2"/>
          </rPr>
          <t xml:space="preserve">-{ </t>
        </r>
        <r>
          <rPr>
            <b/>
            <sz val="10"/>
            <color indexed="10"/>
            <rFont val="Calibri"/>
            <family val="2"/>
          </rPr>
          <t>SM324</t>
        </r>
        <r>
          <rPr>
            <b/>
            <sz val="8.5"/>
            <color indexed="8"/>
            <rFont val="Calibri"/>
            <family val="2"/>
          </rPr>
          <t xml:space="preserve"> }-_x000D_
_x000D_
[</t>
        </r>
        <r>
          <rPr>
            <b/>
            <sz val="8.5"/>
            <color indexed="48"/>
            <rFont val="Calibri"/>
            <family val="2"/>
          </rPr>
          <t xml:space="preserve">LF </t>
        </r>
        <r>
          <rPr>
            <b/>
            <sz val="8.5"/>
            <color indexed="8"/>
            <rFont val="Calibri"/>
            <family val="2"/>
          </rPr>
          <t>» 90.5%] - [</t>
        </r>
        <r>
          <rPr>
            <b/>
            <sz val="8.5"/>
            <color indexed="48"/>
            <rFont val="Calibri"/>
            <family val="2"/>
          </rPr>
          <t xml:space="preserve">SOLD </t>
        </r>
        <r>
          <rPr>
            <b/>
            <sz val="8.5"/>
            <color indexed="8"/>
            <rFont val="Calibri"/>
            <family val="2"/>
          </rPr>
          <t>» 152 PAX]_x000D_
_x000D_
[</t>
        </r>
        <r>
          <rPr>
            <b/>
            <sz val="8.5"/>
            <color indexed="21"/>
            <rFont val="Calibri"/>
            <family val="2"/>
          </rPr>
          <t xml:space="preserve">WEEKLY </t>
        </r>
        <r>
          <rPr>
            <b/>
            <sz val="8.5"/>
            <color indexed="8"/>
            <rFont val="Calibri"/>
            <family val="2"/>
          </rPr>
          <t>» 83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12]_x000D_
_x000D_
[</t>
        </r>
        <r>
          <rPr>
            <b/>
            <sz val="8.5"/>
            <color indexed="48"/>
            <rFont val="Calibri"/>
            <family val="2"/>
          </rPr>
          <t>LOWESTAVAIL</t>
        </r>
        <r>
          <rPr>
            <b/>
            <sz val="8.5"/>
            <color indexed="8"/>
            <rFont val="Calibri"/>
            <family val="2"/>
          </rPr>
          <t xml:space="preserve"> » S8]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V4 &amp; L9 &amp; G9 &amp; S15 &amp; W3 &amp; T12 &amp; X25 &amp; U15 &amp; O52 &amp; I8</t>
        </r>
      </text>
    </comment>
    <comment ref="H2" authorId="0" shapeId="0" xr:uid="{2263F83F-D40C-45D4-BB35-475C7E1FDE7F}">
      <text>
        <r>
          <rPr>
            <b/>
            <sz val="8.5"/>
            <color indexed="8"/>
            <rFont val="Calibri"/>
            <family val="2"/>
          </rPr>
          <t xml:space="preserve">-{ </t>
        </r>
        <r>
          <rPr>
            <b/>
            <sz val="10"/>
            <color indexed="10"/>
            <rFont val="Calibri"/>
            <family val="2"/>
          </rPr>
          <t>SM324</t>
        </r>
        <r>
          <rPr>
            <b/>
            <sz val="8.5"/>
            <color indexed="8"/>
            <rFont val="Calibri"/>
            <family val="2"/>
          </rPr>
          <t xml:space="preserve"> }-_x000D_
_x000D_
[</t>
        </r>
        <r>
          <rPr>
            <b/>
            <sz val="8.5"/>
            <color indexed="48"/>
            <rFont val="Calibri"/>
            <family val="2"/>
          </rPr>
          <t xml:space="preserve">LF </t>
        </r>
        <r>
          <rPr>
            <b/>
            <sz val="8.5"/>
            <color indexed="8"/>
            <rFont val="Calibri"/>
            <family val="2"/>
          </rPr>
          <t>» 90.5%] - [</t>
        </r>
        <r>
          <rPr>
            <b/>
            <sz val="8.5"/>
            <color indexed="48"/>
            <rFont val="Calibri"/>
            <family val="2"/>
          </rPr>
          <t xml:space="preserve">SOLD </t>
        </r>
        <r>
          <rPr>
            <b/>
            <sz val="8.5"/>
            <color indexed="8"/>
            <rFont val="Calibri"/>
            <family val="2"/>
          </rPr>
          <t>» 152 PAX]_x000D_
_x000D_
[</t>
        </r>
        <r>
          <rPr>
            <b/>
            <sz val="8.5"/>
            <color indexed="21"/>
            <rFont val="Calibri"/>
            <family val="2"/>
          </rPr>
          <t xml:space="preserve">WEEKLY </t>
        </r>
        <r>
          <rPr>
            <b/>
            <sz val="8.5"/>
            <color indexed="8"/>
            <rFont val="Calibri"/>
            <family val="2"/>
          </rPr>
          <t>» 83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12]_x000D_
_x000D_
[</t>
        </r>
        <r>
          <rPr>
            <b/>
            <sz val="8.5"/>
            <color indexed="48"/>
            <rFont val="Calibri"/>
            <family val="2"/>
          </rPr>
          <t>LOWESTAVAIL</t>
        </r>
        <r>
          <rPr>
            <b/>
            <sz val="8.5"/>
            <color indexed="8"/>
            <rFont val="Calibri"/>
            <family val="2"/>
          </rPr>
          <t xml:space="preserve"> » S8]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V4 &amp; L9 &amp; G9 &amp; S15 &amp; W3 &amp; T12 &amp; X25 &amp; U15 &amp; O52 &amp; I8</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2" authorId="0" shapeId="0" xr:uid="{EE73C76C-CC9A-437E-8116-25C1B6697221}">
      <text>
        <r>
          <rPr>
            <b/>
            <sz val="8.5"/>
            <color indexed="8"/>
            <rFont val="Calibri"/>
            <family val="2"/>
          </rPr>
          <t xml:space="preserve">-{ </t>
        </r>
        <r>
          <rPr>
            <b/>
            <sz val="10"/>
            <color indexed="10"/>
            <rFont val="Calibri"/>
            <family val="2"/>
          </rPr>
          <t>SM324</t>
        </r>
        <r>
          <rPr>
            <b/>
            <sz val="8.5"/>
            <color indexed="8"/>
            <rFont val="Calibri"/>
            <family val="2"/>
          </rPr>
          <t xml:space="preserve"> }-_x000D_
_x000D_
[</t>
        </r>
        <r>
          <rPr>
            <b/>
            <sz val="8.5"/>
            <color indexed="48"/>
            <rFont val="Calibri"/>
            <family val="2"/>
          </rPr>
          <t xml:space="preserve">LF </t>
        </r>
        <r>
          <rPr>
            <b/>
            <sz val="8.5"/>
            <color indexed="8"/>
            <rFont val="Calibri"/>
            <family val="2"/>
          </rPr>
          <t>» 90.5%] - [</t>
        </r>
        <r>
          <rPr>
            <b/>
            <sz val="8.5"/>
            <color indexed="48"/>
            <rFont val="Calibri"/>
            <family val="2"/>
          </rPr>
          <t xml:space="preserve">SOLD </t>
        </r>
        <r>
          <rPr>
            <b/>
            <sz val="8.5"/>
            <color indexed="8"/>
            <rFont val="Calibri"/>
            <family val="2"/>
          </rPr>
          <t>» 152 PAX]_x000D_
_x000D_
[</t>
        </r>
        <r>
          <rPr>
            <b/>
            <sz val="8.5"/>
            <color indexed="21"/>
            <rFont val="Calibri"/>
            <family val="2"/>
          </rPr>
          <t xml:space="preserve">WEEKLY </t>
        </r>
        <r>
          <rPr>
            <b/>
            <sz val="8.5"/>
            <color indexed="8"/>
            <rFont val="Calibri"/>
            <family val="2"/>
          </rPr>
          <t>» 83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12]_x000D_
_x000D_
[</t>
        </r>
        <r>
          <rPr>
            <b/>
            <sz val="8.5"/>
            <color indexed="48"/>
            <rFont val="Calibri"/>
            <family val="2"/>
          </rPr>
          <t>LOWESTAVAIL</t>
        </r>
        <r>
          <rPr>
            <b/>
            <sz val="8.5"/>
            <color indexed="8"/>
            <rFont val="Calibri"/>
            <family val="2"/>
          </rPr>
          <t xml:space="preserve"> » S8]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V4 &amp; L9 &amp; G9 &amp; S15 &amp; W3 &amp; T12 &amp; X25 &amp; U15 &amp; O52 &amp; I8</t>
        </r>
      </text>
    </comment>
    <comment ref="B2" authorId="0" shapeId="0" xr:uid="{968981FB-E3CC-4C43-A5EE-8B59B3DFFE05}">
      <text>
        <r>
          <rPr>
            <b/>
            <sz val="8.5"/>
            <color indexed="8"/>
            <rFont val="Calibri"/>
            <family val="2"/>
          </rPr>
          <t xml:space="preserve">-{ </t>
        </r>
        <r>
          <rPr>
            <b/>
            <sz val="10"/>
            <color indexed="10"/>
            <rFont val="Calibri"/>
            <family val="2"/>
          </rPr>
          <t>SM324</t>
        </r>
        <r>
          <rPr>
            <b/>
            <sz val="8.5"/>
            <color indexed="8"/>
            <rFont val="Calibri"/>
            <family val="2"/>
          </rPr>
          <t xml:space="preserve"> }-_x000D_
_x000D_
[</t>
        </r>
        <r>
          <rPr>
            <b/>
            <sz val="8.5"/>
            <color indexed="48"/>
            <rFont val="Calibri"/>
            <family val="2"/>
          </rPr>
          <t xml:space="preserve">LF </t>
        </r>
        <r>
          <rPr>
            <b/>
            <sz val="8.5"/>
            <color indexed="8"/>
            <rFont val="Calibri"/>
            <family val="2"/>
          </rPr>
          <t>» 90.5%] - [</t>
        </r>
        <r>
          <rPr>
            <b/>
            <sz val="8.5"/>
            <color indexed="48"/>
            <rFont val="Calibri"/>
            <family val="2"/>
          </rPr>
          <t xml:space="preserve">SOLD </t>
        </r>
        <r>
          <rPr>
            <b/>
            <sz val="8.5"/>
            <color indexed="8"/>
            <rFont val="Calibri"/>
            <family val="2"/>
          </rPr>
          <t>» 152 PAX]_x000D_
_x000D_
[</t>
        </r>
        <r>
          <rPr>
            <b/>
            <sz val="8.5"/>
            <color indexed="21"/>
            <rFont val="Calibri"/>
            <family val="2"/>
          </rPr>
          <t xml:space="preserve">WEEKLY </t>
        </r>
        <r>
          <rPr>
            <b/>
            <sz val="8.5"/>
            <color indexed="8"/>
            <rFont val="Calibri"/>
            <family val="2"/>
          </rPr>
          <t>» 83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12]_x000D_
_x000D_
[</t>
        </r>
        <r>
          <rPr>
            <b/>
            <sz val="8.5"/>
            <color indexed="48"/>
            <rFont val="Calibri"/>
            <family val="2"/>
          </rPr>
          <t>LOWESTAVAIL</t>
        </r>
        <r>
          <rPr>
            <b/>
            <sz val="8.5"/>
            <color indexed="8"/>
            <rFont val="Calibri"/>
            <family val="2"/>
          </rPr>
          <t xml:space="preserve"> » S8]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V4 &amp; L9 &amp; G9 &amp; S15 &amp; W3 &amp; T12 &amp; X25 &amp; U15 &amp; O52 &amp; I8</t>
        </r>
      </text>
    </comment>
    <comment ref="C2" authorId="0" shapeId="0" xr:uid="{F8BB9F50-CC3D-4B26-ABF0-23A1EDD211DC}">
      <text>
        <r>
          <rPr>
            <b/>
            <sz val="8.5"/>
            <color indexed="8"/>
            <rFont val="Calibri"/>
            <family val="2"/>
          </rPr>
          <t xml:space="preserve">-{ </t>
        </r>
        <r>
          <rPr>
            <b/>
            <sz val="10"/>
            <color indexed="10"/>
            <rFont val="Calibri"/>
            <family val="2"/>
          </rPr>
          <t>SM324</t>
        </r>
        <r>
          <rPr>
            <b/>
            <sz val="8.5"/>
            <color indexed="8"/>
            <rFont val="Calibri"/>
            <family val="2"/>
          </rPr>
          <t xml:space="preserve"> }-_x000D_
_x000D_
[</t>
        </r>
        <r>
          <rPr>
            <b/>
            <sz val="8.5"/>
            <color indexed="48"/>
            <rFont val="Calibri"/>
            <family val="2"/>
          </rPr>
          <t xml:space="preserve">LF </t>
        </r>
        <r>
          <rPr>
            <b/>
            <sz val="8.5"/>
            <color indexed="8"/>
            <rFont val="Calibri"/>
            <family val="2"/>
          </rPr>
          <t>» 90.5%] - [</t>
        </r>
        <r>
          <rPr>
            <b/>
            <sz val="8.5"/>
            <color indexed="48"/>
            <rFont val="Calibri"/>
            <family val="2"/>
          </rPr>
          <t xml:space="preserve">SOLD </t>
        </r>
        <r>
          <rPr>
            <b/>
            <sz val="8.5"/>
            <color indexed="8"/>
            <rFont val="Calibri"/>
            <family val="2"/>
          </rPr>
          <t>» 152 PAX]_x000D_
_x000D_
[</t>
        </r>
        <r>
          <rPr>
            <b/>
            <sz val="8.5"/>
            <color indexed="21"/>
            <rFont val="Calibri"/>
            <family val="2"/>
          </rPr>
          <t xml:space="preserve">WEEKLY </t>
        </r>
        <r>
          <rPr>
            <b/>
            <sz val="8.5"/>
            <color indexed="8"/>
            <rFont val="Calibri"/>
            <family val="2"/>
          </rPr>
          <t>» 83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12]_x000D_
_x000D_
[</t>
        </r>
        <r>
          <rPr>
            <b/>
            <sz val="8.5"/>
            <color indexed="48"/>
            <rFont val="Calibri"/>
            <family val="2"/>
          </rPr>
          <t>LOWESTAVAIL</t>
        </r>
        <r>
          <rPr>
            <b/>
            <sz val="8.5"/>
            <color indexed="8"/>
            <rFont val="Calibri"/>
            <family val="2"/>
          </rPr>
          <t xml:space="preserve"> » S8]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V4 &amp; L9 &amp; G9 &amp; S15 &amp; W3 &amp; T12 &amp; X25 &amp; U15 &amp; O52 &amp; I8</t>
        </r>
      </text>
    </comment>
    <comment ref="D2" authorId="0" shapeId="0" xr:uid="{5A445E1D-D920-45BB-A4D6-3BD71C62C42E}">
      <text>
        <r>
          <rPr>
            <b/>
            <sz val="8.5"/>
            <color indexed="8"/>
            <rFont val="Calibri"/>
            <family val="2"/>
          </rPr>
          <t xml:space="preserve">-{ </t>
        </r>
        <r>
          <rPr>
            <b/>
            <sz val="10"/>
            <color indexed="10"/>
            <rFont val="Calibri"/>
            <family val="2"/>
          </rPr>
          <t>SM324</t>
        </r>
        <r>
          <rPr>
            <b/>
            <sz val="8.5"/>
            <color indexed="8"/>
            <rFont val="Calibri"/>
            <family val="2"/>
          </rPr>
          <t xml:space="preserve"> }-_x000D_
_x000D_
[</t>
        </r>
        <r>
          <rPr>
            <b/>
            <sz val="8.5"/>
            <color indexed="48"/>
            <rFont val="Calibri"/>
            <family val="2"/>
          </rPr>
          <t xml:space="preserve">LF </t>
        </r>
        <r>
          <rPr>
            <b/>
            <sz val="8.5"/>
            <color indexed="8"/>
            <rFont val="Calibri"/>
            <family val="2"/>
          </rPr>
          <t>» 90.5%] - [</t>
        </r>
        <r>
          <rPr>
            <b/>
            <sz val="8.5"/>
            <color indexed="48"/>
            <rFont val="Calibri"/>
            <family val="2"/>
          </rPr>
          <t xml:space="preserve">SOLD </t>
        </r>
        <r>
          <rPr>
            <b/>
            <sz val="8.5"/>
            <color indexed="8"/>
            <rFont val="Calibri"/>
            <family val="2"/>
          </rPr>
          <t>» 152 PAX]_x000D_
_x000D_
[</t>
        </r>
        <r>
          <rPr>
            <b/>
            <sz val="8.5"/>
            <color indexed="21"/>
            <rFont val="Calibri"/>
            <family val="2"/>
          </rPr>
          <t xml:space="preserve">WEEKLY </t>
        </r>
        <r>
          <rPr>
            <b/>
            <sz val="8.5"/>
            <color indexed="8"/>
            <rFont val="Calibri"/>
            <family val="2"/>
          </rPr>
          <t>» 83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12]_x000D_
_x000D_
[</t>
        </r>
        <r>
          <rPr>
            <b/>
            <sz val="8.5"/>
            <color indexed="48"/>
            <rFont val="Calibri"/>
            <family val="2"/>
          </rPr>
          <t>LOWESTAVAIL</t>
        </r>
        <r>
          <rPr>
            <b/>
            <sz val="8.5"/>
            <color indexed="8"/>
            <rFont val="Calibri"/>
            <family val="2"/>
          </rPr>
          <t xml:space="preserve"> » S8]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V4 &amp; L9 &amp; G9 &amp; S15 &amp; W3 &amp; T12 &amp; X25 &amp; U15 &amp; O52 &amp; I8</t>
        </r>
      </text>
    </comment>
    <comment ref="E2" authorId="0" shapeId="0" xr:uid="{B58C01E9-32A6-47F2-B855-5C1EFD19B196}">
      <text>
        <r>
          <rPr>
            <b/>
            <sz val="8.5"/>
            <color indexed="8"/>
            <rFont val="Calibri"/>
            <family val="2"/>
          </rPr>
          <t xml:space="preserve">-{ </t>
        </r>
        <r>
          <rPr>
            <b/>
            <sz val="10"/>
            <color indexed="10"/>
            <rFont val="Calibri"/>
            <family val="2"/>
          </rPr>
          <t>SM324</t>
        </r>
        <r>
          <rPr>
            <b/>
            <sz val="8.5"/>
            <color indexed="8"/>
            <rFont val="Calibri"/>
            <family val="2"/>
          </rPr>
          <t xml:space="preserve"> }-_x000D_
_x000D_
[</t>
        </r>
        <r>
          <rPr>
            <b/>
            <sz val="8.5"/>
            <color indexed="48"/>
            <rFont val="Calibri"/>
            <family val="2"/>
          </rPr>
          <t xml:space="preserve">LF </t>
        </r>
        <r>
          <rPr>
            <b/>
            <sz val="8.5"/>
            <color indexed="8"/>
            <rFont val="Calibri"/>
            <family val="2"/>
          </rPr>
          <t>» 90.5%] - [</t>
        </r>
        <r>
          <rPr>
            <b/>
            <sz val="8.5"/>
            <color indexed="48"/>
            <rFont val="Calibri"/>
            <family val="2"/>
          </rPr>
          <t xml:space="preserve">SOLD </t>
        </r>
        <r>
          <rPr>
            <b/>
            <sz val="8.5"/>
            <color indexed="8"/>
            <rFont val="Calibri"/>
            <family val="2"/>
          </rPr>
          <t>» 152 PAX]_x000D_
_x000D_
[</t>
        </r>
        <r>
          <rPr>
            <b/>
            <sz val="8.5"/>
            <color indexed="21"/>
            <rFont val="Calibri"/>
            <family val="2"/>
          </rPr>
          <t xml:space="preserve">WEEKLY </t>
        </r>
        <r>
          <rPr>
            <b/>
            <sz val="8.5"/>
            <color indexed="8"/>
            <rFont val="Calibri"/>
            <family val="2"/>
          </rPr>
          <t>» 83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12]_x000D_
_x000D_
[</t>
        </r>
        <r>
          <rPr>
            <b/>
            <sz val="8.5"/>
            <color indexed="48"/>
            <rFont val="Calibri"/>
            <family val="2"/>
          </rPr>
          <t>LOWESTAVAIL</t>
        </r>
        <r>
          <rPr>
            <b/>
            <sz val="8.5"/>
            <color indexed="8"/>
            <rFont val="Calibri"/>
            <family val="2"/>
          </rPr>
          <t xml:space="preserve"> » S8]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V4 &amp; L9 &amp; G9 &amp; S15 &amp; W3 &amp; T12 &amp; X25 &amp; U15 &amp; O52 &amp; I8</t>
        </r>
      </text>
    </comment>
    <comment ref="F2" authorId="0" shapeId="0" xr:uid="{D1F5B713-35C1-4518-910A-F9368F08CFD6}">
      <text>
        <r>
          <rPr>
            <b/>
            <sz val="8.5"/>
            <color indexed="8"/>
            <rFont val="Calibri"/>
            <family val="2"/>
          </rPr>
          <t xml:space="preserve">-{ </t>
        </r>
        <r>
          <rPr>
            <b/>
            <sz val="10"/>
            <color indexed="10"/>
            <rFont val="Calibri"/>
            <family val="2"/>
          </rPr>
          <t>SM324</t>
        </r>
        <r>
          <rPr>
            <b/>
            <sz val="8.5"/>
            <color indexed="8"/>
            <rFont val="Calibri"/>
            <family val="2"/>
          </rPr>
          <t xml:space="preserve"> }-_x000D_
_x000D_
[</t>
        </r>
        <r>
          <rPr>
            <b/>
            <sz val="8.5"/>
            <color indexed="48"/>
            <rFont val="Calibri"/>
            <family val="2"/>
          </rPr>
          <t xml:space="preserve">LF </t>
        </r>
        <r>
          <rPr>
            <b/>
            <sz val="8.5"/>
            <color indexed="8"/>
            <rFont val="Calibri"/>
            <family val="2"/>
          </rPr>
          <t>» 90.5%] - [</t>
        </r>
        <r>
          <rPr>
            <b/>
            <sz val="8.5"/>
            <color indexed="48"/>
            <rFont val="Calibri"/>
            <family val="2"/>
          </rPr>
          <t xml:space="preserve">SOLD </t>
        </r>
        <r>
          <rPr>
            <b/>
            <sz val="8.5"/>
            <color indexed="8"/>
            <rFont val="Calibri"/>
            <family val="2"/>
          </rPr>
          <t>» 152 PAX]_x000D_
_x000D_
[</t>
        </r>
        <r>
          <rPr>
            <b/>
            <sz val="8.5"/>
            <color indexed="21"/>
            <rFont val="Calibri"/>
            <family val="2"/>
          </rPr>
          <t xml:space="preserve">WEEKLY </t>
        </r>
        <r>
          <rPr>
            <b/>
            <sz val="8.5"/>
            <color indexed="8"/>
            <rFont val="Calibri"/>
            <family val="2"/>
          </rPr>
          <t>» 83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12]_x000D_
_x000D_
[</t>
        </r>
        <r>
          <rPr>
            <b/>
            <sz val="8.5"/>
            <color indexed="48"/>
            <rFont val="Calibri"/>
            <family val="2"/>
          </rPr>
          <t>LOWESTAVAIL</t>
        </r>
        <r>
          <rPr>
            <b/>
            <sz val="8.5"/>
            <color indexed="8"/>
            <rFont val="Calibri"/>
            <family val="2"/>
          </rPr>
          <t xml:space="preserve"> » S8]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V4 &amp; L9 &amp; G9 &amp; S15 &amp; W3 &amp; T12 &amp; X25 &amp; U15 &amp; O52 &amp; I8</t>
        </r>
      </text>
    </comment>
    <comment ref="G2" authorId="0" shapeId="0" xr:uid="{E1637DC7-3F24-4710-803F-6AB95203C779}">
      <text>
        <r>
          <rPr>
            <b/>
            <sz val="8.5"/>
            <color indexed="8"/>
            <rFont val="Calibri"/>
            <family val="2"/>
          </rPr>
          <t xml:space="preserve">-{ </t>
        </r>
        <r>
          <rPr>
            <b/>
            <sz val="10"/>
            <color indexed="10"/>
            <rFont val="Calibri"/>
            <family val="2"/>
          </rPr>
          <t>SM324</t>
        </r>
        <r>
          <rPr>
            <b/>
            <sz val="8.5"/>
            <color indexed="8"/>
            <rFont val="Calibri"/>
            <family val="2"/>
          </rPr>
          <t xml:space="preserve"> }-_x000D_
_x000D_
[</t>
        </r>
        <r>
          <rPr>
            <b/>
            <sz val="8.5"/>
            <color indexed="48"/>
            <rFont val="Calibri"/>
            <family val="2"/>
          </rPr>
          <t xml:space="preserve">LF </t>
        </r>
        <r>
          <rPr>
            <b/>
            <sz val="8.5"/>
            <color indexed="8"/>
            <rFont val="Calibri"/>
            <family val="2"/>
          </rPr>
          <t>» 90.5%] - [</t>
        </r>
        <r>
          <rPr>
            <b/>
            <sz val="8.5"/>
            <color indexed="48"/>
            <rFont val="Calibri"/>
            <family val="2"/>
          </rPr>
          <t xml:space="preserve">SOLD </t>
        </r>
        <r>
          <rPr>
            <b/>
            <sz val="8.5"/>
            <color indexed="8"/>
            <rFont val="Calibri"/>
            <family val="2"/>
          </rPr>
          <t>» 152 PAX]_x000D_
_x000D_
[</t>
        </r>
        <r>
          <rPr>
            <b/>
            <sz val="8.5"/>
            <color indexed="21"/>
            <rFont val="Calibri"/>
            <family val="2"/>
          </rPr>
          <t xml:space="preserve">WEEKLY </t>
        </r>
        <r>
          <rPr>
            <b/>
            <sz val="8.5"/>
            <color indexed="8"/>
            <rFont val="Calibri"/>
            <family val="2"/>
          </rPr>
          <t>» 83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12]_x000D_
_x000D_
[</t>
        </r>
        <r>
          <rPr>
            <b/>
            <sz val="8.5"/>
            <color indexed="48"/>
            <rFont val="Calibri"/>
            <family val="2"/>
          </rPr>
          <t>LOWESTAVAIL</t>
        </r>
        <r>
          <rPr>
            <b/>
            <sz val="8.5"/>
            <color indexed="8"/>
            <rFont val="Calibri"/>
            <family val="2"/>
          </rPr>
          <t xml:space="preserve"> » S8]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V4 &amp; L9 &amp; G9 &amp; S15 &amp; W3 &amp; T12 &amp; X25 &amp; U15 &amp; O52 &amp; I8</t>
        </r>
      </text>
    </comment>
    <comment ref="H2" authorId="0" shapeId="0" xr:uid="{3722D397-7581-46CF-8FC4-D1283970673D}">
      <text>
        <r>
          <rPr>
            <b/>
            <sz val="8.5"/>
            <color indexed="8"/>
            <rFont val="Calibri"/>
            <family val="2"/>
          </rPr>
          <t xml:space="preserve">-{ </t>
        </r>
        <r>
          <rPr>
            <b/>
            <sz val="10"/>
            <color indexed="10"/>
            <rFont val="Calibri"/>
            <family val="2"/>
          </rPr>
          <t>SM324</t>
        </r>
        <r>
          <rPr>
            <b/>
            <sz val="8.5"/>
            <color indexed="8"/>
            <rFont val="Calibri"/>
            <family val="2"/>
          </rPr>
          <t xml:space="preserve"> }-_x000D_
_x000D_
[</t>
        </r>
        <r>
          <rPr>
            <b/>
            <sz val="8.5"/>
            <color indexed="48"/>
            <rFont val="Calibri"/>
            <family val="2"/>
          </rPr>
          <t xml:space="preserve">LF </t>
        </r>
        <r>
          <rPr>
            <b/>
            <sz val="8.5"/>
            <color indexed="8"/>
            <rFont val="Calibri"/>
            <family val="2"/>
          </rPr>
          <t>» 90.5%] - [</t>
        </r>
        <r>
          <rPr>
            <b/>
            <sz val="8.5"/>
            <color indexed="48"/>
            <rFont val="Calibri"/>
            <family val="2"/>
          </rPr>
          <t xml:space="preserve">SOLD </t>
        </r>
        <r>
          <rPr>
            <b/>
            <sz val="8.5"/>
            <color indexed="8"/>
            <rFont val="Calibri"/>
            <family val="2"/>
          </rPr>
          <t>» 152 PAX]_x000D_
_x000D_
[</t>
        </r>
        <r>
          <rPr>
            <b/>
            <sz val="8.5"/>
            <color indexed="21"/>
            <rFont val="Calibri"/>
            <family val="2"/>
          </rPr>
          <t xml:space="preserve">WEEKLY </t>
        </r>
        <r>
          <rPr>
            <b/>
            <sz val="8.5"/>
            <color indexed="8"/>
            <rFont val="Calibri"/>
            <family val="2"/>
          </rPr>
          <t>» 83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12]_x000D_
_x000D_
[</t>
        </r>
        <r>
          <rPr>
            <b/>
            <sz val="8.5"/>
            <color indexed="48"/>
            <rFont val="Calibri"/>
            <family val="2"/>
          </rPr>
          <t>LOWESTAVAIL</t>
        </r>
        <r>
          <rPr>
            <b/>
            <sz val="8.5"/>
            <color indexed="8"/>
            <rFont val="Calibri"/>
            <family val="2"/>
          </rPr>
          <t xml:space="preserve"> » S8]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V4 &amp; L9 &amp; G9 &amp; S15 &amp; W3 &amp; T12 &amp; X25 &amp; U15 &amp; O52 &amp; I8</t>
        </r>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2" authorId="0" shapeId="0" xr:uid="{DAB6D9F2-FB00-4602-90D1-B09A2D097D12}">
      <text>
        <r>
          <rPr>
            <b/>
            <sz val="8.5"/>
            <color indexed="8"/>
            <rFont val="Calibri"/>
            <family val="2"/>
          </rPr>
          <t xml:space="preserve">-{ </t>
        </r>
        <r>
          <rPr>
            <b/>
            <sz val="10"/>
            <color indexed="10"/>
            <rFont val="Calibri"/>
            <family val="2"/>
          </rPr>
          <t>SM442</t>
        </r>
        <r>
          <rPr>
            <b/>
            <sz val="8.5"/>
            <color indexed="8"/>
            <rFont val="Calibri"/>
            <family val="2"/>
          </rPr>
          <t xml:space="preserve"> }-_x000D_
_x000D_
[</t>
        </r>
        <r>
          <rPr>
            <b/>
            <sz val="8.5"/>
            <color indexed="48"/>
            <rFont val="Calibri"/>
            <family val="2"/>
          </rPr>
          <t xml:space="preserve">LF </t>
        </r>
        <r>
          <rPr>
            <b/>
            <sz val="8.5"/>
            <color indexed="8"/>
            <rFont val="Calibri"/>
            <family val="2"/>
          </rPr>
          <t>» 97.8%] - [</t>
        </r>
        <r>
          <rPr>
            <b/>
            <sz val="8.5"/>
            <color indexed="48"/>
            <rFont val="Calibri"/>
            <family val="2"/>
          </rPr>
          <t xml:space="preserve">SOLD </t>
        </r>
        <r>
          <rPr>
            <b/>
            <sz val="8.5"/>
            <color indexed="8"/>
            <rFont val="Calibri"/>
            <family val="2"/>
          </rPr>
          <t>» 175 PAX]_x000D_
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10]_x000D_
_x000D_
[</t>
        </r>
        <r>
          <rPr>
            <b/>
            <sz val="8.5"/>
            <color indexed="48"/>
            <rFont val="Calibri"/>
            <family val="2"/>
          </rPr>
          <t>LOWESTAVAIL</t>
        </r>
        <r>
          <rPr>
            <b/>
            <sz val="8.5"/>
            <color indexed="8"/>
            <rFont val="Calibri"/>
            <family val="2"/>
          </rPr>
          <t xml:space="preserve"> » L4]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G14 &amp; S58 &amp; W46 &amp; T9 &amp; X18 &amp; U15 &amp; O10 &amp; I5</t>
        </r>
      </text>
    </comment>
    <comment ref="B2" authorId="0" shapeId="0" xr:uid="{A5C9F118-3B29-45D0-BE9C-49117ED128CC}">
      <text>
        <r>
          <rPr>
            <b/>
            <sz val="8.5"/>
            <color indexed="8"/>
            <rFont val="Calibri"/>
            <family val="2"/>
          </rPr>
          <t xml:space="preserve">-{ </t>
        </r>
        <r>
          <rPr>
            <b/>
            <sz val="10"/>
            <color indexed="10"/>
            <rFont val="Calibri"/>
            <family val="2"/>
          </rPr>
          <t>SM442</t>
        </r>
        <r>
          <rPr>
            <b/>
            <sz val="8.5"/>
            <color indexed="8"/>
            <rFont val="Calibri"/>
            <family val="2"/>
          </rPr>
          <t xml:space="preserve"> }-_x000D_
_x000D_
[</t>
        </r>
        <r>
          <rPr>
            <b/>
            <sz val="8.5"/>
            <color indexed="48"/>
            <rFont val="Calibri"/>
            <family val="2"/>
          </rPr>
          <t xml:space="preserve">LF </t>
        </r>
        <r>
          <rPr>
            <b/>
            <sz val="8.5"/>
            <color indexed="8"/>
            <rFont val="Calibri"/>
            <family val="2"/>
          </rPr>
          <t>» 97.8%] - [</t>
        </r>
        <r>
          <rPr>
            <b/>
            <sz val="8.5"/>
            <color indexed="48"/>
            <rFont val="Calibri"/>
            <family val="2"/>
          </rPr>
          <t xml:space="preserve">SOLD </t>
        </r>
        <r>
          <rPr>
            <b/>
            <sz val="8.5"/>
            <color indexed="8"/>
            <rFont val="Calibri"/>
            <family val="2"/>
          </rPr>
          <t>» 175 PAX]_x000D_
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10]_x000D_
_x000D_
[</t>
        </r>
        <r>
          <rPr>
            <b/>
            <sz val="8.5"/>
            <color indexed="48"/>
            <rFont val="Calibri"/>
            <family val="2"/>
          </rPr>
          <t>LOWESTAVAIL</t>
        </r>
        <r>
          <rPr>
            <b/>
            <sz val="8.5"/>
            <color indexed="8"/>
            <rFont val="Calibri"/>
            <family val="2"/>
          </rPr>
          <t xml:space="preserve"> » L4]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G14 &amp; S58 &amp; W46 &amp; T9 &amp; X18 &amp; U15 &amp; O10 &amp; I5</t>
        </r>
      </text>
    </comment>
    <comment ref="C2" authorId="0" shapeId="0" xr:uid="{7ED1F248-DD49-43B4-8D9A-DFCEE759A666}">
      <text>
        <r>
          <rPr>
            <b/>
            <sz val="8.5"/>
            <color indexed="8"/>
            <rFont val="Calibri"/>
            <family val="2"/>
          </rPr>
          <t xml:space="preserve">-{ </t>
        </r>
        <r>
          <rPr>
            <b/>
            <sz val="10"/>
            <color indexed="10"/>
            <rFont val="Calibri"/>
            <family val="2"/>
          </rPr>
          <t>SM442</t>
        </r>
        <r>
          <rPr>
            <b/>
            <sz val="8.5"/>
            <color indexed="8"/>
            <rFont val="Calibri"/>
            <family val="2"/>
          </rPr>
          <t xml:space="preserve"> }-_x000D_
_x000D_
[</t>
        </r>
        <r>
          <rPr>
            <b/>
            <sz val="8.5"/>
            <color indexed="48"/>
            <rFont val="Calibri"/>
            <family val="2"/>
          </rPr>
          <t xml:space="preserve">LF </t>
        </r>
        <r>
          <rPr>
            <b/>
            <sz val="8.5"/>
            <color indexed="8"/>
            <rFont val="Calibri"/>
            <family val="2"/>
          </rPr>
          <t>» 97.8%] - [</t>
        </r>
        <r>
          <rPr>
            <b/>
            <sz val="8.5"/>
            <color indexed="48"/>
            <rFont val="Calibri"/>
            <family val="2"/>
          </rPr>
          <t xml:space="preserve">SOLD </t>
        </r>
        <r>
          <rPr>
            <b/>
            <sz val="8.5"/>
            <color indexed="8"/>
            <rFont val="Calibri"/>
            <family val="2"/>
          </rPr>
          <t>» 175 PAX]_x000D_
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10]_x000D_
_x000D_
[</t>
        </r>
        <r>
          <rPr>
            <b/>
            <sz val="8.5"/>
            <color indexed="48"/>
            <rFont val="Calibri"/>
            <family val="2"/>
          </rPr>
          <t>LOWESTAVAIL</t>
        </r>
        <r>
          <rPr>
            <b/>
            <sz val="8.5"/>
            <color indexed="8"/>
            <rFont val="Calibri"/>
            <family val="2"/>
          </rPr>
          <t xml:space="preserve"> » L4]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G14 &amp; S58 &amp; W46 &amp; T9 &amp; X18 &amp; U15 &amp; O10 &amp; I5</t>
        </r>
      </text>
    </comment>
    <comment ref="D2" authorId="0" shapeId="0" xr:uid="{C631033D-7CFB-41C6-91FB-2F23A0849BDA}">
      <text>
        <r>
          <rPr>
            <b/>
            <sz val="8.5"/>
            <color indexed="8"/>
            <rFont val="Calibri"/>
            <family val="2"/>
          </rPr>
          <t xml:space="preserve">-{ </t>
        </r>
        <r>
          <rPr>
            <b/>
            <sz val="10"/>
            <color indexed="10"/>
            <rFont val="Calibri"/>
            <family val="2"/>
          </rPr>
          <t>SM442</t>
        </r>
        <r>
          <rPr>
            <b/>
            <sz val="8.5"/>
            <color indexed="8"/>
            <rFont val="Calibri"/>
            <family val="2"/>
          </rPr>
          <t xml:space="preserve"> }-_x000D_
_x000D_
[</t>
        </r>
        <r>
          <rPr>
            <b/>
            <sz val="8.5"/>
            <color indexed="48"/>
            <rFont val="Calibri"/>
            <family val="2"/>
          </rPr>
          <t xml:space="preserve">LF </t>
        </r>
        <r>
          <rPr>
            <b/>
            <sz val="8.5"/>
            <color indexed="8"/>
            <rFont val="Calibri"/>
            <family val="2"/>
          </rPr>
          <t>» 97.8%] - [</t>
        </r>
        <r>
          <rPr>
            <b/>
            <sz val="8.5"/>
            <color indexed="48"/>
            <rFont val="Calibri"/>
            <family val="2"/>
          </rPr>
          <t xml:space="preserve">SOLD </t>
        </r>
        <r>
          <rPr>
            <b/>
            <sz val="8.5"/>
            <color indexed="8"/>
            <rFont val="Calibri"/>
            <family val="2"/>
          </rPr>
          <t>» 175 PAX]_x000D_
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10]_x000D_
_x000D_
[</t>
        </r>
        <r>
          <rPr>
            <b/>
            <sz val="8.5"/>
            <color indexed="48"/>
            <rFont val="Calibri"/>
            <family val="2"/>
          </rPr>
          <t>LOWESTAVAIL</t>
        </r>
        <r>
          <rPr>
            <b/>
            <sz val="8.5"/>
            <color indexed="8"/>
            <rFont val="Calibri"/>
            <family val="2"/>
          </rPr>
          <t xml:space="preserve"> » L4]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G14 &amp; S58 &amp; W46 &amp; T9 &amp; X18 &amp; U15 &amp; O10 &amp; I5</t>
        </r>
      </text>
    </comment>
    <comment ref="E2" authorId="0" shapeId="0" xr:uid="{DC8690E7-0F36-40F9-A75C-FD59BA33EAE3}">
      <text>
        <r>
          <rPr>
            <b/>
            <sz val="8.5"/>
            <color indexed="8"/>
            <rFont val="Calibri"/>
            <family val="2"/>
          </rPr>
          <t xml:space="preserve">-{ </t>
        </r>
        <r>
          <rPr>
            <b/>
            <sz val="10"/>
            <color indexed="10"/>
            <rFont val="Calibri"/>
            <family val="2"/>
          </rPr>
          <t>SM442</t>
        </r>
        <r>
          <rPr>
            <b/>
            <sz val="8.5"/>
            <color indexed="8"/>
            <rFont val="Calibri"/>
            <family val="2"/>
          </rPr>
          <t xml:space="preserve"> }-_x000D_
_x000D_
[</t>
        </r>
        <r>
          <rPr>
            <b/>
            <sz val="8.5"/>
            <color indexed="48"/>
            <rFont val="Calibri"/>
            <family val="2"/>
          </rPr>
          <t xml:space="preserve">LF </t>
        </r>
        <r>
          <rPr>
            <b/>
            <sz val="8.5"/>
            <color indexed="8"/>
            <rFont val="Calibri"/>
            <family val="2"/>
          </rPr>
          <t>» 97.8%] - [</t>
        </r>
        <r>
          <rPr>
            <b/>
            <sz val="8.5"/>
            <color indexed="48"/>
            <rFont val="Calibri"/>
            <family val="2"/>
          </rPr>
          <t xml:space="preserve">SOLD </t>
        </r>
        <r>
          <rPr>
            <b/>
            <sz val="8.5"/>
            <color indexed="8"/>
            <rFont val="Calibri"/>
            <family val="2"/>
          </rPr>
          <t>» 175 PAX]_x000D_
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10]_x000D_
_x000D_
[</t>
        </r>
        <r>
          <rPr>
            <b/>
            <sz val="8.5"/>
            <color indexed="48"/>
            <rFont val="Calibri"/>
            <family val="2"/>
          </rPr>
          <t>LOWESTAVAIL</t>
        </r>
        <r>
          <rPr>
            <b/>
            <sz val="8.5"/>
            <color indexed="8"/>
            <rFont val="Calibri"/>
            <family val="2"/>
          </rPr>
          <t xml:space="preserve"> » L4]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G14 &amp; S58 &amp; W46 &amp; T9 &amp; X18 &amp; U15 &amp; O10 &amp; I5</t>
        </r>
      </text>
    </comment>
    <comment ref="F2" authorId="0" shapeId="0" xr:uid="{D20D86D8-1841-424A-A6BE-2B349F59C6F6}">
      <text>
        <r>
          <rPr>
            <b/>
            <sz val="8.5"/>
            <color indexed="8"/>
            <rFont val="Calibri"/>
            <family val="2"/>
          </rPr>
          <t xml:space="preserve">-{ </t>
        </r>
        <r>
          <rPr>
            <b/>
            <sz val="10"/>
            <color indexed="10"/>
            <rFont val="Calibri"/>
            <family val="2"/>
          </rPr>
          <t>SM442</t>
        </r>
        <r>
          <rPr>
            <b/>
            <sz val="8.5"/>
            <color indexed="8"/>
            <rFont val="Calibri"/>
            <family val="2"/>
          </rPr>
          <t xml:space="preserve"> }-_x000D_
_x000D_
[</t>
        </r>
        <r>
          <rPr>
            <b/>
            <sz val="8.5"/>
            <color indexed="48"/>
            <rFont val="Calibri"/>
            <family val="2"/>
          </rPr>
          <t xml:space="preserve">LF </t>
        </r>
        <r>
          <rPr>
            <b/>
            <sz val="8.5"/>
            <color indexed="8"/>
            <rFont val="Calibri"/>
            <family val="2"/>
          </rPr>
          <t>» 97.8%] - [</t>
        </r>
        <r>
          <rPr>
            <b/>
            <sz val="8.5"/>
            <color indexed="48"/>
            <rFont val="Calibri"/>
            <family val="2"/>
          </rPr>
          <t xml:space="preserve">SOLD </t>
        </r>
        <r>
          <rPr>
            <b/>
            <sz val="8.5"/>
            <color indexed="8"/>
            <rFont val="Calibri"/>
            <family val="2"/>
          </rPr>
          <t>» 175 PAX]_x000D_
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10]_x000D_
_x000D_
[</t>
        </r>
        <r>
          <rPr>
            <b/>
            <sz val="8.5"/>
            <color indexed="48"/>
            <rFont val="Calibri"/>
            <family val="2"/>
          </rPr>
          <t>LOWESTAVAIL</t>
        </r>
        <r>
          <rPr>
            <b/>
            <sz val="8.5"/>
            <color indexed="8"/>
            <rFont val="Calibri"/>
            <family val="2"/>
          </rPr>
          <t xml:space="preserve"> » L4]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G14 &amp; S58 &amp; W46 &amp; T9 &amp; X18 &amp; U15 &amp; O10 &amp; I5</t>
        </r>
      </text>
    </comment>
    <comment ref="G2" authorId="0" shapeId="0" xr:uid="{19C24A57-EF10-47A6-9FAC-680BCD59915B}">
      <text>
        <r>
          <rPr>
            <b/>
            <sz val="8.5"/>
            <color indexed="8"/>
            <rFont val="Calibri"/>
            <family val="2"/>
          </rPr>
          <t xml:space="preserve">-{ </t>
        </r>
        <r>
          <rPr>
            <b/>
            <sz val="10"/>
            <color indexed="10"/>
            <rFont val="Calibri"/>
            <family val="2"/>
          </rPr>
          <t>SM442</t>
        </r>
        <r>
          <rPr>
            <b/>
            <sz val="8.5"/>
            <color indexed="8"/>
            <rFont val="Calibri"/>
            <family val="2"/>
          </rPr>
          <t xml:space="preserve"> }-_x000D_
_x000D_
[</t>
        </r>
        <r>
          <rPr>
            <b/>
            <sz val="8.5"/>
            <color indexed="48"/>
            <rFont val="Calibri"/>
            <family val="2"/>
          </rPr>
          <t xml:space="preserve">LF </t>
        </r>
        <r>
          <rPr>
            <b/>
            <sz val="8.5"/>
            <color indexed="8"/>
            <rFont val="Calibri"/>
            <family val="2"/>
          </rPr>
          <t>» 97.8%] - [</t>
        </r>
        <r>
          <rPr>
            <b/>
            <sz val="8.5"/>
            <color indexed="48"/>
            <rFont val="Calibri"/>
            <family val="2"/>
          </rPr>
          <t xml:space="preserve">SOLD </t>
        </r>
        <r>
          <rPr>
            <b/>
            <sz val="8.5"/>
            <color indexed="8"/>
            <rFont val="Calibri"/>
            <family val="2"/>
          </rPr>
          <t>» 175 PAX]_x000D_
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10]_x000D_
_x000D_
[</t>
        </r>
        <r>
          <rPr>
            <b/>
            <sz val="8.5"/>
            <color indexed="48"/>
            <rFont val="Calibri"/>
            <family val="2"/>
          </rPr>
          <t>LOWESTAVAIL</t>
        </r>
        <r>
          <rPr>
            <b/>
            <sz val="8.5"/>
            <color indexed="8"/>
            <rFont val="Calibri"/>
            <family val="2"/>
          </rPr>
          <t xml:space="preserve"> » L4]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G14 &amp; S58 &amp; W46 &amp; T9 &amp; X18 &amp; U15 &amp; O10 &amp; I5</t>
        </r>
      </text>
    </comment>
    <comment ref="H2" authorId="0" shapeId="0" xr:uid="{40618D35-F8BB-4A64-82CC-6A3331BEFF71}">
      <text>
        <r>
          <rPr>
            <b/>
            <sz val="8.5"/>
            <color indexed="8"/>
            <rFont val="Calibri"/>
            <family val="2"/>
          </rPr>
          <t xml:space="preserve">-{ </t>
        </r>
        <r>
          <rPr>
            <b/>
            <sz val="10"/>
            <color indexed="10"/>
            <rFont val="Calibri"/>
            <family val="2"/>
          </rPr>
          <t>SM442</t>
        </r>
        <r>
          <rPr>
            <b/>
            <sz val="8.5"/>
            <color indexed="8"/>
            <rFont val="Calibri"/>
            <family val="2"/>
          </rPr>
          <t xml:space="preserve"> }-_x000D_
_x000D_
[</t>
        </r>
        <r>
          <rPr>
            <b/>
            <sz val="8.5"/>
            <color indexed="48"/>
            <rFont val="Calibri"/>
            <family val="2"/>
          </rPr>
          <t xml:space="preserve">LF </t>
        </r>
        <r>
          <rPr>
            <b/>
            <sz val="8.5"/>
            <color indexed="8"/>
            <rFont val="Calibri"/>
            <family val="2"/>
          </rPr>
          <t>» 97.8%] - [</t>
        </r>
        <r>
          <rPr>
            <b/>
            <sz val="8.5"/>
            <color indexed="48"/>
            <rFont val="Calibri"/>
            <family val="2"/>
          </rPr>
          <t xml:space="preserve">SOLD </t>
        </r>
        <r>
          <rPr>
            <b/>
            <sz val="8.5"/>
            <color indexed="8"/>
            <rFont val="Calibri"/>
            <family val="2"/>
          </rPr>
          <t>» 175 PAX]_x000D_
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10]_x000D_
_x000D_
[</t>
        </r>
        <r>
          <rPr>
            <b/>
            <sz val="8.5"/>
            <color indexed="48"/>
            <rFont val="Calibri"/>
            <family val="2"/>
          </rPr>
          <t>LOWESTAVAIL</t>
        </r>
        <r>
          <rPr>
            <b/>
            <sz val="8.5"/>
            <color indexed="8"/>
            <rFont val="Calibri"/>
            <family val="2"/>
          </rPr>
          <t xml:space="preserve"> » L4]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G14 &amp; S58 &amp; W46 &amp; T9 &amp; X18 &amp; U15 &amp; O10 &amp; I5</t>
        </r>
      </text>
    </comment>
    <comment ref="A3" authorId="0" shapeId="0" xr:uid="{9A9BBB57-ABE8-41B9-95F4-B7B5746A92E7}">
      <text>
        <r>
          <rPr>
            <b/>
            <sz val="8.5"/>
            <color indexed="8"/>
            <rFont val="Calibri"/>
            <family val="2"/>
          </rPr>
          <t xml:space="preserve">-{ </t>
        </r>
        <r>
          <rPr>
            <b/>
            <sz val="10"/>
            <color indexed="10"/>
            <rFont val="Calibri"/>
            <family val="2"/>
          </rPr>
          <t>SM442</t>
        </r>
        <r>
          <rPr>
            <b/>
            <sz val="8.5"/>
            <color indexed="8"/>
            <rFont val="Calibri"/>
            <family val="2"/>
          </rPr>
          <t xml:space="preserve"> }-_x000D_
_x000D_
[</t>
        </r>
        <r>
          <rPr>
            <b/>
            <sz val="8.5"/>
            <color indexed="48"/>
            <rFont val="Calibri"/>
            <family val="2"/>
          </rPr>
          <t xml:space="preserve">LF </t>
        </r>
        <r>
          <rPr>
            <b/>
            <sz val="8.5"/>
            <color indexed="8"/>
            <rFont val="Calibri"/>
            <family val="2"/>
          </rPr>
          <t>» 93.8%] - [</t>
        </r>
        <r>
          <rPr>
            <b/>
            <sz val="8.5"/>
            <color indexed="48"/>
            <rFont val="Calibri"/>
            <family val="2"/>
          </rPr>
          <t xml:space="preserve">SOLD </t>
        </r>
        <r>
          <rPr>
            <b/>
            <sz val="8.5"/>
            <color indexed="8"/>
            <rFont val="Calibri"/>
            <family val="2"/>
          </rPr>
          <t>» 168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G5 &amp; S20 &amp; W33 &amp; T9 &amp; X10 &amp; U18 &amp; P73</t>
        </r>
      </text>
    </comment>
    <comment ref="B3" authorId="0" shapeId="0" xr:uid="{F48CCF55-5FE7-4169-ADD9-5618FBF5C38D}">
      <text>
        <r>
          <rPr>
            <b/>
            <sz val="8.5"/>
            <color indexed="8"/>
            <rFont val="Calibri"/>
            <family val="2"/>
          </rPr>
          <t xml:space="preserve">-{ </t>
        </r>
        <r>
          <rPr>
            <b/>
            <sz val="10"/>
            <color indexed="10"/>
            <rFont val="Calibri"/>
            <family val="2"/>
          </rPr>
          <t>SM442</t>
        </r>
        <r>
          <rPr>
            <b/>
            <sz val="8.5"/>
            <color indexed="8"/>
            <rFont val="Calibri"/>
            <family val="2"/>
          </rPr>
          <t xml:space="preserve"> }-_x000D_
_x000D_
[</t>
        </r>
        <r>
          <rPr>
            <b/>
            <sz val="8.5"/>
            <color indexed="48"/>
            <rFont val="Calibri"/>
            <family val="2"/>
          </rPr>
          <t xml:space="preserve">LF </t>
        </r>
        <r>
          <rPr>
            <b/>
            <sz val="8.5"/>
            <color indexed="8"/>
            <rFont val="Calibri"/>
            <family val="2"/>
          </rPr>
          <t>» 93.8%] - [</t>
        </r>
        <r>
          <rPr>
            <b/>
            <sz val="8.5"/>
            <color indexed="48"/>
            <rFont val="Calibri"/>
            <family val="2"/>
          </rPr>
          <t xml:space="preserve">SOLD </t>
        </r>
        <r>
          <rPr>
            <b/>
            <sz val="8.5"/>
            <color indexed="8"/>
            <rFont val="Calibri"/>
            <family val="2"/>
          </rPr>
          <t>» 168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G5 &amp; S20 &amp; W33 &amp; T9 &amp; X10 &amp; U18 &amp; P73</t>
        </r>
      </text>
    </comment>
    <comment ref="C3" authorId="0" shapeId="0" xr:uid="{CD1721A7-49EC-47DB-A9FB-F20E543F2FE7}">
      <text>
        <r>
          <rPr>
            <b/>
            <sz val="8.5"/>
            <color indexed="8"/>
            <rFont val="Calibri"/>
            <family val="2"/>
          </rPr>
          <t xml:space="preserve">-{ </t>
        </r>
        <r>
          <rPr>
            <b/>
            <sz val="10"/>
            <color indexed="10"/>
            <rFont val="Calibri"/>
            <family val="2"/>
          </rPr>
          <t>SM442</t>
        </r>
        <r>
          <rPr>
            <b/>
            <sz val="8.5"/>
            <color indexed="8"/>
            <rFont val="Calibri"/>
            <family val="2"/>
          </rPr>
          <t xml:space="preserve"> }-_x000D_
_x000D_
[</t>
        </r>
        <r>
          <rPr>
            <b/>
            <sz val="8.5"/>
            <color indexed="48"/>
            <rFont val="Calibri"/>
            <family val="2"/>
          </rPr>
          <t xml:space="preserve">LF </t>
        </r>
        <r>
          <rPr>
            <b/>
            <sz val="8.5"/>
            <color indexed="8"/>
            <rFont val="Calibri"/>
            <family val="2"/>
          </rPr>
          <t>» 93.8%] - [</t>
        </r>
        <r>
          <rPr>
            <b/>
            <sz val="8.5"/>
            <color indexed="48"/>
            <rFont val="Calibri"/>
            <family val="2"/>
          </rPr>
          <t xml:space="preserve">SOLD </t>
        </r>
        <r>
          <rPr>
            <b/>
            <sz val="8.5"/>
            <color indexed="8"/>
            <rFont val="Calibri"/>
            <family val="2"/>
          </rPr>
          <t>» 168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G5 &amp; S20 &amp; W33 &amp; T9 &amp; X10 &amp; U18 &amp; P73</t>
        </r>
      </text>
    </comment>
    <comment ref="D3" authorId="0" shapeId="0" xr:uid="{7C48D1B8-3CA2-4FFD-AD97-BF1B16681738}">
      <text>
        <r>
          <rPr>
            <b/>
            <sz val="8.5"/>
            <color indexed="8"/>
            <rFont val="Calibri"/>
            <family val="2"/>
          </rPr>
          <t xml:space="preserve">-{ </t>
        </r>
        <r>
          <rPr>
            <b/>
            <sz val="10"/>
            <color indexed="10"/>
            <rFont val="Calibri"/>
            <family val="2"/>
          </rPr>
          <t>SM442</t>
        </r>
        <r>
          <rPr>
            <b/>
            <sz val="8.5"/>
            <color indexed="8"/>
            <rFont val="Calibri"/>
            <family val="2"/>
          </rPr>
          <t xml:space="preserve"> }-_x000D_
_x000D_
[</t>
        </r>
        <r>
          <rPr>
            <b/>
            <sz val="8.5"/>
            <color indexed="48"/>
            <rFont val="Calibri"/>
            <family val="2"/>
          </rPr>
          <t xml:space="preserve">LF </t>
        </r>
        <r>
          <rPr>
            <b/>
            <sz val="8.5"/>
            <color indexed="8"/>
            <rFont val="Calibri"/>
            <family val="2"/>
          </rPr>
          <t>» 93.8%] - [</t>
        </r>
        <r>
          <rPr>
            <b/>
            <sz val="8.5"/>
            <color indexed="48"/>
            <rFont val="Calibri"/>
            <family val="2"/>
          </rPr>
          <t xml:space="preserve">SOLD </t>
        </r>
        <r>
          <rPr>
            <b/>
            <sz val="8.5"/>
            <color indexed="8"/>
            <rFont val="Calibri"/>
            <family val="2"/>
          </rPr>
          <t>» 168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G5 &amp; S20 &amp; W33 &amp; T9 &amp; X10 &amp; U18 &amp; P73</t>
        </r>
      </text>
    </comment>
    <comment ref="E3" authorId="0" shapeId="0" xr:uid="{B28F84F6-AE23-4CE6-B4B5-CDD0A28DC92E}">
      <text>
        <r>
          <rPr>
            <b/>
            <sz val="8.5"/>
            <color indexed="8"/>
            <rFont val="Calibri"/>
            <family val="2"/>
          </rPr>
          <t xml:space="preserve">-{ </t>
        </r>
        <r>
          <rPr>
            <b/>
            <sz val="10"/>
            <color indexed="10"/>
            <rFont val="Calibri"/>
            <family val="2"/>
          </rPr>
          <t>SM442</t>
        </r>
        <r>
          <rPr>
            <b/>
            <sz val="8.5"/>
            <color indexed="8"/>
            <rFont val="Calibri"/>
            <family val="2"/>
          </rPr>
          <t xml:space="preserve"> }-_x000D_
_x000D_
[</t>
        </r>
        <r>
          <rPr>
            <b/>
            <sz val="8.5"/>
            <color indexed="48"/>
            <rFont val="Calibri"/>
            <family val="2"/>
          </rPr>
          <t xml:space="preserve">LF </t>
        </r>
        <r>
          <rPr>
            <b/>
            <sz val="8.5"/>
            <color indexed="8"/>
            <rFont val="Calibri"/>
            <family val="2"/>
          </rPr>
          <t>» 93.8%] - [</t>
        </r>
        <r>
          <rPr>
            <b/>
            <sz val="8.5"/>
            <color indexed="48"/>
            <rFont val="Calibri"/>
            <family val="2"/>
          </rPr>
          <t xml:space="preserve">SOLD </t>
        </r>
        <r>
          <rPr>
            <b/>
            <sz val="8.5"/>
            <color indexed="8"/>
            <rFont val="Calibri"/>
            <family val="2"/>
          </rPr>
          <t>» 168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G5 &amp; S20 &amp; W33 &amp; T9 &amp; X10 &amp; U18 &amp; P73</t>
        </r>
      </text>
    </comment>
    <comment ref="F3" authorId="0" shapeId="0" xr:uid="{49299FC2-343F-4553-8B8F-13D8F4F56FD7}">
      <text>
        <r>
          <rPr>
            <b/>
            <sz val="8.5"/>
            <color indexed="8"/>
            <rFont val="Calibri"/>
            <family val="2"/>
          </rPr>
          <t xml:space="preserve">-{ </t>
        </r>
        <r>
          <rPr>
            <b/>
            <sz val="10"/>
            <color indexed="10"/>
            <rFont val="Calibri"/>
            <family val="2"/>
          </rPr>
          <t>SM442</t>
        </r>
        <r>
          <rPr>
            <b/>
            <sz val="8.5"/>
            <color indexed="8"/>
            <rFont val="Calibri"/>
            <family val="2"/>
          </rPr>
          <t xml:space="preserve"> }-_x000D_
_x000D_
[</t>
        </r>
        <r>
          <rPr>
            <b/>
            <sz val="8.5"/>
            <color indexed="48"/>
            <rFont val="Calibri"/>
            <family val="2"/>
          </rPr>
          <t xml:space="preserve">LF </t>
        </r>
        <r>
          <rPr>
            <b/>
            <sz val="8.5"/>
            <color indexed="8"/>
            <rFont val="Calibri"/>
            <family val="2"/>
          </rPr>
          <t>» 93.8%] - [</t>
        </r>
        <r>
          <rPr>
            <b/>
            <sz val="8.5"/>
            <color indexed="48"/>
            <rFont val="Calibri"/>
            <family val="2"/>
          </rPr>
          <t xml:space="preserve">SOLD </t>
        </r>
        <r>
          <rPr>
            <b/>
            <sz val="8.5"/>
            <color indexed="8"/>
            <rFont val="Calibri"/>
            <family val="2"/>
          </rPr>
          <t>» 168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G5 &amp; S20 &amp; W33 &amp; T9 &amp; X10 &amp; U18 &amp; P73</t>
        </r>
      </text>
    </comment>
    <comment ref="G3" authorId="0" shapeId="0" xr:uid="{9B03B8EB-B200-4A6C-9EDB-F2A5E3F93F5D}">
      <text>
        <r>
          <rPr>
            <b/>
            <sz val="8.5"/>
            <color indexed="8"/>
            <rFont val="Calibri"/>
            <family val="2"/>
          </rPr>
          <t xml:space="preserve">-{ </t>
        </r>
        <r>
          <rPr>
            <b/>
            <sz val="10"/>
            <color indexed="10"/>
            <rFont val="Calibri"/>
            <family val="2"/>
          </rPr>
          <t>SM442</t>
        </r>
        <r>
          <rPr>
            <b/>
            <sz val="8.5"/>
            <color indexed="8"/>
            <rFont val="Calibri"/>
            <family val="2"/>
          </rPr>
          <t xml:space="preserve"> }-_x000D_
_x000D_
[</t>
        </r>
        <r>
          <rPr>
            <b/>
            <sz val="8.5"/>
            <color indexed="48"/>
            <rFont val="Calibri"/>
            <family val="2"/>
          </rPr>
          <t xml:space="preserve">LF </t>
        </r>
        <r>
          <rPr>
            <b/>
            <sz val="8.5"/>
            <color indexed="8"/>
            <rFont val="Calibri"/>
            <family val="2"/>
          </rPr>
          <t>» 93.8%] - [</t>
        </r>
        <r>
          <rPr>
            <b/>
            <sz val="8.5"/>
            <color indexed="48"/>
            <rFont val="Calibri"/>
            <family val="2"/>
          </rPr>
          <t xml:space="preserve">SOLD </t>
        </r>
        <r>
          <rPr>
            <b/>
            <sz val="8.5"/>
            <color indexed="8"/>
            <rFont val="Calibri"/>
            <family val="2"/>
          </rPr>
          <t>» 168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G5 &amp; S20 &amp; W33 &amp; T9 &amp; X10 &amp; U18 &amp; P73</t>
        </r>
      </text>
    </comment>
    <comment ref="H3" authorId="0" shapeId="0" xr:uid="{56B1A2C8-F297-4ED9-AB84-126B5B570EE0}">
      <text>
        <r>
          <rPr>
            <b/>
            <sz val="8.5"/>
            <color indexed="8"/>
            <rFont val="Calibri"/>
            <family val="2"/>
          </rPr>
          <t xml:space="preserve">-{ </t>
        </r>
        <r>
          <rPr>
            <b/>
            <sz val="10"/>
            <color indexed="10"/>
            <rFont val="Calibri"/>
            <family val="2"/>
          </rPr>
          <t>SM442</t>
        </r>
        <r>
          <rPr>
            <b/>
            <sz val="8.5"/>
            <color indexed="8"/>
            <rFont val="Calibri"/>
            <family val="2"/>
          </rPr>
          <t xml:space="preserve"> }-_x000D_
_x000D_
[</t>
        </r>
        <r>
          <rPr>
            <b/>
            <sz val="8.5"/>
            <color indexed="48"/>
            <rFont val="Calibri"/>
            <family val="2"/>
          </rPr>
          <t xml:space="preserve">LF </t>
        </r>
        <r>
          <rPr>
            <b/>
            <sz val="8.5"/>
            <color indexed="8"/>
            <rFont val="Calibri"/>
            <family val="2"/>
          </rPr>
          <t>» 93.8%] - [</t>
        </r>
        <r>
          <rPr>
            <b/>
            <sz val="8.5"/>
            <color indexed="48"/>
            <rFont val="Calibri"/>
            <family val="2"/>
          </rPr>
          <t xml:space="preserve">SOLD </t>
        </r>
        <r>
          <rPr>
            <b/>
            <sz val="8.5"/>
            <color indexed="8"/>
            <rFont val="Calibri"/>
            <family val="2"/>
          </rPr>
          <t>» 168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G5 &amp; S20 &amp; W33 &amp; T9 &amp; X10 &amp; U18 &amp; P73</t>
        </r>
      </text>
    </comment>
    <comment ref="A4" authorId="0" shapeId="0" xr:uid="{C825616D-C861-4130-98D5-C88B0932ADCC}">
      <text>
        <r>
          <rPr>
            <b/>
            <sz val="8.5"/>
            <color indexed="8"/>
            <rFont val="Calibri"/>
            <family val="2"/>
          </rPr>
          <t xml:space="preserve">-{ </t>
        </r>
        <r>
          <rPr>
            <b/>
            <sz val="10"/>
            <color indexed="10"/>
            <rFont val="Calibri"/>
            <family val="2"/>
          </rPr>
          <t>SM442</t>
        </r>
        <r>
          <rPr>
            <b/>
            <sz val="8.5"/>
            <color indexed="8"/>
            <rFont val="Calibri"/>
            <family val="2"/>
          </rPr>
          <t xml:space="preserve"> }-_x000D_
_x000D_
[</t>
        </r>
        <r>
          <rPr>
            <b/>
            <sz val="8.5"/>
            <color indexed="48"/>
            <rFont val="Calibri"/>
            <family val="2"/>
          </rPr>
          <t xml:space="preserve">LF </t>
        </r>
        <r>
          <rPr>
            <b/>
            <sz val="8.5"/>
            <color indexed="8"/>
            <rFont val="Calibri"/>
            <family val="2"/>
          </rPr>
          <t>» 92.2%] - [</t>
        </r>
        <r>
          <rPr>
            <b/>
            <sz val="8.5"/>
            <color indexed="48"/>
            <rFont val="Calibri"/>
            <family val="2"/>
          </rPr>
          <t xml:space="preserve">SOLD </t>
        </r>
        <r>
          <rPr>
            <b/>
            <sz val="8.5"/>
            <color indexed="8"/>
            <rFont val="Calibri"/>
            <family val="2"/>
          </rPr>
          <t>» 165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W2]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W15 &amp; T18 &amp; X4 &amp; U15 &amp; E40 &amp; P73</t>
        </r>
      </text>
    </comment>
    <comment ref="B4" authorId="0" shapeId="0" xr:uid="{EEB90784-9A10-4CD9-8CFE-3999C6820889}">
      <text>
        <r>
          <rPr>
            <b/>
            <sz val="8.5"/>
            <color indexed="8"/>
            <rFont val="Calibri"/>
            <family val="2"/>
          </rPr>
          <t xml:space="preserve">-{ </t>
        </r>
        <r>
          <rPr>
            <b/>
            <sz val="10"/>
            <color indexed="10"/>
            <rFont val="Calibri"/>
            <family val="2"/>
          </rPr>
          <t>SM442</t>
        </r>
        <r>
          <rPr>
            <b/>
            <sz val="8.5"/>
            <color indexed="8"/>
            <rFont val="Calibri"/>
            <family val="2"/>
          </rPr>
          <t xml:space="preserve"> }-_x000D_
_x000D_
[</t>
        </r>
        <r>
          <rPr>
            <b/>
            <sz val="8.5"/>
            <color indexed="48"/>
            <rFont val="Calibri"/>
            <family val="2"/>
          </rPr>
          <t xml:space="preserve">LF </t>
        </r>
        <r>
          <rPr>
            <b/>
            <sz val="8.5"/>
            <color indexed="8"/>
            <rFont val="Calibri"/>
            <family val="2"/>
          </rPr>
          <t>» 92.2%] - [</t>
        </r>
        <r>
          <rPr>
            <b/>
            <sz val="8.5"/>
            <color indexed="48"/>
            <rFont val="Calibri"/>
            <family val="2"/>
          </rPr>
          <t xml:space="preserve">SOLD </t>
        </r>
        <r>
          <rPr>
            <b/>
            <sz val="8.5"/>
            <color indexed="8"/>
            <rFont val="Calibri"/>
            <family val="2"/>
          </rPr>
          <t>» 165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W2]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W15 &amp; T18 &amp; X4 &amp; U15 &amp; E40 &amp; P73</t>
        </r>
      </text>
    </comment>
    <comment ref="C4" authorId="0" shapeId="0" xr:uid="{21224C91-FCFC-4655-930E-7CE9DE2F963A}">
      <text>
        <r>
          <rPr>
            <b/>
            <sz val="8.5"/>
            <color indexed="8"/>
            <rFont val="Calibri"/>
            <family val="2"/>
          </rPr>
          <t xml:space="preserve">-{ </t>
        </r>
        <r>
          <rPr>
            <b/>
            <sz val="10"/>
            <color indexed="10"/>
            <rFont val="Calibri"/>
            <family val="2"/>
          </rPr>
          <t>SM442</t>
        </r>
        <r>
          <rPr>
            <b/>
            <sz val="8.5"/>
            <color indexed="8"/>
            <rFont val="Calibri"/>
            <family val="2"/>
          </rPr>
          <t xml:space="preserve"> }-_x000D_
_x000D_
[</t>
        </r>
        <r>
          <rPr>
            <b/>
            <sz val="8.5"/>
            <color indexed="48"/>
            <rFont val="Calibri"/>
            <family val="2"/>
          </rPr>
          <t xml:space="preserve">LF </t>
        </r>
        <r>
          <rPr>
            <b/>
            <sz val="8.5"/>
            <color indexed="8"/>
            <rFont val="Calibri"/>
            <family val="2"/>
          </rPr>
          <t>» 92.2%] - [</t>
        </r>
        <r>
          <rPr>
            <b/>
            <sz val="8.5"/>
            <color indexed="48"/>
            <rFont val="Calibri"/>
            <family val="2"/>
          </rPr>
          <t xml:space="preserve">SOLD </t>
        </r>
        <r>
          <rPr>
            <b/>
            <sz val="8.5"/>
            <color indexed="8"/>
            <rFont val="Calibri"/>
            <family val="2"/>
          </rPr>
          <t>» 165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W2]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W15 &amp; T18 &amp; X4 &amp; U15 &amp; E40 &amp; P73</t>
        </r>
      </text>
    </comment>
    <comment ref="D4" authorId="0" shapeId="0" xr:uid="{C20F6F80-8D60-4EE2-8595-8CF59DD00703}">
      <text>
        <r>
          <rPr>
            <b/>
            <sz val="8.5"/>
            <color indexed="8"/>
            <rFont val="Calibri"/>
            <family val="2"/>
          </rPr>
          <t xml:space="preserve">-{ </t>
        </r>
        <r>
          <rPr>
            <b/>
            <sz val="10"/>
            <color indexed="10"/>
            <rFont val="Calibri"/>
            <family val="2"/>
          </rPr>
          <t>SM442</t>
        </r>
        <r>
          <rPr>
            <b/>
            <sz val="8.5"/>
            <color indexed="8"/>
            <rFont val="Calibri"/>
            <family val="2"/>
          </rPr>
          <t xml:space="preserve"> }-_x000D_
_x000D_
[</t>
        </r>
        <r>
          <rPr>
            <b/>
            <sz val="8.5"/>
            <color indexed="48"/>
            <rFont val="Calibri"/>
            <family val="2"/>
          </rPr>
          <t xml:space="preserve">LF </t>
        </r>
        <r>
          <rPr>
            <b/>
            <sz val="8.5"/>
            <color indexed="8"/>
            <rFont val="Calibri"/>
            <family val="2"/>
          </rPr>
          <t>» 92.2%] - [</t>
        </r>
        <r>
          <rPr>
            <b/>
            <sz val="8.5"/>
            <color indexed="48"/>
            <rFont val="Calibri"/>
            <family val="2"/>
          </rPr>
          <t xml:space="preserve">SOLD </t>
        </r>
        <r>
          <rPr>
            <b/>
            <sz val="8.5"/>
            <color indexed="8"/>
            <rFont val="Calibri"/>
            <family val="2"/>
          </rPr>
          <t>» 165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W2]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W15 &amp; T18 &amp; X4 &amp; U15 &amp; E40 &amp; P73</t>
        </r>
      </text>
    </comment>
    <comment ref="E4" authorId="0" shapeId="0" xr:uid="{1FE6F928-1548-4179-85FB-2EACAF771AAA}">
      <text>
        <r>
          <rPr>
            <b/>
            <sz val="8.5"/>
            <color indexed="8"/>
            <rFont val="Calibri"/>
            <family val="2"/>
          </rPr>
          <t xml:space="preserve">-{ </t>
        </r>
        <r>
          <rPr>
            <b/>
            <sz val="10"/>
            <color indexed="10"/>
            <rFont val="Calibri"/>
            <family val="2"/>
          </rPr>
          <t>SM442</t>
        </r>
        <r>
          <rPr>
            <b/>
            <sz val="8.5"/>
            <color indexed="8"/>
            <rFont val="Calibri"/>
            <family val="2"/>
          </rPr>
          <t xml:space="preserve"> }-_x000D_
_x000D_
[</t>
        </r>
        <r>
          <rPr>
            <b/>
            <sz val="8.5"/>
            <color indexed="48"/>
            <rFont val="Calibri"/>
            <family val="2"/>
          </rPr>
          <t xml:space="preserve">LF </t>
        </r>
        <r>
          <rPr>
            <b/>
            <sz val="8.5"/>
            <color indexed="8"/>
            <rFont val="Calibri"/>
            <family val="2"/>
          </rPr>
          <t>» 92.2%] - [</t>
        </r>
        <r>
          <rPr>
            <b/>
            <sz val="8.5"/>
            <color indexed="48"/>
            <rFont val="Calibri"/>
            <family val="2"/>
          </rPr>
          <t xml:space="preserve">SOLD </t>
        </r>
        <r>
          <rPr>
            <b/>
            <sz val="8.5"/>
            <color indexed="8"/>
            <rFont val="Calibri"/>
            <family val="2"/>
          </rPr>
          <t>» 165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W2]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W15 &amp; T18 &amp; X4 &amp; U15 &amp; E40 &amp; P73</t>
        </r>
      </text>
    </comment>
    <comment ref="F4" authorId="0" shapeId="0" xr:uid="{6323AD2E-BD86-457F-87BA-0B7F48F876E9}">
      <text>
        <r>
          <rPr>
            <b/>
            <sz val="8.5"/>
            <color indexed="8"/>
            <rFont val="Calibri"/>
            <family val="2"/>
          </rPr>
          <t xml:space="preserve">-{ </t>
        </r>
        <r>
          <rPr>
            <b/>
            <sz val="10"/>
            <color indexed="10"/>
            <rFont val="Calibri"/>
            <family val="2"/>
          </rPr>
          <t>SM442</t>
        </r>
        <r>
          <rPr>
            <b/>
            <sz val="8.5"/>
            <color indexed="8"/>
            <rFont val="Calibri"/>
            <family val="2"/>
          </rPr>
          <t xml:space="preserve"> }-_x000D_
_x000D_
[</t>
        </r>
        <r>
          <rPr>
            <b/>
            <sz val="8.5"/>
            <color indexed="48"/>
            <rFont val="Calibri"/>
            <family val="2"/>
          </rPr>
          <t xml:space="preserve">LF </t>
        </r>
        <r>
          <rPr>
            <b/>
            <sz val="8.5"/>
            <color indexed="8"/>
            <rFont val="Calibri"/>
            <family val="2"/>
          </rPr>
          <t>» 92.2%] - [</t>
        </r>
        <r>
          <rPr>
            <b/>
            <sz val="8.5"/>
            <color indexed="48"/>
            <rFont val="Calibri"/>
            <family val="2"/>
          </rPr>
          <t xml:space="preserve">SOLD </t>
        </r>
        <r>
          <rPr>
            <b/>
            <sz val="8.5"/>
            <color indexed="8"/>
            <rFont val="Calibri"/>
            <family val="2"/>
          </rPr>
          <t>» 165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W2]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W15 &amp; T18 &amp; X4 &amp; U15 &amp; E40 &amp; P73</t>
        </r>
      </text>
    </comment>
    <comment ref="G4" authorId="0" shapeId="0" xr:uid="{AB5A4038-B003-4002-9EE5-BEF38E8C1123}">
      <text>
        <r>
          <rPr>
            <b/>
            <sz val="8.5"/>
            <color indexed="8"/>
            <rFont val="Calibri"/>
            <family val="2"/>
          </rPr>
          <t xml:space="preserve">-{ </t>
        </r>
        <r>
          <rPr>
            <b/>
            <sz val="10"/>
            <color indexed="10"/>
            <rFont val="Calibri"/>
            <family val="2"/>
          </rPr>
          <t>SM442</t>
        </r>
        <r>
          <rPr>
            <b/>
            <sz val="8.5"/>
            <color indexed="8"/>
            <rFont val="Calibri"/>
            <family val="2"/>
          </rPr>
          <t xml:space="preserve"> }-_x000D_
_x000D_
[</t>
        </r>
        <r>
          <rPr>
            <b/>
            <sz val="8.5"/>
            <color indexed="48"/>
            <rFont val="Calibri"/>
            <family val="2"/>
          </rPr>
          <t xml:space="preserve">LF </t>
        </r>
        <r>
          <rPr>
            <b/>
            <sz val="8.5"/>
            <color indexed="8"/>
            <rFont val="Calibri"/>
            <family val="2"/>
          </rPr>
          <t>» 92.2%] - [</t>
        </r>
        <r>
          <rPr>
            <b/>
            <sz val="8.5"/>
            <color indexed="48"/>
            <rFont val="Calibri"/>
            <family val="2"/>
          </rPr>
          <t xml:space="preserve">SOLD </t>
        </r>
        <r>
          <rPr>
            <b/>
            <sz val="8.5"/>
            <color indexed="8"/>
            <rFont val="Calibri"/>
            <family val="2"/>
          </rPr>
          <t>» 165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W2]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W15 &amp; T18 &amp; X4 &amp; U15 &amp; E40 &amp; P73</t>
        </r>
      </text>
    </comment>
    <comment ref="H4" authorId="0" shapeId="0" xr:uid="{6F3FBFCC-45C3-4B88-9E98-01871CEEAE2A}">
      <text>
        <r>
          <rPr>
            <b/>
            <sz val="8.5"/>
            <color indexed="8"/>
            <rFont val="Calibri"/>
            <family val="2"/>
          </rPr>
          <t xml:space="preserve">-{ </t>
        </r>
        <r>
          <rPr>
            <b/>
            <sz val="10"/>
            <color indexed="10"/>
            <rFont val="Calibri"/>
            <family val="2"/>
          </rPr>
          <t>SM442</t>
        </r>
        <r>
          <rPr>
            <b/>
            <sz val="8.5"/>
            <color indexed="8"/>
            <rFont val="Calibri"/>
            <family val="2"/>
          </rPr>
          <t xml:space="preserve"> }-_x000D_
_x000D_
[</t>
        </r>
        <r>
          <rPr>
            <b/>
            <sz val="8.5"/>
            <color indexed="48"/>
            <rFont val="Calibri"/>
            <family val="2"/>
          </rPr>
          <t xml:space="preserve">LF </t>
        </r>
        <r>
          <rPr>
            <b/>
            <sz val="8.5"/>
            <color indexed="8"/>
            <rFont val="Calibri"/>
            <family val="2"/>
          </rPr>
          <t>» 92.2%] - [</t>
        </r>
        <r>
          <rPr>
            <b/>
            <sz val="8.5"/>
            <color indexed="48"/>
            <rFont val="Calibri"/>
            <family val="2"/>
          </rPr>
          <t xml:space="preserve">SOLD </t>
        </r>
        <r>
          <rPr>
            <b/>
            <sz val="8.5"/>
            <color indexed="8"/>
            <rFont val="Calibri"/>
            <family val="2"/>
          </rPr>
          <t>» 165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W2]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W15 &amp; T18 &amp; X4 &amp; U15 &amp; E40 &amp; P73</t>
        </r>
      </text>
    </comment>
  </commentList>
</comments>
</file>

<file path=xl/comments30.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2" authorId="0" shapeId="0" xr:uid="{7F7960A7-869C-49BF-A754-BC72EA7301BB}">
      <text>
        <r>
          <rPr>
            <b/>
            <sz val="8.5"/>
            <color indexed="8"/>
            <rFont val="Calibri"/>
            <family val="2"/>
          </rPr>
          <t xml:space="preserve">-{ </t>
        </r>
        <r>
          <rPr>
            <b/>
            <sz val="10"/>
            <color indexed="10"/>
            <rFont val="Calibri"/>
            <family val="2"/>
          </rPr>
          <t>SM442</t>
        </r>
        <r>
          <rPr>
            <b/>
            <sz val="8.5"/>
            <color indexed="8"/>
            <rFont val="Calibri"/>
            <family val="2"/>
          </rPr>
          <t xml:space="preserve"> }-_x000D_
_x000D_
[</t>
        </r>
        <r>
          <rPr>
            <b/>
            <sz val="8.5"/>
            <color indexed="48"/>
            <rFont val="Calibri"/>
            <family val="2"/>
          </rPr>
          <t xml:space="preserve">LF </t>
        </r>
        <r>
          <rPr>
            <b/>
            <sz val="8.5"/>
            <color indexed="8"/>
            <rFont val="Calibri"/>
            <family val="2"/>
          </rPr>
          <t>» 97.8%] - [</t>
        </r>
        <r>
          <rPr>
            <b/>
            <sz val="8.5"/>
            <color indexed="48"/>
            <rFont val="Calibri"/>
            <family val="2"/>
          </rPr>
          <t xml:space="preserve">SOLD </t>
        </r>
        <r>
          <rPr>
            <b/>
            <sz val="8.5"/>
            <color indexed="8"/>
            <rFont val="Calibri"/>
            <family val="2"/>
          </rPr>
          <t>» 175 PAX]_x000D_
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10]_x000D_
_x000D_
[</t>
        </r>
        <r>
          <rPr>
            <b/>
            <sz val="8.5"/>
            <color indexed="48"/>
            <rFont val="Calibri"/>
            <family val="2"/>
          </rPr>
          <t>LOWESTAVAIL</t>
        </r>
        <r>
          <rPr>
            <b/>
            <sz val="8.5"/>
            <color indexed="8"/>
            <rFont val="Calibri"/>
            <family val="2"/>
          </rPr>
          <t xml:space="preserve"> » L4]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G14 &amp; S58 &amp; W46 &amp; T9 &amp; X18 &amp; U15 &amp; O10 &amp; I5</t>
        </r>
      </text>
    </comment>
    <comment ref="B2" authorId="0" shapeId="0" xr:uid="{2CF64DB8-4CC7-42E8-A9B5-DD97836465E7}">
      <text>
        <r>
          <rPr>
            <b/>
            <sz val="8.5"/>
            <color indexed="8"/>
            <rFont val="Calibri"/>
            <family val="2"/>
          </rPr>
          <t xml:space="preserve">-{ </t>
        </r>
        <r>
          <rPr>
            <b/>
            <sz val="10"/>
            <color indexed="10"/>
            <rFont val="Calibri"/>
            <family val="2"/>
          </rPr>
          <t>SM442</t>
        </r>
        <r>
          <rPr>
            <b/>
            <sz val="8.5"/>
            <color indexed="8"/>
            <rFont val="Calibri"/>
            <family val="2"/>
          </rPr>
          <t xml:space="preserve"> }-_x000D_
_x000D_
[</t>
        </r>
        <r>
          <rPr>
            <b/>
            <sz val="8.5"/>
            <color indexed="48"/>
            <rFont val="Calibri"/>
            <family val="2"/>
          </rPr>
          <t xml:space="preserve">LF </t>
        </r>
        <r>
          <rPr>
            <b/>
            <sz val="8.5"/>
            <color indexed="8"/>
            <rFont val="Calibri"/>
            <family val="2"/>
          </rPr>
          <t>» 97.8%] - [</t>
        </r>
        <r>
          <rPr>
            <b/>
            <sz val="8.5"/>
            <color indexed="48"/>
            <rFont val="Calibri"/>
            <family val="2"/>
          </rPr>
          <t xml:space="preserve">SOLD </t>
        </r>
        <r>
          <rPr>
            <b/>
            <sz val="8.5"/>
            <color indexed="8"/>
            <rFont val="Calibri"/>
            <family val="2"/>
          </rPr>
          <t>» 175 PAX]_x000D_
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10]_x000D_
_x000D_
[</t>
        </r>
        <r>
          <rPr>
            <b/>
            <sz val="8.5"/>
            <color indexed="48"/>
            <rFont val="Calibri"/>
            <family val="2"/>
          </rPr>
          <t>LOWESTAVAIL</t>
        </r>
        <r>
          <rPr>
            <b/>
            <sz val="8.5"/>
            <color indexed="8"/>
            <rFont val="Calibri"/>
            <family val="2"/>
          </rPr>
          <t xml:space="preserve"> » L4]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G14 &amp; S58 &amp; W46 &amp; T9 &amp; X18 &amp; U15 &amp; O10 &amp; I5</t>
        </r>
      </text>
    </comment>
    <comment ref="C2" authorId="0" shapeId="0" xr:uid="{521B06C3-B299-4BC8-9DCB-70460825D5C8}">
      <text>
        <r>
          <rPr>
            <b/>
            <sz val="8.5"/>
            <color indexed="8"/>
            <rFont val="Calibri"/>
            <family val="2"/>
          </rPr>
          <t xml:space="preserve">-{ </t>
        </r>
        <r>
          <rPr>
            <b/>
            <sz val="10"/>
            <color indexed="10"/>
            <rFont val="Calibri"/>
            <family val="2"/>
          </rPr>
          <t>SM442</t>
        </r>
        <r>
          <rPr>
            <b/>
            <sz val="8.5"/>
            <color indexed="8"/>
            <rFont val="Calibri"/>
            <family val="2"/>
          </rPr>
          <t xml:space="preserve"> }-_x000D_
_x000D_
[</t>
        </r>
        <r>
          <rPr>
            <b/>
            <sz val="8.5"/>
            <color indexed="48"/>
            <rFont val="Calibri"/>
            <family val="2"/>
          </rPr>
          <t xml:space="preserve">LF </t>
        </r>
        <r>
          <rPr>
            <b/>
            <sz val="8.5"/>
            <color indexed="8"/>
            <rFont val="Calibri"/>
            <family val="2"/>
          </rPr>
          <t>» 97.8%] - [</t>
        </r>
        <r>
          <rPr>
            <b/>
            <sz val="8.5"/>
            <color indexed="48"/>
            <rFont val="Calibri"/>
            <family val="2"/>
          </rPr>
          <t xml:space="preserve">SOLD </t>
        </r>
        <r>
          <rPr>
            <b/>
            <sz val="8.5"/>
            <color indexed="8"/>
            <rFont val="Calibri"/>
            <family val="2"/>
          </rPr>
          <t>» 175 PAX]_x000D_
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10]_x000D_
_x000D_
[</t>
        </r>
        <r>
          <rPr>
            <b/>
            <sz val="8.5"/>
            <color indexed="48"/>
            <rFont val="Calibri"/>
            <family val="2"/>
          </rPr>
          <t>LOWESTAVAIL</t>
        </r>
        <r>
          <rPr>
            <b/>
            <sz val="8.5"/>
            <color indexed="8"/>
            <rFont val="Calibri"/>
            <family val="2"/>
          </rPr>
          <t xml:space="preserve"> » L4]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G14 &amp; S58 &amp; W46 &amp; T9 &amp; X18 &amp; U15 &amp; O10 &amp; I5</t>
        </r>
      </text>
    </comment>
    <comment ref="D2" authorId="0" shapeId="0" xr:uid="{FA8D0400-C458-4D3D-A712-F7B19A6D663A}">
      <text>
        <r>
          <rPr>
            <b/>
            <sz val="8.5"/>
            <color indexed="8"/>
            <rFont val="Calibri"/>
            <family val="2"/>
          </rPr>
          <t xml:space="preserve">-{ </t>
        </r>
        <r>
          <rPr>
            <b/>
            <sz val="10"/>
            <color indexed="10"/>
            <rFont val="Calibri"/>
            <family val="2"/>
          </rPr>
          <t>SM442</t>
        </r>
        <r>
          <rPr>
            <b/>
            <sz val="8.5"/>
            <color indexed="8"/>
            <rFont val="Calibri"/>
            <family val="2"/>
          </rPr>
          <t xml:space="preserve"> }-_x000D_
_x000D_
[</t>
        </r>
        <r>
          <rPr>
            <b/>
            <sz val="8.5"/>
            <color indexed="48"/>
            <rFont val="Calibri"/>
            <family val="2"/>
          </rPr>
          <t xml:space="preserve">LF </t>
        </r>
        <r>
          <rPr>
            <b/>
            <sz val="8.5"/>
            <color indexed="8"/>
            <rFont val="Calibri"/>
            <family val="2"/>
          </rPr>
          <t>» 97.8%] - [</t>
        </r>
        <r>
          <rPr>
            <b/>
            <sz val="8.5"/>
            <color indexed="48"/>
            <rFont val="Calibri"/>
            <family val="2"/>
          </rPr>
          <t xml:space="preserve">SOLD </t>
        </r>
        <r>
          <rPr>
            <b/>
            <sz val="8.5"/>
            <color indexed="8"/>
            <rFont val="Calibri"/>
            <family val="2"/>
          </rPr>
          <t>» 175 PAX]_x000D_
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10]_x000D_
_x000D_
[</t>
        </r>
        <r>
          <rPr>
            <b/>
            <sz val="8.5"/>
            <color indexed="48"/>
            <rFont val="Calibri"/>
            <family val="2"/>
          </rPr>
          <t>LOWESTAVAIL</t>
        </r>
        <r>
          <rPr>
            <b/>
            <sz val="8.5"/>
            <color indexed="8"/>
            <rFont val="Calibri"/>
            <family val="2"/>
          </rPr>
          <t xml:space="preserve"> » L4]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G14 &amp; S58 &amp; W46 &amp; T9 &amp; X18 &amp; U15 &amp; O10 &amp; I5</t>
        </r>
      </text>
    </comment>
    <comment ref="E2" authorId="0" shapeId="0" xr:uid="{8A29D053-23E4-4DFD-96E7-A8D0EE90F19A}">
      <text>
        <r>
          <rPr>
            <b/>
            <sz val="8.5"/>
            <color indexed="8"/>
            <rFont val="Calibri"/>
            <family val="2"/>
          </rPr>
          <t xml:space="preserve">-{ </t>
        </r>
        <r>
          <rPr>
            <b/>
            <sz val="10"/>
            <color indexed="10"/>
            <rFont val="Calibri"/>
            <family val="2"/>
          </rPr>
          <t>SM442</t>
        </r>
        <r>
          <rPr>
            <b/>
            <sz val="8.5"/>
            <color indexed="8"/>
            <rFont val="Calibri"/>
            <family val="2"/>
          </rPr>
          <t xml:space="preserve"> }-_x000D_
_x000D_
[</t>
        </r>
        <r>
          <rPr>
            <b/>
            <sz val="8.5"/>
            <color indexed="48"/>
            <rFont val="Calibri"/>
            <family val="2"/>
          </rPr>
          <t xml:space="preserve">LF </t>
        </r>
        <r>
          <rPr>
            <b/>
            <sz val="8.5"/>
            <color indexed="8"/>
            <rFont val="Calibri"/>
            <family val="2"/>
          </rPr>
          <t>» 97.8%] - [</t>
        </r>
        <r>
          <rPr>
            <b/>
            <sz val="8.5"/>
            <color indexed="48"/>
            <rFont val="Calibri"/>
            <family val="2"/>
          </rPr>
          <t xml:space="preserve">SOLD </t>
        </r>
        <r>
          <rPr>
            <b/>
            <sz val="8.5"/>
            <color indexed="8"/>
            <rFont val="Calibri"/>
            <family val="2"/>
          </rPr>
          <t>» 175 PAX]_x000D_
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10]_x000D_
_x000D_
[</t>
        </r>
        <r>
          <rPr>
            <b/>
            <sz val="8.5"/>
            <color indexed="48"/>
            <rFont val="Calibri"/>
            <family val="2"/>
          </rPr>
          <t>LOWESTAVAIL</t>
        </r>
        <r>
          <rPr>
            <b/>
            <sz val="8.5"/>
            <color indexed="8"/>
            <rFont val="Calibri"/>
            <family val="2"/>
          </rPr>
          <t xml:space="preserve"> » L4]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G14 &amp; S58 &amp; W46 &amp; T9 &amp; X18 &amp; U15 &amp; O10 &amp; I5</t>
        </r>
      </text>
    </comment>
    <comment ref="F2" authorId="0" shapeId="0" xr:uid="{4ECFFB86-A8EA-4AC2-9142-72FE932D9AB3}">
      <text>
        <r>
          <rPr>
            <b/>
            <sz val="8.5"/>
            <color indexed="8"/>
            <rFont val="Calibri"/>
            <family val="2"/>
          </rPr>
          <t xml:space="preserve">-{ </t>
        </r>
        <r>
          <rPr>
            <b/>
            <sz val="10"/>
            <color indexed="10"/>
            <rFont val="Calibri"/>
            <family val="2"/>
          </rPr>
          <t>SM442</t>
        </r>
        <r>
          <rPr>
            <b/>
            <sz val="8.5"/>
            <color indexed="8"/>
            <rFont val="Calibri"/>
            <family val="2"/>
          </rPr>
          <t xml:space="preserve"> }-_x000D_
_x000D_
[</t>
        </r>
        <r>
          <rPr>
            <b/>
            <sz val="8.5"/>
            <color indexed="48"/>
            <rFont val="Calibri"/>
            <family val="2"/>
          </rPr>
          <t xml:space="preserve">LF </t>
        </r>
        <r>
          <rPr>
            <b/>
            <sz val="8.5"/>
            <color indexed="8"/>
            <rFont val="Calibri"/>
            <family val="2"/>
          </rPr>
          <t>» 97.8%] - [</t>
        </r>
        <r>
          <rPr>
            <b/>
            <sz val="8.5"/>
            <color indexed="48"/>
            <rFont val="Calibri"/>
            <family val="2"/>
          </rPr>
          <t xml:space="preserve">SOLD </t>
        </r>
        <r>
          <rPr>
            <b/>
            <sz val="8.5"/>
            <color indexed="8"/>
            <rFont val="Calibri"/>
            <family val="2"/>
          </rPr>
          <t>» 175 PAX]_x000D_
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10]_x000D_
_x000D_
[</t>
        </r>
        <r>
          <rPr>
            <b/>
            <sz val="8.5"/>
            <color indexed="48"/>
            <rFont val="Calibri"/>
            <family val="2"/>
          </rPr>
          <t>LOWESTAVAIL</t>
        </r>
        <r>
          <rPr>
            <b/>
            <sz val="8.5"/>
            <color indexed="8"/>
            <rFont val="Calibri"/>
            <family val="2"/>
          </rPr>
          <t xml:space="preserve"> » L4]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G14 &amp; S58 &amp; W46 &amp; T9 &amp; X18 &amp; U15 &amp; O10 &amp; I5</t>
        </r>
      </text>
    </comment>
    <comment ref="G2" authorId="0" shapeId="0" xr:uid="{8F084E54-C25B-48C3-A7C9-7CAD27AFCAFA}">
      <text>
        <r>
          <rPr>
            <b/>
            <sz val="8.5"/>
            <color indexed="8"/>
            <rFont val="Calibri"/>
            <family val="2"/>
          </rPr>
          <t xml:space="preserve">-{ </t>
        </r>
        <r>
          <rPr>
            <b/>
            <sz val="10"/>
            <color indexed="10"/>
            <rFont val="Calibri"/>
            <family val="2"/>
          </rPr>
          <t>SM442</t>
        </r>
        <r>
          <rPr>
            <b/>
            <sz val="8.5"/>
            <color indexed="8"/>
            <rFont val="Calibri"/>
            <family val="2"/>
          </rPr>
          <t xml:space="preserve"> }-_x000D_
_x000D_
[</t>
        </r>
        <r>
          <rPr>
            <b/>
            <sz val="8.5"/>
            <color indexed="48"/>
            <rFont val="Calibri"/>
            <family val="2"/>
          </rPr>
          <t xml:space="preserve">LF </t>
        </r>
        <r>
          <rPr>
            <b/>
            <sz val="8.5"/>
            <color indexed="8"/>
            <rFont val="Calibri"/>
            <family val="2"/>
          </rPr>
          <t>» 97.8%] - [</t>
        </r>
        <r>
          <rPr>
            <b/>
            <sz val="8.5"/>
            <color indexed="48"/>
            <rFont val="Calibri"/>
            <family val="2"/>
          </rPr>
          <t xml:space="preserve">SOLD </t>
        </r>
        <r>
          <rPr>
            <b/>
            <sz val="8.5"/>
            <color indexed="8"/>
            <rFont val="Calibri"/>
            <family val="2"/>
          </rPr>
          <t>» 175 PAX]_x000D_
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10]_x000D_
_x000D_
[</t>
        </r>
        <r>
          <rPr>
            <b/>
            <sz val="8.5"/>
            <color indexed="48"/>
            <rFont val="Calibri"/>
            <family val="2"/>
          </rPr>
          <t>LOWESTAVAIL</t>
        </r>
        <r>
          <rPr>
            <b/>
            <sz val="8.5"/>
            <color indexed="8"/>
            <rFont val="Calibri"/>
            <family val="2"/>
          </rPr>
          <t xml:space="preserve"> » L4]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G14 &amp; S58 &amp; W46 &amp; T9 &amp; X18 &amp; U15 &amp; O10 &amp; I5</t>
        </r>
      </text>
    </comment>
    <comment ref="H2" authorId="0" shapeId="0" xr:uid="{06C03A07-2E5A-4017-B8E0-8994C0468F5E}">
      <text>
        <r>
          <rPr>
            <b/>
            <sz val="8.5"/>
            <color indexed="8"/>
            <rFont val="Calibri"/>
            <family val="2"/>
          </rPr>
          <t xml:space="preserve">-{ </t>
        </r>
        <r>
          <rPr>
            <b/>
            <sz val="10"/>
            <color indexed="10"/>
            <rFont val="Calibri"/>
            <family val="2"/>
          </rPr>
          <t>SM442</t>
        </r>
        <r>
          <rPr>
            <b/>
            <sz val="8.5"/>
            <color indexed="8"/>
            <rFont val="Calibri"/>
            <family val="2"/>
          </rPr>
          <t xml:space="preserve"> }-_x000D_
_x000D_
[</t>
        </r>
        <r>
          <rPr>
            <b/>
            <sz val="8.5"/>
            <color indexed="48"/>
            <rFont val="Calibri"/>
            <family val="2"/>
          </rPr>
          <t xml:space="preserve">LF </t>
        </r>
        <r>
          <rPr>
            <b/>
            <sz val="8.5"/>
            <color indexed="8"/>
            <rFont val="Calibri"/>
            <family val="2"/>
          </rPr>
          <t>» 97.8%] - [</t>
        </r>
        <r>
          <rPr>
            <b/>
            <sz val="8.5"/>
            <color indexed="48"/>
            <rFont val="Calibri"/>
            <family val="2"/>
          </rPr>
          <t xml:space="preserve">SOLD </t>
        </r>
        <r>
          <rPr>
            <b/>
            <sz val="8.5"/>
            <color indexed="8"/>
            <rFont val="Calibri"/>
            <family val="2"/>
          </rPr>
          <t>» 175 PAX]_x000D_
_x000D_
[</t>
        </r>
        <r>
          <rPr>
            <b/>
            <sz val="8.5"/>
            <color indexed="21"/>
            <rFont val="Calibri"/>
            <family val="2"/>
          </rPr>
          <t xml:space="preserve">WEEKLY </t>
        </r>
        <r>
          <rPr>
            <b/>
            <sz val="8.5"/>
            <color indexed="8"/>
            <rFont val="Calibri"/>
            <family val="2"/>
          </rPr>
          <t>» 39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10]_x000D_
_x000D_
[</t>
        </r>
        <r>
          <rPr>
            <b/>
            <sz val="8.5"/>
            <color indexed="48"/>
            <rFont val="Calibri"/>
            <family val="2"/>
          </rPr>
          <t>LOWESTAVAIL</t>
        </r>
        <r>
          <rPr>
            <b/>
            <sz val="8.5"/>
            <color indexed="8"/>
            <rFont val="Calibri"/>
            <family val="2"/>
          </rPr>
          <t xml:space="preserve"> » L4]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G14 &amp; S58 &amp; W46 &amp; T9 &amp; X18 &amp; U15 &amp; O10 &amp; I5</t>
        </r>
      </text>
    </comment>
    <comment ref="A3" authorId="0" shapeId="0" xr:uid="{5E6F3A2E-0185-4D1C-9721-DBFEA385F259}">
      <text>
        <r>
          <rPr>
            <b/>
            <sz val="8.5"/>
            <color indexed="8"/>
            <rFont val="Calibri"/>
            <family val="2"/>
          </rPr>
          <t xml:space="preserve">-{ </t>
        </r>
        <r>
          <rPr>
            <b/>
            <sz val="10"/>
            <color indexed="10"/>
            <rFont val="Calibri"/>
            <family val="2"/>
          </rPr>
          <t>SM442</t>
        </r>
        <r>
          <rPr>
            <b/>
            <sz val="8.5"/>
            <color indexed="8"/>
            <rFont val="Calibri"/>
            <family val="2"/>
          </rPr>
          <t xml:space="preserve"> }-_x000D_
_x000D_
[</t>
        </r>
        <r>
          <rPr>
            <b/>
            <sz val="8.5"/>
            <color indexed="48"/>
            <rFont val="Calibri"/>
            <family val="2"/>
          </rPr>
          <t xml:space="preserve">LF </t>
        </r>
        <r>
          <rPr>
            <b/>
            <sz val="8.5"/>
            <color indexed="8"/>
            <rFont val="Calibri"/>
            <family val="2"/>
          </rPr>
          <t>» 93.8%] - [</t>
        </r>
        <r>
          <rPr>
            <b/>
            <sz val="8.5"/>
            <color indexed="48"/>
            <rFont val="Calibri"/>
            <family val="2"/>
          </rPr>
          <t xml:space="preserve">SOLD </t>
        </r>
        <r>
          <rPr>
            <b/>
            <sz val="8.5"/>
            <color indexed="8"/>
            <rFont val="Calibri"/>
            <family val="2"/>
          </rPr>
          <t>» 168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G5 &amp; S20 &amp; W33 &amp; T9 &amp; X10 &amp; U18 &amp; P73</t>
        </r>
      </text>
    </comment>
    <comment ref="B3" authorId="0" shapeId="0" xr:uid="{50B5D38C-2B61-4FBE-8096-726271D5F05F}">
      <text>
        <r>
          <rPr>
            <b/>
            <sz val="8.5"/>
            <color indexed="8"/>
            <rFont val="Calibri"/>
            <family val="2"/>
          </rPr>
          <t xml:space="preserve">-{ </t>
        </r>
        <r>
          <rPr>
            <b/>
            <sz val="10"/>
            <color indexed="10"/>
            <rFont val="Calibri"/>
            <family val="2"/>
          </rPr>
          <t>SM442</t>
        </r>
        <r>
          <rPr>
            <b/>
            <sz val="8.5"/>
            <color indexed="8"/>
            <rFont val="Calibri"/>
            <family val="2"/>
          </rPr>
          <t xml:space="preserve"> }-_x000D_
_x000D_
[</t>
        </r>
        <r>
          <rPr>
            <b/>
            <sz val="8.5"/>
            <color indexed="48"/>
            <rFont val="Calibri"/>
            <family val="2"/>
          </rPr>
          <t xml:space="preserve">LF </t>
        </r>
        <r>
          <rPr>
            <b/>
            <sz val="8.5"/>
            <color indexed="8"/>
            <rFont val="Calibri"/>
            <family val="2"/>
          </rPr>
          <t>» 93.8%] - [</t>
        </r>
        <r>
          <rPr>
            <b/>
            <sz val="8.5"/>
            <color indexed="48"/>
            <rFont val="Calibri"/>
            <family val="2"/>
          </rPr>
          <t xml:space="preserve">SOLD </t>
        </r>
        <r>
          <rPr>
            <b/>
            <sz val="8.5"/>
            <color indexed="8"/>
            <rFont val="Calibri"/>
            <family val="2"/>
          </rPr>
          <t>» 168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G5 &amp; S20 &amp; W33 &amp; T9 &amp; X10 &amp; U18 &amp; P73</t>
        </r>
      </text>
    </comment>
    <comment ref="C3" authorId="0" shapeId="0" xr:uid="{C056AFE3-A27C-4E9C-A6BE-A111CB967729}">
      <text>
        <r>
          <rPr>
            <b/>
            <sz val="8.5"/>
            <color indexed="8"/>
            <rFont val="Calibri"/>
            <family val="2"/>
          </rPr>
          <t xml:space="preserve">-{ </t>
        </r>
        <r>
          <rPr>
            <b/>
            <sz val="10"/>
            <color indexed="10"/>
            <rFont val="Calibri"/>
            <family val="2"/>
          </rPr>
          <t>SM442</t>
        </r>
        <r>
          <rPr>
            <b/>
            <sz val="8.5"/>
            <color indexed="8"/>
            <rFont val="Calibri"/>
            <family val="2"/>
          </rPr>
          <t xml:space="preserve"> }-_x000D_
_x000D_
[</t>
        </r>
        <r>
          <rPr>
            <b/>
            <sz val="8.5"/>
            <color indexed="48"/>
            <rFont val="Calibri"/>
            <family val="2"/>
          </rPr>
          <t xml:space="preserve">LF </t>
        </r>
        <r>
          <rPr>
            <b/>
            <sz val="8.5"/>
            <color indexed="8"/>
            <rFont val="Calibri"/>
            <family val="2"/>
          </rPr>
          <t>» 93.8%] - [</t>
        </r>
        <r>
          <rPr>
            <b/>
            <sz val="8.5"/>
            <color indexed="48"/>
            <rFont val="Calibri"/>
            <family val="2"/>
          </rPr>
          <t xml:space="preserve">SOLD </t>
        </r>
        <r>
          <rPr>
            <b/>
            <sz val="8.5"/>
            <color indexed="8"/>
            <rFont val="Calibri"/>
            <family val="2"/>
          </rPr>
          <t>» 168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G5 &amp; S20 &amp; W33 &amp; T9 &amp; X10 &amp; U18 &amp; P73</t>
        </r>
      </text>
    </comment>
    <comment ref="D3" authorId="0" shapeId="0" xr:uid="{FFD52229-C404-4E40-8B82-D2B45C91CF7A}">
      <text>
        <r>
          <rPr>
            <b/>
            <sz val="8.5"/>
            <color indexed="8"/>
            <rFont val="Calibri"/>
            <family val="2"/>
          </rPr>
          <t xml:space="preserve">-{ </t>
        </r>
        <r>
          <rPr>
            <b/>
            <sz val="10"/>
            <color indexed="10"/>
            <rFont val="Calibri"/>
            <family val="2"/>
          </rPr>
          <t>SM442</t>
        </r>
        <r>
          <rPr>
            <b/>
            <sz val="8.5"/>
            <color indexed="8"/>
            <rFont val="Calibri"/>
            <family val="2"/>
          </rPr>
          <t xml:space="preserve"> }-_x000D_
_x000D_
[</t>
        </r>
        <r>
          <rPr>
            <b/>
            <sz val="8.5"/>
            <color indexed="48"/>
            <rFont val="Calibri"/>
            <family val="2"/>
          </rPr>
          <t xml:space="preserve">LF </t>
        </r>
        <r>
          <rPr>
            <b/>
            <sz val="8.5"/>
            <color indexed="8"/>
            <rFont val="Calibri"/>
            <family val="2"/>
          </rPr>
          <t>» 93.8%] - [</t>
        </r>
        <r>
          <rPr>
            <b/>
            <sz val="8.5"/>
            <color indexed="48"/>
            <rFont val="Calibri"/>
            <family val="2"/>
          </rPr>
          <t xml:space="preserve">SOLD </t>
        </r>
        <r>
          <rPr>
            <b/>
            <sz val="8.5"/>
            <color indexed="8"/>
            <rFont val="Calibri"/>
            <family val="2"/>
          </rPr>
          <t>» 168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G5 &amp; S20 &amp; W33 &amp; T9 &amp; X10 &amp; U18 &amp; P73</t>
        </r>
      </text>
    </comment>
    <comment ref="E3" authorId="0" shapeId="0" xr:uid="{1F1B852A-2C8B-45D6-A8FB-F2FC21502467}">
      <text>
        <r>
          <rPr>
            <b/>
            <sz val="8.5"/>
            <color indexed="8"/>
            <rFont val="Calibri"/>
            <family val="2"/>
          </rPr>
          <t xml:space="preserve">-{ </t>
        </r>
        <r>
          <rPr>
            <b/>
            <sz val="10"/>
            <color indexed="10"/>
            <rFont val="Calibri"/>
            <family val="2"/>
          </rPr>
          <t>SM442</t>
        </r>
        <r>
          <rPr>
            <b/>
            <sz val="8.5"/>
            <color indexed="8"/>
            <rFont val="Calibri"/>
            <family val="2"/>
          </rPr>
          <t xml:space="preserve"> }-_x000D_
_x000D_
[</t>
        </r>
        <r>
          <rPr>
            <b/>
            <sz val="8.5"/>
            <color indexed="48"/>
            <rFont val="Calibri"/>
            <family val="2"/>
          </rPr>
          <t xml:space="preserve">LF </t>
        </r>
        <r>
          <rPr>
            <b/>
            <sz val="8.5"/>
            <color indexed="8"/>
            <rFont val="Calibri"/>
            <family val="2"/>
          </rPr>
          <t>» 93.8%] - [</t>
        </r>
        <r>
          <rPr>
            <b/>
            <sz val="8.5"/>
            <color indexed="48"/>
            <rFont val="Calibri"/>
            <family val="2"/>
          </rPr>
          <t xml:space="preserve">SOLD </t>
        </r>
        <r>
          <rPr>
            <b/>
            <sz val="8.5"/>
            <color indexed="8"/>
            <rFont val="Calibri"/>
            <family val="2"/>
          </rPr>
          <t>» 168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G5 &amp; S20 &amp; W33 &amp; T9 &amp; X10 &amp; U18 &amp; P73</t>
        </r>
      </text>
    </comment>
    <comment ref="F3" authorId="0" shapeId="0" xr:uid="{89DF6E71-2C04-4CDD-A3C1-E728D3471E0C}">
      <text>
        <r>
          <rPr>
            <b/>
            <sz val="8.5"/>
            <color indexed="8"/>
            <rFont val="Calibri"/>
            <family val="2"/>
          </rPr>
          <t xml:space="preserve">-{ </t>
        </r>
        <r>
          <rPr>
            <b/>
            <sz val="10"/>
            <color indexed="10"/>
            <rFont val="Calibri"/>
            <family val="2"/>
          </rPr>
          <t>SM442</t>
        </r>
        <r>
          <rPr>
            <b/>
            <sz val="8.5"/>
            <color indexed="8"/>
            <rFont val="Calibri"/>
            <family val="2"/>
          </rPr>
          <t xml:space="preserve"> }-_x000D_
_x000D_
[</t>
        </r>
        <r>
          <rPr>
            <b/>
            <sz val="8.5"/>
            <color indexed="48"/>
            <rFont val="Calibri"/>
            <family val="2"/>
          </rPr>
          <t xml:space="preserve">LF </t>
        </r>
        <r>
          <rPr>
            <b/>
            <sz val="8.5"/>
            <color indexed="8"/>
            <rFont val="Calibri"/>
            <family val="2"/>
          </rPr>
          <t>» 93.8%] - [</t>
        </r>
        <r>
          <rPr>
            <b/>
            <sz val="8.5"/>
            <color indexed="48"/>
            <rFont val="Calibri"/>
            <family val="2"/>
          </rPr>
          <t xml:space="preserve">SOLD </t>
        </r>
        <r>
          <rPr>
            <b/>
            <sz val="8.5"/>
            <color indexed="8"/>
            <rFont val="Calibri"/>
            <family val="2"/>
          </rPr>
          <t>» 168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G5 &amp; S20 &amp; W33 &amp; T9 &amp; X10 &amp; U18 &amp; P73</t>
        </r>
      </text>
    </comment>
    <comment ref="G3" authorId="0" shapeId="0" xr:uid="{3631F05F-81B6-4BD2-8DEA-30D1086784B8}">
      <text>
        <r>
          <rPr>
            <b/>
            <sz val="8.5"/>
            <color indexed="8"/>
            <rFont val="Calibri"/>
            <family val="2"/>
          </rPr>
          <t xml:space="preserve">-{ </t>
        </r>
        <r>
          <rPr>
            <b/>
            <sz val="10"/>
            <color indexed="10"/>
            <rFont val="Calibri"/>
            <family val="2"/>
          </rPr>
          <t>SM442</t>
        </r>
        <r>
          <rPr>
            <b/>
            <sz val="8.5"/>
            <color indexed="8"/>
            <rFont val="Calibri"/>
            <family val="2"/>
          </rPr>
          <t xml:space="preserve"> }-_x000D_
_x000D_
[</t>
        </r>
        <r>
          <rPr>
            <b/>
            <sz val="8.5"/>
            <color indexed="48"/>
            <rFont val="Calibri"/>
            <family val="2"/>
          </rPr>
          <t xml:space="preserve">LF </t>
        </r>
        <r>
          <rPr>
            <b/>
            <sz val="8.5"/>
            <color indexed="8"/>
            <rFont val="Calibri"/>
            <family val="2"/>
          </rPr>
          <t>» 93.8%] - [</t>
        </r>
        <r>
          <rPr>
            <b/>
            <sz val="8.5"/>
            <color indexed="48"/>
            <rFont val="Calibri"/>
            <family val="2"/>
          </rPr>
          <t xml:space="preserve">SOLD </t>
        </r>
        <r>
          <rPr>
            <b/>
            <sz val="8.5"/>
            <color indexed="8"/>
            <rFont val="Calibri"/>
            <family val="2"/>
          </rPr>
          <t>» 168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G5 &amp; S20 &amp; W33 &amp; T9 &amp; X10 &amp; U18 &amp; P73</t>
        </r>
      </text>
    </comment>
    <comment ref="H3" authorId="0" shapeId="0" xr:uid="{296BF4B0-ED5E-4661-872C-DB240C2C592D}">
      <text>
        <r>
          <rPr>
            <b/>
            <sz val="8.5"/>
            <color indexed="8"/>
            <rFont val="Calibri"/>
            <family val="2"/>
          </rPr>
          <t xml:space="preserve">-{ </t>
        </r>
        <r>
          <rPr>
            <b/>
            <sz val="10"/>
            <color indexed="10"/>
            <rFont val="Calibri"/>
            <family val="2"/>
          </rPr>
          <t>SM442</t>
        </r>
        <r>
          <rPr>
            <b/>
            <sz val="8.5"/>
            <color indexed="8"/>
            <rFont val="Calibri"/>
            <family val="2"/>
          </rPr>
          <t xml:space="preserve"> }-_x000D_
_x000D_
[</t>
        </r>
        <r>
          <rPr>
            <b/>
            <sz val="8.5"/>
            <color indexed="48"/>
            <rFont val="Calibri"/>
            <family val="2"/>
          </rPr>
          <t xml:space="preserve">LF </t>
        </r>
        <r>
          <rPr>
            <b/>
            <sz val="8.5"/>
            <color indexed="8"/>
            <rFont val="Calibri"/>
            <family val="2"/>
          </rPr>
          <t>» 93.8%] - [</t>
        </r>
        <r>
          <rPr>
            <b/>
            <sz val="8.5"/>
            <color indexed="48"/>
            <rFont val="Calibri"/>
            <family val="2"/>
          </rPr>
          <t xml:space="preserve">SOLD </t>
        </r>
        <r>
          <rPr>
            <b/>
            <sz val="8.5"/>
            <color indexed="8"/>
            <rFont val="Calibri"/>
            <family val="2"/>
          </rPr>
          <t>» 168 PAX]_x000D_
_x000D_
[</t>
        </r>
        <r>
          <rPr>
            <b/>
            <sz val="8.5"/>
            <color indexed="21"/>
            <rFont val="Calibri"/>
            <family val="2"/>
          </rPr>
          <t xml:space="preserve">WEEKLY </t>
        </r>
        <r>
          <rPr>
            <b/>
            <sz val="8.5"/>
            <color indexed="8"/>
            <rFont val="Calibri"/>
            <family val="2"/>
          </rPr>
          <t>» 32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1]_x000D_
_x000D_
[</t>
        </r>
        <r>
          <rPr>
            <b/>
            <sz val="8.5"/>
            <color indexed="48"/>
            <rFont val="Calibri"/>
            <family val="2"/>
          </rPr>
          <t>LOWESTAVAIL</t>
        </r>
        <r>
          <rPr>
            <b/>
            <sz val="8.5"/>
            <color indexed="8"/>
            <rFont val="Calibri"/>
            <family val="2"/>
          </rPr>
          <t xml:space="preserve"> » CLOSED]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G5 &amp; S20 &amp; W33 &amp; T9 &amp; X10 &amp; U18 &amp; P73</t>
        </r>
      </text>
    </comment>
    <comment ref="A4" authorId="0" shapeId="0" xr:uid="{5105A724-A39D-4FAC-8074-294EB6321B7A}">
      <text>
        <r>
          <rPr>
            <b/>
            <sz val="8.5"/>
            <color indexed="8"/>
            <rFont val="Calibri"/>
            <family val="2"/>
          </rPr>
          <t xml:space="preserve">-{ </t>
        </r>
        <r>
          <rPr>
            <b/>
            <sz val="10"/>
            <color indexed="10"/>
            <rFont val="Calibri"/>
            <family val="2"/>
          </rPr>
          <t>SM442</t>
        </r>
        <r>
          <rPr>
            <b/>
            <sz val="8.5"/>
            <color indexed="8"/>
            <rFont val="Calibri"/>
            <family val="2"/>
          </rPr>
          <t xml:space="preserve"> }-_x000D_
_x000D_
[</t>
        </r>
        <r>
          <rPr>
            <b/>
            <sz val="8.5"/>
            <color indexed="48"/>
            <rFont val="Calibri"/>
            <family val="2"/>
          </rPr>
          <t xml:space="preserve">LF </t>
        </r>
        <r>
          <rPr>
            <b/>
            <sz val="8.5"/>
            <color indexed="8"/>
            <rFont val="Calibri"/>
            <family val="2"/>
          </rPr>
          <t>» 92.2%] - [</t>
        </r>
        <r>
          <rPr>
            <b/>
            <sz val="8.5"/>
            <color indexed="48"/>
            <rFont val="Calibri"/>
            <family val="2"/>
          </rPr>
          <t xml:space="preserve">SOLD </t>
        </r>
        <r>
          <rPr>
            <b/>
            <sz val="8.5"/>
            <color indexed="8"/>
            <rFont val="Calibri"/>
            <family val="2"/>
          </rPr>
          <t>» 165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W2]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W15 &amp; T18 &amp; X4 &amp; U15 &amp; E40 &amp; P73</t>
        </r>
      </text>
    </comment>
    <comment ref="B4" authorId="0" shapeId="0" xr:uid="{D70D3D08-B525-42B5-A784-901CEAE2B01B}">
      <text>
        <r>
          <rPr>
            <b/>
            <sz val="8.5"/>
            <color indexed="8"/>
            <rFont val="Calibri"/>
            <family val="2"/>
          </rPr>
          <t xml:space="preserve">-{ </t>
        </r>
        <r>
          <rPr>
            <b/>
            <sz val="10"/>
            <color indexed="10"/>
            <rFont val="Calibri"/>
            <family val="2"/>
          </rPr>
          <t>SM442</t>
        </r>
        <r>
          <rPr>
            <b/>
            <sz val="8.5"/>
            <color indexed="8"/>
            <rFont val="Calibri"/>
            <family val="2"/>
          </rPr>
          <t xml:space="preserve"> }-_x000D_
_x000D_
[</t>
        </r>
        <r>
          <rPr>
            <b/>
            <sz val="8.5"/>
            <color indexed="48"/>
            <rFont val="Calibri"/>
            <family val="2"/>
          </rPr>
          <t xml:space="preserve">LF </t>
        </r>
        <r>
          <rPr>
            <b/>
            <sz val="8.5"/>
            <color indexed="8"/>
            <rFont val="Calibri"/>
            <family val="2"/>
          </rPr>
          <t>» 92.2%] - [</t>
        </r>
        <r>
          <rPr>
            <b/>
            <sz val="8.5"/>
            <color indexed="48"/>
            <rFont val="Calibri"/>
            <family val="2"/>
          </rPr>
          <t xml:space="preserve">SOLD </t>
        </r>
        <r>
          <rPr>
            <b/>
            <sz val="8.5"/>
            <color indexed="8"/>
            <rFont val="Calibri"/>
            <family val="2"/>
          </rPr>
          <t>» 165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W2]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W15 &amp; T18 &amp; X4 &amp; U15 &amp; E40 &amp; P73</t>
        </r>
      </text>
    </comment>
    <comment ref="C4" authorId="0" shapeId="0" xr:uid="{2C324562-C057-4C1E-9BB8-5352491FD6FD}">
      <text>
        <r>
          <rPr>
            <b/>
            <sz val="8.5"/>
            <color indexed="8"/>
            <rFont val="Calibri"/>
            <family val="2"/>
          </rPr>
          <t xml:space="preserve">-{ </t>
        </r>
        <r>
          <rPr>
            <b/>
            <sz val="10"/>
            <color indexed="10"/>
            <rFont val="Calibri"/>
            <family val="2"/>
          </rPr>
          <t>SM442</t>
        </r>
        <r>
          <rPr>
            <b/>
            <sz val="8.5"/>
            <color indexed="8"/>
            <rFont val="Calibri"/>
            <family val="2"/>
          </rPr>
          <t xml:space="preserve"> }-_x000D_
_x000D_
[</t>
        </r>
        <r>
          <rPr>
            <b/>
            <sz val="8.5"/>
            <color indexed="48"/>
            <rFont val="Calibri"/>
            <family val="2"/>
          </rPr>
          <t xml:space="preserve">LF </t>
        </r>
        <r>
          <rPr>
            <b/>
            <sz val="8.5"/>
            <color indexed="8"/>
            <rFont val="Calibri"/>
            <family val="2"/>
          </rPr>
          <t>» 92.2%] - [</t>
        </r>
        <r>
          <rPr>
            <b/>
            <sz val="8.5"/>
            <color indexed="48"/>
            <rFont val="Calibri"/>
            <family val="2"/>
          </rPr>
          <t xml:space="preserve">SOLD </t>
        </r>
        <r>
          <rPr>
            <b/>
            <sz val="8.5"/>
            <color indexed="8"/>
            <rFont val="Calibri"/>
            <family val="2"/>
          </rPr>
          <t>» 165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W2]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W15 &amp; T18 &amp; X4 &amp; U15 &amp; E40 &amp; P73</t>
        </r>
      </text>
    </comment>
    <comment ref="D4" authorId="0" shapeId="0" xr:uid="{AE5AB6A7-F49D-44D7-962D-8157BFF9983F}">
      <text>
        <r>
          <rPr>
            <b/>
            <sz val="8.5"/>
            <color indexed="8"/>
            <rFont val="Calibri"/>
            <family val="2"/>
          </rPr>
          <t xml:space="preserve">-{ </t>
        </r>
        <r>
          <rPr>
            <b/>
            <sz val="10"/>
            <color indexed="10"/>
            <rFont val="Calibri"/>
            <family val="2"/>
          </rPr>
          <t>SM442</t>
        </r>
        <r>
          <rPr>
            <b/>
            <sz val="8.5"/>
            <color indexed="8"/>
            <rFont val="Calibri"/>
            <family val="2"/>
          </rPr>
          <t xml:space="preserve"> }-_x000D_
_x000D_
[</t>
        </r>
        <r>
          <rPr>
            <b/>
            <sz val="8.5"/>
            <color indexed="48"/>
            <rFont val="Calibri"/>
            <family val="2"/>
          </rPr>
          <t xml:space="preserve">LF </t>
        </r>
        <r>
          <rPr>
            <b/>
            <sz val="8.5"/>
            <color indexed="8"/>
            <rFont val="Calibri"/>
            <family val="2"/>
          </rPr>
          <t>» 92.2%] - [</t>
        </r>
        <r>
          <rPr>
            <b/>
            <sz val="8.5"/>
            <color indexed="48"/>
            <rFont val="Calibri"/>
            <family val="2"/>
          </rPr>
          <t xml:space="preserve">SOLD </t>
        </r>
        <r>
          <rPr>
            <b/>
            <sz val="8.5"/>
            <color indexed="8"/>
            <rFont val="Calibri"/>
            <family val="2"/>
          </rPr>
          <t>» 165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W2]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W15 &amp; T18 &amp; X4 &amp; U15 &amp; E40 &amp; P73</t>
        </r>
      </text>
    </comment>
    <comment ref="E4" authorId="0" shapeId="0" xr:uid="{0BC61F48-E93E-4052-B70D-53642DA6AB87}">
      <text>
        <r>
          <rPr>
            <b/>
            <sz val="8.5"/>
            <color indexed="8"/>
            <rFont val="Calibri"/>
            <family val="2"/>
          </rPr>
          <t xml:space="preserve">-{ </t>
        </r>
        <r>
          <rPr>
            <b/>
            <sz val="10"/>
            <color indexed="10"/>
            <rFont val="Calibri"/>
            <family val="2"/>
          </rPr>
          <t>SM442</t>
        </r>
        <r>
          <rPr>
            <b/>
            <sz val="8.5"/>
            <color indexed="8"/>
            <rFont val="Calibri"/>
            <family val="2"/>
          </rPr>
          <t xml:space="preserve"> }-_x000D_
_x000D_
[</t>
        </r>
        <r>
          <rPr>
            <b/>
            <sz val="8.5"/>
            <color indexed="48"/>
            <rFont val="Calibri"/>
            <family val="2"/>
          </rPr>
          <t xml:space="preserve">LF </t>
        </r>
        <r>
          <rPr>
            <b/>
            <sz val="8.5"/>
            <color indexed="8"/>
            <rFont val="Calibri"/>
            <family val="2"/>
          </rPr>
          <t>» 92.2%] - [</t>
        </r>
        <r>
          <rPr>
            <b/>
            <sz val="8.5"/>
            <color indexed="48"/>
            <rFont val="Calibri"/>
            <family val="2"/>
          </rPr>
          <t xml:space="preserve">SOLD </t>
        </r>
        <r>
          <rPr>
            <b/>
            <sz val="8.5"/>
            <color indexed="8"/>
            <rFont val="Calibri"/>
            <family val="2"/>
          </rPr>
          <t>» 165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W2]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W15 &amp; T18 &amp; X4 &amp; U15 &amp; E40 &amp; P73</t>
        </r>
      </text>
    </comment>
    <comment ref="F4" authorId="0" shapeId="0" xr:uid="{56D76429-ACCF-4B4A-B852-7500A7EE5D21}">
      <text>
        <r>
          <rPr>
            <b/>
            <sz val="8.5"/>
            <color indexed="8"/>
            <rFont val="Calibri"/>
            <family val="2"/>
          </rPr>
          <t xml:space="preserve">-{ </t>
        </r>
        <r>
          <rPr>
            <b/>
            <sz val="10"/>
            <color indexed="10"/>
            <rFont val="Calibri"/>
            <family val="2"/>
          </rPr>
          <t>SM442</t>
        </r>
        <r>
          <rPr>
            <b/>
            <sz val="8.5"/>
            <color indexed="8"/>
            <rFont val="Calibri"/>
            <family val="2"/>
          </rPr>
          <t xml:space="preserve"> }-_x000D_
_x000D_
[</t>
        </r>
        <r>
          <rPr>
            <b/>
            <sz val="8.5"/>
            <color indexed="48"/>
            <rFont val="Calibri"/>
            <family val="2"/>
          </rPr>
          <t xml:space="preserve">LF </t>
        </r>
        <r>
          <rPr>
            <b/>
            <sz val="8.5"/>
            <color indexed="8"/>
            <rFont val="Calibri"/>
            <family val="2"/>
          </rPr>
          <t>» 92.2%] - [</t>
        </r>
        <r>
          <rPr>
            <b/>
            <sz val="8.5"/>
            <color indexed="48"/>
            <rFont val="Calibri"/>
            <family val="2"/>
          </rPr>
          <t xml:space="preserve">SOLD </t>
        </r>
        <r>
          <rPr>
            <b/>
            <sz val="8.5"/>
            <color indexed="8"/>
            <rFont val="Calibri"/>
            <family val="2"/>
          </rPr>
          <t>» 165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W2]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W15 &amp; T18 &amp; X4 &amp; U15 &amp; E40 &amp; P73</t>
        </r>
      </text>
    </comment>
    <comment ref="G4" authorId="0" shapeId="0" xr:uid="{615A3650-22C0-4C14-B1D4-168E180F290D}">
      <text>
        <r>
          <rPr>
            <b/>
            <sz val="8.5"/>
            <color indexed="8"/>
            <rFont val="Calibri"/>
            <family val="2"/>
          </rPr>
          <t xml:space="preserve">-{ </t>
        </r>
        <r>
          <rPr>
            <b/>
            <sz val="10"/>
            <color indexed="10"/>
            <rFont val="Calibri"/>
            <family val="2"/>
          </rPr>
          <t>SM442</t>
        </r>
        <r>
          <rPr>
            <b/>
            <sz val="8.5"/>
            <color indexed="8"/>
            <rFont val="Calibri"/>
            <family val="2"/>
          </rPr>
          <t xml:space="preserve"> }-_x000D_
_x000D_
[</t>
        </r>
        <r>
          <rPr>
            <b/>
            <sz val="8.5"/>
            <color indexed="48"/>
            <rFont val="Calibri"/>
            <family val="2"/>
          </rPr>
          <t xml:space="preserve">LF </t>
        </r>
        <r>
          <rPr>
            <b/>
            <sz val="8.5"/>
            <color indexed="8"/>
            <rFont val="Calibri"/>
            <family val="2"/>
          </rPr>
          <t>» 92.2%] - [</t>
        </r>
        <r>
          <rPr>
            <b/>
            <sz val="8.5"/>
            <color indexed="48"/>
            <rFont val="Calibri"/>
            <family val="2"/>
          </rPr>
          <t xml:space="preserve">SOLD </t>
        </r>
        <r>
          <rPr>
            <b/>
            <sz val="8.5"/>
            <color indexed="8"/>
            <rFont val="Calibri"/>
            <family val="2"/>
          </rPr>
          <t>» 165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W2]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W15 &amp; T18 &amp; X4 &amp; U15 &amp; E40 &amp; P73</t>
        </r>
      </text>
    </comment>
    <comment ref="H4" authorId="0" shapeId="0" xr:uid="{64EA7F33-CBDF-4959-9CC5-ED6B6DA18681}">
      <text>
        <r>
          <rPr>
            <b/>
            <sz val="8.5"/>
            <color indexed="8"/>
            <rFont val="Calibri"/>
            <family val="2"/>
          </rPr>
          <t xml:space="preserve">-{ </t>
        </r>
        <r>
          <rPr>
            <b/>
            <sz val="10"/>
            <color indexed="10"/>
            <rFont val="Calibri"/>
            <family val="2"/>
          </rPr>
          <t>SM442</t>
        </r>
        <r>
          <rPr>
            <b/>
            <sz val="8.5"/>
            <color indexed="8"/>
            <rFont val="Calibri"/>
            <family val="2"/>
          </rPr>
          <t xml:space="preserve"> }-_x000D_
_x000D_
[</t>
        </r>
        <r>
          <rPr>
            <b/>
            <sz val="8.5"/>
            <color indexed="48"/>
            <rFont val="Calibri"/>
            <family val="2"/>
          </rPr>
          <t xml:space="preserve">LF </t>
        </r>
        <r>
          <rPr>
            <b/>
            <sz val="8.5"/>
            <color indexed="8"/>
            <rFont val="Calibri"/>
            <family val="2"/>
          </rPr>
          <t>» 92.2%] - [</t>
        </r>
        <r>
          <rPr>
            <b/>
            <sz val="8.5"/>
            <color indexed="48"/>
            <rFont val="Calibri"/>
            <family val="2"/>
          </rPr>
          <t xml:space="preserve">SOLD </t>
        </r>
        <r>
          <rPr>
            <b/>
            <sz val="8.5"/>
            <color indexed="8"/>
            <rFont val="Calibri"/>
            <family val="2"/>
          </rPr>
          <t>» 165 PAX]_x000D_
_x000D_
[</t>
        </r>
        <r>
          <rPr>
            <b/>
            <sz val="8.5"/>
            <color indexed="21"/>
            <rFont val="Calibri"/>
            <family val="2"/>
          </rPr>
          <t xml:space="preserve">WEEKLY </t>
        </r>
        <r>
          <rPr>
            <b/>
            <sz val="8.5"/>
            <color indexed="8"/>
            <rFont val="Calibri"/>
            <family val="2"/>
          </rPr>
          <t>» 15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W2] - [</t>
        </r>
        <r>
          <rPr>
            <b/>
            <sz val="8.5"/>
            <color indexed="48"/>
            <rFont val="Calibri"/>
            <family val="2"/>
          </rPr>
          <t>CAPACITY</t>
        </r>
        <r>
          <rPr>
            <b/>
            <sz val="8.5"/>
            <color indexed="8"/>
            <rFont val="Calibri"/>
            <family val="2"/>
          </rPr>
          <t xml:space="preserve"> » 179]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W15 &amp; T18 &amp; X4 &amp; U15 &amp; E40 &amp; P73</t>
        </r>
      </text>
    </comment>
  </commentList>
</comments>
</file>

<file path=xl/comments31.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3" authorId="0" shapeId="0" xr:uid="{B5C67A7D-DF09-4436-AD79-525D516286DF}">
      <text>
        <r>
          <rPr>
            <b/>
            <sz val="8.5"/>
            <color indexed="8"/>
            <rFont val="Calibri"/>
            <family val="2"/>
          </rPr>
          <t xml:space="preserve">-{ </t>
        </r>
        <r>
          <rPr>
            <b/>
            <sz val="10"/>
            <color indexed="10"/>
            <rFont val="Calibri"/>
            <family val="2"/>
          </rPr>
          <t>SM444</t>
        </r>
        <r>
          <rPr>
            <b/>
            <sz val="8.5"/>
            <color indexed="8"/>
            <rFont val="Calibri"/>
            <family val="2"/>
          </rPr>
          <t xml:space="preserve"> }-_x000D_
_x000D_
[</t>
        </r>
        <r>
          <rPr>
            <b/>
            <sz val="8.5"/>
            <color indexed="48"/>
            <rFont val="Calibri"/>
            <family val="2"/>
          </rPr>
          <t xml:space="preserve">LF </t>
        </r>
        <r>
          <rPr>
            <b/>
            <sz val="8.5"/>
            <color indexed="8"/>
            <rFont val="Calibri"/>
            <family val="2"/>
          </rPr>
          <t>» 67.9%] - [</t>
        </r>
        <r>
          <rPr>
            <b/>
            <sz val="8.5"/>
            <color indexed="48"/>
            <rFont val="Calibri"/>
            <family val="2"/>
          </rPr>
          <t xml:space="preserve">SOLD </t>
        </r>
        <r>
          <rPr>
            <b/>
            <sz val="8.5"/>
            <color indexed="8"/>
            <rFont val="Calibri"/>
            <family val="2"/>
          </rPr>
          <t>» 110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Q9] - [</t>
        </r>
        <r>
          <rPr>
            <b/>
            <sz val="8.5"/>
            <color indexed="48"/>
            <rFont val="Calibri"/>
            <family val="2"/>
          </rPr>
          <t>CAPACITY</t>
        </r>
        <r>
          <rPr>
            <b/>
            <sz val="8.5"/>
            <color indexed="8"/>
            <rFont val="Calibri"/>
            <family val="2"/>
          </rPr>
          <t xml:space="preserve"> » 162]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Q15 &amp; K32 &amp; V36 &amp; L9 &amp; G9 &amp; S1 &amp; W8</t>
        </r>
      </text>
    </comment>
    <comment ref="B3" authorId="0" shapeId="0" xr:uid="{E60269F4-5879-405C-95FD-3035D2B13FD7}">
      <text>
        <r>
          <rPr>
            <b/>
            <sz val="8.5"/>
            <color indexed="8"/>
            <rFont val="Calibri"/>
            <family val="2"/>
          </rPr>
          <t xml:space="preserve">-{ </t>
        </r>
        <r>
          <rPr>
            <b/>
            <sz val="10"/>
            <color indexed="10"/>
            <rFont val="Calibri"/>
            <family val="2"/>
          </rPr>
          <t>SM444</t>
        </r>
        <r>
          <rPr>
            <b/>
            <sz val="8.5"/>
            <color indexed="8"/>
            <rFont val="Calibri"/>
            <family val="2"/>
          </rPr>
          <t xml:space="preserve"> }-_x000D_
_x000D_
[</t>
        </r>
        <r>
          <rPr>
            <b/>
            <sz val="8.5"/>
            <color indexed="48"/>
            <rFont val="Calibri"/>
            <family val="2"/>
          </rPr>
          <t xml:space="preserve">LF </t>
        </r>
        <r>
          <rPr>
            <b/>
            <sz val="8.5"/>
            <color indexed="8"/>
            <rFont val="Calibri"/>
            <family val="2"/>
          </rPr>
          <t>» 67.9%] - [</t>
        </r>
        <r>
          <rPr>
            <b/>
            <sz val="8.5"/>
            <color indexed="48"/>
            <rFont val="Calibri"/>
            <family val="2"/>
          </rPr>
          <t xml:space="preserve">SOLD </t>
        </r>
        <r>
          <rPr>
            <b/>
            <sz val="8.5"/>
            <color indexed="8"/>
            <rFont val="Calibri"/>
            <family val="2"/>
          </rPr>
          <t>» 110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Q9] - [</t>
        </r>
        <r>
          <rPr>
            <b/>
            <sz val="8.5"/>
            <color indexed="48"/>
            <rFont val="Calibri"/>
            <family val="2"/>
          </rPr>
          <t>CAPACITY</t>
        </r>
        <r>
          <rPr>
            <b/>
            <sz val="8.5"/>
            <color indexed="8"/>
            <rFont val="Calibri"/>
            <family val="2"/>
          </rPr>
          <t xml:space="preserve"> » 162]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Q15 &amp; K32 &amp; V36 &amp; L9 &amp; G9 &amp; S1 &amp; W8</t>
        </r>
      </text>
    </comment>
    <comment ref="C3" authorId="0" shapeId="0" xr:uid="{82439EE2-8403-4F01-9BF6-E48261E5981D}">
      <text>
        <r>
          <rPr>
            <b/>
            <sz val="8.5"/>
            <color indexed="8"/>
            <rFont val="Calibri"/>
            <family val="2"/>
          </rPr>
          <t xml:space="preserve">-{ </t>
        </r>
        <r>
          <rPr>
            <b/>
            <sz val="10"/>
            <color indexed="10"/>
            <rFont val="Calibri"/>
            <family val="2"/>
          </rPr>
          <t>SM444</t>
        </r>
        <r>
          <rPr>
            <b/>
            <sz val="8.5"/>
            <color indexed="8"/>
            <rFont val="Calibri"/>
            <family val="2"/>
          </rPr>
          <t xml:space="preserve"> }-_x000D_
_x000D_
[</t>
        </r>
        <r>
          <rPr>
            <b/>
            <sz val="8.5"/>
            <color indexed="48"/>
            <rFont val="Calibri"/>
            <family val="2"/>
          </rPr>
          <t xml:space="preserve">LF </t>
        </r>
        <r>
          <rPr>
            <b/>
            <sz val="8.5"/>
            <color indexed="8"/>
            <rFont val="Calibri"/>
            <family val="2"/>
          </rPr>
          <t>» 67.9%] - [</t>
        </r>
        <r>
          <rPr>
            <b/>
            <sz val="8.5"/>
            <color indexed="48"/>
            <rFont val="Calibri"/>
            <family val="2"/>
          </rPr>
          <t xml:space="preserve">SOLD </t>
        </r>
        <r>
          <rPr>
            <b/>
            <sz val="8.5"/>
            <color indexed="8"/>
            <rFont val="Calibri"/>
            <family val="2"/>
          </rPr>
          <t>» 110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Q9] - [</t>
        </r>
        <r>
          <rPr>
            <b/>
            <sz val="8.5"/>
            <color indexed="48"/>
            <rFont val="Calibri"/>
            <family val="2"/>
          </rPr>
          <t>CAPACITY</t>
        </r>
        <r>
          <rPr>
            <b/>
            <sz val="8.5"/>
            <color indexed="8"/>
            <rFont val="Calibri"/>
            <family val="2"/>
          </rPr>
          <t xml:space="preserve"> » 162]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Q15 &amp; K32 &amp; V36 &amp; L9 &amp; G9 &amp; S1 &amp; W8</t>
        </r>
      </text>
    </comment>
    <comment ref="D3" authorId="0" shapeId="0" xr:uid="{524BF58C-56E0-41C6-A940-E4674558330A}">
      <text>
        <r>
          <rPr>
            <b/>
            <sz val="8.5"/>
            <color indexed="8"/>
            <rFont val="Calibri"/>
            <family val="2"/>
          </rPr>
          <t xml:space="preserve">-{ </t>
        </r>
        <r>
          <rPr>
            <b/>
            <sz val="10"/>
            <color indexed="10"/>
            <rFont val="Calibri"/>
            <family val="2"/>
          </rPr>
          <t>SM444</t>
        </r>
        <r>
          <rPr>
            <b/>
            <sz val="8.5"/>
            <color indexed="8"/>
            <rFont val="Calibri"/>
            <family val="2"/>
          </rPr>
          <t xml:space="preserve"> }-_x000D_
_x000D_
[</t>
        </r>
        <r>
          <rPr>
            <b/>
            <sz val="8.5"/>
            <color indexed="48"/>
            <rFont val="Calibri"/>
            <family val="2"/>
          </rPr>
          <t xml:space="preserve">LF </t>
        </r>
        <r>
          <rPr>
            <b/>
            <sz val="8.5"/>
            <color indexed="8"/>
            <rFont val="Calibri"/>
            <family val="2"/>
          </rPr>
          <t>» 67.9%] - [</t>
        </r>
        <r>
          <rPr>
            <b/>
            <sz val="8.5"/>
            <color indexed="48"/>
            <rFont val="Calibri"/>
            <family val="2"/>
          </rPr>
          <t xml:space="preserve">SOLD </t>
        </r>
        <r>
          <rPr>
            <b/>
            <sz val="8.5"/>
            <color indexed="8"/>
            <rFont val="Calibri"/>
            <family val="2"/>
          </rPr>
          <t>» 110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Q9] - [</t>
        </r>
        <r>
          <rPr>
            <b/>
            <sz val="8.5"/>
            <color indexed="48"/>
            <rFont val="Calibri"/>
            <family val="2"/>
          </rPr>
          <t>CAPACITY</t>
        </r>
        <r>
          <rPr>
            <b/>
            <sz val="8.5"/>
            <color indexed="8"/>
            <rFont val="Calibri"/>
            <family val="2"/>
          </rPr>
          <t xml:space="preserve"> » 162]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Q15 &amp; K32 &amp; V36 &amp; L9 &amp; G9 &amp; S1 &amp; W8</t>
        </r>
      </text>
    </comment>
    <comment ref="E3" authorId="0" shapeId="0" xr:uid="{A7C94082-470B-4780-932B-BC8B443790E2}">
      <text>
        <r>
          <rPr>
            <b/>
            <sz val="8.5"/>
            <color indexed="8"/>
            <rFont val="Calibri"/>
            <family val="2"/>
          </rPr>
          <t xml:space="preserve">-{ </t>
        </r>
        <r>
          <rPr>
            <b/>
            <sz val="10"/>
            <color indexed="10"/>
            <rFont val="Calibri"/>
            <family val="2"/>
          </rPr>
          <t>SM444</t>
        </r>
        <r>
          <rPr>
            <b/>
            <sz val="8.5"/>
            <color indexed="8"/>
            <rFont val="Calibri"/>
            <family val="2"/>
          </rPr>
          <t xml:space="preserve"> }-_x000D_
_x000D_
[</t>
        </r>
        <r>
          <rPr>
            <b/>
            <sz val="8.5"/>
            <color indexed="48"/>
            <rFont val="Calibri"/>
            <family val="2"/>
          </rPr>
          <t xml:space="preserve">LF </t>
        </r>
        <r>
          <rPr>
            <b/>
            <sz val="8.5"/>
            <color indexed="8"/>
            <rFont val="Calibri"/>
            <family val="2"/>
          </rPr>
          <t>» 67.9%] - [</t>
        </r>
        <r>
          <rPr>
            <b/>
            <sz val="8.5"/>
            <color indexed="48"/>
            <rFont val="Calibri"/>
            <family val="2"/>
          </rPr>
          <t xml:space="preserve">SOLD </t>
        </r>
        <r>
          <rPr>
            <b/>
            <sz val="8.5"/>
            <color indexed="8"/>
            <rFont val="Calibri"/>
            <family val="2"/>
          </rPr>
          <t>» 110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Q9] - [</t>
        </r>
        <r>
          <rPr>
            <b/>
            <sz val="8.5"/>
            <color indexed="48"/>
            <rFont val="Calibri"/>
            <family val="2"/>
          </rPr>
          <t>CAPACITY</t>
        </r>
        <r>
          <rPr>
            <b/>
            <sz val="8.5"/>
            <color indexed="8"/>
            <rFont val="Calibri"/>
            <family val="2"/>
          </rPr>
          <t xml:space="preserve"> » 162]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Q15 &amp; K32 &amp; V36 &amp; L9 &amp; G9 &amp; S1 &amp; W8</t>
        </r>
      </text>
    </comment>
    <comment ref="F3" authorId="0" shapeId="0" xr:uid="{A4CB27C7-9387-4883-818F-02CD32F9C9C9}">
      <text>
        <r>
          <rPr>
            <b/>
            <sz val="8.5"/>
            <color indexed="8"/>
            <rFont val="Calibri"/>
            <family val="2"/>
          </rPr>
          <t xml:space="preserve">-{ </t>
        </r>
        <r>
          <rPr>
            <b/>
            <sz val="10"/>
            <color indexed="10"/>
            <rFont val="Calibri"/>
            <family val="2"/>
          </rPr>
          <t>SM444</t>
        </r>
        <r>
          <rPr>
            <b/>
            <sz val="8.5"/>
            <color indexed="8"/>
            <rFont val="Calibri"/>
            <family val="2"/>
          </rPr>
          <t xml:space="preserve"> }-_x000D_
_x000D_
[</t>
        </r>
        <r>
          <rPr>
            <b/>
            <sz val="8.5"/>
            <color indexed="48"/>
            <rFont val="Calibri"/>
            <family val="2"/>
          </rPr>
          <t xml:space="preserve">LF </t>
        </r>
        <r>
          <rPr>
            <b/>
            <sz val="8.5"/>
            <color indexed="8"/>
            <rFont val="Calibri"/>
            <family val="2"/>
          </rPr>
          <t>» 67.9%] - [</t>
        </r>
        <r>
          <rPr>
            <b/>
            <sz val="8.5"/>
            <color indexed="48"/>
            <rFont val="Calibri"/>
            <family val="2"/>
          </rPr>
          <t xml:space="preserve">SOLD </t>
        </r>
        <r>
          <rPr>
            <b/>
            <sz val="8.5"/>
            <color indexed="8"/>
            <rFont val="Calibri"/>
            <family val="2"/>
          </rPr>
          <t>» 110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Q9] - [</t>
        </r>
        <r>
          <rPr>
            <b/>
            <sz val="8.5"/>
            <color indexed="48"/>
            <rFont val="Calibri"/>
            <family val="2"/>
          </rPr>
          <t>CAPACITY</t>
        </r>
        <r>
          <rPr>
            <b/>
            <sz val="8.5"/>
            <color indexed="8"/>
            <rFont val="Calibri"/>
            <family val="2"/>
          </rPr>
          <t xml:space="preserve"> » 162]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Q15 &amp; K32 &amp; V36 &amp; L9 &amp; G9 &amp; S1 &amp; W8</t>
        </r>
      </text>
    </comment>
    <comment ref="G3" authorId="0" shapeId="0" xr:uid="{61FD9746-A2B5-4253-9FE6-72B14005C26D}">
      <text>
        <r>
          <rPr>
            <b/>
            <sz val="8.5"/>
            <color indexed="8"/>
            <rFont val="Calibri"/>
            <family val="2"/>
          </rPr>
          <t xml:space="preserve">-{ </t>
        </r>
        <r>
          <rPr>
            <b/>
            <sz val="10"/>
            <color indexed="10"/>
            <rFont val="Calibri"/>
            <family val="2"/>
          </rPr>
          <t>SM444</t>
        </r>
        <r>
          <rPr>
            <b/>
            <sz val="8.5"/>
            <color indexed="8"/>
            <rFont val="Calibri"/>
            <family val="2"/>
          </rPr>
          <t xml:space="preserve"> }-_x000D_
_x000D_
[</t>
        </r>
        <r>
          <rPr>
            <b/>
            <sz val="8.5"/>
            <color indexed="48"/>
            <rFont val="Calibri"/>
            <family val="2"/>
          </rPr>
          <t xml:space="preserve">LF </t>
        </r>
        <r>
          <rPr>
            <b/>
            <sz val="8.5"/>
            <color indexed="8"/>
            <rFont val="Calibri"/>
            <family val="2"/>
          </rPr>
          <t>» 67.9%] - [</t>
        </r>
        <r>
          <rPr>
            <b/>
            <sz val="8.5"/>
            <color indexed="48"/>
            <rFont val="Calibri"/>
            <family val="2"/>
          </rPr>
          <t xml:space="preserve">SOLD </t>
        </r>
        <r>
          <rPr>
            <b/>
            <sz val="8.5"/>
            <color indexed="8"/>
            <rFont val="Calibri"/>
            <family val="2"/>
          </rPr>
          <t>» 110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Q9] - [</t>
        </r>
        <r>
          <rPr>
            <b/>
            <sz val="8.5"/>
            <color indexed="48"/>
            <rFont val="Calibri"/>
            <family val="2"/>
          </rPr>
          <t>CAPACITY</t>
        </r>
        <r>
          <rPr>
            <b/>
            <sz val="8.5"/>
            <color indexed="8"/>
            <rFont val="Calibri"/>
            <family val="2"/>
          </rPr>
          <t xml:space="preserve"> » 162]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Q15 &amp; K32 &amp; V36 &amp; L9 &amp; G9 &amp; S1 &amp; W8</t>
        </r>
      </text>
    </comment>
    <comment ref="H3" authorId="0" shapeId="0" xr:uid="{97F1BBDD-1CF0-43DB-B2CD-D56B4230D782}">
      <text>
        <r>
          <rPr>
            <b/>
            <sz val="8.5"/>
            <color indexed="8"/>
            <rFont val="Calibri"/>
            <family val="2"/>
          </rPr>
          <t xml:space="preserve">-{ </t>
        </r>
        <r>
          <rPr>
            <b/>
            <sz val="10"/>
            <color indexed="10"/>
            <rFont val="Calibri"/>
            <family val="2"/>
          </rPr>
          <t>SM444</t>
        </r>
        <r>
          <rPr>
            <b/>
            <sz val="8.5"/>
            <color indexed="8"/>
            <rFont val="Calibri"/>
            <family val="2"/>
          </rPr>
          <t xml:space="preserve"> }-_x000D_
_x000D_
[</t>
        </r>
        <r>
          <rPr>
            <b/>
            <sz val="8.5"/>
            <color indexed="48"/>
            <rFont val="Calibri"/>
            <family val="2"/>
          </rPr>
          <t xml:space="preserve">LF </t>
        </r>
        <r>
          <rPr>
            <b/>
            <sz val="8.5"/>
            <color indexed="8"/>
            <rFont val="Calibri"/>
            <family val="2"/>
          </rPr>
          <t>» 67.9%] - [</t>
        </r>
        <r>
          <rPr>
            <b/>
            <sz val="8.5"/>
            <color indexed="48"/>
            <rFont val="Calibri"/>
            <family val="2"/>
          </rPr>
          <t xml:space="preserve">SOLD </t>
        </r>
        <r>
          <rPr>
            <b/>
            <sz val="8.5"/>
            <color indexed="8"/>
            <rFont val="Calibri"/>
            <family val="2"/>
          </rPr>
          <t>» 110 PAX]_x000D_
_x000D_
[</t>
        </r>
        <r>
          <rPr>
            <b/>
            <sz val="8.5"/>
            <color indexed="21"/>
            <rFont val="Calibri"/>
            <family val="2"/>
          </rPr>
          <t xml:space="preserve">WEEKLY </t>
        </r>
        <r>
          <rPr>
            <b/>
            <sz val="8.5"/>
            <color indexed="8"/>
            <rFont val="Calibri"/>
            <family val="2"/>
          </rPr>
          <t>» 21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2]_x000D_
_x000D_
[</t>
        </r>
        <r>
          <rPr>
            <b/>
            <sz val="8.5"/>
            <color indexed="48"/>
            <rFont val="Calibri"/>
            <family val="2"/>
          </rPr>
          <t>LOWESTAVAIL</t>
        </r>
        <r>
          <rPr>
            <b/>
            <sz val="8.5"/>
            <color indexed="8"/>
            <rFont val="Calibri"/>
            <family val="2"/>
          </rPr>
          <t xml:space="preserve"> » Q9] - [</t>
        </r>
        <r>
          <rPr>
            <b/>
            <sz val="8.5"/>
            <color indexed="48"/>
            <rFont val="Calibri"/>
            <family val="2"/>
          </rPr>
          <t>CAPACITY</t>
        </r>
        <r>
          <rPr>
            <b/>
            <sz val="8.5"/>
            <color indexed="8"/>
            <rFont val="Calibri"/>
            <family val="2"/>
          </rPr>
          <t xml:space="preserve"> » 162]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Q15 &amp; K32 &amp; V36 &amp; L9 &amp; G9 &amp; S1 &amp; W8</t>
        </r>
      </text>
    </comment>
    <comment ref="A6" authorId="0" shapeId="0" xr:uid="{DCB440F2-CBB7-494B-94B3-BB0272448828}">
      <text>
        <r>
          <rPr>
            <b/>
            <sz val="8.5"/>
            <color indexed="8"/>
            <rFont val="Calibri"/>
            <family val="2"/>
          </rPr>
          <t xml:space="preserve">-{ </t>
        </r>
        <r>
          <rPr>
            <b/>
            <sz val="10"/>
            <color indexed="10"/>
            <rFont val="Calibri"/>
            <family val="2"/>
          </rPr>
          <t>SM444</t>
        </r>
        <r>
          <rPr>
            <b/>
            <sz val="8.5"/>
            <color indexed="8"/>
            <rFont val="Calibri"/>
            <family val="2"/>
          </rPr>
          <t xml:space="preserve"> }-_x000D_
_x000D_
[</t>
        </r>
        <r>
          <rPr>
            <b/>
            <sz val="8.5"/>
            <color indexed="48"/>
            <rFont val="Calibri"/>
            <family val="2"/>
          </rPr>
          <t xml:space="preserve">LF </t>
        </r>
        <r>
          <rPr>
            <b/>
            <sz val="8.5"/>
            <color indexed="8"/>
            <rFont val="Calibri"/>
            <family val="2"/>
          </rPr>
          <t>» 86.9%] - [</t>
        </r>
        <r>
          <rPr>
            <b/>
            <sz val="8.5"/>
            <color indexed="48"/>
            <rFont val="Calibri"/>
            <family val="2"/>
          </rPr>
          <t xml:space="preserve">SOLD </t>
        </r>
        <r>
          <rPr>
            <b/>
            <sz val="8.5"/>
            <color indexed="8"/>
            <rFont val="Calibri"/>
            <family val="2"/>
          </rPr>
          <t>» 146 PAX]_x000D_
_x000D_
[</t>
        </r>
        <r>
          <rPr>
            <b/>
            <sz val="8.5"/>
            <color indexed="21"/>
            <rFont val="Calibri"/>
            <family val="2"/>
          </rPr>
          <t xml:space="preserve">WEEKLY </t>
        </r>
        <r>
          <rPr>
            <b/>
            <sz val="8.5"/>
            <color indexed="8"/>
            <rFont val="Calibri"/>
            <family val="2"/>
          </rPr>
          <t>» 43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17]_x000D_
_x000D_
[</t>
        </r>
        <r>
          <rPr>
            <b/>
            <sz val="8.5"/>
            <color indexed="48"/>
            <rFont val="Calibri"/>
            <family val="2"/>
          </rPr>
          <t>LOWESTAVAIL</t>
        </r>
        <r>
          <rPr>
            <b/>
            <sz val="8.5"/>
            <color indexed="8"/>
            <rFont val="Calibri"/>
            <family val="2"/>
          </rPr>
          <t xml:space="preserve"> » V9]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Q1 &amp; L15 &amp; G15 &amp; S20 &amp; W20 &amp; T19 &amp; X16 &amp; U20 &amp; O20</t>
        </r>
      </text>
    </comment>
    <comment ref="B6" authorId="0" shapeId="0" xr:uid="{42BBBA18-76B2-44C6-872C-D190F75DD685}">
      <text>
        <r>
          <rPr>
            <b/>
            <sz val="8.5"/>
            <color indexed="8"/>
            <rFont val="Calibri"/>
            <family val="2"/>
          </rPr>
          <t xml:space="preserve">-{ </t>
        </r>
        <r>
          <rPr>
            <b/>
            <sz val="10"/>
            <color indexed="10"/>
            <rFont val="Calibri"/>
            <family val="2"/>
          </rPr>
          <t>SM444</t>
        </r>
        <r>
          <rPr>
            <b/>
            <sz val="8.5"/>
            <color indexed="8"/>
            <rFont val="Calibri"/>
            <family val="2"/>
          </rPr>
          <t xml:space="preserve"> }-_x000D_
_x000D_
[</t>
        </r>
        <r>
          <rPr>
            <b/>
            <sz val="8.5"/>
            <color indexed="48"/>
            <rFont val="Calibri"/>
            <family val="2"/>
          </rPr>
          <t xml:space="preserve">LF </t>
        </r>
        <r>
          <rPr>
            <b/>
            <sz val="8.5"/>
            <color indexed="8"/>
            <rFont val="Calibri"/>
            <family val="2"/>
          </rPr>
          <t>» 86.9%] - [</t>
        </r>
        <r>
          <rPr>
            <b/>
            <sz val="8.5"/>
            <color indexed="48"/>
            <rFont val="Calibri"/>
            <family val="2"/>
          </rPr>
          <t xml:space="preserve">SOLD </t>
        </r>
        <r>
          <rPr>
            <b/>
            <sz val="8.5"/>
            <color indexed="8"/>
            <rFont val="Calibri"/>
            <family val="2"/>
          </rPr>
          <t>» 146 PAX]_x000D_
_x000D_
[</t>
        </r>
        <r>
          <rPr>
            <b/>
            <sz val="8.5"/>
            <color indexed="21"/>
            <rFont val="Calibri"/>
            <family val="2"/>
          </rPr>
          <t xml:space="preserve">WEEKLY </t>
        </r>
        <r>
          <rPr>
            <b/>
            <sz val="8.5"/>
            <color indexed="8"/>
            <rFont val="Calibri"/>
            <family val="2"/>
          </rPr>
          <t>» 43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17]_x000D_
_x000D_
[</t>
        </r>
        <r>
          <rPr>
            <b/>
            <sz val="8.5"/>
            <color indexed="48"/>
            <rFont val="Calibri"/>
            <family val="2"/>
          </rPr>
          <t>LOWESTAVAIL</t>
        </r>
        <r>
          <rPr>
            <b/>
            <sz val="8.5"/>
            <color indexed="8"/>
            <rFont val="Calibri"/>
            <family val="2"/>
          </rPr>
          <t xml:space="preserve"> » V9]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Q1 &amp; L15 &amp; G15 &amp; S20 &amp; W20 &amp; T19 &amp; X16 &amp; U20 &amp; O20</t>
        </r>
      </text>
    </comment>
    <comment ref="C6" authorId="0" shapeId="0" xr:uid="{8F306693-D445-408D-9FCC-DAEBBE4B4E08}">
      <text>
        <r>
          <rPr>
            <b/>
            <sz val="8.5"/>
            <color indexed="8"/>
            <rFont val="Calibri"/>
            <family val="2"/>
          </rPr>
          <t xml:space="preserve">-{ </t>
        </r>
        <r>
          <rPr>
            <b/>
            <sz val="10"/>
            <color indexed="10"/>
            <rFont val="Calibri"/>
            <family val="2"/>
          </rPr>
          <t>SM444</t>
        </r>
        <r>
          <rPr>
            <b/>
            <sz val="8.5"/>
            <color indexed="8"/>
            <rFont val="Calibri"/>
            <family val="2"/>
          </rPr>
          <t xml:space="preserve"> }-_x000D_
_x000D_
[</t>
        </r>
        <r>
          <rPr>
            <b/>
            <sz val="8.5"/>
            <color indexed="48"/>
            <rFont val="Calibri"/>
            <family val="2"/>
          </rPr>
          <t xml:space="preserve">LF </t>
        </r>
        <r>
          <rPr>
            <b/>
            <sz val="8.5"/>
            <color indexed="8"/>
            <rFont val="Calibri"/>
            <family val="2"/>
          </rPr>
          <t>» 86.9%] - [</t>
        </r>
        <r>
          <rPr>
            <b/>
            <sz val="8.5"/>
            <color indexed="48"/>
            <rFont val="Calibri"/>
            <family val="2"/>
          </rPr>
          <t xml:space="preserve">SOLD </t>
        </r>
        <r>
          <rPr>
            <b/>
            <sz val="8.5"/>
            <color indexed="8"/>
            <rFont val="Calibri"/>
            <family val="2"/>
          </rPr>
          <t>» 146 PAX]_x000D_
_x000D_
[</t>
        </r>
        <r>
          <rPr>
            <b/>
            <sz val="8.5"/>
            <color indexed="21"/>
            <rFont val="Calibri"/>
            <family val="2"/>
          </rPr>
          <t xml:space="preserve">WEEKLY </t>
        </r>
        <r>
          <rPr>
            <b/>
            <sz val="8.5"/>
            <color indexed="8"/>
            <rFont val="Calibri"/>
            <family val="2"/>
          </rPr>
          <t>» 43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17]_x000D_
_x000D_
[</t>
        </r>
        <r>
          <rPr>
            <b/>
            <sz val="8.5"/>
            <color indexed="48"/>
            <rFont val="Calibri"/>
            <family val="2"/>
          </rPr>
          <t>LOWESTAVAIL</t>
        </r>
        <r>
          <rPr>
            <b/>
            <sz val="8.5"/>
            <color indexed="8"/>
            <rFont val="Calibri"/>
            <family val="2"/>
          </rPr>
          <t xml:space="preserve"> » V9]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Q1 &amp; L15 &amp; G15 &amp; S20 &amp; W20 &amp; T19 &amp; X16 &amp; U20 &amp; O20</t>
        </r>
      </text>
    </comment>
    <comment ref="D6" authorId="0" shapeId="0" xr:uid="{FF114B72-292D-4216-963A-DA6A7439AEDB}">
      <text>
        <r>
          <rPr>
            <b/>
            <sz val="8.5"/>
            <color indexed="8"/>
            <rFont val="Calibri"/>
            <family val="2"/>
          </rPr>
          <t xml:space="preserve">-{ </t>
        </r>
        <r>
          <rPr>
            <b/>
            <sz val="10"/>
            <color indexed="10"/>
            <rFont val="Calibri"/>
            <family val="2"/>
          </rPr>
          <t>SM444</t>
        </r>
        <r>
          <rPr>
            <b/>
            <sz val="8.5"/>
            <color indexed="8"/>
            <rFont val="Calibri"/>
            <family val="2"/>
          </rPr>
          <t xml:space="preserve"> }-_x000D_
_x000D_
[</t>
        </r>
        <r>
          <rPr>
            <b/>
            <sz val="8.5"/>
            <color indexed="48"/>
            <rFont val="Calibri"/>
            <family val="2"/>
          </rPr>
          <t xml:space="preserve">LF </t>
        </r>
        <r>
          <rPr>
            <b/>
            <sz val="8.5"/>
            <color indexed="8"/>
            <rFont val="Calibri"/>
            <family val="2"/>
          </rPr>
          <t>» 86.9%] - [</t>
        </r>
        <r>
          <rPr>
            <b/>
            <sz val="8.5"/>
            <color indexed="48"/>
            <rFont val="Calibri"/>
            <family val="2"/>
          </rPr>
          <t xml:space="preserve">SOLD </t>
        </r>
        <r>
          <rPr>
            <b/>
            <sz val="8.5"/>
            <color indexed="8"/>
            <rFont val="Calibri"/>
            <family val="2"/>
          </rPr>
          <t>» 146 PAX]_x000D_
_x000D_
[</t>
        </r>
        <r>
          <rPr>
            <b/>
            <sz val="8.5"/>
            <color indexed="21"/>
            <rFont val="Calibri"/>
            <family val="2"/>
          </rPr>
          <t xml:space="preserve">WEEKLY </t>
        </r>
        <r>
          <rPr>
            <b/>
            <sz val="8.5"/>
            <color indexed="8"/>
            <rFont val="Calibri"/>
            <family val="2"/>
          </rPr>
          <t>» 43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17]_x000D_
_x000D_
[</t>
        </r>
        <r>
          <rPr>
            <b/>
            <sz val="8.5"/>
            <color indexed="48"/>
            <rFont val="Calibri"/>
            <family val="2"/>
          </rPr>
          <t>LOWESTAVAIL</t>
        </r>
        <r>
          <rPr>
            <b/>
            <sz val="8.5"/>
            <color indexed="8"/>
            <rFont val="Calibri"/>
            <family val="2"/>
          </rPr>
          <t xml:space="preserve"> » V9]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Q1 &amp; L15 &amp; G15 &amp; S20 &amp; W20 &amp; T19 &amp; X16 &amp; U20 &amp; O20</t>
        </r>
      </text>
    </comment>
    <comment ref="E6" authorId="0" shapeId="0" xr:uid="{93C6236C-902A-4553-BE9A-53420023E608}">
      <text>
        <r>
          <rPr>
            <b/>
            <sz val="8.5"/>
            <color indexed="8"/>
            <rFont val="Calibri"/>
            <family val="2"/>
          </rPr>
          <t xml:space="preserve">-{ </t>
        </r>
        <r>
          <rPr>
            <b/>
            <sz val="10"/>
            <color indexed="10"/>
            <rFont val="Calibri"/>
            <family val="2"/>
          </rPr>
          <t>SM444</t>
        </r>
        <r>
          <rPr>
            <b/>
            <sz val="8.5"/>
            <color indexed="8"/>
            <rFont val="Calibri"/>
            <family val="2"/>
          </rPr>
          <t xml:space="preserve"> }-_x000D_
_x000D_
[</t>
        </r>
        <r>
          <rPr>
            <b/>
            <sz val="8.5"/>
            <color indexed="48"/>
            <rFont val="Calibri"/>
            <family val="2"/>
          </rPr>
          <t xml:space="preserve">LF </t>
        </r>
        <r>
          <rPr>
            <b/>
            <sz val="8.5"/>
            <color indexed="8"/>
            <rFont val="Calibri"/>
            <family val="2"/>
          </rPr>
          <t>» 86.9%] - [</t>
        </r>
        <r>
          <rPr>
            <b/>
            <sz val="8.5"/>
            <color indexed="48"/>
            <rFont val="Calibri"/>
            <family val="2"/>
          </rPr>
          <t xml:space="preserve">SOLD </t>
        </r>
        <r>
          <rPr>
            <b/>
            <sz val="8.5"/>
            <color indexed="8"/>
            <rFont val="Calibri"/>
            <family val="2"/>
          </rPr>
          <t>» 146 PAX]_x000D_
_x000D_
[</t>
        </r>
        <r>
          <rPr>
            <b/>
            <sz val="8.5"/>
            <color indexed="21"/>
            <rFont val="Calibri"/>
            <family val="2"/>
          </rPr>
          <t xml:space="preserve">WEEKLY </t>
        </r>
        <r>
          <rPr>
            <b/>
            <sz val="8.5"/>
            <color indexed="8"/>
            <rFont val="Calibri"/>
            <family val="2"/>
          </rPr>
          <t>» 43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17]_x000D_
_x000D_
[</t>
        </r>
        <r>
          <rPr>
            <b/>
            <sz val="8.5"/>
            <color indexed="48"/>
            <rFont val="Calibri"/>
            <family val="2"/>
          </rPr>
          <t>LOWESTAVAIL</t>
        </r>
        <r>
          <rPr>
            <b/>
            <sz val="8.5"/>
            <color indexed="8"/>
            <rFont val="Calibri"/>
            <family val="2"/>
          </rPr>
          <t xml:space="preserve"> » V9]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Q1 &amp; L15 &amp; G15 &amp; S20 &amp; W20 &amp; T19 &amp; X16 &amp; U20 &amp; O20</t>
        </r>
      </text>
    </comment>
  </commentList>
</comments>
</file>

<file path=xl/comments32.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2" authorId="0" shapeId="0" xr:uid="{6A2B7EA3-929D-4D7D-887D-01413F3C4DEC}">
      <text>
        <r>
          <rPr>
            <b/>
            <sz val="8.5"/>
            <color indexed="8"/>
            <rFont val="Calibri"/>
            <family val="2"/>
          </rPr>
          <t xml:space="preserve">-{ </t>
        </r>
        <r>
          <rPr>
            <b/>
            <sz val="10"/>
            <color indexed="10"/>
            <rFont val="Calibri"/>
            <family val="2"/>
          </rPr>
          <t>SM446</t>
        </r>
        <r>
          <rPr>
            <b/>
            <sz val="8.5"/>
            <color indexed="8"/>
            <rFont val="Calibri"/>
            <family val="2"/>
          </rPr>
          <t xml:space="preserve"> }-_x000D_
_x000D_
[</t>
        </r>
        <r>
          <rPr>
            <b/>
            <sz val="8.5"/>
            <color indexed="48"/>
            <rFont val="Calibri"/>
            <family val="2"/>
          </rPr>
          <t xml:space="preserve">LF </t>
        </r>
        <r>
          <rPr>
            <b/>
            <sz val="8.5"/>
            <color indexed="8"/>
            <rFont val="Calibri"/>
            <family val="2"/>
          </rPr>
          <t>» 36.3%] - [</t>
        </r>
        <r>
          <rPr>
            <b/>
            <sz val="8.5"/>
            <color indexed="48"/>
            <rFont val="Calibri"/>
            <family val="2"/>
          </rPr>
          <t xml:space="preserve">SOLD </t>
        </r>
        <r>
          <rPr>
            <b/>
            <sz val="8.5"/>
            <color indexed="8"/>
            <rFont val="Calibri"/>
            <family val="2"/>
          </rPr>
          <t>» 61 PAX]_x000D_
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K6]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K1 &amp; V7 &amp; L8 &amp; G7 &amp; S27 &amp; W11</t>
        </r>
      </text>
    </comment>
    <comment ref="B2" authorId="0" shapeId="0" xr:uid="{3BBBF983-5B66-41C4-9DAA-45C2996E7166}">
      <text>
        <r>
          <rPr>
            <b/>
            <sz val="8.5"/>
            <color indexed="8"/>
            <rFont val="Calibri"/>
            <family val="2"/>
          </rPr>
          <t xml:space="preserve">-{ </t>
        </r>
        <r>
          <rPr>
            <b/>
            <sz val="10"/>
            <color indexed="10"/>
            <rFont val="Calibri"/>
            <family val="2"/>
          </rPr>
          <t>SM446</t>
        </r>
        <r>
          <rPr>
            <b/>
            <sz val="8.5"/>
            <color indexed="8"/>
            <rFont val="Calibri"/>
            <family val="2"/>
          </rPr>
          <t xml:space="preserve"> }-_x000D_
_x000D_
[</t>
        </r>
        <r>
          <rPr>
            <b/>
            <sz val="8.5"/>
            <color indexed="48"/>
            <rFont val="Calibri"/>
            <family val="2"/>
          </rPr>
          <t xml:space="preserve">LF </t>
        </r>
        <r>
          <rPr>
            <b/>
            <sz val="8.5"/>
            <color indexed="8"/>
            <rFont val="Calibri"/>
            <family val="2"/>
          </rPr>
          <t>» 36.3%] - [</t>
        </r>
        <r>
          <rPr>
            <b/>
            <sz val="8.5"/>
            <color indexed="48"/>
            <rFont val="Calibri"/>
            <family val="2"/>
          </rPr>
          <t xml:space="preserve">SOLD </t>
        </r>
        <r>
          <rPr>
            <b/>
            <sz val="8.5"/>
            <color indexed="8"/>
            <rFont val="Calibri"/>
            <family val="2"/>
          </rPr>
          <t>» 61 PAX]_x000D_
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K6]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K1 &amp; V7 &amp; L8 &amp; G7 &amp; S27 &amp; W11</t>
        </r>
      </text>
    </comment>
    <comment ref="C2" authorId="0" shapeId="0" xr:uid="{E9D7FDF1-9044-4029-9148-0FCDB391F738}">
      <text>
        <r>
          <rPr>
            <b/>
            <sz val="8.5"/>
            <color indexed="8"/>
            <rFont val="Calibri"/>
            <family val="2"/>
          </rPr>
          <t xml:space="preserve">-{ </t>
        </r>
        <r>
          <rPr>
            <b/>
            <sz val="10"/>
            <color indexed="10"/>
            <rFont val="Calibri"/>
            <family val="2"/>
          </rPr>
          <t>SM446</t>
        </r>
        <r>
          <rPr>
            <b/>
            <sz val="8.5"/>
            <color indexed="8"/>
            <rFont val="Calibri"/>
            <family val="2"/>
          </rPr>
          <t xml:space="preserve"> }-_x000D_
_x000D_
[</t>
        </r>
        <r>
          <rPr>
            <b/>
            <sz val="8.5"/>
            <color indexed="48"/>
            <rFont val="Calibri"/>
            <family val="2"/>
          </rPr>
          <t xml:space="preserve">LF </t>
        </r>
        <r>
          <rPr>
            <b/>
            <sz val="8.5"/>
            <color indexed="8"/>
            <rFont val="Calibri"/>
            <family val="2"/>
          </rPr>
          <t>» 36.3%] - [</t>
        </r>
        <r>
          <rPr>
            <b/>
            <sz val="8.5"/>
            <color indexed="48"/>
            <rFont val="Calibri"/>
            <family val="2"/>
          </rPr>
          <t xml:space="preserve">SOLD </t>
        </r>
        <r>
          <rPr>
            <b/>
            <sz val="8.5"/>
            <color indexed="8"/>
            <rFont val="Calibri"/>
            <family val="2"/>
          </rPr>
          <t>» 61 PAX]_x000D_
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K6]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K1 &amp; V7 &amp; L8 &amp; G7 &amp; S27 &amp; W11</t>
        </r>
      </text>
    </comment>
    <comment ref="D2" authorId="0" shapeId="0" xr:uid="{2DB76364-38EF-4DA8-91B8-7E69EA930A18}">
      <text>
        <r>
          <rPr>
            <b/>
            <sz val="8.5"/>
            <color indexed="8"/>
            <rFont val="Calibri"/>
            <family val="2"/>
          </rPr>
          <t xml:space="preserve">-{ </t>
        </r>
        <r>
          <rPr>
            <b/>
            <sz val="10"/>
            <color indexed="10"/>
            <rFont val="Calibri"/>
            <family val="2"/>
          </rPr>
          <t>SM446</t>
        </r>
        <r>
          <rPr>
            <b/>
            <sz val="8.5"/>
            <color indexed="8"/>
            <rFont val="Calibri"/>
            <family val="2"/>
          </rPr>
          <t xml:space="preserve"> }-_x000D_
_x000D_
[</t>
        </r>
        <r>
          <rPr>
            <b/>
            <sz val="8.5"/>
            <color indexed="48"/>
            <rFont val="Calibri"/>
            <family val="2"/>
          </rPr>
          <t xml:space="preserve">LF </t>
        </r>
        <r>
          <rPr>
            <b/>
            <sz val="8.5"/>
            <color indexed="8"/>
            <rFont val="Calibri"/>
            <family val="2"/>
          </rPr>
          <t>» 36.3%] - [</t>
        </r>
        <r>
          <rPr>
            <b/>
            <sz val="8.5"/>
            <color indexed="48"/>
            <rFont val="Calibri"/>
            <family val="2"/>
          </rPr>
          <t xml:space="preserve">SOLD </t>
        </r>
        <r>
          <rPr>
            <b/>
            <sz val="8.5"/>
            <color indexed="8"/>
            <rFont val="Calibri"/>
            <family val="2"/>
          </rPr>
          <t>» 61 PAX]_x000D_
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K6]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K1 &amp; V7 &amp; L8 &amp; G7 &amp; S27 &amp; W11</t>
        </r>
      </text>
    </comment>
    <comment ref="E2" authorId="0" shapeId="0" xr:uid="{3EB63DE2-082A-4EDE-910E-AACC897EFCDE}">
      <text>
        <r>
          <rPr>
            <b/>
            <sz val="8.5"/>
            <color indexed="8"/>
            <rFont val="Calibri"/>
            <family val="2"/>
          </rPr>
          <t xml:space="preserve">-{ </t>
        </r>
        <r>
          <rPr>
            <b/>
            <sz val="10"/>
            <color indexed="10"/>
            <rFont val="Calibri"/>
            <family val="2"/>
          </rPr>
          <t>SM446</t>
        </r>
        <r>
          <rPr>
            <b/>
            <sz val="8.5"/>
            <color indexed="8"/>
            <rFont val="Calibri"/>
            <family val="2"/>
          </rPr>
          <t xml:space="preserve"> }-_x000D_
_x000D_
[</t>
        </r>
        <r>
          <rPr>
            <b/>
            <sz val="8.5"/>
            <color indexed="48"/>
            <rFont val="Calibri"/>
            <family val="2"/>
          </rPr>
          <t xml:space="preserve">LF </t>
        </r>
        <r>
          <rPr>
            <b/>
            <sz val="8.5"/>
            <color indexed="8"/>
            <rFont val="Calibri"/>
            <family val="2"/>
          </rPr>
          <t>» 36.3%] - [</t>
        </r>
        <r>
          <rPr>
            <b/>
            <sz val="8.5"/>
            <color indexed="48"/>
            <rFont val="Calibri"/>
            <family val="2"/>
          </rPr>
          <t xml:space="preserve">SOLD </t>
        </r>
        <r>
          <rPr>
            <b/>
            <sz val="8.5"/>
            <color indexed="8"/>
            <rFont val="Calibri"/>
            <family val="2"/>
          </rPr>
          <t>» 61 PAX]_x000D_
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K6]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K1 &amp; V7 &amp; L8 &amp; G7 &amp; S27 &amp; W11</t>
        </r>
      </text>
    </comment>
    <comment ref="F2" authorId="0" shapeId="0" xr:uid="{EC3C6F75-63E8-4F62-9B1E-C52CCAE3D604}">
      <text>
        <r>
          <rPr>
            <b/>
            <sz val="8.5"/>
            <color indexed="8"/>
            <rFont val="Calibri"/>
            <family val="2"/>
          </rPr>
          <t xml:space="preserve">-{ </t>
        </r>
        <r>
          <rPr>
            <b/>
            <sz val="10"/>
            <color indexed="10"/>
            <rFont val="Calibri"/>
            <family val="2"/>
          </rPr>
          <t>SM446</t>
        </r>
        <r>
          <rPr>
            <b/>
            <sz val="8.5"/>
            <color indexed="8"/>
            <rFont val="Calibri"/>
            <family val="2"/>
          </rPr>
          <t xml:space="preserve"> }-_x000D_
_x000D_
[</t>
        </r>
        <r>
          <rPr>
            <b/>
            <sz val="8.5"/>
            <color indexed="48"/>
            <rFont val="Calibri"/>
            <family val="2"/>
          </rPr>
          <t xml:space="preserve">LF </t>
        </r>
        <r>
          <rPr>
            <b/>
            <sz val="8.5"/>
            <color indexed="8"/>
            <rFont val="Calibri"/>
            <family val="2"/>
          </rPr>
          <t>» 36.3%] - [</t>
        </r>
        <r>
          <rPr>
            <b/>
            <sz val="8.5"/>
            <color indexed="48"/>
            <rFont val="Calibri"/>
            <family val="2"/>
          </rPr>
          <t xml:space="preserve">SOLD </t>
        </r>
        <r>
          <rPr>
            <b/>
            <sz val="8.5"/>
            <color indexed="8"/>
            <rFont val="Calibri"/>
            <family val="2"/>
          </rPr>
          <t>» 61 PAX]_x000D_
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K6]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K1 &amp; V7 &amp; L8 &amp; G7 &amp; S27 &amp; W11</t>
        </r>
      </text>
    </comment>
    <comment ref="G2" authorId="0" shapeId="0" xr:uid="{C88BB48D-9379-4AD6-91F7-E0275079E167}">
      <text>
        <r>
          <rPr>
            <b/>
            <sz val="8.5"/>
            <color indexed="8"/>
            <rFont val="Calibri"/>
            <family val="2"/>
          </rPr>
          <t xml:space="preserve">-{ </t>
        </r>
        <r>
          <rPr>
            <b/>
            <sz val="10"/>
            <color indexed="10"/>
            <rFont val="Calibri"/>
            <family val="2"/>
          </rPr>
          <t>SM446</t>
        </r>
        <r>
          <rPr>
            <b/>
            <sz val="8.5"/>
            <color indexed="8"/>
            <rFont val="Calibri"/>
            <family val="2"/>
          </rPr>
          <t xml:space="preserve"> }-_x000D_
_x000D_
[</t>
        </r>
        <r>
          <rPr>
            <b/>
            <sz val="8.5"/>
            <color indexed="48"/>
            <rFont val="Calibri"/>
            <family val="2"/>
          </rPr>
          <t xml:space="preserve">LF </t>
        </r>
        <r>
          <rPr>
            <b/>
            <sz val="8.5"/>
            <color indexed="8"/>
            <rFont val="Calibri"/>
            <family val="2"/>
          </rPr>
          <t>» 36.3%] - [</t>
        </r>
        <r>
          <rPr>
            <b/>
            <sz val="8.5"/>
            <color indexed="48"/>
            <rFont val="Calibri"/>
            <family val="2"/>
          </rPr>
          <t xml:space="preserve">SOLD </t>
        </r>
        <r>
          <rPr>
            <b/>
            <sz val="8.5"/>
            <color indexed="8"/>
            <rFont val="Calibri"/>
            <family val="2"/>
          </rPr>
          <t>» 61 PAX]_x000D_
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K6]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K1 &amp; V7 &amp; L8 &amp; G7 &amp; S27 &amp; W11</t>
        </r>
      </text>
    </comment>
    <comment ref="H2" authorId="0" shapeId="0" xr:uid="{B74B211C-E2D2-429A-B546-B5E808895D6E}">
      <text>
        <r>
          <rPr>
            <b/>
            <sz val="8.5"/>
            <color indexed="8"/>
            <rFont val="Calibri"/>
            <family val="2"/>
          </rPr>
          <t xml:space="preserve">-{ </t>
        </r>
        <r>
          <rPr>
            <b/>
            <sz val="10"/>
            <color indexed="10"/>
            <rFont val="Calibri"/>
            <family val="2"/>
          </rPr>
          <t>SM446</t>
        </r>
        <r>
          <rPr>
            <b/>
            <sz val="8.5"/>
            <color indexed="8"/>
            <rFont val="Calibri"/>
            <family val="2"/>
          </rPr>
          <t xml:space="preserve"> }-_x000D_
_x000D_
[</t>
        </r>
        <r>
          <rPr>
            <b/>
            <sz val="8.5"/>
            <color indexed="48"/>
            <rFont val="Calibri"/>
            <family val="2"/>
          </rPr>
          <t xml:space="preserve">LF </t>
        </r>
        <r>
          <rPr>
            <b/>
            <sz val="8.5"/>
            <color indexed="8"/>
            <rFont val="Calibri"/>
            <family val="2"/>
          </rPr>
          <t>» 36.3%] - [</t>
        </r>
        <r>
          <rPr>
            <b/>
            <sz val="8.5"/>
            <color indexed="48"/>
            <rFont val="Calibri"/>
            <family val="2"/>
          </rPr>
          <t xml:space="preserve">SOLD </t>
        </r>
        <r>
          <rPr>
            <b/>
            <sz val="8.5"/>
            <color indexed="8"/>
            <rFont val="Calibri"/>
            <family val="2"/>
          </rPr>
          <t>» 61 PAX]_x000D_
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K6]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K1 &amp; V7 &amp; L8 &amp; G7 &amp; S27 &amp; W11</t>
        </r>
      </text>
    </comment>
  </commentList>
</comments>
</file>

<file path=xl/comments33.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2" authorId="0" shapeId="0" xr:uid="{020CB7BB-38DE-4F33-8A33-3F4209F75688}">
      <text>
        <r>
          <rPr>
            <b/>
            <sz val="8.5"/>
            <color indexed="8"/>
            <rFont val="Calibri"/>
            <family val="2"/>
          </rPr>
          <t xml:space="preserve">-{ </t>
        </r>
        <r>
          <rPr>
            <b/>
            <sz val="10"/>
            <color indexed="10"/>
            <rFont val="Calibri"/>
            <family val="2"/>
          </rPr>
          <t>SM446</t>
        </r>
        <r>
          <rPr>
            <b/>
            <sz val="8.5"/>
            <color indexed="8"/>
            <rFont val="Calibri"/>
            <family val="2"/>
          </rPr>
          <t xml:space="preserve"> }-_x000D_
_x000D_
[</t>
        </r>
        <r>
          <rPr>
            <b/>
            <sz val="8.5"/>
            <color indexed="48"/>
            <rFont val="Calibri"/>
            <family val="2"/>
          </rPr>
          <t xml:space="preserve">LF </t>
        </r>
        <r>
          <rPr>
            <b/>
            <sz val="8.5"/>
            <color indexed="8"/>
            <rFont val="Calibri"/>
            <family val="2"/>
          </rPr>
          <t>» 36.3%] - [</t>
        </r>
        <r>
          <rPr>
            <b/>
            <sz val="8.5"/>
            <color indexed="48"/>
            <rFont val="Calibri"/>
            <family val="2"/>
          </rPr>
          <t xml:space="preserve">SOLD </t>
        </r>
        <r>
          <rPr>
            <b/>
            <sz val="8.5"/>
            <color indexed="8"/>
            <rFont val="Calibri"/>
            <family val="2"/>
          </rPr>
          <t>» 61 PAX]_x000D_
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K6]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K1 &amp; V7 &amp; L8 &amp; G7 &amp; S27 &amp; W11</t>
        </r>
      </text>
    </comment>
    <comment ref="B2" authorId="0" shapeId="0" xr:uid="{70F05DAF-22FA-4434-BF11-56A99F59BE44}">
      <text>
        <r>
          <rPr>
            <b/>
            <sz val="8.5"/>
            <color indexed="8"/>
            <rFont val="Calibri"/>
            <family val="2"/>
          </rPr>
          <t xml:space="preserve">-{ </t>
        </r>
        <r>
          <rPr>
            <b/>
            <sz val="10"/>
            <color indexed="10"/>
            <rFont val="Calibri"/>
            <family val="2"/>
          </rPr>
          <t>SM446</t>
        </r>
        <r>
          <rPr>
            <b/>
            <sz val="8.5"/>
            <color indexed="8"/>
            <rFont val="Calibri"/>
            <family val="2"/>
          </rPr>
          <t xml:space="preserve"> }-_x000D_
_x000D_
[</t>
        </r>
        <r>
          <rPr>
            <b/>
            <sz val="8.5"/>
            <color indexed="48"/>
            <rFont val="Calibri"/>
            <family val="2"/>
          </rPr>
          <t xml:space="preserve">LF </t>
        </r>
        <r>
          <rPr>
            <b/>
            <sz val="8.5"/>
            <color indexed="8"/>
            <rFont val="Calibri"/>
            <family val="2"/>
          </rPr>
          <t>» 36.3%] - [</t>
        </r>
        <r>
          <rPr>
            <b/>
            <sz val="8.5"/>
            <color indexed="48"/>
            <rFont val="Calibri"/>
            <family val="2"/>
          </rPr>
          <t xml:space="preserve">SOLD </t>
        </r>
        <r>
          <rPr>
            <b/>
            <sz val="8.5"/>
            <color indexed="8"/>
            <rFont val="Calibri"/>
            <family val="2"/>
          </rPr>
          <t>» 61 PAX]_x000D_
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K6]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K1 &amp; V7 &amp; L8 &amp; G7 &amp; S27 &amp; W11</t>
        </r>
      </text>
    </comment>
    <comment ref="C2" authorId="0" shapeId="0" xr:uid="{C7CD53BE-C005-442A-B615-EA076852645E}">
      <text>
        <r>
          <rPr>
            <b/>
            <sz val="8.5"/>
            <color indexed="8"/>
            <rFont val="Calibri"/>
            <family val="2"/>
          </rPr>
          <t xml:space="preserve">-{ </t>
        </r>
        <r>
          <rPr>
            <b/>
            <sz val="10"/>
            <color indexed="10"/>
            <rFont val="Calibri"/>
            <family val="2"/>
          </rPr>
          <t>SM446</t>
        </r>
        <r>
          <rPr>
            <b/>
            <sz val="8.5"/>
            <color indexed="8"/>
            <rFont val="Calibri"/>
            <family val="2"/>
          </rPr>
          <t xml:space="preserve"> }-_x000D_
_x000D_
[</t>
        </r>
        <r>
          <rPr>
            <b/>
            <sz val="8.5"/>
            <color indexed="48"/>
            <rFont val="Calibri"/>
            <family val="2"/>
          </rPr>
          <t xml:space="preserve">LF </t>
        </r>
        <r>
          <rPr>
            <b/>
            <sz val="8.5"/>
            <color indexed="8"/>
            <rFont val="Calibri"/>
            <family val="2"/>
          </rPr>
          <t>» 36.3%] - [</t>
        </r>
        <r>
          <rPr>
            <b/>
            <sz val="8.5"/>
            <color indexed="48"/>
            <rFont val="Calibri"/>
            <family val="2"/>
          </rPr>
          <t xml:space="preserve">SOLD </t>
        </r>
        <r>
          <rPr>
            <b/>
            <sz val="8.5"/>
            <color indexed="8"/>
            <rFont val="Calibri"/>
            <family val="2"/>
          </rPr>
          <t>» 61 PAX]_x000D_
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K6]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K1 &amp; V7 &amp; L8 &amp; G7 &amp; S27 &amp; W11</t>
        </r>
      </text>
    </comment>
    <comment ref="D2" authorId="0" shapeId="0" xr:uid="{6DBD3E2D-B8E0-4408-94E4-4F5202C870F0}">
      <text>
        <r>
          <rPr>
            <b/>
            <sz val="8.5"/>
            <color indexed="8"/>
            <rFont val="Calibri"/>
            <family val="2"/>
          </rPr>
          <t xml:space="preserve">-{ </t>
        </r>
        <r>
          <rPr>
            <b/>
            <sz val="10"/>
            <color indexed="10"/>
            <rFont val="Calibri"/>
            <family val="2"/>
          </rPr>
          <t>SM446</t>
        </r>
        <r>
          <rPr>
            <b/>
            <sz val="8.5"/>
            <color indexed="8"/>
            <rFont val="Calibri"/>
            <family val="2"/>
          </rPr>
          <t xml:space="preserve"> }-_x000D_
_x000D_
[</t>
        </r>
        <r>
          <rPr>
            <b/>
            <sz val="8.5"/>
            <color indexed="48"/>
            <rFont val="Calibri"/>
            <family val="2"/>
          </rPr>
          <t xml:space="preserve">LF </t>
        </r>
        <r>
          <rPr>
            <b/>
            <sz val="8.5"/>
            <color indexed="8"/>
            <rFont val="Calibri"/>
            <family val="2"/>
          </rPr>
          <t>» 36.3%] - [</t>
        </r>
        <r>
          <rPr>
            <b/>
            <sz val="8.5"/>
            <color indexed="48"/>
            <rFont val="Calibri"/>
            <family val="2"/>
          </rPr>
          <t xml:space="preserve">SOLD </t>
        </r>
        <r>
          <rPr>
            <b/>
            <sz val="8.5"/>
            <color indexed="8"/>
            <rFont val="Calibri"/>
            <family val="2"/>
          </rPr>
          <t>» 61 PAX]_x000D_
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K6]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K1 &amp; V7 &amp; L8 &amp; G7 &amp; S27 &amp; W11</t>
        </r>
      </text>
    </comment>
    <comment ref="E2" authorId="0" shapeId="0" xr:uid="{918CC9B2-02D9-4E95-98DC-6272A6C1C682}">
      <text>
        <r>
          <rPr>
            <b/>
            <sz val="8.5"/>
            <color indexed="8"/>
            <rFont val="Calibri"/>
            <family val="2"/>
          </rPr>
          <t xml:space="preserve">-{ </t>
        </r>
        <r>
          <rPr>
            <b/>
            <sz val="10"/>
            <color indexed="10"/>
            <rFont val="Calibri"/>
            <family val="2"/>
          </rPr>
          <t>SM446</t>
        </r>
        <r>
          <rPr>
            <b/>
            <sz val="8.5"/>
            <color indexed="8"/>
            <rFont val="Calibri"/>
            <family val="2"/>
          </rPr>
          <t xml:space="preserve"> }-_x000D_
_x000D_
[</t>
        </r>
        <r>
          <rPr>
            <b/>
            <sz val="8.5"/>
            <color indexed="48"/>
            <rFont val="Calibri"/>
            <family val="2"/>
          </rPr>
          <t xml:space="preserve">LF </t>
        </r>
        <r>
          <rPr>
            <b/>
            <sz val="8.5"/>
            <color indexed="8"/>
            <rFont val="Calibri"/>
            <family val="2"/>
          </rPr>
          <t>» 36.3%] - [</t>
        </r>
        <r>
          <rPr>
            <b/>
            <sz val="8.5"/>
            <color indexed="48"/>
            <rFont val="Calibri"/>
            <family val="2"/>
          </rPr>
          <t xml:space="preserve">SOLD </t>
        </r>
        <r>
          <rPr>
            <b/>
            <sz val="8.5"/>
            <color indexed="8"/>
            <rFont val="Calibri"/>
            <family val="2"/>
          </rPr>
          <t>» 61 PAX]_x000D_
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K6]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K1 &amp; V7 &amp; L8 &amp; G7 &amp; S27 &amp; W11</t>
        </r>
      </text>
    </comment>
    <comment ref="F2" authorId="0" shapeId="0" xr:uid="{2E22147C-1ACA-4681-8FC6-7C74CB87193A}">
      <text>
        <r>
          <rPr>
            <b/>
            <sz val="8.5"/>
            <color indexed="8"/>
            <rFont val="Calibri"/>
            <family val="2"/>
          </rPr>
          <t xml:space="preserve">-{ </t>
        </r>
        <r>
          <rPr>
            <b/>
            <sz val="10"/>
            <color indexed="10"/>
            <rFont val="Calibri"/>
            <family val="2"/>
          </rPr>
          <t>SM446</t>
        </r>
        <r>
          <rPr>
            <b/>
            <sz val="8.5"/>
            <color indexed="8"/>
            <rFont val="Calibri"/>
            <family val="2"/>
          </rPr>
          <t xml:space="preserve"> }-_x000D_
_x000D_
[</t>
        </r>
        <r>
          <rPr>
            <b/>
            <sz val="8.5"/>
            <color indexed="48"/>
            <rFont val="Calibri"/>
            <family val="2"/>
          </rPr>
          <t>LF</t>
        </r>
        <r>
          <rPr>
            <b/>
            <sz val="8.5"/>
            <color indexed="8"/>
            <rFont val="Calibri"/>
            <family val="2"/>
          </rPr>
          <t xml:space="preserve"> » 36.3%] - [</t>
        </r>
        <r>
          <rPr>
            <b/>
            <sz val="8.5"/>
            <color indexed="48"/>
            <rFont val="Calibri"/>
            <family val="2"/>
          </rPr>
          <t xml:space="preserve">SOLD </t>
        </r>
        <r>
          <rPr>
            <b/>
            <sz val="8.5"/>
            <color indexed="8"/>
            <rFont val="Calibri"/>
            <family val="2"/>
          </rPr>
          <t>» 61 PAX]_x000D_
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K6]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K1 &amp; V7 &amp; L8 &amp; G7 &amp; S27 &amp; W11</t>
        </r>
      </text>
    </comment>
    <comment ref="G2" authorId="0" shapeId="0" xr:uid="{78BFCD23-9BE6-4E46-8D7E-72CA98AD94F9}">
      <text>
        <r>
          <rPr>
            <b/>
            <sz val="8.5"/>
            <color indexed="8"/>
            <rFont val="Calibri"/>
            <family val="2"/>
          </rPr>
          <t xml:space="preserve">-{ </t>
        </r>
        <r>
          <rPr>
            <b/>
            <sz val="10"/>
            <color indexed="10"/>
            <rFont val="Calibri"/>
            <family val="2"/>
          </rPr>
          <t>SM446</t>
        </r>
        <r>
          <rPr>
            <b/>
            <sz val="8.5"/>
            <color indexed="8"/>
            <rFont val="Calibri"/>
            <family val="2"/>
          </rPr>
          <t xml:space="preserve"> }-_x000D_
_x000D_
[</t>
        </r>
        <r>
          <rPr>
            <b/>
            <sz val="8.5"/>
            <color indexed="48"/>
            <rFont val="Calibri"/>
            <family val="2"/>
          </rPr>
          <t xml:space="preserve">LF </t>
        </r>
        <r>
          <rPr>
            <b/>
            <sz val="8.5"/>
            <color indexed="8"/>
            <rFont val="Calibri"/>
            <family val="2"/>
          </rPr>
          <t>» 36.3%] - [</t>
        </r>
        <r>
          <rPr>
            <b/>
            <sz val="8.5"/>
            <color indexed="48"/>
            <rFont val="Calibri"/>
            <family val="2"/>
          </rPr>
          <t xml:space="preserve">SOLD </t>
        </r>
        <r>
          <rPr>
            <b/>
            <sz val="8.5"/>
            <color indexed="8"/>
            <rFont val="Calibri"/>
            <family val="2"/>
          </rPr>
          <t>» 61 PAX]_x000D_
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K6]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K1 &amp; V7 &amp; L8 &amp; G7 &amp; S27 &amp; W11</t>
        </r>
      </text>
    </comment>
    <comment ref="H2" authorId="0" shapeId="0" xr:uid="{1426032F-36BA-42A4-8566-AAB888C4F3A6}">
      <text>
        <r>
          <rPr>
            <b/>
            <sz val="8.5"/>
            <color indexed="8"/>
            <rFont val="Calibri"/>
            <family val="2"/>
          </rPr>
          <t xml:space="preserve">-{ </t>
        </r>
        <r>
          <rPr>
            <b/>
            <sz val="10"/>
            <color indexed="10"/>
            <rFont val="Calibri"/>
            <family val="2"/>
          </rPr>
          <t>SM446</t>
        </r>
        <r>
          <rPr>
            <b/>
            <sz val="8.5"/>
            <color indexed="8"/>
            <rFont val="Calibri"/>
            <family val="2"/>
          </rPr>
          <t xml:space="preserve"> }-_x000D_
_x000D_
[</t>
        </r>
        <r>
          <rPr>
            <b/>
            <sz val="8.5"/>
            <color indexed="48"/>
            <rFont val="Calibri"/>
            <family val="2"/>
          </rPr>
          <t xml:space="preserve">LF </t>
        </r>
        <r>
          <rPr>
            <b/>
            <sz val="8.5"/>
            <color indexed="8"/>
            <rFont val="Calibri"/>
            <family val="2"/>
          </rPr>
          <t>» 36.3%] - [</t>
        </r>
        <r>
          <rPr>
            <b/>
            <sz val="8.5"/>
            <color indexed="48"/>
            <rFont val="Calibri"/>
            <family val="2"/>
          </rPr>
          <t xml:space="preserve">SOLD </t>
        </r>
        <r>
          <rPr>
            <b/>
            <sz val="8.5"/>
            <color indexed="8"/>
            <rFont val="Calibri"/>
            <family val="2"/>
          </rPr>
          <t>» 61 PAX]_x000D_
_x000D_
[</t>
        </r>
        <r>
          <rPr>
            <b/>
            <sz val="8.5"/>
            <color indexed="21"/>
            <rFont val="Calibri"/>
            <family val="2"/>
          </rPr>
          <t xml:space="preserve">WEEKLY </t>
        </r>
        <r>
          <rPr>
            <b/>
            <sz val="8.5"/>
            <color indexed="8"/>
            <rFont val="Calibri"/>
            <family val="2"/>
          </rPr>
          <t>» 20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3]_x000D_
_x000D_
[</t>
        </r>
        <r>
          <rPr>
            <b/>
            <sz val="8.5"/>
            <color indexed="48"/>
            <rFont val="Calibri"/>
            <family val="2"/>
          </rPr>
          <t>LOWESTAVAIL</t>
        </r>
        <r>
          <rPr>
            <b/>
            <sz val="8.5"/>
            <color indexed="8"/>
            <rFont val="Calibri"/>
            <family val="2"/>
          </rPr>
          <t xml:space="preserve"> » K6]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K1 &amp; V7 &amp; L8 &amp; G7 &amp; S27 &amp; W11</t>
        </r>
      </text>
    </comment>
  </commentList>
</comments>
</file>

<file path=xl/comments34.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6" authorId="0" shapeId="0" xr:uid="{223FE17D-7FB6-4EAF-9AE0-613D07600D53}">
      <text>
        <r>
          <rPr>
            <b/>
            <sz val="8.5"/>
            <color indexed="8"/>
            <rFont val="Calibri"/>
            <family val="2"/>
          </rPr>
          <t xml:space="preserve">-{ </t>
        </r>
        <r>
          <rPr>
            <b/>
            <sz val="10"/>
            <color indexed="10"/>
            <rFont val="Calibri"/>
            <family val="2"/>
          </rPr>
          <t>SM428</t>
        </r>
        <r>
          <rPr>
            <b/>
            <sz val="8.5"/>
            <color indexed="8"/>
            <rFont val="Calibri"/>
            <family val="2"/>
          </rPr>
          <t xml:space="preserve"> }-_x000D_
_x000D_
[</t>
        </r>
        <r>
          <rPr>
            <b/>
            <sz val="8.5"/>
            <color indexed="48"/>
            <rFont val="Calibri"/>
            <family val="2"/>
          </rPr>
          <t xml:space="preserve">LF </t>
        </r>
        <r>
          <rPr>
            <b/>
            <sz val="8.5"/>
            <color indexed="8"/>
            <rFont val="Calibri"/>
            <family val="2"/>
          </rPr>
          <t>» 69.0%] - [</t>
        </r>
        <r>
          <rPr>
            <b/>
            <sz val="8.5"/>
            <color indexed="48"/>
            <rFont val="Calibri"/>
            <family val="2"/>
          </rPr>
          <t xml:space="preserve">SOLD </t>
        </r>
        <r>
          <rPr>
            <b/>
            <sz val="8.5"/>
            <color indexed="8"/>
            <rFont val="Calibri"/>
            <family val="2"/>
          </rPr>
          <t>» 116 PAX]_x000D_
_x000D_
[</t>
        </r>
        <r>
          <rPr>
            <b/>
            <sz val="8.5"/>
            <color indexed="21"/>
            <rFont val="Calibri"/>
            <family val="2"/>
          </rPr>
          <t xml:space="preserve">WEEKLY </t>
        </r>
        <r>
          <rPr>
            <b/>
            <sz val="8.5"/>
            <color indexed="8"/>
            <rFont val="Calibri"/>
            <family val="2"/>
          </rPr>
          <t>» 51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S11 &amp; W19 &amp; T10 &amp; X20 &amp; U36 &amp; O19</t>
        </r>
      </text>
    </comment>
    <comment ref="B6" authorId="0" shapeId="0" xr:uid="{20588F46-16E8-4796-A69F-5D5AFC4FE0C5}">
      <text>
        <r>
          <rPr>
            <b/>
            <sz val="8.5"/>
            <color indexed="8"/>
            <rFont val="Calibri"/>
            <family val="2"/>
          </rPr>
          <t xml:space="preserve">-{ </t>
        </r>
        <r>
          <rPr>
            <b/>
            <sz val="10"/>
            <color indexed="10"/>
            <rFont val="Calibri"/>
            <family val="2"/>
          </rPr>
          <t>SM428</t>
        </r>
        <r>
          <rPr>
            <b/>
            <sz val="8.5"/>
            <color indexed="8"/>
            <rFont val="Calibri"/>
            <family val="2"/>
          </rPr>
          <t xml:space="preserve"> }-_x000D_
_x000D_
[</t>
        </r>
        <r>
          <rPr>
            <b/>
            <sz val="8.5"/>
            <color indexed="48"/>
            <rFont val="Calibri"/>
            <family val="2"/>
          </rPr>
          <t xml:space="preserve">LF </t>
        </r>
        <r>
          <rPr>
            <b/>
            <sz val="8.5"/>
            <color indexed="8"/>
            <rFont val="Calibri"/>
            <family val="2"/>
          </rPr>
          <t>» 69.0%] - [</t>
        </r>
        <r>
          <rPr>
            <b/>
            <sz val="8.5"/>
            <color indexed="48"/>
            <rFont val="Calibri"/>
            <family val="2"/>
          </rPr>
          <t xml:space="preserve">SOLD </t>
        </r>
        <r>
          <rPr>
            <b/>
            <sz val="8.5"/>
            <color indexed="8"/>
            <rFont val="Calibri"/>
            <family val="2"/>
          </rPr>
          <t>» 116 PAX]_x000D_
_x000D_
[</t>
        </r>
        <r>
          <rPr>
            <b/>
            <sz val="8.5"/>
            <color indexed="21"/>
            <rFont val="Calibri"/>
            <family val="2"/>
          </rPr>
          <t xml:space="preserve">WEEKLY </t>
        </r>
        <r>
          <rPr>
            <b/>
            <sz val="8.5"/>
            <color indexed="8"/>
            <rFont val="Calibri"/>
            <family val="2"/>
          </rPr>
          <t>» 51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S11 &amp; W19 &amp; T10 &amp; X20 &amp; U36 &amp; O19</t>
        </r>
      </text>
    </comment>
    <comment ref="C6" authorId="0" shapeId="0" xr:uid="{9312463E-C571-4E5E-B80B-2FE6850BA003}">
      <text>
        <r>
          <rPr>
            <b/>
            <sz val="8.5"/>
            <color indexed="8"/>
            <rFont val="Calibri"/>
            <family val="2"/>
          </rPr>
          <t xml:space="preserve">-{ </t>
        </r>
        <r>
          <rPr>
            <b/>
            <sz val="10"/>
            <color indexed="10"/>
            <rFont val="Calibri"/>
            <family val="2"/>
          </rPr>
          <t>SM428</t>
        </r>
        <r>
          <rPr>
            <b/>
            <sz val="8.5"/>
            <color indexed="8"/>
            <rFont val="Calibri"/>
            <family val="2"/>
          </rPr>
          <t xml:space="preserve"> }-_x000D_
_x000D_
[</t>
        </r>
        <r>
          <rPr>
            <b/>
            <sz val="8.5"/>
            <color indexed="48"/>
            <rFont val="Calibri"/>
            <family val="2"/>
          </rPr>
          <t xml:space="preserve">LF </t>
        </r>
        <r>
          <rPr>
            <b/>
            <sz val="8.5"/>
            <color indexed="8"/>
            <rFont val="Calibri"/>
            <family val="2"/>
          </rPr>
          <t>» 69.0%] - [</t>
        </r>
        <r>
          <rPr>
            <b/>
            <sz val="8.5"/>
            <color indexed="48"/>
            <rFont val="Calibri"/>
            <family val="2"/>
          </rPr>
          <t xml:space="preserve">SOLD </t>
        </r>
        <r>
          <rPr>
            <b/>
            <sz val="8.5"/>
            <color indexed="8"/>
            <rFont val="Calibri"/>
            <family val="2"/>
          </rPr>
          <t>» 116 PAX]_x000D_
_x000D_
[</t>
        </r>
        <r>
          <rPr>
            <b/>
            <sz val="8.5"/>
            <color indexed="21"/>
            <rFont val="Calibri"/>
            <family val="2"/>
          </rPr>
          <t xml:space="preserve">WEEKLY </t>
        </r>
        <r>
          <rPr>
            <b/>
            <sz val="8.5"/>
            <color indexed="8"/>
            <rFont val="Calibri"/>
            <family val="2"/>
          </rPr>
          <t>» 51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S11 &amp; W19 &amp; T10 &amp; X20 &amp; U36 &amp; O19</t>
        </r>
      </text>
    </comment>
    <comment ref="D6" authorId="0" shapeId="0" xr:uid="{56924325-10E3-4917-B6E4-CB72A5856A93}">
      <text>
        <r>
          <rPr>
            <b/>
            <sz val="8.5"/>
            <color indexed="8"/>
            <rFont val="Calibri"/>
            <family val="2"/>
          </rPr>
          <t xml:space="preserve">-{ </t>
        </r>
        <r>
          <rPr>
            <b/>
            <sz val="10"/>
            <color indexed="10"/>
            <rFont val="Calibri"/>
            <family val="2"/>
          </rPr>
          <t>SM428</t>
        </r>
        <r>
          <rPr>
            <b/>
            <sz val="8.5"/>
            <color indexed="8"/>
            <rFont val="Calibri"/>
            <family val="2"/>
          </rPr>
          <t xml:space="preserve"> }-_x000D_
_x000D_
[</t>
        </r>
        <r>
          <rPr>
            <b/>
            <sz val="8.5"/>
            <color indexed="48"/>
            <rFont val="Calibri"/>
            <family val="2"/>
          </rPr>
          <t xml:space="preserve">LF </t>
        </r>
        <r>
          <rPr>
            <b/>
            <sz val="8.5"/>
            <color indexed="8"/>
            <rFont val="Calibri"/>
            <family val="2"/>
          </rPr>
          <t>» 69.0%] - [</t>
        </r>
        <r>
          <rPr>
            <b/>
            <sz val="8.5"/>
            <color indexed="48"/>
            <rFont val="Calibri"/>
            <family val="2"/>
          </rPr>
          <t xml:space="preserve">SOLD </t>
        </r>
        <r>
          <rPr>
            <b/>
            <sz val="8.5"/>
            <color indexed="8"/>
            <rFont val="Calibri"/>
            <family val="2"/>
          </rPr>
          <t>» 116 PAX]_x000D_
_x000D_
[</t>
        </r>
        <r>
          <rPr>
            <b/>
            <sz val="8.5"/>
            <color indexed="21"/>
            <rFont val="Calibri"/>
            <family val="2"/>
          </rPr>
          <t xml:space="preserve">WEEKLY </t>
        </r>
        <r>
          <rPr>
            <b/>
            <sz val="8.5"/>
            <color indexed="8"/>
            <rFont val="Calibri"/>
            <family val="2"/>
          </rPr>
          <t>» 51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S11 &amp; W19 &amp; T10 &amp; X20 &amp; U36 &amp; O19</t>
        </r>
      </text>
    </comment>
    <comment ref="E6" authorId="0" shapeId="0" xr:uid="{02C6B0E0-B4EA-4F15-AC09-4F44BDB8F57A}">
      <text>
        <r>
          <rPr>
            <b/>
            <sz val="8.5"/>
            <color indexed="8"/>
            <rFont val="Calibri"/>
            <family val="2"/>
          </rPr>
          <t xml:space="preserve">-{ </t>
        </r>
        <r>
          <rPr>
            <b/>
            <sz val="10"/>
            <color indexed="10"/>
            <rFont val="Calibri"/>
            <family val="2"/>
          </rPr>
          <t>SM428</t>
        </r>
        <r>
          <rPr>
            <b/>
            <sz val="8.5"/>
            <color indexed="8"/>
            <rFont val="Calibri"/>
            <family val="2"/>
          </rPr>
          <t xml:space="preserve"> }-_x000D_
_x000D_
[</t>
        </r>
        <r>
          <rPr>
            <b/>
            <sz val="8.5"/>
            <color indexed="48"/>
            <rFont val="Calibri"/>
            <family val="2"/>
          </rPr>
          <t xml:space="preserve">LF </t>
        </r>
        <r>
          <rPr>
            <b/>
            <sz val="8.5"/>
            <color indexed="8"/>
            <rFont val="Calibri"/>
            <family val="2"/>
          </rPr>
          <t>» 69.0%] - [</t>
        </r>
        <r>
          <rPr>
            <b/>
            <sz val="8.5"/>
            <color indexed="48"/>
            <rFont val="Calibri"/>
            <family val="2"/>
          </rPr>
          <t xml:space="preserve">SOLD </t>
        </r>
        <r>
          <rPr>
            <b/>
            <sz val="8.5"/>
            <color indexed="8"/>
            <rFont val="Calibri"/>
            <family val="2"/>
          </rPr>
          <t>» 116 PAX]_x000D_
_x000D_
[</t>
        </r>
        <r>
          <rPr>
            <b/>
            <sz val="8.5"/>
            <color indexed="21"/>
            <rFont val="Calibri"/>
            <family val="2"/>
          </rPr>
          <t xml:space="preserve">WEEKLY </t>
        </r>
        <r>
          <rPr>
            <b/>
            <sz val="8.5"/>
            <color indexed="8"/>
            <rFont val="Calibri"/>
            <family val="2"/>
          </rPr>
          <t>» 51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S11 &amp; W19 &amp; T10 &amp; X20 &amp; U36 &amp; O19</t>
        </r>
      </text>
    </comment>
    <comment ref="F6" authorId="0" shapeId="0" xr:uid="{5DDADBC0-6943-4452-8B71-C7122587D6BE}">
      <text>
        <r>
          <rPr>
            <b/>
            <sz val="8.5"/>
            <color indexed="8"/>
            <rFont val="Calibri"/>
            <family val="2"/>
          </rPr>
          <t xml:space="preserve">-{ </t>
        </r>
        <r>
          <rPr>
            <b/>
            <sz val="10"/>
            <color indexed="10"/>
            <rFont val="Calibri"/>
            <family val="2"/>
          </rPr>
          <t>SM428</t>
        </r>
        <r>
          <rPr>
            <b/>
            <sz val="8.5"/>
            <color indexed="8"/>
            <rFont val="Calibri"/>
            <family val="2"/>
          </rPr>
          <t xml:space="preserve"> }-_x000D_
_x000D_
[</t>
        </r>
        <r>
          <rPr>
            <b/>
            <sz val="8.5"/>
            <color indexed="48"/>
            <rFont val="Calibri"/>
            <family val="2"/>
          </rPr>
          <t xml:space="preserve">LF </t>
        </r>
        <r>
          <rPr>
            <b/>
            <sz val="8.5"/>
            <color indexed="8"/>
            <rFont val="Calibri"/>
            <family val="2"/>
          </rPr>
          <t>» 69.0%] - [</t>
        </r>
        <r>
          <rPr>
            <b/>
            <sz val="8.5"/>
            <color indexed="48"/>
            <rFont val="Calibri"/>
            <family val="2"/>
          </rPr>
          <t xml:space="preserve">SOLD </t>
        </r>
        <r>
          <rPr>
            <b/>
            <sz val="8.5"/>
            <color indexed="8"/>
            <rFont val="Calibri"/>
            <family val="2"/>
          </rPr>
          <t>» 116 PAX]_x000D_
_x000D_
[</t>
        </r>
        <r>
          <rPr>
            <b/>
            <sz val="8.5"/>
            <color indexed="21"/>
            <rFont val="Calibri"/>
            <family val="2"/>
          </rPr>
          <t xml:space="preserve">WEEKLY </t>
        </r>
        <r>
          <rPr>
            <b/>
            <sz val="8.5"/>
            <color indexed="8"/>
            <rFont val="Calibri"/>
            <family val="2"/>
          </rPr>
          <t>» 51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S11 &amp; W19 &amp; T10 &amp; X20 &amp; U36 &amp; O19</t>
        </r>
      </text>
    </comment>
    <comment ref="G6" authorId="0" shapeId="0" xr:uid="{E11DCFCA-4854-43C3-BBDC-0EB7721E8D70}">
      <text>
        <r>
          <rPr>
            <b/>
            <sz val="8.5"/>
            <color indexed="8"/>
            <rFont val="Calibri"/>
            <family val="2"/>
          </rPr>
          <t xml:space="preserve">-{ </t>
        </r>
        <r>
          <rPr>
            <b/>
            <sz val="10"/>
            <color indexed="10"/>
            <rFont val="Calibri"/>
            <family val="2"/>
          </rPr>
          <t>SM428</t>
        </r>
        <r>
          <rPr>
            <b/>
            <sz val="8.5"/>
            <color indexed="8"/>
            <rFont val="Calibri"/>
            <family val="2"/>
          </rPr>
          <t xml:space="preserve"> }-_x000D_
_x000D_
[</t>
        </r>
        <r>
          <rPr>
            <b/>
            <sz val="8.5"/>
            <color indexed="48"/>
            <rFont val="Calibri"/>
            <family val="2"/>
          </rPr>
          <t xml:space="preserve">LF </t>
        </r>
        <r>
          <rPr>
            <b/>
            <sz val="8.5"/>
            <color indexed="8"/>
            <rFont val="Calibri"/>
            <family val="2"/>
          </rPr>
          <t>» 69.0%] - [</t>
        </r>
        <r>
          <rPr>
            <b/>
            <sz val="8.5"/>
            <color indexed="48"/>
            <rFont val="Calibri"/>
            <family val="2"/>
          </rPr>
          <t xml:space="preserve">SOLD </t>
        </r>
        <r>
          <rPr>
            <b/>
            <sz val="8.5"/>
            <color indexed="8"/>
            <rFont val="Calibri"/>
            <family val="2"/>
          </rPr>
          <t>» 116 PAX]_x000D_
_x000D_
[</t>
        </r>
        <r>
          <rPr>
            <b/>
            <sz val="8.5"/>
            <color indexed="21"/>
            <rFont val="Calibri"/>
            <family val="2"/>
          </rPr>
          <t xml:space="preserve">WEEKLY </t>
        </r>
        <r>
          <rPr>
            <b/>
            <sz val="8.5"/>
            <color indexed="8"/>
            <rFont val="Calibri"/>
            <family val="2"/>
          </rPr>
          <t>» 51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S11 &amp; W19 &amp; T10 &amp; X20 &amp; U36 &amp; O19</t>
        </r>
      </text>
    </comment>
    <comment ref="H6" authorId="0" shapeId="0" xr:uid="{E67B81EB-80DF-4886-98AE-325847CE40D9}">
      <text>
        <r>
          <rPr>
            <b/>
            <sz val="8.5"/>
            <color indexed="8"/>
            <rFont val="Calibri"/>
            <family val="2"/>
          </rPr>
          <t xml:space="preserve">-{ </t>
        </r>
        <r>
          <rPr>
            <b/>
            <sz val="10"/>
            <color indexed="10"/>
            <rFont val="Calibri"/>
            <family val="2"/>
          </rPr>
          <t>SM428</t>
        </r>
        <r>
          <rPr>
            <b/>
            <sz val="8.5"/>
            <color indexed="8"/>
            <rFont val="Calibri"/>
            <family val="2"/>
          </rPr>
          <t xml:space="preserve"> }-_x000D_
_x000D_
[</t>
        </r>
        <r>
          <rPr>
            <b/>
            <sz val="8.5"/>
            <color indexed="48"/>
            <rFont val="Calibri"/>
            <family val="2"/>
          </rPr>
          <t xml:space="preserve">LF </t>
        </r>
        <r>
          <rPr>
            <b/>
            <sz val="8.5"/>
            <color indexed="8"/>
            <rFont val="Calibri"/>
            <family val="2"/>
          </rPr>
          <t>» 69.0%] - [</t>
        </r>
        <r>
          <rPr>
            <b/>
            <sz val="8.5"/>
            <color indexed="48"/>
            <rFont val="Calibri"/>
            <family val="2"/>
          </rPr>
          <t xml:space="preserve">SOLD </t>
        </r>
        <r>
          <rPr>
            <b/>
            <sz val="8.5"/>
            <color indexed="8"/>
            <rFont val="Calibri"/>
            <family val="2"/>
          </rPr>
          <t>» 116 PAX]_x000D_
_x000D_
[</t>
        </r>
        <r>
          <rPr>
            <b/>
            <sz val="8.5"/>
            <color indexed="21"/>
            <rFont val="Calibri"/>
            <family val="2"/>
          </rPr>
          <t xml:space="preserve">WEEKLY </t>
        </r>
        <r>
          <rPr>
            <b/>
            <sz val="8.5"/>
            <color indexed="8"/>
            <rFont val="Calibri"/>
            <family val="2"/>
          </rPr>
          <t>» 51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S11 &amp; W19 &amp; T10 &amp; X20 &amp; U36 &amp; O19</t>
        </r>
      </text>
    </comment>
    <comment ref="A9" authorId="0" shapeId="0" xr:uid="{30AD98D9-E98B-4D20-9B05-022EEA5F598A}">
      <text>
        <r>
          <rPr>
            <b/>
            <sz val="8.5"/>
            <color indexed="8"/>
            <rFont val="Calibri"/>
            <family val="2"/>
          </rPr>
          <t xml:space="preserve">-{ </t>
        </r>
        <r>
          <rPr>
            <b/>
            <sz val="10"/>
            <color indexed="10"/>
            <rFont val="Calibri"/>
            <family val="2"/>
          </rPr>
          <t>SM428</t>
        </r>
        <r>
          <rPr>
            <b/>
            <sz val="8.5"/>
            <color indexed="8"/>
            <rFont val="Calibri"/>
            <family val="2"/>
          </rPr>
          <t xml:space="preserve"> }-_x000D_
_x000D_
[</t>
        </r>
        <r>
          <rPr>
            <b/>
            <sz val="8.5"/>
            <color indexed="48"/>
            <rFont val="Calibri"/>
            <family val="2"/>
          </rPr>
          <t xml:space="preserve">LF </t>
        </r>
        <r>
          <rPr>
            <b/>
            <sz val="8.5"/>
            <color indexed="8"/>
            <rFont val="Calibri"/>
            <family val="2"/>
          </rPr>
          <t>» 85.7%] - [</t>
        </r>
        <r>
          <rPr>
            <b/>
            <sz val="8.5"/>
            <color indexed="48"/>
            <rFont val="Calibri"/>
            <family val="2"/>
          </rPr>
          <t xml:space="preserve">SOLD </t>
        </r>
        <r>
          <rPr>
            <b/>
            <sz val="8.5"/>
            <color indexed="8"/>
            <rFont val="Calibri"/>
            <family val="2"/>
          </rPr>
          <t>» 144 PAX]_x000D_
_x000D_
[</t>
        </r>
        <r>
          <rPr>
            <b/>
            <sz val="8.5"/>
            <color indexed="21"/>
            <rFont val="Calibri"/>
            <family val="2"/>
          </rPr>
          <t xml:space="preserve">WEEKLY </t>
        </r>
        <r>
          <rPr>
            <b/>
            <sz val="8.5"/>
            <color indexed="8"/>
            <rFont val="Calibri"/>
            <family val="2"/>
          </rPr>
          <t>» 81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44]_x000D_
_x000D_
[</t>
        </r>
        <r>
          <rPr>
            <b/>
            <sz val="8.5"/>
            <color indexed="48"/>
            <rFont val="Calibri"/>
            <family val="2"/>
          </rPr>
          <t>LOWESTAVAIL</t>
        </r>
        <r>
          <rPr>
            <b/>
            <sz val="8.5"/>
            <color indexed="8"/>
            <rFont val="Calibri"/>
            <family val="2"/>
          </rPr>
          <t xml:space="preserve"> » T5]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W8 &amp; T12 &amp; X17 &amp; U23 &amp; O78 &amp; I6</t>
        </r>
      </text>
    </comment>
    <comment ref="B9" authorId="0" shapeId="0" xr:uid="{D2BAA8E6-23D1-4948-9D15-6F5C031AE33E}">
      <text>
        <r>
          <rPr>
            <b/>
            <sz val="8.5"/>
            <color indexed="8"/>
            <rFont val="Calibri"/>
            <family val="2"/>
          </rPr>
          <t xml:space="preserve">-{ </t>
        </r>
        <r>
          <rPr>
            <b/>
            <sz val="10"/>
            <color indexed="10"/>
            <rFont val="Calibri"/>
            <family val="2"/>
          </rPr>
          <t>SM428</t>
        </r>
        <r>
          <rPr>
            <b/>
            <sz val="8.5"/>
            <color indexed="8"/>
            <rFont val="Calibri"/>
            <family val="2"/>
          </rPr>
          <t xml:space="preserve"> }-_x000D_
_x000D_
[</t>
        </r>
        <r>
          <rPr>
            <b/>
            <sz val="8.5"/>
            <color indexed="48"/>
            <rFont val="Calibri"/>
            <family val="2"/>
          </rPr>
          <t xml:space="preserve">LF </t>
        </r>
        <r>
          <rPr>
            <b/>
            <sz val="8.5"/>
            <color indexed="8"/>
            <rFont val="Calibri"/>
            <family val="2"/>
          </rPr>
          <t>» 85.7%] - [</t>
        </r>
        <r>
          <rPr>
            <b/>
            <sz val="8.5"/>
            <color indexed="48"/>
            <rFont val="Calibri"/>
            <family val="2"/>
          </rPr>
          <t xml:space="preserve">SOLD </t>
        </r>
        <r>
          <rPr>
            <b/>
            <sz val="8.5"/>
            <color indexed="8"/>
            <rFont val="Calibri"/>
            <family val="2"/>
          </rPr>
          <t>» 144 PAX]_x000D_
_x000D_
[</t>
        </r>
        <r>
          <rPr>
            <b/>
            <sz val="8.5"/>
            <color indexed="21"/>
            <rFont val="Calibri"/>
            <family val="2"/>
          </rPr>
          <t xml:space="preserve">WEEKLY </t>
        </r>
        <r>
          <rPr>
            <b/>
            <sz val="8.5"/>
            <color indexed="8"/>
            <rFont val="Calibri"/>
            <family val="2"/>
          </rPr>
          <t>» 81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44]_x000D_
_x000D_
[</t>
        </r>
        <r>
          <rPr>
            <b/>
            <sz val="8.5"/>
            <color indexed="48"/>
            <rFont val="Calibri"/>
            <family val="2"/>
          </rPr>
          <t>LOWESTAVAIL</t>
        </r>
        <r>
          <rPr>
            <b/>
            <sz val="8.5"/>
            <color indexed="8"/>
            <rFont val="Calibri"/>
            <family val="2"/>
          </rPr>
          <t xml:space="preserve"> » T5]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W8 &amp; T12 &amp; X17 &amp; U23 &amp; O78 &amp; I6</t>
        </r>
      </text>
    </comment>
    <comment ref="C9" authorId="0" shapeId="0" xr:uid="{BA26EB22-2D39-42B7-A3D3-334A98DF3900}">
      <text>
        <r>
          <rPr>
            <b/>
            <sz val="8.5"/>
            <color indexed="8"/>
            <rFont val="Calibri"/>
            <family val="2"/>
          </rPr>
          <t xml:space="preserve">-{ </t>
        </r>
        <r>
          <rPr>
            <b/>
            <sz val="10"/>
            <color indexed="10"/>
            <rFont val="Calibri"/>
            <family val="2"/>
          </rPr>
          <t>SM428</t>
        </r>
        <r>
          <rPr>
            <b/>
            <sz val="8.5"/>
            <color indexed="8"/>
            <rFont val="Calibri"/>
            <family val="2"/>
          </rPr>
          <t xml:space="preserve"> }-_x000D_
_x000D_
[</t>
        </r>
        <r>
          <rPr>
            <b/>
            <sz val="8.5"/>
            <color indexed="48"/>
            <rFont val="Calibri"/>
            <family val="2"/>
          </rPr>
          <t xml:space="preserve">LF </t>
        </r>
        <r>
          <rPr>
            <b/>
            <sz val="8.5"/>
            <color indexed="8"/>
            <rFont val="Calibri"/>
            <family val="2"/>
          </rPr>
          <t>» 85.7%] - [</t>
        </r>
        <r>
          <rPr>
            <b/>
            <sz val="8.5"/>
            <color indexed="48"/>
            <rFont val="Calibri"/>
            <family val="2"/>
          </rPr>
          <t xml:space="preserve">SOLD </t>
        </r>
        <r>
          <rPr>
            <b/>
            <sz val="8.5"/>
            <color indexed="8"/>
            <rFont val="Calibri"/>
            <family val="2"/>
          </rPr>
          <t>» 144 PAX]_x000D_
_x000D_
[</t>
        </r>
        <r>
          <rPr>
            <b/>
            <sz val="8.5"/>
            <color indexed="21"/>
            <rFont val="Calibri"/>
            <family val="2"/>
          </rPr>
          <t xml:space="preserve">WEEKLY </t>
        </r>
        <r>
          <rPr>
            <b/>
            <sz val="8.5"/>
            <color indexed="8"/>
            <rFont val="Calibri"/>
            <family val="2"/>
          </rPr>
          <t>» 81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44]_x000D_
_x000D_
[</t>
        </r>
        <r>
          <rPr>
            <b/>
            <sz val="8.5"/>
            <color indexed="48"/>
            <rFont val="Calibri"/>
            <family val="2"/>
          </rPr>
          <t>LOWESTAVAIL</t>
        </r>
        <r>
          <rPr>
            <b/>
            <sz val="8.5"/>
            <color indexed="8"/>
            <rFont val="Calibri"/>
            <family val="2"/>
          </rPr>
          <t xml:space="preserve"> » T5]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W8 &amp; T12 &amp; X17 &amp; U23 &amp; O78 &amp; I6</t>
        </r>
      </text>
    </comment>
    <comment ref="D9" authorId="0" shapeId="0" xr:uid="{13A15376-9AF4-4188-8B62-18AB07EC19B7}">
      <text>
        <r>
          <rPr>
            <b/>
            <sz val="8.5"/>
            <color indexed="8"/>
            <rFont val="Calibri"/>
            <family val="2"/>
          </rPr>
          <t xml:space="preserve">-{ </t>
        </r>
        <r>
          <rPr>
            <b/>
            <sz val="10"/>
            <color indexed="10"/>
            <rFont val="Calibri"/>
            <family val="2"/>
          </rPr>
          <t>SM428</t>
        </r>
        <r>
          <rPr>
            <b/>
            <sz val="8.5"/>
            <color indexed="8"/>
            <rFont val="Calibri"/>
            <family val="2"/>
          </rPr>
          <t xml:space="preserve"> }-_x000D_
_x000D_
[</t>
        </r>
        <r>
          <rPr>
            <b/>
            <sz val="8.5"/>
            <color indexed="48"/>
            <rFont val="Calibri"/>
            <family val="2"/>
          </rPr>
          <t xml:space="preserve">LF </t>
        </r>
        <r>
          <rPr>
            <b/>
            <sz val="8.5"/>
            <color indexed="8"/>
            <rFont val="Calibri"/>
            <family val="2"/>
          </rPr>
          <t>» 85.7%] - [</t>
        </r>
        <r>
          <rPr>
            <b/>
            <sz val="8.5"/>
            <color indexed="48"/>
            <rFont val="Calibri"/>
            <family val="2"/>
          </rPr>
          <t xml:space="preserve">SOLD </t>
        </r>
        <r>
          <rPr>
            <b/>
            <sz val="8.5"/>
            <color indexed="8"/>
            <rFont val="Calibri"/>
            <family val="2"/>
          </rPr>
          <t>» 144 PAX]_x000D_
_x000D_
[</t>
        </r>
        <r>
          <rPr>
            <b/>
            <sz val="8.5"/>
            <color indexed="21"/>
            <rFont val="Calibri"/>
            <family val="2"/>
          </rPr>
          <t xml:space="preserve">WEEKLY </t>
        </r>
        <r>
          <rPr>
            <b/>
            <sz val="8.5"/>
            <color indexed="8"/>
            <rFont val="Calibri"/>
            <family val="2"/>
          </rPr>
          <t>» 81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44]_x000D_
_x000D_
[</t>
        </r>
        <r>
          <rPr>
            <b/>
            <sz val="8.5"/>
            <color indexed="48"/>
            <rFont val="Calibri"/>
            <family val="2"/>
          </rPr>
          <t>LOWESTAVAIL</t>
        </r>
        <r>
          <rPr>
            <b/>
            <sz val="8.5"/>
            <color indexed="8"/>
            <rFont val="Calibri"/>
            <family val="2"/>
          </rPr>
          <t xml:space="preserve"> » T5]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W8 &amp; T12 &amp; X17 &amp; U23 &amp; O78 &amp; I6</t>
        </r>
      </text>
    </comment>
    <comment ref="E9" authorId="0" shapeId="0" xr:uid="{9F9748C9-C4DA-4A0B-8BE3-1AC4DB9D60B2}">
      <text>
        <r>
          <rPr>
            <b/>
            <sz val="8.5"/>
            <color indexed="8"/>
            <rFont val="Calibri"/>
            <family val="2"/>
          </rPr>
          <t xml:space="preserve">-{ </t>
        </r>
        <r>
          <rPr>
            <b/>
            <sz val="10"/>
            <color indexed="10"/>
            <rFont val="Calibri"/>
            <family val="2"/>
          </rPr>
          <t>SM428</t>
        </r>
        <r>
          <rPr>
            <b/>
            <sz val="8.5"/>
            <color indexed="8"/>
            <rFont val="Calibri"/>
            <family val="2"/>
          </rPr>
          <t xml:space="preserve"> }-_x000D_
_x000D_
[</t>
        </r>
        <r>
          <rPr>
            <b/>
            <sz val="8.5"/>
            <color indexed="48"/>
            <rFont val="Calibri"/>
            <family val="2"/>
          </rPr>
          <t xml:space="preserve">LF </t>
        </r>
        <r>
          <rPr>
            <b/>
            <sz val="8.5"/>
            <color indexed="8"/>
            <rFont val="Calibri"/>
            <family val="2"/>
          </rPr>
          <t>» 85.7%] - [</t>
        </r>
        <r>
          <rPr>
            <b/>
            <sz val="8.5"/>
            <color indexed="48"/>
            <rFont val="Calibri"/>
            <family val="2"/>
          </rPr>
          <t xml:space="preserve">SOLD </t>
        </r>
        <r>
          <rPr>
            <b/>
            <sz val="8.5"/>
            <color indexed="8"/>
            <rFont val="Calibri"/>
            <family val="2"/>
          </rPr>
          <t>» 144 PAX]_x000D_
_x000D_
[</t>
        </r>
        <r>
          <rPr>
            <b/>
            <sz val="8.5"/>
            <color indexed="21"/>
            <rFont val="Calibri"/>
            <family val="2"/>
          </rPr>
          <t xml:space="preserve">WEEKLY </t>
        </r>
        <r>
          <rPr>
            <b/>
            <sz val="8.5"/>
            <color indexed="8"/>
            <rFont val="Calibri"/>
            <family val="2"/>
          </rPr>
          <t>» 81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44]_x000D_
_x000D_
[</t>
        </r>
        <r>
          <rPr>
            <b/>
            <sz val="8.5"/>
            <color indexed="48"/>
            <rFont val="Calibri"/>
            <family val="2"/>
          </rPr>
          <t>LOWESTAVAIL</t>
        </r>
        <r>
          <rPr>
            <b/>
            <sz val="8.5"/>
            <color indexed="8"/>
            <rFont val="Calibri"/>
            <family val="2"/>
          </rPr>
          <t xml:space="preserve"> » T5]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W8 &amp; T12 &amp; X17 &amp; U23 &amp; O78 &amp; I6</t>
        </r>
      </text>
    </comment>
    <comment ref="F9" authorId="0" shapeId="0" xr:uid="{F3BEE00F-11D0-4330-8303-7F92E120B45C}">
      <text>
        <r>
          <rPr>
            <b/>
            <sz val="8.5"/>
            <color indexed="8"/>
            <rFont val="Calibri"/>
            <family val="2"/>
          </rPr>
          <t xml:space="preserve">-{ </t>
        </r>
        <r>
          <rPr>
            <b/>
            <sz val="10"/>
            <color indexed="10"/>
            <rFont val="Calibri"/>
            <family val="2"/>
          </rPr>
          <t>SM428</t>
        </r>
        <r>
          <rPr>
            <b/>
            <sz val="8.5"/>
            <color indexed="8"/>
            <rFont val="Calibri"/>
            <family val="2"/>
          </rPr>
          <t xml:space="preserve"> }-_x000D_
_x000D_
[</t>
        </r>
        <r>
          <rPr>
            <b/>
            <sz val="8.5"/>
            <color indexed="48"/>
            <rFont val="Calibri"/>
            <family val="2"/>
          </rPr>
          <t xml:space="preserve">LF </t>
        </r>
        <r>
          <rPr>
            <b/>
            <sz val="8.5"/>
            <color indexed="8"/>
            <rFont val="Calibri"/>
            <family val="2"/>
          </rPr>
          <t>» 85.7%] - [</t>
        </r>
        <r>
          <rPr>
            <b/>
            <sz val="8.5"/>
            <color indexed="48"/>
            <rFont val="Calibri"/>
            <family val="2"/>
          </rPr>
          <t xml:space="preserve">SOLD </t>
        </r>
        <r>
          <rPr>
            <b/>
            <sz val="8.5"/>
            <color indexed="8"/>
            <rFont val="Calibri"/>
            <family val="2"/>
          </rPr>
          <t>» 144 PAX]_x000D_
_x000D_
[</t>
        </r>
        <r>
          <rPr>
            <b/>
            <sz val="8.5"/>
            <color indexed="21"/>
            <rFont val="Calibri"/>
            <family val="2"/>
          </rPr>
          <t xml:space="preserve">WEEKLY </t>
        </r>
        <r>
          <rPr>
            <b/>
            <sz val="8.5"/>
            <color indexed="8"/>
            <rFont val="Calibri"/>
            <family val="2"/>
          </rPr>
          <t>» 81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44]_x000D_
_x000D_
[</t>
        </r>
        <r>
          <rPr>
            <b/>
            <sz val="8.5"/>
            <color indexed="48"/>
            <rFont val="Calibri"/>
            <family val="2"/>
          </rPr>
          <t>LOWESTAVAIL</t>
        </r>
        <r>
          <rPr>
            <b/>
            <sz val="8.5"/>
            <color indexed="8"/>
            <rFont val="Calibri"/>
            <family val="2"/>
          </rPr>
          <t xml:space="preserve"> » T5]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W8 &amp; T12 &amp; X17 &amp; U23 &amp; O78 &amp; I6</t>
        </r>
      </text>
    </comment>
    <comment ref="G9" authorId="0" shapeId="0" xr:uid="{3F841282-4FE8-4709-B2BF-FBAEF93BFF38}">
      <text>
        <r>
          <rPr>
            <b/>
            <sz val="8.5"/>
            <color indexed="8"/>
            <rFont val="Calibri"/>
            <family val="2"/>
          </rPr>
          <t xml:space="preserve">-{ </t>
        </r>
        <r>
          <rPr>
            <b/>
            <sz val="10"/>
            <color indexed="10"/>
            <rFont val="Calibri"/>
            <family val="2"/>
          </rPr>
          <t>SM428</t>
        </r>
        <r>
          <rPr>
            <b/>
            <sz val="8.5"/>
            <color indexed="8"/>
            <rFont val="Calibri"/>
            <family val="2"/>
          </rPr>
          <t xml:space="preserve"> }-_x000D_
_x000D_
[</t>
        </r>
        <r>
          <rPr>
            <b/>
            <sz val="8.5"/>
            <color indexed="48"/>
            <rFont val="Calibri"/>
            <family val="2"/>
          </rPr>
          <t xml:space="preserve">LF </t>
        </r>
        <r>
          <rPr>
            <b/>
            <sz val="8.5"/>
            <color indexed="8"/>
            <rFont val="Calibri"/>
            <family val="2"/>
          </rPr>
          <t>» 85.7%] - [</t>
        </r>
        <r>
          <rPr>
            <b/>
            <sz val="8.5"/>
            <color indexed="48"/>
            <rFont val="Calibri"/>
            <family val="2"/>
          </rPr>
          <t xml:space="preserve">SOLD </t>
        </r>
        <r>
          <rPr>
            <b/>
            <sz val="8.5"/>
            <color indexed="8"/>
            <rFont val="Calibri"/>
            <family val="2"/>
          </rPr>
          <t>» 144 PAX]_x000D_
_x000D_
[</t>
        </r>
        <r>
          <rPr>
            <b/>
            <sz val="8.5"/>
            <color indexed="21"/>
            <rFont val="Calibri"/>
            <family val="2"/>
          </rPr>
          <t xml:space="preserve">WEEKLY </t>
        </r>
        <r>
          <rPr>
            <b/>
            <sz val="8.5"/>
            <color indexed="8"/>
            <rFont val="Calibri"/>
            <family val="2"/>
          </rPr>
          <t>» 81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44]_x000D_
_x000D_
[</t>
        </r>
        <r>
          <rPr>
            <b/>
            <sz val="8.5"/>
            <color indexed="48"/>
            <rFont val="Calibri"/>
            <family val="2"/>
          </rPr>
          <t>LOWESTAVAIL</t>
        </r>
        <r>
          <rPr>
            <b/>
            <sz val="8.5"/>
            <color indexed="8"/>
            <rFont val="Calibri"/>
            <family val="2"/>
          </rPr>
          <t xml:space="preserve"> » T5]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W8 &amp; T12 &amp; X17 &amp; U23 &amp; O78 &amp; I6</t>
        </r>
      </text>
    </comment>
    <comment ref="H9" authorId="0" shapeId="0" xr:uid="{6E717F5D-436C-4A52-B820-5573EE8E7B7C}">
      <text>
        <r>
          <rPr>
            <b/>
            <sz val="8.5"/>
            <color indexed="8"/>
            <rFont val="Calibri"/>
            <family val="2"/>
          </rPr>
          <t xml:space="preserve">-{ </t>
        </r>
        <r>
          <rPr>
            <b/>
            <sz val="10"/>
            <color indexed="10"/>
            <rFont val="Calibri"/>
            <family val="2"/>
          </rPr>
          <t>SM428</t>
        </r>
        <r>
          <rPr>
            <b/>
            <sz val="8.5"/>
            <color indexed="8"/>
            <rFont val="Calibri"/>
            <family val="2"/>
          </rPr>
          <t xml:space="preserve"> }-_x000D_
_x000D_
[</t>
        </r>
        <r>
          <rPr>
            <b/>
            <sz val="8.5"/>
            <color indexed="48"/>
            <rFont val="Calibri"/>
            <family val="2"/>
          </rPr>
          <t xml:space="preserve">LF </t>
        </r>
        <r>
          <rPr>
            <b/>
            <sz val="8.5"/>
            <color indexed="8"/>
            <rFont val="Calibri"/>
            <family val="2"/>
          </rPr>
          <t>» 85.7%] - [</t>
        </r>
        <r>
          <rPr>
            <b/>
            <sz val="8.5"/>
            <color indexed="48"/>
            <rFont val="Calibri"/>
            <family val="2"/>
          </rPr>
          <t xml:space="preserve">SOLD </t>
        </r>
        <r>
          <rPr>
            <b/>
            <sz val="8.5"/>
            <color indexed="8"/>
            <rFont val="Calibri"/>
            <family val="2"/>
          </rPr>
          <t>» 144 PAX]_x000D_
_x000D_
[</t>
        </r>
        <r>
          <rPr>
            <b/>
            <sz val="8.5"/>
            <color indexed="21"/>
            <rFont val="Calibri"/>
            <family val="2"/>
          </rPr>
          <t xml:space="preserve">WEEKLY </t>
        </r>
        <r>
          <rPr>
            <b/>
            <sz val="8.5"/>
            <color indexed="8"/>
            <rFont val="Calibri"/>
            <family val="2"/>
          </rPr>
          <t>» 81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44]_x000D_
_x000D_
[</t>
        </r>
        <r>
          <rPr>
            <b/>
            <sz val="8.5"/>
            <color indexed="48"/>
            <rFont val="Calibri"/>
            <family val="2"/>
          </rPr>
          <t>LOWESTAVAIL</t>
        </r>
        <r>
          <rPr>
            <b/>
            <sz val="8.5"/>
            <color indexed="8"/>
            <rFont val="Calibri"/>
            <family val="2"/>
          </rPr>
          <t xml:space="preserve"> » T5]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W8 &amp; T12 &amp; X17 &amp; U23 &amp; O78 &amp; I6</t>
        </r>
      </text>
    </comment>
  </commentList>
</comments>
</file>

<file path=xl/comments35.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6" authorId="0" shapeId="0" xr:uid="{A8B9C773-E825-4640-B35F-3850625C8D25}">
      <text>
        <r>
          <rPr>
            <b/>
            <sz val="8.5"/>
            <color indexed="8"/>
            <rFont val="Calibri"/>
            <family val="2"/>
          </rPr>
          <t xml:space="preserve">-{ </t>
        </r>
        <r>
          <rPr>
            <b/>
            <sz val="10"/>
            <color indexed="10"/>
            <rFont val="Calibri"/>
            <family val="2"/>
          </rPr>
          <t>SM428</t>
        </r>
        <r>
          <rPr>
            <b/>
            <sz val="8.5"/>
            <color indexed="8"/>
            <rFont val="Calibri"/>
            <family val="2"/>
          </rPr>
          <t xml:space="preserve"> }-_x000D_
_x000D_
[</t>
        </r>
        <r>
          <rPr>
            <b/>
            <sz val="8.5"/>
            <color indexed="48"/>
            <rFont val="Calibri"/>
            <family val="2"/>
          </rPr>
          <t xml:space="preserve">LF </t>
        </r>
        <r>
          <rPr>
            <b/>
            <sz val="8.5"/>
            <color indexed="8"/>
            <rFont val="Calibri"/>
            <family val="2"/>
          </rPr>
          <t>» 69.0%] - [</t>
        </r>
        <r>
          <rPr>
            <b/>
            <sz val="8.5"/>
            <color indexed="48"/>
            <rFont val="Calibri"/>
            <family val="2"/>
          </rPr>
          <t xml:space="preserve">SOLD </t>
        </r>
        <r>
          <rPr>
            <b/>
            <sz val="8.5"/>
            <color indexed="8"/>
            <rFont val="Calibri"/>
            <family val="2"/>
          </rPr>
          <t>» 116 PAX]_x000D_
_x000D_
[</t>
        </r>
        <r>
          <rPr>
            <b/>
            <sz val="8.5"/>
            <color indexed="21"/>
            <rFont val="Calibri"/>
            <family val="2"/>
          </rPr>
          <t xml:space="preserve">WEEKLY </t>
        </r>
        <r>
          <rPr>
            <b/>
            <sz val="8.5"/>
            <color indexed="8"/>
            <rFont val="Calibri"/>
            <family val="2"/>
          </rPr>
          <t>» 51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S11 &amp; W19 &amp; T10 &amp; X20 &amp; U36 &amp; O19</t>
        </r>
      </text>
    </comment>
    <comment ref="B6" authorId="0" shapeId="0" xr:uid="{C90150D9-86D5-4A50-8A17-59724B0E2F8C}">
      <text>
        <r>
          <rPr>
            <b/>
            <sz val="8.5"/>
            <color indexed="8"/>
            <rFont val="Calibri"/>
            <family val="2"/>
          </rPr>
          <t xml:space="preserve">-{ </t>
        </r>
        <r>
          <rPr>
            <b/>
            <sz val="10"/>
            <color indexed="10"/>
            <rFont val="Calibri"/>
            <family val="2"/>
          </rPr>
          <t>SM428</t>
        </r>
        <r>
          <rPr>
            <b/>
            <sz val="8.5"/>
            <color indexed="8"/>
            <rFont val="Calibri"/>
            <family val="2"/>
          </rPr>
          <t xml:space="preserve"> }-_x000D_
_x000D_
[</t>
        </r>
        <r>
          <rPr>
            <b/>
            <sz val="8.5"/>
            <color indexed="48"/>
            <rFont val="Calibri"/>
            <family val="2"/>
          </rPr>
          <t xml:space="preserve">LF </t>
        </r>
        <r>
          <rPr>
            <b/>
            <sz val="8.5"/>
            <color indexed="8"/>
            <rFont val="Calibri"/>
            <family val="2"/>
          </rPr>
          <t>» 69.0%] - [</t>
        </r>
        <r>
          <rPr>
            <b/>
            <sz val="8.5"/>
            <color indexed="48"/>
            <rFont val="Calibri"/>
            <family val="2"/>
          </rPr>
          <t xml:space="preserve">SOLD </t>
        </r>
        <r>
          <rPr>
            <b/>
            <sz val="8.5"/>
            <color indexed="8"/>
            <rFont val="Calibri"/>
            <family val="2"/>
          </rPr>
          <t>» 116 PAX]_x000D_
_x000D_
[</t>
        </r>
        <r>
          <rPr>
            <b/>
            <sz val="8.5"/>
            <color indexed="21"/>
            <rFont val="Calibri"/>
            <family val="2"/>
          </rPr>
          <t xml:space="preserve">WEEKLY </t>
        </r>
        <r>
          <rPr>
            <b/>
            <sz val="8.5"/>
            <color indexed="8"/>
            <rFont val="Calibri"/>
            <family val="2"/>
          </rPr>
          <t>» 51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S11 &amp; W19 &amp; T10 &amp; X20 &amp; U36 &amp; O19</t>
        </r>
      </text>
    </comment>
    <comment ref="C6" authorId="0" shapeId="0" xr:uid="{D7A53AFD-369E-4838-B588-2533EBC18751}">
      <text>
        <r>
          <rPr>
            <b/>
            <sz val="8.5"/>
            <color indexed="8"/>
            <rFont val="Calibri"/>
            <family val="2"/>
          </rPr>
          <t xml:space="preserve">-{ </t>
        </r>
        <r>
          <rPr>
            <b/>
            <sz val="10"/>
            <color indexed="10"/>
            <rFont val="Calibri"/>
            <family val="2"/>
          </rPr>
          <t>SM428</t>
        </r>
        <r>
          <rPr>
            <b/>
            <sz val="8.5"/>
            <color indexed="8"/>
            <rFont val="Calibri"/>
            <family val="2"/>
          </rPr>
          <t xml:space="preserve"> }-_x000D_
_x000D_
[</t>
        </r>
        <r>
          <rPr>
            <b/>
            <sz val="8.5"/>
            <color indexed="48"/>
            <rFont val="Calibri"/>
            <family val="2"/>
          </rPr>
          <t xml:space="preserve">LF </t>
        </r>
        <r>
          <rPr>
            <b/>
            <sz val="8.5"/>
            <color indexed="8"/>
            <rFont val="Calibri"/>
            <family val="2"/>
          </rPr>
          <t>» 69.0%] - [</t>
        </r>
        <r>
          <rPr>
            <b/>
            <sz val="8.5"/>
            <color indexed="48"/>
            <rFont val="Calibri"/>
            <family val="2"/>
          </rPr>
          <t xml:space="preserve">SOLD </t>
        </r>
        <r>
          <rPr>
            <b/>
            <sz val="8.5"/>
            <color indexed="8"/>
            <rFont val="Calibri"/>
            <family val="2"/>
          </rPr>
          <t>» 116 PAX]_x000D_
_x000D_
[</t>
        </r>
        <r>
          <rPr>
            <b/>
            <sz val="8.5"/>
            <color indexed="21"/>
            <rFont val="Calibri"/>
            <family val="2"/>
          </rPr>
          <t xml:space="preserve">WEEKLY </t>
        </r>
        <r>
          <rPr>
            <b/>
            <sz val="8.5"/>
            <color indexed="8"/>
            <rFont val="Calibri"/>
            <family val="2"/>
          </rPr>
          <t>» 51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S11 &amp; W19 &amp; T10 &amp; X20 &amp; U36 &amp; O19</t>
        </r>
      </text>
    </comment>
    <comment ref="D6" authorId="0" shapeId="0" xr:uid="{A23B8150-058F-4B93-9828-F5850CC88FF7}">
      <text>
        <r>
          <rPr>
            <b/>
            <sz val="8.5"/>
            <color indexed="8"/>
            <rFont val="Calibri"/>
            <family val="2"/>
          </rPr>
          <t xml:space="preserve">-{ </t>
        </r>
        <r>
          <rPr>
            <b/>
            <sz val="10"/>
            <color indexed="10"/>
            <rFont val="Calibri"/>
            <family val="2"/>
          </rPr>
          <t>SM428</t>
        </r>
        <r>
          <rPr>
            <b/>
            <sz val="8.5"/>
            <color indexed="8"/>
            <rFont val="Calibri"/>
            <family val="2"/>
          </rPr>
          <t xml:space="preserve"> }-_x000D_
_x000D_
[</t>
        </r>
        <r>
          <rPr>
            <b/>
            <sz val="8.5"/>
            <color indexed="48"/>
            <rFont val="Calibri"/>
            <family val="2"/>
          </rPr>
          <t xml:space="preserve">LF </t>
        </r>
        <r>
          <rPr>
            <b/>
            <sz val="8.5"/>
            <color indexed="8"/>
            <rFont val="Calibri"/>
            <family val="2"/>
          </rPr>
          <t>» 69.0%] - [</t>
        </r>
        <r>
          <rPr>
            <b/>
            <sz val="8.5"/>
            <color indexed="48"/>
            <rFont val="Calibri"/>
            <family val="2"/>
          </rPr>
          <t xml:space="preserve">SOLD </t>
        </r>
        <r>
          <rPr>
            <b/>
            <sz val="8.5"/>
            <color indexed="8"/>
            <rFont val="Calibri"/>
            <family val="2"/>
          </rPr>
          <t>» 116 PAX]_x000D_
_x000D_
[</t>
        </r>
        <r>
          <rPr>
            <b/>
            <sz val="8.5"/>
            <color indexed="21"/>
            <rFont val="Calibri"/>
            <family val="2"/>
          </rPr>
          <t xml:space="preserve">WEEKLY </t>
        </r>
        <r>
          <rPr>
            <b/>
            <sz val="8.5"/>
            <color indexed="8"/>
            <rFont val="Calibri"/>
            <family val="2"/>
          </rPr>
          <t>» 51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S11 &amp; W19 &amp; T10 &amp; X20 &amp; U36 &amp; O19</t>
        </r>
      </text>
    </comment>
    <comment ref="E6" authorId="0" shapeId="0" xr:uid="{F1E9FD7E-F43B-45A7-9C02-EE61D340723F}">
      <text>
        <r>
          <rPr>
            <b/>
            <sz val="8.5"/>
            <color indexed="8"/>
            <rFont val="Calibri"/>
            <family val="2"/>
          </rPr>
          <t xml:space="preserve">-{ </t>
        </r>
        <r>
          <rPr>
            <b/>
            <sz val="10"/>
            <color indexed="10"/>
            <rFont val="Calibri"/>
            <family val="2"/>
          </rPr>
          <t>SM428</t>
        </r>
        <r>
          <rPr>
            <b/>
            <sz val="8.5"/>
            <color indexed="8"/>
            <rFont val="Calibri"/>
            <family val="2"/>
          </rPr>
          <t xml:space="preserve"> }-_x000D_
_x000D_
[</t>
        </r>
        <r>
          <rPr>
            <b/>
            <sz val="8.5"/>
            <color indexed="48"/>
            <rFont val="Calibri"/>
            <family val="2"/>
          </rPr>
          <t xml:space="preserve">LF </t>
        </r>
        <r>
          <rPr>
            <b/>
            <sz val="8.5"/>
            <color indexed="8"/>
            <rFont val="Calibri"/>
            <family val="2"/>
          </rPr>
          <t>» 69.0%] - [</t>
        </r>
        <r>
          <rPr>
            <b/>
            <sz val="8.5"/>
            <color indexed="48"/>
            <rFont val="Calibri"/>
            <family val="2"/>
          </rPr>
          <t xml:space="preserve">SOLD </t>
        </r>
        <r>
          <rPr>
            <b/>
            <sz val="8.5"/>
            <color indexed="8"/>
            <rFont val="Calibri"/>
            <family val="2"/>
          </rPr>
          <t>» 116 PAX]_x000D_
_x000D_
[</t>
        </r>
        <r>
          <rPr>
            <b/>
            <sz val="8.5"/>
            <color indexed="21"/>
            <rFont val="Calibri"/>
            <family val="2"/>
          </rPr>
          <t xml:space="preserve">WEEKLY </t>
        </r>
        <r>
          <rPr>
            <b/>
            <sz val="8.5"/>
            <color indexed="8"/>
            <rFont val="Calibri"/>
            <family val="2"/>
          </rPr>
          <t>» 51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S11 &amp; W19 &amp; T10 &amp; X20 &amp; U36 &amp; O19</t>
        </r>
      </text>
    </comment>
    <comment ref="F6" authorId="0" shapeId="0" xr:uid="{2AD4FBD7-8C44-479D-A5EE-0EA27CC77301}">
      <text>
        <r>
          <rPr>
            <b/>
            <sz val="8.5"/>
            <color indexed="8"/>
            <rFont val="Calibri"/>
            <family val="2"/>
          </rPr>
          <t xml:space="preserve">-{ </t>
        </r>
        <r>
          <rPr>
            <b/>
            <sz val="10"/>
            <color indexed="10"/>
            <rFont val="Calibri"/>
            <family val="2"/>
          </rPr>
          <t>SM428</t>
        </r>
        <r>
          <rPr>
            <b/>
            <sz val="8.5"/>
            <color indexed="8"/>
            <rFont val="Calibri"/>
            <family val="2"/>
          </rPr>
          <t xml:space="preserve"> }-_x000D_
_x000D_
[</t>
        </r>
        <r>
          <rPr>
            <b/>
            <sz val="8.5"/>
            <color indexed="48"/>
            <rFont val="Calibri"/>
            <family val="2"/>
          </rPr>
          <t xml:space="preserve">LF </t>
        </r>
        <r>
          <rPr>
            <b/>
            <sz val="8.5"/>
            <color indexed="8"/>
            <rFont val="Calibri"/>
            <family val="2"/>
          </rPr>
          <t>» 69.0%] - [</t>
        </r>
        <r>
          <rPr>
            <b/>
            <sz val="8.5"/>
            <color indexed="48"/>
            <rFont val="Calibri"/>
            <family val="2"/>
          </rPr>
          <t xml:space="preserve">SOLD </t>
        </r>
        <r>
          <rPr>
            <b/>
            <sz val="8.5"/>
            <color indexed="8"/>
            <rFont val="Calibri"/>
            <family val="2"/>
          </rPr>
          <t>» 116 PAX]_x000D_
_x000D_
[</t>
        </r>
        <r>
          <rPr>
            <b/>
            <sz val="8.5"/>
            <color indexed="21"/>
            <rFont val="Calibri"/>
            <family val="2"/>
          </rPr>
          <t xml:space="preserve">WEEKLY </t>
        </r>
        <r>
          <rPr>
            <b/>
            <sz val="8.5"/>
            <color indexed="8"/>
            <rFont val="Calibri"/>
            <family val="2"/>
          </rPr>
          <t>» 51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S11 &amp; W19 &amp; T10 &amp; X20 &amp; U36 &amp; O19</t>
        </r>
      </text>
    </comment>
    <comment ref="G6" authorId="0" shapeId="0" xr:uid="{313C397E-D5F3-4118-9E82-2ACEC7253E4A}">
      <text>
        <r>
          <rPr>
            <b/>
            <sz val="8.5"/>
            <color indexed="8"/>
            <rFont val="Calibri"/>
            <family val="2"/>
          </rPr>
          <t xml:space="preserve">-{ </t>
        </r>
        <r>
          <rPr>
            <b/>
            <sz val="10"/>
            <color indexed="10"/>
            <rFont val="Calibri"/>
            <family val="2"/>
          </rPr>
          <t>SM428</t>
        </r>
        <r>
          <rPr>
            <b/>
            <sz val="8.5"/>
            <color indexed="8"/>
            <rFont val="Calibri"/>
            <family val="2"/>
          </rPr>
          <t xml:space="preserve"> }-_x000D_
_x000D_
[</t>
        </r>
        <r>
          <rPr>
            <b/>
            <sz val="8.5"/>
            <color indexed="48"/>
            <rFont val="Calibri"/>
            <family val="2"/>
          </rPr>
          <t xml:space="preserve">LF </t>
        </r>
        <r>
          <rPr>
            <b/>
            <sz val="8.5"/>
            <color indexed="8"/>
            <rFont val="Calibri"/>
            <family val="2"/>
          </rPr>
          <t>» 69.0%] - [</t>
        </r>
        <r>
          <rPr>
            <b/>
            <sz val="8.5"/>
            <color indexed="48"/>
            <rFont val="Calibri"/>
            <family val="2"/>
          </rPr>
          <t xml:space="preserve">SOLD </t>
        </r>
        <r>
          <rPr>
            <b/>
            <sz val="8.5"/>
            <color indexed="8"/>
            <rFont val="Calibri"/>
            <family val="2"/>
          </rPr>
          <t>» 116 PAX]_x000D_
_x000D_
[</t>
        </r>
        <r>
          <rPr>
            <b/>
            <sz val="8.5"/>
            <color indexed="21"/>
            <rFont val="Calibri"/>
            <family val="2"/>
          </rPr>
          <t xml:space="preserve">WEEKLY </t>
        </r>
        <r>
          <rPr>
            <b/>
            <sz val="8.5"/>
            <color indexed="8"/>
            <rFont val="Calibri"/>
            <family val="2"/>
          </rPr>
          <t>» 51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S11 &amp; W19 &amp; T10 &amp; X20 &amp; U36 &amp; O19</t>
        </r>
      </text>
    </comment>
    <comment ref="H6" authorId="0" shapeId="0" xr:uid="{31C2730F-FC11-4F55-AFE5-49B4192593E1}">
      <text>
        <r>
          <rPr>
            <b/>
            <sz val="8.5"/>
            <color indexed="8"/>
            <rFont val="Calibri"/>
            <family val="2"/>
          </rPr>
          <t xml:space="preserve">-{ </t>
        </r>
        <r>
          <rPr>
            <b/>
            <sz val="10"/>
            <color indexed="10"/>
            <rFont val="Calibri"/>
            <family val="2"/>
          </rPr>
          <t>SM428</t>
        </r>
        <r>
          <rPr>
            <b/>
            <sz val="8.5"/>
            <color indexed="8"/>
            <rFont val="Calibri"/>
            <family val="2"/>
          </rPr>
          <t xml:space="preserve"> }-_x000D_
_x000D_
[</t>
        </r>
        <r>
          <rPr>
            <b/>
            <sz val="8.5"/>
            <color indexed="48"/>
            <rFont val="Calibri"/>
            <family val="2"/>
          </rPr>
          <t xml:space="preserve">LF </t>
        </r>
        <r>
          <rPr>
            <b/>
            <sz val="8.5"/>
            <color indexed="8"/>
            <rFont val="Calibri"/>
            <family val="2"/>
          </rPr>
          <t>» 69.0%] - [</t>
        </r>
        <r>
          <rPr>
            <b/>
            <sz val="8.5"/>
            <color indexed="48"/>
            <rFont val="Calibri"/>
            <family val="2"/>
          </rPr>
          <t xml:space="preserve">SOLD </t>
        </r>
        <r>
          <rPr>
            <b/>
            <sz val="8.5"/>
            <color indexed="8"/>
            <rFont val="Calibri"/>
            <family val="2"/>
          </rPr>
          <t>» 116 PAX]_x000D_
_x000D_
[</t>
        </r>
        <r>
          <rPr>
            <b/>
            <sz val="8.5"/>
            <color indexed="21"/>
            <rFont val="Calibri"/>
            <family val="2"/>
          </rPr>
          <t xml:space="preserve">WEEKLY </t>
        </r>
        <r>
          <rPr>
            <b/>
            <sz val="8.5"/>
            <color indexed="8"/>
            <rFont val="Calibri"/>
            <family val="2"/>
          </rPr>
          <t>» 51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8]_x000D_
_x000D_
[</t>
        </r>
        <r>
          <rPr>
            <b/>
            <sz val="8.5"/>
            <color indexed="48"/>
            <rFont val="Calibri"/>
            <family val="2"/>
          </rPr>
          <t>LOWESTAVAIL</t>
        </r>
        <r>
          <rPr>
            <b/>
            <sz val="8.5"/>
            <color indexed="8"/>
            <rFont val="Calibri"/>
            <family val="2"/>
          </rPr>
          <t xml:space="preserve"> » W1]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G1 &amp; S11 &amp; W19 &amp; T10 &amp; X20 &amp; U36 &amp; O19</t>
        </r>
      </text>
    </comment>
    <comment ref="A7" authorId="0" shapeId="0" xr:uid="{B12BDFE7-5218-4402-AE4B-BCACE957FAE6}">
      <text>
        <r>
          <rPr>
            <b/>
            <sz val="8.5"/>
            <color indexed="8"/>
            <rFont val="Calibri"/>
            <family val="2"/>
          </rPr>
          <t xml:space="preserve">-{ </t>
        </r>
        <r>
          <rPr>
            <b/>
            <sz val="10"/>
            <color indexed="10"/>
            <rFont val="Calibri"/>
            <family val="2"/>
          </rPr>
          <t>SM428</t>
        </r>
        <r>
          <rPr>
            <b/>
            <sz val="8.5"/>
            <color indexed="8"/>
            <rFont val="Calibri"/>
            <family val="2"/>
          </rPr>
          <t xml:space="preserve"> }-_x000D_
_x000D_
[</t>
        </r>
        <r>
          <rPr>
            <b/>
            <sz val="8.5"/>
            <color indexed="48"/>
            <rFont val="Calibri"/>
            <family val="2"/>
          </rPr>
          <t xml:space="preserve">LF </t>
        </r>
        <r>
          <rPr>
            <b/>
            <sz val="8.5"/>
            <color indexed="8"/>
            <rFont val="Calibri"/>
            <family val="2"/>
          </rPr>
          <t>» 85.7%] - [</t>
        </r>
        <r>
          <rPr>
            <b/>
            <sz val="8.5"/>
            <color indexed="48"/>
            <rFont val="Calibri"/>
            <family val="2"/>
          </rPr>
          <t xml:space="preserve">SOLD </t>
        </r>
        <r>
          <rPr>
            <b/>
            <sz val="8.5"/>
            <color indexed="8"/>
            <rFont val="Calibri"/>
            <family val="2"/>
          </rPr>
          <t>» 144 PAX]_x000D_
_x000D_
[</t>
        </r>
        <r>
          <rPr>
            <b/>
            <sz val="8.5"/>
            <color indexed="21"/>
            <rFont val="Calibri"/>
            <family val="2"/>
          </rPr>
          <t xml:space="preserve">WEEKLY </t>
        </r>
        <r>
          <rPr>
            <b/>
            <sz val="8.5"/>
            <color indexed="8"/>
            <rFont val="Calibri"/>
            <family val="2"/>
          </rPr>
          <t>» 81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44]_x000D_
_x000D_
[</t>
        </r>
        <r>
          <rPr>
            <b/>
            <sz val="8.5"/>
            <color indexed="48"/>
            <rFont val="Calibri"/>
            <family val="2"/>
          </rPr>
          <t>LOWESTAVAIL</t>
        </r>
        <r>
          <rPr>
            <b/>
            <sz val="8.5"/>
            <color indexed="8"/>
            <rFont val="Calibri"/>
            <family val="2"/>
          </rPr>
          <t xml:space="preserve"> » T5]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W8 &amp; T12 &amp; X17 &amp; U23 &amp; O78 &amp; I6</t>
        </r>
      </text>
    </comment>
    <comment ref="B7" authorId="0" shapeId="0" xr:uid="{5403DE8E-33B7-496C-AC9F-632DEA5C44D4}">
      <text>
        <r>
          <rPr>
            <b/>
            <sz val="8.5"/>
            <color indexed="8"/>
            <rFont val="Calibri"/>
            <family val="2"/>
          </rPr>
          <t xml:space="preserve">-{ </t>
        </r>
        <r>
          <rPr>
            <b/>
            <sz val="10"/>
            <color indexed="10"/>
            <rFont val="Calibri"/>
            <family val="2"/>
          </rPr>
          <t>SM428</t>
        </r>
        <r>
          <rPr>
            <b/>
            <sz val="8.5"/>
            <color indexed="8"/>
            <rFont val="Calibri"/>
            <family val="2"/>
          </rPr>
          <t xml:space="preserve"> }-_x000D_
_x000D_
[</t>
        </r>
        <r>
          <rPr>
            <b/>
            <sz val="8.5"/>
            <color indexed="48"/>
            <rFont val="Calibri"/>
            <family val="2"/>
          </rPr>
          <t xml:space="preserve">LF </t>
        </r>
        <r>
          <rPr>
            <b/>
            <sz val="8.5"/>
            <color indexed="8"/>
            <rFont val="Calibri"/>
            <family val="2"/>
          </rPr>
          <t>» 85.7%] - [</t>
        </r>
        <r>
          <rPr>
            <b/>
            <sz val="8.5"/>
            <color indexed="48"/>
            <rFont val="Calibri"/>
            <family val="2"/>
          </rPr>
          <t xml:space="preserve">SOLD </t>
        </r>
        <r>
          <rPr>
            <b/>
            <sz val="8.5"/>
            <color indexed="8"/>
            <rFont val="Calibri"/>
            <family val="2"/>
          </rPr>
          <t>» 144 PAX]_x000D_
_x000D_
[</t>
        </r>
        <r>
          <rPr>
            <b/>
            <sz val="8.5"/>
            <color indexed="21"/>
            <rFont val="Calibri"/>
            <family val="2"/>
          </rPr>
          <t xml:space="preserve">WEEKLY </t>
        </r>
        <r>
          <rPr>
            <b/>
            <sz val="8.5"/>
            <color indexed="8"/>
            <rFont val="Calibri"/>
            <family val="2"/>
          </rPr>
          <t>» 81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44]_x000D_
_x000D_
[</t>
        </r>
        <r>
          <rPr>
            <b/>
            <sz val="8.5"/>
            <color indexed="48"/>
            <rFont val="Calibri"/>
            <family val="2"/>
          </rPr>
          <t>LOWESTAVAIL</t>
        </r>
        <r>
          <rPr>
            <b/>
            <sz val="8.5"/>
            <color indexed="8"/>
            <rFont val="Calibri"/>
            <family val="2"/>
          </rPr>
          <t xml:space="preserve"> » T5]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W8 &amp; T12 &amp; X17 &amp; U23 &amp; O78 &amp; I6</t>
        </r>
      </text>
    </comment>
    <comment ref="C7" authorId="0" shapeId="0" xr:uid="{D0D55A8A-E956-4DC1-8879-799A5560201A}">
      <text>
        <r>
          <rPr>
            <b/>
            <sz val="8.5"/>
            <color indexed="8"/>
            <rFont val="Calibri"/>
            <family val="2"/>
          </rPr>
          <t xml:space="preserve">-{ </t>
        </r>
        <r>
          <rPr>
            <b/>
            <sz val="10"/>
            <color indexed="10"/>
            <rFont val="Calibri"/>
            <family val="2"/>
          </rPr>
          <t>SM428</t>
        </r>
        <r>
          <rPr>
            <b/>
            <sz val="8.5"/>
            <color indexed="8"/>
            <rFont val="Calibri"/>
            <family val="2"/>
          </rPr>
          <t xml:space="preserve"> }-_x000D_
_x000D_
[</t>
        </r>
        <r>
          <rPr>
            <b/>
            <sz val="8.5"/>
            <color indexed="48"/>
            <rFont val="Calibri"/>
            <family val="2"/>
          </rPr>
          <t xml:space="preserve">LF </t>
        </r>
        <r>
          <rPr>
            <b/>
            <sz val="8.5"/>
            <color indexed="8"/>
            <rFont val="Calibri"/>
            <family val="2"/>
          </rPr>
          <t>» 85.7%] - [</t>
        </r>
        <r>
          <rPr>
            <b/>
            <sz val="8.5"/>
            <color indexed="48"/>
            <rFont val="Calibri"/>
            <family val="2"/>
          </rPr>
          <t xml:space="preserve">SOLD </t>
        </r>
        <r>
          <rPr>
            <b/>
            <sz val="8.5"/>
            <color indexed="8"/>
            <rFont val="Calibri"/>
            <family val="2"/>
          </rPr>
          <t>» 144 PAX]_x000D_
_x000D_
[</t>
        </r>
        <r>
          <rPr>
            <b/>
            <sz val="8.5"/>
            <color indexed="21"/>
            <rFont val="Calibri"/>
            <family val="2"/>
          </rPr>
          <t xml:space="preserve">WEEKLY </t>
        </r>
        <r>
          <rPr>
            <b/>
            <sz val="8.5"/>
            <color indexed="8"/>
            <rFont val="Calibri"/>
            <family val="2"/>
          </rPr>
          <t>» 81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44]_x000D_
_x000D_
[</t>
        </r>
        <r>
          <rPr>
            <b/>
            <sz val="8.5"/>
            <color indexed="48"/>
            <rFont val="Calibri"/>
            <family val="2"/>
          </rPr>
          <t>LOWESTAVAIL</t>
        </r>
        <r>
          <rPr>
            <b/>
            <sz val="8.5"/>
            <color indexed="8"/>
            <rFont val="Calibri"/>
            <family val="2"/>
          </rPr>
          <t xml:space="preserve"> » T5]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W8 &amp; T12 &amp; X17 &amp; U23 &amp; O78 &amp; I6</t>
        </r>
      </text>
    </comment>
    <comment ref="D7" authorId="0" shapeId="0" xr:uid="{C24F6105-3A8F-4ABD-B84A-66700E3C2B05}">
      <text>
        <r>
          <rPr>
            <b/>
            <sz val="8.5"/>
            <color indexed="8"/>
            <rFont val="Calibri"/>
            <family val="2"/>
          </rPr>
          <t xml:space="preserve">-{ </t>
        </r>
        <r>
          <rPr>
            <b/>
            <sz val="10"/>
            <color indexed="10"/>
            <rFont val="Calibri"/>
            <family val="2"/>
          </rPr>
          <t>SM428</t>
        </r>
        <r>
          <rPr>
            <b/>
            <sz val="8.5"/>
            <color indexed="8"/>
            <rFont val="Calibri"/>
            <family val="2"/>
          </rPr>
          <t xml:space="preserve"> }-_x000D_
_x000D_
[</t>
        </r>
        <r>
          <rPr>
            <b/>
            <sz val="8.5"/>
            <color indexed="48"/>
            <rFont val="Calibri"/>
            <family val="2"/>
          </rPr>
          <t xml:space="preserve">LF </t>
        </r>
        <r>
          <rPr>
            <b/>
            <sz val="8.5"/>
            <color indexed="8"/>
            <rFont val="Calibri"/>
            <family val="2"/>
          </rPr>
          <t>» 85.7%] - [</t>
        </r>
        <r>
          <rPr>
            <b/>
            <sz val="8.5"/>
            <color indexed="48"/>
            <rFont val="Calibri"/>
            <family val="2"/>
          </rPr>
          <t xml:space="preserve">SOLD </t>
        </r>
        <r>
          <rPr>
            <b/>
            <sz val="8.5"/>
            <color indexed="8"/>
            <rFont val="Calibri"/>
            <family val="2"/>
          </rPr>
          <t>» 144 PAX]_x000D_
_x000D_
[</t>
        </r>
        <r>
          <rPr>
            <b/>
            <sz val="8.5"/>
            <color indexed="21"/>
            <rFont val="Calibri"/>
            <family val="2"/>
          </rPr>
          <t xml:space="preserve">WEEKLY </t>
        </r>
        <r>
          <rPr>
            <b/>
            <sz val="8.5"/>
            <color indexed="8"/>
            <rFont val="Calibri"/>
            <family val="2"/>
          </rPr>
          <t>» 81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44]_x000D_
_x000D_
[</t>
        </r>
        <r>
          <rPr>
            <b/>
            <sz val="8.5"/>
            <color indexed="48"/>
            <rFont val="Calibri"/>
            <family val="2"/>
          </rPr>
          <t>LOWESTAVAIL</t>
        </r>
        <r>
          <rPr>
            <b/>
            <sz val="8.5"/>
            <color indexed="8"/>
            <rFont val="Calibri"/>
            <family val="2"/>
          </rPr>
          <t xml:space="preserve"> » T5]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W8 &amp; T12 &amp; X17 &amp; U23 &amp; O78 &amp; I6</t>
        </r>
      </text>
    </comment>
    <comment ref="E7" authorId="0" shapeId="0" xr:uid="{9E47E125-426F-422E-B188-EB07270FE7BC}">
      <text>
        <r>
          <rPr>
            <b/>
            <sz val="8.5"/>
            <color indexed="8"/>
            <rFont val="Calibri"/>
            <family val="2"/>
          </rPr>
          <t xml:space="preserve">-{ </t>
        </r>
        <r>
          <rPr>
            <b/>
            <sz val="10"/>
            <color indexed="10"/>
            <rFont val="Calibri"/>
            <family val="2"/>
          </rPr>
          <t>SM428</t>
        </r>
        <r>
          <rPr>
            <b/>
            <sz val="8.5"/>
            <color indexed="8"/>
            <rFont val="Calibri"/>
            <family val="2"/>
          </rPr>
          <t xml:space="preserve"> }-_x000D_
_x000D_
[</t>
        </r>
        <r>
          <rPr>
            <b/>
            <sz val="8.5"/>
            <color indexed="48"/>
            <rFont val="Calibri"/>
            <family val="2"/>
          </rPr>
          <t xml:space="preserve">LF </t>
        </r>
        <r>
          <rPr>
            <b/>
            <sz val="8.5"/>
            <color indexed="8"/>
            <rFont val="Calibri"/>
            <family val="2"/>
          </rPr>
          <t>» 85.7%] - [</t>
        </r>
        <r>
          <rPr>
            <b/>
            <sz val="8.5"/>
            <color indexed="48"/>
            <rFont val="Calibri"/>
            <family val="2"/>
          </rPr>
          <t xml:space="preserve">SOLD </t>
        </r>
        <r>
          <rPr>
            <b/>
            <sz val="8.5"/>
            <color indexed="8"/>
            <rFont val="Calibri"/>
            <family val="2"/>
          </rPr>
          <t>» 144 PAX]_x000D_
_x000D_
[</t>
        </r>
        <r>
          <rPr>
            <b/>
            <sz val="8.5"/>
            <color indexed="21"/>
            <rFont val="Calibri"/>
            <family val="2"/>
          </rPr>
          <t xml:space="preserve">WEEKLY </t>
        </r>
        <r>
          <rPr>
            <b/>
            <sz val="8.5"/>
            <color indexed="8"/>
            <rFont val="Calibri"/>
            <family val="2"/>
          </rPr>
          <t>» 81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44]_x000D_
_x000D_
[</t>
        </r>
        <r>
          <rPr>
            <b/>
            <sz val="8.5"/>
            <color indexed="48"/>
            <rFont val="Calibri"/>
            <family val="2"/>
          </rPr>
          <t>LOWESTAVAIL</t>
        </r>
        <r>
          <rPr>
            <b/>
            <sz val="8.5"/>
            <color indexed="8"/>
            <rFont val="Calibri"/>
            <family val="2"/>
          </rPr>
          <t xml:space="preserve"> » T5]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W8 &amp; T12 &amp; X17 &amp; U23 &amp; O78 &amp; I6</t>
        </r>
      </text>
    </comment>
    <comment ref="F7" authorId="0" shapeId="0" xr:uid="{263923D7-ED77-4408-AA6D-CA9484418297}">
      <text>
        <r>
          <rPr>
            <b/>
            <sz val="8.5"/>
            <color indexed="8"/>
            <rFont val="Calibri"/>
            <family val="2"/>
          </rPr>
          <t xml:space="preserve">-{ </t>
        </r>
        <r>
          <rPr>
            <b/>
            <sz val="10"/>
            <color indexed="10"/>
            <rFont val="Calibri"/>
            <family val="2"/>
          </rPr>
          <t>SM428</t>
        </r>
        <r>
          <rPr>
            <b/>
            <sz val="8.5"/>
            <color indexed="8"/>
            <rFont val="Calibri"/>
            <family val="2"/>
          </rPr>
          <t xml:space="preserve"> }-_x000D_
_x000D_
[</t>
        </r>
        <r>
          <rPr>
            <b/>
            <sz val="8.5"/>
            <color indexed="48"/>
            <rFont val="Calibri"/>
            <family val="2"/>
          </rPr>
          <t xml:space="preserve">LF </t>
        </r>
        <r>
          <rPr>
            <b/>
            <sz val="8.5"/>
            <color indexed="8"/>
            <rFont val="Calibri"/>
            <family val="2"/>
          </rPr>
          <t>» 85.7%] - [</t>
        </r>
        <r>
          <rPr>
            <b/>
            <sz val="8.5"/>
            <color indexed="48"/>
            <rFont val="Calibri"/>
            <family val="2"/>
          </rPr>
          <t xml:space="preserve">SOLD </t>
        </r>
        <r>
          <rPr>
            <b/>
            <sz val="8.5"/>
            <color indexed="8"/>
            <rFont val="Calibri"/>
            <family val="2"/>
          </rPr>
          <t>» 144 PAX]_x000D_
_x000D_
[</t>
        </r>
        <r>
          <rPr>
            <b/>
            <sz val="8.5"/>
            <color indexed="21"/>
            <rFont val="Calibri"/>
            <family val="2"/>
          </rPr>
          <t xml:space="preserve">WEEKLY </t>
        </r>
        <r>
          <rPr>
            <b/>
            <sz val="8.5"/>
            <color indexed="8"/>
            <rFont val="Calibri"/>
            <family val="2"/>
          </rPr>
          <t>» 81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44]_x000D_
_x000D_
[</t>
        </r>
        <r>
          <rPr>
            <b/>
            <sz val="8.5"/>
            <color indexed="48"/>
            <rFont val="Calibri"/>
            <family val="2"/>
          </rPr>
          <t>LOWESTAVAIL</t>
        </r>
        <r>
          <rPr>
            <b/>
            <sz val="8.5"/>
            <color indexed="8"/>
            <rFont val="Calibri"/>
            <family val="2"/>
          </rPr>
          <t xml:space="preserve"> » T5]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W8 &amp; T12 &amp; X17 &amp; U23 &amp; O78 &amp; I6</t>
        </r>
      </text>
    </comment>
    <comment ref="G7" authorId="0" shapeId="0" xr:uid="{97267CBE-0CE5-4911-9D36-BE307A6FD33D}">
      <text>
        <r>
          <rPr>
            <b/>
            <sz val="8.5"/>
            <color indexed="8"/>
            <rFont val="Calibri"/>
            <family val="2"/>
          </rPr>
          <t xml:space="preserve">-{ </t>
        </r>
        <r>
          <rPr>
            <b/>
            <sz val="10"/>
            <color indexed="10"/>
            <rFont val="Calibri"/>
            <family val="2"/>
          </rPr>
          <t>SM428</t>
        </r>
        <r>
          <rPr>
            <b/>
            <sz val="8.5"/>
            <color indexed="8"/>
            <rFont val="Calibri"/>
            <family val="2"/>
          </rPr>
          <t xml:space="preserve"> }-_x000D_
_x000D_
[</t>
        </r>
        <r>
          <rPr>
            <b/>
            <sz val="8.5"/>
            <color indexed="48"/>
            <rFont val="Calibri"/>
            <family val="2"/>
          </rPr>
          <t xml:space="preserve">LF </t>
        </r>
        <r>
          <rPr>
            <b/>
            <sz val="8.5"/>
            <color indexed="8"/>
            <rFont val="Calibri"/>
            <family val="2"/>
          </rPr>
          <t>» 85.7%] - [</t>
        </r>
        <r>
          <rPr>
            <b/>
            <sz val="8.5"/>
            <color indexed="48"/>
            <rFont val="Calibri"/>
            <family val="2"/>
          </rPr>
          <t xml:space="preserve">SOLD </t>
        </r>
        <r>
          <rPr>
            <b/>
            <sz val="8.5"/>
            <color indexed="8"/>
            <rFont val="Calibri"/>
            <family val="2"/>
          </rPr>
          <t>» 144 PAX]_x000D_
_x000D_
[</t>
        </r>
        <r>
          <rPr>
            <b/>
            <sz val="8.5"/>
            <color indexed="21"/>
            <rFont val="Calibri"/>
            <family val="2"/>
          </rPr>
          <t xml:space="preserve">WEEKLY </t>
        </r>
        <r>
          <rPr>
            <b/>
            <sz val="8.5"/>
            <color indexed="8"/>
            <rFont val="Calibri"/>
            <family val="2"/>
          </rPr>
          <t>» 81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44]_x000D_
_x000D_
[</t>
        </r>
        <r>
          <rPr>
            <b/>
            <sz val="8.5"/>
            <color indexed="48"/>
            <rFont val="Calibri"/>
            <family val="2"/>
          </rPr>
          <t>LOWESTAVAIL</t>
        </r>
        <r>
          <rPr>
            <b/>
            <sz val="8.5"/>
            <color indexed="8"/>
            <rFont val="Calibri"/>
            <family val="2"/>
          </rPr>
          <t xml:space="preserve"> » T5]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W8 &amp; T12 &amp; X17 &amp; U23 &amp; O78 &amp; I6</t>
        </r>
      </text>
    </comment>
    <comment ref="H7" authorId="0" shapeId="0" xr:uid="{943730B8-B341-4CAF-B769-1138DAD42DCB}">
      <text>
        <r>
          <rPr>
            <b/>
            <sz val="8.5"/>
            <color indexed="8"/>
            <rFont val="Calibri"/>
            <family val="2"/>
          </rPr>
          <t xml:space="preserve">-{ </t>
        </r>
        <r>
          <rPr>
            <b/>
            <sz val="10"/>
            <color indexed="10"/>
            <rFont val="Calibri"/>
            <family val="2"/>
          </rPr>
          <t>SM428</t>
        </r>
        <r>
          <rPr>
            <b/>
            <sz val="8.5"/>
            <color indexed="8"/>
            <rFont val="Calibri"/>
            <family val="2"/>
          </rPr>
          <t xml:space="preserve"> }-_x000D_
_x000D_
[</t>
        </r>
        <r>
          <rPr>
            <b/>
            <sz val="8.5"/>
            <color indexed="48"/>
            <rFont val="Calibri"/>
            <family val="2"/>
          </rPr>
          <t xml:space="preserve">LF </t>
        </r>
        <r>
          <rPr>
            <b/>
            <sz val="8.5"/>
            <color indexed="8"/>
            <rFont val="Calibri"/>
            <family val="2"/>
          </rPr>
          <t>» 85.7%] - [</t>
        </r>
        <r>
          <rPr>
            <b/>
            <sz val="8.5"/>
            <color indexed="48"/>
            <rFont val="Calibri"/>
            <family val="2"/>
          </rPr>
          <t xml:space="preserve">SOLD </t>
        </r>
        <r>
          <rPr>
            <b/>
            <sz val="8.5"/>
            <color indexed="8"/>
            <rFont val="Calibri"/>
            <family val="2"/>
          </rPr>
          <t>» 144 PAX]_x000D_
_x000D_
[</t>
        </r>
        <r>
          <rPr>
            <b/>
            <sz val="8.5"/>
            <color indexed="21"/>
            <rFont val="Calibri"/>
            <family val="2"/>
          </rPr>
          <t xml:space="preserve">WEEKLY </t>
        </r>
        <r>
          <rPr>
            <b/>
            <sz val="8.5"/>
            <color indexed="8"/>
            <rFont val="Calibri"/>
            <family val="2"/>
          </rPr>
          <t>» 81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44]_x000D_
_x000D_
[</t>
        </r>
        <r>
          <rPr>
            <b/>
            <sz val="8.5"/>
            <color indexed="48"/>
            <rFont val="Calibri"/>
            <family val="2"/>
          </rPr>
          <t>LOWESTAVAIL</t>
        </r>
        <r>
          <rPr>
            <b/>
            <sz val="8.5"/>
            <color indexed="8"/>
            <rFont val="Calibri"/>
            <family val="2"/>
          </rPr>
          <t xml:space="preserve"> » T5]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W8 &amp; T12 &amp; X17 &amp; U23 &amp; O78 &amp; I6</t>
        </r>
      </text>
    </comment>
  </commentList>
</comments>
</file>

<file path=xl/comments36.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6" authorId="0" shapeId="0" xr:uid="{846D9B5C-D577-467C-B110-426A3BCAF948}">
      <text>
        <r>
          <rPr>
            <b/>
            <sz val="8.5"/>
            <color indexed="8"/>
            <rFont val="Calibri"/>
            <family val="2"/>
          </rPr>
          <t xml:space="preserve">-{ </t>
        </r>
        <r>
          <rPr>
            <b/>
            <sz val="10"/>
            <color indexed="10"/>
            <rFont val="Calibri"/>
            <family val="2"/>
          </rPr>
          <t>SM436</t>
        </r>
        <r>
          <rPr>
            <b/>
            <sz val="8.5"/>
            <color indexed="8"/>
            <rFont val="Calibri"/>
            <family val="2"/>
          </rPr>
          <t xml:space="preserve"> }-_x000D_
_x000D_
[</t>
        </r>
        <r>
          <rPr>
            <b/>
            <sz val="8.5"/>
            <color indexed="48"/>
            <rFont val="Calibri"/>
            <family val="2"/>
          </rPr>
          <t xml:space="preserve">LF </t>
        </r>
        <r>
          <rPr>
            <b/>
            <sz val="8.5"/>
            <color indexed="8"/>
            <rFont val="Calibri"/>
            <family val="2"/>
          </rPr>
          <t>» 50.0%] - [</t>
        </r>
        <r>
          <rPr>
            <b/>
            <sz val="8.5"/>
            <color indexed="48"/>
            <rFont val="Calibri"/>
            <family val="2"/>
          </rPr>
          <t xml:space="preserve">SOLD </t>
        </r>
        <r>
          <rPr>
            <b/>
            <sz val="8.5"/>
            <color indexed="8"/>
            <rFont val="Calibri"/>
            <family val="2"/>
          </rPr>
          <t>» 84 PAX]_x000D_
_x000D_
[</t>
        </r>
        <r>
          <rPr>
            <b/>
            <sz val="8.5"/>
            <color indexed="21"/>
            <rFont val="Calibri"/>
            <family val="2"/>
          </rPr>
          <t xml:space="preserve">WEEKLY </t>
        </r>
        <r>
          <rPr>
            <b/>
            <sz val="8.5"/>
            <color indexed="8"/>
            <rFont val="Calibri"/>
            <family val="2"/>
          </rPr>
          <t>» 47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T1 &amp; X13 &amp; U20 &amp; O50</t>
        </r>
      </text>
    </comment>
    <comment ref="B6" authorId="0" shapeId="0" xr:uid="{6D9D02E2-6853-4651-8C9F-FAF41C907FD6}">
      <text>
        <r>
          <rPr>
            <b/>
            <sz val="8.5"/>
            <color indexed="8"/>
            <rFont val="Calibri"/>
            <family val="2"/>
          </rPr>
          <t xml:space="preserve">-{ </t>
        </r>
        <r>
          <rPr>
            <b/>
            <sz val="10"/>
            <color indexed="10"/>
            <rFont val="Calibri"/>
            <family val="2"/>
          </rPr>
          <t>SM436</t>
        </r>
        <r>
          <rPr>
            <b/>
            <sz val="8.5"/>
            <color indexed="8"/>
            <rFont val="Calibri"/>
            <family val="2"/>
          </rPr>
          <t xml:space="preserve"> }-_x000D_
_x000D_
[</t>
        </r>
        <r>
          <rPr>
            <b/>
            <sz val="8.5"/>
            <color indexed="48"/>
            <rFont val="Calibri"/>
            <family val="2"/>
          </rPr>
          <t>LF</t>
        </r>
        <r>
          <rPr>
            <b/>
            <sz val="8.5"/>
            <color indexed="8"/>
            <rFont val="Calibri"/>
            <family val="2"/>
          </rPr>
          <t xml:space="preserve"> » 50.0%] - [</t>
        </r>
        <r>
          <rPr>
            <b/>
            <sz val="8.5"/>
            <color indexed="48"/>
            <rFont val="Calibri"/>
            <family val="2"/>
          </rPr>
          <t xml:space="preserve">SOLD </t>
        </r>
        <r>
          <rPr>
            <b/>
            <sz val="8.5"/>
            <color indexed="8"/>
            <rFont val="Calibri"/>
            <family val="2"/>
          </rPr>
          <t>» 84 PAX]_x000D_
_x000D_
[</t>
        </r>
        <r>
          <rPr>
            <b/>
            <sz val="8.5"/>
            <color indexed="21"/>
            <rFont val="Calibri"/>
            <family val="2"/>
          </rPr>
          <t xml:space="preserve">WEEKLY </t>
        </r>
        <r>
          <rPr>
            <b/>
            <sz val="8.5"/>
            <color indexed="8"/>
            <rFont val="Calibri"/>
            <family val="2"/>
          </rPr>
          <t>» 47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T1 &amp; X13 &amp; U20 &amp; O50</t>
        </r>
      </text>
    </comment>
    <comment ref="C6" authorId="0" shapeId="0" xr:uid="{BB97769F-F1F5-492B-91F5-1D95B3A910EB}">
      <text>
        <r>
          <rPr>
            <b/>
            <sz val="8.5"/>
            <color indexed="8"/>
            <rFont val="Calibri"/>
            <family val="2"/>
          </rPr>
          <t xml:space="preserve">-{ </t>
        </r>
        <r>
          <rPr>
            <b/>
            <sz val="10"/>
            <color indexed="10"/>
            <rFont val="Calibri"/>
            <family val="2"/>
          </rPr>
          <t>SM436</t>
        </r>
        <r>
          <rPr>
            <b/>
            <sz val="8.5"/>
            <color indexed="8"/>
            <rFont val="Calibri"/>
            <family val="2"/>
          </rPr>
          <t xml:space="preserve"> }-_x000D_
_x000D_
[</t>
        </r>
        <r>
          <rPr>
            <b/>
            <sz val="8.5"/>
            <color indexed="48"/>
            <rFont val="Calibri"/>
            <family val="2"/>
          </rPr>
          <t xml:space="preserve">LF </t>
        </r>
        <r>
          <rPr>
            <b/>
            <sz val="8.5"/>
            <color indexed="8"/>
            <rFont val="Calibri"/>
            <family val="2"/>
          </rPr>
          <t>» 50.0%] - [</t>
        </r>
        <r>
          <rPr>
            <b/>
            <sz val="8.5"/>
            <color indexed="48"/>
            <rFont val="Calibri"/>
            <family val="2"/>
          </rPr>
          <t xml:space="preserve">SOLD </t>
        </r>
        <r>
          <rPr>
            <b/>
            <sz val="8.5"/>
            <color indexed="8"/>
            <rFont val="Calibri"/>
            <family val="2"/>
          </rPr>
          <t>» 84 PAX]_x000D_
_x000D_
[</t>
        </r>
        <r>
          <rPr>
            <b/>
            <sz val="8.5"/>
            <color indexed="21"/>
            <rFont val="Calibri"/>
            <family val="2"/>
          </rPr>
          <t xml:space="preserve">WEEKLY </t>
        </r>
        <r>
          <rPr>
            <b/>
            <sz val="8.5"/>
            <color indexed="8"/>
            <rFont val="Calibri"/>
            <family val="2"/>
          </rPr>
          <t>» 47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T1 &amp; X13 &amp; U20 &amp; O50</t>
        </r>
      </text>
    </comment>
    <comment ref="D6" authorId="0" shapeId="0" xr:uid="{22A84F5D-F5D1-437F-AFAE-27A97247AE8A}">
      <text>
        <r>
          <rPr>
            <b/>
            <sz val="8.5"/>
            <color indexed="8"/>
            <rFont val="Calibri"/>
            <family val="2"/>
          </rPr>
          <t xml:space="preserve">-{ </t>
        </r>
        <r>
          <rPr>
            <b/>
            <sz val="10"/>
            <color indexed="10"/>
            <rFont val="Calibri"/>
            <family val="2"/>
          </rPr>
          <t>SM436</t>
        </r>
        <r>
          <rPr>
            <b/>
            <sz val="8.5"/>
            <color indexed="8"/>
            <rFont val="Calibri"/>
            <family val="2"/>
          </rPr>
          <t xml:space="preserve"> }-_x000D_
_x000D_
[</t>
        </r>
        <r>
          <rPr>
            <b/>
            <sz val="8.5"/>
            <color indexed="48"/>
            <rFont val="Calibri"/>
            <family val="2"/>
          </rPr>
          <t xml:space="preserve">LF </t>
        </r>
        <r>
          <rPr>
            <b/>
            <sz val="8.5"/>
            <color indexed="8"/>
            <rFont val="Calibri"/>
            <family val="2"/>
          </rPr>
          <t>» 50.0%] - [</t>
        </r>
        <r>
          <rPr>
            <b/>
            <sz val="8.5"/>
            <color indexed="48"/>
            <rFont val="Calibri"/>
            <family val="2"/>
          </rPr>
          <t xml:space="preserve">SOLD </t>
        </r>
        <r>
          <rPr>
            <b/>
            <sz val="8.5"/>
            <color indexed="8"/>
            <rFont val="Calibri"/>
            <family val="2"/>
          </rPr>
          <t>» 84 PAX]_x000D_
_x000D_
[</t>
        </r>
        <r>
          <rPr>
            <b/>
            <sz val="8.5"/>
            <color indexed="21"/>
            <rFont val="Calibri"/>
            <family val="2"/>
          </rPr>
          <t xml:space="preserve">WEEKLY </t>
        </r>
        <r>
          <rPr>
            <b/>
            <sz val="8.5"/>
            <color indexed="8"/>
            <rFont val="Calibri"/>
            <family val="2"/>
          </rPr>
          <t>» 47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T1 &amp; X13 &amp; U20 &amp; O50</t>
        </r>
      </text>
    </comment>
    <comment ref="E6" authorId="0" shapeId="0" xr:uid="{E44E63F6-6E53-42AC-9898-C6A5C2872065}">
      <text>
        <r>
          <rPr>
            <b/>
            <sz val="8.5"/>
            <color indexed="8"/>
            <rFont val="Calibri"/>
            <family val="2"/>
          </rPr>
          <t xml:space="preserve">-{ </t>
        </r>
        <r>
          <rPr>
            <b/>
            <sz val="10"/>
            <color indexed="10"/>
            <rFont val="Calibri"/>
            <family val="2"/>
          </rPr>
          <t>SM436</t>
        </r>
        <r>
          <rPr>
            <b/>
            <sz val="8.5"/>
            <color indexed="8"/>
            <rFont val="Calibri"/>
            <family val="2"/>
          </rPr>
          <t xml:space="preserve"> }-_x000D_
_x000D_
[</t>
        </r>
        <r>
          <rPr>
            <b/>
            <sz val="8.5"/>
            <color indexed="48"/>
            <rFont val="Calibri"/>
            <family val="2"/>
          </rPr>
          <t xml:space="preserve">LF </t>
        </r>
        <r>
          <rPr>
            <b/>
            <sz val="8.5"/>
            <color indexed="8"/>
            <rFont val="Calibri"/>
            <family val="2"/>
          </rPr>
          <t>» 50.0%] - [</t>
        </r>
        <r>
          <rPr>
            <b/>
            <sz val="8.5"/>
            <color indexed="48"/>
            <rFont val="Calibri"/>
            <family val="2"/>
          </rPr>
          <t xml:space="preserve">SOLD </t>
        </r>
        <r>
          <rPr>
            <b/>
            <sz val="8.5"/>
            <color indexed="8"/>
            <rFont val="Calibri"/>
            <family val="2"/>
          </rPr>
          <t>» 84 PAX]_x000D_
_x000D_
[</t>
        </r>
        <r>
          <rPr>
            <b/>
            <sz val="8.5"/>
            <color indexed="21"/>
            <rFont val="Calibri"/>
            <family val="2"/>
          </rPr>
          <t xml:space="preserve">WEEKLY </t>
        </r>
        <r>
          <rPr>
            <b/>
            <sz val="8.5"/>
            <color indexed="8"/>
            <rFont val="Calibri"/>
            <family val="2"/>
          </rPr>
          <t>» 47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T1 &amp; X13 &amp; U20 &amp; O50</t>
        </r>
      </text>
    </comment>
    <comment ref="F6" authorId="0" shapeId="0" xr:uid="{0A779565-04FA-486C-B5E4-1BA0BB5672BD}">
      <text>
        <r>
          <rPr>
            <b/>
            <sz val="8.5"/>
            <color indexed="8"/>
            <rFont val="Calibri"/>
            <family val="2"/>
          </rPr>
          <t xml:space="preserve">-{ </t>
        </r>
        <r>
          <rPr>
            <b/>
            <sz val="10"/>
            <color indexed="10"/>
            <rFont val="Calibri"/>
            <family val="2"/>
          </rPr>
          <t>SM436</t>
        </r>
        <r>
          <rPr>
            <b/>
            <sz val="8.5"/>
            <color indexed="8"/>
            <rFont val="Calibri"/>
            <family val="2"/>
          </rPr>
          <t xml:space="preserve"> }-_x000D_
_x000D_
[</t>
        </r>
        <r>
          <rPr>
            <b/>
            <sz val="8.5"/>
            <color indexed="48"/>
            <rFont val="Calibri"/>
            <family val="2"/>
          </rPr>
          <t xml:space="preserve">LF </t>
        </r>
        <r>
          <rPr>
            <b/>
            <sz val="8.5"/>
            <color indexed="8"/>
            <rFont val="Calibri"/>
            <family val="2"/>
          </rPr>
          <t>» 50.0%] - [</t>
        </r>
        <r>
          <rPr>
            <b/>
            <sz val="8.5"/>
            <color indexed="48"/>
            <rFont val="Calibri"/>
            <family val="2"/>
          </rPr>
          <t xml:space="preserve">SOLD </t>
        </r>
        <r>
          <rPr>
            <b/>
            <sz val="8.5"/>
            <color indexed="8"/>
            <rFont val="Calibri"/>
            <family val="2"/>
          </rPr>
          <t>» 84 PAX]_x000D_
_x000D_
[</t>
        </r>
        <r>
          <rPr>
            <b/>
            <sz val="8.5"/>
            <color indexed="21"/>
            <rFont val="Calibri"/>
            <family val="2"/>
          </rPr>
          <t xml:space="preserve">WEEKLY </t>
        </r>
        <r>
          <rPr>
            <b/>
            <sz val="8.5"/>
            <color indexed="8"/>
            <rFont val="Calibri"/>
            <family val="2"/>
          </rPr>
          <t>» 47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T1 &amp; X13 &amp; U20 &amp; O50</t>
        </r>
      </text>
    </comment>
    <comment ref="G6" authorId="0" shapeId="0" xr:uid="{C8D3BF38-B35B-4AEB-8356-F364CFF22C57}">
      <text>
        <r>
          <rPr>
            <b/>
            <sz val="8.5"/>
            <color indexed="8"/>
            <rFont val="Calibri"/>
            <family val="2"/>
          </rPr>
          <t xml:space="preserve">-{ </t>
        </r>
        <r>
          <rPr>
            <b/>
            <sz val="10"/>
            <color indexed="10"/>
            <rFont val="Calibri"/>
            <family val="2"/>
          </rPr>
          <t>SM436</t>
        </r>
        <r>
          <rPr>
            <b/>
            <sz val="8.5"/>
            <color indexed="8"/>
            <rFont val="Calibri"/>
            <family val="2"/>
          </rPr>
          <t xml:space="preserve"> }-_x000D_
_x000D_
[</t>
        </r>
        <r>
          <rPr>
            <b/>
            <sz val="8.5"/>
            <color indexed="48"/>
            <rFont val="Calibri"/>
            <family val="2"/>
          </rPr>
          <t xml:space="preserve">LF </t>
        </r>
        <r>
          <rPr>
            <b/>
            <sz val="8.5"/>
            <color indexed="8"/>
            <rFont val="Calibri"/>
            <family val="2"/>
          </rPr>
          <t>» 50.0%] - [</t>
        </r>
        <r>
          <rPr>
            <b/>
            <sz val="8.5"/>
            <color indexed="48"/>
            <rFont val="Calibri"/>
            <family val="2"/>
          </rPr>
          <t xml:space="preserve">SOLD </t>
        </r>
        <r>
          <rPr>
            <b/>
            <sz val="8.5"/>
            <color indexed="8"/>
            <rFont val="Calibri"/>
            <family val="2"/>
          </rPr>
          <t>» 84 PAX]_x000D_
_x000D_
[</t>
        </r>
        <r>
          <rPr>
            <b/>
            <sz val="8.5"/>
            <color indexed="21"/>
            <rFont val="Calibri"/>
            <family val="2"/>
          </rPr>
          <t xml:space="preserve">WEEKLY </t>
        </r>
        <r>
          <rPr>
            <b/>
            <sz val="8.5"/>
            <color indexed="8"/>
            <rFont val="Calibri"/>
            <family val="2"/>
          </rPr>
          <t>» 47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T1 &amp; X13 &amp; U20 &amp; O50</t>
        </r>
      </text>
    </comment>
    <comment ref="H6" authorId="0" shapeId="0" xr:uid="{9C679324-1E92-4D86-AAB6-E21C628D5E3A}">
      <text>
        <r>
          <rPr>
            <b/>
            <sz val="8.5"/>
            <color indexed="8"/>
            <rFont val="Calibri"/>
            <family val="2"/>
          </rPr>
          <t xml:space="preserve">-{ </t>
        </r>
        <r>
          <rPr>
            <b/>
            <sz val="10"/>
            <color indexed="10"/>
            <rFont val="Calibri"/>
            <family val="2"/>
          </rPr>
          <t>SM436</t>
        </r>
        <r>
          <rPr>
            <b/>
            <sz val="8.5"/>
            <color indexed="8"/>
            <rFont val="Calibri"/>
            <family val="2"/>
          </rPr>
          <t xml:space="preserve"> }-_x000D_
_x000D_
[</t>
        </r>
        <r>
          <rPr>
            <b/>
            <sz val="8.5"/>
            <color indexed="48"/>
            <rFont val="Calibri"/>
            <family val="2"/>
          </rPr>
          <t xml:space="preserve">LF </t>
        </r>
        <r>
          <rPr>
            <b/>
            <sz val="8.5"/>
            <color indexed="8"/>
            <rFont val="Calibri"/>
            <family val="2"/>
          </rPr>
          <t>» 50.0%] - [</t>
        </r>
        <r>
          <rPr>
            <b/>
            <sz val="8.5"/>
            <color indexed="48"/>
            <rFont val="Calibri"/>
            <family val="2"/>
          </rPr>
          <t xml:space="preserve">SOLD </t>
        </r>
        <r>
          <rPr>
            <b/>
            <sz val="8.5"/>
            <color indexed="8"/>
            <rFont val="Calibri"/>
            <family val="2"/>
          </rPr>
          <t>» 84 PAX]_x000D_
_x000D_
[</t>
        </r>
        <r>
          <rPr>
            <b/>
            <sz val="8.5"/>
            <color indexed="21"/>
            <rFont val="Calibri"/>
            <family val="2"/>
          </rPr>
          <t xml:space="preserve">WEEKLY </t>
        </r>
        <r>
          <rPr>
            <b/>
            <sz val="8.5"/>
            <color indexed="8"/>
            <rFont val="Calibri"/>
            <family val="2"/>
          </rPr>
          <t>» 47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T1 &amp; X13 &amp; U20 &amp; O50</t>
        </r>
      </text>
    </comment>
  </commentList>
</comments>
</file>

<file path=xl/comments37.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6" authorId="0" shapeId="0" xr:uid="{138F8073-6EE1-4C11-9D2A-6B2BFCB637ED}">
      <text>
        <r>
          <rPr>
            <b/>
            <sz val="8.5"/>
            <color indexed="8"/>
            <rFont val="Calibri"/>
            <family val="2"/>
          </rPr>
          <t xml:space="preserve">-{ </t>
        </r>
        <r>
          <rPr>
            <b/>
            <sz val="10"/>
            <color indexed="10"/>
            <rFont val="Calibri"/>
            <family val="2"/>
          </rPr>
          <t>SM436</t>
        </r>
        <r>
          <rPr>
            <b/>
            <sz val="8.5"/>
            <color indexed="8"/>
            <rFont val="Calibri"/>
            <family val="2"/>
          </rPr>
          <t xml:space="preserve"> }-_x000D_
_x000D_
[</t>
        </r>
        <r>
          <rPr>
            <b/>
            <sz val="8.5"/>
            <color indexed="48"/>
            <rFont val="Calibri"/>
            <family val="2"/>
          </rPr>
          <t xml:space="preserve">LF </t>
        </r>
        <r>
          <rPr>
            <b/>
            <sz val="8.5"/>
            <color indexed="8"/>
            <rFont val="Calibri"/>
            <family val="2"/>
          </rPr>
          <t>» 50.0%] - [</t>
        </r>
        <r>
          <rPr>
            <b/>
            <sz val="8.5"/>
            <color indexed="48"/>
            <rFont val="Calibri"/>
            <family val="2"/>
          </rPr>
          <t xml:space="preserve">SOLD </t>
        </r>
        <r>
          <rPr>
            <b/>
            <sz val="8.5"/>
            <color indexed="8"/>
            <rFont val="Calibri"/>
            <family val="2"/>
          </rPr>
          <t>» 84 PAX]_x000D_
_x000D_
[</t>
        </r>
        <r>
          <rPr>
            <b/>
            <sz val="8.5"/>
            <color indexed="21"/>
            <rFont val="Calibri"/>
            <family val="2"/>
          </rPr>
          <t xml:space="preserve">WEEKLY </t>
        </r>
        <r>
          <rPr>
            <b/>
            <sz val="8.5"/>
            <color indexed="8"/>
            <rFont val="Calibri"/>
            <family val="2"/>
          </rPr>
          <t>» 47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T1 &amp; X13 &amp; U20 &amp; O50</t>
        </r>
      </text>
    </comment>
    <comment ref="B6" authorId="0" shapeId="0" xr:uid="{FD709D23-B7B8-4F5A-A73B-451AAE44002A}">
      <text>
        <r>
          <rPr>
            <b/>
            <sz val="8.5"/>
            <color indexed="8"/>
            <rFont val="Calibri"/>
            <family val="2"/>
          </rPr>
          <t xml:space="preserve">-{ </t>
        </r>
        <r>
          <rPr>
            <b/>
            <sz val="10"/>
            <color indexed="10"/>
            <rFont val="Calibri"/>
            <family val="2"/>
          </rPr>
          <t>SM436</t>
        </r>
        <r>
          <rPr>
            <b/>
            <sz val="8.5"/>
            <color indexed="8"/>
            <rFont val="Calibri"/>
            <family val="2"/>
          </rPr>
          <t xml:space="preserve"> }-_x000D_
_x000D_
[</t>
        </r>
        <r>
          <rPr>
            <b/>
            <sz val="8.5"/>
            <color indexed="48"/>
            <rFont val="Calibri"/>
            <family val="2"/>
          </rPr>
          <t xml:space="preserve">LF </t>
        </r>
        <r>
          <rPr>
            <b/>
            <sz val="8.5"/>
            <color indexed="8"/>
            <rFont val="Calibri"/>
            <family val="2"/>
          </rPr>
          <t>» 50.0%] - [</t>
        </r>
        <r>
          <rPr>
            <b/>
            <sz val="8.5"/>
            <color indexed="48"/>
            <rFont val="Calibri"/>
            <family val="2"/>
          </rPr>
          <t xml:space="preserve">SOLD </t>
        </r>
        <r>
          <rPr>
            <b/>
            <sz val="8.5"/>
            <color indexed="8"/>
            <rFont val="Calibri"/>
            <family val="2"/>
          </rPr>
          <t>» 84 PAX]_x000D_
_x000D_
[</t>
        </r>
        <r>
          <rPr>
            <b/>
            <sz val="8.5"/>
            <color indexed="21"/>
            <rFont val="Calibri"/>
            <family val="2"/>
          </rPr>
          <t xml:space="preserve">WEEKLY </t>
        </r>
        <r>
          <rPr>
            <b/>
            <sz val="8.5"/>
            <color indexed="8"/>
            <rFont val="Calibri"/>
            <family val="2"/>
          </rPr>
          <t>» 47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T1 &amp; X13 &amp; U20 &amp; O50</t>
        </r>
      </text>
    </comment>
    <comment ref="C6" authorId="0" shapeId="0" xr:uid="{81D5CD22-1295-4C36-A671-506E39803820}">
      <text>
        <r>
          <rPr>
            <b/>
            <sz val="8.5"/>
            <color indexed="8"/>
            <rFont val="Calibri"/>
            <family val="2"/>
          </rPr>
          <t xml:space="preserve">-{ </t>
        </r>
        <r>
          <rPr>
            <b/>
            <sz val="10"/>
            <color indexed="10"/>
            <rFont val="Calibri"/>
            <family val="2"/>
          </rPr>
          <t>SM436</t>
        </r>
        <r>
          <rPr>
            <b/>
            <sz val="8.5"/>
            <color indexed="8"/>
            <rFont val="Calibri"/>
            <family val="2"/>
          </rPr>
          <t xml:space="preserve"> }-_x000D_
_x000D_
[</t>
        </r>
        <r>
          <rPr>
            <b/>
            <sz val="8.5"/>
            <color indexed="48"/>
            <rFont val="Calibri"/>
            <family val="2"/>
          </rPr>
          <t xml:space="preserve">LF </t>
        </r>
        <r>
          <rPr>
            <b/>
            <sz val="8.5"/>
            <color indexed="8"/>
            <rFont val="Calibri"/>
            <family val="2"/>
          </rPr>
          <t>» 50.0%] - [</t>
        </r>
        <r>
          <rPr>
            <b/>
            <sz val="8.5"/>
            <color indexed="48"/>
            <rFont val="Calibri"/>
            <family val="2"/>
          </rPr>
          <t xml:space="preserve">SOLD </t>
        </r>
        <r>
          <rPr>
            <b/>
            <sz val="8.5"/>
            <color indexed="8"/>
            <rFont val="Calibri"/>
            <family val="2"/>
          </rPr>
          <t>» 84 PAX]_x000D_
_x000D_
[</t>
        </r>
        <r>
          <rPr>
            <b/>
            <sz val="8.5"/>
            <color indexed="21"/>
            <rFont val="Calibri"/>
            <family val="2"/>
          </rPr>
          <t xml:space="preserve">WEEKLY </t>
        </r>
        <r>
          <rPr>
            <b/>
            <sz val="8.5"/>
            <color indexed="8"/>
            <rFont val="Calibri"/>
            <family val="2"/>
          </rPr>
          <t>» 47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T1 &amp; X13 &amp; U20 &amp; O50</t>
        </r>
      </text>
    </comment>
    <comment ref="D6" authorId="0" shapeId="0" xr:uid="{89763A5D-A49C-464F-A74D-961F489FC437}">
      <text>
        <r>
          <rPr>
            <b/>
            <sz val="8.5"/>
            <color indexed="8"/>
            <rFont val="Calibri"/>
            <family val="2"/>
          </rPr>
          <t xml:space="preserve">-{ </t>
        </r>
        <r>
          <rPr>
            <b/>
            <sz val="10"/>
            <color indexed="10"/>
            <rFont val="Calibri"/>
            <family val="2"/>
          </rPr>
          <t>SM436</t>
        </r>
        <r>
          <rPr>
            <b/>
            <sz val="8.5"/>
            <color indexed="8"/>
            <rFont val="Calibri"/>
            <family val="2"/>
          </rPr>
          <t xml:space="preserve"> }-_x000D_
_x000D_
[</t>
        </r>
        <r>
          <rPr>
            <b/>
            <sz val="8.5"/>
            <color indexed="48"/>
            <rFont val="Calibri"/>
            <family val="2"/>
          </rPr>
          <t xml:space="preserve">LF </t>
        </r>
        <r>
          <rPr>
            <b/>
            <sz val="8.5"/>
            <color indexed="8"/>
            <rFont val="Calibri"/>
            <family val="2"/>
          </rPr>
          <t>» 50.0%] - [</t>
        </r>
        <r>
          <rPr>
            <b/>
            <sz val="8.5"/>
            <color indexed="48"/>
            <rFont val="Calibri"/>
            <family val="2"/>
          </rPr>
          <t xml:space="preserve">SOLD </t>
        </r>
        <r>
          <rPr>
            <b/>
            <sz val="8.5"/>
            <color indexed="8"/>
            <rFont val="Calibri"/>
            <family val="2"/>
          </rPr>
          <t>» 84 PAX]_x000D_
_x000D_
[</t>
        </r>
        <r>
          <rPr>
            <b/>
            <sz val="8.5"/>
            <color indexed="21"/>
            <rFont val="Calibri"/>
            <family val="2"/>
          </rPr>
          <t xml:space="preserve">WEEKLY </t>
        </r>
        <r>
          <rPr>
            <b/>
            <sz val="8.5"/>
            <color indexed="8"/>
            <rFont val="Calibri"/>
            <family val="2"/>
          </rPr>
          <t>» 47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T1 &amp; X13 &amp; U20 &amp; O50</t>
        </r>
      </text>
    </comment>
    <comment ref="E6" authorId="0" shapeId="0" xr:uid="{E42BF61E-C236-4071-9253-A60F75AAE4CE}">
      <text>
        <r>
          <rPr>
            <b/>
            <sz val="8.5"/>
            <color indexed="8"/>
            <rFont val="Calibri"/>
            <family val="2"/>
          </rPr>
          <t xml:space="preserve">-{ </t>
        </r>
        <r>
          <rPr>
            <b/>
            <sz val="10"/>
            <color indexed="10"/>
            <rFont val="Calibri"/>
            <family val="2"/>
          </rPr>
          <t>SM436</t>
        </r>
        <r>
          <rPr>
            <b/>
            <sz val="8.5"/>
            <color indexed="8"/>
            <rFont val="Calibri"/>
            <family val="2"/>
          </rPr>
          <t xml:space="preserve"> }-_x000D_
_x000D_
[</t>
        </r>
        <r>
          <rPr>
            <b/>
            <sz val="8.5"/>
            <color indexed="48"/>
            <rFont val="Calibri"/>
            <family val="2"/>
          </rPr>
          <t xml:space="preserve">LF </t>
        </r>
        <r>
          <rPr>
            <b/>
            <sz val="8.5"/>
            <color indexed="8"/>
            <rFont val="Calibri"/>
            <family val="2"/>
          </rPr>
          <t>» 50.0%] - [</t>
        </r>
        <r>
          <rPr>
            <b/>
            <sz val="8.5"/>
            <color indexed="48"/>
            <rFont val="Calibri"/>
            <family val="2"/>
          </rPr>
          <t xml:space="preserve">SOLD </t>
        </r>
        <r>
          <rPr>
            <b/>
            <sz val="8.5"/>
            <color indexed="8"/>
            <rFont val="Calibri"/>
            <family val="2"/>
          </rPr>
          <t>» 84 PAX]_x000D_
_x000D_
[</t>
        </r>
        <r>
          <rPr>
            <b/>
            <sz val="8.5"/>
            <color indexed="21"/>
            <rFont val="Calibri"/>
            <family val="2"/>
          </rPr>
          <t xml:space="preserve">WEEKLY </t>
        </r>
        <r>
          <rPr>
            <b/>
            <sz val="8.5"/>
            <color indexed="8"/>
            <rFont val="Calibri"/>
            <family val="2"/>
          </rPr>
          <t>» 47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T1 &amp; X13 &amp; U20 &amp; O50</t>
        </r>
      </text>
    </comment>
    <comment ref="F6" authorId="0" shapeId="0" xr:uid="{E5619C66-7BFE-464A-8063-0655AC45C5BA}">
      <text>
        <r>
          <rPr>
            <b/>
            <sz val="8.5"/>
            <color indexed="8"/>
            <rFont val="Calibri"/>
            <family val="2"/>
          </rPr>
          <t xml:space="preserve">-{ </t>
        </r>
        <r>
          <rPr>
            <b/>
            <sz val="10"/>
            <color indexed="10"/>
            <rFont val="Calibri"/>
            <family val="2"/>
          </rPr>
          <t>SM436</t>
        </r>
        <r>
          <rPr>
            <b/>
            <sz val="8.5"/>
            <color indexed="8"/>
            <rFont val="Calibri"/>
            <family val="2"/>
          </rPr>
          <t xml:space="preserve"> }-_x000D_
_x000D_
[</t>
        </r>
        <r>
          <rPr>
            <b/>
            <sz val="8.5"/>
            <color indexed="48"/>
            <rFont val="Calibri"/>
            <family val="2"/>
          </rPr>
          <t xml:space="preserve">LF </t>
        </r>
        <r>
          <rPr>
            <b/>
            <sz val="8.5"/>
            <color indexed="8"/>
            <rFont val="Calibri"/>
            <family val="2"/>
          </rPr>
          <t>» 50.0%] - [</t>
        </r>
        <r>
          <rPr>
            <b/>
            <sz val="8.5"/>
            <color indexed="48"/>
            <rFont val="Calibri"/>
            <family val="2"/>
          </rPr>
          <t xml:space="preserve">SOLD </t>
        </r>
        <r>
          <rPr>
            <b/>
            <sz val="8.5"/>
            <color indexed="8"/>
            <rFont val="Calibri"/>
            <family val="2"/>
          </rPr>
          <t>» 84 PAX]_x000D_
_x000D_
[</t>
        </r>
        <r>
          <rPr>
            <b/>
            <sz val="8.5"/>
            <color indexed="21"/>
            <rFont val="Calibri"/>
            <family val="2"/>
          </rPr>
          <t xml:space="preserve">WEEKLY </t>
        </r>
        <r>
          <rPr>
            <b/>
            <sz val="8.5"/>
            <color indexed="8"/>
            <rFont val="Calibri"/>
            <family val="2"/>
          </rPr>
          <t>» 47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T1 &amp; X13 &amp; U20 &amp; O50</t>
        </r>
      </text>
    </comment>
    <comment ref="G6" authorId="0" shapeId="0" xr:uid="{D8B67B8B-6A4C-4A65-8A84-9459EBF5C08F}">
      <text>
        <r>
          <rPr>
            <b/>
            <sz val="8.5"/>
            <color indexed="8"/>
            <rFont val="Calibri"/>
            <family val="2"/>
          </rPr>
          <t xml:space="preserve">-{ </t>
        </r>
        <r>
          <rPr>
            <b/>
            <sz val="10"/>
            <color indexed="10"/>
            <rFont val="Calibri"/>
            <family val="2"/>
          </rPr>
          <t>SM436</t>
        </r>
        <r>
          <rPr>
            <b/>
            <sz val="8.5"/>
            <color indexed="8"/>
            <rFont val="Calibri"/>
            <family val="2"/>
          </rPr>
          <t xml:space="preserve"> }-_x000D_
_x000D_
[</t>
        </r>
        <r>
          <rPr>
            <b/>
            <sz val="8.5"/>
            <color indexed="48"/>
            <rFont val="Calibri"/>
            <family val="2"/>
          </rPr>
          <t xml:space="preserve">LF </t>
        </r>
        <r>
          <rPr>
            <b/>
            <sz val="8.5"/>
            <color indexed="8"/>
            <rFont val="Calibri"/>
            <family val="2"/>
          </rPr>
          <t>» 50.0%] - [</t>
        </r>
        <r>
          <rPr>
            <b/>
            <sz val="8.5"/>
            <color indexed="48"/>
            <rFont val="Calibri"/>
            <family val="2"/>
          </rPr>
          <t xml:space="preserve">SOLD </t>
        </r>
        <r>
          <rPr>
            <b/>
            <sz val="8.5"/>
            <color indexed="8"/>
            <rFont val="Calibri"/>
            <family val="2"/>
          </rPr>
          <t>» 84 PAX]_x000D_
_x000D_
[</t>
        </r>
        <r>
          <rPr>
            <b/>
            <sz val="8.5"/>
            <color indexed="21"/>
            <rFont val="Calibri"/>
            <family val="2"/>
          </rPr>
          <t xml:space="preserve">WEEKLY </t>
        </r>
        <r>
          <rPr>
            <b/>
            <sz val="8.5"/>
            <color indexed="8"/>
            <rFont val="Calibri"/>
            <family val="2"/>
          </rPr>
          <t>» 47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T1 &amp; X13 &amp; U20 &amp; O50</t>
        </r>
      </text>
    </comment>
    <comment ref="H6" authorId="0" shapeId="0" xr:uid="{480563D6-77D1-4F6B-A282-DAB431090999}">
      <text>
        <r>
          <rPr>
            <b/>
            <sz val="8.5"/>
            <color indexed="8"/>
            <rFont val="Calibri"/>
            <family val="2"/>
          </rPr>
          <t xml:space="preserve">-{ </t>
        </r>
        <r>
          <rPr>
            <b/>
            <sz val="10"/>
            <color indexed="10"/>
            <rFont val="Calibri"/>
            <family val="2"/>
          </rPr>
          <t>SM436</t>
        </r>
        <r>
          <rPr>
            <b/>
            <sz val="8.5"/>
            <color indexed="8"/>
            <rFont val="Calibri"/>
            <family val="2"/>
          </rPr>
          <t xml:space="preserve"> }-_x000D_
_x000D_
[</t>
        </r>
        <r>
          <rPr>
            <b/>
            <sz val="8.5"/>
            <color indexed="48"/>
            <rFont val="Calibri"/>
            <family val="2"/>
          </rPr>
          <t xml:space="preserve">LF </t>
        </r>
        <r>
          <rPr>
            <b/>
            <sz val="8.5"/>
            <color indexed="8"/>
            <rFont val="Calibri"/>
            <family val="2"/>
          </rPr>
          <t>» 50.0%] - [</t>
        </r>
        <r>
          <rPr>
            <b/>
            <sz val="8.5"/>
            <color indexed="48"/>
            <rFont val="Calibri"/>
            <family val="2"/>
          </rPr>
          <t xml:space="preserve">SOLD </t>
        </r>
        <r>
          <rPr>
            <b/>
            <sz val="8.5"/>
            <color indexed="8"/>
            <rFont val="Calibri"/>
            <family val="2"/>
          </rPr>
          <t>» 84 PAX]_x000D_
_x000D_
[</t>
        </r>
        <r>
          <rPr>
            <b/>
            <sz val="8.5"/>
            <color indexed="21"/>
            <rFont val="Calibri"/>
            <family val="2"/>
          </rPr>
          <t xml:space="preserve">WEEKLY </t>
        </r>
        <r>
          <rPr>
            <b/>
            <sz val="8.5"/>
            <color indexed="8"/>
            <rFont val="Calibri"/>
            <family val="2"/>
          </rPr>
          <t>» 47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7]_x000D_
_x000D_
[</t>
        </r>
        <r>
          <rPr>
            <b/>
            <sz val="8.5"/>
            <color indexed="48"/>
            <rFont val="Calibri"/>
            <family val="2"/>
          </rPr>
          <t>LOWESTAVAIL</t>
        </r>
        <r>
          <rPr>
            <b/>
            <sz val="8.5"/>
            <color indexed="8"/>
            <rFont val="Calibri"/>
            <family val="2"/>
          </rPr>
          <t xml:space="preserve"> » X7]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T1 &amp; X13 &amp; U20 &amp; O50</t>
        </r>
      </text>
    </comment>
  </commentList>
</comments>
</file>

<file path=xl/comments38.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4" authorId="0" shapeId="0" xr:uid="{8D5339A0-B7D0-489A-B481-7162BD23770F}">
      <text>
        <r>
          <rPr>
            <b/>
            <sz val="8.5"/>
            <color indexed="8"/>
            <rFont val="Calibri"/>
            <family val="2"/>
          </rPr>
          <t xml:space="preserve">-{ </t>
        </r>
        <r>
          <rPr>
            <b/>
            <sz val="10"/>
            <color indexed="10"/>
            <rFont val="Calibri"/>
            <family val="2"/>
          </rPr>
          <t>SM330</t>
        </r>
        <r>
          <rPr>
            <b/>
            <sz val="8.5"/>
            <color indexed="8"/>
            <rFont val="Calibri"/>
            <family val="2"/>
          </rPr>
          <t xml:space="preserve"> }-_x000D_
_x000D_
[</t>
        </r>
        <r>
          <rPr>
            <b/>
            <sz val="8.5"/>
            <color indexed="48"/>
            <rFont val="Calibri"/>
            <family val="2"/>
          </rPr>
          <t xml:space="preserve">LF </t>
        </r>
        <r>
          <rPr>
            <b/>
            <sz val="8.5"/>
            <color indexed="8"/>
            <rFont val="Calibri"/>
            <family val="2"/>
          </rPr>
          <t>» 63.7%] - [</t>
        </r>
        <r>
          <rPr>
            <b/>
            <sz val="8.5"/>
            <color indexed="48"/>
            <rFont val="Calibri"/>
            <family val="2"/>
          </rPr>
          <t xml:space="preserve">SOLD </t>
        </r>
        <r>
          <rPr>
            <b/>
            <sz val="8.5"/>
            <color indexed="8"/>
            <rFont val="Calibri"/>
            <family val="2"/>
          </rPr>
          <t>» 107 PAX]_x000D_
_x000D_
[</t>
        </r>
        <r>
          <rPr>
            <b/>
            <sz val="8.5"/>
            <color indexed="21"/>
            <rFont val="Calibri"/>
            <family val="2"/>
          </rPr>
          <t xml:space="preserve">WEEKLY </t>
        </r>
        <r>
          <rPr>
            <b/>
            <sz val="8.5"/>
            <color indexed="8"/>
            <rFont val="Calibri"/>
            <family val="2"/>
          </rPr>
          <t>» 33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H9]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Q15 &amp; K30 &amp; V10 &amp; L18 &amp; G17 &amp; S9 &amp; W8</t>
        </r>
      </text>
    </comment>
    <comment ref="B4" authorId="0" shapeId="0" xr:uid="{6A609373-B400-4628-8BA5-A6D788B4ADEA}">
      <text>
        <r>
          <rPr>
            <b/>
            <sz val="8.5"/>
            <color indexed="8"/>
            <rFont val="Calibri"/>
            <family val="2"/>
          </rPr>
          <t xml:space="preserve">-{ </t>
        </r>
        <r>
          <rPr>
            <b/>
            <sz val="10"/>
            <color indexed="10"/>
            <rFont val="Calibri"/>
            <family val="2"/>
          </rPr>
          <t>SM330</t>
        </r>
        <r>
          <rPr>
            <b/>
            <sz val="8.5"/>
            <color indexed="8"/>
            <rFont val="Calibri"/>
            <family val="2"/>
          </rPr>
          <t xml:space="preserve"> }-_x000D_
_x000D_
[</t>
        </r>
        <r>
          <rPr>
            <b/>
            <sz val="8.5"/>
            <color indexed="48"/>
            <rFont val="Calibri"/>
            <family val="2"/>
          </rPr>
          <t xml:space="preserve">LF </t>
        </r>
        <r>
          <rPr>
            <b/>
            <sz val="8.5"/>
            <color indexed="8"/>
            <rFont val="Calibri"/>
            <family val="2"/>
          </rPr>
          <t>» 63.7%] - [</t>
        </r>
        <r>
          <rPr>
            <b/>
            <sz val="8.5"/>
            <color indexed="48"/>
            <rFont val="Calibri"/>
            <family val="2"/>
          </rPr>
          <t xml:space="preserve">SOLD </t>
        </r>
        <r>
          <rPr>
            <b/>
            <sz val="8.5"/>
            <color indexed="8"/>
            <rFont val="Calibri"/>
            <family val="2"/>
          </rPr>
          <t>» 107 PAX]_x000D_
_x000D_
[</t>
        </r>
        <r>
          <rPr>
            <b/>
            <sz val="8.5"/>
            <color indexed="21"/>
            <rFont val="Calibri"/>
            <family val="2"/>
          </rPr>
          <t xml:space="preserve">WEEKLY </t>
        </r>
        <r>
          <rPr>
            <b/>
            <sz val="8.5"/>
            <color indexed="8"/>
            <rFont val="Calibri"/>
            <family val="2"/>
          </rPr>
          <t>» 33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H9]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Q15 &amp; K30 &amp; V10 &amp; L18 &amp; G17 &amp; S9 &amp; W8</t>
        </r>
      </text>
    </comment>
    <comment ref="C4" authorId="0" shapeId="0" xr:uid="{1B37E0D7-EDAF-4529-B2C0-5F54C464821A}">
      <text>
        <r>
          <rPr>
            <b/>
            <sz val="8.5"/>
            <color indexed="8"/>
            <rFont val="Calibri"/>
            <family val="2"/>
          </rPr>
          <t xml:space="preserve">-{ </t>
        </r>
        <r>
          <rPr>
            <b/>
            <sz val="10"/>
            <color indexed="10"/>
            <rFont val="Calibri"/>
            <family val="2"/>
          </rPr>
          <t>SM330</t>
        </r>
        <r>
          <rPr>
            <b/>
            <sz val="8.5"/>
            <color indexed="8"/>
            <rFont val="Calibri"/>
            <family val="2"/>
          </rPr>
          <t xml:space="preserve"> }-_x000D_
_x000D_
[</t>
        </r>
        <r>
          <rPr>
            <b/>
            <sz val="8.5"/>
            <color indexed="48"/>
            <rFont val="Calibri"/>
            <family val="2"/>
          </rPr>
          <t xml:space="preserve">LF </t>
        </r>
        <r>
          <rPr>
            <b/>
            <sz val="8.5"/>
            <color indexed="8"/>
            <rFont val="Calibri"/>
            <family val="2"/>
          </rPr>
          <t>» 63.7%] - [</t>
        </r>
        <r>
          <rPr>
            <b/>
            <sz val="8.5"/>
            <color indexed="48"/>
            <rFont val="Calibri"/>
            <family val="2"/>
          </rPr>
          <t xml:space="preserve">SOLD </t>
        </r>
        <r>
          <rPr>
            <b/>
            <sz val="8.5"/>
            <color indexed="8"/>
            <rFont val="Calibri"/>
            <family val="2"/>
          </rPr>
          <t>» 107 PAX]_x000D_
_x000D_
[</t>
        </r>
        <r>
          <rPr>
            <b/>
            <sz val="8.5"/>
            <color indexed="21"/>
            <rFont val="Calibri"/>
            <family val="2"/>
          </rPr>
          <t xml:space="preserve">WEEKLY </t>
        </r>
        <r>
          <rPr>
            <b/>
            <sz val="8.5"/>
            <color indexed="8"/>
            <rFont val="Calibri"/>
            <family val="2"/>
          </rPr>
          <t>» 33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H9]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Q15 &amp; K30 &amp; V10 &amp; L18 &amp; G17 &amp; S9 &amp; W8</t>
        </r>
      </text>
    </comment>
    <comment ref="D4" authorId="0" shapeId="0" xr:uid="{C0CC4201-066C-43E3-8488-0E89E81F29B2}">
      <text>
        <r>
          <rPr>
            <b/>
            <sz val="8.5"/>
            <color indexed="8"/>
            <rFont val="Calibri"/>
            <family val="2"/>
          </rPr>
          <t xml:space="preserve">-{ </t>
        </r>
        <r>
          <rPr>
            <b/>
            <sz val="10"/>
            <color indexed="10"/>
            <rFont val="Calibri"/>
            <family val="2"/>
          </rPr>
          <t>SM330</t>
        </r>
        <r>
          <rPr>
            <b/>
            <sz val="8.5"/>
            <color indexed="8"/>
            <rFont val="Calibri"/>
            <family val="2"/>
          </rPr>
          <t xml:space="preserve"> }-_x000D_
_x000D_
[</t>
        </r>
        <r>
          <rPr>
            <b/>
            <sz val="8.5"/>
            <color indexed="48"/>
            <rFont val="Calibri"/>
            <family val="2"/>
          </rPr>
          <t xml:space="preserve">LF </t>
        </r>
        <r>
          <rPr>
            <b/>
            <sz val="8.5"/>
            <color indexed="8"/>
            <rFont val="Calibri"/>
            <family val="2"/>
          </rPr>
          <t>» 63.7%] - [</t>
        </r>
        <r>
          <rPr>
            <b/>
            <sz val="8.5"/>
            <color indexed="48"/>
            <rFont val="Calibri"/>
            <family val="2"/>
          </rPr>
          <t xml:space="preserve">SOLD </t>
        </r>
        <r>
          <rPr>
            <b/>
            <sz val="8.5"/>
            <color indexed="8"/>
            <rFont val="Calibri"/>
            <family val="2"/>
          </rPr>
          <t>» 107 PAX]_x000D_
_x000D_
[</t>
        </r>
        <r>
          <rPr>
            <b/>
            <sz val="8.5"/>
            <color indexed="21"/>
            <rFont val="Calibri"/>
            <family val="2"/>
          </rPr>
          <t xml:space="preserve">WEEKLY </t>
        </r>
        <r>
          <rPr>
            <b/>
            <sz val="8.5"/>
            <color indexed="8"/>
            <rFont val="Calibri"/>
            <family val="2"/>
          </rPr>
          <t>» 33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H9]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Q15 &amp; K30 &amp; V10 &amp; L18 &amp; G17 &amp; S9 &amp; W8</t>
        </r>
      </text>
    </comment>
    <comment ref="E4" authorId="0" shapeId="0" xr:uid="{4531706B-EE26-4776-8BAF-9975DA60F409}">
      <text>
        <r>
          <rPr>
            <b/>
            <sz val="8.5"/>
            <color indexed="8"/>
            <rFont val="Calibri"/>
            <family val="2"/>
          </rPr>
          <t xml:space="preserve">-{ </t>
        </r>
        <r>
          <rPr>
            <b/>
            <sz val="10"/>
            <color indexed="10"/>
            <rFont val="Calibri"/>
            <family val="2"/>
          </rPr>
          <t>SM330</t>
        </r>
        <r>
          <rPr>
            <b/>
            <sz val="8.5"/>
            <color indexed="8"/>
            <rFont val="Calibri"/>
            <family val="2"/>
          </rPr>
          <t xml:space="preserve"> }-_x000D_
_x000D_
[</t>
        </r>
        <r>
          <rPr>
            <b/>
            <sz val="8.5"/>
            <color indexed="48"/>
            <rFont val="Calibri"/>
            <family val="2"/>
          </rPr>
          <t xml:space="preserve">LF </t>
        </r>
        <r>
          <rPr>
            <b/>
            <sz val="8.5"/>
            <color indexed="8"/>
            <rFont val="Calibri"/>
            <family val="2"/>
          </rPr>
          <t>» 63.7%] - [</t>
        </r>
        <r>
          <rPr>
            <b/>
            <sz val="8.5"/>
            <color indexed="48"/>
            <rFont val="Calibri"/>
            <family val="2"/>
          </rPr>
          <t xml:space="preserve">SOLD </t>
        </r>
        <r>
          <rPr>
            <b/>
            <sz val="8.5"/>
            <color indexed="8"/>
            <rFont val="Calibri"/>
            <family val="2"/>
          </rPr>
          <t>» 107 PAX]_x000D_
_x000D_
[</t>
        </r>
        <r>
          <rPr>
            <b/>
            <sz val="8.5"/>
            <color indexed="21"/>
            <rFont val="Calibri"/>
            <family val="2"/>
          </rPr>
          <t xml:space="preserve">WEEKLY </t>
        </r>
        <r>
          <rPr>
            <b/>
            <sz val="8.5"/>
            <color indexed="8"/>
            <rFont val="Calibri"/>
            <family val="2"/>
          </rPr>
          <t>» 33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H9]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Q15 &amp; K30 &amp; V10 &amp; L18 &amp; G17 &amp; S9 &amp; W8</t>
        </r>
      </text>
    </comment>
    <comment ref="F4" authorId="0" shapeId="0" xr:uid="{B1D184DE-5995-4C7E-905C-F27567C73E3D}">
      <text>
        <r>
          <rPr>
            <b/>
            <sz val="8.5"/>
            <color indexed="8"/>
            <rFont val="Calibri"/>
            <family val="2"/>
          </rPr>
          <t xml:space="preserve">-{ </t>
        </r>
        <r>
          <rPr>
            <b/>
            <sz val="10"/>
            <color indexed="10"/>
            <rFont val="Calibri"/>
            <family val="2"/>
          </rPr>
          <t>SM330</t>
        </r>
        <r>
          <rPr>
            <b/>
            <sz val="8.5"/>
            <color indexed="8"/>
            <rFont val="Calibri"/>
            <family val="2"/>
          </rPr>
          <t xml:space="preserve"> }-_x000D_
_x000D_
[</t>
        </r>
        <r>
          <rPr>
            <b/>
            <sz val="8.5"/>
            <color indexed="48"/>
            <rFont val="Calibri"/>
            <family val="2"/>
          </rPr>
          <t xml:space="preserve">LF </t>
        </r>
        <r>
          <rPr>
            <b/>
            <sz val="8.5"/>
            <color indexed="8"/>
            <rFont val="Calibri"/>
            <family val="2"/>
          </rPr>
          <t>» 63.7%] - [</t>
        </r>
        <r>
          <rPr>
            <b/>
            <sz val="8.5"/>
            <color indexed="48"/>
            <rFont val="Calibri"/>
            <family val="2"/>
          </rPr>
          <t xml:space="preserve">SOLD </t>
        </r>
        <r>
          <rPr>
            <b/>
            <sz val="8.5"/>
            <color indexed="8"/>
            <rFont val="Calibri"/>
            <family val="2"/>
          </rPr>
          <t>» 107 PAX]_x000D_
_x000D_
[</t>
        </r>
        <r>
          <rPr>
            <b/>
            <sz val="8.5"/>
            <color indexed="21"/>
            <rFont val="Calibri"/>
            <family val="2"/>
          </rPr>
          <t xml:space="preserve">WEEKLY </t>
        </r>
        <r>
          <rPr>
            <b/>
            <sz val="8.5"/>
            <color indexed="8"/>
            <rFont val="Calibri"/>
            <family val="2"/>
          </rPr>
          <t>» 33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H9]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Q15 &amp; K30 &amp; V10 &amp; L18 &amp; G17 &amp; S9 &amp; W8</t>
        </r>
      </text>
    </comment>
    <comment ref="G4" authorId="0" shapeId="0" xr:uid="{EABAB3CD-E43A-47C2-A11A-C7834079B285}">
      <text>
        <r>
          <rPr>
            <b/>
            <sz val="8.5"/>
            <color indexed="8"/>
            <rFont val="Calibri"/>
            <family val="2"/>
          </rPr>
          <t xml:space="preserve">-{ </t>
        </r>
        <r>
          <rPr>
            <b/>
            <sz val="10"/>
            <color indexed="10"/>
            <rFont val="Calibri"/>
            <family val="2"/>
          </rPr>
          <t>SM330</t>
        </r>
        <r>
          <rPr>
            <b/>
            <sz val="8.5"/>
            <color indexed="8"/>
            <rFont val="Calibri"/>
            <family val="2"/>
          </rPr>
          <t xml:space="preserve"> }-_x000D_
_x000D_
[</t>
        </r>
        <r>
          <rPr>
            <b/>
            <sz val="8.5"/>
            <color indexed="48"/>
            <rFont val="Calibri"/>
            <family val="2"/>
          </rPr>
          <t xml:space="preserve">LF </t>
        </r>
        <r>
          <rPr>
            <b/>
            <sz val="8.5"/>
            <color indexed="8"/>
            <rFont val="Calibri"/>
            <family val="2"/>
          </rPr>
          <t>» 63.7%] - [</t>
        </r>
        <r>
          <rPr>
            <b/>
            <sz val="8.5"/>
            <color indexed="48"/>
            <rFont val="Calibri"/>
            <family val="2"/>
          </rPr>
          <t xml:space="preserve">SOLD </t>
        </r>
        <r>
          <rPr>
            <b/>
            <sz val="8.5"/>
            <color indexed="8"/>
            <rFont val="Calibri"/>
            <family val="2"/>
          </rPr>
          <t>» 107 PAX]_x000D_
_x000D_
[</t>
        </r>
        <r>
          <rPr>
            <b/>
            <sz val="8.5"/>
            <color indexed="21"/>
            <rFont val="Calibri"/>
            <family val="2"/>
          </rPr>
          <t xml:space="preserve">WEEKLY </t>
        </r>
        <r>
          <rPr>
            <b/>
            <sz val="8.5"/>
            <color indexed="8"/>
            <rFont val="Calibri"/>
            <family val="2"/>
          </rPr>
          <t>» 33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H9]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Q15 &amp; K30 &amp; V10 &amp; L18 &amp; G17 &amp; S9 &amp; W8</t>
        </r>
      </text>
    </comment>
    <comment ref="H4" authorId="0" shapeId="0" xr:uid="{688B8C0A-231B-41FD-992C-CDA9347C8CCC}">
      <text>
        <r>
          <rPr>
            <b/>
            <sz val="8.5"/>
            <color indexed="8"/>
            <rFont val="Calibri"/>
            <family val="2"/>
          </rPr>
          <t xml:space="preserve">-{ </t>
        </r>
        <r>
          <rPr>
            <b/>
            <sz val="10"/>
            <color indexed="10"/>
            <rFont val="Calibri"/>
            <family val="2"/>
          </rPr>
          <t>SM330</t>
        </r>
        <r>
          <rPr>
            <b/>
            <sz val="8.5"/>
            <color indexed="8"/>
            <rFont val="Calibri"/>
            <family val="2"/>
          </rPr>
          <t xml:space="preserve"> }-_x000D_
_x000D_
[</t>
        </r>
        <r>
          <rPr>
            <b/>
            <sz val="8.5"/>
            <color indexed="48"/>
            <rFont val="Calibri"/>
            <family val="2"/>
          </rPr>
          <t xml:space="preserve">LF </t>
        </r>
        <r>
          <rPr>
            <b/>
            <sz val="8.5"/>
            <color indexed="8"/>
            <rFont val="Calibri"/>
            <family val="2"/>
          </rPr>
          <t>» 63.7%] - [</t>
        </r>
        <r>
          <rPr>
            <b/>
            <sz val="8.5"/>
            <color indexed="48"/>
            <rFont val="Calibri"/>
            <family val="2"/>
          </rPr>
          <t xml:space="preserve">SOLD </t>
        </r>
        <r>
          <rPr>
            <b/>
            <sz val="8.5"/>
            <color indexed="8"/>
            <rFont val="Calibri"/>
            <family val="2"/>
          </rPr>
          <t>» 107 PAX]_x000D_
_x000D_
[</t>
        </r>
        <r>
          <rPr>
            <b/>
            <sz val="8.5"/>
            <color indexed="21"/>
            <rFont val="Calibri"/>
            <family val="2"/>
          </rPr>
          <t xml:space="preserve">WEEKLY </t>
        </r>
        <r>
          <rPr>
            <b/>
            <sz val="8.5"/>
            <color indexed="8"/>
            <rFont val="Calibri"/>
            <family val="2"/>
          </rPr>
          <t>» 33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H9]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Q15 &amp; K30 &amp; V10 &amp; L18 &amp; G17 &amp; S9 &amp; W8</t>
        </r>
      </text>
    </comment>
    <comment ref="A6" authorId="0" shapeId="0" xr:uid="{D9070635-EC6E-4C6D-81D3-1D5C3AEFDAE6}">
      <text>
        <r>
          <rPr>
            <b/>
            <sz val="8.5"/>
            <color indexed="8"/>
            <rFont val="Calibri"/>
            <family val="2"/>
          </rPr>
          <t xml:space="preserve">-{ </t>
        </r>
        <r>
          <rPr>
            <b/>
            <sz val="10"/>
            <color indexed="10"/>
            <rFont val="Calibri"/>
            <family val="2"/>
          </rPr>
          <t>SM330</t>
        </r>
        <r>
          <rPr>
            <b/>
            <sz val="8.5"/>
            <color indexed="8"/>
            <rFont val="Calibri"/>
            <family val="2"/>
          </rPr>
          <t xml:space="preserve"> }-_x000D_
_x000D_
[</t>
        </r>
        <r>
          <rPr>
            <b/>
            <sz val="8.5"/>
            <color indexed="48"/>
            <rFont val="Calibri"/>
            <family val="2"/>
          </rPr>
          <t xml:space="preserve">LF </t>
        </r>
        <r>
          <rPr>
            <b/>
            <sz val="8.5"/>
            <color indexed="8"/>
            <rFont val="Calibri"/>
            <family val="2"/>
          </rPr>
          <t>» 62.5%] - [</t>
        </r>
        <r>
          <rPr>
            <b/>
            <sz val="8.5"/>
            <color indexed="48"/>
            <rFont val="Calibri"/>
            <family val="2"/>
          </rPr>
          <t xml:space="preserve">SOLD </t>
        </r>
        <r>
          <rPr>
            <b/>
            <sz val="8.5"/>
            <color indexed="8"/>
            <rFont val="Calibri"/>
            <family val="2"/>
          </rPr>
          <t>» 105 PAX]_x000D_
_x000D_
[</t>
        </r>
        <r>
          <rPr>
            <b/>
            <sz val="8.5"/>
            <color indexed="21"/>
            <rFont val="Calibri"/>
            <family val="2"/>
          </rPr>
          <t xml:space="preserve">WEEKLY </t>
        </r>
        <r>
          <rPr>
            <b/>
            <sz val="8.5"/>
            <color indexed="8"/>
            <rFont val="Calibri"/>
            <family val="2"/>
          </rPr>
          <t>» 29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K5]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K5 &amp; V10 &amp; L10 &amp; G11 &amp; S19 &amp; W20 &amp; T5 &amp; X5 &amp; U6 &amp; O4 &amp; I10</t>
        </r>
      </text>
    </comment>
    <comment ref="B6" authorId="0" shapeId="0" xr:uid="{667593C7-C333-4006-98DD-21EE2CD0804D}">
      <text>
        <r>
          <rPr>
            <b/>
            <sz val="8.5"/>
            <color indexed="8"/>
            <rFont val="Calibri"/>
            <family val="2"/>
          </rPr>
          <t xml:space="preserve">-{ </t>
        </r>
        <r>
          <rPr>
            <b/>
            <sz val="10"/>
            <color indexed="10"/>
            <rFont val="Calibri"/>
            <family val="2"/>
          </rPr>
          <t>SM330</t>
        </r>
        <r>
          <rPr>
            <b/>
            <sz val="8.5"/>
            <color indexed="8"/>
            <rFont val="Calibri"/>
            <family val="2"/>
          </rPr>
          <t xml:space="preserve"> }-_x000D_
_x000D_
[</t>
        </r>
        <r>
          <rPr>
            <b/>
            <sz val="8.5"/>
            <color indexed="48"/>
            <rFont val="Calibri"/>
            <family val="2"/>
          </rPr>
          <t xml:space="preserve">LF </t>
        </r>
        <r>
          <rPr>
            <b/>
            <sz val="8.5"/>
            <color indexed="8"/>
            <rFont val="Calibri"/>
            <family val="2"/>
          </rPr>
          <t>» 62.5%] - [</t>
        </r>
        <r>
          <rPr>
            <b/>
            <sz val="8.5"/>
            <color indexed="48"/>
            <rFont val="Calibri"/>
            <family val="2"/>
          </rPr>
          <t xml:space="preserve">SOLD </t>
        </r>
        <r>
          <rPr>
            <b/>
            <sz val="8.5"/>
            <color indexed="8"/>
            <rFont val="Calibri"/>
            <family val="2"/>
          </rPr>
          <t>» 105 PAX]_x000D_
_x000D_
[</t>
        </r>
        <r>
          <rPr>
            <b/>
            <sz val="8.5"/>
            <color indexed="21"/>
            <rFont val="Calibri"/>
            <family val="2"/>
          </rPr>
          <t xml:space="preserve">WEEKLY </t>
        </r>
        <r>
          <rPr>
            <b/>
            <sz val="8.5"/>
            <color indexed="8"/>
            <rFont val="Calibri"/>
            <family val="2"/>
          </rPr>
          <t>» 29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K5]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K5 &amp; V10 &amp; L10 &amp; G11 &amp; S19 &amp; W20 &amp; T5 &amp; X5 &amp; U6 &amp; O4 &amp; I10</t>
        </r>
      </text>
    </comment>
    <comment ref="C6" authorId="0" shapeId="0" xr:uid="{2C1E75BA-5AEB-4EFD-A4F2-7940EB0F7F88}">
      <text>
        <r>
          <rPr>
            <b/>
            <sz val="8.5"/>
            <color indexed="8"/>
            <rFont val="Calibri"/>
            <family val="2"/>
          </rPr>
          <t xml:space="preserve">-{ </t>
        </r>
        <r>
          <rPr>
            <b/>
            <sz val="10"/>
            <color indexed="10"/>
            <rFont val="Calibri"/>
            <family val="2"/>
          </rPr>
          <t>SM330</t>
        </r>
        <r>
          <rPr>
            <b/>
            <sz val="8.5"/>
            <color indexed="8"/>
            <rFont val="Calibri"/>
            <family val="2"/>
          </rPr>
          <t xml:space="preserve"> }-_x000D_
_x000D_
[</t>
        </r>
        <r>
          <rPr>
            <b/>
            <sz val="8.5"/>
            <color indexed="48"/>
            <rFont val="Calibri"/>
            <family val="2"/>
          </rPr>
          <t xml:space="preserve">LF </t>
        </r>
        <r>
          <rPr>
            <b/>
            <sz val="8.5"/>
            <color indexed="8"/>
            <rFont val="Calibri"/>
            <family val="2"/>
          </rPr>
          <t>» 62.5%] - [</t>
        </r>
        <r>
          <rPr>
            <b/>
            <sz val="8.5"/>
            <color indexed="48"/>
            <rFont val="Calibri"/>
            <family val="2"/>
          </rPr>
          <t xml:space="preserve">SOLD </t>
        </r>
        <r>
          <rPr>
            <b/>
            <sz val="8.5"/>
            <color indexed="8"/>
            <rFont val="Calibri"/>
            <family val="2"/>
          </rPr>
          <t>» 105 PAX]_x000D_
_x000D_
[</t>
        </r>
        <r>
          <rPr>
            <b/>
            <sz val="8.5"/>
            <color indexed="21"/>
            <rFont val="Calibri"/>
            <family val="2"/>
          </rPr>
          <t xml:space="preserve">WEEKLY </t>
        </r>
        <r>
          <rPr>
            <b/>
            <sz val="8.5"/>
            <color indexed="8"/>
            <rFont val="Calibri"/>
            <family val="2"/>
          </rPr>
          <t>» 29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K5]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K5 &amp; V10 &amp; L10 &amp; G11 &amp; S19 &amp; W20 &amp; T5 &amp; X5 &amp; U6 &amp; O4 &amp; I10</t>
        </r>
      </text>
    </comment>
    <comment ref="D6" authorId="0" shapeId="0" xr:uid="{68AE57AF-5D25-42B0-B4F9-159917703308}">
      <text>
        <r>
          <rPr>
            <b/>
            <sz val="8.5"/>
            <color indexed="8"/>
            <rFont val="Calibri"/>
            <family val="2"/>
          </rPr>
          <t xml:space="preserve">-{ </t>
        </r>
        <r>
          <rPr>
            <b/>
            <sz val="10"/>
            <color indexed="10"/>
            <rFont val="Calibri"/>
            <family val="2"/>
          </rPr>
          <t>SM330</t>
        </r>
        <r>
          <rPr>
            <b/>
            <sz val="8.5"/>
            <color indexed="8"/>
            <rFont val="Calibri"/>
            <family val="2"/>
          </rPr>
          <t xml:space="preserve"> }-_x000D_
_x000D_
[</t>
        </r>
        <r>
          <rPr>
            <b/>
            <sz val="8.5"/>
            <color indexed="48"/>
            <rFont val="Calibri"/>
            <family val="2"/>
          </rPr>
          <t xml:space="preserve">LF </t>
        </r>
        <r>
          <rPr>
            <b/>
            <sz val="8.5"/>
            <color indexed="8"/>
            <rFont val="Calibri"/>
            <family val="2"/>
          </rPr>
          <t>» 62.5%] - [</t>
        </r>
        <r>
          <rPr>
            <b/>
            <sz val="8.5"/>
            <color indexed="48"/>
            <rFont val="Calibri"/>
            <family val="2"/>
          </rPr>
          <t xml:space="preserve">SOLD </t>
        </r>
        <r>
          <rPr>
            <b/>
            <sz val="8.5"/>
            <color indexed="8"/>
            <rFont val="Calibri"/>
            <family val="2"/>
          </rPr>
          <t>» 105 PAX]_x000D_
_x000D_
[</t>
        </r>
        <r>
          <rPr>
            <b/>
            <sz val="8.5"/>
            <color indexed="21"/>
            <rFont val="Calibri"/>
            <family val="2"/>
          </rPr>
          <t xml:space="preserve">WEEKLY </t>
        </r>
        <r>
          <rPr>
            <b/>
            <sz val="8.5"/>
            <color indexed="8"/>
            <rFont val="Calibri"/>
            <family val="2"/>
          </rPr>
          <t>» 29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K5]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K5 &amp; V10 &amp; L10 &amp; G11 &amp; S19 &amp; W20 &amp; T5 &amp; X5 &amp; U6 &amp; O4 &amp; I10</t>
        </r>
      </text>
    </comment>
    <comment ref="E6" authorId="0" shapeId="0" xr:uid="{6B0CB10A-41E7-4256-AB5D-32C9F9EC5DBC}">
      <text>
        <r>
          <rPr>
            <b/>
            <sz val="8.5"/>
            <color indexed="8"/>
            <rFont val="Calibri"/>
            <family val="2"/>
          </rPr>
          <t xml:space="preserve">-{ </t>
        </r>
        <r>
          <rPr>
            <b/>
            <sz val="10"/>
            <color indexed="10"/>
            <rFont val="Calibri"/>
            <family val="2"/>
          </rPr>
          <t>SM330</t>
        </r>
        <r>
          <rPr>
            <b/>
            <sz val="8.5"/>
            <color indexed="8"/>
            <rFont val="Calibri"/>
            <family val="2"/>
          </rPr>
          <t xml:space="preserve"> }-_x000D_
_x000D_
[</t>
        </r>
        <r>
          <rPr>
            <b/>
            <sz val="8.5"/>
            <color indexed="48"/>
            <rFont val="Calibri"/>
            <family val="2"/>
          </rPr>
          <t xml:space="preserve">LF </t>
        </r>
        <r>
          <rPr>
            <b/>
            <sz val="8.5"/>
            <color indexed="8"/>
            <rFont val="Calibri"/>
            <family val="2"/>
          </rPr>
          <t>» 62.5%] - [</t>
        </r>
        <r>
          <rPr>
            <b/>
            <sz val="8.5"/>
            <color indexed="48"/>
            <rFont val="Calibri"/>
            <family val="2"/>
          </rPr>
          <t xml:space="preserve">SOLD </t>
        </r>
        <r>
          <rPr>
            <b/>
            <sz val="8.5"/>
            <color indexed="8"/>
            <rFont val="Calibri"/>
            <family val="2"/>
          </rPr>
          <t>» 105 PAX]_x000D_
_x000D_
[</t>
        </r>
        <r>
          <rPr>
            <b/>
            <sz val="8.5"/>
            <color indexed="21"/>
            <rFont val="Calibri"/>
            <family val="2"/>
          </rPr>
          <t xml:space="preserve">WEEKLY </t>
        </r>
        <r>
          <rPr>
            <b/>
            <sz val="8.5"/>
            <color indexed="8"/>
            <rFont val="Calibri"/>
            <family val="2"/>
          </rPr>
          <t>» 29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K5]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K5 &amp; V10 &amp; L10 &amp; G11 &amp; S19 &amp; W20 &amp; T5 &amp; X5 &amp; U6 &amp; O4 &amp; I10</t>
        </r>
      </text>
    </comment>
    <comment ref="F6" authorId="0" shapeId="0" xr:uid="{040C634F-62FD-4BF6-84E7-9300A10E1DDF}">
      <text>
        <r>
          <rPr>
            <b/>
            <sz val="8.5"/>
            <color indexed="8"/>
            <rFont val="Calibri"/>
            <family val="2"/>
          </rPr>
          <t xml:space="preserve">-{ </t>
        </r>
        <r>
          <rPr>
            <b/>
            <sz val="10"/>
            <color indexed="10"/>
            <rFont val="Calibri"/>
            <family val="2"/>
          </rPr>
          <t>SM330</t>
        </r>
        <r>
          <rPr>
            <b/>
            <sz val="8.5"/>
            <color indexed="8"/>
            <rFont val="Calibri"/>
            <family val="2"/>
          </rPr>
          <t xml:space="preserve"> }-_x000D_
_x000D_
[</t>
        </r>
        <r>
          <rPr>
            <b/>
            <sz val="8.5"/>
            <color indexed="48"/>
            <rFont val="Calibri"/>
            <family val="2"/>
          </rPr>
          <t xml:space="preserve">LF </t>
        </r>
        <r>
          <rPr>
            <b/>
            <sz val="8.5"/>
            <color indexed="8"/>
            <rFont val="Calibri"/>
            <family val="2"/>
          </rPr>
          <t>» 62.5%] - [</t>
        </r>
        <r>
          <rPr>
            <b/>
            <sz val="8.5"/>
            <color indexed="48"/>
            <rFont val="Calibri"/>
            <family val="2"/>
          </rPr>
          <t xml:space="preserve">SOLD </t>
        </r>
        <r>
          <rPr>
            <b/>
            <sz val="8.5"/>
            <color indexed="8"/>
            <rFont val="Calibri"/>
            <family val="2"/>
          </rPr>
          <t>» 105 PAX]_x000D_
_x000D_
[</t>
        </r>
        <r>
          <rPr>
            <b/>
            <sz val="8.5"/>
            <color indexed="21"/>
            <rFont val="Calibri"/>
            <family val="2"/>
          </rPr>
          <t xml:space="preserve">WEEKLY </t>
        </r>
        <r>
          <rPr>
            <b/>
            <sz val="8.5"/>
            <color indexed="8"/>
            <rFont val="Calibri"/>
            <family val="2"/>
          </rPr>
          <t>» 29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K5]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K5 &amp; V10 &amp; L10 &amp; G11 &amp; S19 &amp; W20 &amp; T5 &amp; X5 &amp; U6 &amp; O4 &amp; I10</t>
        </r>
      </text>
    </comment>
    <comment ref="G6" authorId="0" shapeId="0" xr:uid="{6CEF18FE-74C9-4343-B2EB-377A726C79EE}">
      <text>
        <r>
          <rPr>
            <b/>
            <sz val="8.5"/>
            <color indexed="8"/>
            <rFont val="Calibri"/>
            <family val="2"/>
          </rPr>
          <t xml:space="preserve">-{ </t>
        </r>
        <r>
          <rPr>
            <b/>
            <sz val="10"/>
            <color indexed="10"/>
            <rFont val="Calibri"/>
            <family val="2"/>
          </rPr>
          <t>SM330</t>
        </r>
        <r>
          <rPr>
            <b/>
            <sz val="8.5"/>
            <color indexed="8"/>
            <rFont val="Calibri"/>
            <family val="2"/>
          </rPr>
          <t xml:space="preserve"> }-_x000D_
_x000D_
[</t>
        </r>
        <r>
          <rPr>
            <b/>
            <sz val="8.5"/>
            <color indexed="48"/>
            <rFont val="Calibri"/>
            <family val="2"/>
          </rPr>
          <t xml:space="preserve">LF </t>
        </r>
        <r>
          <rPr>
            <b/>
            <sz val="8.5"/>
            <color indexed="8"/>
            <rFont val="Calibri"/>
            <family val="2"/>
          </rPr>
          <t>» 62.5%] - [</t>
        </r>
        <r>
          <rPr>
            <b/>
            <sz val="8.5"/>
            <color indexed="48"/>
            <rFont val="Calibri"/>
            <family val="2"/>
          </rPr>
          <t xml:space="preserve">SOLD </t>
        </r>
        <r>
          <rPr>
            <b/>
            <sz val="8.5"/>
            <color indexed="8"/>
            <rFont val="Calibri"/>
            <family val="2"/>
          </rPr>
          <t>» 105 PAX]_x000D_
_x000D_
[</t>
        </r>
        <r>
          <rPr>
            <b/>
            <sz val="8.5"/>
            <color indexed="21"/>
            <rFont val="Calibri"/>
            <family val="2"/>
          </rPr>
          <t xml:space="preserve">WEEKLY </t>
        </r>
        <r>
          <rPr>
            <b/>
            <sz val="8.5"/>
            <color indexed="8"/>
            <rFont val="Calibri"/>
            <family val="2"/>
          </rPr>
          <t>» 29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K5]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K5 &amp; V10 &amp; L10 &amp; G11 &amp; S19 &amp; W20 &amp; T5 &amp; X5 &amp; U6 &amp; O4 &amp; I10</t>
        </r>
      </text>
    </comment>
    <comment ref="H6" authorId="0" shapeId="0" xr:uid="{8ECE173E-1431-44B7-A2C5-830400A934B3}">
      <text>
        <r>
          <rPr>
            <b/>
            <sz val="8.5"/>
            <color indexed="8"/>
            <rFont val="Calibri"/>
            <family val="2"/>
          </rPr>
          <t xml:space="preserve">-{ </t>
        </r>
        <r>
          <rPr>
            <b/>
            <sz val="10"/>
            <color indexed="10"/>
            <rFont val="Calibri"/>
            <family val="2"/>
          </rPr>
          <t>SM330</t>
        </r>
        <r>
          <rPr>
            <b/>
            <sz val="8.5"/>
            <color indexed="8"/>
            <rFont val="Calibri"/>
            <family val="2"/>
          </rPr>
          <t xml:space="preserve"> }-_x000D_
_x000D_
[</t>
        </r>
        <r>
          <rPr>
            <b/>
            <sz val="8.5"/>
            <color indexed="48"/>
            <rFont val="Calibri"/>
            <family val="2"/>
          </rPr>
          <t xml:space="preserve">LF </t>
        </r>
        <r>
          <rPr>
            <b/>
            <sz val="8.5"/>
            <color indexed="8"/>
            <rFont val="Calibri"/>
            <family val="2"/>
          </rPr>
          <t>» 62.5%] - [</t>
        </r>
        <r>
          <rPr>
            <b/>
            <sz val="8.5"/>
            <color indexed="48"/>
            <rFont val="Calibri"/>
            <family val="2"/>
          </rPr>
          <t xml:space="preserve">SOLD </t>
        </r>
        <r>
          <rPr>
            <b/>
            <sz val="8.5"/>
            <color indexed="8"/>
            <rFont val="Calibri"/>
            <family val="2"/>
          </rPr>
          <t>» 105 PAX]_x000D_
_x000D_
[</t>
        </r>
        <r>
          <rPr>
            <b/>
            <sz val="8.5"/>
            <color indexed="21"/>
            <rFont val="Calibri"/>
            <family val="2"/>
          </rPr>
          <t xml:space="preserve">WEEKLY </t>
        </r>
        <r>
          <rPr>
            <b/>
            <sz val="8.5"/>
            <color indexed="8"/>
            <rFont val="Calibri"/>
            <family val="2"/>
          </rPr>
          <t>» 29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K5]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K5 &amp; V10 &amp; L10 &amp; G11 &amp; S19 &amp; W20 &amp; T5 &amp; X5 &amp; U6 &amp; O4 &amp; I10</t>
        </r>
      </text>
    </comment>
  </commentList>
</comments>
</file>

<file path=xl/comments39.xml><?xml version="1.0" encoding="utf-8"?>
<comments xmlns="http://schemas.openxmlformats.org/spreadsheetml/2006/main" xmlns:mc="http://schemas.openxmlformats.org/markup-compatibility/2006" xmlns:xr="http://schemas.microsoft.com/office/spreadsheetml/2014/revision" mc:Ignorable="xr">
  <authors>
    <author>AHMED GHARIEB</author>
  </authors>
  <commentList>
    <comment ref="A2" authorId="0" shapeId="0" xr:uid="{DAAB5C02-17CA-4E0B-B9F5-99D573950EB0}">
      <text>
        <r>
          <rPr>
            <b/>
            <sz val="8.5"/>
            <color indexed="8"/>
            <rFont val="Calibri"/>
            <family val="2"/>
          </rPr>
          <t xml:space="preserve">-{ </t>
        </r>
        <r>
          <rPr>
            <b/>
            <sz val="10"/>
            <color indexed="10"/>
            <rFont val="Calibri"/>
            <family val="2"/>
          </rPr>
          <t>SM330</t>
        </r>
        <r>
          <rPr>
            <b/>
            <sz val="8.5"/>
            <color indexed="8"/>
            <rFont val="Calibri"/>
            <family val="2"/>
          </rPr>
          <t xml:space="preserve"> }-_x000D_
_x000D_
[</t>
        </r>
        <r>
          <rPr>
            <b/>
            <sz val="8.5"/>
            <color indexed="48"/>
            <rFont val="Calibri"/>
            <family val="2"/>
          </rPr>
          <t xml:space="preserve">LF </t>
        </r>
        <r>
          <rPr>
            <b/>
            <sz val="8.5"/>
            <color indexed="8"/>
            <rFont val="Calibri"/>
            <family val="2"/>
          </rPr>
          <t>» 63.7%] - [</t>
        </r>
        <r>
          <rPr>
            <b/>
            <sz val="8.5"/>
            <color indexed="48"/>
            <rFont val="Calibri"/>
            <family val="2"/>
          </rPr>
          <t xml:space="preserve">SOLD </t>
        </r>
        <r>
          <rPr>
            <b/>
            <sz val="8.5"/>
            <color indexed="8"/>
            <rFont val="Calibri"/>
            <family val="2"/>
          </rPr>
          <t>» 107 PAX]_x000D_
_x000D_
[</t>
        </r>
        <r>
          <rPr>
            <b/>
            <sz val="8.5"/>
            <color indexed="21"/>
            <rFont val="Calibri"/>
            <family val="2"/>
          </rPr>
          <t xml:space="preserve">WEEKLY </t>
        </r>
        <r>
          <rPr>
            <b/>
            <sz val="8.5"/>
            <color indexed="8"/>
            <rFont val="Calibri"/>
            <family val="2"/>
          </rPr>
          <t>» 33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H9]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Q15 &amp; K30 &amp; V10 &amp; L18 &amp; G17 &amp; S9 &amp; W8</t>
        </r>
      </text>
    </comment>
    <comment ref="B2" authorId="0" shapeId="0" xr:uid="{26EA1934-1E66-47EF-84FC-F0BF367C905E}">
      <text>
        <r>
          <rPr>
            <b/>
            <sz val="8.5"/>
            <color indexed="8"/>
            <rFont val="Calibri"/>
            <family val="2"/>
          </rPr>
          <t xml:space="preserve">-{ </t>
        </r>
        <r>
          <rPr>
            <b/>
            <sz val="10"/>
            <color indexed="10"/>
            <rFont val="Calibri"/>
            <family val="2"/>
          </rPr>
          <t>SM330</t>
        </r>
        <r>
          <rPr>
            <b/>
            <sz val="8.5"/>
            <color indexed="8"/>
            <rFont val="Calibri"/>
            <family val="2"/>
          </rPr>
          <t xml:space="preserve"> }-_x000D_
_x000D_
[</t>
        </r>
        <r>
          <rPr>
            <b/>
            <sz val="8.5"/>
            <color indexed="48"/>
            <rFont val="Calibri"/>
            <family val="2"/>
          </rPr>
          <t xml:space="preserve">LF </t>
        </r>
        <r>
          <rPr>
            <b/>
            <sz val="8.5"/>
            <color indexed="8"/>
            <rFont val="Calibri"/>
            <family val="2"/>
          </rPr>
          <t>» 63.7%] - [</t>
        </r>
        <r>
          <rPr>
            <b/>
            <sz val="8.5"/>
            <color indexed="48"/>
            <rFont val="Calibri"/>
            <family val="2"/>
          </rPr>
          <t xml:space="preserve">SOLD </t>
        </r>
        <r>
          <rPr>
            <b/>
            <sz val="8.5"/>
            <color indexed="8"/>
            <rFont val="Calibri"/>
            <family val="2"/>
          </rPr>
          <t>» 107 PAX]_x000D_
_x000D_
[</t>
        </r>
        <r>
          <rPr>
            <b/>
            <sz val="8.5"/>
            <color indexed="21"/>
            <rFont val="Calibri"/>
            <family val="2"/>
          </rPr>
          <t xml:space="preserve">WEEKLY </t>
        </r>
        <r>
          <rPr>
            <b/>
            <sz val="8.5"/>
            <color indexed="8"/>
            <rFont val="Calibri"/>
            <family val="2"/>
          </rPr>
          <t>» 33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H9]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Q15 &amp; K30 &amp; V10 &amp; L18 &amp; G17 &amp; S9 &amp; W8</t>
        </r>
      </text>
    </comment>
    <comment ref="C2" authorId="0" shapeId="0" xr:uid="{9C573109-7CDB-4A39-BEF2-D9DBA700DDAA}">
      <text>
        <r>
          <rPr>
            <b/>
            <sz val="8.5"/>
            <color indexed="8"/>
            <rFont val="Calibri"/>
            <family val="2"/>
          </rPr>
          <t xml:space="preserve">-{ </t>
        </r>
        <r>
          <rPr>
            <b/>
            <sz val="10"/>
            <color indexed="10"/>
            <rFont val="Calibri"/>
            <family val="2"/>
          </rPr>
          <t>SM330</t>
        </r>
        <r>
          <rPr>
            <b/>
            <sz val="8.5"/>
            <color indexed="8"/>
            <rFont val="Calibri"/>
            <family val="2"/>
          </rPr>
          <t xml:space="preserve"> }-_x000D_
_x000D_
[</t>
        </r>
        <r>
          <rPr>
            <b/>
            <sz val="8.5"/>
            <color indexed="48"/>
            <rFont val="Calibri"/>
            <family val="2"/>
          </rPr>
          <t xml:space="preserve">LF </t>
        </r>
        <r>
          <rPr>
            <b/>
            <sz val="8.5"/>
            <color indexed="8"/>
            <rFont val="Calibri"/>
            <family val="2"/>
          </rPr>
          <t>» 63.7%] - [</t>
        </r>
        <r>
          <rPr>
            <b/>
            <sz val="8.5"/>
            <color indexed="48"/>
            <rFont val="Calibri"/>
            <family val="2"/>
          </rPr>
          <t xml:space="preserve">SOLD </t>
        </r>
        <r>
          <rPr>
            <b/>
            <sz val="8.5"/>
            <color indexed="8"/>
            <rFont val="Calibri"/>
            <family val="2"/>
          </rPr>
          <t>» 107 PAX]_x000D_
_x000D_
[</t>
        </r>
        <r>
          <rPr>
            <b/>
            <sz val="8.5"/>
            <color indexed="21"/>
            <rFont val="Calibri"/>
            <family val="2"/>
          </rPr>
          <t xml:space="preserve">WEEKLY </t>
        </r>
        <r>
          <rPr>
            <b/>
            <sz val="8.5"/>
            <color indexed="8"/>
            <rFont val="Calibri"/>
            <family val="2"/>
          </rPr>
          <t>» 33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H9]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Q15 &amp; K30 &amp; V10 &amp; L18 &amp; G17 &amp; S9 &amp; W8</t>
        </r>
      </text>
    </comment>
    <comment ref="D2" authorId="0" shapeId="0" xr:uid="{FCC8A410-C4C2-4814-ACA5-05627E126164}">
      <text>
        <r>
          <rPr>
            <b/>
            <sz val="8.5"/>
            <color indexed="8"/>
            <rFont val="Calibri"/>
            <family val="2"/>
          </rPr>
          <t xml:space="preserve">-{ </t>
        </r>
        <r>
          <rPr>
            <b/>
            <sz val="10"/>
            <color indexed="10"/>
            <rFont val="Calibri"/>
            <family val="2"/>
          </rPr>
          <t>SM330</t>
        </r>
        <r>
          <rPr>
            <b/>
            <sz val="8.5"/>
            <color indexed="8"/>
            <rFont val="Calibri"/>
            <family val="2"/>
          </rPr>
          <t xml:space="preserve"> }-_x000D_
_x000D_
[</t>
        </r>
        <r>
          <rPr>
            <b/>
            <sz val="8.5"/>
            <color indexed="48"/>
            <rFont val="Calibri"/>
            <family val="2"/>
          </rPr>
          <t xml:space="preserve">LF </t>
        </r>
        <r>
          <rPr>
            <b/>
            <sz val="8.5"/>
            <color indexed="8"/>
            <rFont val="Calibri"/>
            <family val="2"/>
          </rPr>
          <t>» 63.7%] - [</t>
        </r>
        <r>
          <rPr>
            <b/>
            <sz val="8.5"/>
            <color indexed="48"/>
            <rFont val="Calibri"/>
            <family val="2"/>
          </rPr>
          <t xml:space="preserve">SOLD </t>
        </r>
        <r>
          <rPr>
            <b/>
            <sz val="8.5"/>
            <color indexed="8"/>
            <rFont val="Calibri"/>
            <family val="2"/>
          </rPr>
          <t>» 107 PAX]_x000D_
_x000D_
[</t>
        </r>
        <r>
          <rPr>
            <b/>
            <sz val="8.5"/>
            <color indexed="21"/>
            <rFont val="Calibri"/>
            <family val="2"/>
          </rPr>
          <t xml:space="preserve">WEEKLY </t>
        </r>
        <r>
          <rPr>
            <b/>
            <sz val="8.5"/>
            <color indexed="8"/>
            <rFont val="Calibri"/>
            <family val="2"/>
          </rPr>
          <t>» 33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H9]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Q15 &amp; K30 &amp; V10 &amp; L18 &amp; G17 &amp; S9 &amp; W8</t>
        </r>
      </text>
    </comment>
    <comment ref="E2" authorId="0" shapeId="0" xr:uid="{DCAEB87F-0286-489B-B757-3897EE538279}">
      <text>
        <r>
          <rPr>
            <b/>
            <sz val="8.5"/>
            <color indexed="8"/>
            <rFont val="Calibri"/>
            <family val="2"/>
          </rPr>
          <t xml:space="preserve">-{ </t>
        </r>
        <r>
          <rPr>
            <b/>
            <sz val="10"/>
            <color indexed="10"/>
            <rFont val="Calibri"/>
            <family val="2"/>
          </rPr>
          <t>SM330</t>
        </r>
        <r>
          <rPr>
            <b/>
            <sz val="8.5"/>
            <color indexed="8"/>
            <rFont val="Calibri"/>
            <family val="2"/>
          </rPr>
          <t xml:space="preserve"> }-_x000D_
_x000D_
[</t>
        </r>
        <r>
          <rPr>
            <b/>
            <sz val="8.5"/>
            <color indexed="48"/>
            <rFont val="Calibri"/>
            <family val="2"/>
          </rPr>
          <t xml:space="preserve">LF </t>
        </r>
        <r>
          <rPr>
            <b/>
            <sz val="8.5"/>
            <color indexed="8"/>
            <rFont val="Calibri"/>
            <family val="2"/>
          </rPr>
          <t>» 63.7%] - [</t>
        </r>
        <r>
          <rPr>
            <b/>
            <sz val="8.5"/>
            <color indexed="48"/>
            <rFont val="Calibri"/>
            <family val="2"/>
          </rPr>
          <t xml:space="preserve">SOLD </t>
        </r>
        <r>
          <rPr>
            <b/>
            <sz val="8.5"/>
            <color indexed="8"/>
            <rFont val="Calibri"/>
            <family val="2"/>
          </rPr>
          <t>» 107 PAX]_x000D_
_x000D_
[</t>
        </r>
        <r>
          <rPr>
            <b/>
            <sz val="8.5"/>
            <color indexed="21"/>
            <rFont val="Calibri"/>
            <family val="2"/>
          </rPr>
          <t xml:space="preserve">WEEKLY </t>
        </r>
        <r>
          <rPr>
            <b/>
            <sz val="8.5"/>
            <color indexed="8"/>
            <rFont val="Calibri"/>
            <family val="2"/>
          </rPr>
          <t>» 33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H9]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Q15 &amp; K30 &amp; V10 &amp; L18 &amp; G17 &amp; S9 &amp; W8</t>
        </r>
      </text>
    </comment>
    <comment ref="F2" authorId="0" shapeId="0" xr:uid="{770E5A8F-B001-445F-A95F-CE96DB32662D}">
      <text>
        <r>
          <rPr>
            <b/>
            <sz val="8.5"/>
            <color indexed="8"/>
            <rFont val="Calibri"/>
            <family val="2"/>
          </rPr>
          <t xml:space="preserve">-{ </t>
        </r>
        <r>
          <rPr>
            <b/>
            <sz val="10"/>
            <color indexed="10"/>
            <rFont val="Calibri"/>
            <family val="2"/>
          </rPr>
          <t>SM330</t>
        </r>
        <r>
          <rPr>
            <b/>
            <sz val="8.5"/>
            <color indexed="8"/>
            <rFont val="Calibri"/>
            <family val="2"/>
          </rPr>
          <t xml:space="preserve"> }-_x000D_
_x000D_
[</t>
        </r>
        <r>
          <rPr>
            <b/>
            <sz val="8.5"/>
            <color indexed="48"/>
            <rFont val="Calibri"/>
            <family val="2"/>
          </rPr>
          <t xml:space="preserve">LF </t>
        </r>
        <r>
          <rPr>
            <b/>
            <sz val="8.5"/>
            <color indexed="8"/>
            <rFont val="Calibri"/>
            <family val="2"/>
          </rPr>
          <t>» 63.7%] - [</t>
        </r>
        <r>
          <rPr>
            <b/>
            <sz val="8.5"/>
            <color indexed="48"/>
            <rFont val="Calibri"/>
            <family val="2"/>
          </rPr>
          <t xml:space="preserve">SOLD </t>
        </r>
        <r>
          <rPr>
            <b/>
            <sz val="8.5"/>
            <color indexed="8"/>
            <rFont val="Calibri"/>
            <family val="2"/>
          </rPr>
          <t>» 107 PAX]_x000D_
_x000D_
[</t>
        </r>
        <r>
          <rPr>
            <b/>
            <sz val="8.5"/>
            <color indexed="21"/>
            <rFont val="Calibri"/>
            <family val="2"/>
          </rPr>
          <t xml:space="preserve">WEEKLY </t>
        </r>
        <r>
          <rPr>
            <b/>
            <sz val="8.5"/>
            <color indexed="8"/>
            <rFont val="Calibri"/>
            <family val="2"/>
          </rPr>
          <t>» 33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H9]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Q15 &amp; K30 &amp; V10 &amp; L18 &amp; G17 &amp; S9 &amp; W8</t>
        </r>
      </text>
    </comment>
    <comment ref="G2" authorId="0" shapeId="0" xr:uid="{32554444-5E16-45A1-A15A-AE0F4AF4879C}">
      <text>
        <r>
          <rPr>
            <b/>
            <sz val="8.5"/>
            <color indexed="8"/>
            <rFont val="Calibri"/>
            <family val="2"/>
          </rPr>
          <t xml:space="preserve">-{ </t>
        </r>
        <r>
          <rPr>
            <b/>
            <sz val="10"/>
            <color indexed="10"/>
            <rFont val="Calibri"/>
            <family val="2"/>
          </rPr>
          <t>SM330</t>
        </r>
        <r>
          <rPr>
            <b/>
            <sz val="8.5"/>
            <color indexed="8"/>
            <rFont val="Calibri"/>
            <family val="2"/>
          </rPr>
          <t xml:space="preserve"> }-_x000D_
_x000D_
[</t>
        </r>
        <r>
          <rPr>
            <b/>
            <sz val="8.5"/>
            <color indexed="48"/>
            <rFont val="Calibri"/>
            <family val="2"/>
          </rPr>
          <t xml:space="preserve">LF </t>
        </r>
        <r>
          <rPr>
            <b/>
            <sz val="8.5"/>
            <color indexed="8"/>
            <rFont val="Calibri"/>
            <family val="2"/>
          </rPr>
          <t>» 63.7%] - [</t>
        </r>
        <r>
          <rPr>
            <b/>
            <sz val="8.5"/>
            <color indexed="48"/>
            <rFont val="Calibri"/>
            <family val="2"/>
          </rPr>
          <t xml:space="preserve">SOLD </t>
        </r>
        <r>
          <rPr>
            <b/>
            <sz val="8.5"/>
            <color indexed="8"/>
            <rFont val="Calibri"/>
            <family val="2"/>
          </rPr>
          <t>» 107 PAX]_x000D_
_x000D_
[</t>
        </r>
        <r>
          <rPr>
            <b/>
            <sz val="8.5"/>
            <color indexed="21"/>
            <rFont val="Calibri"/>
            <family val="2"/>
          </rPr>
          <t xml:space="preserve">WEEKLY </t>
        </r>
        <r>
          <rPr>
            <b/>
            <sz val="8.5"/>
            <color indexed="8"/>
            <rFont val="Calibri"/>
            <family val="2"/>
          </rPr>
          <t>» 33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H9]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Q15 &amp; K30 &amp; V10 &amp; L18 &amp; G17 &amp; S9 &amp; W8</t>
        </r>
      </text>
    </comment>
    <comment ref="H2" authorId="0" shapeId="0" xr:uid="{1EE14794-A534-4686-A716-7C6777AA955B}">
      <text>
        <r>
          <rPr>
            <b/>
            <sz val="8.5"/>
            <color indexed="8"/>
            <rFont val="Calibri"/>
            <family val="2"/>
          </rPr>
          <t xml:space="preserve">-{ </t>
        </r>
        <r>
          <rPr>
            <b/>
            <sz val="10"/>
            <color indexed="10"/>
            <rFont val="Calibri"/>
            <family val="2"/>
          </rPr>
          <t>SM330</t>
        </r>
        <r>
          <rPr>
            <b/>
            <sz val="8.5"/>
            <color indexed="8"/>
            <rFont val="Calibri"/>
            <family val="2"/>
          </rPr>
          <t xml:space="preserve"> }-_x000D_
_x000D_
[</t>
        </r>
        <r>
          <rPr>
            <b/>
            <sz val="8.5"/>
            <color indexed="48"/>
            <rFont val="Calibri"/>
            <family val="2"/>
          </rPr>
          <t xml:space="preserve">LF </t>
        </r>
        <r>
          <rPr>
            <b/>
            <sz val="8.5"/>
            <color indexed="8"/>
            <rFont val="Calibri"/>
            <family val="2"/>
          </rPr>
          <t>» 63.7%] - [</t>
        </r>
        <r>
          <rPr>
            <b/>
            <sz val="8.5"/>
            <color indexed="48"/>
            <rFont val="Calibri"/>
            <family val="2"/>
          </rPr>
          <t xml:space="preserve">SOLD </t>
        </r>
        <r>
          <rPr>
            <b/>
            <sz val="8.5"/>
            <color indexed="8"/>
            <rFont val="Calibri"/>
            <family val="2"/>
          </rPr>
          <t>» 107 PAX]_x000D_
_x000D_
[</t>
        </r>
        <r>
          <rPr>
            <b/>
            <sz val="8.5"/>
            <color indexed="21"/>
            <rFont val="Calibri"/>
            <family val="2"/>
          </rPr>
          <t xml:space="preserve">WEEKLY </t>
        </r>
        <r>
          <rPr>
            <b/>
            <sz val="8.5"/>
            <color indexed="8"/>
            <rFont val="Calibri"/>
            <family val="2"/>
          </rPr>
          <t>» 33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H9]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Q15 &amp; K30 &amp; V10 &amp; L18 &amp; G17 &amp; S9 &amp; W8</t>
        </r>
      </text>
    </comment>
    <comment ref="A4" authorId="0" shapeId="0" xr:uid="{86F89FB3-2950-4CA1-BB2D-5C043E122347}">
      <text>
        <r>
          <rPr>
            <b/>
            <sz val="8.5"/>
            <color indexed="8"/>
            <rFont val="Calibri"/>
            <family val="2"/>
          </rPr>
          <t xml:space="preserve">-{ </t>
        </r>
        <r>
          <rPr>
            <b/>
            <sz val="10"/>
            <color indexed="10"/>
            <rFont val="Calibri"/>
            <family val="2"/>
          </rPr>
          <t>SM330</t>
        </r>
        <r>
          <rPr>
            <b/>
            <sz val="8.5"/>
            <color indexed="8"/>
            <rFont val="Calibri"/>
            <family val="2"/>
          </rPr>
          <t xml:space="preserve"> }-_x000D_
_x000D_
[</t>
        </r>
        <r>
          <rPr>
            <b/>
            <sz val="8.5"/>
            <color indexed="48"/>
            <rFont val="Calibri"/>
            <family val="2"/>
          </rPr>
          <t xml:space="preserve">LF </t>
        </r>
        <r>
          <rPr>
            <b/>
            <sz val="8.5"/>
            <color indexed="8"/>
            <rFont val="Calibri"/>
            <family val="2"/>
          </rPr>
          <t>» 62.5%] - [</t>
        </r>
        <r>
          <rPr>
            <b/>
            <sz val="8.5"/>
            <color indexed="48"/>
            <rFont val="Calibri"/>
            <family val="2"/>
          </rPr>
          <t xml:space="preserve">SOLD </t>
        </r>
        <r>
          <rPr>
            <b/>
            <sz val="8.5"/>
            <color indexed="8"/>
            <rFont val="Calibri"/>
            <family val="2"/>
          </rPr>
          <t>» 105 PAX]_x000D_
_x000D_
[</t>
        </r>
        <r>
          <rPr>
            <b/>
            <sz val="8.5"/>
            <color indexed="21"/>
            <rFont val="Calibri"/>
            <family val="2"/>
          </rPr>
          <t xml:space="preserve">WEEKLY </t>
        </r>
        <r>
          <rPr>
            <b/>
            <sz val="8.5"/>
            <color indexed="8"/>
            <rFont val="Calibri"/>
            <family val="2"/>
          </rPr>
          <t>» 29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K5]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K5 &amp; V10 &amp; L10 &amp; G11 &amp; S19 &amp; W20 &amp; T5 &amp; X5 &amp; U6 &amp; O4 &amp; I10</t>
        </r>
      </text>
    </comment>
    <comment ref="B4" authorId="0" shapeId="0" xr:uid="{3A5A2681-AD86-4615-82B2-BDD28D148A0B}">
      <text>
        <r>
          <rPr>
            <b/>
            <sz val="8.5"/>
            <color indexed="8"/>
            <rFont val="Calibri"/>
            <family val="2"/>
          </rPr>
          <t xml:space="preserve">-{ </t>
        </r>
        <r>
          <rPr>
            <b/>
            <sz val="10"/>
            <color indexed="10"/>
            <rFont val="Calibri"/>
            <family val="2"/>
          </rPr>
          <t>SM330</t>
        </r>
        <r>
          <rPr>
            <b/>
            <sz val="8.5"/>
            <color indexed="8"/>
            <rFont val="Calibri"/>
            <family val="2"/>
          </rPr>
          <t xml:space="preserve"> }-_x000D_
_x000D_
[</t>
        </r>
        <r>
          <rPr>
            <b/>
            <sz val="8.5"/>
            <color indexed="48"/>
            <rFont val="Calibri"/>
            <family val="2"/>
          </rPr>
          <t xml:space="preserve">LF </t>
        </r>
        <r>
          <rPr>
            <b/>
            <sz val="8.5"/>
            <color indexed="8"/>
            <rFont val="Calibri"/>
            <family val="2"/>
          </rPr>
          <t>» 62.5%] - [</t>
        </r>
        <r>
          <rPr>
            <b/>
            <sz val="8.5"/>
            <color indexed="48"/>
            <rFont val="Calibri"/>
            <family val="2"/>
          </rPr>
          <t xml:space="preserve">SOLD </t>
        </r>
        <r>
          <rPr>
            <b/>
            <sz val="8.5"/>
            <color indexed="8"/>
            <rFont val="Calibri"/>
            <family val="2"/>
          </rPr>
          <t>» 105 PAX]_x000D_
_x000D_
[</t>
        </r>
        <r>
          <rPr>
            <b/>
            <sz val="8.5"/>
            <color indexed="21"/>
            <rFont val="Calibri"/>
            <family val="2"/>
          </rPr>
          <t xml:space="preserve">WEEKLY </t>
        </r>
        <r>
          <rPr>
            <b/>
            <sz val="8.5"/>
            <color indexed="8"/>
            <rFont val="Calibri"/>
            <family val="2"/>
          </rPr>
          <t>» 29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K5]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K5 &amp; V10 &amp; L10 &amp; G11 &amp; S19 &amp; W20 &amp; T5 &amp; X5 &amp; U6 &amp; O4 &amp; I10</t>
        </r>
      </text>
    </comment>
    <comment ref="C4" authorId="0" shapeId="0" xr:uid="{4906746A-208A-4692-B2A0-6CFCFFFB2EE3}">
      <text>
        <r>
          <rPr>
            <b/>
            <sz val="8.5"/>
            <color indexed="8"/>
            <rFont val="Calibri"/>
            <family val="2"/>
          </rPr>
          <t xml:space="preserve">-{ </t>
        </r>
        <r>
          <rPr>
            <b/>
            <sz val="10"/>
            <color indexed="10"/>
            <rFont val="Calibri"/>
            <family val="2"/>
          </rPr>
          <t>SM330</t>
        </r>
        <r>
          <rPr>
            <b/>
            <sz val="8.5"/>
            <color indexed="8"/>
            <rFont val="Calibri"/>
            <family val="2"/>
          </rPr>
          <t xml:space="preserve"> }-_x000D_
_x000D_
[</t>
        </r>
        <r>
          <rPr>
            <b/>
            <sz val="8.5"/>
            <color indexed="48"/>
            <rFont val="Calibri"/>
            <family val="2"/>
          </rPr>
          <t xml:space="preserve">LF </t>
        </r>
        <r>
          <rPr>
            <b/>
            <sz val="8.5"/>
            <color indexed="8"/>
            <rFont val="Calibri"/>
            <family val="2"/>
          </rPr>
          <t>» 62.5%] - [</t>
        </r>
        <r>
          <rPr>
            <b/>
            <sz val="8.5"/>
            <color indexed="48"/>
            <rFont val="Calibri"/>
            <family val="2"/>
          </rPr>
          <t xml:space="preserve">SOLD </t>
        </r>
        <r>
          <rPr>
            <b/>
            <sz val="8.5"/>
            <color indexed="8"/>
            <rFont val="Calibri"/>
            <family val="2"/>
          </rPr>
          <t>» 105 PAX]_x000D_
_x000D_
[</t>
        </r>
        <r>
          <rPr>
            <b/>
            <sz val="8.5"/>
            <color indexed="21"/>
            <rFont val="Calibri"/>
            <family val="2"/>
          </rPr>
          <t xml:space="preserve">WEEKLY </t>
        </r>
        <r>
          <rPr>
            <b/>
            <sz val="8.5"/>
            <color indexed="8"/>
            <rFont val="Calibri"/>
            <family val="2"/>
          </rPr>
          <t>» 29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K5]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K5 &amp; V10 &amp; L10 &amp; G11 &amp; S19 &amp; W20 &amp; T5 &amp; X5 &amp; U6 &amp; O4 &amp; I10</t>
        </r>
      </text>
    </comment>
    <comment ref="D4" authorId="0" shapeId="0" xr:uid="{58C20A60-8E57-4CFF-A82B-7F5C8F0B8B4D}">
      <text>
        <r>
          <rPr>
            <b/>
            <sz val="8.5"/>
            <color indexed="8"/>
            <rFont val="Calibri"/>
            <family val="2"/>
          </rPr>
          <t xml:space="preserve">-{ </t>
        </r>
        <r>
          <rPr>
            <b/>
            <sz val="10"/>
            <color indexed="10"/>
            <rFont val="Calibri"/>
            <family val="2"/>
          </rPr>
          <t>SM330</t>
        </r>
        <r>
          <rPr>
            <b/>
            <sz val="8.5"/>
            <color indexed="8"/>
            <rFont val="Calibri"/>
            <family val="2"/>
          </rPr>
          <t xml:space="preserve"> }-_x000D_
_x000D_
[</t>
        </r>
        <r>
          <rPr>
            <b/>
            <sz val="8.5"/>
            <color indexed="48"/>
            <rFont val="Calibri"/>
            <family val="2"/>
          </rPr>
          <t xml:space="preserve">LF </t>
        </r>
        <r>
          <rPr>
            <b/>
            <sz val="8.5"/>
            <color indexed="8"/>
            <rFont val="Calibri"/>
            <family val="2"/>
          </rPr>
          <t>» 62.5%] - [</t>
        </r>
        <r>
          <rPr>
            <b/>
            <sz val="8.5"/>
            <color indexed="48"/>
            <rFont val="Calibri"/>
            <family val="2"/>
          </rPr>
          <t xml:space="preserve">SOLD </t>
        </r>
        <r>
          <rPr>
            <b/>
            <sz val="8.5"/>
            <color indexed="8"/>
            <rFont val="Calibri"/>
            <family val="2"/>
          </rPr>
          <t>» 105 PAX]_x000D_
_x000D_
[</t>
        </r>
        <r>
          <rPr>
            <b/>
            <sz val="8.5"/>
            <color indexed="21"/>
            <rFont val="Calibri"/>
            <family val="2"/>
          </rPr>
          <t xml:space="preserve">WEEKLY </t>
        </r>
        <r>
          <rPr>
            <b/>
            <sz val="8.5"/>
            <color indexed="8"/>
            <rFont val="Calibri"/>
            <family val="2"/>
          </rPr>
          <t>» 29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K5]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K5 &amp; V10 &amp; L10 &amp; G11 &amp; S19 &amp; W20 &amp; T5 &amp; X5 &amp; U6 &amp; O4 &amp; I10</t>
        </r>
      </text>
    </comment>
    <comment ref="E4" authorId="0" shapeId="0" xr:uid="{E031AEF0-76CE-49CD-A4B3-417A6EC0DE06}">
      <text>
        <r>
          <rPr>
            <b/>
            <sz val="8.5"/>
            <color indexed="8"/>
            <rFont val="Calibri"/>
            <family val="2"/>
          </rPr>
          <t xml:space="preserve">-{ </t>
        </r>
        <r>
          <rPr>
            <b/>
            <sz val="10"/>
            <color indexed="10"/>
            <rFont val="Calibri"/>
            <family val="2"/>
          </rPr>
          <t>SM330</t>
        </r>
        <r>
          <rPr>
            <b/>
            <sz val="8.5"/>
            <color indexed="8"/>
            <rFont val="Calibri"/>
            <family val="2"/>
          </rPr>
          <t xml:space="preserve"> }-_x000D_
_x000D_
[</t>
        </r>
        <r>
          <rPr>
            <b/>
            <sz val="8.5"/>
            <color indexed="48"/>
            <rFont val="Calibri"/>
            <family val="2"/>
          </rPr>
          <t xml:space="preserve">LF </t>
        </r>
        <r>
          <rPr>
            <b/>
            <sz val="8.5"/>
            <color indexed="8"/>
            <rFont val="Calibri"/>
            <family val="2"/>
          </rPr>
          <t>» 62.5%] - [</t>
        </r>
        <r>
          <rPr>
            <b/>
            <sz val="8.5"/>
            <color indexed="48"/>
            <rFont val="Calibri"/>
            <family val="2"/>
          </rPr>
          <t xml:space="preserve">SOLD </t>
        </r>
        <r>
          <rPr>
            <b/>
            <sz val="8.5"/>
            <color indexed="8"/>
            <rFont val="Calibri"/>
            <family val="2"/>
          </rPr>
          <t>» 105 PAX]_x000D_
_x000D_
[</t>
        </r>
        <r>
          <rPr>
            <b/>
            <sz val="8.5"/>
            <color indexed="21"/>
            <rFont val="Calibri"/>
            <family val="2"/>
          </rPr>
          <t xml:space="preserve">WEEKLY </t>
        </r>
        <r>
          <rPr>
            <b/>
            <sz val="8.5"/>
            <color indexed="8"/>
            <rFont val="Calibri"/>
            <family val="2"/>
          </rPr>
          <t>» 29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K5]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K5 &amp; V10 &amp; L10 &amp; G11 &amp; S19 &amp; W20 &amp; T5 &amp; X5 &amp; U6 &amp; O4 &amp; I10</t>
        </r>
      </text>
    </comment>
    <comment ref="F4" authorId="0" shapeId="0" xr:uid="{FEDAD8B5-1B79-416C-BDAD-B2D57C25221A}">
      <text>
        <r>
          <rPr>
            <b/>
            <sz val="8.5"/>
            <color indexed="8"/>
            <rFont val="Calibri"/>
            <family val="2"/>
          </rPr>
          <t xml:space="preserve">-{ </t>
        </r>
        <r>
          <rPr>
            <b/>
            <sz val="10"/>
            <color indexed="10"/>
            <rFont val="Calibri"/>
            <family val="2"/>
          </rPr>
          <t>SM330</t>
        </r>
        <r>
          <rPr>
            <b/>
            <sz val="8.5"/>
            <color indexed="8"/>
            <rFont val="Calibri"/>
            <family val="2"/>
          </rPr>
          <t xml:space="preserve"> }-_x000D_
_x000D_
[</t>
        </r>
        <r>
          <rPr>
            <b/>
            <sz val="8.5"/>
            <color indexed="48"/>
            <rFont val="Calibri"/>
            <family val="2"/>
          </rPr>
          <t xml:space="preserve">LF </t>
        </r>
        <r>
          <rPr>
            <b/>
            <sz val="8.5"/>
            <color indexed="8"/>
            <rFont val="Calibri"/>
            <family val="2"/>
          </rPr>
          <t>» 62.5%] - [</t>
        </r>
        <r>
          <rPr>
            <b/>
            <sz val="8.5"/>
            <color indexed="48"/>
            <rFont val="Calibri"/>
            <family val="2"/>
          </rPr>
          <t xml:space="preserve">SOLD </t>
        </r>
        <r>
          <rPr>
            <b/>
            <sz val="8.5"/>
            <color indexed="8"/>
            <rFont val="Calibri"/>
            <family val="2"/>
          </rPr>
          <t>» 105 PAX]_x000D_
_x000D_
[</t>
        </r>
        <r>
          <rPr>
            <b/>
            <sz val="8.5"/>
            <color indexed="21"/>
            <rFont val="Calibri"/>
            <family val="2"/>
          </rPr>
          <t xml:space="preserve">WEEKLY </t>
        </r>
        <r>
          <rPr>
            <b/>
            <sz val="8.5"/>
            <color indexed="8"/>
            <rFont val="Calibri"/>
            <family val="2"/>
          </rPr>
          <t>» 29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K5]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K5 &amp; V10 &amp; L10 &amp; G11 &amp; S19 &amp; W20 &amp; T5 &amp; X5 &amp; U6 &amp; O4 &amp; I10</t>
        </r>
      </text>
    </comment>
    <comment ref="G4" authorId="0" shapeId="0" xr:uid="{D37FB89F-56E7-4C51-B8A2-556E11D17C66}">
      <text>
        <r>
          <rPr>
            <b/>
            <sz val="8.5"/>
            <color indexed="8"/>
            <rFont val="Calibri"/>
            <family val="2"/>
          </rPr>
          <t xml:space="preserve">-{ </t>
        </r>
        <r>
          <rPr>
            <b/>
            <sz val="10"/>
            <color indexed="10"/>
            <rFont val="Calibri"/>
            <family val="2"/>
          </rPr>
          <t>SM330</t>
        </r>
        <r>
          <rPr>
            <b/>
            <sz val="8.5"/>
            <color indexed="8"/>
            <rFont val="Calibri"/>
            <family val="2"/>
          </rPr>
          <t xml:space="preserve"> }-_x000D_
_x000D_
[</t>
        </r>
        <r>
          <rPr>
            <b/>
            <sz val="8.5"/>
            <color indexed="48"/>
            <rFont val="Calibri"/>
            <family val="2"/>
          </rPr>
          <t xml:space="preserve">LF </t>
        </r>
        <r>
          <rPr>
            <b/>
            <sz val="8.5"/>
            <color indexed="8"/>
            <rFont val="Calibri"/>
            <family val="2"/>
          </rPr>
          <t>» 62.5%] - [</t>
        </r>
        <r>
          <rPr>
            <b/>
            <sz val="8.5"/>
            <color indexed="48"/>
            <rFont val="Calibri"/>
            <family val="2"/>
          </rPr>
          <t xml:space="preserve">SOLD </t>
        </r>
        <r>
          <rPr>
            <b/>
            <sz val="8.5"/>
            <color indexed="8"/>
            <rFont val="Calibri"/>
            <family val="2"/>
          </rPr>
          <t>» 105 PAX]_x000D_
_x000D_
[</t>
        </r>
        <r>
          <rPr>
            <b/>
            <sz val="8.5"/>
            <color indexed="21"/>
            <rFont val="Calibri"/>
            <family val="2"/>
          </rPr>
          <t xml:space="preserve">WEEKLY </t>
        </r>
        <r>
          <rPr>
            <b/>
            <sz val="8.5"/>
            <color indexed="8"/>
            <rFont val="Calibri"/>
            <family val="2"/>
          </rPr>
          <t>» 29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K5]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K5 &amp; V10 &amp; L10 &amp; G11 &amp; S19 &amp; W20 &amp; T5 &amp; X5 &amp; U6 &amp; O4 &amp; I10</t>
        </r>
      </text>
    </comment>
    <comment ref="H4" authorId="0" shapeId="0" xr:uid="{C4ABD5C7-3722-4C7A-B245-89B41D06926D}">
      <text>
        <r>
          <rPr>
            <b/>
            <sz val="8.5"/>
            <color indexed="8"/>
            <rFont val="Calibri"/>
            <family val="2"/>
          </rPr>
          <t xml:space="preserve">-{ </t>
        </r>
        <r>
          <rPr>
            <b/>
            <sz val="10"/>
            <color indexed="10"/>
            <rFont val="Calibri"/>
            <family val="2"/>
          </rPr>
          <t>SM330</t>
        </r>
        <r>
          <rPr>
            <b/>
            <sz val="8.5"/>
            <color indexed="8"/>
            <rFont val="Calibri"/>
            <family val="2"/>
          </rPr>
          <t xml:space="preserve"> }-_x000D_
_x000D_
[</t>
        </r>
        <r>
          <rPr>
            <b/>
            <sz val="8.5"/>
            <color indexed="48"/>
            <rFont val="Calibri"/>
            <family val="2"/>
          </rPr>
          <t xml:space="preserve">LF </t>
        </r>
        <r>
          <rPr>
            <b/>
            <sz val="8.5"/>
            <color indexed="8"/>
            <rFont val="Calibri"/>
            <family val="2"/>
          </rPr>
          <t>» 62.5%] - [</t>
        </r>
        <r>
          <rPr>
            <b/>
            <sz val="8.5"/>
            <color indexed="48"/>
            <rFont val="Calibri"/>
            <family val="2"/>
          </rPr>
          <t xml:space="preserve">SOLD </t>
        </r>
        <r>
          <rPr>
            <b/>
            <sz val="8.5"/>
            <color indexed="8"/>
            <rFont val="Calibri"/>
            <family val="2"/>
          </rPr>
          <t>» 105 PAX]_x000D_
_x000D_
[</t>
        </r>
        <r>
          <rPr>
            <b/>
            <sz val="8.5"/>
            <color indexed="21"/>
            <rFont val="Calibri"/>
            <family val="2"/>
          </rPr>
          <t xml:space="preserve">WEEKLY </t>
        </r>
        <r>
          <rPr>
            <b/>
            <sz val="8.5"/>
            <color indexed="8"/>
            <rFont val="Calibri"/>
            <family val="2"/>
          </rPr>
          <t>» 29 PAX] - [</t>
        </r>
        <r>
          <rPr>
            <b/>
            <sz val="8.5"/>
            <color indexed="21"/>
            <rFont val="Calibri"/>
            <family val="2"/>
          </rPr>
          <t xml:space="preserve">TO-DAY </t>
        </r>
        <r>
          <rPr>
            <b/>
            <sz val="8.5"/>
            <color indexed="8"/>
            <rFont val="Calibri"/>
            <family val="2"/>
          </rPr>
          <t>» NIL] - [</t>
        </r>
        <r>
          <rPr>
            <b/>
            <sz val="8.5"/>
            <color indexed="21"/>
            <rFont val="Calibri"/>
            <family val="2"/>
          </rPr>
          <t xml:space="preserve">Y-DAY </t>
        </r>
        <r>
          <rPr>
            <b/>
            <sz val="8.5"/>
            <color indexed="8"/>
            <rFont val="Calibri"/>
            <family val="2"/>
          </rPr>
          <t>» 5]_x000D_
_x000D_
[</t>
        </r>
        <r>
          <rPr>
            <b/>
            <sz val="8.5"/>
            <color indexed="48"/>
            <rFont val="Calibri"/>
            <family val="2"/>
          </rPr>
          <t>LOWESTAVAIL</t>
        </r>
        <r>
          <rPr>
            <b/>
            <sz val="8.5"/>
            <color indexed="8"/>
            <rFont val="Calibri"/>
            <family val="2"/>
          </rPr>
          <t xml:space="preserve"> » K5] - [</t>
        </r>
        <r>
          <rPr>
            <b/>
            <sz val="8.5"/>
            <color indexed="48"/>
            <rFont val="Calibri"/>
            <family val="2"/>
          </rPr>
          <t>CAPACITY</t>
        </r>
        <r>
          <rPr>
            <b/>
            <sz val="8.5"/>
            <color indexed="8"/>
            <rFont val="Calibri"/>
            <family val="2"/>
          </rPr>
          <t xml:space="preserve"> » 168] - [</t>
        </r>
        <r>
          <rPr>
            <b/>
            <sz val="8.5"/>
            <color indexed="48"/>
            <rFont val="Calibri"/>
            <family val="2"/>
          </rPr>
          <t xml:space="preserve">LST-SOLD </t>
        </r>
        <r>
          <rPr>
            <b/>
            <sz val="8.5"/>
            <color indexed="8"/>
            <rFont val="Calibri"/>
            <family val="2"/>
          </rPr>
          <t>» 19-NOV]_x000D_
_x000D_
{</t>
        </r>
        <r>
          <rPr>
            <b/>
            <sz val="8.5"/>
            <color indexed="10"/>
            <rFont val="Calibri"/>
            <family val="2"/>
          </rPr>
          <t>CLASSES</t>
        </r>
        <r>
          <rPr>
            <b/>
            <sz val="8.5"/>
            <color indexed="8"/>
            <rFont val="Calibri"/>
            <family val="2"/>
          </rPr>
          <t>}_x000D_
_x000D_
K5 &amp; V10 &amp; L10 &amp; G11 &amp; S19 &amp; W20 &amp; T5 &amp; X5 &amp; U6 &amp; O4 &amp; I10</t>
        </r>
      </text>
    </comment>
  </commentList>
</comments>
</file>

<file path=xl/sharedStrings.xml><?xml version="1.0" encoding="utf-8"?>
<sst xmlns="http://schemas.openxmlformats.org/spreadsheetml/2006/main" count="11886" uniqueCount="947">
  <si>
    <t>COMPREHENSIVE REPORT</t>
  </si>
  <si>
    <t>MED-CAI</t>
  </si>
  <si>
    <t>FROM</t>
  </si>
  <si>
    <t>TO</t>
  </si>
  <si>
    <t>THIS REPORT GENERATED AT</t>
  </si>
  <si>
    <t>يُعتمد في هذه الورقة على ثلاثة أنماط لترتيب الأسعار: النمط الأول هو الترتيب العام بين جميع الشركات ضمن نفس اليوم، ويُميز بخط سميك ولون أحمر، والنمط الثاني هو الترتيب الداخلي لكل شركة بين رحلاتها المختلفة، ويُميز بخط سميك فقط في بداية كل رحلة داخل نفس الشركة، أما النمط الثالث فهو ترتيب الأسعار داخل الرحلة الواحدة وفقًا للسعر بهدف إظهار الفروق في المزايا، مثل الوزن المسموح</t>
  </si>
  <si>
    <t>OAL</t>
  </si>
  <si>
    <t>LOAD FACTOR ANALYSIS</t>
  </si>
  <si>
    <t>AIRLINE</t>
  </si>
  <si>
    <t>FLIGHT NUM</t>
  </si>
  <si>
    <t>DEPARTURE</t>
  </si>
  <si>
    <t>BAGGAGE</t>
  </si>
  <si>
    <t>AVAILABILITY</t>
  </si>
  <si>
    <t>PUBLISHED FARE</t>
  </si>
  <si>
    <t>RECOMMENDATIONS</t>
  </si>
  <si>
    <t>FLIGHT</t>
  </si>
  <si>
    <t>LF%</t>
  </si>
  <si>
    <t>SOLD</t>
  </si>
  <si>
    <t>LST-SOLD</t>
  </si>
  <si>
    <t>WEEKLY</t>
  </si>
  <si>
    <t>TO-DAY</t>
  </si>
  <si>
    <t>Y-DAY</t>
  </si>
  <si>
    <t>LOWEST AVAIL</t>
  </si>
  <si>
    <t>DEP</t>
  </si>
  <si>
    <t>CAPACITY</t>
  </si>
  <si>
    <t>CLASSES</t>
  </si>
  <si>
    <t>flynas</t>
  </si>
  <si>
    <t>XY-576</t>
  </si>
  <si>
    <t>Cabin: 7 KG / Check-in: 20 KG</t>
  </si>
  <si>
    <r>
      <rPr>
        <b/>
        <i/>
        <sz val="13"/>
        <color rgb="FFBC0000"/>
        <rFont val="Calibri"/>
        <family val="2"/>
      </rPr>
      <t>9</t>
    </r>
    <r>
      <rPr>
        <b/>
        <i/>
        <sz val="10"/>
        <color rgb="FFBC0000"/>
        <rFont val="Calibri"/>
        <family val="2"/>
      </rPr>
      <t xml:space="preserve"> FOR SAME CLASS</t>
    </r>
  </si>
  <si>
    <t>559 SAR</t>
  </si>
  <si>
    <t>Cabin: 7 KG / Check-in: 30 KG</t>
  </si>
  <si>
    <r>
      <rPr>
        <i/>
        <sz val="13"/>
        <rFont val="Calibri"/>
        <family val="2"/>
      </rPr>
      <t>9</t>
    </r>
    <r>
      <rPr>
        <i/>
        <sz val="10"/>
        <rFont val="Calibri"/>
        <family val="2"/>
      </rPr>
      <t xml:space="preserve"> FOR SAME CLASS</t>
    </r>
  </si>
  <si>
    <t>659 SAR</t>
  </si>
  <si>
    <t>Cabin: 7 KG / Check-in: 2 x 40 KG</t>
  </si>
  <si>
    <t>749 SAR</t>
  </si>
  <si>
    <t>flyadeal</t>
  </si>
  <si>
    <t>F3-769</t>
  </si>
  <si>
    <t>Check-in: 15 KG</t>
  </si>
  <si>
    <r>
      <rPr>
        <b/>
        <i/>
        <sz val="13"/>
        <color rgb="FFBC0000"/>
        <rFont val="Calibri"/>
        <family val="2"/>
      </rPr>
      <t>23</t>
    </r>
    <r>
      <rPr>
        <b/>
        <i/>
        <sz val="10"/>
        <color rgb="FFBC0000"/>
        <rFont val="Calibri"/>
        <family val="2"/>
      </rPr>
      <t xml:space="preserve"> FOR SAME CLASS</t>
    </r>
  </si>
  <si>
    <t>619 SAR</t>
  </si>
  <si>
    <t>Cabin: 10 KG / Check-in: 25 KG</t>
  </si>
  <si>
    <r>
      <rPr>
        <i/>
        <sz val="13"/>
        <rFont val="Calibri"/>
        <family val="2"/>
      </rPr>
      <t>23</t>
    </r>
    <r>
      <rPr>
        <i/>
        <sz val="10"/>
        <rFont val="Calibri"/>
        <family val="2"/>
      </rPr>
      <t xml:space="preserve"> FOR SAME CLASS</t>
    </r>
  </si>
  <si>
    <t>769 SAR</t>
  </si>
  <si>
    <t>Cabin: 10 KG / Check-in: 2 x 40 KG</t>
  </si>
  <si>
    <t>1,499 SAR</t>
  </si>
  <si>
    <t>EgyptAir</t>
  </si>
  <si>
    <t>MS-640</t>
  </si>
  <si>
    <t>Cabin: 7 KG | Check-in: 2 PIECE</t>
  </si>
  <si>
    <r>
      <rPr>
        <b/>
        <i/>
        <sz val="13"/>
        <color rgb="FFBC0000"/>
        <rFont val="Calibri"/>
        <family val="2"/>
      </rPr>
      <t>+9</t>
    </r>
    <r>
      <rPr>
        <b/>
        <i/>
        <sz val="10"/>
        <color rgb="FFBC0000"/>
        <rFont val="Calibri"/>
        <family val="2"/>
      </rPr>
      <t xml:space="preserve"> FOR SAME CLASS</t>
    </r>
  </si>
  <si>
    <t>962 SAR</t>
  </si>
  <si>
    <t>MS-676</t>
  </si>
  <si>
    <r>
      <rPr>
        <b/>
        <i/>
        <sz val="13"/>
        <rFont val="Calibri"/>
        <family val="2"/>
      </rPr>
      <t>+9</t>
    </r>
    <r>
      <rPr>
        <b/>
        <i/>
        <sz val="10"/>
        <rFont val="Calibri"/>
        <family val="2"/>
      </rPr>
      <t xml:space="preserve"> FOR SAME CLASS</t>
    </r>
  </si>
  <si>
    <t>MS-694</t>
  </si>
  <si>
    <t>MS-696</t>
  </si>
  <si>
    <t>1,654 SAR</t>
  </si>
  <si>
    <t>Saudia</t>
  </si>
  <si>
    <t>SV-6903</t>
  </si>
  <si>
    <t>Cabin: 7 KG / Check-in: 2 x 46 KG</t>
  </si>
  <si>
    <r>
      <rPr>
        <b/>
        <i/>
        <sz val="13"/>
        <color rgb="FFBC0000"/>
        <rFont val="Calibri"/>
        <family val="2"/>
      </rPr>
      <t>4</t>
    </r>
    <r>
      <rPr>
        <b/>
        <i/>
        <sz val="10"/>
        <color rgb="FFBC0000"/>
        <rFont val="Calibri"/>
        <family val="2"/>
      </rPr>
      <t xml:space="preserve"> FOR SAME CLASS</t>
    </r>
  </si>
  <si>
    <t>1,651 SAR</t>
  </si>
  <si>
    <t>SV-381</t>
  </si>
  <si>
    <t>Cabin: 7 KG / Check-in: 23 KG</t>
  </si>
  <si>
    <r>
      <rPr>
        <b/>
        <i/>
        <sz val="13"/>
        <rFont val="Calibri"/>
        <family val="2"/>
      </rPr>
      <t>6</t>
    </r>
    <r>
      <rPr>
        <b/>
        <i/>
        <sz val="10"/>
        <rFont val="Calibri"/>
        <family val="2"/>
      </rPr>
      <t xml:space="preserve"> FOR SAME CLASS</t>
    </r>
  </si>
  <si>
    <t>1,868 SAR</t>
  </si>
  <si>
    <r>
      <rPr>
        <i/>
        <sz val="13"/>
        <rFont val="Calibri"/>
        <family val="2"/>
      </rPr>
      <t>6</t>
    </r>
    <r>
      <rPr>
        <i/>
        <sz val="10"/>
        <rFont val="Calibri"/>
        <family val="2"/>
      </rPr>
      <t xml:space="preserve"> FOR SAME CLASS</t>
    </r>
  </si>
  <si>
    <t>2,009 SAR</t>
  </si>
  <si>
    <t>SV-391</t>
  </si>
  <si>
    <t>SV-319</t>
  </si>
  <si>
    <r>
      <rPr>
        <b/>
        <i/>
        <sz val="13"/>
        <rFont val="Calibri"/>
        <family val="2"/>
      </rPr>
      <t>3</t>
    </r>
    <r>
      <rPr>
        <b/>
        <i/>
        <sz val="10"/>
        <rFont val="Calibri"/>
        <family val="2"/>
      </rPr>
      <t xml:space="preserve"> FOR SAME CLASS</t>
    </r>
  </si>
  <si>
    <t>2,165 SAR</t>
  </si>
  <si>
    <r>
      <rPr>
        <i/>
        <sz val="13"/>
        <rFont val="Calibri"/>
        <family val="2"/>
      </rPr>
      <t>3</t>
    </r>
    <r>
      <rPr>
        <i/>
        <sz val="10"/>
        <rFont val="Calibri"/>
        <family val="2"/>
      </rPr>
      <t xml:space="preserve"> FOR SAME CLASS</t>
    </r>
  </si>
  <si>
    <t>2,305 SAR</t>
  </si>
  <si>
    <t>XY-793</t>
  </si>
  <si>
    <r>
      <rPr>
        <b/>
        <i/>
        <sz val="13"/>
        <color rgb="FFBC0000"/>
        <rFont val="Calibri"/>
        <family val="2"/>
      </rPr>
      <t>3</t>
    </r>
    <r>
      <rPr>
        <b/>
        <i/>
        <sz val="10"/>
        <color rgb="FFBC0000"/>
        <rFont val="Calibri"/>
        <family val="2"/>
      </rPr>
      <t xml:space="preserve"> FOR SAME CLASS</t>
    </r>
  </si>
  <si>
    <t>609 SAR</t>
  </si>
  <si>
    <t>709 SAR</t>
  </si>
  <si>
    <t>799 SAR</t>
  </si>
  <si>
    <r>
      <rPr>
        <b/>
        <i/>
        <sz val="13"/>
        <rFont val="Calibri"/>
        <family val="2"/>
      </rPr>
      <t>1</t>
    </r>
    <r>
      <rPr>
        <b/>
        <i/>
        <sz val="10"/>
        <rFont val="Calibri"/>
        <family val="2"/>
      </rPr>
      <t xml:space="preserve"> FOR SAME CLASS</t>
    </r>
  </si>
  <si>
    <t>689 SAR</t>
  </si>
  <si>
    <r>
      <rPr>
        <i/>
        <sz val="13"/>
        <rFont val="Calibri"/>
        <family val="2"/>
      </rPr>
      <t>1</t>
    </r>
    <r>
      <rPr>
        <i/>
        <sz val="10"/>
        <rFont val="Calibri"/>
        <family val="2"/>
      </rPr>
      <t xml:space="preserve"> FOR SAME CLASS</t>
    </r>
  </si>
  <si>
    <t>789 SAR</t>
  </si>
  <si>
    <t>879 SAR</t>
  </si>
  <si>
    <r>
      <rPr>
        <b/>
        <i/>
        <sz val="13"/>
        <color rgb="FFBC0000"/>
        <rFont val="Calibri"/>
        <family val="2"/>
      </rPr>
      <t>14</t>
    </r>
    <r>
      <rPr>
        <b/>
        <i/>
        <sz val="10"/>
        <color rgb="FFBC0000"/>
        <rFont val="Calibri"/>
        <family val="2"/>
      </rPr>
      <t xml:space="preserve"> FOR SAME CLASS</t>
    </r>
  </si>
  <si>
    <r>
      <rPr>
        <i/>
        <sz val="13"/>
        <rFont val="Calibri"/>
        <family val="2"/>
      </rPr>
      <t>14</t>
    </r>
    <r>
      <rPr>
        <i/>
        <sz val="10"/>
        <rFont val="Calibri"/>
        <family val="2"/>
      </rPr>
      <t xml:space="preserve"> FOR SAME CLASS</t>
    </r>
  </si>
  <si>
    <t>1,099 SAR</t>
  </si>
  <si>
    <t>1,002 SAR</t>
  </si>
  <si>
    <r>
      <rPr>
        <b/>
        <i/>
        <sz val="13"/>
        <rFont val="Calibri"/>
        <family val="2"/>
      </rPr>
      <t>2</t>
    </r>
    <r>
      <rPr>
        <b/>
        <i/>
        <sz val="10"/>
        <rFont val="Calibri"/>
        <family val="2"/>
      </rPr>
      <t xml:space="preserve"> FOR SAME CLASS</t>
    </r>
  </si>
  <si>
    <t>1,262 SAR</t>
  </si>
  <si>
    <r>
      <rPr>
        <b/>
        <i/>
        <sz val="13"/>
        <color rgb="FFBC0000"/>
        <rFont val="Calibri"/>
        <family val="2"/>
      </rPr>
      <t>1</t>
    </r>
    <r>
      <rPr>
        <b/>
        <i/>
        <sz val="10"/>
        <color rgb="FFBC0000"/>
        <rFont val="Calibri"/>
        <family val="2"/>
      </rPr>
      <t xml:space="preserve"> FOR SAME CLASS</t>
    </r>
  </si>
  <si>
    <t>1,385 SAR</t>
  </si>
  <si>
    <t>1,525 SAR</t>
  </si>
  <si>
    <r>
      <rPr>
        <b/>
        <i/>
        <sz val="13"/>
        <rFont val="Calibri"/>
        <family val="2"/>
      </rPr>
      <t>4</t>
    </r>
    <r>
      <rPr>
        <b/>
        <i/>
        <sz val="10"/>
        <rFont val="Calibri"/>
        <family val="2"/>
      </rPr>
      <t xml:space="preserve"> FOR SAME CLASS</t>
    </r>
  </si>
  <si>
    <t>Air Cairo</t>
  </si>
  <si>
    <t>SM494</t>
  </si>
  <si>
    <t>30KG + 7KG CABIN</t>
  </si>
  <si>
    <t>FULLY BOOKED</t>
  </si>
  <si>
    <t>2025-11-13T00:00:00</t>
  </si>
  <si>
    <t>CLOSED</t>
  </si>
  <si>
    <t>Q4 &amp; T3 &amp; X5 &amp; U9 &amp; O7 &amp; I17 &amp; P130 &amp; N4</t>
  </si>
  <si>
    <r>
      <rPr>
        <b/>
        <i/>
        <sz val="13"/>
        <color rgb="FFBC0000"/>
        <rFont val="Calibri"/>
        <family val="2"/>
      </rPr>
      <t>6</t>
    </r>
    <r>
      <rPr>
        <b/>
        <i/>
        <sz val="10"/>
        <color rgb="FFBC0000"/>
        <rFont val="Calibri"/>
        <family val="2"/>
      </rPr>
      <t xml:space="preserve"> FOR SAME CLASS</t>
    </r>
  </si>
  <si>
    <r>
      <rPr>
        <i/>
        <sz val="13"/>
        <rFont val="Calibri"/>
        <family val="2"/>
      </rPr>
      <t>+9</t>
    </r>
    <r>
      <rPr>
        <i/>
        <sz val="10"/>
        <rFont val="Calibri"/>
        <family val="2"/>
      </rPr>
      <t xml:space="preserve"> FOR SAME CLASS</t>
    </r>
  </si>
  <si>
    <t>2025-11-16T00:00:00</t>
  </si>
  <si>
    <t>K6 &amp; G10 &amp; S21 &amp; T5 &amp; X11 &amp; U8 &amp; O9 &amp; I17 &amp; P86 &amp; N6</t>
  </si>
  <si>
    <t>Day</t>
  </si>
  <si>
    <t>Flt Dt</t>
  </si>
  <si>
    <t>Flt</t>
  </si>
  <si>
    <t>Brd-Off</t>
  </si>
  <si>
    <t>Eqp</t>
  </si>
  <si>
    <t>CAP</t>
  </si>
  <si>
    <t>BKG(Y)</t>
  </si>
  <si>
    <t>GRP(Y)</t>
  </si>
  <si>
    <t>FLT ST</t>
  </si>
  <si>
    <t>Y</t>
  </si>
  <si>
    <t>B</t>
  </si>
  <si>
    <t>M</t>
  </si>
  <si>
    <t>H</t>
  </si>
  <si>
    <t>Q</t>
  </si>
  <si>
    <t>K</t>
  </si>
  <si>
    <t>V</t>
  </si>
  <si>
    <t>L</t>
  </si>
  <si>
    <t>G</t>
  </si>
  <si>
    <t>S</t>
  </si>
  <si>
    <t>W</t>
  </si>
  <si>
    <t>T</t>
  </si>
  <si>
    <t>X</t>
  </si>
  <si>
    <t>U</t>
  </si>
  <si>
    <t>O</t>
  </si>
  <si>
    <t>I</t>
  </si>
  <si>
    <t>E</t>
  </si>
  <si>
    <t>A</t>
  </si>
  <si>
    <t>P</t>
  </si>
  <si>
    <t>N</t>
  </si>
  <si>
    <t>SATURDAY</t>
  </si>
  <si>
    <t>09:30</t>
  </si>
  <si>
    <t>320</t>
  </si>
  <si>
    <t>UPCOMING</t>
  </si>
  <si>
    <t>Q4</t>
  </si>
  <si>
    <t>T3</t>
  </si>
  <si>
    <t>X5</t>
  </si>
  <si>
    <t>U9</t>
  </si>
  <si>
    <t>O7</t>
  </si>
  <si>
    <t>I17</t>
  </si>
  <si>
    <t>P130</t>
  </si>
  <si>
    <t>N4</t>
  </si>
  <si>
    <t>SUNDAY</t>
  </si>
  <si>
    <t>21:40</t>
  </si>
  <si>
    <t>K6</t>
  </si>
  <si>
    <t>G10</t>
  </si>
  <si>
    <t>S21</t>
  </si>
  <si>
    <t>T5</t>
  </si>
  <si>
    <t>X11</t>
  </si>
  <si>
    <t>U8</t>
  </si>
  <si>
    <t>O9</t>
  </si>
  <si>
    <t>P86</t>
  </si>
  <si>
    <t>N6</t>
  </si>
  <si>
    <t>DATE</t>
  </si>
  <si>
    <t>ROUTE</t>
  </si>
  <si>
    <t>2025-11-21</t>
  </si>
  <si>
    <t>18:10</t>
  </si>
  <si>
    <t>10:05</t>
  </si>
  <si>
    <t>11:50</t>
  </si>
  <si>
    <t>02:20</t>
  </si>
  <si>
    <t>05:20</t>
  </si>
  <si>
    <t>10:40</t>
  </si>
  <si>
    <t>19:05</t>
  </si>
  <si>
    <t>02:05</t>
  </si>
  <si>
    <t>14:30</t>
  </si>
  <si>
    <t>2025-11-22</t>
  </si>
  <si>
    <t>08:30</t>
  </si>
  <si>
    <t>MED-HBE</t>
  </si>
  <si>
    <t>MS-680</t>
  </si>
  <si>
    <t>860 SAR</t>
  </si>
  <si>
    <t>Indirect competition route MED – CAI - diversion ratio &amp; passenger leakage</t>
  </si>
  <si>
    <t>9 FOR SAME CLASS</t>
  </si>
  <si>
    <t>23 FOR SAME CLASS</t>
  </si>
  <si>
    <t>+9 FOR SAME CLASS</t>
  </si>
  <si>
    <t>4 FOR SAME CLASS</t>
  </si>
  <si>
    <t>SM-486</t>
  </si>
  <si>
    <t>SM486</t>
  </si>
  <si>
    <t>2025-11-19T00:00:00</t>
  </si>
  <si>
    <t>Q7 &amp; P172</t>
  </si>
  <si>
    <t>6 FOR SAME CLASS</t>
  </si>
  <si>
    <t>1 FOR SAME CLASS</t>
  </si>
  <si>
    <t>09:40</t>
  </si>
  <si>
    <t>Q7</t>
  </si>
  <si>
    <t>P172</t>
  </si>
  <si>
    <t>12:30</t>
  </si>
  <si>
    <t>MED-CAI AS ALTERNATIVE ROUTE</t>
  </si>
  <si>
    <t>2025-11-23</t>
  </si>
  <si>
    <t>MED-ATZ</t>
  </si>
  <si>
    <t>SM-488</t>
  </si>
  <si>
    <t>SM488</t>
  </si>
  <si>
    <t>S4 &amp; X20 &amp; U20 &amp; O20 &amp; I20 &amp; P84</t>
  </si>
  <si>
    <t>3 FOR SAME CLASS</t>
  </si>
  <si>
    <t>14 FOR SAME CLASS</t>
  </si>
  <si>
    <t>22:55</t>
  </si>
  <si>
    <t>S4</t>
  </si>
  <si>
    <t>X20</t>
  </si>
  <si>
    <t>U20</t>
  </si>
  <si>
    <t>O20</t>
  </si>
  <si>
    <t>I20</t>
  </si>
  <si>
    <t>P84</t>
  </si>
  <si>
    <t>JED-CAI</t>
  </si>
  <si>
    <t>F3-763</t>
  </si>
  <si>
    <r>
      <rPr>
        <b/>
        <i/>
        <sz val="13"/>
        <color rgb="FFBC0000"/>
        <rFont val="Calibri"/>
        <family val="2"/>
      </rPr>
      <t>5</t>
    </r>
    <r>
      <rPr>
        <b/>
        <i/>
        <sz val="10"/>
        <color rgb="FFBC0000"/>
        <rFont val="Calibri"/>
        <family val="2"/>
      </rPr>
      <t xml:space="preserve"> FOR SAME CLASS</t>
    </r>
  </si>
  <si>
    <t>639 SAR</t>
  </si>
  <si>
    <r>
      <rPr>
        <i/>
        <sz val="13"/>
        <rFont val="Calibri"/>
        <family val="2"/>
      </rPr>
      <t>5</t>
    </r>
    <r>
      <rPr>
        <i/>
        <sz val="10"/>
        <rFont val="Calibri"/>
        <family val="2"/>
      </rPr>
      <t xml:space="preserve"> FOR SAME CLASS</t>
    </r>
  </si>
  <si>
    <t>F3-753</t>
  </si>
  <si>
    <r>
      <rPr>
        <b/>
        <i/>
        <sz val="13"/>
        <rFont val="Calibri"/>
        <family val="2"/>
      </rPr>
      <t>10</t>
    </r>
    <r>
      <rPr>
        <b/>
        <i/>
        <sz val="10"/>
        <rFont val="Calibri"/>
        <family val="2"/>
      </rPr>
      <t xml:space="preserve"> FOR SAME CLASS</t>
    </r>
  </si>
  <si>
    <r>
      <rPr>
        <i/>
        <sz val="13"/>
        <rFont val="Calibri"/>
        <family val="2"/>
      </rPr>
      <t>10</t>
    </r>
    <r>
      <rPr>
        <i/>
        <sz val="10"/>
        <rFont val="Calibri"/>
        <family val="2"/>
      </rPr>
      <t xml:space="preserve"> FOR SAME CLASS</t>
    </r>
  </si>
  <si>
    <t>839 SAR</t>
  </si>
  <si>
    <t>F3-755</t>
  </si>
  <si>
    <r>
      <rPr>
        <b/>
        <i/>
        <sz val="13"/>
        <rFont val="Calibri"/>
        <family val="2"/>
      </rPr>
      <t>12</t>
    </r>
    <r>
      <rPr>
        <b/>
        <i/>
        <sz val="10"/>
        <rFont val="Calibri"/>
        <family val="2"/>
      </rPr>
      <t xml:space="preserve"> FOR SAME CLASS</t>
    </r>
  </si>
  <si>
    <r>
      <rPr>
        <i/>
        <sz val="13"/>
        <rFont val="Calibri"/>
        <family val="2"/>
      </rPr>
      <t>12</t>
    </r>
    <r>
      <rPr>
        <i/>
        <sz val="10"/>
        <rFont val="Calibri"/>
        <family val="2"/>
      </rPr>
      <t xml:space="preserve"> FOR SAME CLASS</t>
    </r>
  </si>
  <si>
    <t>F3-761</t>
  </si>
  <si>
    <r>
      <rPr>
        <b/>
        <i/>
        <sz val="13"/>
        <rFont val="Calibri"/>
        <family val="2"/>
      </rPr>
      <t>19</t>
    </r>
    <r>
      <rPr>
        <b/>
        <i/>
        <sz val="10"/>
        <rFont val="Calibri"/>
        <family val="2"/>
      </rPr>
      <t xml:space="preserve"> FOR SAME CLASS</t>
    </r>
  </si>
  <si>
    <r>
      <rPr>
        <i/>
        <sz val="13"/>
        <rFont val="Calibri"/>
        <family val="2"/>
      </rPr>
      <t>19</t>
    </r>
    <r>
      <rPr>
        <i/>
        <sz val="10"/>
        <rFont val="Calibri"/>
        <family val="2"/>
      </rPr>
      <t xml:space="preserve"> FOR SAME CLASS</t>
    </r>
  </si>
  <si>
    <t>XY-565</t>
  </si>
  <si>
    <r>
      <rPr>
        <b/>
        <i/>
        <sz val="13"/>
        <color rgb="FFBC0000"/>
        <rFont val="Calibri"/>
        <family val="2"/>
      </rPr>
      <t>7</t>
    </r>
    <r>
      <rPr>
        <b/>
        <i/>
        <sz val="10"/>
        <color rgb="FFBC0000"/>
        <rFont val="Calibri"/>
        <family val="2"/>
      </rPr>
      <t xml:space="preserve"> FOR SAME CLASS</t>
    </r>
  </si>
  <si>
    <t>719 SAR</t>
  </si>
  <si>
    <r>
      <rPr>
        <i/>
        <sz val="13"/>
        <rFont val="Calibri"/>
        <family val="2"/>
      </rPr>
      <t>7</t>
    </r>
    <r>
      <rPr>
        <i/>
        <sz val="10"/>
        <rFont val="Calibri"/>
        <family val="2"/>
      </rPr>
      <t xml:space="preserve"> FOR SAME CLASS</t>
    </r>
  </si>
  <si>
    <t>819 SAR</t>
  </si>
  <si>
    <t>909 SAR</t>
  </si>
  <si>
    <t>XY-567</t>
  </si>
  <si>
    <r>
      <rPr>
        <b/>
        <i/>
        <sz val="13"/>
        <rFont val="Calibri"/>
        <family val="2"/>
      </rPr>
      <t>9</t>
    </r>
    <r>
      <rPr>
        <b/>
        <i/>
        <sz val="10"/>
        <rFont val="Calibri"/>
        <family val="2"/>
      </rPr>
      <t xml:space="preserve"> FOR SAME CLASS</t>
    </r>
  </si>
  <si>
    <t>XY-569</t>
  </si>
  <si>
    <t>XY-573</t>
  </si>
  <si>
    <r>
      <rPr>
        <b/>
        <i/>
        <sz val="13"/>
        <rFont val="Calibri"/>
        <family val="2"/>
      </rPr>
      <t>8</t>
    </r>
    <r>
      <rPr>
        <b/>
        <i/>
        <sz val="10"/>
        <rFont val="Calibri"/>
        <family val="2"/>
      </rPr>
      <t xml:space="preserve"> FOR SAME CLASS</t>
    </r>
  </si>
  <si>
    <r>
      <rPr>
        <i/>
        <sz val="13"/>
        <rFont val="Calibri"/>
        <family val="2"/>
      </rPr>
      <t>8</t>
    </r>
    <r>
      <rPr>
        <i/>
        <sz val="10"/>
        <rFont val="Calibri"/>
        <family val="2"/>
      </rPr>
      <t xml:space="preserve"> FOR SAME CLASS</t>
    </r>
  </si>
  <si>
    <t>XY-577</t>
  </si>
  <si>
    <r>
      <rPr>
        <b/>
        <i/>
        <sz val="13"/>
        <rFont val="Calibri"/>
        <family val="2"/>
      </rPr>
      <t>5</t>
    </r>
    <r>
      <rPr>
        <b/>
        <i/>
        <sz val="10"/>
        <rFont val="Calibri"/>
        <family val="2"/>
      </rPr>
      <t xml:space="preserve"> FOR SAME CLASS</t>
    </r>
  </si>
  <si>
    <t>XY-589</t>
  </si>
  <si>
    <t>XY-571</t>
  </si>
  <si>
    <t>829 SAR</t>
  </si>
  <si>
    <t>929 SAR</t>
  </si>
  <si>
    <t>1,019 SAR</t>
  </si>
  <si>
    <t>Air Arabia Egypt</t>
  </si>
  <si>
    <t>E5-322</t>
  </si>
  <si>
    <t>Cabin: 10 KG | Check-in: 30 KG</t>
  </si>
  <si>
    <t>742 SAR</t>
  </si>
  <si>
    <t>E5-328</t>
  </si>
  <si>
    <t>800 SAR</t>
  </si>
  <si>
    <t>Nile Air</t>
  </si>
  <si>
    <t>NP-228</t>
  </si>
  <si>
    <t>Cabin: 7 KG | Check-in: 30 KG</t>
  </si>
  <si>
    <t>NP-128</t>
  </si>
  <si>
    <t>834 SAR</t>
  </si>
  <si>
    <t>SM-424</t>
  </si>
  <si>
    <t>Cabin: 7 KG | Check-in: 40 KG</t>
  </si>
  <si>
    <t>781 SAR</t>
  </si>
  <si>
    <t>SM424</t>
  </si>
  <si>
    <t>G1</t>
  </si>
  <si>
    <t>K3 &amp; V30 &amp; L21 &amp; G21 &amp; S16 &amp; W5 &amp; X1</t>
  </si>
  <si>
    <t>SM-472</t>
  </si>
  <si>
    <t>856 SAR</t>
  </si>
  <si>
    <t>SM472</t>
  </si>
  <si>
    <t>L4</t>
  </si>
  <si>
    <t>V21 &amp; L17 &amp; G22 &amp; S31 &amp; W5</t>
  </si>
  <si>
    <t>SM-478</t>
  </si>
  <si>
    <t>SM478</t>
  </si>
  <si>
    <t>L1</t>
  </si>
  <si>
    <t>V20 &amp; L22 &amp; G24 &amp; S32 &amp; W5</t>
  </si>
  <si>
    <t>SM-480</t>
  </si>
  <si>
    <t>SM480</t>
  </si>
  <si>
    <t>V16 &amp; L46 &amp; G17 &amp; S13 &amp; W5</t>
  </si>
  <si>
    <t>SM-476</t>
  </si>
  <si>
    <r>
      <rPr>
        <b/>
        <i/>
        <sz val="13"/>
        <rFont val="Calibri"/>
        <family val="2"/>
      </rPr>
      <t>7</t>
    </r>
    <r>
      <rPr>
        <b/>
        <i/>
        <sz val="10"/>
        <rFont val="Calibri"/>
        <family val="2"/>
      </rPr>
      <t xml:space="preserve"> FOR SAME CLASS</t>
    </r>
  </si>
  <si>
    <t>952 SAR</t>
  </si>
  <si>
    <t>SM476</t>
  </si>
  <si>
    <t>2025-11-17T00:00:00</t>
  </si>
  <si>
    <t>V7</t>
  </si>
  <si>
    <t>K6 &amp; V30 &amp; L15 &amp; G17 &amp; S11 &amp; W5 &amp; T2 &amp; X5 &amp; U6 &amp; O4 &amp; I5 &amp; P1</t>
  </si>
  <si>
    <t>SM460</t>
  </si>
  <si>
    <t>2025-11-18T00:00:00</t>
  </si>
  <si>
    <t>V7 &amp; G1 &amp; S16 &amp; W10 &amp; T10 &amp; X10 &amp; U10 &amp; O10 &amp; I10 &amp; P92</t>
  </si>
  <si>
    <t>MS-674</t>
  </si>
  <si>
    <t>1,119 SAR</t>
  </si>
  <si>
    <t>MS-664</t>
  </si>
  <si>
    <t>1,253 SAR</t>
  </si>
  <si>
    <t>MS-670</t>
  </si>
  <si>
    <t>MS-672</t>
  </si>
  <si>
    <t>MS-644</t>
  </si>
  <si>
    <t>1,257 SAR</t>
  </si>
  <si>
    <t>MS-662</t>
  </si>
  <si>
    <t>1,413 SAR</t>
  </si>
  <si>
    <t>MS-666</t>
  </si>
  <si>
    <t>SV-335</t>
  </si>
  <si>
    <t>1,193 SAR</t>
  </si>
  <si>
    <t>1,326 SAR</t>
  </si>
  <si>
    <t>SV-309</t>
  </si>
  <si>
    <t>1,376 SAR</t>
  </si>
  <si>
    <t>1,509 SAR</t>
  </si>
  <si>
    <t>SV-383</t>
  </si>
  <si>
    <t>1,586 SAR</t>
  </si>
  <si>
    <t>1,719 SAR</t>
  </si>
  <si>
    <t>SV-387</t>
  </si>
  <si>
    <t>SV-6664</t>
  </si>
  <si>
    <t>1,721 SAR</t>
  </si>
  <si>
    <t>SV-301</t>
  </si>
  <si>
    <t>1,828 SAR</t>
  </si>
  <si>
    <t>1,961 SAR</t>
  </si>
  <si>
    <t>SV-303</t>
  </si>
  <si>
    <t>SV-305</t>
  </si>
  <si>
    <t>SV-389</t>
  </si>
  <si>
    <t>SV-6891</t>
  </si>
  <si>
    <t>1,944 SAR</t>
  </si>
  <si>
    <t>SV-6893</t>
  </si>
  <si>
    <t>SV-6895</t>
  </si>
  <si>
    <r>
      <rPr>
        <b/>
        <i/>
        <sz val="13"/>
        <color rgb="FFBC0000"/>
        <rFont val="Calibri"/>
        <family val="2"/>
      </rPr>
      <t>8</t>
    </r>
    <r>
      <rPr>
        <b/>
        <i/>
        <sz val="10"/>
        <color rgb="FFBC0000"/>
        <rFont val="Calibri"/>
        <family val="2"/>
      </rPr>
      <t xml:space="preserve"> FOR SAME CLASS</t>
    </r>
  </si>
  <si>
    <r>
      <rPr>
        <b/>
        <i/>
        <sz val="13"/>
        <rFont val="Calibri"/>
        <family val="2"/>
      </rPr>
      <t>17</t>
    </r>
    <r>
      <rPr>
        <b/>
        <i/>
        <sz val="10"/>
        <rFont val="Calibri"/>
        <family val="2"/>
      </rPr>
      <t xml:space="preserve"> FOR SAME CLASS</t>
    </r>
  </si>
  <si>
    <r>
      <rPr>
        <i/>
        <sz val="13"/>
        <rFont val="Calibri"/>
        <family val="2"/>
      </rPr>
      <t>17</t>
    </r>
    <r>
      <rPr>
        <i/>
        <sz val="10"/>
        <rFont val="Calibri"/>
        <family val="2"/>
      </rPr>
      <t xml:space="preserve"> FOR SAME CLASS</t>
    </r>
  </si>
  <si>
    <r>
      <rPr>
        <b/>
        <i/>
        <sz val="13"/>
        <rFont val="Calibri"/>
        <family val="2"/>
      </rPr>
      <t>11</t>
    </r>
    <r>
      <rPr>
        <b/>
        <i/>
        <sz val="10"/>
        <rFont val="Calibri"/>
        <family val="2"/>
      </rPr>
      <t xml:space="preserve"> FOR SAME CLASS</t>
    </r>
  </si>
  <si>
    <r>
      <rPr>
        <i/>
        <sz val="13"/>
        <rFont val="Calibri"/>
        <family val="2"/>
      </rPr>
      <t>11</t>
    </r>
    <r>
      <rPr>
        <i/>
        <sz val="10"/>
        <rFont val="Calibri"/>
        <family val="2"/>
      </rPr>
      <t xml:space="preserve"> FOR SAME CLASS</t>
    </r>
  </si>
  <si>
    <r>
      <rPr>
        <b/>
        <i/>
        <sz val="13"/>
        <rFont val="Calibri"/>
        <family val="2"/>
      </rPr>
      <t>13</t>
    </r>
    <r>
      <rPr>
        <b/>
        <i/>
        <sz val="10"/>
        <rFont val="Calibri"/>
        <family val="2"/>
      </rPr>
      <t xml:space="preserve"> FOR SAME CLASS</t>
    </r>
  </si>
  <si>
    <r>
      <rPr>
        <i/>
        <sz val="13"/>
        <rFont val="Calibri"/>
        <family val="2"/>
      </rPr>
      <t>13</t>
    </r>
    <r>
      <rPr>
        <i/>
        <sz val="10"/>
        <rFont val="Calibri"/>
        <family val="2"/>
      </rPr>
      <t xml:space="preserve"> FOR SAME CLASS</t>
    </r>
  </si>
  <si>
    <t>669 SAR</t>
  </si>
  <si>
    <t>859 SAR</t>
  </si>
  <si>
    <r>
      <rPr>
        <i/>
        <sz val="13"/>
        <rFont val="Calibri"/>
        <family val="2"/>
      </rPr>
      <t>2</t>
    </r>
    <r>
      <rPr>
        <i/>
        <sz val="10"/>
        <rFont val="Calibri"/>
        <family val="2"/>
      </rPr>
      <t xml:space="preserve"> FOR SAME CLASS</t>
    </r>
  </si>
  <si>
    <t>Cabin: 10 KG / Check-in: 30 KG</t>
  </si>
  <si>
    <t>700 SAR</t>
  </si>
  <si>
    <t>926 SAR</t>
  </si>
  <si>
    <t>E5-362</t>
  </si>
  <si>
    <t>Nesma Airlines</t>
  </si>
  <si>
    <t>NE-171</t>
  </si>
  <si>
    <t>835 SAR</t>
  </si>
  <si>
    <t>1,066 SAR</t>
  </si>
  <si>
    <t>K1</t>
  </si>
  <si>
    <t>K2 &amp; L1 &amp; G3 &amp; S3 &amp; W4 &amp; T10 &amp; X12 &amp; U5 &amp; O6 &amp; I4 &amp; E45 &amp; P82 &amp; N1</t>
  </si>
  <si>
    <t>SM450</t>
  </si>
  <si>
    <t>2025-11-10T00:00:00</t>
  </si>
  <si>
    <t>V3 &amp; G16 &amp; S17 &amp; W22 &amp; T10 &amp; X10 &amp; U17 &amp; O17 &amp; I17 &amp; P50</t>
  </si>
  <si>
    <t>K5 &amp; L6 &amp; S24 &amp; W5 &amp; P135 &amp; N4</t>
  </si>
  <si>
    <t>1,080 SAR</t>
  </si>
  <si>
    <t>1,260 SAR</t>
  </si>
  <si>
    <t>1,264 SAR</t>
  </si>
  <si>
    <t>1,417 SAR</t>
  </si>
  <si>
    <t>1,844 SAR</t>
  </si>
  <si>
    <t>2,005 SAR</t>
  </si>
  <si>
    <t>MS-668</t>
  </si>
  <si>
    <t>Cabin: 0 KG | Check-in: 15 KG</t>
  </si>
  <si>
    <r>
      <rPr>
        <b/>
        <i/>
        <sz val="13"/>
        <color rgb="FFBC0000"/>
        <rFont val="Calibri"/>
        <family val="2"/>
      </rPr>
      <t>2</t>
    </r>
    <r>
      <rPr>
        <b/>
        <i/>
        <sz val="10"/>
        <color rgb="FFBC0000"/>
        <rFont val="Calibri"/>
        <family val="2"/>
      </rPr>
      <t xml:space="preserve"> FOR SAME CLASS</t>
    </r>
  </si>
  <si>
    <t>539 SAR</t>
  </si>
  <si>
    <t>589 SAR</t>
  </si>
  <si>
    <t>Cabin: 7 KG | Check-in: 20 KG</t>
  </si>
  <si>
    <t>XY-583</t>
  </si>
  <si>
    <t>599 SAR</t>
  </si>
  <si>
    <t>605 SAR</t>
  </si>
  <si>
    <t>NE-177</t>
  </si>
  <si>
    <t>645 SAR</t>
  </si>
  <si>
    <t>695 SAR</t>
  </si>
  <si>
    <t>706 SAR</t>
  </si>
  <si>
    <t>S2</t>
  </si>
  <si>
    <t>S13 &amp; W17 &amp; T33 &amp; X4 &amp; U5 &amp; O4 &amp; I4 &amp; P28 &amp; N2</t>
  </si>
  <si>
    <t>S5</t>
  </si>
  <si>
    <t>G5 &amp; S32 &amp; W20 &amp; T16 &amp; X9 &amp; U5 &amp; O5 &amp; I5</t>
  </si>
  <si>
    <t>SM-432</t>
  </si>
  <si>
    <t>SM432</t>
  </si>
  <si>
    <t>W1</t>
  </si>
  <si>
    <t>G1 &amp; S10 &amp; W20 &amp; T18 &amp; X9 &amp; U20 &amp; O4 &amp; I5 &amp; P62</t>
  </si>
  <si>
    <t>SM-460</t>
  </si>
  <si>
    <t>G5</t>
  </si>
  <si>
    <t>L6 &amp; G3 &amp; S13 &amp; U3 &amp; O5 &amp; I7 &amp; P128</t>
  </si>
  <si>
    <t>L1 &amp; G4 &amp; S11 &amp; T7 &amp; X12 &amp; U5 &amp; O5 &amp; I7 &amp; P129</t>
  </si>
  <si>
    <t>1,276 SAR</t>
  </si>
  <si>
    <t>1,321 SAR</t>
  </si>
  <si>
    <t>1,524 SAR</t>
  </si>
  <si>
    <t>1,728 SAR</t>
  </si>
  <si>
    <t>1,773 SAR</t>
  </si>
  <si>
    <t>FRIDAY</t>
  </si>
  <si>
    <t>02:45</t>
  </si>
  <si>
    <t>K3</t>
  </si>
  <si>
    <t>V30</t>
  </si>
  <si>
    <t>L21</t>
  </si>
  <si>
    <t>G21</t>
  </si>
  <si>
    <t>S16</t>
  </si>
  <si>
    <t>W5</t>
  </si>
  <si>
    <t>X1</t>
  </si>
  <si>
    <t>07:40</t>
  </si>
  <si>
    <t>L15</t>
  </si>
  <si>
    <t>G17</t>
  </si>
  <si>
    <t>S11</t>
  </si>
  <si>
    <t>T2</t>
  </si>
  <si>
    <t>U6</t>
  </si>
  <si>
    <t>O4</t>
  </si>
  <si>
    <t>I5</t>
  </si>
  <si>
    <t>P1</t>
  </si>
  <si>
    <t>11:00</t>
  </si>
  <si>
    <t>V20</t>
  </si>
  <si>
    <t>L22</t>
  </si>
  <si>
    <t>G24</t>
  </si>
  <si>
    <t>S32</t>
  </si>
  <si>
    <t>14:45</t>
  </si>
  <si>
    <t>V16</t>
  </si>
  <si>
    <t>L46</t>
  </si>
  <si>
    <t>S13</t>
  </si>
  <si>
    <t>17:40</t>
  </si>
  <si>
    <t>V21</t>
  </si>
  <si>
    <t>L17</t>
  </si>
  <si>
    <t>G22</t>
  </si>
  <si>
    <t>S31</t>
  </si>
  <si>
    <t>22:30</t>
  </si>
  <si>
    <t>W10</t>
  </si>
  <si>
    <t>T10</t>
  </si>
  <si>
    <t>X10</t>
  </si>
  <si>
    <t>U10</t>
  </si>
  <si>
    <t>O10</t>
  </si>
  <si>
    <t>I10</t>
  </si>
  <si>
    <t>P92</t>
  </si>
  <si>
    <t>05:40</t>
  </si>
  <si>
    <t>V3</t>
  </si>
  <si>
    <t>G16</t>
  </si>
  <si>
    <t>S17</t>
  </si>
  <si>
    <t>W22</t>
  </si>
  <si>
    <t>U17</t>
  </si>
  <si>
    <t>O17</t>
  </si>
  <si>
    <t>P50</t>
  </si>
  <si>
    <t>08:00</t>
  </si>
  <si>
    <t>K5</t>
  </si>
  <si>
    <t>L6</t>
  </si>
  <si>
    <t>S24</t>
  </si>
  <si>
    <t>P135</t>
  </si>
  <si>
    <t>16:20</t>
  </si>
  <si>
    <t>K2</t>
  </si>
  <si>
    <t>G3</t>
  </si>
  <si>
    <t>S3</t>
  </si>
  <si>
    <t>W4</t>
  </si>
  <si>
    <t>X12</t>
  </si>
  <si>
    <t>U5</t>
  </si>
  <si>
    <t>O6</t>
  </si>
  <si>
    <t>I4</t>
  </si>
  <si>
    <t>E45</t>
  </si>
  <si>
    <t>P82</t>
  </si>
  <si>
    <t>N1</t>
  </si>
  <si>
    <t>02:00</t>
  </si>
  <si>
    <t>W17</t>
  </si>
  <si>
    <t>T33</t>
  </si>
  <si>
    <t>X4</t>
  </si>
  <si>
    <t>P28</t>
  </si>
  <si>
    <t>N2</t>
  </si>
  <si>
    <t>W20</t>
  </si>
  <si>
    <t>T16</t>
  </si>
  <si>
    <t>X9</t>
  </si>
  <si>
    <t>O5</t>
  </si>
  <si>
    <t>S10</t>
  </si>
  <si>
    <t>T18</t>
  </si>
  <si>
    <t>P62</t>
  </si>
  <si>
    <t>12:15</t>
  </si>
  <si>
    <t>U3</t>
  </si>
  <si>
    <t>I7</t>
  </si>
  <si>
    <t>P128</t>
  </si>
  <si>
    <t>15:10</t>
  </si>
  <si>
    <t>G4</t>
  </si>
  <si>
    <t>T7</t>
  </si>
  <si>
    <t>P129</t>
  </si>
  <si>
    <t>21:20</t>
  </si>
  <si>
    <t>07:15</t>
  </si>
  <si>
    <t>03:05</t>
  </si>
  <si>
    <t>18:55</t>
  </si>
  <si>
    <t>06:10</t>
  </si>
  <si>
    <t>15:30</t>
  </si>
  <si>
    <t>20:30</t>
  </si>
  <si>
    <t>19:10</t>
  </si>
  <si>
    <t>23:25</t>
  </si>
  <si>
    <t>10:00</t>
  </si>
  <si>
    <t>JED-HBE</t>
  </si>
  <si>
    <t>E5-392</t>
  </si>
  <si>
    <t>Cabin: 10 KG</t>
  </si>
  <si>
    <t>990 SAR</t>
  </si>
  <si>
    <t>Cabin: 10 KG / Check-in: 20 KG</t>
  </si>
  <si>
    <t>1,065 SAR</t>
  </si>
  <si>
    <t>1,298 SAR</t>
  </si>
  <si>
    <t>SV-411</t>
  </si>
  <si>
    <t>1,734 SAR</t>
  </si>
  <si>
    <t>1,862 SAR</t>
  </si>
  <si>
    <t>SM452</t>
  </si>
  <si>
    <t>H1 &amp; Q5 &amp; K7 &amp; L3 &amp; G18 &amp; S13 &amp; W14 &amp; T17 &amp; X17 &amp; P84</t>
  </si>
  <si>
    <t>Indirect competition route JED – CAI - diversion ratio &amp; passenger leakage</t>
  </si>
  <si>
    <t>5 FOR SAME CLASS</t>
  </si>
  <si>
    <t>10 FOR SAME CLASS</t>
  </si>
  <si>
    <t>12 FOR SAME CLASS</t>
  </si>
  <si>
    <t>19 FOR SAME CLASS</t>
  </si>
  <si>
    <t>7 FOR SAME CLASS</t>
  </si>
  <si>
    <t>8 FOR SAME CLASS</t>
  </si>
  <si>
    <t>F3-773</t>
  </si>
  <si>
    <t>Hand baggage only</t>
  </si>
  <si>
    <t>849 SAR</t>
  </si>
  <si>
    <t>908 SAR</t>
  </si>
  <si>
    <t>932 SAR</t>
  </si>
  <si>
    <t>Cabin: 10 KG / Check-in: 32 KG</t>
  </si>
  <si>
    <t>E5-326</t>
  </si>
  <si>
    <t>873 SAR</t>
  </si>
  <si>
    <t>938 SAR</t>
  </si>
  <si>
    <t>MS-656</t>
  </si>
  <si>
    <t>1,191 SAR</t>
  </si>
  <si>
    <t>2,275 SAR</t>
  </si>
  <si>
    <t>2,403 SAR</t>
  </si>
  <si>
    <t>SM458</t>
  </si>
  <si>
    <t>L11 &amp; S16 &amp; W2 &amp; T15 &amp; X17 &amp; P118</t>
  </si>
  <si>
    <t>K3 &amp; V5 &amp; L14 &amp; S7 &amp; X14 &amp; P136</t>
  </si>
  <si>
    <t>17 FOR SAME CLASS</t>
  </si>
  <si>
    <t>11 FOR SAME CLASS</t>
  </si>
  <si>
    <t>15:50</t>
  </si>
  <si>
    <t>2 FOR SAME CLASS</t>
  </si>
  <si>
    <t>12:25</t>
  </si>
  <si>
    <t>814 SAR</t>
  </si>
  <si>
    <t>1,061 SAR</t>
  </si>
  <si>
    <t>SM-458</t>
  </si>
  <si>
    <t>V2</t>
  </si>
  <si>
    <t>V18 &amp; L5 &amp; G5 &amp; S6 &amp; X9 &amp; P134</t>
  </si>
  <si>
    <t>K1 &amp; V4 &amp; L3 &amp; G5 &amp; S10 &amp; W12 &amp; T3 &amp; X5 &amp; P136</t>
  </si>
  <si>
    <t>2,044 SAR</t>
  </si>
  <si>
    <t>2,172 SAR</t>
  </si>
  <si>
    <t>16:00</t>
  </si>
  <si>
    <t>H1</t>
  </si>
  <si>
    <t>Q5</t>
  </si>
  <si>
    <t>K7</t>
  </si>
  <si>
    <t>L3</t>
  </si>
  <si>
    <t>G18</t>
  </si>
  <si>
    <t>W14</t>
  </si>
  <si>
    <t>T17</t>
  </si>
  <si>
    <t>X17</t>
  </si>
  <si>
    <t>L11</t>
  </si>
  <si>
    <t>W2</t>
  </si>
  <si>
    <t>T15</t>
  </si>
  <si>
    <t>P118</t>
  </si>
  <si>
    <t>19:00</t>
  </si>
  <si>
    <t>V5</t>
  </si>
  <si>
    <t>L14</t>
  </si>
  <si>
    <t>S7</t>
  </si>
  <si>
    <t>X14</t>
  </si>
  <si>
    <t>P136</t>
  </si>
  <si>
    <t>11:45</t>
  </si>
  <si>
    <t>V18</t>
  </si>
  <si>
    <t>L5</t>
  </si>
  <si>
    <t>S6</t>
  </si>
  <si>
    <t>P134</t>
  </si>
  <si>
    <t>16:30</t>
  </si>
  <si>
    <t>V4</t>
  </si>
  <si>
    <t>W12</t>
  </si>
  <si>
    <t>04:30</t>
  </si>
  <si>
    <t>17:05</t>
  </si>
  <si>
    <t>JED-CAI AS ALTERNATIVE ROUTE</t>
  </si>
  <si>
    <t>JED-ATZ</t>
  </si>
  <si>
    <t>SM-492</t>
  </si>
  <si>
    <t>586 SAR</t>
  </si>
  <si>
    <t>SM492</t>
  </si>
  <si>
    <t>T9</t>
  </si>
  <si>
    <t>S5 &amp; W3 &amp; T5 &amp; X18 &amp; U18 &amp; O38 &amp; I28 &amp; P3</t>
  </si>
  <si>
    <t>SM-454</t>
  </si>
  <si>
    <t>526 SAR</t>
  </si>
  <si>
    <t>SM454</t>
  </si>
  <si>
    <t>X7</t>
  </si>
  <si>
    <t>S2 &amp; W1 &amp; X13 &amp; U20 &amp; O40 &amp; I20 &amp; P34</t>
  </si>
  <si>
    <t>SM-456</t>
  </si>
  <si>
    <t>SM456</t>
  </si>
  <si>
    <t>X2</t>
  </si>
  <si>
    <t>G1 &amp; S2 &amp; X6 &amp; U19 &amp; P91</t>
  </si>
  <si>
    <t>MS-8224</t>
  </si>
  <si>
    <t>Cabin: 7 KG | Check-in: 1 PIECE</t>
  </si>
  <si>
    <t>640 SAR</t>
  </si>
  <si>
    <t>F3-777</t>
  </si>
  <si>
    <t>329 SAR</t>
  </si>
  <si>
    <t>388 SAR</t>
  </si>
  <si>
    <t>412 SAR</t>
  </si>
  <si>
    <t>579 SAR</t>
  </si>
  <si>
    <t>436 SAR</t>
  </si>
  <si>
    <t>U5 &amp; O3 &amp; I3 &amp; P144</t>
  </si>
  <si>
    <t>O3</t>
  </si>
  <si>
    <t>U9 &amp; O9 &amp; I14 &amp; E80 &amp; P1</t>
  </si>
  <si>
    <t>07:00</t>
  </si>
  <si>
    <t>W3</t>
  </si>
  <si>
    <t>X18</t>
  </si>
  <si>
    <t>U18</t>
  </si>
  <si>
    <t>O38</t>
  </si>
  <si>
    <t>I28</t>
  </si>
  <si>
    <t>P3</t>
  </si>
  <si>
    <t>11:05</t>
  </si>
  <si>
    <t>X13</t>
  </si>
  <si>
    <t>O40</t>
  </si>
  <si>
    <t>P34</t>
  </si>
  <si>
    <t>X6</t>
  </si>
  <si>
    <t>U19</t>
  </si>
  <si>
    <t>P91</t>
  </si>
  <si>
    <t>18:25</t>
  </si>
  <si>
    <t>I14</t>
  </si>
  <si>
    <t>E80</t>
  </si>
  <si>
    <t>20:25</t>
  </si>
  <si>
    <t>I3</t>
  </si>
  <si>
    <t>P144</t>
  </si>
  <si>
    <t>JED-LXR</t>
  </si>
  <si>
    <t>JED-ASW</t>
  </si>
  <si>
    <t>JED-SSH</t>
  </si>
  <si>
    <t>JED-HRG</t>
  </si>
  <si>
    <t>RUH-CAI</t>
  </si>
  <si>
    <t>F3-611</t>
  </si>
  <si>
    <t>899 SAR</t>
  </si>
  <si>
    <t>F3-615</t>
  </si>
  <si>
    <r>
      <rPr>
        <b/>
        <i/>
        <sz val="13"/>
        <rFont val="Calibri"/>
        <family val="2"/>
      </rPr>
      <t>24</t>
    </r>
    <r>
      <rPr>
        <b/>
        <i/>
        <sz val="10"/>
        <rFont val="Calibri"/>
        <family val="2"/>
      </rPr>
      <t xml:space="preserve"> FOR SAME CLASS</t>
    </r>
  </si>
  <si>
    <r>
      <rPr>
        <i/>
        <sz val="13"/>
        <rFont val="Calibri"/>
        <family val="2"/>
      </rPr>
      <t>24</t>
    </r>
    <r>
      <rPr>
        <i/>
        <sz val="10"/>
        <rFont val="Calibri"/>
        <family val="2"/>
      </rPr>
      <t xml:space="preserve"> FOR SAME CLASS</t>
    </r>
  </si>
  <si>
    <t>1,299 SAR</t>
  </si>
  <si>
    <t>F3-605</t>
  </si>
  <si>
    <t>649 SAR</t>
  </si>
  <si>
    <t>F3-607</t>
  </si>
  <si>
    <r>
      <rPr>
        <b/>
        <i/>
        <sz val="13"/>
        <rFont val="Calibri"/>
        <family val="2"/>
      </rPr>
      <t>25</t>
    </r>
    <r>
      <rPr>
        <b/>
        <i/>
        <sz val="10"/>
        <rFont val="Calibri"/>
        <family val="2"/>
      </rPr>
      <t xml:space="preserve"> FOR SAME CLASS</t>
    </r>
  </si>
  <si>
    <r>
      <rPr>
        <i/>
        <sz val="13"/>
        <rFont val="Calibri"/>
        <family val="2"/>
      </rPr>
      <t>25</t>
    </r>
    <r>
      <rPr>
        <i/>
        <sz val="10"/>
        <rFont val="Calibri"/>
        <family val="2"/>
      </rPr>
      <t xml:space="preserve"> FOR SAME CLASS</t>
    </r>
  </si>
  <si>
    <t>XY-263</t>
  </si>
  <si>
    <t>739 SAR</t>
  </si>
  <si>
    <t>XY-265</t>
  </si>
  <si>
    <t>XY-267</t>
  </si>
  <si>
    <t>XY-269</t>
  </si>
  <si>
    <t>XY-271</t>
  </si>
  <si>
    <r>
      <rPr>
        <i/>
        <sz val="13"/>
        <rFont val="Calibri"/>
        <family val="2"/>
      </rPr>
      <t>4</t>
    </r>
    <r>
      <rPr>
        <i/>
        <sz val="10"/>
        <rFont val="Calibri"/>
        <family val="2"/>
      </rPr>
      <t xml:space="preserve"> FOR SAME CLASS</t>
    </r>
  </si>
  <si>
    <t>XY-273</t>
  </si>
  <si>
    <t>XY-275</t>
  </si>
  <si>
    <t>NE-161</t>
  </si>
  <si>
    <t>935 SAR</t>
  </si>
  <si>
    <t>SM-462</t>
  </si>
  <si>
    <t>976 SAR</t>
  </si>
  <si>
    <t>SM462</t>
  </si>
  <si>
    <t>G9</t>
  </si>
  <si>
    <t>K4 &amp; G5 &amp; S20 &amp; W39 &amp; T10 &amp; X10 &amp; U9 &amp; O10 &amp; I30</t>
  </si>
  <si>
    <t>SM-470</t>
  </si>
  <si>
    <t>SM470</t>
  </si>
  <si>
    <t>G1 &amp; S20 &amp; W15 &amp; T60 &amp; X35</t>
  </si>
  <si>
    <t>MS-648</t>
  </si>
  <si>
    <t>1,031 SAR</t>
  </si>
  <si>
    <t>MS-652</t>
  </si>
  <si>
    <t>1,679 SAR</t>
  </si>
  <si>
    <t>NP-152</t>
  </si>
  <si>
    <t>1,043 SAR</t>
  </si>
  <si>
    <t>SV-321</t>
  </si>
  <si>
    <t>1,802 SAR</t>
  </si>
  <si>
    <t>1,930 SAR</t>
  </si>
  <si>
    <t>SV-6595</t>
  </si>
  <si>
    <t>2,167 SAR</t>
  </si>
  <si>
    <t>SV-6749</t>
  </si>
  <si>
    <t>SV-311</t>
  </si>
  <si>
    <t>2,357 SAR</t>
  </si>
  <si>
    <t>2,485 SAR</t>
  </si>
  <si>
    <t>SV-313</t>
  </si>
  <si>
    <t>SV-417</t>
  </si>
  <si>
    <r>
      <rPr>
        <b/>
        <i/>
        <sz val="13"/>
        <color rgb="FFBC0000"/>
        <rFont val="Calibri"/>
        <family val="2"/>
      </rPr>
      <t>10</t>
    </r>
    <r>
      <rPr>
        <b/>
        <i/>
        <sz val="10"/>
        <color rgb="FFBC0000"/>
        <rFont val="Calibri"/>
        <family val="2"/>
      </rPr>
      <t xml:space="preserve"> FOR SAME CLASS</t>
    </r>
  </si>
  <si>
    <t>509 SAR</t>
  </si>
  <si>
    <t>729 SAR</t>
  </si>
  <si>
    <t>779 SAR</t>
  </si>
  <si>
    <t>NP-354</t>
  </si>
  <si>
    <t>616 SAR</t>
  </si>
  <si>
    <t>728 SAR</t>
  </si>
  <si>
    <t>K2 &amp; W2 &amp; T13 &amp; X68 &amp; U5 &amp; O24 &amp; I5</t>
  </si>
  <si>
    <t>MS-650</t>
  </si>
  <si>
    <t>1,311 SAR</t>
  </si>
  <si>
    <t>SV-6676</t>
  </si>
  <si>
    <t>1,717 SAR</t>
  </si>
  <si>
    <t>369 SAR</t>
  </si>
  <si>
    <t>519 SAR</t>
  </si>
  <si>
    <t>399 SAR</t>
  </si>
  <si>
    <t>549 SAR</t>
  </si>
  <si>
    <t>449 SAR</t>
  </si>
  <si>
    <t>489 SAR</t>
  </si>
  <si>
    <t>679 SAR</t>
  </si>
  <si>
    <t>NE-163</t>
  </si>
  <si>
    <t>500 SAR</t>
  </si>
  <si>
    <t>518 SAR</t>
  </si>
  <si>
    <t>K1 &amp; T5 &amp; X10 &amp; U40 &amp; O20 &amp; I50 &amp; N1</t>
  </si>
  <si>
    <t>774 SAR</t>
  </si>
  <si>
    <t>824 SAR</t>
  </si>
  <si>
    <t>1,265 SAR</t>
  </si>
  <si>
    <t>1,268 SAR</t>
  </si>
  <si>
    <t>1,396 SAR</t>
  </si>
  <si>
    <t>SV-323</t>
  </si>
  <si>
    <t>1,317 SAR</t>
  </si>
  <si>
    <t>987 SAR</t>
  </si>
  <si>
    <t>1,187 SAR</t>
  </si>
  <si>
    <t>K4</t>
  </si>
  <si>
    <t>S20</t>
  </si>
  <si>
    <t>W39</t>
  </si>
  <si>
    <t>I30</t>
  </si>
  <si>
    <t>22:10</t>
  </si>
  <si>
    <t>W15</t>
  </si>
  <si>
    <t>T60</t>
  </si>
  <si>
    <t>X35</t>
  </si>
  <si>
    <t>14:40</t>
  </si>
  <si>
    <t>T13</t>
  </si>
  <si>
    <t>X68</t>
  </si>
  <si>
    <t>O24</t>
  </si>
  <si>
    <t>15:00</t>
  </si>
  <si>
    <t>U40</t>
  </si>
  <si>
    <t>I50</t>
  </si>
  <si>
    <t>18:15</t>
  </si>
  <si>
    <t>19:35</t>
  </si>
  <si>
    <t>10:45</t>
  </si>
  <si>
    <t>12:00</t>
  </si>
  <si>
    <t>07:20</t>
  </si>
  <si>
    <t>19:50</t>
  </si>
  <si>
    <t>10:15</t>
  </si>
  <si>
    <t>09:00</t>
  </si>
  <si>
    <t>13:35</t>
  </si>
  <si>
    <t>06:40</t>
  </si>
  <si>
    <t>RUH-ATZ</t>
  </si>
  <si>
    <t>SM-464</t>
  </si>
  <si>
    <t>494 SAR</t>
  </si>
  <si>
    <t>SM464</t>
  </si>
  <si>
    <t>S1 &amp; W4 &amp; U4 &amp; O59 &amp; I20</t>
  </si>
  <si>
    <t>MS-8246</t>
  </si>
  <si>
    <t>778 SAR</t>
  </si>
  <si>
    <t>Indirect competition route RUH – CAI - diversion ratio &amp; passenger leakage</t>
  </si>
  <si>
    <t>14:05</t>
  </si>
  <si>
    <t>S1</t>
  </si>
  <si>
    <t>U4</t>
  </si>
  <si>
    <t>O59</t>
  </si>
  <si>
    <t>RUH-CAI AS ALTERNATIVE ROUTE</t>
  </si>
  <si>
    <t>DMM-CAI</t>
  </si>
  <si>
    <t>XY-894</t>
  </si>
  <si>
    <t>809 SAR</t>
  </si>
  <si>
    <t>NE-151</t>
  </si>
  <si>
    <t>725 SAR</t>
  </si>
  <si>
    <t>F3-911</t>
  </si>
  <si>
    <t>1,249 SAR</t>
  </si>
  <si>
    <t>SM-434</t>
  </si>
  <si>
    <t>1,256 SAR</t>
  </si>
  <si>
    <t>SM434</t>
  </si>
  <si>
    <t>Q9 &amp; K19 &amp; V10 &amp; L16 &amp; G35 &amp; S10 &amp; W3 &amp; O1</t>
  </si>
  <si>
    <t>SV-6446</t>
  </si>
  <si>
    <t>2,024 SAR</t>
  </si>
  <si>
    <t>MS-682</t>
  </si>
  <si>
    <t>2,365 SAR</t>
  </si>
  <si>
    <t>MS-684</t>
  </si>
  <si>
    <t>MS-688</t>
  </si>
  <si>
    <t>E5-316</t>
  </si>
  <si>
    <t>621 SAR</t>
  </si>
  <si>
    <t>847 SAR</t>
  </si>
  <si>
    <t>NP-132</t>
  </si>
  <si>
    <t>629 SAR</t>
  </si>
  <si>
    <t>NP-232</t>
  </si>
  <si>
    <t>XY-854</t>
  </si>
  <si>
    <t>NE-155</t>
  </si>
  <si>
    <t>806 SAR</t>
  </si>
  <si>
    <t>G1 &amp; S18 &amp; W12 &amp; X8 &amp; U8 &amp; O8 &amp; I26</t>
  </si>
  <si>
    <t>1,387 SAR</t>
  </si>
  <si>
    <t>1,801 SAR</t>
  </si>
  <si>
    <t>NP-332</t>
  </si>
  <si>
    <t>563 SAR</t>
  </si>
  <si>
    <t>656 SAR</t>
  </si>
  <si>
    <t>730 SAR</t>
  </si>
  <si>
    <t>1,567 SAR</t>
  </si>
  <si>
    <t>13:55</t>
  </si>
  <si>
    <t>Q9</t>
  </si>
  <si>
    <t>K19</t>
  </si>
  <si>
    <t>V10</t>
  </si>
  <si>
    <t>L16</t>
  </si>
  <si>
    <t>G35</t>
  </si>
  <si>
    <t>O1</t>
  </si>
  <si>
    <t>S18</t>
  </si>
  <si>
    <t>X8</t>
  </si>
  <si>
    <t>O8</t>
  </si>
  <si>
    <t>I26</t>
  </si>
  <si>
    <t>20:00</t>
  </si>
  <si>
    <t>05:10</t>
  </si>
  <si>
    <t>DMM-ATZ</t>
  </si>
  <si>
    <t>SM-438</t>
  </si>
  <si>
    <t>596 SAR</t>
  </si>
  <si>
    <t>SM438</t>
  </si>
  <si>
    <t>G1 &amp; S20 &amp; W22 &amp; T20 &amp; X19 &amp; U20 &amp; O20 &amp; I20</t>
  </si>
  <si>
    <t>Indirect competition route DMM – CAI - diversion ratio &amp; passenger leakage</t>
  </si>
  <si>
    <t>12:40</t>
  </si>
  <si>
    <t>T20</t>
  </si>
  <si>
    <t>X19</t>
  </si>
  <si>
    <t>DMM-CAI AS ALTERNATIVE ROUTE</t>
  </si>
  <si>
    <t>TUU-CAI</t>
  </si>
  <si>
    <t>E5-590</t>
  </si>
  <si>
    <t>550 SAR</t>
  </si>
  <si>
    <t>776 SAR</t>
  </si>
  <si>
    <t>NP-118</t>
  </si>
  <si>
    <t>651 SAR</t>
  </si>
  <si>
    <t>MS-812</t>
  </si>
  <si>
    <t>2,977 SAR</t>
  </si>
  <si>
    <t>NE-121</t>
  </si>
  <si>
    <t>355 SAR</t>
  </si>
  <si>
    <t>NP-108</t>
  </si>
  <si>
    <t>SM-326</t>
  </si>
  <si>
    <t>400 SAR</t>
  </si>
  <si>
    <t>SM326</t>
  </si>
  <si>
    <t>U3 &amp; O53 &amp; I18</t>
  </si>
  <si>
    <t>454 SAR</t>
  </si>
  <si>
    <t>614 SAR</t>
  </si>
  <si>
    <t>23:45</t>
  </si>
  <si>
    <t>E90</t>
  </si>
  <si>
    <t>O53</t>
  </si>
  <si>
    <t>I18</t>
  </si>
  <si>
    <t>15:15</t>
  </si>
  <si>
    <t>21:45</t>
  </si>
  <si>
    <t>03:15</t>
  </si>
  <si>
    <t>LF_DATA:-{ SM326 }-
[LF » 76.3%] - [SOLD » 74 PAX]
[WEEKLY » 20 PAX] - [TO-DAY » NIL] - [Y-DAY » 7]
[LOWESTAVAIL » O9] - [CAPACITY » 97] - [LST-SOLD » 19-NOV]
{CLASSES}
U3 &amp; O53 &amp; I18</t>
  </si>
  <si>
    <t>TUU-ATZ</t>
  </si>
  <si>
    <t>SM-328</t>
  </si>
  <si>
    <t>569 SAR</t>
  </si>
  <si>
    <t>SM328</t>
  </si>
  <si>
    <t>S1 &amp; W2 &amp; T8 &amp; X10 &amp; U10 &amp; O11 &amp; I27</t>
  </si>
  <si>
    <t>Indirect competition route TUU – CAI - diversion ratio &amp; passenger leakage</t>
  </si>
  <si>
    <t>T8</t>
  </si>
  <si>
    <t>O11</t>
  </si>
  <si>
    <t>I27</t>
  </si>
  <si>
    <t>TUU-CAI AS ALTERNATIVE ROUTE</t>
  </si>
  <si>
    <t>AJF-CAI</t>
  </si>
  <si>
    <t>SM-322</t>
  </si>
  <si>
    <t>668 SAR</t>
  </si>
  <si>
    <t>SM322</t>
  </si>
  <si>
    <t>S10 &amp; W14 &amp; T21 &amp; X4 &amp; U20 &amp; O77 &amp; I2</t>
  </si>
  <si>
    <t>NP-110</t>
  </si>
  <si>
    <t>20:45</t>
  </si>
  <si>
    <t>T21</t>
  </si>
  <si>
    <t>O77</t>
  </si>
  <si>
    <t>I2</t>
  </si>
  <si>
    <t>AJF-ATZ</t>
  </si>
  <si>
    <t>SM-324</t>
  </si>
  <si>
    <t>SM324</t>
  </si>
  <si>
    <t>S8</t>
  </si>
  <si>
    <t>V4 &amp; L9 &amp; G9 &amp; S15 &amp; W3 &amp; T12 &amp; X25 &amp; U15 &amp; O52 &amp; I8</t>
  </si>
  <si>
    <t>L9</t>
  </si>
  <si>
    <t>S15</t>
  </si>
  <si>
    <t>T12</t>
  </si>
  <si>
    <t>X25</t>
  </si>
  <si>
    <t>U15</t>
  </si>
  <si>
    <t>O52</t>
  </si>
  <si>
    <t>I8</t>
  </si>
  <si>
    <t>AJF-CAI AS ALTERNATIVE ROUTE</t>
  </si>
  <si>
    <t>YNB-CAI</t>
  </si>
  <si>
    <t>SM-442</t>
  </si>
  <si>
    <t>988 SAR</t>
  </si>
  <si>
    <t>SM442</t>
  </si>
  <si>
    <t>G14 &amp; S58 &amp; W46 &amp; T9 &amp; X18 &amp; U15 &amp; O10 &amp; I5</t>
  </si>
  <si>
    <t>G5 &amp; S20 &amp; W33 &amp; T9 &amp; X10 &amp; U18 &amp; P73</t>
  </si>
  <si>
    <t>628 SAR</t>
  </si>
  <si>
    <t>W15 &amp; T18 &amp; X4 &amp; U15 &amp; E40 &amp; P73</t>
  </si>
  <si>
    <t>NE-181</t>
  </si>
  <si>
    <t>745 SAR</t>
  </si>
  <si>
    <t>07:50</t>
  </si>
  <si>
    <t>G14</t>
  </si>
  <si>
    <t>S58</t>
  </si>
  <si>
    <t>W46</t>
  </si>
  <si>
    <t>06:50</t>
  </si>
  <si>
    <t>W33</t>
  </si>
  <si>
    <t>P73</t>
  </si>
  <si>
    <t>E40</t>
  </si>
  <si>
    <t>AHB-CAI</t>
  </si>
  <si>
    <t>NP-144</t>
  </si>
  <si>
    <t>1,101 SAR</t>
  </si>
  <si>
    <t>SM-444</t>
  </si>
  <si>
    <t>1,306 SAR</t>
  </si>
  <si>
    <t>SM444</t>
  </si>
  <si>
    <t>Q15 &amp; K32 &amp; V36 &amp; L9 &amp; G9 &amp; S1 &amp; W8</t>
  </si>
  <si>
    <t>NP-244</t>
  </si>
  <si>
    <t>971 SAR</t>
  </si>
  <si>
    <t>E5-512</t>
  </si>
  <si>
    <t>837 SAR</t>
  </si>
  <si>
    <t>1,071 SAR</t>
  </si>
  <si>
    <t>1,013 SAR</t>
  </si>
  <si>
    <t>V9</t>
  </si>
  <si>
    <t>Q1 &amp; L15 &amp; G15 &amp; S20 &amp; W20 &amp; T19 &amp; X16 &amp; U20 &amp; O20</t>
  </si>
  <si>
    <t>00:05</t>
  </si>
  <si>
    <t>Q15</t>
  </si>
  <si>
    <t>K32</t>
  </si>
  <si>
    <t>V36</t>
  </si>
  <si>
    <t>W8</t>
  </si>
  <si>
    <t>Q1</t>
  </si>
  <si>
    <t>G15</t>
  </si>
  <si>
    <t>T19</t>
  </si>
  <si>
    <t>X16</t>
  </si>
  <si>
    <t>LF_DATA:-{ SM444 }-
[LF » 67.9%] - [SOLD » 110 PAX]
[WEEKLY » 21 PAX] - [TO-DAY » NIL] - [Y-DAY » 2]
[LOWESTAVAIL » Q9] - [CAPACITY » 162] - [LST-SOLD » 19-NOV]
{CLASSES}
Q15 &amp; K32 &amp; V36 &amp; L9 &amp; G9 &amp; S1 &amp; W8</t>
  </si>
  <si>
    <t>LF_DATA:-{ SM444 }-
[LF » 86.9%] - [SOLD » 146 PAX]
[WEEKLY » 43 PAX] - [TO-DAY » NIL] - [Y-DAY » 17]
[LOWESTAVAIL » V9] - [CAPACITY » 168] - [LST-SOLD » 19-NOV]
{CLASSES}
Q1 &amp; L15 &amp; G15 &amp; S20 &amp; W20 &amp; T19 &amp; X16 &amp; U20 &amp; O20</t>
  </si>
  <si>
    <t>AHB-ATZ</t>
  </si>
  <si>
    <t>SM-446</t>
  </si>
  <si>
    <t>1,159 SAR</t>
  </si>
  <si>
    <t>SM446</t>
  </si>
  <si>
    <t>K1 &amp; V7 &amp; L8 &amp; G7 &amp; S27 &amp; W11</t>
  </si>
  <si>
    <t>Indirect competition route AHB – CAI - diversion ratio &amp; passenger leakage</t>
  </si>
  <si>
    <t>L8</t>
  </si>
  <si>
    <t>G7</t>
  </si>
  <si>
    <t>S27</t>
  </si>
  <si>
    <t>W11</t>
  </si>
  <si>
    <t>AHB-CAI AS ALTERNATIVE ROUTE</t>
  </si>
  <si>
    <t>ELQ-CAI</t>
  </si>
  <si>
    <t>NE-141</t>
  </si>
  <si>
    <t>845 SAR</t>
  </si>
  <si>
    <t>NP-106</t>
  </si>
  <si>
    <t>950 SAR</t>
  </si>
  <si>
    <t>MS-634</t>
  </si>
  <si>
    <t>1,750 SAR</t>
  </si>
  <si>
    <t>NP-116</t>
  </si>
  <si>
    <t>SM-428</t>
  </si>
  <si>
    <t>562 SAR</t>
  </si>
  <si>
    <t>SM428</t>
  </si>
  <si>
    <t>G1 &amp; S11 &amp; W19 &amp; T10 &amp; X20 &amp; U36 &amp; O19</t>
  </si>
  <si>
    <t>1,023 SAR</t>
  </si>
  <si>
    <t>458 SAR</t>
  </si>
  <si>
    <t>W8 &amp; T12 &amp; X17 &amp; U23 &amp; O78 &amp; I6</t>
  </si>
  <si>
    <t>521 SAR</t>
  </si>
  <si>
    <t>808 SAR</t>
  </si>
  <si>
    <t>00:01</t>
  </si>
  <si>
    <t>W19</t>
  </si>
  <si>
    <t>U36</t>
  </si>
  <si>
    <t>O19</t>
  </si>
  <si>
    <t>U23</t>
  </si>
  <si>
    <t>O78</t>
  </si>
  <si>
    <t>I6</t>
  </si>
  <si>
    <t>20:50</t>
  </si>
  <si>
    <t>15:45</t>
  </si>
  <si>
    <t>00:50</t>
  </si>
  <si>
    <t>23:30</t>
  </si>
  <si>
    <t>ELQ-ATZ</t>
  </si>
  <si>
    <t>SM-436</t>
  </si>
  <si>
    <t>SM436</t>
  </si>
  <si>
    <t>T1 &amp; X13 &amp; U20 &amp; O50</t>
  </si>
  <si>
    <t>Indirect competition route ELQ – CAI - diversion ratio &amp; passenger leakage</t>
  </si>
  <si>
    <t>14:35</t>
  </si>
  <si>
    <t>00:45</t>
  </si>
  <si>
    <t>T1</t>
  </si>
  <si>
    <t>O50</t>
  </si>
  <si>
    <t>ELQ-CAI AS ALTERNATIVE ROUTE</t>
  </si>
  <si>
    <t>GIZ-CAI</t>
  </si>
  <si>
    <t>E5-586</t>
  </si>
  <si>
    <t>1,444 SAR</t>
  </si>
  <si>
    <t>1,691 SAR</t>
  </si>
  <si>
    <t>SM-330</t>
  </si>
  <si>
    <t>1,774 SAR</t>
  </si>
  <si>
    <t>SM330</t>
  </si>
  <si>
    <t>H9</t>
  </si>
  <si>
    <t>Q15 &amp; K30 &amp; V10 &amp; L18 &amp; G17 &amp; S9 &amp; W8</t>
  </si>
  <si>
    <t>NP-142</t>
  </si>
  <si>
    <t>1,221 SAR</t>
  </si>
  <si>
    <t>1,186 SAR</t>
  </si>
  <si>
    <t>K5 &amp; V10 &amp; L10 &amp; G11 &amp; S19 &amp; W20 &amp; T5 &amp; X5 &amp; U6 &amp; O4 &amp; I10</t>
  </si>
  <si>
    <t>00:30</t>
  </si>
  <si>
    <t>K30</t>
  </si>
  <si>
    <t>L18</t>
  </si>
  <si>
    <t>S9</t>
  </si>
  <si>
    <t>L10</t>
  </si>
  <si>
    <t>G11</t>
  </si>
  <si>
    <t>S19</t>
  </si>
  <si>
    <t>04:10</t>
  </si>
  <si>
    <t>SSH-JED</t>
  </si>
  <si>
    <t>SV-326</t>
  </si>
  <si>
    <t>17,057 EGP</t>
  </si>
  <si>
    <t>16:35</t>
  </si>
  <si>
    <t>HRG-JED</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</si>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</sst>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5" formatCode="[$-F800]dddd\,\ mmmm\ dd\,\ yyyy"/>
    <numFmt numFmtId="167" formatCode="dddd\,\ mmmm\ dd\,\ yyyy"/>
    <numFmt numFmtId="168" formatCode="h:mm;@"/>
    <numFmt numFmtId="169" formatCode="0.0%"/>
    <numFmt numFmtId="170" formatCode="[$-409]dddd"/>
    <numFmt numFmtId="171" formatCode="#,##0\ &quot;SAR&quot;"/>
    <numFmt numFmtId="172" formatCode="dd\-mmm\-yy"/>
    <numFmt numFmtId="173" formatCode="hh:mm"/>
  </numFmts>
  <fonts count="38" x14ac:knownFonts="1">
    <font>
      <sz val="11"/>
      <color theme="1"/>
      <name val="Calibri"/>
      <family val="2"/>
      <scheme val="minor"/>
    </font>
    <font>
      <b/>
      <i/>
      <sz val="22"/>
      <color rgb="FFFFFFFF"/>
      <name val="Calibri"/>
      <family val="2"/>
    </font>
    <font>
      <b/>
      <i/>
      <sz val="16"/>
      <color rgb="FFED7D31"/>
      <name val="Calibri"/>
      <family val="2"/>
    </font>
    <font>
      <b/>
      <i/>
      <u/>
      <sz val="18"/>
      <name val="Calibri"/>
      <family val="2"/>
    </font>
    <font>
      <b/>
      <i/>
      <sz val="18"/>
      <name val="Calibri"/>
      <family val="2"/>
    </font>
    <font>
      <i/>
      <sz val="13"/>
      <name val="Calibri"/>
      <family val="2"/>
    </font>
    <font>
      <b/>
      <i/>
      <sz val="20"/>
      <color rgb="FFFFFFFF"/>
      <name val="Calibri"/>
      <family val="2"/>
    </font>
    <font>
      <b/>
      <i/>
      <sz val="20"/>
      <name val="Calibri"/>
      <family val="2"/>
    </font>
    <font>
      <b/>
      <i/>
      <sz val="18"/>
      <color rgb="FFFFFFFF"/>
      <name val="Calibri"/>
      <family val="2"/>
    </font>
    <font>
      <b/>
      <i/>
      <sz val="14"/>
      <color rgb="FF000000"/>
      <name val="Calibri"/>
      <family val="2"/>
    </font>
    <font>
      <b/>
      <i/>
      <sz val="16"/>
      <color rgb="FF000000"/>
      <name val="Calibri"/>
      <family val="2"/>
    </font>
    <font>
      <b/>
      <i/>
      <sz val="12"/>
      <color rgb="FFBC0000"/>
      <name val="Calibri"/>
      <family val="2"/>
    </font>
    <font>
      <b/>
      <sz val="13"/>
      <color theme="1"/>
      <name val="Calibri"/>
      <family val="2"/>
    </font>
    <font>
      <b/>
      <sz val="14"/>
      <color theme="1"/>
      <name val="Calibri"/>
      <family val="2"/>
    </font>
    <font>
      <i/>
      <sz val="12"/>
      <name val="Calibri"/>
      <family val="2"/>
    </font>
    <font>
      <b/>
      <i/>
      <sz val="12"/>
      <name val="Calibri"/>
      <family val="2"/>
    </font>
    <font>
      <sz val="12"/>
      <color theme="1"/>
      <name val="Calibri"/>
      <family val="2"/>
    </font>
    <font>
      <i/>
      <sz val="18"/>
      <color rgb="FFFF0000"/>
      <name val="Calibri"/>
      <family val="2"/>
    </font>
    <font>
      <b/>
      <i/>
      <sz val="13"/>
      <name val="Calibri"/>
      <family val="2"/>
    </font>
    <font>
      <b/>
      <i/>
      <sz val="13"/>
      <color rgb="FF006100"/>
      <name val="Calibri"/>
      <family val="2"/>
    </font>
    <font>
      <b/>
      <i/>
      <sz val="14"/>
      <name val="Calibri"/>
      <family val="2"/>
    </font>
    <font>
      <b/>
      <sz val="14"/>
      <color rgb="FFFFFFFF"/>
      <name val="Calibri"/>
      <family val="2"/>
    </font>
    <font>
      <i/>
      <sz val="12"/>
      <color rgb="FF494529"/>
      <name val="Calibri"/>
      <family val="2"/>
    </font>
    <font>
      <b/>
      <sz val="12"/>
      <color rgb="FF000000"/>
      <name val="Calibri"/>
      <family val="2"/>
    </font>
    <font>
      <b/>
      <i/>
      <sz val="12"/>
      <color rgb="FF0070C0"/>
      <name val="Calibri"/>
      <family val="2"/>
    </font>
    <font>
      <b/>
      <i/>
      <sz val="13"/>
      <color rgb="FF9C0006"/>
      <name val="Calibri"/>
      <family val="2"/>
    </font>
    <font>
      <i/>
      <sz val="11"/>
      <name val="Calibri"/>
      <family val="2"/>
    </font>
    <font>
      <b/>
      <i/>
      <sz val="13"/>
      <color rgb="FFBC0000"/>
      <name val="Calibri"/>
      <family val="2"/>
    </font>
    <font>
      <b/>
      <i/>
      <sz val="10"/>
      <color rgb="FFBC0000"/>
      <name val="Calibri"/>
      <family val="2"/>
    </font>
    <font>
      <i/>
      <sz val="10"/>
      <name val="Calibri"/>
      <family val="2"/>
    </font>
    <font>
      <b/>
      <i/>
      <sz val="10"/>
      <name val="Calibri"/>
      <family val="2"/>
    </font>
    <font>
      <b/>
      <i/>
      <sz val="12"/>
      <color theme="1"/>
      <name val="Calibri"/>
      <family val="2"/>
      <scheme val="minor"/>
    </font>
    <font>
      <b/>
      <i/>
      <sz val="16"/>
      <color rgb="FFFFFFFF"/>
      <name val="Calibri"/>
      <family val="2"/>
      <scheme val="minor"/>
    </font>
    <font>
      <b/>
      <sz val="8.5"/>
      <color indexed="8"/>
      <name val="Calibri"/>
      <family val="2"/>
    </font>
    <font>
      <b/>
      <sz val="8.5"/>
      <color indexed="48"/>
      <name val="Calibri"/>
      <family val="2"/>
    </font>
    <font>
      <b/>
      <sz val="8.5"/>
      <color indexed="21"/>
      <name val="Calibri"/>
      <family val="2"/>
    </font>
    <font>
      <b/>
      <sz val="8.5"/>
      <color indexed="10"/>
      <name val="Calibri"/>
      <family val="2"/>
    </font>
    <font>
      <b/>
      <sz val="10"/>
      <color indexed="10"/>
      <name val="Calibri"/>
      <family val="2"/>
    </font>
  </fonts>
  <fills count="19">
    <fill>
      <patternFill patternType="none"/>
    </fill>
    <fill>
      <patternFill patternType="gray125"/>
    </fill>
    <fill>
      <patternFill patternType="solid">
        <fgColor rgb="FF002060"/>
      </patternFill>
    </fill>
    <fill>
      <patternFill patternType="solid">
        <fgColor rgb="FFFFFF99"/>
      </patternFill>
    </fill>
    <fill>
      <patternFill patternType="solid">
        <fgColor rgb="FF2600FF"/>
      </patternFill>
    </fill>
    <fill>
      <patternFill patternType="solid">
        <fgColor rgb="FFFFA442"/>
      </patternFill>
    </fill>
    <fill>
      <patternFill patternType="solid">
        <fgColor rgb="FF00B0F0"/>
      </patternFill>
    </fill>
    <fill>
      <patternFill patternType="solid">
        <fgColor rgb="FFA8F0BD"/>
      </patternFill>
    </fill>
    <fill>
      <patternFill patternType="solid">
        <fgColor rgb="FFCCCCCC"/>
        <bgColor rgb="FFCCCCCC"/>
      </patternFill>
    </fill>
    <fill>
      <patternFill patternType="solid">
        <fgColor rgb="FFC7FFFF"/>
      </patternFill>
    </fill>
    <fill>
      <patternFill patternType="solid">
        <fgColor rgb="FFC5D9F1"/>
      </patternFill>
    </fill>
    <fill>
      <patternFill patternType="solid">
        <fgColor rgb="FF366092"/>
      </patternFill>
    </fill>
    <fill>
      <patternFill patternType="solid">
        <fgColor rgb="FFD8E4BC"/>
      </patternFill>
    </fill>
    <fill>
      <patternFill patternType="solid">
        <fgColor rgb="FFB5E7D3"/>
      </patternFill>
    </fill>
    <fill>
      <patternFill patternType="solid">
        <fgColor rgb="FFF2CA93"/>
      </patternFill>
    </fill>
    <fill>
      <patternFill patternType="solid">
        <fgColor rgb="FFFFFFCC"/>
      </patternFill>
    </fill>
    <fill>
      <patternFill patternType="solid">
        <fgColor rgb="FFE6D5E6"/>
      </patternFill>
    </fill>
    <fill>
      <patternFill patternType="solid">
        <fgColor rgb="FFFFE4B5"/>
      </patternFill>
    </fill>
    <fill>
      <patternFill patternType="solid">
        <fgColor rgb="FF365492"/>
        <bgColor indexed="64"/>
      </patternFill>
    </fill>
  </fills>
  <borders count="39">
    <border>
      <left/>
      <right/>
      <top/>
      <bottom/>
      <diagonal/>
    </border>
    <border>
      <left/>
      <right/>
      <top/>
      <bottom/>
      <diagonal/>
    </border>
    <border>
      <left style="medium">
        <color rgb="FF000000"/>
      </left>
      <right style="medium">
        <color rgb="FF000000"/>
      </right>
      <top style="medium">
        <color rgb="FF000000"/>
      </top>
      <bottom style="medium">
        <color rgb="FF000000"/>
      </bottom>
      <diagonal/>
    </border>
    <border>
      <left style="thick">
        <color rgb="FFFFFFFF"/>
      </left>
      <right style="thick">
        <color rgb="FFFFFFFF"/>
      </right>
      <top style="thick">
        <color rgb="FFFFFFFF"/>
      </top>
      <bottom style="thick">
        <color rgb="FFFFFFFF"/>
      </bottom>
      <diagonal/>
    </border>
    <border>
      <left style="medium">
        <color rgb="FF000000"/>
      </left>
      <right style="medium">
        <color rgb="FF000000"/>
      </right>
      <top style="medium">
        <color rgb="FF000000"/>
      </top>
      <bottom style="thin">
        <color rgb="FF000000"/>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style="medium">
        <color rgb="FF000000"/>
      </right>
      <top/>
      <bottom style="thin">
        <color rgb="FF000000"/>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ck">
        <color rgb="FFD040E3"/>
      </left>
      <right style="thick">
        <color rgb="FFD040E3"/>
      </right>
      <top style="thick">
        <color rgb="FFD040E3"/>
      </top>
      <bottom style="thick">
        <color rgb="FFD040E3"/>
      </bottom>
      <diagonal/>
    </border>
    <border>
      <left style="thick">
        <color rgb="FFD040E3"/>
      </left>
      <right style="thick">
        <color rgb="FFD040E3"/>
      </right>
      <top/>
      <bottom/>
      <diagonal/>
    </border>
    <border>
      <left style="thick">
        <color rgb="FFD040E3"/>
      </left>
      <right style="thick">
        <color rgb="FFD040E3"/>
      </right>
      <top/>
      <bottom style="thick">
        <color rgb="FFD040E3"/>
      </bottom>
      <diagonal/>
    </border>
    <border>
      <left style="thick">
        <color rgb="FFFF0000"/>
      </left>
      <right style="thick">
        <color rgb="FFFFFFFF"/>
      </right>
      <top style="thick">
        <color rgb="FFFF0000"/>
      </top>
      <bottom style="thick">
        <color rgb="FFFFFFFF"/>
      </bottom>
      <diagonal/>
    </border>
    <border>
      <left style="thick">
        <color rgb="FFFFFFFF"/>
      </left>
      <right style="thick">
        <color rgb="FFFFFFFF"/>
      </right>
      <top style="thick">
        <color rgb="FFFF0000"/>
      </top>
      <bottom style="thick">
        <color rgb="FFFFFFFF"/>
      </bottom>
      <diagonal/>
    </border>
    <border>
      <left style="thick">
        <color rgb="FFFFFFFF"/>
      </left>
      <right style="thick">
        <color rgb="FFFF0000"/>
      </right>
      <top style="thick">
        <color rgb="FFFF0000"/>
      </top>
      <bottom style="thick">
        <color rgb="FFFFFFFF"/>
      </bottom>
      <diagonal/>
    </border>
    <border>
      <left style="thick">
        <color rgb="FFFF0000"/>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ck">
        <color rgb="FFFF0000"/>
      </right>
      <top style="thin">
        <color auto="1"/>
      </top>
      <bottom style="thin">
        <color auto="1"/>
      </bottom>
      <diagonal/>
    </border>
    <border>
      <left style="thick">
        <color rgb="FFFF0000"/>
      </left>
      <right style="thin">
        <color auto="1"/>
      </right>
      <top style="thin">
        <color auto="1"/>
      </top>
      <bottom style="thick">
        <color rgb="FFFF0000"/>
      </bottom>
      <diagonal/>
    </border>
    <border>
      <left style="thin">
        <color auto="1"/>
      </left>
      <right style="thin">
        <color auto="1"/>
      </right>
      <top style="thin">
        <color auto="1"/>
      </top>
      <bottom style="thick">
        <color rgb="FFFF0000"/>
      </bottom>
      <diagonal/>
    </border>
    <border>
      <left style="thin">
        <color auto="1"/>
      </left>
      <right style="thick">
        <color rgb="FFFF0000"/>
      </right>
      <top style="thin">
        <color auto="1"/>
      </top>
      <bottom style="thick">
        <color rgb="FFFF0000"/>
      </bottom>
      <diagonal/>
    </border>
    <border>
      <left style="medium">
        <color rgb="FF000000"/>
      </left>
      <right style="medium">
        <color rgb="FF000000"/>
      </right>
      <top style="thin">
        <color rgb="FF000000"/>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thick">
        <color rgb="FFA0A0A0"/>
      </left>
      <right/>
      <top/>
      <bottom style="thick">
        <color rgb="FFA0A0A0"/>
      </bottom>
      <diagonal/>
    </border>
    <border>
      <left/>
      <right/>
      <top/>
      <bottom style="thick">
        <color rgb="FFA0A0A0"/>
      </bottom>
      <diagonal/>
    </border>
    <border>
      <left/>
      <right style="thick">
        <color rgb="FFA0A0A0"/>
      </right>
      <top/>
      <bottom style="thick">
        <color rgb="FFA0A0A0"/>
      </bottom>
      <diagonal/>
    </border>
  </borders>
  <cellStyleXfs count="1">
    <xf numFmtId="0" fontId="0" fillId="0" borderId="0"/>
  </cellStyleXfs>
  <cellXfs count="287">
    <xf numFmtId="0" fontId="0" fillId="0" borderId="0" xfId="0"/>
    <xf numFmtId="0" fontId="1" fillId="2" borderId="0" xfId="0" applyFont="1" applyFill="1" applyAlignment="1">
      <alignment horizontal="center" vertical="center"/>
    </xf>
    <xf numFmtId="0" fontId="1" fillId="2" borderId="0" xfId="0" applyFont="1" applyFill="1" applyAlignment="1">
      <alignment horizontal="right" vertical="center"/>
    </xf>
    <xf numFmtId="0" fontId="0" fillId="0" borderId="1" xfId="0" applyBorder="1"/>
    <xf numFmtId="167" fontId="7" fillId="5" borderId="2" xfId="0" applyNumberFormat="1" applyFont="1" applyFill="1" applyBorder="1" applyAlignment="1">
      <alignment horizontal="center" vertical="center"/>
    </xf>
    <xf numFmtId="0" fontId="9" fillId="6" borderId="2" xfId="0" applyFont="1" applyFill="1" applyBorder="1" applyAlignment="1">
      <alignment horizontal="center" vertical="center"/>
    </xf>
    <xf numFmtId="0" fontId="10" fillId="6" borderId="2" xfId="0" applyFont="1" applyFill="1" applyBorder="1" applyAlignment="1">
      <alignment horizontal="center" vertical="center"/>
    </xf>
    <xf numFmtId="0" fontId="10" fillId="7" borderId="3" xfId="0" applyFont="1" applyFill="1" applyBorder="1" applyAlignment="1">
      <alignment horizontal="center" vertical="center"/>
    </xf>
    <xf numFmtId="49" fontId="11" fillId="0" borderId="4" xfId="0" applyNumberFormat="1" applyFont="1" applyBorder="1" applyAlignment="1">
      <alignment horizontal="center" vertical="center"/>
    </xf>
    <xf numFmtId="168" fontId="11" fillId="0" borderId="4" xfId="0" applyNumberFormat="1" applyFont="1" applyBorder="1" applyAlignment="1">
      <alignment horizontal="center" vertical="center"/>
    </xf>
    <xf numFmtId="0" fontId="12" fillId="0" borderId="5" xfId="0" applyFont="1" applyBorder="1" applyAlignment="1">
      <alignment horizontal="center" vertical="center"/>
    </xf>
    <xf numFmtId="0" fontId="12" fillId="0" borderId="6" xfId="0" applyFont="1" applyBorder="1" applyAlignment="1">
      <alignment horizontal="center" vertical="center"/>
    </xf>
    <xf numFmtId="0" fontId="13" fillId="0" borderId="6" xfId="0" applyFont="1"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49" fontId="14" fillId="0" borderId="8" xfId="0" applyNumberFormat="1" applyFont="1" applyBorder="1" applyAlignment="1">
      <alignment horizontal="center" vertical="center"/>
    </xf>
    <xf numFmtId="168" fontId="14" fillId="0" borderId="8" xfId="0" applyNumberFormat="1" applyFont="1" applyBorder="1" applyAlignment="1">
      <alignment horizontal="center" vertical="center"/>
    </xf>
    <xf numFmtId="49" fontId="11" fillId="0" borderId="8" xfId="0" applyNumberFormat="1" applyFont="1" applyBorder="1" applyAlignment="1">
      <alignment horizontal="center" vertical="center"/>
    </xf>
    <xf numFmtId="168" fontId="11" fillId="0" borderId="8" xfId="0" applyNumberFormat="1" applyFont="1" applyBorder="1" applyAlignment="1">
      <alignment horizontal="center" vertical="center"/>
    </xf>
    <xf numFmtId="49" fontId="15" fillId="0" borderId="8" xfId="0" applyNumberFormat="1" applyFont="1" applyBorder="1" applyAlignment="1">
      <alignment horizontal="center" vertical="center"/>
    </xf>
    <xf numFmtId="168" fontId="15" fillId="0" borderId="8" xfId="0" applyNumberFormat="1" applyFont="1" applyBorder="1" applyAlignment="1">
      <alignment horizontal="center" vertical="center"/>
    </xf>
    <xf numFmtId="49" fontId="14" fillId="0" borderId="9" xfId="0" applyNumberFormat="1" applyFont="1" applyBorder="1" applyAlignment="1">
      <alignment horizontal="center" vertical="center"/>
    </xf>
    <xf numFmtId="168" fontId="14" fillId="0" borderId="9" xfId="0" applyNumberFormat="1" applyFont="1" applyBorder="1" applyAlignment="1">
      <alignment horizontal="center" vertical="center"/>
    </xf>
    <xf numFmtId="0" fontId="12" fillId="0" borderId="10" xfId="0" applyFont="1" applyBorder="1" applyAlignment="1">
      <alignment horizontal="center" vertical="center"/>
    </xf>
    <xf numFmtId="0" fontId="12" fillId="0" borderId="11" xfId="0" applyFont="1" applyBorder="1" applyAlignment="1">
      <alignment horizontal="center" vertical="center"/>
    </xf>
    <xf numFmtId="0" fontId="13" fillId="0" borderId="11" xfId="0" applyFont="1"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167" fontId="4" fillId="5" borderId="2" xfId="0" applyNumberFormat="1" applyFont="1" applyFill="1" applyBorder="1" applyAlignment="1">
      <alignment horizontal="center" vertical="center"/>
    </xf>
    <xf numFmtId="49" fontId="9" fillId="6" borderId="2" xfId="0" applyNumberFormat="1" applyFont="1" applyFill="1" applyBorder="1" applyAlignment="1">
      <alignment horizontal="center" vertical="center"/>
    </xf>
    <xf numFmtId="168" fontId="9" fillId="6" borderId="2" xfId="0" applyNumberFormat="1" applyFont="1" applyFill="1" applyBorder="1" applyAlignment="1">
      <alignment horizontal="center" vertical="center"/>
    </xf>
    <xf numFmtId="49" fontId="10" fillId="6" borderId="2" xfId="0" applyNumberFormat="1" applyFont="1" applyFill="1" applyBorder="1" applyAlignment="1">
      <alignment horizontal="center" vertical="center"/>
    </xf>
    <xf numFmtId="49" fontId="10" fillId="7" borderId="3" xfId="0" applyNumberFormat="1" applyFont="1" applyFill="1" applyBorder="1" applyAlignment="1">
      <alignment horizontal="center" vertical="center"/>
    </xf>
    <xf numFmtId="169" fontId="9" fillId="6" borderId="2" xfId="0" applyNumberFormat="1" applyFont="1" applyFill="1" applyBorder="1" applyAlignment="1">
      <alignment horizontal="center" vertical="center"/>
    </xf>
    <xf numFmtId="1" fontId="9" fillId="6" borderId="2" xfId="0" applyNumberFormat="1" applyFont="1" applyFill="1" applyBorder="1" applyAlignment="1">
      <alignment horizontal="center" vertical="center"/>
    </xf>
    <xf numFmtId="16" fontId="9" fillId="6" borderId="2" xfId="0" applyNumberFormat="1" applyFont="1" applyFill="1" applyBorder="1" applyAlignment="1">
      <alignment horizontal="center" vertical="center"/>
    </xf>
    <xf numFmtId="49" fontId="11" fillId="9" borderId="9" xfId="0" applyNumberFormat="1" applyFont="1" applyFill="1" applyBorder="1" applyAlignment="1">
      <alignment horizontal="center" vertical="center"/>
    </xf>
    <xf numFmtId="168" fontId="11" fillId="9" borderId="9" xfId="0" applyNumberFormat="1" applyFont="1" applyFill="1" applyBorder="1" applyAlignment="1">
      <alignment horizontal="center" vertical="center"/>
    </xf>
    <xf numFmtId="0" fontId="11" fillId="9" borderId="9" xfId="0" applyFont="1" applyFill="1" applyBorder="1" applyAlignment="1">
      <alignment horizontal="center" vertical="center"/>
    </xf>
    <xf numFmtId="49" fontId="18" fillId="9" borderId="13" xfId="0" applyNumberFormat="1" applyFont="1" applyFill="1" applyBorder="1" applyAlignment="1">
      <alignment horizontal="center" vertical="center"/>
    </xf>
    <xf numFmtId="169" fontId="19" fillId="9" borderId="14" xfId="0" applyNumberFormat="1" applyFont="1" applyFill="1" applyBorder="1" applyAlignment="1">
      <alignment horizontal="center" vertical="center"/>
    </xf>
    <xf numFmtId="1" fontId="18" fillId="9" borderId="14" xfId="0" applyNumberFormat="1" applyFont="1" applyFill="1" applyBorder="1" applyAlignment="1">
      <alignment horizontal="center" vertical="center"/>
    </xf>
    <xf numFmtId="16" fontId="18" fillId="9" borderId="14" xfId="0" applyNumberFormat="1" applyFont="1" applyFill="1" applyBorder="1" applyAlignment="1">
      <alignment horizontal="center" vertical="center"/>
    </xf>
    <xf numFmtId="49" fontId="20" fillId="9" borderId="14" xfId="0" applyNumberFormat="1" applyFont="1" applyFill="1" applyBorder="1" applyAlignment="1">
      <alignment horizontal="center" vertical="center"/>
    </xf>
    <xf numFmtId="168" fontId="18" fillId="9" borderId="14" xfId="0" applyNumberFormat="1" applyFont="1" applyFill="1" applyBorder="1" applyAlignment="1">
      <alignment horizontal="center" vertical="center"/>
    </xf>
    <xf numFmtId="49" fontId="18" fillId="9" borderId="15" xfId="0" applyNumberFormat="1" applyFont="1" applyFill="1" applyBorder="1" applyAlignment="1">
      <alignment horizontal="center" vertical="center"/>
    </xf>
    <xf numFmtId="49" fontId="11" fillId="10" borderId="9" xfId="0" applyNumberFormat="1" applyFont="1" applyFill="1" applyBorder="1" applyAlignment="1">
      <alignment horizontal="center" vertical="center"/>
    </xf>
    <xf numFmtId="168" fontId="11" fillId="10" borderId="9" xfId="0" applyNumberFormat="1" applyFont="1" applyFill="1" applyBorder="1" applyAlignment="1">
      <alignment horizontal="center" vertical="center"/>
    </xf>
    <xf numFmtId="0" fontId="11" fillId="10" borderId="9" xfId="0" applyFont="1" applyFill="1" applyBorder="1" applyAlignment="1">
      <alignment horizontal="center" vertical="center"/>
    </xf>
    <xf numFmtId="49" fontId="18" fillId="10" borderId="13" xfId="0" applyNumberFormat="1" applyFont="1" applyFill="1" applyBorder="1" applyAlignment="1">
      <alignment horizontal="center" vertical="center"/>
    </xf>
    <xf numFmtId="169" fontId="19" fillId="10" borderId="14" xfId="0" applyNumberFormat="1" applyFont="1" applyFill="1" applyBorder="1" applyAlignment="1">
      <alignment horizontal="center" vertical="center"/>
    </xf>
    <xf numFmtId="1" fontId="18" fillId="10" borderId="14" xfId="0" applyNumberFormat="1" applyFont="1" applyFill="1" applyBorder="1" applyAlignment="1">
      <alignment horizontal="center" vertical="center"/>
    </xf>
    <xf numFmtId="16" fontId="18" fillId="10" borderId="14" xfId="0" applyNumberFormat="1" applyFont="1" applyFill="1" applyBorder="1" applyAlignment="1">
      <alignment horizontal="center" vertical="center"/>
    </xf>
    <xf numFmtId="49" fontId="20" fillId="10" borderId="14" xfId="0" applyNumberFormat="1" applyFont="1" applyFill="1" applyBorder="1" applyAlignment="1">
      <alignment horizontal="center" vertical="center"/>
    </xf>
    <xf numFmtId="168" fontId="18" fillId="10" borderId="14" xfId="0" applyNumberFormat="1" applyFont="1" applyFill="1" applyBorder="1" applyAlignment="1">
      <alignment horizontal="center" vertical="center"/>
    </xf>
    <xf numFmtId="49" fontId="18" fillId="10" borderId="15" xfId="0" applyNumberFormat="1" applyFont="1" applyFill="1" applyBorder="1" applyAlignment="1">
      <alignment horizontal="center" vertical="center"/>
    </xf>
    <xf numFmtId="0" fontId="0" fillId="0" borderId="0" xfId="0" applyAlignment="1">
      <alignment horizontal="center" vertical="center"/>
    </xf>
    <xf numFmtId="0" fontId="21" fillId="11" borderId="21" xfId="0" applyFont="1" applyFill="1" applyBorder="1" applyAlignment="1">
      <alignment horizontal="center" vertical="center"/>
    </xf>
    <xf numFmtId="0" fontId="21" fillId="11" borderId="22" xfId="0" applyFont="1" applyFill="1" applyBorder="1" applyAlignment="1">
      <alignment horizontal="center" vertical="center"/>
    </xf>
    <xf numFmtId="0" fontId="21" fillId="11" borderId="23" xfId="0" applyFont="1" applyFill="1" applyBorder="1" applyAlignment="1">
      <alignment horizontal="center" vertical="center"/>
    </xf>
    <xf numFmtId="0" fontId="22" fillId="0" borderId="24" xfId="0" applyFont="1" applyBorder="1" applyAlignment="1">
      <alignment horizontal="center" vertical="center"/>
    </xf>
    <xf numFmtId="0" fontId="22" fillId="0" borderId="25" xfId="0" applyFont="1" applyBorder="1" applyAlignment="1">
      <alignment horizontal="center" vertical="center"/>
    </xf>
    <xf numFmtId="49" fontId="22" fillId="0" borderId="25" xfId="0" applyNumberFormat="1" applyFont="1" applyBorder="1" applyAlignment="1">
      <alignment horizontal="center" vertical="center"/>
    </xf>
    <xf numFmtId="1" fontId="22" fillId="0" borderId="25" xfId="0" applyNumberFormat="1" applyFont="1" applyBorder="1" applyAlignment="1">
      <alignment horizontal="center" vertical="center"/>
    </xf>
    <xf numFmtId="171" fontId="22" fillId="0" borderId="26" xfId="0" applyNumberFormat="1" applyFont="1" applyBorder="1" applyAlignment="1">
      <alignment horizontal="center" vertical="center"/>
    </xf>
    <xf numFmtId="0" fontId="22" fillId="0" borderId="26" xfId="0" applyFont="1" applyBorder="1" applyAlignment="1">
      <alignment horizontal="center" vertical="center"/>
    </xf>
    <xf numFmtId="0" fontId="22" fillId="0" borderId="27" xfId="0" applyFont="1" applyBorder="1" applyAlignment="1">
      <alignment horizontal="center" vertical="center"/>
    </xf>
    <xf numFmtId="0" fontId="22" fillId="0" borderId="28" xfId="0" applyFont="1" applyBorder="1" applyAlignment="1">
      <alignment horizontal="center" vertical="center"/>
    </xf>
    <xf numFmtId="49" fontId="22" fillId="0" borderId="28" xfId="0" applyNumberFormat="1" applyFont="1" applyBorder="1" applyAlignment="1">
      <alignment horizontal="center" vertical="center"/>
    </xf>
    <xf numFmtId="1" fontId="22" fillId="0" borderId="28" xfId="0" applyNumberFormat="1" applyFont="1" applyBorder="1" applyAlignment="1">
      <alignment horizontal="center" vertical="center"/>
    </xf>
    <xf numFmtId="0" fontId="22" fillId="0" borderId="29" xfId="0" applyFont="1" applyBorder="1" applyAlignment="1">
      <alignment horizontal="center" vertical="center"/>
    </xf>
    <xf numFmtId="0" fontId="23" fillId="0" borderId="27" xfId="0" applyFont="1" applyBorder="1" applyAlignment="1">
      <alignment horizontal="center" vertical="center"/>
    </xf>
    <xf numFmtId="0" fontId="23" fillId="0" borderId="28" xfId="0" applyFont="1" applyBorder="1" applyAlignment="1">
      <alignment horizontal="center" vertical="center"/>
    </xf>
    <xf numFmtId="49" fontId="23" fillId="0" borderId="28" xfId="0" applyNumberFormat="1" applyFont="1" applyBorder="1" applyAlignment="1">
      <alignment horizontal="center" vertical="center"/>
    </xf>
    <xf numFmtId="0" fontId="23" fillId="0" borderId="29" xfId="0" applyFont="1" applyBorder="1" applyAlignment="1">
      <alignment horizontal="center" vertical="center"/>
    </xf>
    <xf numFmtId="172" fontId="22" fillId="0" borderId="24" xfId="0" applyNumberFormat="1" applyFont="1" applyBorder="1" applyAlignment="1">
      <alignment horizontal="center" vertical="center"/>
    </xf>
    <xf numFmtId="173" fontId="22" fillId="0" borderId="25" xfId="0" applyNumberFormat="1" applyFont="1" applyBorder="1" applyAlignment="1">
      <alignment horizontal="center" vertical="center"/>
    </xf>
    <xf numFmtId="172" fontId="23" fillId="0" borderId="27" xfId="0" applyNumberFormat="1" applyFont="1" applyBorder="1" applyAlignment="1">
      <alignment horizontal="center" vertical="center"/>
    </xf>
    <xf numFmtId="173" fontId="23" fillId="0" borderId="28" xfId="0" applyNumberFormat="1" applyFont="1" applyBorder="1" applyAlignment="1">
      <alignment horizontal="center" vertical="center"/>
    </xf>
    <xf numFmtId="0" fontId="12" fillId="0" borderId="0" xfId="0" applyFont="1" applyAlignment="1">
      <alignment horizontal="center" vertical="center"/>
    </xf>
    <xf numFmtId="0" fontId="13" fillId="0" borderId="0" xfId="0" applyFont="1" applyAlignment="1">
      <alignment horizontal="center" vertical="center"/>
    </xf>
    <xf numFmtId="49" fontId="15" fillId="0" borderId="9" xfId="0" applyNumberFormat="1" applyFont="1" applyBorder="1" applyAlignment="1">
      <alignment horizontal="center" vertical="center"/>
    </xf>
    <xf numFmtId="168" fontId="15" fillId="0" borderId="9" xfId="0" applyNumberFormat="1" applyFont="1" applyBorder="1" applyAlignment="1">
      <alignment horizontal="center" vertical="center"/>
    </xf>
    <xf numFmtId="0" fontId="12" fillId="0" borderId="14" xfId="0" applyFont="1" applyBorder="1" applyAlignment="1">
      <alignment horizontal="center" vertical="center"/>
    </xf>
    <xf numFmtId="0" fontId="13" fillId="0" borderId="14" xfId="0" applyFont="1" applyBorder="1" applyAlignment="1">
      <alignment horizontal="center" vertical="center"/>
    </xf>
    <xf numFmtId="0" fontId="0" fillId="0" borderId="14" xfId="0" applyBorder="1" applyAlignment="1">
      <alignment horizontal="center" vertical="center"/>
    </xf>
    <xf numFmtId="49" fontId="11" fillId="12" borderId="2" xfId="0" applyNumberFormat="1" applyFont="1" applyFill="1" applyBorder="1" applyAlignment="1">
      <alignment horizontal="center" vertical="center"/>
    </xf>
    <xf numFmtId="168" fontId="11" fillId="12" borderId="2" xfId="0" applyNumberFormat="1" applyFont="1" applyFill="1" applyBorder="1" applyAlignment="1">
      <alignment horizontal="center" vertical="center"/>
    </xf>
    <xf numFmtId="0" fontId="11" fillId="12" borderId="2" xfId="0" applyFont="1" applyFill="1" applyBorder="1" applyAlignment="1">
      <alignment horizontal="center" vertical="center"/>
    </xf>
    <xf numFmtId="49" fontId="18" fillId="12" borderId="31" xfId="0" applyNumberFormat="1" applyFont="1" applyFill="1" applyBorder="1" applyAlignment="1">
      <alignment horizontal="center" vertical="center"/>
    </xf>
    <xf numFmtId="169" fontId="19" fillId="12" borderId="32" xfId="0" applyNumberFormat="1" applyFont="1" applyFill="1" applyBorder="1" applyAlignment="1">
      <alignment horizontal="center" vertical="center"/>
    </xf>
    <xf numFmtId="1" fontId="18" fillId="12" borderId="32" xfId="0" applyNumberFormat="1" applyFont="1" applyFill="1" applyBorder="1" applyAlignment="1">
      <alignment horizontal="center" vertical="center"/>
    </xf>
    <xf numFmtId="16" fontId="18" fillId="12" borderId="32" xfId="0" applyNumberFormat="1" applyFont="1" applyFill="1" applyBorder="1" applyAlignment="1">
      <alignment horizontal="center" vertical="center"/>
    </xf>
    <xf numFmtId="49" fontId="20" fillId="12" borderId="32" xfId="0" applyNumberFormat="1" applyFont="1" applyFill="1" applyBorder="1" applyAlignment="1">
      <alignment horizontal="center" vertical="center"/>
    </xf>
    <xf numFmtId="168" fontId="18" fillId="12" borderId="32" xfId="0" applyNumberFormat="1" applyFont="1" applyFill="1" applyBorder="1" applyAlignment="1">
      <alignment horizontal="center" vertical="center"/>
    </xf>
    <xf numFmtId="49" fontId="18" fillId="12" borderId="33" xfId="0" applyNumberFormat="1" applyFont="1" applyFill="1" applyBorder="1" applyAlignment="1">
      <alignment horizontal="center" vertical="center"/>
    </xf>
    <xf numFmtId="0" fontId="0" fillId="0" borderId="24" xfId="0" applyBorder="1"/>
    <xf numFmtId="0" fontId="0" fillId="0" borderId="25" xfId="0" applyBorder="1"/>
    <xf numFmtId="0" fontId="24" fillId="0" borderId="25" xfId="0" applyFont="1" applyBorder="1" applyAlignment="1">
      <alignment horizontal="center" vertical="center"/>
    </xf>
    <xf numFmtId="0" fontId="0" fillId="0" borderId="26" xfId="0" applyBorder="1"/>
    <xf numFmtId="0" fontId="23" fillId="0" borderId="24" xfId="0" applyFont="1" applyBorder="1" applyAlignment="1">
      <alignment horizontal="center" vertical="center"/>
    </xf>
    <xf numFmtId="0" fontId="23" fillId="0" borderId="25" xfId="0" applyFont="1" applyBorder="1" applyAlignment="1">
      <alignment horizontal="center" vertical="center"/>
    </xf>
    <xf numFmtId="49" fontId="23" fillId="0" borderId="25" xfId="0" applyNumberFormat="1" applyFont="1" applyBorder="1" applyAlignment="1">
      <alignment horizontal="center" vertical="center"/>
    </xf>
    <xf numFmtId="0" fontId="23" fillId="0" borderId="26" xfId="0" applyFont="1" applyBorder="1" applyAlignment="1">
      <alignment horizontal="center" vertical="center"/>
    </xf>
    <xf numFmtId="172" fontId="22" fillId="0" borderId="27" xfId="0" applyNumberFormat="1" applyFont="1" applyBorder="1" applyAlignment="1">
      <alignment horizontal="center" vertical="center"/>
    </xf>
    <xf numFmtId="173" fontId="22" fillId="0" borderId="28" xfId="0" applyNumberFormat="1" applyFont="1" applyBorder="1" applyAlignment="1">
      <alignment horizontal="center" vertical="center"/>
    </xf>
    <xf numFmtId="49" fontId="11" fillId="13" borderId="2" xfId="0" applyNumberFormat="1" applyFont="1" applyFill="1" applyBorder="1" applyAlignment="1">
      <alignment horizontal="center" vertical="center"/>
    </xf>
    <xf numFmtId="168" fontId="11" fillId="13" borderId="2" xfId="0" applyNumberFormat="1" applyFont="1" applyFill="1" applyBorder="1" applyAlignment="1">
      <alignment horizontal="center" vertical="center"/>
    </xf>
    <xf numFmtId="0" fontId="11" fillId="13" borderId="2" xfId="0" applyFont="1" applyFill="1" applyBorder="1" applyAlignment="1">
      <alignment horizontal="center" vertical="center"/>
    </xf>
    <xf numFmtId="49" fontId="18" fillId="13" borderId="31" xfId="0" applyNumberFormat="1" applyFont="1" applyFill="1" applyBorder="1" applyAlignment="1">
      <alignment horizontal="center" vertical="center"/>
    </xf>
    <xf numFmtId="169" fontId="19" fillId="13" borderId="32" xfId="0" applyNumberFormat="1" applyFont="1" applyFill="1" applyBorder="1" applyAlignment="1">
      <alignment horizontal="center" vertical="center"/>
    </xf>
    <xf numFmtId="1" fontId="18" fillId="13" borderId="32" xfId="0" applyNumberFormat="1" applyFont="1" applyFill="1" applyBorder="1" applyAlignment="1">
      <alignment horizontal="center" vertical="center"/>
    </xf>
    <xf numFmtId="16" fontId="18" fillId="13" borderId="32" xfId="0" applyNumberFormat="1" applyFont="1" applyFill="1" applyBorder="1" applyAlignment="1">
      <alignment horizontal="center" vertical="center"/>
    </xf>
    <xf numFmtId="49" fontId="20" fillId="13" borderId="32" xfId="0" applyNumberFormat="1" applyFont="1" applyFill="1" applyBorder="1" applyAlignment="1">
      <alignment horizontal="center" vertical="center"/>
    </xf>
    <xf numFmtId="168" fontId="18" fillId="13" borderId="32" xfId="0" applyNumberFormat="1" applyFont="1" applyFill="1" applyBorder="1" applyAlignment="1">
      <alignment horizontal="center" vertical="center"/>
    </xf>
    <xf numFmtId="49" fontId="18" fillId="13" borderId="33" xfId="0" applyNumberFormat="1" applyFont="1" applyFill="1" applyBorder="1" applyAlignment="1">
      <alignment horizontal="center" vertical="center"/>
    </xf>
    <xf numFmtId="49" fontId="11" fillId="10" borderId="2" xfId="0" applyNumberFormat="1" applyFont="1" applyFill="1" applyBorder="1" applyAlignment="1">
      <alignment horizontal="center" vertical="center"/>
    </xf>
    <xf numFmtId="168" fontId="11" fillId="10" borderId="2" xfId="0" applyNumberFormat="1" applyFont="1" applyFill="1" applyBorder="1" applyAlignment="1">
      <alignment horizontal="center" vertical="center"/>
    </xf>
    <xf numFmtId="49" fontId="18" fillId="10" borderId="31" xfId="0" applyNumberFormat="1" applyFont="1" applyFill="1" applyBorder="1" applyAlignment="1">
      <alignment horizontal="center" vertical="center"/>
    </xf>
    <xf numFmtId="169" fontId="25" fillId="10" borderId="32" xfId="0" applyNumberFormat="1" applyFont="1" applyFill="1" applyBorder="1" applyAlignment="1">
      <alignment horizontal="center" vertical="center"/>
    </xf>
    <xf numFmtId="1" fontId="18" fillId="10" borderId="32" xfId="0" applyNumberFormat="1" applyFont="1" applyFill="1" applyBorder="1" applyAlignment="1">
      <alignment horizontal="center" vertical="center"/>
    </xf>
    <xf numFmtId="16" fontId="18" fillId="10" borderId="32" xfId="0" applyNumberFormat="1" applyFont="1" applyFill="1" applyBorder="1" applyAlignment="1">
      <alignment horizontal="center" vertical="center"/>
    </xf>
    <xf numFmtId="49" fontId="20" fillId="10" borderId="32" xfId="0" applyNumberFormat="1" applyFont="1" applyFill="1" applyBorder="1" applyAlignment="1">
      <alignment horizontal="center" vertical="center"/>
    </xf>
    <xf numFmtId="168" fontId="18" fillId="10" borderId="32" xfId="0" applyNumberFormat="1" applyFont="1" applyFill="1" applyBorder="1" applyAlignment="1">
      <alignment horizontal="center" vertical="center"/>
    </xf>
    <xf numFmtId="49" fontId="18" fillId="10" borderId="33" xfId="0" applyNumberFormat="1" applyFont="1" applyFill="1" applyBorder="1" applyAlignment="1">
      <alignment horizontal="center" vertical="center"/>
    </xf>
    <xf numFmtId="49" fontId="15" fillId="9" borderId="2" xfId="0" applyNumberFormat="1" applyFont="1" applyFill="1" applyBorder="1" applyAlignment="1">
      <alignment horizontal="center" vertical="center"/>
    </xf>
    <xf numFmtId="168" fontId="15" fillId="9" borderId="2" xfId="0" applyNumberFormat="1" applyFont="1" applyFill="1" applyBorder="1" applyAlignment="1">
      <alignment horizontal="center" vertical="center"/>
    </xf>
    <xf numFmtId="49" fontId="18" fillId="9" borderId="31" xfId="0" applyNumberFormat="1" applyFont="1" applyFill="1" applyBorder="1" applyAlignment="1">
      <alignment horizontal="center" vertical="center"/>
    </xf>
    <xf numFmtId="169" fontId="25" fillId="9" borderId="32" xfId="0" applyNumberFormat="1" applyFont="1" applyFill="1" applyBorder="1" applyAlignment="1">
      <alignment horizontal="center" vertical="center"/>
    </xf>
    <xf numFmtId="1" fontId="18" fillId="9" borderId="32" xfId="0" applyNumberFormat="1" applyFont="1" applyFill="1" applyBorder="1" applyAlignment="1">
      <alignment horizontal="center" vertical="center"/>
    </xf>
    <xf numFmtId="16" fontId="18" fillId="9" borderId="32" xfId="0" applyNumberFormat="1" applyFont="1" applyFill="1" applyBorder="1" applyAlignment="1">
      <alignment horizontal="center" vertical="center"/>
    </xf>
    <xf numFmtId="49" fontId="20" fillId="9" borderId="32" xfId="0" applyNumberFormat="1" applyFont="1" applyFill="1" applyBorder="1" applyAlignment="1">
      <alignment horizontal="center" vertical="center"/>
    </xf>
    <xf numFmtId="168" fontId="18" fillId="9" borderId="32" xfId="0" applyNumberFormat="1" applyFont="1" applyFill="1" applyBorder="1" applyAlignment="1">
      <alignment horizontal="center" vertical="center"/>
    </xf>
    <xf numFmtId="49" fontId="18" fillId="9" borderId="33" xfId="0" applyNumberFormat="1" applyFont="1" applyFill="1" applyBorder="1" applyAlignment="1">
      <alignment horizontal="center" vertical="center"/>
    </xf>
    <xf numFmtId="49" fontId="15" fillId="10" borderId="2" xfId="0" applyNumberFormat="1" applyFont="1" applyFill="1" applyBorder="1" applyAlignment="1">
      <alignment horizontal="center" vertical="center"/>
    </xf>
    <xf numFmtId="168" fontId="15" fillId="10" borderId="2" xfId="0" applyNumberFormat="1" applyFont="1" applyFill="1" applyBorder="1" applyAlignment="1">
      <alignment horizontal="center" vertical="center"/>
    </xf>
    <xf numFmtId="169" fontId="18" fillId="10" borderId="32" xfId="0" applyNumberFormat="1" applyFont="1" applyFill="1" applyBorder="1" applyAlignment="1">
      <alignment horizontal="center" vertical="center"/>
    </xf>
    <xf numFmtId="49" fontId="15" fillId="14" borderId="2" xfId="0" applyNumberFormat="1" applyFont="1" applyFill="1" applyBorder="1" applyAlignment="1">
      <alignment horizontal="center" vertical="center"/>
    </xf>
    <xf numFmtId="168" fontId="15" fillId="14" borderId="2" xfId="0" applyNumberFormat="1" applyFont="1" applyFill="1" applyBorder="1" applyAlignment="1">
      <alignment horizontal="center" vertical="center"/>
    </xf>
    <xf numFmtId="49" fontId="18" fillId="14" borderId="31" xfId="0" applyNumberFormat="1" applyFont="1" applyFill="1" applyBorder="1" applyAlignment="1">
      <alignment horizontal="center" vertical="center"/>
    </xf>
    <xf numFmtId="169" fontId="25" fillId="14" borderId="32" xfId="0" applyNumberFormat="1" applyFont="1" applyFill="1" applyBorder="1" applyAlignment="1">
      <alignment horizontal="center" vertical="center"/>
    </xf>
    <xf numFmtId="1" fontId="18" fillId="14" borderId="32" xfId="0" applyNumberFormat="1" applyFont="1" applyFill="1" applyBorder="1" applyAlignment="1">
      <alignment horizontal="center" vertical="center"/>
    </xf>
    <xf numFmtId="16" fontId="18" fillId="14" borderId="32" xfId="0" applyNumberFormat="1" applyFont="1" applyFill="1" applyBorder="1" applyAlignment="1">
      <alignment horizontal="center" vertical="center"/>
    </xf>
    <xf numFmtId="49" fontId="20" fillId="14" borderId="32" xfId="0" applyNumberFormat="1" applyFont="1" applyFill="1" applyBorder="1" applyAlignment="1">
      <alignment horizontal="center" vertical="center"/>
    </xf>
    <xf numFmtId="168" fontId="18" fillId="14" borderId="32" xfId="0" applyNumberFormat="1" applyFont="1" applyFill="1" applyBorder="1" applyAlignment="1">
      <alignment horizontal="center" vertical="center"/>
    </xf>
    <xf numFmtId="49" fontId="18" fillId="14" borderId="33" xfId="0" applyNumberFormat="1" applyFont="1" applyFill="1" applyBorder="1" applyAlignment="1">
      <alignment horizontal="center" vertical="center"/>
    </xf>
    <xf numFmtId="169" fontId="18" fillId="9" borderId="32" xfId="0" applyNumberFormat="1" applyFont="1" applyFill="1" applyBorder="1" applyAlignment="1">
      <alignment horizontal="center" vertical="center"/>
    </xf>
    <xf numFmtId="49" fontId="15" fillId="13" borderId="2" xfId="0" applyNumberFormat="1" applyFont="1" applyFill="1" applyBorder="1" applyAlignment="1">
      <alignment horizontal="center" vertical="center"/>
    </xf>
    <xf numFmtId="168" fontId="15" fillId="13" borderId="2" xfId="0" applyNumberFormat="1" applyFont="1" applyFill="1" applyBorder="1" applyAlignment="1">
      <alignment horizontal="center" vertical="center"/>
    </xf>
    <xf numFmtId="0" fontId="15" fillId="13" borderId="2" xfId="0" applyFont="1" applyFill="1" applyBorder="1" applyAlignment="1">
      <alignment horizontal="center" vertical="center"/>
    </xf>
    <xf numFmtId="49" fontId="11" fillId="15" borderId="2" xfId="0" applyNumberFormat="1" applyFont="1" applyFill="1" applyBorder="1" applyAlignment="1">
      <alignment horizontal="center" vertical="center"/>
    </xf>
    <xf numFmtId="168" fontId="11" fillId="15" borderId="2" xfId="0" applyNumberFormat="1" applyFont="1" applyFill="1" applyBorder="1" applyAlignment="1">
      <alignment horizontal="center" vertical="center"/>
    </xf>
    <xf numFmtId="49" fontId="18" fillId="15" borderId="31" xfId="0" applyNumberFormat="1" applyFont="1" applyFill="1" applyBorder="1" applyAlignment="1">
      <alignment horizontal="center" vertical="center"/>
    </xf>
    <xf numFmtId="169" fontId="19" fillId="15" borderId="32" xfId="0" applyNumberFormat="1" applyFont="1" applyFill="1" applyBorder="1" applyAlignment="1">
      <alignment horizontal="center" vertical="center"/>
    </xf>
    <xf numFmtId="1" fontId="18" fillId="15" borderId="32" xfId="0" applyNumberFormat="1" applyFont="1" applyFill="1" applyBorder="1" applyAlignment="1">
      <alignment horizontal="center" vertical="center"/>
    </xf>
    <xf numFmtId="16" fontId="18" fillId="15" borderId="32" xfId="0" applyNumberFormat="1" applyFont="1" applyFill="1" applyBorder="1" applyAlignment="1">
      <alignment horizontal="center" vertical="center"/>
    </xf>
    <xf numFmtId="49" fontId="20" fillId="15" borderId="32" xfId="0" applyNumberFormat="1" applyFont="1" applyFill="1" applyBorder="1" applyAlignment="1">
      <alignment horizontal="center" vertical="center"/>
    </xf>
    <xf numFmtId="168" fontId="18" fillId="15" borderId="32" xfId="0" applyNumberFormat="1" applyFont="1" applyFill="1" applyBorder="1" applyAlignment="1">
      <alignment horizontal="center" vertical="center"/>
    </xf>
    <xf numFmtId="49" fontId="18" fillId="15" borderId="33" xfId="0" applyNumberFormat="1" applyFont="1" applyFill="1" applyBorder="1" applyAlignment="1">
      <alignment horizontal="center" vertical="center"/>
    </xf>
    <xf numFmtId="0" fontId="15" fillId="10" borderId="2" xfId="0" applyFont="1" applyFill="1" applyBorder="1" applyAlignment="1">
      <alignment horizontal="center" vertical="center"/>
    </xf>
    <xf numFmtId="169" fontId="19" fillId="10" borderId="32" xfId="0" applyNumberFormat="1" applyFont="1" applyFill="1" applyBorder="1" applyAlignment="1">
      <alignment horizontal="center" vertical="center"/>
    </xf>
    <xf numFmtId="49" fontId="15" fillId="15" borderId="2" xfId="0" applyNumberFormat="1" applyFont="1" applyFill="1" applyBorder="1" applyAlignment="1">
      <alignment horizontal="center" vertical="center"/>
    </xf>
    <xf numFmtId="168" fontId="15" fillId="15" borderId="2" xfId="0" applyNumberFormat="1" applyFont="1" applyFill="1" applyBorder="1" applyAlignment="1">
      <alignment horizontal="center" vertical="center"/>
    </xf>
    <xf numFmtId="0" fontId="15" fillId="15" borderId="2" xfId="0" applyFont="1" applyFill="1" applyBorder="1" applyAlignment="1">
      <alignment horizontal="center" vertical="center"/>
    </xf>
    <xf numFmtId="169" fontId="18" fillId="12" borderId="32" xfId="0" applyNumberFormat="1" applyFont="1" applyFill="1" applyBorder="1" applyAlignment="1">
      <alignment horizontal="center" vertical="center"/>
    </xf>
    <xf numFmtId="169" fontId="19" fillId="9" borderId="32" xfId="0" applyNumberFormat="1" applyFont="1" applyFill="1" applyBorder="1" applyAlignment="1">
      <alignment horizontal="center" vertical="center"/>
    </xf>
    <xf numFmtId="1" fontId="23" fillId="0" borderId="25" xfId="0" applyNumberFormat="1" applyFont="1" applyBorder="1" applyAlignment="1">
      <alignment horizontal="center" vertical="center"/>
    </xf>
    <xf numFmtId="171" fontId="23" fillId="0" borderId="26" xfId="0" applyNumberFormat="1" applyFont="1" applyBorder="1" applyAlignment="1">
      <alignment horizontal="center" vertical="center"/>
    </xf>
    <xf numFmtId="172" fontId="23" fillId="0" borderId="24" xfId="0" applyNumberFormat="1" applyFont="1" applyBorder="1" applyAlignment="1">
      <alignment horizontal="center" vertical="center"/>
    </xf>
    <xf numFmtId="173" fontId="23" fillId="0" borderId="25" xfId="0" applyNumberFormat="1" applyFont="1" applyBorder="1" applyAlignment="1">
      <alignment horizontal="center" vertical="center"/>
    </xf>
    <xf numFmtId="49" fontId="11" fillId="9" borderId="2" xfId="0" applyNumberFormat="1" applyFont="1" applyFill="1" applyBorder="1" applyAlignment="1">
      <alignment horizontal="center" vertical="center"/>
    </xf>
    <xf numFmtId="168" fontId="11" fillId="9" borderId="2" xfId="0" applyNumberFormat="1" applyFont="1" applyFill="1" applyBorder="1" applyAlignment="1">
      <alignment horizontal="center" vertical="center"/>
    </xf>
    <xf numFmtId="0" fontId="11" fillId="9" borderId="2" xfId="0" applyFont="1" applyFill="1" applyBorder="1" applyAlignment="1">
      <alignment horizontal="center" vertical="center"/>
    </xf>
    <xf numFmtId="0" fontId="11" fillId="10" borderId="2" xfId="0" applyFont="1" applyFill="1" applyBorder="1" applyAlignment="1">
      <alignment horizontal="center" vertical="center"/>
    </xf>
    <xf numFmtId="0" fontId="15" fillId="14" borderId="2" xfId="0" applyFont="1" applyFill="1" applyBorder="1" applyAlignment="1">
      <alignment horizontal="center" vertical="center"/>
    </xf>
    <xf numFmtId="169" fontId="19" fillId="14" borderId="32" xfId="0" applyNumberFormat="1" applyFont="1" applyFill="1" applyBorder="1" applyAlignment="1">
      <alignment horizontal="center" vertical="center"/>
    </xf>
    <xf numFmtId="171" fontId="22" fillId="0" borderId="29" xfId="0" applyNumberFormat="1" applyFont="1" applyBorder="1" applyAlignment="1">
      <alignment horizontal="center" vertical="center"/>
    </xf>
    <xf numFmtId="49" fontId="11" fillId="16" borderId="2" xfId="0" applyNumberFormat="1" applyFont="1" applyFill="1" applyBorder="1" applyAlignment="1">
      <alignment horizontal="center" vertical="center"/>
    </xf>
    <xf numFmtId="168" fontId="11" fillId="16" borderId="2" xfId="0" applyNumberFormat="1" applyFont="1" applyFill="1" applyBorder="1" applyAlignment="1">
      <alignment horizontal="center" vertical="center"/>
    </xf>
    <xf numFmtId="49" fontId="18" fillId="16" borderId="31" xfId="0" applyNumberFormat="1" applyFont="1" applyFill="1" applyBorder="1" applyAlignment="1">
      <alignment horizontal="center" vertical="center"/>
    </xf>
    <xf numFmtId="169" fontId="18" fillId="16" borderId="32" xfId="0" applyNumberFormat="1" applyFont="1" applyFill="1" applyBorder="1" applyAlignment="1">
      <alignment horizontal="center" vertical="center"/>
    </xf>
    <xf numFmtId="1" fontId="18" fillId="16" borderId="32" xfId="0" applyNumberFormat="1" applyFont="1" applyFill="1" applyBorder="1" applyAlignment="1">
      <alignment horizontal="center" vertical="center"/>
    </xf>
    <xf numFmtId="16" fontId="18" fillId="16" borderId="32" xfId="0" applyNumberFormat="1" applyFont="1" applyFill="1" applyBorder="1" applyAlignment="1">
      <alignment horizontal="center" vertical="center"/>
    </xf>
    <xf numFmtId="49" fontId="20" fillId="16" borderId="32" xfId="0" applyNumberFormat="1" applyFont="1" applyFill="1" applyBorder="1" applyAlignment="1">
      <alignment horizontal="center" vertical="center"/>
    </xf>
    <xf numFmtId="168" fontId="18" fillId="16" borderId="32" xfId="0" applyNumberFormat="1" applyFont="1" applyFill="1" applyBorder="1" applyAlignment="1">
      <alignment horizontal="center" vertical="center"/>
    </xf>
    <xf numFmtId="49" fontId="18" fillId="16" borderId="33" xfId="0" applyNumberFormat="1" applyFont="1" applyFill="1" applyBorder="1" applyAlignment="1">
      <alignment horizontal="center" vertical="center"/>
    </xf>
    <xf numFmtId="169" fontId="18" fillId="15" borderId="32" xfId="0" applyNumberFormat="1" applyFont="1" applyFill="1" applyBorder="1" applyAlignment="1">
      <alignment horizontal="center" vertical="center"/>
    </xf>
    <xf numFmtId="49" fontId="11" fillId="14" borderId="2" xfId="0" applyNumberFormat="1" applyFont="1" applyFill="1" applyBorder="1" applyAlignment="1">
      <alignment horizontal="center" vertical="center"/>
    </xf>
    <xf numFmtId="168" fontId="11" fillId="14" borderId="2" xfId="0" applyNumberFormat="1" applyFont="1" applyFill="1" applyBorder="1" applyAlignment="1">
      <alignment horizontal="center" vertical="center"/>
    </xf>
    <xf numFmtId="0" fontId="7" fillId="0" borderId="0" xfId="0" applyFont="1"/>
    <xf numFmtId="0" fontId="4" fillId="0" borderId="0" xfId="0" applyFont="1"/>
    <xf numFmtId="0" fontId="26" fillId="0" borderId="0" xfId="0" applyFont="1"/>
    <xf numFmtId="0" fontId="21" fillId="11" borderId="3" xfId="0" applyFont="1" applyFill="1" applyBorder="1" applyAlignment="1">
      <alignment horizontal="center" vertical="center"/>
    </xf>
    <xf numFmtId="49" fontId="15" fillId="12" borderId="2" xfId="0" applyNumberFormat="1" applyFont="1" applyFill="1" applyBorder="1" applyAlignment="1">
      <alignment horizontal="center" vertical="center"/>
    </xf>
    <xf numFmtId="168" fontId="15" fillId="12" borderId="2" xfId="0" applyNumberFormat="1" applyFont="1" applyFill="1" applyBorder="1" applyAlignment="1">
      <alignment horizontal="center" vertical="center"/>
    </xf>
    <xf numFmtId="169" fontId="18" fillId="13" borderId="32" xfId="0" applyNumberFormat="1" applyFont="1" applyFill="1" applyBorder="1" applyAlignment="1">
      <alignment horizontal="center" vertical="center"/>
    </xf>
    <xf numFmtId="49" fontId="11" fillId="17" borderId="2" xfId="0" applyNumberFormat="1" applyFont="1" applyFill="1" applyBorder="1" applyAlignment="1">
      <alignment horizontal="center" vertical="center"/>
    </xf>
    <xf numFmtId="168" fontId="11" fillId="17" borderId="2" xfId="0" applyNumberFormat="1" applyFont="1" applyFill="1" applyBorder="1" applyAlignment="1">
      <alignment horizontal="center" vertical="center"/>
    </xf>
    <xf numFmtId="49" fontId="18" fillId="17" borderId="31" xfId="0" applyNumberFormat="1" applyFont="1" applyFill="1" applyBorder="1" applyAlignment="1">
      <alignment horizontal="center" vertical="center"/>
    </xf>
    <xf numFmtId="169" fontId="18" fillId="17" borderId="32" xfId="0" applyNumberFormat="1" applyFont="1" applyFill="1" applyBorder="1" applyAlignment="1">
      <alignment horizontal="center" vertical="center"/>
    </xf>
    <xf numFmtId="1" fontId="18" fillId="17" borderId="32" xfId="0" applyNumberFormat="1" applyFont="1" applyFill="1" applyBorder="1" applyAlignment="1">
      <alignment horizontal="center" vertical="center"/>
    </xf>
    <xf numFmtId="16" fontId="18" fillId="17" borderId="32" xfId="0" applyNumberFormat="1" applyFont="1" applyFill="1" applyBorder="1" applyAlignment="1">
      <alignment horizontal="center" vertical="center"/>
    </xf>
    <xf numFmtId="49" fontId="20" fillId="17" borderId="32" xfId="0" applyNumberFormat="1" applyFont="1" applyFill="1" applyBorder="1" applyAlignment="1">
      <alignment horizontal="center" vertical="center"/>
    </xf>
    <xf numFmtId="168" fontId="18" fillId="17" borderId="32" xfId="0" applyNumberFormat="1" applyFont="1" applyFill="1" applyBorder="1" applyAlignment="1">
      <alignment horizontal="center" vertical="center"/>
    </xf>
    <xf numFmtId="49" fontId="18" fillId="17" borderId="33" xfId="0" applyNumberFormat="1" applyFont="1" applyFill="1" applyBorder="1" applyAlignment="1">
      <alignment horizontal="center" vertical="center"/>
    </xf>
    <xf numFmtId="1" fontId="23" fillId="0" borderId="28" xfId="0" applyNumberFormat="1" applyFont="1" applyBorder="1" applyAlignment="1">
      <alignment horizontal="center" vertical="center"/>
    </xf>
    <xf numFmtId="171" fontId="23" fillId="0" borderId="29" xfId="0" applyNumberFormat="1" applyFont="1" applyBorder="1" applyAlignment="1">
      <alignment horizontal="center" vertical="center"/>
    </xf>
    <xf numFmtId="169" fontId="25" fillId="12" borderId="32" xfId="0" applyNumberFormat="1" applyFont="1" applyFill="1" applyBorder="1" applyAlignment="1">
      <alignment horizontal="center" vertical="center"/>
    </xf>
    <xf numFmtId="49" fontId="11" fillId="0" borderId="9" xfId="0" applyNumberFormat="1" applyFont="1" applyBorder="1" applyAlignment="1">
      <alignment horizontal="center" vertical="center"/>
    </xf>
    <xf numFmtId="168" fontId="11" fillId="0" borderId="9" xfId="0" applyNumberFormat="1" applyFont="1" applyBorder="1" applyAlignment="1">
      <alignment horizontal="center" vertical="center"/>
    </xf>
    <xf numFmtId="169" fontId="25" fillId="16" borderId="32" xfId="0" applyNumberFormat="1" applyFont="1" applyFill="1" applyBorder="1" applyAlignment="1">
      <alignment horizontal="center" vertical="center"/>
    </xf>
    <xf numFmtId="49" fontId="18" fillId="16" borderId="13" xfId="0" applyNumberFormat="1" applyFont="1" applyFill="1" applyBorder="1" applyAlignment="1">
      <alignment horizontal="center" vertical="center"/>
    </xf>
    <xf numFmtId="169" fontId="19" fillId="16" borderId="14" xfId="0" applyNumberFormat="1" applyFont="1" applyFill="1" applyBorder="1" applyAlignment="1">
      <alignment horizontal="center" vertical="center"/>
    </xf>
    <xf numFmtId="1" fontId="18" fillId="16" borderId="14" xfId="0" applyNumberFormat="1" applyFont="1" applyFill="1" applyBorder="1" applyAlignment="1">
      <alignment horizontal="center" vertical="center"/>
    </xf>
    <xf numFmtId="16" fontId="18" fillId="16" borderId="14" xfId="0" applyNumberFormat="1" applyFont="1" applyFill="1" applyBorder="1" applyAlignment="1">
      <alignment horizontal="center" vertical="center"/>
    </xf>
    <xf numFmtId="49" fontId="20" fillId="16" borderId="14" xfId="0" applyNumberFormat="1" applyFont="1" applyFill="1" applyBorder="1" applyAlignment="1">
      <alignment horizontal="center" vertical="center"/>
    </xf>
    <xf numFmtId="168" fontId="18" fillId="16" borderId="14" xfId="0" applyNumberFormat="1" applyFont="1" applyFill="1" applyBorder="1" applyAlignment="1">
      <alignment horizontal="center" vertical="center"/>
    </xf>
    <xf numFmtId="49" fontId="18" fillId="16" borderId="15" xfId="0" applyNumberFormat="1" applyFont="1" applyFill="1" applyBorder="1" applyAlignment="1">
      <alignment horizontal="center" vertical="center"/>
    </xf>
    <xf numFmtId="49" fontId="11" fillId="0" borderId="2" xfId="0" applyNumberFormat="1" applyFont="1" applyBorder="1" applyAlignment="1">
      <alignment horizontal="center" vertical="center"/>
    </xf>
    <xf numFmtId="168" fontId="11" fillId="0" borderId="2" xfId="0" applyNumberFormat="1" applyFont="1" applyBorder="1" applyAlignment="1">
      <alignment horizontal="center" vertical="center"/>
    </xf>
    <xf numFmtId="49" fontId="18" fillId="13" borderId="13" xfId="0" applyNumberFormat="1" applyFont="1" applyFill="1" applyBorder="1" applyAlignment="1">
      <alignment horizontal="center" vertical="center"/>
    </xf>
    <xf numFmtId="169" fontId="19" fillId="13" borderId="14" xfId="0" applyNumberFormat="1" applyFont="1" applyFill="1" applyBorder="1" applyAlignment="1">
      <alignment horizontal="center" vertical="center"/>
    </xf>
    <xf numFmtId="1" fontId="18" fillId="13" borderId="14" xfId="0" applyNumberFormat="1" applyFont="1" applyFill="1" applyBorder="1" applyAlignment="1">
      <alignment horizontal="center" vertical="center"/>
    </xf>
    <xf numFmtId="16" fontId="18" fillId="13" borderId="14" xfId="0" applyNumberFormat="1" applyFont="1" applyFill="1" applyBorder="1" applyAlignment="1">
      <alignment horizontal="center" vertical="center"/>
    </xf>
    <xf numFmtId="49" fontId="20" fillId="13" borderId="14" xfId="0" applyNumberFormat="1" applyFont="1" applyFill="1" applyBorder="1" applyAlignment="1">
      <alignment horizontal="center" vertical="center"/>
    </xf>
    <xf numFmtId="168" fontId="18" fillId="13" borderId="14" xfId="0" applyNumberFormat="1" applyFont="1" applyFill="1" applyBorder="1" applyAlignment="1">
      <alignment horizontal="center" vertical="center"/>
    </xf>
    <xf numFmtId="49" fontId="18" fillId="13" borderId="15" xfId="0" applyNumberFormat="1" applyFont="1" applyFill="1" applyBorder="1" applyAlignment="1">
      <alignment horizontal="center" vertical="center"/>
    </xf>
    <xf numFmtId="49" fontId="18" fillId="17" borderId="13" xfId="0" applyNumberFormat="1" applyFont="1" applyFill="1" applyBorder="1" applyAlignment="1">
      <alignment horizontal="center" vertical="center"/>
    </xf>
    <xf numFmtId="169" fontId="19" fillId="17" borderId="14" xfId="0" applyNumberFormat="1" applyFont="1" applyFill="1" applyBorder="1" applyAlignment="1">
      <alignment horizontal="center" vertical="center"/>
    </xf>
    <xf numFmtId="1" fontId="18" fillId="17" borderId="14" xfId="0" applyNumberFormat="1" applyFont="1" applyFill="1" applyBorder="1" applyAlignment="1">
      <alignment horizontal="center" vertical="center"/>
    </xf>
    <xf numFmtId="16" fontId="18" fillId="17" borderId="14" xfId="0" applyNumberFormat="1" applyFont="1" applyFill="1" applyBorder="1" applyAlignment="1">
      <alignment horizontal="center" vertical="center"/>
    </xf>
    <xf numFmtId="49" fontId="20" fillId="17" borderId="14" xfId="0" applyNumberFormat="1" applyFont="1" applyFill="1" applyBorder="1" applyAlignment="1">
      <alignment horizontal="center" vertical="center"/>
    </xf>
    <xf numFmtId="168" fontId="18" fillId="17" borderId="14" xfId="0" applyNumberFormat="1" applyFont="1" applyFill="1" applyBorder="1" applyAlignment="1">
      <alignment horizontal="center" vertical="center"/>
    </xf>
    <xf numFmtId="49" fontId="18" fillId="17" borderId="15" xfId="0" applyNumberFormat="1" applyFont="1" applyFill="1" applyBorder="1" applyAlignment="1">
      <alignment horizontal="center" vertical="center"/>
    </xf>
    <xf numFmtId="0" fontId="11" fillId="15" borderId="2" xfId="0" applyFont="1" applyFill="1" applyBorder="1" applyAlignment="1">
      <alignment horizontal="center" vertical="center"/>
    </xf>
    <xf numFmtId="49" fontId="18" fillId="15" borderId="13" xfId="0" applyNumberFormat="1" applyFont="1" applyFill="1" applyBorder="1" applyAlignment="1">
      <alignment horizontal="center" vertical="center"/>
    </xf>
    <xf numFmtId="169" fontId="19" fillId="15" borderId="14" xfId="0" applyNumberFormat="1" applyFont="1" applyFill="1" applyBorder="1" applyAlignment="1">
      <alignment horizontal="center" vertical="center"/>
    </xf>
    <xf numFmtId="1" fontId="18" fillId="15" borderId="14" xfId="0" applyNumberFormat="1" applyFont="1" applyFill="1" applyBorder="1" applyAlignment="1">
      <alignment horizontal="center" vertical="center"/>
    </xf>
    <xf numFmtId="16" fontId="18" fillId="15" borderId="14" xfId="0" applyNumberFormat="1" applyFont="1" applyFill="1" applyBorder="1" applyAlignment="1">
      <alignment horizontal="center" vertical="center"/>
    </xf>
    <xf numFmtId="49" fontId="20" fillId="15" borderId="14" xfId="0" applyNumberFormat="1" applyFont="1" applyFill="1" applyBorder="1" applyAlignment="1">
      <alignment horizontal="center" vertical="center"/>
    </xf>
    <xf numFmtId="168" fontId="18" fillId="15" borderId="14" xfId="0" applyNumberFormat="1" applyFont="1" applyFill="1" applyBorder="1" applyAlignment="1">
      <alignment horizontal="center" vertical="center"/>
    </xf>
    <xf numFmtId="49" fontId="18" fillId="15" borderId="15" xfId="0" applyNumberFormat="1" applyFont="1" applyFill="1" applyBorder="1" applyAlignment="1">
      <alignment horizontal="center" vertical="center"/>
    </xf>
    <xf numFmtId="49" fontId="11" fillId="13" borderId="9" xfId="0" applyNumberFormat="1" applyFont="1" applyFill="1" applyBorder="1" applyAlignment="1">
      <alignment horizontal="center" vertical="center"/>
    </xf>
    <xf numFmtId="168" fontId="11" fillId="13" borderId="9" xfId="0" applyNumberFormat="1" applyFont="1" applyFill="1" applyBorder="1" applyAlignment="1">
      <alignment horizontal="center" vertical="center"/>
    </xf>
    <xf numFmtId="169" fontId="18" fillId="13" borderId="14" xfId="0" applyNumberFormat="1" applyFont="1" applyFill="1" applyBorder="1" applyAlignment="1">
      <alignment horizontal="center" vertical="center"/>
    </xf>
    <xf numFmtId="49" fontId="11" fillId="16" borderId="9" xfId="0" applyNumberFormat="1" applyFont="1" applyFill="1" applyBorder="1" applyAlignment="1">
      <alignment horizontal="center" vertical="center"/>
    </xf>
    <xf numFmtId="168" fontId="11" fillId="16" borderId="9" xfId="0" applyNumberFormat="1" applyFont="1" applyFill="1" applyBorder="1" applyAlignment="1">
      <alignment horizontal="center" vertical="center"/>
    </xf>
    <xf numFmtId="169" fontId="18" fillId="16" borderId="14" xfId="0" applyNumberFormat="1" applyFont="1" applyFill="1" applyBorder="1" applyAlignment="1">
      <alignment horizontal="center" vertical="center"/>
    </xf>
    <xf numFmtId="169" fontId="18" fillId="9" borderId="14" xfId="0" applyNumberFormat="1" applyFont="1" applyFill="1" applyBorder="1" applyAlignment="1">
      <alignment horizontal="center" vertical="center"/>
    </xf>
    <xf numFmtId="49" fontId="6" fillId="4" borderId="2" xfId="0" applyNumberFormat="1" applyFont="1" applyFill="1" applyBorder="1" applyAlignment="1">
      <alignment horizontal="center" vertical="center"/>
    </xf>
    <xf numFmtId="0" fontId="0" fillId="0" borderId="16" xfId="0" applyBorder="1"/>
    <xf numFmtId="0" fontId="0" fillId="0" borderId="17" xfId="0" applyBorder="1"/>
    <xf numFmtId="0" fontId="3" fillId="3" borderId="0" xfId="0" applyFont="1" applyFill="1" applyAlignment="1">
      <alignment horizontal="right" vertical="center"/>
    </xf>
    <xf numFmtId="0" fontId="0" fillId="0" borderId="0" xfId="0"/>
    <xf numFmtId="0" fontId="5" fillId="0" borderId="0" xfId="0" applyFont="1" applyAlignment="1">
      <alignment horizontal="right" vertical="center" readingOrder="2"/>
    </xf>
    <xf numFmtId="0" fontId="17" fillId="0" borderId="18" xfId="0" applyFont="1" applyBorder="1"/>
    <xf numFmtId="0" fontId="0" fillId="0" borderId="19" xfId="0" applyBorder="1"/>
    <xf numFmtId="0" fontId="0" fillId="0" borderId="20" xfId="0" applyBorder="1"/>
    <xf numFmtId="49" fontId="8" fillId="4" borderId="2" xfId="0" applyNumberFormat="1" applyFont="1" applyFill="1" applyBorder="1" applyAlignment="1">
      <alignment horizontal="center" vertical="center"/>
    </xf>
    <xf numFmtId="165" fontId="2" fillId="2" borderId="0" xfId="0" applyNumberFormat="1" applyFont="1" applyFill="1" applyAlignment="1">
      <alignment horizontal="center" vertical="center"/>
    </xf>
    <xf numFmtId="0" fontId="1" fillId="2" borderId="0" xfId="0" applyFont="1" applyFill="1" applyAlignment="1">
      <alignment horizontal="center" vertical="center"/>
    </xf>
    <xf numFmtId="167" fontId="3" fillId="3" borderId="0" xfId="0" applyNumberFormat="1" applyFont="1" applyFill="1" applyAlignment="1">
      <alignment horizontal="left" vertical="center"/>
    </xf>
    <xf numFmtId="18" fontId="3" fillId="3" borderId="0" xfId="0" applyNumberFormat="1" applyFont="1" applyFill="1" applyAlignment="1">
      <alignment horizontal="left" vertical="center"/>
    </xf>
    <xf numFmtId="0" fontId="6" fillId="4" borderId="2" xfId="0" applyFont="1" applyFill="1" applyBorder="1" applyAlignment="1">
      <alignment horizontal="center" vertical="center"/>
    </xf>
    <xf numFmtId="0" fontId="8" fillId="4" borderId="2" xfId="0" applyFont="1" applyFill="1" applyBorder="1" applyAlignment="1">
      <alignment horizontal="center" vertical="center"/>
    </xf>
    <xf numFmtId="0" fontId="0" fillId="0" borderId="18" xfId="0" applyBorder="1"/>
    <xf numFmtId="165" fontId="2" fillId="2" borderId="0" xfId="0" applyNumberFormat="1" applyFont="1" applyFill="1" applyAlignment="1">
      <alignment horizontal="left" vertical="center"/>
    </xf>
    <xf numFmtId="49" fontId="24" fillId="0" borderId="30" xfId="0" applyNumberFormat="1" applyFont="1" applyBorder="1" applyAlignment="1">
      <alignment horizontal="center" vertical="center"/>
    </xf>
    <xf numFmtId="0" fontId="0" fillId="0" borderId="34" xfId="0" applyBorder="1"/>
    <xf numFmtId="0" fontId="0" fillId="0" borderId="35" xfId="0" applyBorder="1"/>
    <xf numFmtId="0" fontId="31" fillId="0" borderId="0" xfId="0" applyFont="1" applyAlignment="1">
      <alignment horizontal="center" vertical="center"/>
    </xf>
    <xf numFmtId="0" fontId="31" fillId="0" borderId="0" xfId="0" applyFont="1"/>
    <xf numFmtId="170" fontId="31" fillId="0" borderId="0" xfId="0" applyNumberFormat="1" applyFont="1" applyAlignment="1">
      <alignment horizontal="center" vertical="center"/>
    </xf>
    <xf numFmtId="15" fontId="31" fillId="0" borderId="0" xfId="0" applyNumberFormat="1" applyFont="1" applyAlignment="1">
      <alignment horizontal="center" vertical="center"/>
    </xf>
    <xf numFmtId="49" fontId="31" fillId="0" borderId="0" xfId="0" applyNumberFormat="1" applyFont="1" applyAlignment="1">
      <alignment horizontal="center" vertical="center"/>
    </xf>
    <xf numFmtId="168" fontId="31" fillId="0" borderId="0" xfId="0" applyNumberFormat="1" applyFont="1" applyAlignment="1">
      <alignment horizontal="center" vertical="center"/>
    </xf>
    <xf numFmtId="169" fontId="31" fillId="0" borderId="0" xfId="0" applyNumberFormat="1" applyFont="1" applyAlignment="1">
      <alignment horizontal="center" vertical="center"/>
    </xf>
    <xf numFmtId="1" fontId="31" fillId="0" borderId="0" xfId="0" applyNumberFormat="1" applyFont="1" applyAlignment="1">
      <alignment horizontal="center" vertical="center"/>
    </xf>
    <xf numFmtId="16" fontId="31" fillId="0" borderId="0" xfId="0" applyNumberFormat="1" applyFont="1" applyAlignment="1">
      <alignment horizontal="center" vertical="center"/>
    </xf>
    <xf numFmtId="0" fontId="32" fillId="18" borderId="0" xfId="0" applyFont="1" applyFill="1" applyAlignment="1">
      <alignment horizontal="center" vertical="center"/>
    </xf>
    <xf numFmtId="15" fontId="32" fillId="18" borderId="0" xfId="0" applyNumberFormat="1" applyFont="1" applyFill="1" applyAlignment="1">
      <alignment horizontal="center" vertical="center"/>
    </xf>
    <xf numFmtId="169" fontId="32" fillId="18" borderId="0" xfId="0" applyNumberFormat="1" applyFont="1" applyFill="1" applyAlignment="1">
      <alignment horizontal="center" vertical="center"/>
    </xf>
    <xf numFmtId="1" fontId="32" fillId="18" borderId="0" xfId="0" applyNumberFormat="1" applyFont="1" applyFill="1" applyAlignment="1">
      <alignment horizontal="center" vertical="center"/>
    </xf>
    <xf numFmtId="0" fontId="32" fillId="18" borderId="0" xfId="0" applyNumberFormat="1" applyFont="1" applyFill="1" applyAlignment="1">
      <alignment horizontal="center" vertical="center"/>
    </xf>
    <xf numFmtId="0" fontId="16" fillId="8" borderId="36" xfId="0" applyFont="1" applyFill="1" applyBorder="1" applyAlignment="1">
      <alignment horizontal="center" vertical="center"/>
    </xf>
    <xf numFmtId="0" fontId="16" fillId="8" borderId="37" xfId="0" applyFont="1" applyFill="1" applyBorder="1" applyAlignment="1">
      <alignment horizontal="center" vertical="center"/>
    </xf>
    <xf numFmtId="0" fontId="16" fillId="8" borderId="38" xfId="0" applyFont="1" applyFill="1" applyBorder="1" applyAlignment="1">
      <alignment horizontal="center" vertical="center"/>
    </xf>
  </cellXfs>
  <cellStyles count="1">
    <cellStyle name="Normal" xfId="0" builtinId="0"/>
  </cellStyles>
  <dxfs count="1500">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0" formatCode="General"/>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 formatCode="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169" formatCode="0.0%"/>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numFmt numFmtId="20" formatCode="d\-mmm\-yy"/>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6"/>
        <color rgb="FFFFFFFF"/>
        <name val="Calibri"/>
        <family val="2"/>
        <scheme val="minor"/>
      </font>
      <fill>
        <patternFill patternType="solid">
          <fgColor indexed="64"/>
          <bgColor rgb="FF365492"/>
        </patternFill>
      </fill>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alignment horizontal="center" vertical="center" textRotation="0" wrapText="0" indent="0" justifyLastLine="0" shrinkToFit="0" readingOrder="0"/>
    </dxf>
    <dxf>
      <font>
        <b/>
        <i/>
        <strike val="0"/>
        <outline val="0"/>
        <shadow val="0"/>
        <u val="none"/>
        <vertAlign val="baseline"/>
        <sz val="12"/>
        <color theme="1"/>
        <name val="Calibri"/>
        <family val="2"/>
        <scheme val="minor"/>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07" Type="http://schemas.openxmlformats.org/officeDocument/2006/relationships/sharedStrings" Target="sharedStrings.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6"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ED_CAI_LF_LEGACY" displayName="MED_CAI_LF_LEGACY" ref="A1:AJ4" totalsRowCount="1" headerRowDxfId="1499" dataDxfId="1462" totalsRowDxfId="1425">
  <tableColumns count="36">
    <tableColumn id="1" xr3:uid="{00000000-0010-0000-0000-000001000000}" name="Day" totalsRowLabel="TOTAL" dataDxfId="1498" totalsRowDxfId="1461"/>
    <tableColumn id="2" xr3:uid="{00000000-0010-0000-0000-000002000000}" name="Flt Dt" dataDxfId="1497" totalsRowDxfId="1460"/>
    <tableColumn id="3" xr3:uid="{00000000-0010-0000-0000-000003000000}" name="Flt" totalsRowFunction="count" dataDxfId="1496" totalsRowDxfId="1459"/>
    <tableColumn id="4" xr3:uid="{00000000-0010-0000-0000-000004000000}" name="DEP" dataDxfId="1495" totalsRowDxfId="1458"/>
    <tableColumn id="5" xr3:uid="{00000000-0010-0000-0000-000005000000}" name="Brd-Off" totalsRowFunction="count" dataDxfId="1494" totalsRowDxfId="1457"/>
    <tableColumn id="6" xr3:uid="{00000000-0010-0000-0000-000006000000}" name="Eqp" dataDxfId="1493" totalsRowDxfId="1456"/>
    <tableColumn id="7" xr3:uid="{00000000-0010-0000-0000-000007000000}" name="LF%" totalsRowFunction="average" dataDxfId="1492" totalsRowDxfId="1455"/>
    <tableColumn id="8" xr3:uid="{00000000-0010-0000-0000-000008000000}" name="CAP" totalsRowFunction="sum" dataDxfId="1491" totalsRowDxfId="1454"/>
    <tableColumn id="9" xr3:uid="{00000000-0010-0000-0000-000009000000}" name="BKG(Y)" totalsRowFunction="sum" dataDxfId="1490" totalsRowDxfId="1453"/>
    <tableColumn id="10" xr3:uid="{00000000-0010-0000-0000-00000A000000}" name="GRP(Y)" totalsRowFunction="sum" dataDxfId="1489" totalsRowDxfId="1452"/>
    <tableColumn id="11" xr3:uid="{00000000-0010-0000-0000-00000B000000}" name="FLT ST" dataDxfId="1488" totalsRowDxfId="1451"/>
    <tableColumn id="12" xr3:uid="{00000000-0010-0000-0000-00000C000000}" name="LST-SOLD" dataDxfId="1487" totalsRowDxfId="1450"/>
    <tableColumn id="13" xr3:uid="{00000000-0010-0000-0000-00000D000000}" name="TO-DAY" totalsRowFunction="sum" dataDxfId="1486" totalsRowDxfId="1449"/>
    <tableColumn id="14" xr3:uid="{00000000-0010-0000-0000-00000E000000}" name="Y-DAY" totalsRowFunction="sum" dataDxfId="1485" totalsRowDxfId="1448"/>
    <tableColumn id="15" xr3:uid="{00000000-0010-0000-0000-00000F000000}" name="WEEKLY" totalsRowFunction="sum" dataDxfId="1484" totalsRowDxfId="1447"/>
    <tableColumn id="16" xr3:uid="{00000000-0010-0000-0000-000010000000}" name="LOWEST AVAIL" dataDxfId="1483" totalsRowDxfId="1446"/>
    <tableColumn id="17" xr3:uid="{00000000-0010-0000-0000-000011000000}" name="Y" totalsRowFunction="sum" dataDxfId="1482" totalsRowDxfId="1445"/>
    <tableColumn id="18" xr3:uid="{00000000-0010-0000-0000-000012000000}" name="B" totalsRowFunction="sum" dataDxfId="1481" totalsRowDxfId="1444"/>
    <tableColumn id="19" xr3:uid="{00000000-0010-0000-0000-000013000000}" name="M" totalsRowFunction="sum" dataDxfId="1480" totalsRowDxfId="1443"/>
    <tableColumn id="20" xr3:uid="{00000000-0010-0000-0000-000014000000}" name="H" totalsRowFunction="sum" dataDxfId="1479" totalsRowDxfId="1442"/>
    <tableColumn id="21" xr3:uid="{00000000-0010-0000-0000-000015000000}" name="Q" totalsRowFunction="sum" dataDxfId="1478" totalsRowDxfId="1441"/>
    <tableColumn id="22" xr3:uid="{00000000-0010-0000-0000-000016000000}" name="K" totalsRowFunction="sum" dataDxfId="1477" totalsRowDxfId="1440"/>
    <tableColumn id="23" xr3:uid="{00000000-0010-0000-0000-000017000000}" name="V" totalsRowFunction="sum" dataDxfId="1476" totalsRowDxfId="1439"/>
    <tableColumn id="24" xr3:uid="{00000000-0010-0000-0000-000018000000}" name="L" totalsRowFunction="sum" dataDxfId="1475" totalsRowDxfId="1438"/>
    <tableColumn id="25" xr3:uid="{00000000-0010-0000-0000-000019000000}" name="G" totalsRowFunction="sum" dataDxfId="1474" totalsRowDxfId="1437"/>
    <tableColumn id="26" xr3:uid="{00000000-0010-0000-0000-00001A000000}" name="S" totalsRowFunction="sum" dataDxfId="1473" totalsRowDxfId="1436"/>
    <tableColumn id="27" xr3:uid="{00000000-0010-0000-0000-00001B000000}" name="W" totalsRowFunction="sum" dataDxfId="1472" totalsRowDxfId="1435"/>
    <tableColumn id="28" xr3:uid="{00000000-0010-0000-0000-00001C000000}" name="T" totalsRowFunction="sum" dataDxfId="1471" totalsRowDxfId="1434"/>
    <tableColumn id="29" xr3:uid="{00000000-0010-0000-0000-00001D000000}" name="X" totalsRowFunction="sum" dataDxfId="1470" totalsRowDxfId="1433"/>
    <tableColumn id="30" xr3:uid="{00000000-0010-0000-0000-00001E000000}" name="U" totalsRowFunction="sum" dataDxfId="1469" totalsRowDxfId="1432"/>
    <tableColumn id="31" xr3:uid="{00000000-0010-0000-0000-00001F000000}" name="O" totalsRowFunction="sum" dataDxfId="1468" totalsRowDxfId="1431"/>
    <tableColumn id="32" xr3:uid="{00000000-0010-0000-0000-000020000000}" name="I" totalsRowFunction="sum" dataDxfId="1467" totalsRowDxfId="1430"/>
    <tableColumn id="33" xr3:uid="{00000000-0010-0000-0000-000021000000}" name="E" totalsRowFunction="sum" dataDxfId="1466" totalsRowDxfId="1429"/>
    <tableColumn id="34" xr3:uid="{00000000-0010-0000-0000-000022000000}" name="A" totalsRowFunction="sum" dataDxfId="1465" totalsRowDxfId="1428"/>
    <tableColumn id="35" xr3:uid="{00000000-0010-0000-0000-000023000000}" name="P" totalsRowFunction="sum" dataDxfId="1464" totalsRowDxfId="1427"/>
    <tableColumn id="36" xr3:uid="{00000000-0010-0000-0000-000024000000}" name="N" totalsRowFunction="count" dataDxfId="1463" totalsRowDxfId="142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ocusMode_MED_CAI" displayName="FocusMode_MED_CAI" ref="A1:H50" totalsRowShown="0">
  <autoFilter ref="A1:H50" xr:uid="{00000000-0009-0000-0100-000002000000}"/>
  <tableColumns count="8">
    <tableColumn id="1" xr3:uid="{00000000-0010-0000-0100-000001000000}" name="DATE"/>
    <tableColumn id="2" xr3:uid="{00000000-0010-0000-0100-000002000000}" name="AIRLINE"/>
    <tableColumn id="3" xr3:uid="{00000000-0010-0000-0100-000003000000}" name="FLIGHT NUM"/>
    <tableColumn id="4" xr3:uid="{00000000-0010-0000-0100-000004000000}" name="ROUTE"/>
    <tableColumn id="5" xr3:uid="{00000000-0010-0000-0100-000005000000}" name="DEPARTURE"/>
    <tableColumn id="6" xr3:uid="{00000000-0010-0000-0100-000006000000}" name="BAGGAGE"/>
    <tableColumn id="7" xr3:uid="{00000000-0010-0000-0100-000007000000}" name="AVAILABILITY"/>
    <tableColumn id="8" xr3:uid="{00000000-0010-0000-0100-000008000000}" name="PUBLISHED FAR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hreatsAlert_MED_CAI" displayName="ThreatsAlert_MED_CAI" ref="A1:H20" totalsRowShown="0">
  <autoFilter ref="A1:H20" xr:uid="{00000000-0009-0000-0100-000003000000}"/>
  <tableColumns count="8">
    <tableColumn id="1" xr3:uid="{00000000-0010-0000-0200-000001000000}" name="DATE"/>
    <tableColumn id="2" xr3:uid="{00000000-0010-0000-0200-000002000000}" name="AIRLINE"/>
    <tableColumn id="3" xr3:uid="{00000000-0010-0000-0200-000003000000}" name="FLIGHT NUM"/>
    <tableColumn id="4" xr3:uid="{00000000-0010-0000-0200-000004000000}" name="ROUTE"/>
    <tableColumn id="5" xr3:uid="{00000000-0010-0000-0200-000005000000}" name="DEPARTURE"/>
    <tableColumn id="6" xr3:uid="{00000000-0010-0000-0200-000006000000}" name="BAGGAGE"/>
    <tableColumn id="7" xr3:uid="{00000000-0010-0000-0200-000007000000}" name="AVAILABILITY"/>
    <tableColumn id="8" xr3:uid="{00000000-0010-0000-0200-000008000000}" name="PUBLISHED FAR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MED_HBE_LF_LEGACY" displayName="MED_HBE_LF_LEGACY" ref="A1:AJ3" totalsRowCount="1" headerRowDxfId="1424" dataDxfId="1387" totalsRowDxfId="1350">
  <tableColumns count="36">
    <tableColumn id="1" xr3:uid="{00000000-0010-0000-0300-000001000000}" name="Day" totalsRowLabel="TOTAL" dataDxfId="1423" totalsRowDxfId="1386"/>
    <tableColumn id="2" xr3:uid="{00000000-0010-0000-0300-000002000000}" name="Flt Dt" dataDxfId="1422" totalsRowDxfId="1385"/>
    <tableColumn id="3" xr3:uid="{00000000-0010-0000-0300-000003000000}" name="Flt" totalsRowFunction="count" dataDxfId="1421" totalsRowDxfId="1384"/>
    <tableColumn id="4" xr3:uid="{00000000-0010-0000-0300-000004000000}" name="DEP" dataDxfId="1420" totalsRowDxfId="1383"/>
    <tableColumn id="5" xr3:uid="{00000000-0010-0000-0300-000005000000}" name="Brd-Off" totalsRowFunction="count" dataDxfId="1419" totalsRowDxfId="1382"/>
    <tableColumn id="6" xr3:uid="{00000000-0010-0000-0300-000006000000}" name="Eqp" dataDxfId="1418" totalsRowDxfId="1381"/>
    <tableColumn id="7" xr3:uid="{00000000-0010-0000-0300-000007000000}" name="LF%" totalsRowFunction="average" dataDxfId="1417" totalsRowDxfId="1380"/>
    <tableColumn id="8" xr3:uid="{00000000-0010-0000-0300-000008000000}" name="CAP" totalsRowFunction="sum" dataDxfId="1416" totalsRowDxfId="1379"/>
    <tableColumn id="9" xr3:uid="{00000000-0010-0000-0300-000009000000}" name="BKG(Y)" totalsRowFunction="sum" dataDxfId="1415" totalsRowDxfId="1378"/>
    <tableColumn id="10" xr3:uid="{00000000-0010-0000-0300-00000A000000}" name="GRP(Y)" totalsRowFunction="sum" dataDxfId="1414" totalsRowDxfId="1377"/>
    <tableColumn id="11" xr3:uid="{00000000-0010-0000-0300-00000B000000}" name="FLT ST" dataDxfId="1413" totalsRowDxfId="1376"/>
    <tableColumn id="12" xr3:uid="{00000000-0010-0000-0300-00000C000000}" name="LST-SOLD" dataDxfId="1412" totalsRowDxfId="1375"/>
    <tableColumn id="13" xr3:uid="{00000000-0010-0000-0300-00000D000000}" name="TO-DAY" totalsRowFunction="sum" dataDxfId="1411" totalsRowDxfId="1374"/>
    <tableColumn id="14" xr3:uid="{00000000-0010-0000-0300-00000E000000}" name="Y-DAY" totalsRowFunction="sum" dataDxfId="1410" totalsRowDxfId="1373"/>
    <tableColumn id="15" xr3:uid="{00000000-0010-0000-0300-00000F000000}" name="WEEKLY" totalsRowFunction="sum" dataDxfId="1409" totalsRowDxfId="1372"/>
    <tableColumn id="16" xr3:uid="{00000000-0010-0000-0300-000010000000}" name="LOWEST AVAIL" dataDxfId="1408" totalsRowDxfId="1371"/>
    <tableColumn id="17" xr3:uid="{00000000-0010-0000-0300-000011000000}" name="Y" totalsRowFunction="sum" dataDxfId="1407" totalsRowDxfId="1370"/>
    <tableColumn id="18" xr3:uid="{00000000-0010-0000-0300-000012000000}" name="B" totalsRowFunction="sum" dataDxfId="1406" totalsRowDxfId="1369"/>
    <tableColumn id="19" xr3:uid="{00000000-0010-0000-0300-000013000000}" name="M" totalsRowFunction="sum" dataDxfId="1405" totalsRowDxfId="1368"/>
    <tableColumn id="20" xr3:uid="{00000000-0010-0000-0300-000014000000}" name="H" totalsRowFunction="sum" dataDxfId="1404" totalsRowDxfId="1367"/>
    <tableColumn id="21" xr3:uid="{00000000-0010-0000-0300-000015000000}" name="Q" totalsRowFunction="sum" dataDxfId="1403" totalsRowDxfId="1366"/>
    <tableColumn id="22" xr3:uid="{00000000-0010-0000-0300-000016000000}" name="K" totalsRowFunction="sum" dataDxfId="1402" totalsRowDxfId="1365"/>
    <tableColumn id="23" xr3:uid="{00000000-0010-0000-0300-000017000000}" name="V" totalsRowFunction="sum" dataDxfId="1401" totalsRowDxfId="1364"/>
    <tableColumn id="24" xr3:uid="{00000000-0010-0000-0300-000018000000}" name="L" totalsRowFunction="sum" dataDxfId="1400" totalsRowDxfId="1363"/>
    <tableColumn id="25" xr3:uid="{00000000-0010-0000-0300-000019000000}" name="G" totalsRowFunction="sum" dataDxfId="1399" totalsRowDxfId="1362"/>
    <tableColumn id="26" xr3:uid="{00000000-0010-0000-0300-00001A000000}" name="S" totalsRowFunction="sum" dataDxfId="1398" totalsRowDxfId="1361"/>
    <tableColumn id="27" xr3:uid="{00000000-0010-0000-0300-00001B000000}" name="W" totalsRowFunction="sum" dataDxfId="1397" totalsRowDxfId="1360"/>
    <tableColumn id="28" xr3:uid="{00000000-0010-0000-0300-00001C000000}" name="T" totalsRowFunction="sum" dataDxfId="1396" totalsRowDxfId="1359"/>
    <tableColumn id="29" xr3:uid="{00000000-0010-0000-0300-00001D000000}" name="X" totalsRowFunction="sum" dataDxfId="1395" totalsRowDxfId="1358"/>
    <tableColumn id="30" xr3:uid="{00000000-0010-0000-0300-00001E000000}" name="U" totalsRowFunction="sum" dataDxfId="1394" totalsRowDxfId="1357"/>
    <tableColumn id="31" xr3:uid="{00000000-0010-0000-0300-00001F000000}" name="O" totalsRowFunction="sum" dataDxfId="1393" totalsRowDxfId="1356"/>
    <tableColumn id="32" xr3:uid="{00000000-0010-0000-0300-000020000000}" name="I" totalsRowFunction="sum" dataDxfId="1392" totalsRowDxfId="1355"/>
    <tableColumn id="33" xr3:uid="{00000000-0010-0000-0300-000021000000}" name="E" totalsRowFunction="sum" dataDxfId="1391" totalsRowDxfId="1354"/>
    <tableColumn id="34" xr3:uid="{00000000-0010-0000-0300-000022000000}" name="A" totalsRowFunction="sum" dataDxfId="1390" totalsRowDxfId="1353"/>
    <tableColumn id="35" xr3:uid="{00000000-0010-0000-0300-000023000000}" name="P" totalsRowFunction="sum" dataDxfId="1389" totalsRowDxfId="1352"/>
    <tableColumn id="36" xr3:uid="{00000000-0010-0000-0300-000024000000}" name="N" totalsRowFunction="count" dataDxfId="1388" totalsRowDxfId="1351"/>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FocusMode_MED_HBE" displayName="FocusMode_MED_HBE" ref="A1:H36" totalsRowShown="0">
  <autoFilter ref="A1:H36" xr:uid="{00000000-0009-0000-0100-000005000000}"/>
  <tableColumns count="8">
    <tableColumn id="1" xr3:uid="{00000000-0010-0000-0400-000001000000}" name="DATE"/>
    <tableColumn id="2" xr3:uid="{00000000-0010-0000-0400-000002000000}" name="AIRLINE"/>
    <tableColumn id="3" xr3:uid="{00000000-0010-0000-0400-000003000000}" name="FLIGHT NUM"/>
    <tableColumn id="4" xr3:uid="{00000000-0010-0000-0400-000004000000}" name="ROUTE"/>
    <tableColumn id="5" xr3:uid="{00000000-0010-0000-0400-000005000000}" name="DEPARTURE"/>
    <tableColumn id="6" xr3:uid="{00000000-0010-0000-0400-000006000000}" name="BAGGAGE"/>
    <tableColumn id="7" xr3:uid="{00000000-0010-0000-0400-000007000000}" name="AVAILABILITY"/>
    <tableColumn id="8" xr3:uid="{00000000-0010-0000-0400-000008000000}" name="PUBLISHED FAR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hreatsAlert_MED_HBE" displayName="ThreatsAlert_MED_HBE" ref="A1:H36" totalsRowShown="0">
  <autoFilter ref="A1:H36" xr:uid="{00000000-0009-0000-0100-000006000000}"/>
  <tableColumns count="8">
    <tableColumn id="1" xr3:uid="{00000000-0010-0000-0500-000001000000}" name="DATE"/>
    <tableColumn id="2" xr3:uid="{00000000-0010-0000-0500-000002000000}" name="AIRLINE"/>
    <tableColumn id="3" xr3:uid="{00000000-0010-0000-0500-000003000000}" name="FLIGHT NUM"/>
    <tableColumn id="4" xr3:uid="{00000000-0010-0000-0500-000004000000}" name="ROUTE"/>
    <tableColumn id="5" xr3:uid="{00000000-0010-0000-0500-000005000000}" name="DEPARTURE"/>
    <tableColumn id="6" xr3:uid="{00000000-0010-0000-0500-000006000000}" name="BAGGAGE"/>
    <tableColumn id="7" xr3:uid="{00000000-0010-0000-0500-000007000000}" name="AVAILABILITY"/>
    <tableColumn id="8" xr3:uid="{00000000-0010-0000-0500-000008000000}" name="PUBLISHED FARE"/>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MED_ATZ_LF_LEGACY" displayName="MED_ATZ_LF_LEGACY" ref="A1:AJ3" totalsRowCount="1" headerRowDxfId="1349" dataDxfId="1312" totalsRowDxfId="1275">
  <tableColumns count="36">
    <tableColumn id="1" xr3:uid="{00000000-0010-0000-0600-000001000000}" name="Day" totalsRowLabel="TOTAL" dataDxfId="1348" totalsRowDxfId="1311"/>
    <tableColumn id="2" xr3:uid="{00000000-0010-0000-0600-000002000000}" name="Flt Dt" dataDxfId="1347" totalsRowDxfId="1310"/>
    <tableColumn id="3" xr3:uid="{00000000-0010-0000-0600-000003000000}" name="Flt" totalsRowFunction="count" dataDxfId="1346" totalsRowDxfId="1309"/>
    <tableColumn id="4" xr3:uid="{00000000-0010-0000-0600-000004000000}" name="DEP" dataDxfId="1345" totalsRowDxfId="1308"/>
    <tableColumn id="5" xr3:uid="{00000000-0010-0000-0600-000005000000}" name="Brd-Off" totalsRowFunction="count" dataDxfId="1344" totalsRowDxfId="1307"/>
    <tableColumn id="6" xr3:uid="{00000000-0010-0000-0600-000006000000}" name="Eqp" dataDxfId="1343" totalsRowDxfId="1306"/>
    <tableColumn id="7" xr3:uid="{00000000-0010-0000-0600-000007000000}" name="LF%" totalsRowFunction="average" dataDxfId="1342" totalsRowDxfId="1305"/>
    <tableColumn id="8" xr3:uid="{00000000-0010-0000-0600-000008000000}" name="CAP" totalsRowFunction="sum" dataDxfId="1341" totalsRowDxfId="1304"/>
    <tableColumn id="9" xr3:uid="{00000000-0010-0000-0600-000009000000}" name="BKG(Y)" totalsRowFunction="sum" dataDxfId="1340" totalsRowDxfId="1303"/>
    <tableColumn id="10" xr3:uid="{00000000-0010-0000-0600-00000A000000}" name="GRP(Y)" totalsRowFunction="sum" dataDxfId="1339" totalsRowDxfId="1302"/>
    <tableColumn id="11" xr3:uid="{00000000-0010-0000-0600-00000B000000}" name="FLT ST" dataDxfId="1338" totalsRowDxfId="1301"/>
    <tableColumn id="12" xr3:uid="{00000000-0010-0000-0600-00000C000000}" name="LST-SOLD" dataDxfId="1337" totalsRowDxfId="1300"/>
    <tableColumn id="13" xr3:uid="{00000000-0010-0000-0600-00000D000000}" name="TO-DAY" totalsRowFunction="sum" dataDxfId="1336" totalsRowDxfId="1299"/>
    <tableColumn id="14" xr3:uid="{00000000-0010-0000-0600-00000E000000}" name="Y-DAY" totalsRowFunction="sum" dataDxfId="1335" totalsRowDxfId="1298"/>
    <tableColumn id="15" xr3:uid="{00000000-0010-0000-0600-00000F000000}" name="WEEKLY" totalsRowFunction="sum" dataDxfId="1334" totalsRowDxfId="1297"/>
    <tableColumn id="16" xr3:uid="{00000000-0010-0000-0600-000010000000}" name="LOWEST AVAIL" dataDxfId="1333" totalsRowDxfId="1296"/>
    <tableColumn id="17" xr3:uid="{00000000-0010-0000-0600-000011000000}" name="Y" totalsRowFunction="sum" dataDxfId="1332" totalsRowDxfId="1295"/>
    <tableColumn id="18" xr3:uid="{00000000-0010-0000-0600-000012000000}" name="B" totalsRowFunction="sum" dataDxfId="1331" totalsRowDxfId="1294"/>
    <tableColumn id="19" xr3:uid="{00000000-0010-0000-0600-000013000000}" name="M" totalsRowFunction="sum" dataDxfId="1330" totalsRowDxfId="1293"/>
    <tableColumn id="20" xr3:uid="{00000000-0010-0000-0600-000014000000}" name="H" totalsRowFunction="sum" dataDxfId="1329" totalsRowDxfId="1292"/>
    <tableColumn id="21" xr3:uid="{00000000-0010-0000-0600-000015000000}" name="Q" totalsRowFunction="sum" dataDxfId="1328" totalsRowDxfId="1291"/>
    <tableColumn id="22" xr3:uid="{00000000-0010-0000-0600-000016000000}" name="K" totalsRowFunction="sum" dataDxfId="1327" totalsRowDxfId="1290"/>
    <tableColumn id="23" xr3:uid="{00000000-0010-0000-0600-000017000000}" name="V" totalsRowFunction="sum" dataDxfId="1326" totalsRowDxfId="1289"/>
    <tableColumn id="24" xr3:uid="{00000000-0010-0000-0600-000018000000}" name="L" totalsRowFunction="sum" dataDxfId="1325" totalsRowDxfId="1288"/>
    <tableColumn id="25" xr3:uid="{00000000-0010-0000-0600-000019000000}" name="G" totalsRowFunction="sum" dataDxfId="1324" totalsRowDxfId="1287"/>
    <tableColumn id="26" xr3:uid="{00000000-0010-0000-0600-00001A000000}" name="S" totalsRowFunction="sum" dataDxfId="1323" totalsRowDxfId="1286"/>
    <tableColumn id="27" xr3:uid="{00000000-0010-0000-0600-00001B000000}" name="W" totalsRowFunction="sum" dataDxfId="1322" totalsRowDxfId="1285"/>
    <tableColumn id="28" xr3:uid="{00000000-0010-0000-0600-00001C000000}" name="T" totalsRowFunction="sum" dataDxfId="1321" totalsRowDxfId="1284"/>
    <tableColumn id="29" xr3:uid="{00000000-0010-0000-0600-00001D000000}" name="X" totalsRowFunction="sum" dataDxfId="1320" totalsRowDxfId="1283"/>
    <tableColumn id="30" xr3:uid="{00000000-0010-0000-0600-00001E000000}" name="U" totalsRowFunction="sum" dataDxfId="1319" totalsRowDxfId="1282"/>
    <tableColumn id="31" xr3:uid="{00000000-0010-0000-0600-00001F000000}" name="O" totalsRowFunction="sum" dataDxfId="1318" totalsRowDxfId="1281"/>
    <tableColumn id="32" xr3:uid="{00000000-0010-0000-0600-000020000000}" name="I" totalsRowFunction="sum" dataDxfId="1317" totalsRowDxfId="1280"/>
    <tableColumn id="33" xr3:uid="{00000000-0010-0000-0600-000021000000}" name="E" totalsRowFunction="sum" dataDxfId="1316" totalsRowDxfId="1279"/>
    <tableColumn id="34" xr3:uid="{00000000-0010-0000-0600-000022000000}" name="A" totalsRowFunction="sum" dataDxfId="1315" totalsRowDxfId="1278"/>
    <tableColumn id="35" xr3:uid="{00000000-0010-0000-0600-000023000000}" name="P" totalsRowFunction="sum" dataDxfId="1314" totalsRowDxfId="1277"/>
    <tableColumn id="36" xr3:uid="{00000000-0010-0000-0600-000024000000}" name="N" totalsRowFunction="count" dataDxfId="1313" totalsRowDxfId="1276"/>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FocusMode_MED_ATZ" displayName="FocusMode_MED_ATZ" ref="A1:H35" totalsRowShown="0">
  <autoFilter ref="A1:H35" xr:uid="{00000000-0009-0000-0100-000008000000}"/>
  <tableColumns count="8">
    <tableColumn id="1" xr3:uid="{00000000-0010-0000-0700-000001000000}" name="DATE"/>
    <tableColumn id="2" xr3:uid="{00000000-0010-0000-0700-000002000000}" name="AIRLINE"/>
    <tableColumn id="3" xr3:uid="{00000000-0010-0000-0700-000003000000}" name="FLIGHT NUM"/>
    <tableColumn id="4" xr3:uid="{00000000-0010-0000-0700-000004000000}" name="ROUTE"/>
    <tableColumn id="5" xr3:uid="{00000000-0010-0000-0700-000005000000}" name="DEPARTURE"/>
    <tableColumn id="6" xr3:uid="{00000000-0010-0000-0700-000006000000}" name="BAGGAGE"/>
    <tableColumn id="7" xr3:uid="{00000000-0010-0000-0700-000007000000}" name="AVAILABILITY"/>
    <tableColumn id="8" xr3:uid="{00000000-0010-0000-0700-000008000000}" name="PUBLISHED FARE"/>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hreatsAlert_MED_ATZ" displayName="ThreatsAlert_MED_ATZ" ref="A1:H35" totalsRowShown="0">
  <autoFilter ref="A1:H35" xr:uid="{00000000-0009-0000-0100-000009000000}"/>
  <tableColumns count="8">
    <tableColumn id="1" xr3:uid="{00000000-0010-0000-0800-000001000000}" name="DATE"/>
    <tableColumn id="2" xr3:uid="{00000000-0010-0000-0800-000002000000}" name="AIRLINE"/>
    <tableColumn id="3" xr3:uid="{00000000-0010-0000-0800-000003000000}" name="FLIGHT NUM"/>
    <tableColumn id="4" xr3:uid="{00000000-0010-0000-0800-000004000000}" name="ROUTE"/>
    <tableColumn id="5" xr3:uid="{00000000-0010-0000-0800-000005000000}" name="DEPARTURE"/>
    <tableColumn id="6" xr3:uid="{00000000-0010-0000-0800-000006000000}" name="BAGGAGE"/>
    <tableColumn id="7" xr3:uid="{00000000-0010-0000-0800-000007000000}" name="AVAILABILITY"/>
    <tableColumn id="8" xr3:uid="{00000000-0010-0000-0800-000008000000}" name="PUBLISHED FARE"/>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JED_CAI_LF_LEGACY" displayName="JED_CAI_LF_LEGACY" ref="A1:AJ16" totalsRowCount="1" headerRowDxfId="1274" dataDxfId="1237" totalsRowDxfId="1200">
  <tableColumns count="36">
    <tableColumn id="1" xr3:uid="{00000000-0010-0000-0900-000001000000}" name="Day" totalsRowLabel="TOTAL" dataDxfId="1273" totalsRowDxfId="1236"/>
    <tableColumn id="2" xr3:uid="{00000000-0010-0000-0900-000002000000}" name="Flt Dt" dataDxfId="1272" totalsRowDxfId="1235"/>
    <tableColumn id="3" xr3:uid="{00000000-0010-0000-0900-000003000000}" name="Flt" totalsRowFunction="count" dataDxfId="1271" totalsRowDxfId="1234"/>
    <tableColumn id="4" xr3:uid="{00000000-0010-0000-0900-000004000000}" name="DEP" dataDxfId="1270" totalsRowDxfId="1233"/>
    <tableColumn id="5" xr3:uid="{00000000-0010-0000-0900-000005000000}" name="Brd-Off" totalsRowFunction="count" dataDxfId="1269" totalsRowDxfId="1232"/>
    <tableColumn id="6" xr3:uid="{00000000-0010-0000-0900-000006000000}" name="Eqp" dataDxfId="1268" totalsRowDxfId="1231"/>
    <tableColumn id="7" xr3:uid="{00000000-0010-0000-0900-000007000000}" name="LF%" totalsRowFunction="average" dataDxfId="1267" totalsRowDxfId="1230"/>
    <tableColumn id="8" xr3:uid="{00000000-0010-0000-0900-000008000000}" name="CAP" totalsRowFunction="sum" dataDxfId="1266" totalsRowDxfId="1229"/>
    <tableColumn id="9" xr3:uid="{00000000-0010-0000-0900-000009000000}" name="BKG(Y)" totalsRowFunction="sum" dataDxfId="1265" totalsRowDxfId="1228"/>
    <tableColumn id="10" xr3:uid="{00000000-0010-0000-0900-00000A000000}" name="GRP(Y)" totalsRowFunction="sum" dataDxfId="1264" totalsRowDxfId="1227"/>
    <tableColumn id="11" xr3:uid="{00000000-0010-0000-0900-00000B000000}" name="FLT ST" dataDxfId="1263" totalsRowDxfId="1226"/>
    <tableColumn id="12" xr3:uid="{00000000-0010-0000-0900-00000C000000}" name="LST-SOLD" dataDxfId="1262" totalsRowDxfId="1225"/>
    <tableColumn id="13" xr3:uid="{00000000-0010-0000-0900-00000D000000}" name="TO-DAY" totalsRowFunction="sum" dataDxfId="1261" totalsRowDxfId="1224"/>
    <tableColumn id="14" xr3:uid="{00000000-0010-0000-0900-00000E000000}" name="Y-DAY" totalsRowFunction="sum" dataDxfId="1260" totalsRowDxfId="1223"/>
    <tableColumn id="15" xr3:uid="{00000000-0010-0000-0900-00000F000000}" name="WEEKLY" totalsRowFunction="sum" dataDxfId="1259" totalsRowDxfId="1222"/>
    <tableColumn id="16" xr3:uid="{00000000-0010-0000-0900-000010000000}" name="LOWEST AVAIL" dataDxfId="1258" totalsRowDxfId="1221"/>
    <tableColumn id="17" xr3:uid="{00000000-0010-0000-0900-000011000000}" name="Y" totalsRowFunction="sum" dataDxfId="1257" totalsRowDxfId="1220"/>
    <tableColumn id="18" xr3:uid="{00000000-0010-0000-0900-000012000000}" name="B" totalsRowFunction="sum" dataDxfId="1256" totalsRowDxfId="1219"/>
    <tableColumn id="19" xr3:uid="{00000000-0010-0000-0900-000013000000}" name="M" totalsRowFunction="sum" dataDxfId="1255" totalsRowDxfId="1218"/>
    <tableColumn id="20" xr3:uid="{00000000-0010-0000-0900-000014000000}" name="H" totalsRowFunction="sum" dataDxfId="1254" totalsRowDxfId="1217"/>
    <tableColumn id="21" xr3:uid="{00000000-0010-0000-0900-000015000000}" name="Q" totalsRowFunction="sum" dataDxfId="1253" totalsRowDxfId="1216"/>
    <tableColumn id="22" xr3:uid="{00000000-0010-0000-0900-000016000000}" name="K" totalsRowFunction="sum" dataDxfId="1252" totalsRowDxfId="1215"/>
    <tableColumn id="23" xr3:uid="{00000000-0010-0000-0900-000017000000}" name="V" totalsRowFunction="sum" dataDxfId="1251" totalsRowDxfId="1214"/>
    <tableColumn id="24" xr3:uid="{00000000-0010-0000-0900-000018000000}" name="L" totalsRowFunction="sum" dataDxfId="1250" totalsRowDxfId="1213"/>
    <tableColumn id="25" xr3:uid="{00000000-0010-0000-0900-000019000000}" name="G" totalsRowFunction="sum" dataDxfId="1249" totalsRowDxfId="1212"/>
    <tableColumn id="26" xr3:uid="{00000000-0010-0000-0900-00001A000000}" name="S" totalsRowFunction="sum" dataDxfId="1248" totalsRowDxfId="1211"/>
    <tableColumn id="27" xr3:uid="{00000000-0010-0000-0900-00001B000000}" name="W" totalsRowFunction="sum" dataDxfId="1247" totalsRowDxfId="1210"/>
    <tableColumn id="28" xr3:uid="{00000000-0010-0000-0900-00001C000000}" name="T" totalsRowFunction="sum" dataDxfId="1246" totalsRowDxfId="1209"/>
    <tableColumn id="29" xr3:uid="{00000000-0010-0000-0900-00001D000000}" name="X" totalsRowFunction="sum" dataDxfId="1245" totalsRowDxfId="1208"/>
    <tableColumn id="30" xr3:uid="{00000000-0010-0000-0900-00001E000000}" name="U" totalsRowFunction="sum" dataDxfId="1244" totalsRowDxfId="1207"/>
    <tableColumn id="31" xr3:uid="{00000000-0010-0000-0900-00001F000000}" name="O" totalsRowFunction="sum" dataDxfId="1243" totalsRowDxfId="1206"/>
    <tableColumn id="32" xr3:uid="{00000000-0010-0000-0900-000020000000}" name="I" totalsRowFunction="sum" dataDxfId="1242" totalsRowDxfId="1205"/>
    <tableColumn id="33" xr3:uid="{00000000-0010-0000-0900-000021000000}" name="E" totalsRowFunction="sum" dataDxfId="1241" totalsRowDxfId="1204"/>
    <tableColumn id="34" xr3:uid="{00000000-0010-0000-0900-000022000000}" name="A" totalsRowFunction="sum" dataDxfId="1240" totalsRowDxfId="1203"/>
    <tableColumn id="35" xr3:uid="{00000000-0010-0000-0900-000023000000}" name="P" totalsRowFunction="sum" dataDxfId="1239" totalsRowDxfId="1202"/>
    <tableColumn id="36" xr3:uid="{00000000-0010-0000-0900-000024000000}" name="N" totalsRowFunction="count" dataDxfId="1238" totalsRowDxfId="1201"/>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FocusMode_JED_CAI" displayName="FocusMode_JED_CAI" ref="A1:H191" totalsRowShown="0">
  <autoFilter ref="A1:H191" xr:uid="{00000000-0009-0000-0100-00000B000000}"/>
  <tableColumns count="8">
    <tableColumn id="1" xr3:uid="{00000000-0010-0000-0A00-000001000000}" name="DATE"/>
    <tableColumn id="2" xr3:uid="{00000000-0010-0000-0A00-000002000000}" name="AIRLINE"/>
    <tableColumn id="3" xr3:uid="{00000000-0010-0000-0A00-000003000000}" name="FLIGHT NUM"/>
    <tableColumn id="4" xr3:uid="{00000000-0010-0000-0A00-000004000000}" name="ROUTE"/>
    <tableColumn id="5" xr3:uid="{00000000-0010-0000-0A00-000005000000}" name="DEPARTURE"/>
    <tableColumn id="6" xr3:uid="{00000000-0010-0000-0A00-000006000000}" name="BAGGAGE"/>
    <tableColumn id="7" xr3:uid="{00000000-0010-0000-0A00-000007000000}" name="AVAILABILITY"/>
    <tableColumn id="8" xr3:uid="{00000000-0010-0000-0A00-000008000000}" name="PUBLISHED FARE"/>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hreatsAlert_JED_CAI" displayName="ThreatsAlert_JED_CAI" ref="A1:H29" totalsRowShown="0">
  <autoFilter ref="A1:H29" xr:uid="{00000000-0009-0000-0100-00000C000000}"/>
  <tableColumns count="8">
    <tableColumn id="1" xr3:uid="{00000000-0010-0000-0B00-000001000000}" name="DATE"/>
    <tableColumn id="2" xr3:uid="{00000000-0010-0000-0B00-000002000000}" name="AIRLINE"/>
    <tableColumn id="3" xr3:uid="{00000000-0010-0000-0B00-000003000000}" name="FLIGHT NUM"/>
    <tableColumn id="4" xr3:uid="{00000000-0010-0000-0B00-000004000000}" name="ROUTE"/>
    <tableColumn id="5" xr3:uid="{00000000-0010-0000-0B00-000005000000}" name="DEPARTURE"/>
    <tableColumn id="6" xr3:uid="{00000000-0010-0000-0B00-000006000000}" name="BAGGAGE"/>
    <tableColumn id="7" xr3:uid="{00000000-0010-0000-0B00-000007000000}" name="AVAILABILITY"/>
    <tableColumn id="8" xr3:uid="{00000000-0010-0000-0B00-000008000000}" name="PUBLISHED FARE"/>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JED_HBE_LF_LEGACY" displayName="JED_HBE_LF_LEGACY" ref="A1:AJ7" totalsRowCount="1" headerRowDxfId="1199" dataDxfId="1162" totalsRowDxfId="1125">
  <tableColumns count="36">
    <tableColumn id="1" xr3:uid="{00000000-0010-0000-0C00-000001000000}" name="Day" totalsRowLabel="TOTAL" dataDxfId="1198" totalsRowDxfId="1161"/>
    <tableColumn id="2" xr3:uid="{00000000-0010-0000-0C00-000002000000}" name="Flt Dt" dataDxfId="1197" totalsRowDxfId="1160"/>
    <tableColumn id="3" xr3:uid="{00000000-0010-0000-0C00-000003000000}" name="Flt" totalsRowFunction="count" dataDxfId="1196" totalsRowDxfId="1159"/>
    <tableColumn id="4" xr3:uid="{00000000-0010-0000-0C00-000004000000}" name="DEP" dataDxfId="1195" totalsRowDxfId="1158"/>
    <tableColumn id="5" xr3:uid="{00000000-0010-0000-0C00-000005000000}" name="Brd-Off" totalsRowFunction="count" dataDxfId="1194" totalsRowDxfId="1157"/>
    <tableColumn id="6" xr3:uid="{00000000-0010-0000-0C00-000006000000}" name="Eqp" dataDxfId="1193" totalsRowDxfId="1156"/>
    <tableColumn id="7" xr3:uid="{00000000-0010-0000-0C00-000007000000}" name="LF%" totalsRowFunction="average" dataDxfId="1192" totalsRowDxfId="1155"/>
    <tableColumn id="8" xr3:uid="{00000000-0010-0000-0C00-000008000000}" name="CAP" totalsRowFunction="sum" dataDxfId="1191" totalsRowDxfId="1154"/>
    <tableColumn id="9" xr3:uid="{00000000-0010-0000-0C00-000009000000}" name="BKG(Y)" totalsRowFunction="sum" dataDxfId="1190" totalsRowDxfId="1153"/>
    <tableColumn id="10" xr3:uid="{00000000-0010-0000-0C00-00000A000000}" name="GRP(Y)" totalsRowFunction="sum" dataDxfId="1189" totalsRowDxfId="1152"/>
    <tableColumn id="11" xr3:uid="{00000000-0010-0000-0C00-00000B000000}" name="FLT ST" dataDxfId="1188" totalsRowDxfId="1151"/>
    <tableColumn id="12" xr3:uid="{00000000-0010-0000-0C00-00000C000000}" name="LST-SOLD" dataDxfId="1187" totalsRowDxfId="1150"/>
    <tableColumn id="13" xr3:uid="{00000000-0010-0000-0C00-00000D000000}" name="TO-DAY" totalsRowFunction="sum" dataDxfId="1186" totalsRowDxfId="1149"/>
    <tableColumn id="14" xr3:uid="{00000000-0010-0000-0C00-00000E000000}" name="Y-DAY" totalsRowFunction="sum" dataDxfId="1185" totalsRowDxfId="1148"/>
    <tableColumn id="15" xr3:uid="{00000000-0010-0000-0C00-00000F000000}" name="WEEKLY" totalsRowFunction="sum" dataDxfId="1184" totalsRowDxfId="1147"/>
    <tableColumn id="16" xr3:uid="{00000000-0010-0000-0C00-000010000000}" name="LOWEST AVAIL" dataDxfId="1183" totalsRowDxfId="1146"/>
    <tableColumn id="17" xr3:uid="{00000000-0010-0000-0C00-000011000000}" name="Y" totalsRowFunction="sum" dataDxfId="1182" totalsRowDxfId="1145"/>
    <tableColumn id="18" xr3:uid="{00000000-0010-0000-0C00-000012000000}" name="B" totalsRowFunction="sum" dataDxfId="1181" totalsRowDxfId="1144"/>
    <tableColumn id="19" xr3:uid="{00000000-0010-0000-0C00-000013000000}" name="M" totalsRowFunction="sum" dataDxfId="1180" totalsRowDxfId="1143"/>
    <tableColumn id="20" xr3:uid="{00000000-0010-0000-0C00-000014000000}" name="H" totalsRowFunction="sum" dataDxfId="1179" totalsRowDxfId="1142"/>
    <tableColumn id="21" xr3:uid="{00000000-0010-0000-0C00-000015000000}" name="Q" totalsRowFunction="sum" dataDxfId="1178" totalsRowDxfId="1141"/>
    <tableColumn id="22" xr3:uid="{00000000-0010-0000-0C00-000016000000}" name="K" totalsRowFunction="sum" dataDxfId="1177" totalsRowDxfId="1140"/>
    <tableColumn id="23" xr3:uid="{00000000-0010-0000-0C00-000017000000}" name="V" totalsRowFunction="sum" dataDxfId="1176" totalsRowDxfId="1139"/>
    <tableColumn id="24" xr3:uid="{00000000-0010-0000-0C00-000018000000}" name="L" totalsRowFunction="sum" dataDxfId="1175" totalsRowDxfId="1138"/>
    <tableColumn id="25" xr3:uid="{00000000-0010-0000-0C00-000019000000}" name="G" totalsRowFunction="sum" dataDxfId="1174" totalsRowDxfId="1137"/>
    <tableColumn id="26" xr3:uid="{00000000-0010-0000-0C00-00001A000000}" name="S" totalsRowFunction="sum" dataDxfId="1173" totalsRowDxfId="1136"/>
    <tableColumn id="27" xr3:uid="{00000000-0010-0000-0C00-00001B000000}" name="W" totalsRowFunction="sum" dataDxfId="1172" totalsRowDxfId="1135"/>
    <tableColumn id="28" xr3:uid="{00000000-0010-0000-0C00-00001C000000}" name="T" totalsRowFunction="sum" dataDxfId="1171" totalsRowDxfId="1134"/>
    <tableColumn id="29" xr3:uid="{00000000-0010-0000-0C00-00001D000000}" name="X" totalsRowFunction="sum" dataDxfId="1170" totalsRowDxfId="1133"/>
    <tableColumn id="30" xr3:uid="{00000000-0010-0000-0C00-00001E000000}" name="U" totalsRowFunction="sum" dataDxfId="1169" totalsRowDxfId="1132"/>
    <tableColumn id="31" xr3:uid="{00000000-0010-0000-0C00-00001F000000}" name="O" totalsRowFunction="sum" dataDxfId="1168" totalsRowDxfId="1131"/>
    <tableColumn id="32" xr3:uid="{00000000-0010-0000-0C00-000020000000}" name="I" totalsRowFunction="sum" dataDxfId="1167" totalsRowDxfId="1130"/>
    <tableColumn id="33" xr3:uid="{00000000-0010-0000-0C00-000021000000}" name="E" totalsRowFunction="sum" dataDxfId="1166" totalsRowDxfId="1129"/>
    <tableColumn id="34" xr3:uid="{00000000-0010-0000-0C00-000022000000}" name="A" totalsRowFunction="sum" dataDxfId="1165" totalsRowDxfId="1128"/>
    <tableColumn id="35" xr3:uid="{00000000-0010-0000-0C00-000023000000}" name="P" totalsRowFunction="sum" dataDxfId="1164" totalsRowDxfId="1127"/>
    <tableColumn id="36" xr3:uid="{00000000-0010-0000-0C00-000024000000}" name="N" totalsRowFunction="count" dataDxfId="1163" totalsRowDxfId="1126"/>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FocusMode_JED_HBE" displayName="FocusMode_JED_HBE" ref="A1:H59" totalsRowShown="0">
  <autoFilter ref="A1:H59" xr:uid="{00000000-0009-0000-0100-00000E000000}"/>
  <tableColumns count="8">
    <tableColumn id="1" xr3:uid="{00000000-0010-0000-0D00-000001000000}" name="DATE"/>
    <tableColumn id="2" xr3:uid="{00000000-0010-0000-0D00-000002000000}" name="AIRLINE"/>
    <tableColumn id="3" xr3:uid="{00000000-0010-0000-0D00-000003000000}" name="FLIGHT NUM"/>
    <tableColumn id="4" xr3:uid="{00000000-0010-0000-0D00-000004000000}" name="ROUTE"/>
    <tableColumn id="5" xr3:uid="{00000000-0010-0000-0D00-000005000000}" name="DEPARTURE"/>
    <tableColumn id="6" xr3:uid="{00000000-0010-0000-0D00-000006000000}" name="BAGGAGE"/>
    <tableColumn id="7" xr3:uid="{00000000-0010-0000-0D00-000007000000}" name="AVAILABILITY"/>
    <tableColumn id="8" xr3:uid="{00000000-0010-0000-0D00-000008000000}" name="PUBLISHED FARE"/>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hreatsAlert_JED_HBE" displayName="ThreatsAlert_JED_HBE" ref="A1:H39" totalsRowShown="0">
  <autoFilter ref="A1:H39" xr:uid="{00000000-0009-0000-0100-00000F000000}"/>
  <tableColumns count="8">
    <tableColumn id="1" xr3:uid="{00000000-0010-0000-0E00-000001000000}" name="DATE"/>
    <tableColumn id="2" xr3:uid="{00000000-0010-0000-0E00-000002000000}" name="AIRLINE"/>
    <tableColumn id="3" xr3:uid="{00000000-0010-0000-0E00-000003000000}" name="FLIGHT NUM"/>
    <tableColumn id="4" xr3:uid="{00000000-0010-0000-0E00-000004000000}" name="ROUTE"/>
    <tableColumn id="5" xr3:uid="{00000000-0010-0000-0E00-000005000000}" name="DEPARTURE"/>
    <tableColumn id="6" xr3:uid="{00000000-0010-0000-0E00-000006000000}" name="BAGGAGE"/>
    <tableColumn id="7" xr3:uid="{00000000-0010-0000-0E00-000007000000}" name="AVAILABILITY"/>
    <tableColumn id="8" xr3:uid="{00000000-0010-0000-0E00-000008000000}" name="PUBLISHED FARE"/>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JED_ATZ_LF_LEGACY" displayName="JED_ATZ_LF_LEGACY" ref="A1:AJ7" totalsRowCount="1" headerRowDxfId="1124" dataDxfId="1087" totalsRowDxfId="1050">
  <tableColumns count="36">
    <tableColumn id="1" xr3:uid="{00000000-0010-0000-0F00-000001000000}" name="Day" totalsRowLabel="TOTAL" dataDxfId="1123" totalsRowDxfId="1086"/>
    <tableColumn id="2" xr3:uid="{00000000-0010-0000-0F00-000002000000}" name="Flt Dt" dataDxfId="1122" totalsRowDxfId="1085"/>
    <tableColumn id="3" xr3:uid="{00000000-0010-0000-0F00-000003000000}" name="Flt" totalsRowFunction="count" dataDxfId="1121" totalsRowDxfId="1084"/>
    <tableColumn id="4" xr3:uid="{00000000-0010-0000-0F00-000004000000}" name="DEP" dataDxfId="1120" totalsRowDxfId="1083"/>
    <tableColumn id="5" xr3:uid="{00000000-0010-0000-0F00-000005000000}" name="Brd-Off" totalsRowFunction="count" dataDxfId="1119" totalsRowDxfId="1082"/>
    <tableColumn id="6" xr3:uid="{00000000-0010-0000-0F00-000006000000}" name="Eqp" dataDxfId="1118" totalsRowDxfId="1081"/>
    <tableColumn id="7" xr3:uid="{00000000-0010-0000-0F00-000007000000}" name="LF%" totalsRowFunction="average" dataDxfId="1117" totalsRowDxfId="1080"/>
    <tableColumn id="8" xr3:uid="{00000000-0010-0000-0F00-000008000000}" name="CAP" totalsRowFunction="sum" dataDxfId="1116" totalsRowDxfId="1079"/>
    <tableColumn id="9" xr3:uid="{00000000-0010-0000-0F00-000009000000}" name="BKG(Y)" totalsRowFunction="sum" dataDxfId="1115" totalsRowDxfId="1078"/>
    <tableColumn id="10" xr3:uid="{00000000-0010-0000-0F00-00000A000000}" name="GRP(Y)" totalsRowFunction="sum" dataDxfId="1114" totalsRowDxfId="1077"/>
    <tableColumn id="11" xr3:uid="{00000000-0010-0000-0F00-00000B000000}" name="FLT ST" dataDxfId="1113" totalsRowDxfId="1076"/>
    <tableColumn id="12" xr3:uid="{00000000-0010-0000-0F00-00000C000000}" name="LST-SOLD" dataDxfId="1112" totalsRowDxfId="1075"/>
    <tableColumn id="13" xr3:uid="{00000000-0010-0000-0F00-00000D000000}" name="TO-DAY" totalsRowFunction="sum" dataDxfId="1111" totalsRowDxfId="1074"/>
    <tableColumn id="14" xr3:uid="{00000000-0010-0000-0F00-00000E000000}" name="Y-DAY" totalsRowFunction="sum" dataDxfId="1110" totalsRowDxfId="1073"/>
    <tableColumn id="15" xr3:uid="{00000000-0010-0000-0F00-00000F000000}" name="WEEKLY" totalsRowFunction="sum" dataDxfId="1109" totalsRowDxfId="1072"/>
    <tableColumn id="16" xr3:uid="{00000000-0010-0000-0F00-000010000000}" name="LOWEST AVAIL" dataDxfId="1108" totalsRowDxfId="1071"/>
    <tableColumn id="17" xr3:uid="{00000000-0010-0000-0F00-000011000000}" name="Y" totalsRowFunction="sum" dataDxfId="1107" totalsRowDxfId="1070"/>
    <tableColumn id="18" xr3:uid="{00000000-0010-0000-0F00-000012000000}" name="B" totalsRowFunction="sum" dataDxfId="1106" totalsRowDxfId="1069"/>
    <tableColumn id="19" xr3:uid="{00000000-0010-0000-0F00-000013000000}" name="M" totalsRowFunction="sum" dataDxfId="1105" totalsRowDxfId="1068"/>
    <tableColumn id="20" xr3:uid="{00000000-0010-0000-0F00-000014000000}" name="H" totalsRowFunction="sum" dataDxfId="1104" totalsRowDxfId="1067"/>
    <tableColumn id="21" xr3:uid="{00000000-0010-0000-0F00-000015000000}" name="Q" totalsRowFunction="sum" dataDxfId="1103" totalsRowDxfId="1066"/>
    <tableColumn id="22" xr3:uid="{00000000-0010-0000-0F00-000016000000}" name="K" totalsRowFunction="sum" dataDxfId="1102" totalsRowDxfId="1065"/>
    <tableColumn id="23" xr3:uid="{00000000-0010-0000-0F00-000017000000}" name="V" totalsRowFunction="sum" dataDxfId="1101" totalsRowDxfId="1064"/>
    <tableColumn id="24" xr3:uid="{00000000-0010-0000-0F00-000018000000}" name="L" totalsRowFunction="sum" dataDxfId="1100" totalsRowDxfId="1063"/>
    <tableColumn id="25" xr3:uid="{00000000-0010-0000-0F00-000019000000}" name="G" totalsRowFunction="sum" dataDxfId="1099" totalsRowDxfId="1062"/>
    <tableColumn id="26" xr3:uid="{00000000-0010-0000-0F00-00001A000000}" name="S" totalsRowFunction="sum" dataDxfId="1098" totalsRowDxfId="1061"/>
    <tableColumn id="27" xr3:uid="{00000000-0010-0000-0F00-00001B000000}" name="W" totalsRowFunction="sum" dataDxfId="1097" totalsRowDxfId="1060"/>
    <tableColumn id="28" xr3:uid="{00000000-0010-0000-0F00-00001C000000}" name="T" totalsRowFunction="sum" dataDxfId="1096" totalsRowDxfId="1059"/>
    <tableColumn id="29" xr3:uid="{00000000-0010-0000-0F00-00001D000000}" name="X" totalsRowFunction="sum" dataDxfId="1095" totalsRowDxfId="1058"/>
    <tableColumn id="30" xr3:uid="{00000000-0010-0000-0F00-00001E000000}" name="U" totalsRowFunction="sum" dataDxfId="1094" totalsRowDxfId="1057"/>
    <tableColumn id="31" xr3:uid="{00000000-0010-0000-0F00-00001F000000}" name="O" totalsRowFunction="sum" dataDxfId="1093" totalsRowDxfId="1056"/>
    <tableColumn id="32" xr3:uid="{00000000-0010-0000-0F00-000020000000}" name="I" totalsRowFunction="sum" dataDxfId="1092" totalsRowDxfId="1055"/>
    <tableColumn id="33" xr3:uid="{00000000-0010-0000-0F00-000021000000}" name="E" totalsRowFunction="sum" dataDxfId="1091" totalsRowDxfId="1054"/>
    <tableColumn id="34" xr3:uid="{00000000-0010-0000-0F00-000022000000}" name="A" totalsRowFunction="sum" dataDxfId="1090" totalsRowDxfId="1053"/>
    <tableColumn id="35" xr3:uid="{00000000-0010-0000-0F00-000023000000}" name="P" totalsRowFunction="sum" dataDxfId="1089" totalsRowDxfId="1052"/>
    <tableColumn id="36" xr3:uid="{00000000-0010-0000-0F00-000024000000}" name="N" totalsRowFunction="count" dataDxfId="1088" totalsRowDxfId="1051"/>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FocusMode_JED_ATZ" displayName="FocusMode_JED_ATZ" ref="A1:H44" totalsRowShown="0">
  <autoFilter ref="A1:H44" xr:uid="{00000000-0009-0000-0100-000011000000}"/>
  <tableColumns count="8">
    <tableColumn id="1" xr3:uid="{00000000-0010-0000-1000-000001000000}" name="DATE"/>
    <tableColumn id="2" xr3:uid="{00000000-0010-0000-1000-000002000000}" name="AIRLINE"/>
    <tableColumn id="3" xr3:uid="{00000000-0010-0000-1000-000003000000}" name="FLIGHT NUM"/>
    <tableColumn id="4" xr3:uid="{00000000-0010-0000-1000-000004000000}" name="ROUTE"/>
    <tableColumn id="5" xr3:uid="{00000000-0010-0000-1000-000005000000}" name="DEPARTURE"/>
    <tableColumn id="6" xr3:uid="{00000000-0010-0000-1000-000006000000}" name="BAGGAGE"/>
    <tableColumn id="7" xr3:uid="{00000000-0010-0000-1000-000007000000}" name="AVAILABILITY"/>
    <tableColumn id="8" xr3:uid="{00000000-0010-0000-1000-000008000000}" name="PUBLISHED FARE"/>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hreatsAlert_JED_ATZ" displayName="ThreatsAlert_JED_ATZ" ref="A1:H39" totalsRowShown="0">
  <autoFilter ref="A1:H39" xr:uid="{00000000-0009-0000-0100-000012000000}"/>
  <tableColumns count="8">
    <tableColumn id="1" xr3:uid="{00000000-0010-0000-1100-000001000000}" name="DATE"/>
    <tableColumn id="2" xr3:uid="{00000000-0010-0000-1100-000002000000}" name="AIRLINE"/>
    <tableColumn id="3" xr3:uid="{00000000-0010-0000-1100-000003000000}" name="FLIGHT NUM"/>
    <tableColumn id="4" xr3:uid="{00000000-0010-0000-1100-000004000000}" name="ROUTE"/>
    <tableColumn id="5" xr3:uid="{00000000-0010-0000-1100-000005000000}" name="DEPARTURE"/>
    <tableColumn id="6" xr3:uid="{00000000-0010-0000-1100-000006000000}" name="BAGGAGE"/>
    <tableColumn id="7" xr3:uid="{00000000-0010-0000-1100-000007000000}" name="AVAILABILITY"/>
    <tableColumn id="8" xr3:uid="{00000000-0010-0000-1100-000008000000}" name="PUBLISHED FARE"/>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RUH_CAI_LF_LEGACY" displayName="RUH_CAI_LF_LEGACY" ref="A1:AJ6" totalsRowCount="1" headerRowDxfId="1049" dataDxfId="1012" totalsRowDxfId="975">
  <tableColumns count="36">
    <tableColumn id="1" xr3:uid="{00000000-0010-0000-1200-000001000000}" name="Day" totalsRowLabel="TOTAL" dataDxfId="1048" totalsRowDxfId="1011"/>
    <tableColumn id="2" xr3:uid="{00000000-0010-0000-1200-000002000000}" name="Flt Dt" dataDxfId="1047" totalsRowDxfId="1010"/>
    <tableColumn id="3" xr3:uid="{00000000-0010-0000-1200-000003000000}" name="Flt" totalsRowFunction="count" dataDxfId="1046" totalsRowDxfId="1009"/>
    <tableColumn id="4" xr3:uid="{00000000-0010-0000-1200-000004000000}" name="DEP" dataDxfId="1045" totalsRowDxfId="1008"/>
    <tableColumn id="5" xr3:uid="{00000000-0010-0000-1200-000005000000}" name="Brd-Off" totalsRowFunction="count" dataDxfId="1044" totalsRowDxfId="1007"/>
    <tableColumn id="6" xr3:uid="{00000000-0010-0000-1200-000006000000}" name="Eqp" dataDxfId="1043" totalsRowDxfId="1006"/>
    <tableColumn id="7" xr3:uid="{00000000-0010-0000-1200-000007000000}" name="LF%" totalsRowFunction="average" dataDxfId="1042" totalsRowDxfId="1005"/>
    <tableColumn id="8" xr3:uid="{00000000-0010-0000-1200-000008000000}" name="CAP" totalsRowFunction="sum" dataDxfId="1041" totalsRowDxfId="1004"/>
    <tableColumn id="9" xr3:uid="{00000000-0010-0000-1200-000009000000}" name="BKG(Y)" totalsRowFunction="sum" dataDxfId="1040" totalsRowDxfId="1003"/>
    <tableColumn id="10" xr3:uid="{00000000-0010-0000-1200-00000A000000}" name="GRP(Y)" totalsRowFunction="sum" dataDxfId="1039" totalsRowDxfId="1002"/>
    <tableColumn id="11" xr3:uid="{00000000-0010-0000-1200-00000B000000}" name="FLT ST" dataDxfId="1038" totalsRowDxfId="1001"/>
    <tableColumn id="12" xr3:uid="{00000000-0010-0000-1200-00000C000000}" name="LST-SOLD" dataDxfId="1037" totalsRowDxfId="1000"/>
    <tableColumn id="13" xr3:uid="{00000000-0010-0000-1200-00000D000000}" name="TO-DAY" totalsRowFunction="sum" dataDxfId="1036" totalsRowDxfId="999"/>
    <tableColumn id="14" xr3:uid="{00000000-0010-0000-1200-00000E000000}" name="Y-DAY" totalsRowFunction="sum" dataDxfId="1035" totalsRowDxfId="998"/>
    <tableColumn id="15" xr3:uid="{00000000-0010-0000-1200-00000F000000}" name="WEEKLY" totalsRowFunction="sum" dataDxfId="1034" totalsRowDxfId="997"/>
    <tableColumn id="16" xr3:uid="{00000000-0010-0000-1200-000010000000}" name="LOWEST AVAIL" dataDxfId="1033" totalsRowDxfId="996"/>
    <tableColumn id="17" xr3:uid="{00000000-0010-0000-1200-000011000000}" name="Y" totalsRowFunction="sum" dataDxfId="1032" totalsRowDxfId="995"/>
    <tableColumn id="18" xr3:uid="{00000000-0010-0000-1200-000012000000}" name="B" totalsRowFunction="sum" dataDxfId="1031" totalsRowDxfId="994"/>
    <tableColumn id="19" xr3:uid="{00000000-0010-0000-1200-000013000000}" name="M" totalsRowFunction="sum" dataDxfId="1030" totalsRowDxfId="993"/>
    <tableColumn id="20" xr3:uid="{00000000-0010-0000-1200-000014000000}" name="H" totalsRowFunction="sum" dataDxfId="1029" totalsRowDxfId="992"/>
    <tableColumn id="21" xr3:uid="{00000000-0010-0000-1200-000015000000}" name="Q" totalsRowFunction="sum" dataDxfId="1028" totalsRowDxfId="991"/>
    <tableColumn id="22" xr3:uid="{00000000-0010-0000-1200-000016000000}" name="K" totalsRowFunction="sum" dataDxfId="1027" totalsRowDxfId="990"/>
    <tableColumn id="23" xr3:uid="{00000000-0010-0000-1200-000017000000}" name="V" totalsRowFunction="sum" dataDxfId="1026" totalsRowDxfId="989"/>
    <tableColumn id="24" xr3:uid="{00000000-0010-0000-1200-000018000000}" name="L" totalsRowFunction="sum" dataDxfId="1025" totalsRowDxfId="988"/>
    <tableColumn id="25" xr3:uid="{00000000-0010-0000-1200-000019000000}" name="G" totalsRowFunction="sum" dataDxfId="1024" totalsRowDxfId="987"/>
    <tableColumn id="26" xr3:uid="{00000000-0010-0000-1200-00001A000000}" name="S" totalsRowFunction="sum" dataDxfId="1023" totalsRowDxfId="986"/>
    <tableColumn id="27" xr3:uid="{00000000-0010-0000-1200-00001B000000}" name="W" totalsRowFunction="sum" dataDxfId="1022" totalsRowDxfId="985"/>
    <tableColumn id="28" xr3:uid="{00000000-0010-0000-1200-00001C000000}" name="T" totalsRowFunction="sum" dataDxfId="1021" totalsRowDxfId="984"/>
    <tableColumn id="29" xr3:uid="{00000000-0010-0000-1200-00001D000000}" name="X" totalsRowFunction="sum" dataDxfId="1020" totalsRowDxfId="983"/>
    <tableColumn id="30" xr3:uid="{00000000-0010-0000-1200-00001E000000}" name="U" totalsRowFunction="sum" dataDxfId="1019" totalsRowDxfId="982"/>
    <tableColumn id="31" xr3:uid="{00000000-0010-0000-1200-00001F000000}" name="O" totalsRowFunction="sum" dataDxfId="1018" totalsRowDxfId="981"/>
    <tableColumn id="32" xr3:uid="{00000000-0010-0000-1200-000020000000}" name="I" totalsRowFunction="sum" dataDxfId="1017" totalsRowDxfId="980"/>
    <tableColumn id="33" xr3:uid="{00000000-0010-0000-1200-000021000000}" name="E" totalsRowFunction="sum" dataDxfId="1016" totalsRowDxfId="979"/>
    <tableColumn id="34" xr3:uid="{00000000-0010-0000-1200-000022000000}" name="A" totalsRowFunction="sum" dataDxfId="1015" totalsRowDxfId="978"/>
    <tableColumn id="35" xr3:uid="{00000000-0010-0000-1200-000023000000}" name="P" totalsRowFunction="sum" dataDxfId="1014" totalsRowDxfId="977"/>
    <tableColumn id="36" xr3:uid="{00000000-0010-0000-1200-000024000000}" name="N" totalsRowFunction="count" dataDxfId="1013" totalsRowDxfId="976"/>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FocusMode_RUH_CAI" displayName="FocusMode_RUH_CAI" ref="A1:H151" totalsRowShown="0">
  <autoFilter ref="A1:H151" xr:uid="{00000000-0009-0000-0100-000014000000}"/>
  <tableColumns count="8">
    <tableColumn id="1" xr3:uid="{00000000-0010-0000-1300-000001000000}" name="DATE"/>
    <tableColumn id="2" xr3:uid="{00000000-0010-0000-1300-000002000000}" name="AIRLINE"/>
    <tableColumn id="3" xr3:uid="{00000000-0010-0000-1300-000003000000}" name="FLIGHT NUM"/>
    <tableColumn id="4" xr3:uid="{00000000-0010-0000-1300-000004000000}" name="ROUTE"/>
    <tableColumn id="5" xr3:uid="{00000000-0010-0000-1300-000005000000}" name="DEPARTURE"/>
    <tableColumn id="6" xr3:uid="{00000000-0010-0000-1300-000006000000}" name="BAGGAGE"/>
    <tableColumn id="7" xr3:uid="{00000000-0010-0000-1300-000007000000}" name="AVAILABILITY"/>
    <tableColumn id="8" xr3:uid="{00000000-0010-0000-1300-000008000000}" name="PUBLISHED FARE"/>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hreatsAlert_RUH_CAI" displayName="ThreatsAlert_RUH_CAI" ref="A1:H15" totalsRowShown="0">
  <autoFilter ref="A1:H15" xr:uid="{00000000-0009-0000-0100-000015000000}"/>
  <tableColumns count="8">
    <tableColumn id="1" xr3:uid="{00000000-0010-0000-1400-000001000000}" name="DATE"/>
    <tableColumn id="2" xr3:uid="{00000000-0010-0000-1400-000002000000}" name="AIRLINE"/>
    <tableColumn id="3" xr3:uid="{00000000-0010-0000-1400-000003000000}" name="FLIGHT NUM"/>
    <tableColumn id="4" xr3:uid="{00000000-0010-0000-1400-000004000000}" name="ROUTE"/>
    <tableColumn id="5" xr3:uid="{00000000-0010-0000-1400-000005000000}" name="DEPARTURE"/>
    <tableColumn id="6" xr3:uid="{00000000-0010-0000-1400-000006000000}" name="BAGGAGE"/>
    <tableColumn id="7" xr3:uid="{00000000-0010-0000-1400-000007000000}" name="AVAILABILITY"/>
    <tableColumn id="8" xr3:uid="{00000000-0010-0000-1400-000008000000}" name="PUBLISHED FARE"/>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RUH_ATZ_LF_LEGACY" displayName="RUH_ATZ_LF_LEGACY" ref="A1:AJ3" totalsRowCount="1" headerRowDxfId="974" dataDxfId="937" totalsRowDxfId="900">
  <tableColumns count="36">
    <tableColumn id="1" xr3:uid="{00000000-0010-0000-1500-000001000000}" name="Day" totalsRowLabel="TOTAL" dataDxfId="973" totalsRowDxfId="936"/>
    <tableColumn id="2" xr3:uid="{00000000-0010-0000-1500-000002000000}" name="Flt Dt" dataDxfId="972" totalsRowDxfId="935"/>
    <tableColumn id="3" xr3:uid="{00000000-0010-0000-1500-000003000000}" name="Flt" totalsRowFunction="count" dataDxfId="971" totalsRowDxfId="934"/>
    <tableColumn id="4" xr3:uid="{00000000-0010-0000-1500-000004000000}" name="DEP" dataDxfId="970" totalsRowDxfId="933"/>
    <tableColumn id="5" xr3:uid="{00000000-0010-0000-1500-000005000000}" name="Brd-Off" totalsRowFunction="count" dataDxfId="969" totalsRowDxfId="932"/>
    <tableColumn id="6" xr3:uid="{00000000-0010-0000-1500-000006000000}" name="Eqp" dataDxfId="968" totalsRowDxfId="931"/>
    <tableColumn id="7" xr3:uid="{00000000-0010-0000-1500-000007000000}" name="LF%" totalsRowFunction="average" dataDxfId="967" totalsRowDxfId="930"/>
    <tableColumn id="8" xr3:uid="{00000000-0010-0000-1500-000008000000}" name="CAP" totalsRowFunction="sum" dataDxfId="966" totalsRowDxfId="929"/>
    <tableColumn id="9" xr3:uid="{00000000-0010-0000-1500-000009000000}" name="BKG(Y)" totalsRowFunction="sum" dataDxfId="965" totalsRowDxfId="928"/>
    <tableColumn id="10" xr3:uid="{00000000-0010-0000-1500-00000A000000}" name="GRP(Y)" totalsRowFunction="sum" dataDxfId="964" totalsRowDxfId="927"/>
    <tableColumn id="11" xr3:uid="{00000000-0010-0000-1500-00000B000000}" name="FLT ST" dataDxfId="963" totalsRowDxfId="926"/>
    <tableColumn id="12" xr3:uid="{00000000-0010-0000-1500-00000C000000}" name="LST-SOLD" dataDxfId="962" totalsRowDxfId="925"/>
    <tableColumn id="13" xr3:uid="{00000000-0010-0000-1500-00000D000000}" name="TO-DAY" totalsRowFunction="sum" dataDxfId="961" totalsRowDxfId="924"/>
    <tableColumn id="14" xr3:uid="{00000000-0010-0000-1500-00000E000000}" name="Y-DAY" totalsRowFunction="sum" dataDxfId="960" totalsRowDxfId="923"/>
    <tableColumn id="15" xr3:uid="{00000000-0010-0000-1500-00000F000000}" name="WEEKLY" totalsRowFunction="sum" dataDxfId="959" totalsRowDxfId="922"/>
    <tableColumn id="16" xr3:uid="{00000000-0010-0000-1500-000010000000}" name="LOWEST AVAIL" dataDxfId="958" totalsRowDxfId="921"/>
    <tableColumn id="17" xr3:uid="{00000000-0010-0000-1500-000011000000}" name="Y" totalsRowFunction="sum" dataDxfId="957" totalsRowDxfId="920"/>
    <tableColumn id="18" xr3:uid="{00000000-0010-0000-1500-000012000000}" name="B" totalsRowFunction="sum" dataDxfId="956" totalsRowDxfId="919"/>
    <tableColumn id="19" xr3:uid="{00000000-0010-0000-1500-000013000000}" name="M" totalsRowFunction="sum" dataDxfId="955" totalsRowDxfId="918"/>
    <tableColumn id="20" xr3:uid="{00000000-0010-0000-1500-000014000000}" name="H" totalsRowFunction="sum" dataDxfId="954" totalsRowDxfId="917"/>
    <tableColumn id="21" xr3:uid="{00000000-0010-0000-1500-000015000000}" name="Q" totalsRowFunction="sum" dataDxfId="953" totalsRowDxfId="916"/>
    <tableColumn id="22" xr3:uid="{00000000-0010-0000-1500-000016000000}" name="K" totalsRowFunction="sum" dataDxfId="952" totalsRowDxfId="915"/>
    <tableColumn id="23" xr3:uid="{00000000-0010-0000-1500-000017000000}" name="V" totalsRowFunction="sum" dataDxfId="951" totalsRowDxfId="914"/>
    <tableColumn id="24" xr3:uid="{00000000-0010-0000-1500-000018000000}" name="L" totalsRowFunction="sum" dataDxfId="950" totalsRowDxfId="913"/>
    <tableColumn id="25" xr3:uid="{00000000-0010-0000-1500-000019000000}" name="G" totalsRowFunction="sum" dataDxfId="949" totalsRowDxfId="912"/>
    <tableColumn id="26" xr3:uid="{00000000-0010-0000-1500-00001A000000}" name="S" totalsRowFunction="sum" dataDxfId="948" totalsRowDxfId="911"/>
    <tableColumn id="27" xr3:uid="{00000000-0010-0000-1500-00001B000000}" name="W" totalsRowFunction="sum" dataDxfId="947" totalsRowDxfId="910"/>
    <tableColumn id="28" xr3:uid="{00000000-0010-0000-1500-00001C000000}" name="T" totalsRowFunction="sum" dataDxfId="946" totalsRowDxfId="909"/>
    <tableColumn id="29" xr3:uid="{00000000-0010-0000-1500-00001D000000}" name="X" totalsRowFunction="sum" dataDxfId="945" totalsRowDxfId="908"/>
    <tableColumn id="30" xr3:uid="{00000000-0010-0000-1500-00001E000000}" name="U" totalsRowFunction="sum" dataDxfId="944" totalsRowDxfId="907"/>
    <tableColumn id="31" xr3:uid="{00000000-0010-0000-1500-00001F000000}" name="O" totalsRowFunction="sum" dataDxfId="943" totalsRowDxfId="906"/>
    <tableColumn id="32" xr3:uid="{00000000-0010-0000-1500-000020000000}" name="I" totalsRowFunction="sum" dataDxfId="942" totalsRowDxfId="905"/>
    <tableColumn id="33" xr3:uid="{00000000-0010-0000-1500-000021000000}" name="E" totalsRowFunction="sum" dataDxfId="941" totalsRowDxfId="904"/>
    <tableColumn id="34" xr3:uid="{00000000-0010-0000-1500-000022000000}" name="A" totalsRowFunction="sum" dataDxfId="940" totalsRowDxfId="903"/>
    <tableColumn id="35" xr3:uid="{00000000-0010-0000-1500-000023000000}" name="P" totalsRowFunction="sum" dataDxfId="939" totalsRowDxfId="902"/>
    <tableColumn id="36" xr3:uid="{00000000-0010-0000-1500-000024000000}" name="N" totalsRowFunction="count" dataDxfId="938" totalsRowDxfId="901"/>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FocusMode_RUH_ATZ" displayName="FocusMode_RUH_ATZ" ref="A1:H36" totalsRowShown="0">
  <autoFilter ref="A1:H36" xr:uid="{00000000-0009-0000-0100-000017000000}"/>
  <tableColumns count="8">
    <tableColumn id="1" xr3:uid="{00000000-0010-0000-1600-000001000000}" name="DATE"/>
    <tableColumn id="2" xr3:uid="{00000000-0010-0000-1600-000002000000}" name="AIRLINE"/>
    <tableColumn id="3" xr3:uid="{00000000-0010-0000-1600-000003000000}" name="FLIGHT NUM"/>
    <tableColumn id="4" xr3:uid="{00000000-0010-0000-1600-000004000000}" name="ROUTE"/>
    <tableColumn id="5" xr3:uid="{00000000-0010-0000-1600-000005000000}" name="DEPARTURE"/>
    <tableColumn id="6" xr3:uid="{00000000-0010-0000-1600-000006000000}" name="BAGGAGE"/>
    <tableColumn id="7" xr3:uid="{00000000-0010-0000-1600-000007000000}" name="AVAILABILITY"/>
    <tableColumn id="8" xr3:uid="{00000000-0010-0000-1600-000008000000}" name="PUBLISHED FARE"/>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ThreatsAlert_RUH_ATZ" displayName="ThreatsAlert_RUH_ATZ" ref="A1:H35" totalsRowShown="0">
  <autoFilter ref="A1:H35" xr:uid="{00000000-0009-0000-0100-000018000000}"/>
  <tableColumns count="8">
    <tableColumn id="1" xr3:uid="{00000000-0010-0000-1700-000001000000}" name="DATE"/>
    <tableColumn id="2" xr3:uid="{00000000-0010-0000-1700-000002000000}" name="AIRLINE"/>
    <tableColumn id="3" xr3:uid="{00000000-0010-0000-1700-000003000000}" name="FLIGHT NUM"/>
    <tableColumn id="4" xr3:uid="{00000000-0010-0000-1700-000004000000}" name="ROUTE"/>
    <tableColumn id="5" xr3:uid="{00000000-0010-0000-1700-000005000000}" name="DEPARTURE"/>
    <tableColumn id="6" xr3:uid="{00000000-0010-0000-1700-000006000000}" name="BAGGAGE"/>
    <tableColumn id="7" xr3:uid="{00000000-0010-0000-1700-000007000000}" name="AVAILABILITY"/>
    <tableColumn id="8" xr3:uid="{00000000-0010-0000-1700-000008000000}" name="PUBLISHED FARE"/>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DMM_CAI_LF_LEGACY" displayName="DMM_CAI_LF_LEGACY" ref="A1:AJ4" totalsRowCount="1" headerRowDxfId="899" dataDxfId="862" totalsRowDxfId="825">
  <tableColumns count="36">
    <tableColumn id="1" xr3:uid="{00000000-0010-0000-1800-000001000000}" name="Day" totalsRowLabel="TOTAL" dataDxfId="898" totalsRowDxfId="861"/>
    <tableColumn id="2" xr3:uid="{00000000-0010-0000-1800-000002000000}" name="Flt Dt" dataDxfId="897" totalsRowDxfId="860"/>
    <tableColumn id="3" xr3:uid="{00000000-0010-0000-1800-000003000000}" name="Flt" totalsRowFunction="count" dataDxfId="896" totalsRowDxfId="859"/>
    <tableColumn id="4" xr3:uid="{00000000-0010-0000-1800-000004000000}" name="DEP" dataDxfId="895" totalsRowDxfId="858"/>
    <tableColumn id="5" xr3:uid="{00000000-0010-0000-1800-000005000000}" name="Brd-Off" totalsRowFunction="count" dataDxfId="894" totalsRowDxfId="857"/>
    <tableColumn id="6" xr3:uid="{00000000-0010-0000-1800-000006000000}" name="Eqp" dataDxfId="893" totalsRowDxfId="856"/>
    <tableColumn id="7" xr3:uid="{00000000-0010-0000-1800-000007000000}" name="LF%" totalsRowFunction="average" dataDxfId="892" totalsRowDxfId="855"/>
    <tableColumn id="8" xr3:uid="{00000000-0010-0000-1800-000008000000}" name="CAP" totalsRowFunction="sum" dataDxfId="891" totalsRowDxfId="854"/>
    <tableColumn id="9" xr3:uid="{00000000-0010-0000-1800-000009000000}" name="BKG(Y)" totalsRowFunction="sum" dataDxfId="890" totalsRowDxfId="853"/>
    <tableColumn id="10" xr3:uid="{00000000-0010-0000-1800-00000A000000}" name="GRP(Y)" totalsRowFunction="sum" dataDxfId="889" totalsRowDxfId="852"/>
    <tableColumn id="11" xr3:uid="{00000000-0010-0000-1800-00000B000000}" name="FLT ST" dataDxfId="888" totalsRowDxfId="851"/>
    <tableColumn id="12" xr3:uid="{00000000-0010-0000-1800-00000C000000}" name="LST-SOLD" dataDxfId="887" totalsRowDxfId="850"/>
    <tableColumn id="13" xr3:uid="{00000000-0010-0000-1800-00000D000000}" name="TO-DAY" totalsRowFunction="sum" dataDxfId="886" totalsRowDxfId="849"/>
    <tableColumn id="14" xr3:uid="{00000000-0010-0000-1800-00000E000000}" name="Y-DAY" totalsRowFunction="sum" dataDxfId="885" totalsRowDxfId="848"/>
    <tableColumn id="15" xr3:uid="{00000000-0010-0000-1800-00000F000000}" name="WEEKLY" totalsRowFunction="sum" dataDxfId="884" totalsRowDxfId="847"/>
    <tableColumn id="16" xr3:uid="{00000000-0010-0000-1800-000010000000}" name="LOWEST AVAIL" dataDxfId="883" totalsRowDxfId="846"/>
    <tableColumn id="17" xr3:uid="{00000000-0010-0000-1800-000011000000}" name="Y" totalsRowFunction="sum" dataDxfId="882" totalsRowDxfId="845"/>
    <tableColumn id="18" xr3:uid="{00000000-0010-0000-1800-000012000000}" name="B" totalsRowFunction="sum" dataDxfId="881" totalsRowDxfId="844"/>
    <tableColumn id="19" xr3:uid="{00000000-0010-0000-1800-000013000000}" name="M" totalsRowFunction="sum" dataDxfId="880" totalsRowDxfId="843"/>
    <tableColumn id="20" xr3:uid="{00000000-0010-0000-1800-000014000000}" name="H" totalsRowFunction="sum" dataDxfId="879" totalsRowDxfId="842"/>
    <tableColumn id="21" xr3:uid="{00000000-0010-0000-1800-000015000000}" name="Q" totalsRowFunction="sum" dataDxfId="878" totalsRowDxfId="841"/>
    <tableColumn id="22" xr3:uid="{00000000-0010-0000-1800-000016000000}" name="K" totalsRowFunction="sum" dataDxfId="877" totalsRowDxfId="840"/>
    <tableColumn id="23" xr3:uid="{00000000-0010-0000-1800-000017000000}" name="V" totalsRowFunction="sum" dataDxfId="876" totalsRowDxfId="839"/>
    <tableColumn id="24" xr3:uid="{00000000-0010-0000-1800-000018000000}" name="L" totalsRowFunction="sum" dataDxfId="875" totalsRowDxfId="838"/>
    <tableColumn id="25" xr3:uid="{00000000-0010-0000-1800-000019000000}" name="G" totalsRowFunction="sum" dataDxfId="874" totalsRowDxfId="837"/>
    <tableColumn id="26" xr3:uid="{00000000-0010-0000-1800-00001A000000}" name="S" totalsRowFunction="sum" dataDxfId="873" totalsRowDxfId="836"/>
    <tableColumn id="27" xr3:uid="{00000000-0010-0000-1800-00001B000000}" name="W" totalsRowFunction="sum" dataDxfId="872" totalsRowDxfId="835"/>
    <tableColumn id="28" xr3:uid="{00000000-0010-0000-1800-00001C000000}" name="T" totalsRowFunction="sum" dataDxfId="871" totalsRowDxfId="834"/>
    <tableColumn id="29" xr3:uid="{00000000-0010-0000-1800-00001D000000}" name="X" totalsRowFunction="sum" dataDxfId="870" totalsRowDxfId="833"/>
    <tableColumn id="30" xr3:uid="{00000000-0010-0000-1800-00001E000000}" name="U" totalsRowFunction="sum" dataDxfId="869" totalsRowDxfId="832"/>
    <tableColumn id="31" xr3:uid="{00000000-0010-0000-1800-00001F000000}" name="O" totalsRowFunction="sum" dataDxfId="868" totalsRowDxfId="831"/>
    <tableColumn id="32" xr3:uid="{00000000-0010-0000-1800-000020000000}" name="I" totalsRowFunction="sum" dataDxfId="867" totalsRowDxfId="830"/>
    <tableColumn id="33" xr3:uid="{00000000-0010-0000-1800-000021000000}" name="E" totalsRowFunction="sum" dataDxfId="866" totalsRowDxfId="829"/>
    <tableColumn id="34" xr3:uid="{00000000-0010-0000-1800-000022000000}" name="A" totalsRowFunction="sum" dataDxfId="865" totalsRowDxfId="828"/>
    <tableColumn id="35" xr3:uid="{00000000-0010-0000-1800-000023000000}" name="P" totalsRowFunction="sum" dataDxfId="864" totalsRowDxfId="827"/>
    <tableColumn id="36" xr3:uid="{00000000-0010-0000-1800-000024000000}" name="N" totalsRowFunction="count" dataDxfId="863" totalsRowDxfId="826"/>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FocusMode_DMM_CAI" displayName="FocusMode_DMM_CAI" ref="A1:H43" totalsRowShown="0">
  <autoFilter ref="A1:H43" xr:uid="{00000000-0009-0000-0100-00001A000000}"/>
  <tableColumns count="8">
    <tableColumn id="1" xr3:uid="{00000000-0010-0000-1900-000001000000}" name="DATE"/>
    <tableColumn id="2" xr3:uid="{00000000-0010-0000-1900-000002000000}" name="AIRLINE"/>
    <tableColumn id="3" xr3:uid="{00000000-0010-0000-1900-000003000000}" name="FLIGHT NUM"/>
    <tableColumn id="4" xr3:uid="{00000000-0010-0000-1900-000004000000}" name="ROUTE"/>
    <tableColumn id="5" xr3:uid="{00000000-0010-0000-1900-000005000000}" name="DEPARTURE"/>
    <tableColumn id="6" xr3:uid="{00000000-0010-0000-1900-000006000000}" name="BAGGAGE"/>
    <tableColumn id="7" xr3:uid="{00000000-0010-0000-1900-000007000000}" name="AVAILABILITY"/>
    <tableColumn id="8" xr3:uid="{00000000-0010-0000-1900-000008000000}" name="PUBLISHED FARE"/>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ThreatsAlert_DMM_CAI" displayName="ThreatsAlert_DMM_CAI" ref="A1:H18" totalsRowShown="0">
  <autoFilter ref="A1:H18" xr:uid="{00000000-0009-0000-0100-00001B000000}"/>
  <tableColumns count="8">
    <tableColumn id="1" xr3:uid="{00000000-0010-0000-1A00-000001000000}" name="DATE"/>
    <tableColumn id="2" xr3:uid="{00000000-0010-0000-1A00-000002000000}" name="AIRLINE"/>
    <tableColumn id="3" xr3:uid="{00000000-0010-0000-1A00-000003000000}" name="FLIGHT NUM"/>
    <tableColumn id="4" xr3:uid="{00000000-0010-0000-1A00-000004000000}" name="ROUTE"/>
    <tableColumn id="5" xr3:uid="{00000000-0010-0000-1A00-000005000000}" name="DEPARTURE"/>
    <tableColumn id="6" xr3:uid="{00000000-0010-0000-1A00-000006000000}" name="BAGGAGE"/>
    <tableColumn id="7" xr3:uid="{00000000-0010-0000-1A00-000007000000}" name="AVAILABILITY"/>
    <tableColumn id="8" xr3:uid="{00000000-0010-0000-1A00-000008000000}" name="PUBLISHED FARE"/>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DMM_ATZ_LF_LEGACY" displayName="DMM_ATZ_LF_LEGACY" ref="A1:AJ3" totalsRowCount="1" headerRowDxfId="824" dataDxfId="787" totalsRowDxfId="750">
  <tableColumns count="36">
    <tableColumn id="1" xr3:uid="{00000000-0010-0000-1B00-000001000000}" name="Day" totalsRowLabel="TOTAL" dataDxfId="823" totalsRowDxfId="786"/>
    <tableColumn id="2" xr3:uid="{00000000-0010-0000-1B00-000002000000}" name="Flt Dt" dataDxfId="822" totalsRowDxfId="785"/>
    <tableColumn id="3" xr3:uid="{00000000-0010-0000-1B00-000003000000}" name="Flt" totalsRowFunction="count" dataDxfId="821" totalsRowDxfId="784"/>
    <tableColumn id="4" xr3:uid="{00000000-0010-0000-1B00-000004000000}" name="DEP" dataDxfId="820" totalsRowDxfId="783"/>
    <tableColumn id="5" xr3:uid="{00000000-0010-0000-1B00-000005000000}" name="Brd-Off" totalsRowFunction="count" dataDxfId="819" totalsRowDxfId="782"/>
    <tableColumn id="6" xr3:uid="{00000000-0010-0000-1B00-000006000000}" name="Eqp" dataDxfId="818" totalsRowDxfId="781"/>
    <tableColumn id="7" xr3:uid="{00000000-0010-0000-1B00-000007000000}" name="LF%" totalsRowFunction="average" dataDxfId="817" totalsRowDxfId="780"/>
    <tableColumn id="8" xr3:uid="{00000000-0010-0000-1B00-000008000000}" name="CAP" totalsRowFunction="sum" dataDxfId="816" totalsRowDxfId="779"/>
    <tableColumn id="9" xr3:uid="{00000000-0010-0000-1B00-000009000000}" name="BKG(Y)" totalsRowFunction="sum" dataDxfId="815" totalsRowDxfId="778"/>
    <tableColumn id="10" xr3:uid="{00000000-0010-0000-1B00-00000A000000}" name="GRP(Y)" totalsRowFunction="sum" dataDxfId="814" totalsRowDxfId="777"/>
    <tableColumn id="11" xr3:uid="{00000000-0010-0000-1B00-00000B000000}" name="FLT ST" dataDxfId="813" totalsRowDxfId="776"/>
    <tableColumn id="12" xr3:uid="{00000000-0010-0000-1B00-00000C000000}" name="LST-SOLD" dataDxfId="812" totalsRowDxfId="775"/>
    <tableColumn id="13" xr3:uid="{00000000-0010-0000-1B00-00000D000000}" name="TO-DAY" totalsRowFunction="sum" dataDxfId="811" totalsRowDxfId="774"/>
    <tableColumn id="14" xr3:uid="{00000000-0010-0000-1B00-00000E000000}" name="Y-DAY" totalsRowFunction="sum" dataDxfId="810" totalsRowDxfId="773"/>
    <tableColumn id="15" xr3:uid="{00000000-0010-0000-1B00-00000F000000}" name="WEEKLY" totalsRowFunction="sum" dataDxfId="809" totalsRowDxfId="772"/>
    <tableColumn id="16" xr3:uid="{00000000-0010-0000-1B00-000010000000}" name="LOWEST AVAIL" dataDxfId="808" totalsRowDxfId="771"/>
    <tableColumn id="17" xr3:uid="{00000000-0010-0000-1B00-000011000000}" name="Y" totalsRowFunction="sum" dataDxfId="807" totalsRowDxfId="770"/>
    <tableColumn id="18" xr3:uid="{00000000-0010-0000-1B00-000012000000}" name="B" totalsRowFunction="sum" dataDxfId="806" totalsRowDxfId="769"/>
    <tableColumn id="19" xr3:uid="{00000000-0010-0000-1B00-000013000000}" name="M" totalsRowFunction="sum" dataDxfId="805" totalsRowDxfId="768"/>
    <tableColumn id="20" xr3:uid="{00000000-0010-0000-1B00-000014000000}" name="H" totalsRowFunction="sum" dataDxfId="804" totalsRowDxfId="767"/>
    <tableColumn id="21" xr3:uid="{00000000-0010-0000-1B00-000015000000}" name="Q" totalsRowFunction="sum" dataDxfId="803" totalsRowDxfId="766"/>
    <tableColumn id="22" xr3:uid="{00000000-0010-0000-1B00-000016000000}" name="K" totalsRowFunction="sum" dataDxfId="802" totalsRowDxfId="765"/>
    <tableColumn id="23" xr3:uid="{00000000-0010-0000-1B00-000017000000}" name="V" totalsRowFunction="sum" dataDxfId="801" totalsRowDxfId="764"/>
    <tableColumn id="24" xr3:uid="{00000000-0010-0000-1B00-000018000000}" name="L" totalsRowFunction="sum" dataDxfId="800" totalsRowDxfId="763"/>
    <tableColumn id="25" xr3:uid="{00000000-0010-0000-1B00-000019000000}" name="G" totalsRowFunction="sum" dataDxfId="799" totalsRowDxfId="762"/>
    <tableColumn id="26" xr3:uid="{00000000-0010-0000-1B00-00001A000000}" name="S" totalsRowFunction="sum" dataDxfId="798" totalsRowDxfId="761"/>
    <tableColumn id="27" xr3:uid="{00000000-0010-0000-1B00-00001B000000}" name="W" totalsRowFunction="sum" dataDxfId="797" totalsRowDxfId="760"/>
    <tableColumn id="28" xr3:uid="{00000000-0010-0000-1B00-00001C000000}" name="T" totalsRowFunction="sum" dataDxfId="796" totalsRowDxfId="759"/>
    <tableColumn id="29" xr3:uid="{00000000-0010-0000-1B00-00001D000000}" name="X" totalsRowFunction="sum" dataDxfId="795" totalsRowDxfId="758"/>
    <tableColumn id="30" xr3:uid="{00000000-0010-0000-1B00-00001E000000}" name="U" totalsRowFunction="sum" dataDxfId="794" totalsRowDxfId="757"/>
    <tableColumn id="31" xr3:uid="{00000000-0010-0000-1B00-00001F000000}" name="O" totalsRowFunction="sum" dataDxfId="793" totalsRowDxfId="756"/>
    <tableColumn id="32" xr3:uid="{00000000-0010-0000-1B00-000020000000}" name="I" totalsRowFunction="sum" dataDxfId="792" totalsRowDxfId="755"/>
    <tableColumn id="33" xr3:uid="{00000000-0010-0000-1B00-000021000000}" name="E" totalsRowFunction="sum" dataDxfId="791" totalsRowDxfId="754"/>
    <tableColumn id="34" xr3:uid="{00000000-0010-0000-1B00-000022000000}" name="A" totalsRowFunction="sum" dataDxfId="790" totalsRowDxfId="753"/>
    <tableColumn id="35" xr3:uid="{00000000-0010-0000-1B00-000023000000}" name="P" totalsRowFunction="sum" dataDxfId="789" totalsRowDxfId="752"/>
    <tableColumn id="36" xr3:uid="{00000000-0010-0000-1B00-000024000000}" name="N" totalsRowFunction="count" dataDxfId="788" totalsRowDxfId="751"/>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FocusMode_DMM_ATZ" displayName="FocusMode_DMM_ATZ" ref="A1:H35" totalsRowShown="0">
  <autoFilter ref="A1:H35" xr:uid="{00000000-0009-0000-0100-00001D000000}"/>
  <tableColumns count="8">
    <tableColumn id="1" xr3:uid="{00000000-0010-0000-1C00-000001000000}" name="DATE"/>
    <tableColumn id="2" xr3:uid="{00000000-0010-0000-1C00-000002000000}" name="AIRLINE"/>
    <tableColumn id="3" xr3:uid="{00000000-0010-0000-1C00-000003000000}" name="FLIGHT NUM"/>
    <tableColumn id="4" xr3:uid="{00000000-0010-0000-1C00-000004000000}" name="ROUTE"/>
    <tableColumn id="5" xr3:uid="{00000000-0010-0000-1C00-000005000000}" name="DEPARTURE"/>
    <tableColumn id="6" xr3:uid="{00000000-0010-0000-1C00-000006000000}" name="BAGGAGE"/>
    <tableColumn id="7" xr3:uid="{00000000-0010-0000-1C00-000007000000}" name="AVAILABILITY"/>
    <tableColumn id="8" xr3:uid="{00000000-0010-0000-1C00-000008000000}" name="PUBLISHED FARE"/>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ThreatsAlert_DMM_ATZ" displayName="ThreatsAlert_DMM_ATZ" ref="A1:H35" totalsRowShown="0">
  <autoFilter ref="A1:H35" xr:uid="{00000000-0009-0000-0100-00001E000000}"/>
  <tableColumns count="8">
    <tableColumn id="1" xr3:uid="{00000000-0010-0000-1D00-000001000000}" name="DATE"/>
    <tableColumn id="2" xr3:uid="{00000000-0010-0000-1D00-000002000000}" name="AIRLINE"/>
    <tableColumn id="3" xr3:uid="{00000000-0010-0000-1D00-000003000000}" name="FLIGHT NUM"/>
    <tableColumn id="4" xr3:uid="{00000000-0010-0000-1D00-000004000000}" name="ROUTE"/>
    <tableColumn id="5" xr3:uid="{00000000-0010-0000-1D00-000005000000}" name="DEPARTURE"/>
    <tableColumn id="6" xr3:uid="{00000000-0010-0000-1D00-000006000000}" name="BAGGAGE"/>
    <tableColumn id="7" xr3:uid="{00000000-0010-0000-1D00-000007000000}" name="AVAILABILITY"/>
    <tableColumn id="8" xr3:uid="{00000000-0010-0000-1D00-000008000000}" name="PUBLISHED FARE"/>
  </tableColumns>
  <tableStyleInfo name="TableStyleMedium2"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E000000}" name="TUU_CAI_LF_LEGACY" displayName="TUU_CAI_LF_LEGACY" ref="A1:AJ3" totalsRowCount="1" headerRowDxfId="749" dataDxfId="712" totalsRowDxfId="675">
  <tableColumns count="36">
    <tableColumn id="1" xr3:uid="{00000000-0010-0000-1E00-000001000000}" name="Day" totalsRowLabel="TOTAL" dataDxfId="748" totalsRowDxfId="711"/>
    <tableColumn id="2" xr3:uid="{00000000-0010-0000-1E00-000002000000}" name="Flt Dt" dataDxfId="747" totalsRowDxfId="710"/>
    <tableColumn id="3" xr3:uid="{00000000-0010-0000-1E00-000003000000}" name="Flt" totalsRowFunction="count" dataDxfId="746" totalsRowDxfId="709"/>
    <tableColumn id="4" xr3:uid="{00000000-0010-0000-1E00-000004000000}" name="DEP" dataDxfId="745" totalsRowDxfId="708"/>
    <tableColumn id="5" xr3:uid="{00000000-0010-0000-1E00-000005000000}" name="Brd-Off" totalsRowFunction="count" dataDxfId="744" totalsRowDxfId="707"/>
    <tableColumn id="6" xr3:uid="{00000000-0010-0000-1E00-000006000000}" name="Eqp" dataDxfId="743" totalsRowDxfId="706"/>
    <tableColumn id="7" xr3:uid="{00000000-0010-0000-1E00-000007000000}" name="LF%" totalsRowFunction="average" dataDxfId="742" totalsRowDxfId="705"/>
    <tableColumn id="8" xr3:uid="{00000000-0010-0000-1E00-000008000000}" name="CAP" totalsRowFunction="sum" dataDxfId="741" totalsRowDxfId="704"/>
    <tableColumn id="9" xr3:uid="{00000000-0010-0000-1E00-000009000000}" name="BKG(Y)" totalsRowFunction="sum" dataDxfId="740" totalsRowDxfId="703"/>
    <tableColumn id="10" xr3:uid="{00000000-0010-0000-1E00-00000A000000}" name="GRP(Y)" totalsRowFunction="sum" dataDxfId="739" totalsRowDxfId="702"/>
    <tableColumn id="11" xr3:uid="{00000000-0010-0000-1E00-00000B000000}" name="FLT ST" dataDxfId="738" totalsRowDxfId="701"/>
    <tableColumn id="12" xr3:uid="{00000000-0010-0000-1E00-00000C000000}" name="LST-SOLD" dataDxfId="737" totalsRowDxfId="700"/>
    <tableColumn id="13" xr3:uid="{00000000-0010-0000-1E00-00000D000000}" name="TO-DAY" totalsRowFunction="sum" dataDxfId="736" totalsRowDxfId="699"/>
    <tableColumn id="14" xr3:uid="{00000000-0010-0000-1E00-00000E000000}" name="Y-DAY" totalsRowFunction="sum" dataDxfId="735" totalsRowDxfId="698"/>
    <tableColumn id="15" xr3:uid="{00000000-0010-0000-1E00-00000F000000}" name="WEEKLY" totalsRowFunction="sum" dataDxfId="734" totalsRowDxfId="697"/>
    <tableColumn id="16" xr3:uid="{00000000-0010-0000-1E00-000010000000}" name="LOWEST AVAIL" dataDxfId="733" totalsRowDxfId="696"/>
    <tableColumn id="17" xr3:uid="{00000000-0010-0000-1E00-000011000000}" name="Y" totalsRowFunction="sum" dataDxfId="732" totalsRowDxfId="695"/>
    <tableColumn id="18" xr3:uid="{00000000-0010-0000-1E00-000012000000}" name="B" totalsRowFunction="sum" dataDxfId="731" totalsRowDxfId="694"/>
    <tableColumn id="19" xr3:uid="{00000000-0010-0000-1E00-000013000000}" name="M" totalsRowFunction="sum" dataDxfId="730" totalsRowDxfId="693"/>
    <tableColumn id="20" xr3:uid="{00000000-0010-0000-1E00-000014000000}" name="H" totalsRowFunction="sum" dataDxfId="729" totalsRowDxfId="692"/>
    <tableColumn id="21" xr3:uid="{00000000-0010-0000-1E00-000015000000}" name="Q" totalsRowFunction="sum" dataDxfId="728" totalsRowDxfId="691"/>
    <tableColumn id="22" xr3:uid="{00000000-0010-0000-1E00-000016000000}" name="K" totalsRowFunction="sum" dataDxfId="727" totalsRowDxfId="690"/>
    <tableColumn id="23" xr3:uid="{00000000-0010-0000-1E00-000017000000}" name="V" totalsRowFunction="sum" dataDxfId="726" totalsRowDxfId="689"/>
    <tableColumn id="24" xr3:uid="{00000000-0010-0000-1E00-000018000000}" name="L" totalsRowFunction="sum" dataDxfId="725" totalsRowDxfId="688"/>
    <tableColumn id="25" xr3:uid="{00000000-0010-0000-1E00-000019000000}" name="G" totalsRowFunction="sum" dataDxfId="724" totalsRowDxfId="687"/>
    <tableColumn id="26" xr3:uid="{00000000-0010-0000-1E00-00001A000000}" name="S" totalsRowFunction="sum" dataDxfId="723" totalsRowDxfId="686"/>
    <tableColumn id="27" xr3:uid="{00000000-0010-0000-1E00-00001B000000}" name="W" totalsRowFunction="sum" dataDxfId="722" totalsRowDxfId="685"/>
    <tableColumn id="28" xr3:uid="{00000000-0010-0000-1E00-00001C000000}" name="T" totalsRowFunction="sum" dataDxfId="721" totalsRowDxfId="684"/>
    <tableColumn id="29" xr3:uid="{00000000-0010-0000-1E00-00001D000000}" name="X" totalsRowFunction="sum" dataDxfId="720" totalsRowDxfId="683"/>
    <tableColumn id="30" xr3:uid="{00000000-0010-0000-1E00-00001E000000}" name="U" totalsRowFunction="sum" dataDxfId="719" totalsRowDxfId="682"/>
    <tableColumn id="31" xr3:uid="{00000000-0010-0000-1E00-00001F000000}" name="O" totalsRowFunction="sum" dataDxfId="718" totalsRowDxfId="681"/>
    <tableColumn id="32" xr3:uid="{00000000-0010-0000-1E00-000020000000}" name="I" totalsRowFunction="sum" dataDxfId="717" totalsRowDxfId="680"/>
    <tableColumn id="33" xr3:uid="{00000000-0010-0000-1E00-000021000000}" name="E" totalsRowFunction="sum" dataDxfId="716" totalsRowDxfId="679"/>
    <tableColumn id="34" xr3:uid="{00000000-0010-0000-1E00-000022000000}" name="A" totalsRowFunction="sum" dataDxfId="715" totalsRowDxfId="678"/>
    <tableColumn id="35" xr3:uid="{00000000-0010-0000-1E00-000023000000}" name="P" totalsRowFunction="sum" dataDxfId="714" totalsRowDxfId="677"/>
    <tableColumn id="36" xr3:uid="{00000000-0010-0000-1E00-000024000000}" name="N" totalsRowFunction="count" dataDxfId="713" totalsRowDxfId="676"/>
  </tableColumns>
  <tableStyleInfo name="TableStyleMedium2"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F000000}" name="FocusMode_TUU_CAI" displayName="FocusMode_TUU_CAI" ref="A1:H11" totalsRowShown="0">
  <autoFilter ref="A1:H11" xr:uid="{00000000-0009-0000-0100-000020000000}"/>
  <tableColumns count="8">
    <tableColumn id="1" xr3:uid="{00000000-0010-0000-1F00-000001000000}" name="DATE"/>
    <tableColumn id="2" xr3:uid="{00000000-0010-0000-1F00-000002000000}" name="AIRLINE"/>
    <tableColumn id="3" xr3:uid="{00000000-0010-0000-1F00-000003000000}" name="FLIGHT NUM"/>
    <tableColumn id="4" xr3:uid="{00000000-0010-0000-1F00-000004000000}" name="ROUTE"/>
    <tableColumn id="5" xr3:uid="{00000000-0010-0000-1F00-000005000000}" name="DEPARTURE"/>
    <tableColumn id="6" xr3:uid="{00000000-0010-0000-1F00-000006000000}" name="BAGGAGE"/>
    <tableColumn id="7" xr3:uid="{00000000-0010-0000-1F00-000007000000}" name="AVAILABILITY"/>
    <tableColumn id="8" xr3:uid="{00000000-0010-0000-1F00-000008000000}" name="PUBLISHED FARE"/>
  </tableColumns>
  <tableStyleInfo name="TableStyleMedium2"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20000000}" name="ThreatsAlert_TUU_CAI" displayName="ThreatsAlert_TUU_CAI" ref="A1:H11" totalsRowShown="0">
  <autoFilter ref="A1:H11" xr:uid="{00000000-0009-0000-0100-000021000000}"/>
  <tableColumns count="8">
    <tableColumn id="1" xr3:uid="{00000000-0010-0000-2000-000001000000}" name="DATE"/>
    <tableColumn id="2" xr3:uid="{00000000-0010-0000-2000-000002000000}" name="AIRLINE"/>
    <tableColumn id="3" xr3:uid="{00000000-0010-0000-2000-000003000000}" name="FLIGHT NUM"/>
    <tableColumn id="4" xr3:uid="{00000000-0010-0000-2000-000004000000}" name="ROUTE"/>
    <tableColumn id="5" xr3:uid="{00000000-0010-0000-2000-000005000000}" name="DEPARTURE"/>
    <tableColumn id="6" xr3:uid="{00000000-0010-0000-2000-000006000000}" name="BAGGAGE"/>
    <tableColumn id="7" xr3:uid="{00000000-0010-0000-2000-000007000000}" name="AVAILABILITY"/>
    <tableColumn id="8" xr3:uid="{00000000-0010-0000-2000-000008000000}" name="PUBLISHED FARE"/>
  </tableColumns>
  <tableStyleInfo name="TableStyleMedium2"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1000000}" name="TUU_ATZ_LF_LEGACY" displayName="TUU_ATZ_LF_LEGACY" ref="A1:AJ3" totalsRowCount="1" headerRowDxfId="674" dataDxfId="637" totalsRowDxfId="600">
  <tableColumns count="36">
    <tableColumn id="1" xr3:uid="{00000000-0010-0000-2100-000001000000}" name="Day" totalsRowLabel="TOTAL" dataDxfId="673" totalsRowDxfId="636"/>
    <tableColumn id="2" xr3:uid="{00000000-0010-0000-2100-000002000000}" name="Flt Dt" dataDxfId="672" totalsRowDxfId="635"/>
    <tableColumn id="3" xr3:uid="{00000000-0010-0000-2100-000003000000}" name="Flt" totalsRowFunction="count" dataDxfId="671" totalsRowDxfId="634"/>
    <tableColumn id="4" xr3:uid="{00000000-0010-0000-2100-000004000000}" name="DEP" dataDxfId="670" totalsRowDxfId="633"/>
    <tableColumn id="5" xr3:uid="{00000000-0010-0000-2100-000005000000}" name="Brd-Off" totalsRowFunction="count" dataDxfId="669" totalsRowDxfId="632"/>
    <tableColumn id="6" xr3:uid="{00000000-0010-0000-2100-000006000000}" name="Eqp" dataDxfId="668" totalsRowDxfId="631"/>
    <tableColumn id="7" xr3:uid="{00000000-0010-0000-2100-000007000000}" name="LF%" totalsRowFunction="average" dataDxfId="667" totalsRowDxfId="630"/>
    <tableColumn id="8" xr3:uid="{00000000-0010-0000-2100-000008000000}" name="CAP" totalsRowFunction="sum" dataDxfId="666" totalsRowDxfId="629"/>
    <tableColumn id="9" xr3:uid="{00000000-0010-0000-2100-000009000000}" name="BKG(Y)" totalsRowFunction="sum" dataDxfId="665" totalsRowDxfId="628"/>
    <tableColumn id="10" xr3:uid="{00000000-0010-0000-2100-00000A000000}" name="GRP(Y)" totalsRowFunction="sum" dataDxfId="664" totalsRowDxfId="627"/>
    <tableColumn id="11" xr3:uid="{00000000-0010-0000-2100-00000B000000}" name="FLT ST" dataDxfId="663" totalsRowDxfId="626"/>
    <tableColumn id="12" xr3:uid="{00000000-0010-0000-2100-00000C000000}" name="LST-SOLD" dataDxfId="662" totalsRowDxfId="625"/>
    <tableColumn id="13" xr3:uid="{00000000-0010-0000-2100-00000D000000}" name="TO-DAY" totalsRowFunction="sum" dataDxfId="661" totalsRowDxfId="624"/>
    <tableColumn id="14" xr3:uid="{00000000-0010-0000-2100-00000E000000}" name="Y-DAY" totalsRowFunction="sum" dataDxfId="660" totalsRowDxfId="623"/>
    <tableColumn id="15" xr3:uid="{00000000-0010-0000-2100-00000F000000}" name="WEEKLY" totalsRowFunction="sum" dataDxfId="659" totalsRowDxfId="622"/>
    <tableColumn id="16" xr3:uid="{00000000-0010-0000-2100-000010000000}" name="LOWEST AVAIL" dataDxfId="658" totalsRowDxfId="621"/>
    <tableColumn id="17" xr3:uid="{00000000-0010-0000-2100-000011000000}" name="Y" totalsRowFunction="sum" dataDxfId="657" totalsRowDxfId="620"/>
    <tableColumn id="18" xr3:uid="{00000000-0010-0000-2100-000012000000}" name="B" totalsRowFunction="sum" dataDxfId="656" totalsRowDxfId="619"/>
    <tableColumn id="19" xr3:uid="{00000000-0010-0000-2100-000013000000}" name="M" totalsRowFunction="sum" dataDxfId="655" totalsRowDxfId="618"/>
    <tableColumn id="20" xr3:uid="{00000000-0010-0000-2100-000014000000}" name="H" totalsRowFunction="sum" dataDxfId="654" totalsRowDxfId="617"/>
    <tableColumn id="21" xr3:uid="{00000000-0010-0000-2100-000015000000}" name="Q" totalsRowFunction="sum" dataDxfId="653" totalsRowDxfId="616"/>
    <tableColumn id="22" xr3:uid="{00000000-0010-0000-2100-000016000000}" name="K" totalsRowFunction="sum" dataDxfId="652" totalsRowDxfId="615"/>
    <tableColumn id="23" xr3:uid="{00000000-0010-0000-2100-000017000000}" name="V" totalsRowFunction="sum" dataDxfId="651" totalsRowDxfId="614"/>
    <tableColumn id="24" xr3:uid="{00000000-0010-0000-2100-000018000000}" name="L" totalsRowFunction="sum" dataDxfId="650" totalsRowDxfId="613"/>
    <tableColumn id="25" xr3:uid="{00000000-0010-0000-2100-000019000000}" name="G" totalsRowFunction="sum" dataDxfId="649" totalsRowDxfId="612"/>
    <tableColumn id="26" xr3:uid="{00000000-0010-0000-2100-00001A000000}" name="S" totalsRowFunction="sum" dataDxfId="648" totalsRowDxfId="611"/>
    <tableColumn id="27" xr3:uid="{00000000-0010-0000-2100-00001B000000}" name="W" totalsRowFunction="sum" dataDxfId="647" totalsRowDxfId="610"/>
    <tableColumn id="28" xr3:uid="{00000000-0010-0000-2100-00001C000000}" name="T" totalsRowFunction="sum" dataDxfId="646" totalsRowDxfId="609"/>
    <tableColumn id="29" xr3:uid="{00000000-0010-0000-2100-00001D000000}" name="X" totalsRowFunction="sum" dataDxfId="645" totalsRowDxfId="608"/>
    <tableColumn id="30" xr3:uid="{00000000-0010-0000-2100-00001E000000}" name="U" totalsRowFunction="sum" dataDxfId="644" totalsRowDxfId="607"/>
    <tableColumn id="31" xr3:uid="{00000000-0010-0000-2100-00001F000000}" name="O" totalsRowFunction="sum" dataDxfId="643" totalsRowDxfId="606"/>
    <tableColumn id="32" xr3:uid="{00000000-0010-0000-2100-000020000000}" name="I" totalsRowFunction="sum" dataDxfId="642" totalsRowDxfId="605"/>
    <tableColumn id="33" xr3:uid="{00000000-0010-0000-2100-000021000000}" name="E" totalsRowFunction="sum" dataDxfId="641" totalsRowDxfId="604"/>
    <tableColumn id="34" xr3:uid="{00000000-0010-0000-2100-000022000000}" name="A" totalsRowFunction="sum" dataDxfId="640" totalsRowDxfId="603"/>
    <tableColumn id="35" xr3:uid="{00000000-0010-0000-2100-000023000000}" name="P" totalsRowFunction="sum" dataDxfId="639" totalsRowDxfId="602"/>
    <tableColumn id="36" xr3:uid="{00000000-0010-0000-2100-000024000000}" name="N" totalsRowFunction="count" dataDxfId="638" totalsRowDxfId="601"/>
  </tableColumns>
  <tableStyleInfo name="TableStyleMedium2"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2000000}" name="FocusMode_TUU_ATZ" displayName="FocusMode_TUU_ATZ" ref="A1:H15" totalsRowShown="0">
  <autoFilter ref="A1:H15" xr:uid="{00000000-0009-0000-0100-000023000000}"/>
  <tableColumns count="8">
    <tableColumn id="1" xr3:uid="{00000000-0010-0000-2200-000001000000}" name="DATE"/>
    <tableColumn id="2" xr3:uid="{00000000-0010-0000-2200-000002000000}" name="AIRLINE"/>
    <tableColumn id="3" xr3:uid="{00000000-0010-0000-2200-000003000000}" name="FLIGHT NUM"/>
    <tableColumn id="4" xr3:uid="{00000000-0010-0000-2200-000004000000}" name="ROUTE"/>
    <tableColumn id="5" xr3:uid="{00000000-0010-0000-2200-000005000000}" name="DEPARTURE"/>
    <tableColumn id="6" xr3:uid="{00000000-0010-0000-2200-000006000000}" name="BAGGAGE"/>
    <tableColumn id="7" xr3:uid="{00000000-0010-0000-2200-000007000000}" name="AVAILABILITY"/>
    <tableColumn id="8" xr3:uid="{00000000-0010-0000-2200-000008000000}" name="PUBLISHED FARE"/>
  </tableColumns>
  <tableStyleInfo name="TableStyleMedium2"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hreatsAlert_TUU_ATZ" displayName="ThreatsAlert_TUU_ATZ" ref="A1:H15" totalsRowShown="0">
  <autoFilter ref="A1:H15" xr:uid="{00000000-0009-0000-0100-000024000000}"/>
  <tableColumns count="8">
    <tableColumn id="1" xr3:uid="{00000000-0010-0000-2300-000001000000}" name="DATE"/>
    <tableColumn id="2" xr3:uid="{00000000-0010-0000-2300-000002000000}" name="AIRLINE"/>
    <tableColumn id="3" xr3:uid="{00000000-0010-0000-2300-000003000000}" name="FLIGHT NUM"/>
    <tableColumn id="4" xr3:uid="{00000000-0010-0000-2300-000004000000}" name="ROUTE"/>
    <tableColumn id="5" xr3:uid="{00000000-0010-0000-2300-000005000000}" name="DEPARTURE"/>
    <tableColumn id="6" xr3:uid="{00000000-0010-0000-2300-000006000000}" name="BAGGAGE"/>
    <tableColumn id="7" xr3:uid="{00000000-0010-0000-2300-000007000000}" name="AVAILABILITY"/>
    <tableColumn id="8" xr3:uid="{00000000-0010-0000-2300-000008000000}" name="PUBLISHED FARE"/>
  </tableColumns>
  <tableStyleInfo name="TableStyleMedium2"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AJF_CAI_LF_LEGACY" displayName="AJF_CAI_LF_LEGACY" ref="A1:AJ3" totalsRowCount="1" headerRowDxfId="599" dataDxfId="562" totalsRowDxfId="525">
  <tableColumns count="36">
    <tableColumn id="1" xr3:uid="{00000000-0010-0000-2400-000001000000}" name="Day" totalsRowLabel="TOTAL" dataDxfId="598" totalsRowDxfId="561"/>
    <tableColumn id="2" xr3:uid="{00000000-0010-0000-2400-000002000000}" name="Flt Dt" dataDxfId="597" totalsRowDxfId="560"/>
    <tableColumn id="3" xr3:uid="{00000000-0010-0000-2400-000003000000}" name="Flt" totalsRowFunction="count" dataDxfId="596" totalsRowDxfId="559"/>
    <tableColumn id="4" xr3:uid="{00000000-0010-0000-2400-000004000000}" name="DEP" dataDxfId="595" totalsRowDxfId="558"/>
    <tableColumn id="5" xr3:uid="{00000000-0010-0000-2400-000005000000}" name="Brd-Off" totalsRowFunction="count" dataDxfId="594" totalsRowDxfId="557"/>
    <tableColumn id="6" xr3:uid="{00000000-0010-0000-2400-000006000000}" name="Eqp" dataDxfId="593" totalsRowDxfId="556"/>
    <tableColumn id="7" xr3:uid="{00000000-0010-0000-2400-000007000000}" name="LF%" totalsRowFunction="average" dataDxfId="592" totalsRowDxfId="555"/>
    <tableColumn id="8" xr3:uid="{00000000-0010-0000-2400-000008000000}" name="CAP" totalsRowFunction="sum" dataDxfId="591" totalsRowDxfId="554"/>
    <tableColumn id="9" xr3:uid="{00000000-0010-0000-2400-000009000000}" name="BKG(Y)" totalsRowFunction="sum" dataDxfId="590" totalsRowDxfId="553"/>
    <tableColumn id="10" xr3:uid="{00000000-0010-0000-2400-00000A000000}" name="GRP(Y)" totalsRowFunction="sum" dataDxfId="589" totalsRowDxfId="552"/>
    <tableColumn id="11" xr3:uid="{00000000-0010-0000-2400-00000B000000}" name="FLT ST" dataDxfId="588" totalsRowDxfId="551"/>
    <tableColumn id="12" xr3:uid="{00000000-0010-0000-2400-00000C000000}" name="LST-SOLD" dataDxfId="587" totalsRowDxfId="550"/>
    <tableColumn id="13" xr3:uid="{00000000-0010-0000-2400-00000D000000}" name="TO-DAY" totalsRowFunction="sum" dataDxfId="586" totalsRowDxfId="549"/>
    <tableColumn id="14" xr3:uid="{00000000-0010-0000-2400-00000E000000}" name="Y-DAY" totalsRowFunction="sum" dataDxfId="585" totalsRowDxfId="548"/>
    <tableColumn id="15" xr3:uid="{00000000-0010-0000-2400-00000F000000}" name="WEEKLY" totalsRowFunction="sum" dataDxfId="584" totalsRowDxfId="547"/>
    <tableColumn id="16" xr3:uid="{00000000-0010-0000-2400-000010000000}" name="LOWEST AVAIL" dataDxfId="583" totalsRowDxfId="546"/>
    <tableColumn id="17" xr3:uid="{00000000-0010-0000-2400-000011000000}" name="Y" totalsRowFunction="sum" dataDxfId="582" totalsRowDxfId="545"/>
    <tableColumn id="18" xr3:uid="{00000000-0010-0000-2400-000012000000}" name="B" totalsRowFunction="sum" dataDxfId="581" totalsRowDxfId="544"/>
    <tableColumn id="19" xr3:uid="{00000000-0010-0000-2400-000013000000}" name="M" totalsRowFunction="sum" dataDxfId="580" totalsRowDxfId="543"/>
    <tableColumn id="20" xr3:uid="{00000000-0010-0000-2400-000014000000}" name="H" totalsRowFunction="sum" dataDxfId="579" totalsRowDxfId="542"/>
    <tableColumn id="21" xr3:uid="{00000000-0010-0000-2400-000015000000}" name="Q" totalsRowFunction="sum" dataDxfId="578" totalsRowDxfId="541"/>
    <tableColumn id="22" xr3:uid="{00000000-0010-0000-2400-000016000000}" name="K" totalsRowFunction="sum" dataDxfId="577" totalsRowDxfId="540"/>
    <tableColumn id="23" xr3:uid="{00000000-0010-0000-2400-000017000000}" name="V" totalsRowFunction="sum" dataDxfId="576" totalsRowDxfId="539"/>
    <tableColumn id="24" xr3:uid="{00000000-0010-0000-2400-000018000000}" name="L" totalsRowFunction="sum" dataDxfId="575" totalsRowDxfId="538"/>
    <tableColumn id="25" xr3:uid="{00000000-0010-0000-2400-000019000000}" name="G" totalsRowFunction="sum" dataDxfId="574" totalsRowDxfId="537"/>
    <tableColumn id="26" xr3:uid="{00000000-0010-0000-2400-00001A000000}" name="S" totalsRowFunction="sum" dataDxfId="573" totalsRowDxfId="536"/>
    <tableColumn id="27" xr3:uid="{00000000-0010-0000-2400-00001B000000}" name="W" totalsRowFunction="sum" dataDxfId="572" totalsRowDxfId="535"/>
    <tableColumn id="28" xr3:uid="{00000000-0010-0000-2400-00001C000000}" name="T" totalsRowFunction="sum" dataDxfId="571" totalsRowDxfId="534"/>
    <tableColumn id="29" xr3:uid="{00000000-0010-0000-2400-00001D000000}" name="X" totalsRowFunction="sum" dataDxfId="570" totalsRowDxfId="533"/>
    <tableColumn id="30" xr3:uid="{00000000-0010-0000-2400-00001E000000}" name="U" totalsRowFunction="sum" dataDxfId="569" totalsRowDxfId="532"/>
    <tableColumn id="31" xr3:uid="{00000000-0010-0000-2400-00001F000000}" name="O" totalsRowFunction="sum" dataDxfId="568" totalsRowDxfId="531"/>
    <tableColumn id="32" xr3:uid="{00000000-0010-0000-2400-000020000000}" name="I" totalsRowFunction="sum" dataDxfId="567" totalsRowDxfId="530"/>
    <tableColumn id="33" xr3:uid="{00000000-0010-0000-2400-000021000000}" name="E" totalsRowFunction="sum" dataDxfId="566" totalsRowDxfId="529"/>
    <tableColumn id="34" xr3:uid="{00000000-0010-0000-2400-000022000000}" name="A" totalsRowFunction="sum" dataDxfId="565" totalsRowDxfId="528"/>
    <tableColumn id="35" xr3:uid="{00000000-0010-0000-2400-000023000000}" name="P" totalsRowFunction="sum" dataDxfId="564" totalsRowDxfId="527"/>
    <tableColumn id="36" xr3:uid="{00000000-0010-0000-2400-000024000000}" name="N" totalsRowFunction="count" dataDxfId="563" totalsRowDxfId="526"/>
  </tableColumns>
  <tableStyleInfo name="TableStyleMedium2"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5000000}" name="FocusMode_AJF_CAI" displayName="FocusMode_AJF_CAI" ref="A1:H3" totalsRowShown="0">
  <autoFilter ref="A1:H3" xr:uid="{00000000-0009-0000-0100-000026000000}"/>
  <tableColumns count="8">
    <tableColumn id="1" xr3:uid="{00000000-0010-0000-2500-000001000000}" name="DATE"/>
    <tableColumn id="2" xr3:uid="{00000000-0010-0000-2500-000002000000}" name="AIRLINE"/>
    <tableColumn id="3" xr3:uid="{00000000-0010-0000-2500-000003000000}" name="FLIGHT NUM"/>
    <tableColumn id="4" xr3:uid="{00000000-0010-0000-2500-000004000000}" name="ROUTE"/>
    <tableColumn id="5" xr3:uid="{00000000-0010-0000-2500-000005000000}" name="DEPARTURE"/>
    <tableColumn id="6" xr3:uid="{00000000-0010-0000-2500-000006000000}" name="BAGGAGE"/>
    <tableColumn id="7" xr3:uid="{00000000-0010-0000-2500-000007000000}" name="AVAILABILITY"/>
    <tableColumn id="8" xr3:uid="{00000000-0010-0000-2500-000008000000}" name="PUBLISHED FARE"/>
  </tableColumns>
  <tableStyleInfo name="TableStyleMedium2"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6000000}" name="ThreatsAlert_AJF_CAI" displayName="ThreatsAlert_AJF_CAI" ref="A1:H3" totalsRowShown="0">
  <autoFilter ref="A1:H3" xr:uid="{00000000-0009-0000-0100-000027000000}"/>
  <tableColumns count="8">
    <tableColumn id="1" xr3:uid="{00000000-0010-0000-2600-000001000000}" name="DATE"/>
    <tableColumn id="2" xr3:uid="{00000000-0010-0000-2600-000002000000}" name="AIRLINE"/>
    <tableColumn id="3" xr3:uid="{00000000-0010-0000-2600-000003000000}" name="FLIGHT NUM"/>
    <tableColumn id="4" xr3:uid="{00000000-0010-0000-2600-000004000000}" name="ROUTE"/>
    <tableColumn id="5" xr3:uid="{00000000-0010-0000-2600-000005000000}" name="DEPARTURE"/>
    <tableColumn id="6" xr3:uid="{00000000-0010-0000-2600-000006000000}" name="BAGGAGE"/>
    <tableColumn id="7" xr3:uid="{00000000-0010-0000-2600-000007000000}" name="AVAILABILITY"/>
    <tableColumn id="8" xr3:uid="{00000000-0010-0000-2600-000008000000}" name="PUBLISHED FARE"/>
  </tableColumns>
  <tableStyleInfo name="TableStyleMedium2"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7000000}" name="AJF_ATZ_LF_LEGACY" displayName="AJF_ATZ_LF_LEGACY" ref="A1:AJ3" totalsRowCount="1" headerRowDxfId="524" dataDxfId="487" totalsRowDxfId="450">
  <tableColumns count="36">
    <tableColumn id="1" xr3:uid="{00000000-0010-0000-2700-000001000000}" name="Day" totalsRowLabel="TOTAL" dataDxfId="523" totalsRowDxfId="486"/>
    <tableColumn id="2" xr3:uid="{00000000-0010-0000-2700-000002000000}" name="Flt Dt" dataDxfId="522" totalsRowDxfId="485"/>
    <tableColumn id="3" xr3:uid="{00000000-0010-0000-2700-000003000000}" name="Flt" totalsRowFunction="count" dataDxfId="521" totalsRowDxfId="484"/>
    <tableColumn id="4" xr3:uid="{00000000-0010-0000-2700-000004000000}" name="DEP" dataDxfId="520" totalsRowDxfId="483"/>
    <tableColumn id="5" xr3:uid="{00000000-0010-0000-2700-000005000000}" name="Brd-Off" totalsRowFunction="count" dataDxfId="519" totalsRowDxfId="482"/>
    <tableColumn id="6" xr3:uid="{00000000-0010-0000-2700-000006000000}" name="Eqp" dataDxfId="518" totalsRowDxfId="481"/>
    <tableColumn id="7" xr3:uid="{00000000-0010-0000-2700-000007000000}" name="LF%" totalsRowFunction="average" dataDxfId="517" totalsRowDxfId="480"/>
    <tableColumn id="8" xr3:uid="{00000000-0010-0000-2700-000008000000}" name="CAP" totalsRowFunction="sum" dataDxfId="516" totalsRowDxfId="479"/>
    <tableColumn id="9" xr3:uid="{00000000-0010-0000-2700-000009000000}" name="BKG(Y)" totalsRowFunction="sum" dataDxfId="515" totalsRowDxfId="478"/>
    <tableColumn id="10" xr3:uid="{00000000-0010-0000-2700-00000A000000}" name="GRP(Y)" totalsRowFunction="sum" dataDxfId="514" totalsRowDxfId="477"/>
    <tableColumn id="11" xr3:uid="{00000000-0010-0000-2700-00000B000000}" name="FLT ST" dataDxfId="513" totalsRowDxfId="476"/>
    <tableColumn id="12" xr3:uid="{00000000-0010-0000-2700-00000C000000}" name="LST-SOLD" dataDxfId="512" totalsRowDxfId="475"/>
    <tableColumn id="13" xr3:uid="{00000000-0010-0000-2700-00000D000000}" name="TO-DAY" totalsRowFunction="sum" dataDxfId="511" totalsRowDxfId="474"/>
    <tableColumn id="14" xr3:uid="{00000000-0010-0000-2700-00000E000000}" name="Y-DAY" totalsRowFunction="sum" dataDxfId="510" totalsRowDxfId="473"/>
    <tableColumn id="15" xr3:uid="{00000000-0010-0000-2700-00000F000000}" name="WEEKLY" totalsRowFunction="sum" dataDxfId="509" totalsRowDxfId="472"/>
    <tableColumn id="16" xr3:uid="{00000000-0010-0000-2700-000010000000}" name="LOWEST AVAIL" dataDxfId="508" totalsRowDxfId="471"/>
    <tableColumn id="17" xr3:uid="{00000000-0010-0000-2700-000011000000}" name="Y" totalsRowFunction="sum" dataDxfId="507" totalsRowDxfId="470"/>
    <tableColumn id="18" xr3:uid="{00000000-0010-0000-2700-000012000000}" name="B" totalsRowFunction="sum" dataDxfId="506" totalsRowDxfId="469"/>
    <tableColumn id="19" xr3:uid="{00000000-0010-0000-2700-000013000000}" name="M" totalsRowFunction="sum" dataDxfId="505" totalsRowDxfId="468"/>
    <tableColumn id="20" xr3:uid="{00000000-0010-0000-2700-000014000000}" name="H" totalsRowFunction="sum" dataDxfId="504" totalsRowDxfId="467"/>
    <tableColumn id="21" xr3:uid="{00000000-0010-0000-2700-000015000000}" name="Q" totalsRowFunction="sum" dataDxfId="503" totalsRowDxfId="466"/>
    <tableColumn id="22" xr3:uid="{00000000-0010-0000-2700-000016000000}" name="K" totalsRowFunction="sum" dataDxfId="502" totalsRowDxfId="465"/>
    <tableColumn id="23" xr3:uid="{00000000-0010-0000-2700-000017000000}" name="V" totalsRowFunction="sum" dataDxfId="501" totalsRowDxfId="464"/>
    <tableColumn id="24" xr3:uid="{00000000-0010-0000-2700-000018000000}" name="L" totalsRowFunction="sum" dataDxfId="500" totalsRowDxfId="463"/>
    <tableColumn id="25" xr3:uid="{00000000-0010-0000-2700-000019000000}" name="G" totalsRowFunction="sum" dataDxfId="499" totalsRowDxfId="462"/>
    <tableColumn id="26" xr3:uid="{00000000-0010-0000-2700-00001A000000}" name="S" totalsRowFunction="sum" dataDxfId="498" totalsRowDxfId="461"/>
    <tableColumn id="27" xr3:uid="{00000000-0010-0000-2700-00001B000000}" name="W" totalsRowFunction="sum" dataDxfId="497" totalsRowDxfId="460"/>
    <tableColumn id="28" xr3:uid="{00000000-0010-0000-2700-00001C000000}" name="T" totalsRowFunction="sum" dataDxfId="496" totalsRowDxfId="459"/>
    <tableColumn id="29" xr3:uid="{00000000-0010-0000-2700-00001D000000}" name="X" totalsRowFunction="sum" dataDxfId="495" totalsRowDxfId="458"/>
    <tableColumn id="30" xr3:uid="{00000000-0010-0000-2700-00001E000000}" name="U" totalsRowFunction="sum" dataDxfId="494" totalsRowDxfId="457"/>
    <tableColumn id="31" xr3:uid="{00000000-0010-0000-2700-00001F000000}" name="O" totalsRowFunction="sum" dataDxfId="493" totalsRowDxfId="456"/>
    <tableColumn id="32" xr3:uid="{00000000-0010-0000-2700-000020000000}" name="I" totalsRowFunction="sum" dataDxfId="492" totalsRowDxfId="455"/>
    <tableColumn id="33" xr3:uid="{00000000-0010-0000-2700-000021000000}" name="E" totalsRowFunction="sum" dataDxfId="491" totalsRowDxfId="454"/>
    <tableColumn id="34" xr3:uid="{00000000-0010-0000-2700-000022000000}" name="A" totalsRowFunction="sum" dataDxfId="490" totalsRowDxfId="453"/>
    <tableColumn id="35" xr3:uid="{00000000-0010-0000-2700-000023000000}" name="P" totalsRowFunction="sum" dataDxfId="489" totalsRowDxfId="452"/>
    <tableColumn id="36" xr3:uid="{00000000-0010-0000-2700-000024000000}" name="N" totalsRowFunction="count" dataDxfId="488" totalsRowDxfId="451"/>
  </tableColumns>
  <tableStyleInfo name="TableStyleMedium2"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8000000}" name="FocusMode_AJF_ATZ" displayName="FocusMode_AJF_ATZ" ref="A1:H6" totalsRowShown="0">
  <autoFilter ref="A1:H6" xr:uid="{00000000-0009-0000-0100-000029000000}"/>
  <tableColumns count="8">
    <tableColumn id="1" xr3:uid="{00000000-0010-0000-2800-000001000000}" name="DATE"/>
    <tableColumn id="2" xr3:uid="{00000000-0010-0000-2800-000002000000}" name="AIRLINE"/>
    <tableColumn id="3" xr3:uid="{00000000-0010-0000-2800-000003000000}" name="FLIGHT NUM"/>
    <tableColumn id="4" xr3:uid="{00000000-0010-0000-2800-000004000000}" name="ROUTE"/>
    <tableColumn id="5" xr3:uid="{00000000-0010-0000-2800-000005000000}" name="DEPARTURE"/>
    <tableColumn id="6" xr3:uid="{00000000-0010-0000-2800-000006000000}" name="BAGGAGE"/>
    <tableColumn id="7" xr3:uid="{00000000-0010-0000-2800-000007000000}" name="AVAILABILITY"/>
    <tableColumn id="8" xr3:uid="{00000000-0010-0000-2800-000008000000}" name="PUBLISHED FARE"/>
  </tableColumns>
  <tableStyleInfo name="TableStyleMedium2"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9000000}" name="ThreatsAlert_AJF_ATZ" displayName="ThreatsAlert_AJF_ATZ" ref="A1:H6" totalsRowShown="0">
  <autoFilter ref="A1:H6" xr:uid="{00000000-0009-0000-0100-00002A000000}"/>
  <tableColumns count="8">
    <tableColumn id="1" xr3:uid="{00000000-0010-0000-2900-000001000000}" name="DATE"/>
    <tableColumn id="2" xr3:uid="{00000000-0010-0000-2900-000002000000}" name="AIRLINE"/>
    <tableColumn id="3" xr3:uid="{00000000-0010-0000-2900-000003000000}" name="FLIGHT NUM"/>
    <tableColumn id="4" xr3:uid="{00000000-0010-0000-2900-000004000000}" name="ROUTE"/>
    <tableColumn id="5" xr3:uid="{00000000-0010-0000-2900-000005000000}" name="DEPARTURE"/>
    <tableColumn id="6" xr3:uid="{00000000-0010-0000-2900-000006000000}" name="BAGGAGE"/>
    <tableColumn id="7" xr3:uid="{00000000-0010-0000-2900-000007000000}" name="AVAILABILITY"/>
    <tableColumn id="8" xr3:uid="{00000000-0010-0000-2900-000008000000}" name="PUBLISHED FARE"/>
  </tableColumns>
  <tableStyleInfo name="TableStyleMedium2"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A000000}" name="YNB_CAI_LF_LEGACY" displayName="YNB_CAI_LF_LEGACY" ref="A1:AJ5" totalsRowCount="1" headerRowDxfId="449" dataDxfId="412" totalsRowDxfId="375">
  <tableColumns count="36">
    <tableColumn id="1" xr3:uid="{00000000-0010-0000-2A00-000001000000}" name="Day" totalsRowLabel="TOTAL" dataDxfId="448" totalsRowDxfId="411"/>
    <tableColumn id="2" xr3:uid="{00000000-0010-0000-2A00-000002000000}" name="Flt Dt" dataDxfId="447" totalsRowDxfId="410"/>
    <tableColumn id="3" xr3:uid="{00000000-0010-0000-2A00-000003000000}" name="Flt" totalsRowFunction="count" dataDxfId="446" totalsRowDxfId="409"/>
    <tableColumn id="4" xr3:uid="{00000000-0010-0000-2A00-000004000000}" name="DEP" dataDxfId="445" totalsRowDxfId="408"/>
    <tableColumn id="5" xr3:uid="{00000000-0010-0000-2A00-000005000000}" name="Brd-Off" totalsRowFunction="count" dataDxfId="444" totalsRowDxfId="407"/>
    <tableColumn id="6" xr3:uid="{00000000-0010-0000-2A00-000006000000}" name="Eqp" dataDxfId="443" totalsRowDxfId="406"/>
    <tableColumn id="7" xr3:uid="{00000000-0010-0000-2A00-000007000000}" name="LF%" totalsRowFunction="average" dataDxfId="442" totalsRowDxfId="405"/>
    <tableColumn id="8" xr3:uid="{00000000-0010-0000-2A00-000008000000}" name="CAP" totalsRowFunction="sum" dataDxfId="441" totalsRowDxfId="404"/>
    <tableColumn id="9" xr3:uid="{00000000-0010-0000-2A00-000009000000}" name="BKG(Y)" totalsRowFunction="sum" dataDxfId="440" totalsRowDxfId="403"/>
    <tableColumn id="10" xr3:uid="{00000000-0010-0000-2A00-00000A000000}" name="GRP(Y)" totalsRowFunction="sum" dataDxfId="439" totalsRowDxfId="402"/>
    <tableColumn id="11" xr3:uid="{00000000-0010-0000-2A00-00000B000000}" name="FLT ST" dataDxfId="438" totalsRowDxfId="401"/>
    <tableColumn id="12" xr3:uid="{00000000-0010-0000-2A00-00000C000000}" name="LST-SOLD" dataDxfId="437" totalsRowDxfId="400"/>
    <tableColumn id="13" xr3:uid="{00000000-0010-0000-2A00-00000D000000}" name="TO-DAY" totalsRowFunction="sum" dataDxfId="436" totalsRowDxfId="399"/>
    <tableColumn id="14" xr3:uid="{00000000-0010-0000-2A00-00000E000000}" name="Y-DAY" totalsRowFunction="sum" dataDxfId="435" totalsRowDxfId="398"/>
    <tableColumn id="15" xr3:uid="{00000000-0010-0000-2A00-00000F000000}" name="WEEKLY" totalsRowFunction="sum" dataDxfId="434" totalsRowDxfId="397"/>
    <tableColumn id="16" xr3:uid="{00000000-0010-0000-2A00-000010000000}" name="LOWEST AVAIL" dataDxfId="433" totalsRowDxfId="396"/>
    <tableColumn id="17" xr3:uid="{00000000-0010-0000-2A00-000011000000}" name="Y" totalsRowFunction="sum" dataDxfId="432" totalsRowDxfId="395"/>
    <tableColumn id="18" xr3:uid="{00000000-0010-0000-2A00-000012000000}" name="B" totalsRowFunction="sum" dataDxfId="431" totalsRowDxfId="394"/>
    <tableColumn id="19" xr3:uid="{00000000-0010-0000-2A00-000013000000}" name="M" totalsRowFunction="sum" dataDxfId="430" totalsRowDxfId="393"/>
    <tableColumn id="20" xr3:uid="{00000000-0010-0000-2A00-000014000000}" name="H" totalsRowFunction="sum" dataDxfId="429" totalsRowDxfId="392"/>
    <tableColumn id="21" xr3:uid="{00000000-0010-0000-2A00-000015000000}" name="Q" totalsRowFunction="sum" dataDxfId="428" totalsRowDxfId="391"/>
    <tableColumn id="22" xr3:uid="{00000000-0010-0000-2A00-000016000000}" name="K" totalsRowFunction="sum" dataDxfId="427" totalsRowDxfId="390"/>
    <tableColumn id="23" xr3:uid="{00000000-0010-0000-2A00-000017000000}" name="V" totalsRowFunction="sum" dataDxfId="426" totalsRowDxfId="389"/>
    <tableColumn id="24" xr3:uid="{00000000-0010-0000-2A00-000018000000}" name="L" totalsRowFunction="sum" dataDxfId="425" totalsRowDxfId="388"/>
    <tableColumn id="25" xr3:uid="{00000000-0010-0000-2A00-000019000000}" name="G" totalsRowFunction="sum" dataDxfId="424" totalsRowDxfId="387"/>
    <tableColumn id="26" xr3:uid="{00000000-0010-0000-2A00-00001A000000}" name="S" totalsRowFunction="sum" dataDxfId="423" totalsRowDxfId="386"/>
    <tableColumn id="27" xr3:uid="{00000000-0010-0000-2A00-00001B000000}" name="W" totalsRowFunction="sum" dataDxfId="422" totalsRowDxfId="385"/>
    <tableColumn id="28" xr3:uid="{00000000-0010-0000-2A00-00001C000000}" name="T" totalsRowFunction="sum" dataDxfId="421" totalsRowDxfId="384"/>
    <tableColumn id="29" xr3:uid="{00000000-0010-0000-2A00-00001D000000}" name="X" totalsRowFunction="sum" dataDxfId="420" totalsRowDxfId="383"/>
    <tableColumn id="30" xr3:uid="{00000000-0010-0000-2A00-00001E000000}" name="U" totalsRowFunction="sum" dataDxfId="419" totalsRowDxfId="382"/>
    <tableColumn id="31" xr3:uid="{00000000-0010-0000-2A00-00001F000000}" name="O" totalsRowFunction="sum" dataDxfId="418" totalsRowDxfId="381"/>
    <tableColumn id="32" xr3:uid="{00000000-0010-0000-2A00-000020000000}" name="I" totalsRowFunction="sum" dataDxfId="417" totalsRowDxfId="380"/>
    <tableColumn id="33" xr3:uid="{00000000-0010-0000-2A00-000021000000}" name="E" totalsRowFunction="sum" dataDxfId="416" totalsRowDxfId="379"/>
    <tableColumn id="34" xr3:uid="{00000000-0010-0000-2A00-000022000000}" name="A" totalsRowFunction="sum" dataDxfId="415" totalsRowDxfId="378"/>
    <tableColumn id="35" xr3:uid="{00000000-0010-0000-2A00-000023000000}" name="P" totalsRowFunction="sum" dataDxfId="414" totalsRowDxfId="377"/>
    <tableColumn id="36" xr3:uid="{00000000-0010-0000-2A00-000024000000}" name="N" totalsRowFunction="count" dataDxfId="413" totalsRowDxfId="376"/>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FocusMode_YNB_CAI" displayName="FocusMode_YNB_CAI" ref="A1:H5" totalsRowShown="0">
  <autoFilter ref="A1:H5" xr:uid="{00000000-0009-0000-0100-00002C000000}"/>
  <tableColumns count="8">
    <tableColumn id="1" xr3:uid="{00000000-0010-0000-2B00-000001000000}" name="DATE"/>
    <tableColumn id="2" xr3:uid="{00000000-0010-0000-2B00-000002000000}" name="AIRLINE"/>
    <tableColumn id="3" xr3:uid="{00000000-0010-0000-2B00-000003000000}" name="FLIGHT NUM"/>
    <tableColumn id="4" xr3:uid="{00000000-0010-0000-2B00-000004000000}" name="ROUTE"/>
    <tableColumn id="5" xr3:uid="{00000000-0010-0000-2B00-000005000000}" name="DEPARTURE"/>
    <tableColumn id="6" xr3:uid="{00000000-0010-0000-2B00-000006000000}" name="BAGGAGE"/>
    <tableColumn id="7" xr3:uid="{00000000-0010-0000-2B00-000007000000}" name="AVAILABILITY"/>
    <tableColumn id="8" xr3:uid="{00000000-0010-0000-2B00-000008000000}" name="PUBLISHED FARE"/>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ThreatsAlert_YNB_CAI" displayName="ThreatsAlert_YNB_CAI" ref="A1:H4" totalsRowShown="0">
  <autoFilter ref="A1:H4" xr:uid="{00000000-0009-0000-0100-00002D000000}"/>
  <tableColumns count="8">
    <tableColumn id="1" xr3:uid="{00000000-0010-0000-2C00-000001000000}" name="DATE"/>
    <tableColumn id="2" xr3:uid="{00000000-0010-0000-2C00-000002000000}" name="AIRLINE"/>
    <tableColumn id="3" xr3:uid="{00000000-0010-0000-2C00-000003000000}" name="FLIGHT NUM"/>
    <tableColumn id="4" xr3:uid="{00000000-0010-0000-2C00-000004000000}" name="ROUTE"/>
    <tableColumn id="5" xr3:uid="{00000000-0010-0000-2C00-000005000000}" name="DEPARTURE"/>
    <tableColumn id="6" xr3:uid="{00000000-0010-0000-2C00-000006000000}" name="BAGGAGE"/>
    <tableColumn id="7" xr3:uid="{00000000-0010-0000-2C00-000007000000}" name="AVAILABILITY"/>
    <tableColumn id="8" xr3:uid="{00000000-0010-0000-2C00-000008000000}" name="PUBLISHED FARE"/>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AHB_CAI_LF_LEGACY" displayName="AHB_CAI_LF_LEGACY" ref="A1:AJ4" totalsRowCount="1" headerRowDxfId="374" dataDxfId="337" totalsRowDxfId="300">
  <tableColumns count="36">
    <tableColumn id="1" xr3:uid="{00000000-0010-0000-2D00-000001000000}" name="Day" totalsRowLabel="TOTAL" dataDxfId="373" totalsRowDxfId="336"/>
    <tableColumn id="2" xr3:uid="{00000000-0010-0000-2D00-000002000000}" name="Flt Dt" dataDxfId="372" totalsRowDxfId="335"/>
    <tableColumn id="3" xr3:uid="{00000000-0010-0000-2D00-000003000000}" name="Flt" totalsRowFunction="count" dataDxfId="371" totalsRowDxfId="334"/>
    <tableColumn id="4" xr3:uid="{00000000-0010-0000-2D00-000004000000}" name="DEP" dataDxfId="370" totalsRowDxfId="333"/>
    <tableColumn id="5" xr3:uid="{00000000-0010-0000-2D00-000005000000}" name="Brd-Off" totalsRowFunction="count" dataDxfId="369" totalsRowDxfId="332"/>
    <tableColumn id="6" xr3:uid="{00000000-0010-0000-2D00-000006000000}" name="Eqp" dataDxfId="368" totalsRowDxfId="331"/>
    <tableColumn id="7" xr3:uid="{00000000-0010-0000-2D00-000007000000}" name="LF%" totalsRowFunction="average" dataDxfId="367" totalsRowDxfId="330"/>
    <tableColumn id="8" xr3:uid="{00000000-0010-0000-2D00-000008000000}" name="CAP" totalsRowFunction="sum" dataDxfId="366" totalsRowDxfId="329"/>
    <tableColumn id="9" xr3:uid="{00000000-0010-0000-2D00-000009000000}" name="BKG(Y)" totalsRowFunction="sum" dataDxfId="365" totalsRowDxfId="328"/>
    <tableColumn id="10" xr3:uid="{00000000-0010-0000-2D00-00000A000000}" name="GRP(Y)" totalsRowFunction="sum" dataDxfId="364" totalsRowDxfId="327"/>
    <tableColumn id="11" xr3:uid="{00000000-0010-0000-2D00-00000B000000}" name="FLT ST" dataDxfId="363" totalsRowDxfId="326"/>
    <tableColumn id="12" xr3:uid="{00000000-0010-0000-2D00-00000C000000}" name="LST-SOLD" dataDxfId="362" totalsRowDxfId="325"/>
    <tableColumn id="13" xr3:uid="{00000000-0010-0000-2D00-00000D000000}" name="TO-DAY" totalsRowFunction="sum" dataDxfId="361" totalsRowDxfId="324"/>
    <tableColumn id="14" xr3:uid="{00000000-0010-0000-2D00-00000E000000}" name="Y-DAY" totalsRowFunction="sum" dataDxfId="360" totalsRowDxfId="323"/>
    <tableColumn id="15" xr3:uid="{00000000-0010-0000-2D00-00000F000000}" name="WEEKLY" totalsRowFunction="sum" dataDxfId="359" totalsRowDxfId="322"/>
    <tableColumn id="16" xr3:uid="{00000000-0010-0000-2D00-000010000000}" name="LOWEST AVAIL" dataDxfId="358" totalsRowDxfId="321"/>
    <tableColumn id="17" xr3:uid="{00000000-0010-0000-2D00-000011000000}" name="Y" totalsRowFunction="sum" dataDxfId="357" totalsRowDxfId="320"/>
    <tableColumn id="18" xr3:uid="{00000000-0010-0000-2D00-000012000000}" name="B" totalsRowFunction="sum" dataDxfId="356" totalsRowDxfId="319"/>
    <tableColumn id="19" xr3:uid="{00000000-0010-0000-2D00-000013000000}" name="M" totalsRowFunction="sum" dataDxfId="355" totalsRowDxfId="318"/>
    <tableColumn id="20" xr3:uid="{00000000-0010-0000-2D00-000014000000}" name="H" totalsRowFunction="sum" dataDxfId="354" totalsRowDxfId="317"/>
    <tableColumn id="21" xr3:uid="{00000000-0010-0000-2D00-000015000000}" name="Q" totalsRowFunction="sum" dataDxfId="353" totalsRowDxfId="316"/>
    <tableColumn id="22" xr3:uid="{00000000-0010-0000-2D00-000016000000}" name="K" totalsRowFunction="sum" dataDxfId="352" totalsRowDxfId="315"/>
    <tableColumn id="23" xr3:uid="{00000000-0010-0000-2D00-000017000000}" name="V" totalsRowFunction="sum" dataDxfId="351" totalsRowDxfId="314"/>
    <tableColumn id="24" xr3:uid="{00000000-0010-0000-2D00-000018000000}" name="L" totalsRowFunction="sum" dataDxfId="350" totalsRowDxfId="313"/>
    <tableColumn id="25" xr3:uid="{00000000-0010-0000-2D00-000019000000}" name="G" totalsRowFunction="sum" dataDxfId="349" totalsRowDxfId="312"/>
    <tableColumn id="26" xr3:uid="{00000000-0010-0000-2D00-00001A000000}" name="S" totalsRowFunction="sum" dataDxfId="348" totalsRowDxfId="311"/>
    <tableColumn id="27" xr3:uid="{00000000-0010-0000-2D00-00001B000000}" name="W" totalsRowFunction="sum" dataDxfId="347" totalsRowDxfId="310"/>
    <tableColumn id="28" xr3:uid="{00000000-0010-0000-2D00-00001C000000}" name="T" totalsRowFunction="sum" dataDxfId="346" totalsRowDxfId="309"/>
    <tableColumn id="29" xr3:uid="{00000000-0010-0000-2D00-00001D000000}" name="X" totalsRowFunction="sum" dataDxfId="345" totalsRowDxfId="308"/>
    <tableColumn id="30" xr3:uid="{00000000-0010-0000-2D00-00001E000000}" name="U" totalsRowFunction="sum" dataDxfId="344" totalsRowDxfId="307"/>
    <tableColumn id="31" xr3:uid="{00000000-0010-0000-2D00-00001F000000}" name="O" totalsRowFunction="sum" dataDxfId="343" totalsRowDxfId="306"/>
    <tableColumn id="32" xr3:uid="{00000000-0010-0000-2D00-000020000000}" name="I" totalsRowFunction="sum" dataDxfId="342" totalsRowDxfId="305"/>
    <tableColumn id="33" xr3:uid="{00000000-0010-0000-2D00-000021000000}" name="E" totalsRowFunction="sum" dataDxfId="341" totalsRowDxfId="304"/>
    <tableColumn id="34" xr3:uid="{00000000-0010-0000-2D00-000022000000}" name="A" totalsRowFunction="sum" dataDxfId="340" totalsRowDxfId="303"/>
    <tableColumn id="35" xr3:uid="{00000000-0010-0000-2D00-000023000000}" name="P" totalsRowFunction="sum" dataDxfId="339" totalsRowDxfId="302"/>
    <tableColumn id="36" xr3:uid="{00000000-0010-0000-2D00-000024000000}" name="N" totalsRowFunction="count" dataDxfId="338" totalsRowDxfId="301"/>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FocusMode_AHB_CAI" displayName="FocusMode_AHB_CAI" ref="A1:H7" totalsRowShown="0">
  <autoFilter ref="A1:H7" xr:uid="{00000000-0009-0000-0100-00002F000000}"/>
  <tableColumns count="8">
    <tableColumn id="1" xr3:uid="{00000000-0010-0000-2E00-000001000000}" name="DATE"/>
    <tableColumn id="2" xr3:uid="{00000000-0010-0000-2E00-000002000000}" name="AIRLINE"/>
    <tableColumn id="3" xr3:uid="{00000000-0010-0000-2E00-000003000000}" name="FLIGHT NUM"/>
    <tableColumn id="4" xr3:uid="{00000000-0010-0000-2E00-000004000000}" name="ROUTE"/>
    <tableColumn id="5" xr3:uid="{00000000-0010-0000-2E00-000005000000}" name="DEPARTURE"/>
    <tableColumn id="6" xr3:uid="{00000000-0010-0000-2E00-000006000000}" name="BAGGAGE"/>
    <tableColumn id="7" xr3:uid="{00000000-0010-0000-2E00-000007000000}" name="AVAILABILITY"/>
    <tableColumn id="8" xr3:uid="{00000000-0010-0000-2E00-000008000000}" name="PUBLISHED FARE"/>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2F000000}" name="ThreatsAlert_AHB_CAI" displayName="ThreatsAlert_AHB_CAI" ref="A1:H4" totalsRowShown="0">
  <autoFilter ref="A1:H4" xr:uid="{00000000-0009-0000-0100-000030000000}"/>
  <tableColumns count="8">
    <tableColumn id="1" xr3:uid="{00000000-0010-0000-2F00-000001000000}" name="DATE"/>
    <tableColumn id="2" xr3:uid="{00000000-0010-0000-2F00-000002000000}" name="AIRLINE"/>
    <tableColumn id="3" xr3:uid="{00000000-0010-0000-2F00-000003000000}" name="FLIGHT NUM"/>
    <tableColumn id="4" xr3:uid="{00000000-0010-0000-2F00-000004000000}" name="ROUTE"/>
    <tableColumn id="5" xr3:uid="{00000000-0010-0000-2F00-000005000000}" name="DEPARTURE"/>
    <tableColumn id="6" xr3:uid="{00000000-0010-0000-2F00-000006000000}" name="BAGGAGE"/>
    <tableColumn id="7" xr3:uid="{00000000-0010-0000-2F00-000007000000}" name="AVAILABILITY"/>
    <tableColumn id="8" xr3:uid="{00000000-0010-0000-2F00-000008000000}" name="PUBLISHED FARE"/>
  </tableColumns>
  <tableStyleInfo name="TableStyleMedium2"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0000000}" name="AHB_ATZ_LF_LEGACY" displayName="AHB_ATZ_LF_LEGACY" ref="A1:AJ3" totalsRowCount="1" headerRowDxfId="299" dataDxfId="262" totalsRowDxfId="225">
  <tableColumns count="36">
    <tableColumn id="1" xr3:uid="{00000000-0010-0000-3000-000001000000}" name="Day" totalsRowLabel="TOTAL" dataDxfId="298" totalsRowDxfId="261"/>
    <tableColumn id="2" xr3:uid="{00000000-0010-0000-3000-000002000000}" name="Flt Dt" dataDxfId="297" totalsRowDxfId="260"/>
    <tableColumn id="3" xr3:uid="{00000000-0010-0000-3000-000003000000}" name="Flt" totalsRowFunction="count" dataDxfId="296" totalsRowDxfId="259"/>
    <tableColumn id="4" xr3:uid="{00000000-0010-0000-3000-000004000000}" name="DEP" dataDxfId="295" totalsRowDxfId="258"/>
    <tableColumn id="5" xr3:uid="{00000000-0010-0000-3000-000005000000}" name="Brd-Off" totalsRowFunction="count" dataDxfId="294" totalsRowDxfId="257"/>
    <tableColumn id="6" xr3:uid="{00000000-0010-0000-3000-000006000000}" name="Eqp" dataDxfId="293" totalsRowDxfId="256"/>
    <tableColumn id="7" xr3:uid="{00000000-0010-0000-3000-000007000000}" name="LF%" totalsRowFunction="average" dataDxfId="292" totalsRowDxfId="255"/>
    <tableColumn id="8" xr3:uid="{00000000-0010-0000-3000-000008000000}" name="CAP" totalsRowFunction="sum" dataDxfId="291" totalsRowDxfId="254"/>
    <tableColumn id="9" xr3:uid="{00000000-0010-0000-3000-000009000000}" name="BKG(Y)" totalsRowFunction="sum" dataDxfId="290" totalsRowDxfId="253"/>
    <tableColumn id="10" xr3:uid="{00000000-0010-0000-3000-00000A000000}" name="GRP(Y)" totalsRowFunction="sum" dataDxfId="289" totalsRowDxfId="252"/>
    <tableColumn id="11" xr3:uid="{00000000-0010-0000-3000-00000B000000}" name="FLT ST" dataDxfId="288" totalsRowDxfId="251"/>
    <tableColumn id="12" xr3:uid="{00000000-0010-0000-3000-00000C000000}" name="LST-SOLD" dataDxfId="287" totalsRowDxfId="250"/>
    <tableColumn id="13" xr3:uid="{00000000-0010-0000-3000-00000D000000}" name="TO-DAY" totalsRowFunction="sum" dataDxfId="286" totalsRowDxfId="249"/>
    <tableColumn id="14" xr3:uid="{00000000-0010-0000-3000-00000E000000}" name="Y-DAY" totalsRowFunction="sum" dataDxfId="285" totalsRowDxfId="248"/>
    <tableColumn id="15" xr3:uid="{00000000-0010-0000-3000-00000F000000}" name="WEEKLY" totalsRowFunction="sum" dataDxfId="284" totalsRowDxfId="247"/>
    <tableColumn id="16" xr3:uid="{00000000-0010-0000-3000-000010000000}" name="LOWEST AVAIL" dataDxfId="283" totalsRowDxfId="246"/>
    <tableColumn id="17" xr3:uid="{00000000-0010-0000-3000-000011000000}" name="Y" totalsRowFunction="sum" dataDxfId="282" totalsRowDxfId="245"/>
    <tableColumn id="18" xr3:uid="{00000000-0010-0000-3000-000012000000}" name="B" totalsRowFunction="sum" dataDxfId="281" totalsRowDxfId="244"/>
    <tableColumn id="19" xr3:uid="{00000000-0010-0000-3000-000013000000}" name="M" totalsRowFunction="sum" dataDxfId="280" totalsRowDxfId="243"/>
    <tableColumn id="20" xr3:uid="{00000000-0010-0000-3000-000014000000}" name="H" totalsRowFunction="sum" dataDxfId="279" totalsRowDxfId="242"/>
    <tableColumn id="21" xr3:uid="{00000000-0010-0000-3000-000015000000}" name="Q" totalsRowFunction="sum" dataDxfId="278" totalsRowDxfId="241"/>
    <tableColumn id="22" xr3:uid="{00000000-0010-0000-3000-000016000000}" name="K" totalsRowFunction="sum" dataDxfId="277" totalsRowDxfId="240"/>
    <tableColumn id="23" xr3:uid="{00000000-0010-0000-3000-000017000000}" name="V" totalsRowFunction="sum" dataDxfId="276" totalsRowDxfId="239"/>
    <tableColumn id="24" xr3:uid="{00000000-0010-0000-3000-000018000000}" name="L" totalsRowFunction="sum" dataDxfId="275" totalsRowDxfId="238"/>
    <tableColumn id="25" xr3:uid="{00000000-0010-0000-3000-000019000000}" name="G" totalsRowFunction="sum" dataDxfId="274" totalsRowDxfId="237"/>
    <tableColumn id="26" xr3:uid="{00000000-0010-0000-3000-00001A000000}" name="S" totalsRowFunction="sum" dataDxfId="273" totalsRowDxfId="236"/>
    <tableColumn id="27" xr3:uid="{00000000-0010-0000-3000-00001B000000}" name="W" totalsRowFunction="sum" dataDxfId="272" totalsRowDxfId="235"/>
    <tableColumn id="28" xr3:uid="{00000000-0010-0000-3000-00001C000000}" name="T" totalsRowFunction="sum" dataDxfId="271" totalsRowDxfId="234"/>
    <tableColumn id="29" xr3:uid="{00000000-0010-0000-3000-00001D000000}" name="X" totalsRowFunction="sum" dataDxfId="270" totalsRowDxfId="233"/>
    <tableColumn id="30" xr3:uid="{00000000-0010-0000-3000-00001E000000}" name="U" totalsRowFunction="sum" dataDxfId="269" totalsRowDxfId="232"/>
    <tableColumn id="31" xr3:uid="{00000000-0010-0000-3000-00001F000000}" name="O" totalsRowFunction="sum" dataDxfId="268" totalsRowDxfId="231"/>
    <tableColumn id="32" xr3:uid="{00000000-0010-0000-3000-000020000000}" name="I" totalsRowFunction="sum" dataDxfId="267" totalsRowDxfId="230"/>
    <tableColumn id="33" xr3:uid="{00000000-0010-0000-3000-000021000000}" name="E" totalsRowFunction="sum" dataDxfId="266" totalsRowDxfId="229"/>
    <tableColumn id="34" xr3:uid="{00000000-0010-0000-3000-000022000000}" name="A" totalsRowFunction="sum" dataDxfId="265" totalsRowDxfId="228"/>
    <tableColumn id="35" xr3:uid="{00000000-0010-0000-3000-000023000000}" name="P" totalsRowFunction="sum" dataDxfId="264" totalsRowDxfId="227"/>
    <tableColumn id="36" xr3:uid="{00000000-0010-0000-3000-000024000000}" name="N" totalsRowFunction="count" dataDxfId="263" totalsRowDxfId="226"/>
  </tableColumns>
  <tableStyleInfo name="TableStyleMedium2"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1000000}" name="FocusMode_AHB_ATZ" displayName="FocusMode_AHB_ATZ" ref="A1:H11" totalsRowShown="0">
  <autoFilter ref="A1:H11" xr:uid="{00000000-0009-0000-0100-000032000000}"/>
  <tableColumns count="8">
    <tableColumn id="1" xr3:uid="{00000000-0010-0000-3100-000001000000}" name="DATE"/>
    <tableColumn id="2" xr3:uid="{00000000-0010-0000-3100-000002000000}" name="AIRLINE"/>
    <tableColumn id="3" xr3:uid="{00000000-0010-0000-3100-000003000000}" name="FLIGHT NUM"/>
    <tableColumn id="4" xr3:uid="{00000000-0010-0000-3100-000004000000}" name="ROUTE"/>
    <tableColumn id="5" xr3:uid="{00000000-0010-0000-3100-000005000000}" name="DEPARTURE"/>
    <tableColumn id="6" xr3:uid="{00000000-0010-0000-3100-000006000000}" name="BAGGAGE"/>
    <tableColumn id="7" xr3:uid="{00000000-0010-0000-3100-000007000000}" name="AVAILABILITY"/>
    <tableColumn id="8" xr3:uid="{00000000-0010-0000-3100-000008000000}" name="PUBLISHED FARE"/>
  </tableColumns>
  <tableStyleInfo name="TableStyleMedium2"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2000000}" name="ThreatsAlert_AHB_ATZ" displayName="ThreatsAlert_AHB_ATZ" ref="A1:H11" totalsRowShown="0">
  <autoFilter ref="A1:H11" xr:uid="{00000000-0009-0000-0100-000033000000}"/>
  <tableColumns count="8">
    <tableColumn id="1" xr3:uid="{00000000-0010-0000-3200-000001000000}" name="DATE"/>
    <tableColumn id="2" xr3:uid="{00000000-0010-0000-3200-000002000000}" name="AIRLINE"/>
    <tableColumn id="3" xr3:uid="{00000000-0010-0000-3200-000003000000}" name="FLIGHT NUM"/>
    <tableColumn id="4" xr3:uid="{00000000-0010-0000-3200-000004000000}" name="ROUTE"/>
    <tableColumn id="5" xr3:uid="{00000000-0010-0000-3200-000005000000}" name="DEPARTURE"/>
    <tableColumn id="6" xr3:uid="{00000000-0010-0000-3200-000006000000}" name="BAGGAGE"/>
    <tableColumn id="7" xr3:uid="{00000000-0010-0000-3200-000007000000}" name="AVAILABILITY"/>
    <tableColumn id="8" xr3:uid="{00000000-0010-0000-3200-000008000000}" name="PUBLISHED FARE"/>
  </tableColumns>
  <tableStyleInfo name="TableStyleMedium2"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3000000}" name="ELQ_CAI_LF_LEGACY" displayName="ELQ_CAI_LF_LEGACY" ref="A1:AJ4" totalsRowCount="1" headerRowDxfId="224" dataDxfId="187" totalsRowDxfId="150">
  <tableColumns count="36">
    <tableColumn id="1" xr3:uid="{00000000-0010-0000-3300-000001000000}" name="Day" totalsRowLabel="TOTAL" dataDxfId="223" totalsRowDxfId="186"/>
    <tableColumn id="2" xr3:uid="{00000000-0010-0000-3300-000002000000}" name="Flt Dt" dataDxfId="222" totalsRowDxfId="185"/>
    <tableColumn id="3" xr3:uid="{00000000-0010-0000-3300-000003000000}" name="Flt" totalsRowFunction="count" dataDxfId="221" totalsRowDxfId="184"/>
    <tableColumn id="4" xr3:uid="{00000000-0010-0000-3300-000004000000}" name="DEP" dataDxfId="220" totalsRowDxfId="183"/>
    <tableColumn id="5" xr3:uid="{00000000-0010-0000-3300-000005000000}" name="Brd-Off" totalsRowFunction="count" dataDxfId="219" totalsRowDxfId="182"/>
    <tableColumn id="6" xr3:uid="{00000000-0010-0000-3300-000006000000}" name="Eqp" dataDxfId="218" totalsRowDxfId="181"/>
    <tableColumn id="7" xr3:uid="{00000000-0010-0000-3300-000007000000}" name="LF%" totalsRowFunction="average" dataDxfId="217" totalsRowDxfId="180"/>
    <tableColumn id="8" xr3:uid="{00000000-0010-0000-3300-000008000000}" name="CAP" totalsRowFunction="sum" dataDxfId="216" totalsRowDxfId="179"/>
    <tableColumn id="9" xr3:uid="{00000000-0010-0000-3300-000009000000}" name="BKG(Y)" totalsRowFunction="sum" dataDxfId="215" totalsRowDxfId="178"/>
    <tableColumn id="10" xr3:uid="{00000000-0010-0000-3300-00000A000000}" name="GRP(Y)" totalsRowFunction="sum" dataDxfId="214" totalsRowDxfId="177"/>
    <tableColumn id="11" xr3:uid="{00000000-0010-0000-3300-00000B000000}" name="FLT ST" dataDxfId="213" totalsRowDxfId="176"/>
    <tableColumn id="12" xr3:uid="{00000000-0010-0000-3300-00000C000000}" name="LST-SOLD" dataDxfId="212" totalsRowDxfId="175"/>
    <tableColumn id="13" xr3:uid="{00000000-0010-0000-3300-00000D000000}" name="TO-DAY" totalsRowFunction="sum" dataDxfId="211" totalsRowDxfId="174"/>
    <tableColumn id="14" xr3:uid="{00000000-0010-0000-3300-00000E000000}" name="Y-DAY" totalsRowFunction="sum" dataDxfId="210" totalsRowDxfId="173"/>
    <tableColumn id="15" xr3:uid="{00000000-0010-0000-3300-00000F000000}" name="WEEKLY" totalsRowFunction="sum" dataDxfId="209" totalsRowDxfId="172"/>
    <tableColumn id="16" xr3:uid="{00000000-0010-0000-3300-000010000000}" name="LOWEST AVAIL" dataDxfId="208" totalsRowDxfId="171"/>
    <tableColumn id="17" xr3:uid="{00000000-0010-0000-3300-000011000000}" name="Y" totalsRowFunction="sum" dataDxfId="207" totalsRowDxfId="170"/>
    <tableColumn id="18" xr3:uid="{00000000-0010-0000-3300-000012000000}" name="B" totalsRowFunction="sum" dataDxfId="206" totalsRowDxfId="169"/>
    <tableColumn id="19" xr3:uid="{00000000-0010-0000-3300-000013000000}" name="M" totalsRowFunction="sum" dataDxfId="205" totalsRowDxfId="168"/>
    <tableColumn id="20" xr3:uid="{00000000-0010-0000-3300-000014000000}" name="H" totalsRowFunction="sum" dataDxfId="204" totalsRowDxfId="167"/>
    <tableColumn id="21" xr3:uid="{00000000-0010-0000-3300-000015000000}" name="Q" totalsRowFunction="sum" dataDxfId="203" totalsRowDxfId="166"/>
    <tableColumn id="22" xr3:uid="{00000000-0010-0000-3300-000016000000}" name="K" totalsRowFunction="sum" dataDxfId="202" totalsRowDxfId="165"/>
    <tableColumn id="23" xr3:uid="{00000000-0010-0000-3300-000017000000}" name="V" totalsRowFunction="sum" dataDxfId="201" totalsRowDxfId="164"/>
    <tableColumn id="24" xr3:uid="{00000000-0010-0000-3300-000018000000}" name="L" totalsRowFunction="sum" dataDxfId="200" totalsRowDxfId="163"/>
    <tableColumn id="25" xr3:uid="{00000000-0010-0000-3300-000019000000}" name="G" totalsRowFunction="sum" dataDxfId="199" totalsRowDxfId="162"/>
    <tableColumn id="26" xr3:uid="{00000000-0010-0000-3300-00001A000000}" name="S" totalsRowFunction="sum" dataDxfId="198" totalsRowDxfId="161"/>
    <tableColumn id="27" xr3:uid="{00000000-0010-0000-3300-00001B000000}" name="W" totalsRowFunction="sum" dataDxfId="197" totalsRowDxfId="160"/>
    <tableColumn id="28" xr3:uid="{00000000-0010-0000-3300-00001C000000}" name="T" totalsRowFunction="sum" dataDxfId="196" totalsRowDxfId="159"/>
    <tableColumn id="29" xr3:uid="{00000000-0010-0000-3300-00001D000000}" name="X" totalsRowFunction="sum" dataDxfId="195" totalsRowDxfId="158"/>
    <tableColumn id="30" xr3:uid="{00000000-0010-0000-3300-00001E000000}" name="U" totalsRowFunction="sum" dataDxfId="194" totalsRowDxfId="157"/>
    <tableColumn id="31" xr3:uid="{00000000-0010-0000-3300-00001F000000}" name="O" totalsRowFunction="sum" dataDxfId="193" totalsRowDxfId="156"/>
    <tableColumn id="32" xr3:uid="{00000000-0010-0000-3300-000020000000}" name="I" totalsRowFunction="sum" dataDxfId="192" totalsRowDxfId="155"/>
    <tableColumn id="33" xr3:uid="{00000000-0010-0000-3300-000021000000}" name="E" totalsRowFunction="sum" dataDxfId="191" totalsRowDxfId="154"/>
    <tableColumn id="34" xr3:uid="{00000000-0010-0000-3300-000022000000}" name="A" totalsRowFunction="sum" dataDxfId="190" totalsRowDxfId="153"/>
    <tableColumn id="35" xr3:uid="{00000000-0010-0000-3300-000023000000}" name="P" totalsRowFunction="sum" dataDxfId="189" totalsRowDxfId="152"/>
    <tableColumn id="36" xr3:uid="{00000000-0010-0000-3300-000024000000}" name="N" totalsRowFunction="count" dataDxfId="188" totalsRowDxfId="151"/>
  </tableColumns>
  <tableStyleInfo name="TableStyleMedium2"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4000000}" name="FocusMode_ELQ_CAI" displayName="FocusMode_ELQ_CAI" ref="A1:H11" totalsRowShown="0">
  <autoFilter ref="A1:H11" xr:uid="{00000000-0009-0000-0100-000035000000}"/>
  <tableColumns count="8">
    <tableColumn id="1" xr3:uid="{00000000-0010-0000-3400-000001000000}" name="DATE"/>
    <tableColumn id="2" xr3:uid="{00000000-0010-0000-3400-000002000000}" name="AIRLINE"/>
    <tableColumn id="3" xr3:uid="{00000000-0010-0000-3400-000003000000}" name="FLIGHT NUM"/>
    <tableColumn id="4" xr3:uid="{00000000-0010-0000-3400-000004000000}" name="ROUTE"/>
    <tableColumn id="5" xr3:uid="{00000000-0010-0000-3400-000005000000}" name="DEPARTURE"/>
    <tableColumn id="6" xr3:uid="{00000000-0010-0000-3400-000006000000}" name="BAGGAGE"/>
    <tableColumn id="7" xr3:uid="{00000000-0010-0000-3400-000007000000}" name="AVAILABILITY"/>
    <tableColumn id="8" xr3:uid="{00000000-0010-0000-3400-000008000000}" name="PUBLISHED FARE"/>
  </tableColumns>
  <tableStyleInfo name="TableStyleMedium2"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5000000}" name="ThreatsAlert_ELQ_CAI" displayName="ThreatsAlert_ELQ_CAI" ref="A1:H8" totalsRowShown="0">
  <autoFilter ref="A1:H8" xr:uid="{00000000-0009-0000-0100-000036000000}"/>
  <tableColumns count="8">
    <tableColumn id="1" xr3:uid="{00000000-0010-0000-3500-000001000000}" name="DATE"/>
    <tableColumn id="2" xr3:uid="{00000000-0010-0000-3500-000002000000}" name="AIRLINE"/>
    <tableColumn id="3" xr3:uid="{00000000-0010-0000-3500-000003000000}" name="FLIGHT NUM"/>
    <tableColumn id="4" xr3:uid="{00000000-0010-0000-3500-000004000000}" name="ROUTE"/>
    <tableColumn id="5" xr3:uid="{00000000-0010-0000-3500-000005000000}" name="DEPARTURE"/>
    <tableColumn id="6" xr3:uid="{00000000-0010-0000-3500-000006000000}" name="BAGGAGE"/>
    <tableColumn id="7" xr3:uid="{00000000-0010-0000-3500-000007000000}" name="AVAILABILITY"/>
    <tableColumn id="8" xr3:uid="{00000000-0010-0000-3500-000008000000}" name="PUBLISHED FARE"/>
  </tableColumns>
  <tableStyleInfo name="TableStyleMedium2"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6000000}" name="ELQ_ATZ_LF_LEGACY" displayName="ELQ_ATZ_LF_LEGACY" ref="A1:AJ3" totalsRowCount="1" headerRowDxfId="149" dataDxfId="112" totalsRowDxfId="75">
  <tableColumns count="36">
    <tableColumn id="1" xr3:uid="{00000000-0010-0000-3600-000001000000}" name="Day" totalsRowLabel="TOTAL" dataDxfId="148" totalsRowDxfId="111"/>
    <tableColumn id="2" xr3:uid="{00000000-0010-0000-3600-000002000000}" name="Flt Dt" dataDxfId="147" totalsRowDxfId="110"/>
    <tableColumn id="3" xr3:uid="{00000000-0010-0000-3600-000003000000}" name="Flt" totalsRowFunction="count" dataDxfId="146" totalsRowDxfId="109"/>
    <tableColumn id="4" xr3:uid="{00000000-0010-0000-3600-000004000000}" name="DEP" dataDxfId="145" totalsRowDxfId="108"/>
    <tableColumn id="5" xr3:uid="{00000000-0010-0000-3600-000005000000}" name="Brd-Off" totalsRowFunction="count" dataDxfId="144" totalsRowDxfId="107"/>
    <tableColumn id="6" xr3:uid="{00000000-0010-0000-3600-000006000000}" name="Eqp" dataDxfId="143" totalsRowDxfId="106"/>
    <tableColumn id="7" xr3:uid="{00000000-0010-0000-3600-000007000000}" name="LF%" totalsRowFunction="average" dataDxfId="142" totalsRowDxfId="105"/>
    <tableColumn id="8" xr3:uid="{00000000-0010-0000-3600-000008000000}" name="CAP" totalsRowFunction="sum" dataDxfId="141" totalsRowDxfId="104"/>
    <tableColumn id="9" xr3:uid="{00000000-0010-0000-3600-000009000000}" name="BKG(Y)" totalsRowFunction="sum" dataDxfId="140" totalsRowDxfId="103"/>
    <tableColumn id="10" xr3:uid="{00000000-0010-0000-3600-00000A000000}" name="GRP(Y)" totalsRowFunction="sum" dataDxfId="139" totalsRowDxfId="102"/>
    <tableColumn id="11" xr3:uid="{00000000-0010-0000-3600-00000B000000}" name="FLT ST" dataDxfId="138" totalsRowDxfId="101"/>
    <tableColumn id="12" xr3:uid="{00000000-0010-0000-3600-00000C000000}" name="LST-SOLD" dataDxfId="137" totalsRowDxfId="100"/>
    <tableColumn id="13" xr3:uid="{00000000-0010-0000-3600-00000D000000}" name="TO-DAY" totalsRowFunction="sum" dataDxfId="136" totalsRowDxfId="99"/>
    <tableColumn id="14" xr3:uid="{00000000-0010-0000-3600-00000E000000}" name="Y-DAY" totalsRowFunction="sum" dataDxfId="135" totalsRowDxfId="98"/>
    <tableColumn id="15" xr3:uid="{00000000-0010-0000-3600-00000F000000}" name="WEEKLY" totalsRowFunction="sum" dataDxfId="134" totalsRowDxfId="97"/>
    <tableColumn id="16" xr3:uid="{00000000-0010-0000-3600-000010000000}" name="LOWEST AVAIL" dataDxfId="133" totalsRowDxfId="96"/>
    <tableColumn id="17" xr3:uid="{00000000-0010-0000-3600-000011000000}" name="Y" totalsRowFunction="sum" dataDxfId="132" totalsRowDxfId="95"/>
    <tableColumn id="18" xr3:uid="{00000000-0010-0000-3600-000012000000}" name="B" totalsRowFunction="sum" dataDxfId="131" totalsRowDxfId="94"/>
    <tableColumn id="19" xr3:uid="{00000000-0010-0000-3600-000013000000}" name="M" totalsRowFunction="sum" dataDxfId="130" totalsRowDxfId="93"/>
    <tableColumn id="20" xr3:uid="{00000000-0010-0000-3600-000014000000}" name="H" totalsRowFunction="sum" dataDxfId="129" totalsRowDxfId="92"/>
    <tableColumn id="21" xr3:uid="{00000000-0010-0000-3600-000015000000}" name="Q" totalsRowFunction="sum" dataDxfId="128" totalsRowDxfId="91"/>
    <tableColumn id="22" xr3:uid="{00000000-0010-0000-3600-000016000000}" name="K" totalsRowFunction="sum" dataDxfId="127" totalsRowDxfId="90"/>
    <tableColumn id="23" xr3:uid="{00000000-0010-0000-3600-000017000000}" name="V" totalsRowFunction="sum" dataDxfId="126" totalsRowDxfId="89"/>
    <tableColumn id="24" xr3:uid="{00000000-0010-0000-3600-000018000000}" name="L" totalsRowFunction="sum" dataDxfId="125" totalsRowDxfId="88"/>
    <tableColumn id="25" xr3:uid="{00000000-0010-0000-3600-000019000000}" name="G" totalsRowFunction="sum" dataDxfId="124" totalsRowDxfId="87"/>
    <tableColumn id="26" xr3:uid="{00000000-0010-0000-3600-00001A000000}" name="S" totalsRowFunction="sum" dataDxfId="123" totalsRowDxfId="86"/>
    <tableColumn id="27" xr3:uid="{00000000-0010-0000-3600-00001B000000}" name="W" totalsRowFunction="sum" dataDxfId="122" totalsRowDxfId="85"/>
    <tableColumn id="28" xr3:uid="{00000000-0010-0000-3600-00001C000000}" name="T" totalsRowFunction="sum" dataDxfId="121" totalsRowDxfId="84"/>
    <tableColumn id="29" xr3:uid="{00000000-0010-0000-3600-00001D000000}" name="X" totalsRowFunction="sum" dataDxfId="120" totalsRowDxfId="83"/>
    <tableColumn id="30" xr3:uid="{00000000-0010-0000-3600-00001E000000}" name="U" totalsRowFunction="sum" dataDxfId="119" totalsRowDxfId="82"/>
    <tableColumn id="31" xr3:uid="{00000000-0010-0000-3600-00001F000000}" name="O" totalsRowFunction="sum" dataDxfId="118" totalsRowDxfId="81"/>
    <tableColumn id="32" xr3:uid="{00000000-0010-0000-3600-000020000000}" name="I" totalsRowFunction="sum" dataDxfId="117" totalsRowDxfId="80"/>
    <tableColumn id="33" xr3:uid="{00000000-0010-0000-3600-000021000000}" name="E" totalsRowFunction="sum" dataDxfId="116" totalsRowDxfId="79"/>
    <tableColumn id="34" xr3:uid="{00000000-0010-0000-3600-000022000000}" name="A" totalsRowFunction="sum" dataDxfId="115" totalsRowDxfId="78"/>
    <tableColumn id="35" xr3:uid="{00000000-0010-0000-3600-000023000000}" name="P" totalsRowFunction="sum" dataDxfId="114" totalsRowDxfId="77"/>
    <tableColumn id="36" xr3:uid="{00000000-0010-0000-3600-000024000000}" name="N" totalsRowFunction="count" dataDxfId="113" totalsRowDxfId="76"/>
  </tableColumns>
  <tableStyleInfo name="TableStyleMedium2"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37000000}" name="FocusMode_ELQ_ATZ" displayName="FocusMode_ELQ_ATZ" ref="A1:H15" totalsRowShown="0">
  <autoFilter ref="A1:H15" xr:uid="{00000000-0009-0000-0100-000038000000}"/>
  <tableColumns count="8">
    <tableColumn id="1" xr3:uid="{00000000-0010-0000-3700-000001000000}" name="DATE"/>
    <tableColumn id="2" xr3:uid="{00000000-0010-0000-3700-000002000000}" name="AIRLINE"/>
    <tableColumn id="3" xr3:uid="{00000000-0010-0000-3700-000003000000}" name="FLIGHT NUM"/>
    <tableColumn id="4" xr3:uid="{00000000-0010-0000-3700-000004000000}" name="ROUTE"/>
    <tableColumn id="5" xr3:uid="{00000000-0010-0000-3700-000005000000}" name="DEPARTURE"/>
    <tableColumn id="6" xr3:uid="{00000000-0010-0000-3700-000006000000}" name="BAGGAGE"/>
    <tableColumn id="7" xr3:uid="{00000000-0010-0000-3700-000007000000}" name="AVAILABILITY"/>
    <tableColumn id="8" xr3:uid="{00000000-0010-0000-3700-000008000000}" name="PUBLISHED FARE"/>
  </tableColumns>
  <tableStyleInfo name="TableStyleMedium2"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000000-000C-0000-FFFF-FFFF38000000}" name="ThreatsAlert_ELQ_ATZ" displayName="ThreatsAlert_ELQ_ATZ" ref="A1:H15" totalsRowShown="0">
  <autoFilter ref="A1:H15" xr:uid="{00000000-0009-0000-0100-000039000000}"/>
  <tableColumns count="8">
    <tableColumn id="1" xr3:uid="{00000000-0010-0000-3800-000001000000}" name="DATE"/>
    <tableColumn id="2" xr3:uid="{00000000-0010-0000-3800-000002000000}" name="AIRLINE"/>
    <tableColumn id="3" xr3:uid="{00000000-0010-0000-3800-000003000000}" name="FLIGHT NUM"/>
    <tableColumn id="4" xr3:uid="{00000000-0010-0000-3800-000004000000}" name="ROUTE"/>
    <tableColumn id="5" xr3:uid="{00000000-0010-0000-3800-000005000000}" name="DEPARTURE"/>
    <tableColumn id="6" xr3:uid="{00000000-0010-0000-3800-000006000000}" name="BAGGAGE"/>
    <tableColumn id="7" xr3:uid="{00000000-0010-0000-3800-000007000000}" name="AVAILABILITY"/>
    <tableColumn id="8" xr3:uid="{00000000-0010-0000-3800-000008000000}" name="PUBLISHED FARE"/>
  </tableColumns>
  <tableStyleInfo name="TableStyleMedium2"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0000000-000C-0000-FFFF-FFFF39000000}" name="GIZ_CAI_LF_LEGACY" displayName="GIZ_CAI_LF_LEGACY" ref="A1:AJ4" totalsRowCount="1" headerRowDxfId="74" dataDxfId="37" totalsRowDxfId="0">
  <tableColumns count="36">
    <tableColumn id="1" xr3:uid="{00000000-0010-0000-3900-000001000000}" name="Day" totalsRowLabel="TOTAL" dataDxfId="73" totalsRowDxfId="36"/>
    <tableColumn id="2" xr3:uid="{00000000-0010-0000-3900-000002000000}" name="Flt Dt" dataDxfId="72" totalsRowDxfId="35"/>
    <tableColumn id="3" xr3:uid="{00000000-0010-0000-3900-000003000000}" name="Flt" totalsRowFunction="count" dataDxfId="71" totalsRowDxfId="34"/>
    <tableColumn id="4" xr3:uid="{00000000-0010-0000-3900-000004000000}" name="DEP" dataDxfId="70" totalsRowDxfId="33"/>
    <tableColumn id="5" xr3:uid="{00000000-0010-0000-3900-000005000000}" name="Brd-Off" totalsRowFunction="count" dataDxfId="69" totalsRowDxfId="32"/>
    <tableColumn id="6" xr3:uid="{00000000-0010-0000-3900-000006000000}" name="Eqp" dataDxfId="68" totalsRowDxfId="31"/>
    <tableColumn id="7" xr3:uid="{00000000-0010-0000-3900-000007000000}" name="LF%" totalsRowFunction="average" dataDxfId="67" totalsRowDxfId="30"/>
    <tableColumn id="8" xr3:uid="{00000000-0010-0000-3900-000008000000}" name="CAP" totalsRowFunction="sum" dataDxfId="66" totalsRowDxfId="29"/>
    <tableColumn id="9" xr3:uid="{00000000-0010-0000-3900-000009000000}" name="BKG(Y)" totalsRowFunction="sum" dataDxfId="65" totalsRowDxfId="28"/>
    <tableColumn id="10" xr3:uid="{00000000-0010-0000-3900-00000A000000}" name="GRP(Y)" totalsRowFunction="sum" dataDxfId="64" totalsRowDxfId="27"/>
    <tableColumn id="11" xr3:uid="{00000000-0010-0000-3900-00000B000000}" name="FLT ST" dataDxfId="63" totalsRowDxfId="26"/>
    <tableColumn id="12" xr3:uid="{00000000-0010-0000-3900-00000C000000}" name="LST-SOLD" dataDxfId="62" totalsRowDxfId="25"/>
    <tableColumn id="13" xr3:uid="{00000000-0010-0000-3900-00000D000000}" name="TO-DAY" totalsRowFunction="sum" dataDxfId="61" totalsRowDxfId="24"/>
    <tableColumn id="14" xr3:uid="{00000000-0010-0000-3900-00000E000000}" name="Y-DAY" totalsRowFunction="sum" dataDxfId="60" totalsRowDxfId="23"/>
    <tableColumn id="15" xr3:uid="{00000000-0010-0000-3900-00000F000000}" name="WEEKLY" totalsRowFunction="sum" dataDxfId="59" totalsRowDxfId="22"/>
    <tableColumn id="16" xr3:uid="{00000000-0010-0000-3900-000010000000}" name="LOWEST AVAIL" dataDxfId="58" totalsRowDxfId="21"/>
    <tableColumn id="17" xr3:uid="{00000000-0010-0000-3900-000011000000}" name="Y" totalsRowFunction="sum" dataDxfId="57" totalsRowDxfId="20"/>
    <tableColumn id="18" xr3:uid="{00000000-0010-0000-3900-000012000000}" name="B" totalsRowFunction="sum" dataDxfId="56" totalsRowDxfId="19"/>
    <tableColumn id="19" xr3:uid="{00000000-0010-0000-3900-000013000000}" name="M" totalsRowFunction="sum" dataDxfId="55" totalsRowDxfId="18"/>
    <tableColumn id="20" xr3:uid="{00000000-0010-0000-3900-000014000000}" name="H" totalsRowFunction="sum" dataDxfId="54" totalsRowDxfId="17"/>
    <tableColumn id="21" xr3:uid="{00000000-0010-0000-3900-000015000000}" name="Q" totalsRowFunction="sum" dataDxfId="53" totalsRowDxfId="16"/>
    <tableColumn id="22" xr3:uid="{00000000-0010-0000-3900-000016000000}" name="K" totalsRowFunction="sum" dataDxfId="52" totalsRowDxfId="15"/>
    <tableColumn id="23" xr3:uid="{00000000-0010-0000-3900-000017000000}" name="V" totalsRowFunction="sum" dataDxfId="51" totalsRowDxfId="14"/>
    <tableColumn id="24" xr3:uid="{00000000-0010-0000-3900-000018000000}" name="L" totalsRowFunction="sum" dataDxfId="50" totalsRowDxfId="13"/>
    <tableColumn id="25" xr3:uid="{00000000-0010-0000-3900-000019000000}" name="G" totalsRowFunction="sum" dataDxfId="49" totalsRowDxfId="12"/>
    <tableColumn id="26" xr3:uid="{00000000-0010-0000-3900-00001A000000}" name="S" totalsRowFunction="sum" dataDxfId="48" totalsRowDxfId="11"/>
    <tableColumn id="27" xr3:uid="{00000000-0010-0000-3900-00001B000000}" name="W" totalsRowFunction="sum" dataDxfId="47" totalsRowDxfId="10"/>
    <tableColumn id="28" xr3:uid="{00000000-0010-0000-3900-00001C000000}" name="T" totalsRowFunction="sum" dataDxfId="46" totalsRowDxfId="9"/>
    <tableColumn id="29" xr3:uid="{00000000-0010-0000-3900-00001D000000}" name="X" totalsRowFunction="sum" dataDxfId="45" totalsRowDxfId="8"/>
    <tableColumn id="30" xr3:uid="{00000000-0010-0000-3900-00001E000000}" name="U" totalsRowFunction="sum" dataDxfId="44" totalsRowDxfId="7"/>
    <tableColumn id="31" xr3:uid="{00000000-0010-0000-3900-00001F000000}" name="O" totalsRowFunction="sum" dataDxfId="43" totalsRowDxfId="6"/>
    <tableColumn id="32" xr3:uid="{00000000-0010-0000-3900-000020000000}" name="I" totalsRowFunction="sum" dataDxfId="42" totalsRowDxfId="5"/>
    <tableColumn id="33" xr3:uid="{00000000-0010-0000-3900-000021000000}" name="E" totalsRowFunction="sum" dataDxfId="41" totalsRowDxfId="4"/>
    <tableColumn id="34" xr3:uid="{00000000-0010-0000-3900-000022000000}" name="A" totalsRowFunction="sum" dataDxfId="40" totalsRowDxfId="3"/>
    <tableColumn id="35" xr3:uid="{00000000-0010-0000-3900-000023000000}" name="P" totalsRowFunction="sum" dataDxfId="39" totalsRowDxfId="2"/>
    <tableColumn id="36" xr3:uid="{00000000-0010-0000-3900-000024000000}" name="N" totalsRowFunction="count" dataDxfId="38" totalsRowDxfId="1"/>
  </tableColumns>
  <tableStyleInfo name="TableStyleMedium2"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000000-000C-0000-FFFF-FFFF3A000000}" name="FocusMode_GIZ_CAI" displayName="FocusMode_GIZ_CAI" ref="A1:H6" totalsRowShown="0">
  <autoFilter ref="A1:H6" xr:uid="{00000000-0009-0000-0100-00003B000000}"/>
  <tableColumns count="8">
    <tableColumn id="1" xr3:uid="{00000000-0010-0000-3A00-000001000000}" name="DATE"/>
    <tableColumn id="2" xr3:uid="{00000000-0010-0000-3A00-000002000000}" name="AIRLINE"/>
    <tableColumn id="3" xr3:uid="{00000000-0010-0000-3A00-000003000000}" name="FLIGHT NUM"/>
    <tableColumn id="4" xr3:uid="{00000000-0010-0000-3A00-000004000000}" name="ROUTE"/>
    <tableColumn id="5" xr3:uid="{00000000-0010-0000-3A00-000005000000}" name="DEPARTURE"/>
    <tableColumn id="6" xr3:uid="{00000000-0010-0000-3A00-000006000000}" name="BAGGAGE"/>
    <tableColumn id="7" xr3:uid="{00000000-0010-0000-3A00-000007000000}" name="AVAILABILITY"/>
    <tableColumn id="8" xr3:uid="{00000000-0010-0000-3A00-000008000000}" name="PUBLISHED FARE"/>
  </tableColumns>
  <tableStyleInfo name="TableStyleMedium2"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00000000-000C-0000-FFFF-FFFF3B000000}" name="ThreatsAlert_GIZ_CAI" displayName="ThreatsAlert_GIZ_CAI" ref="A1:H4" totalsRowShown="0">
  <autoFilter ref="A1:H4" xr:uid="{00000000-0009-0000-0100-00003C000000}"/>
  <tableColumns count="8">
    <tableColumn id="1" xr3:uid="{00000000-0010-0000-3B00-000001000000}" name="DATE"/>
    <tableColumn id="2" xr3:uid="{00000000-0010-0000-3B00-000002000000}" name="AIRLINE"/>
    <tableColumn id="3" xr3:uid="{00000000-0010-0000-3B00-000003000000}" name="FLIGHT NUM"/>
    <tableColumn id="4" xr3:uid="{00000000-0010-0000-3B00-000004000000}" name="ROUTE"/>
    <tableColumn id="5" xr3:uid="{00000000-0010-0000-3B00-000005000000}" name="DEPARTURE"/>
    <tableColumn id="6" xr3:uid="{00000000-0010-0000-3B00-000006000000}" name="BAGGAGE"/>
    <tableColumn id="7" xr3:uid="{00000000-0010-0000-3B00-000007000000}" name="AVAILABILITY"/>
    <tableColumn id="8" xr3:uid="{00000000-0010-0000-3B00-000008000000}" name="PUBLISHED FARE"/>
  </tableColumns>
  <tableStyleInfo name="TableStyleMedium2"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00000000-000C-0000-FFFF-FFFF3C000000}" name="FocusMode_SSH_JED" displayName="FocusMode_SSH_JED" ref="A1:H3" totalsRowShown="0">
  <autoFilter ref="A1:H3" xr:uid="{00000000-0009-0000-0100-00003D000000}"/>
  <tableColumns count="8">
    <tableColumn id="1" xr3:uid="{00000000-0010-0000-3C00-000001000000}" name="DATE"/>
    <tableColumn id="2" xr3:uid="{00000000-0010-0000-3C00-000002000000}" name="AIRLINE"/>
    <tableColumn id="3" xr3:uid="{00000000-0010-0000-3C00-000003000000}" name="FLIGHT NUM"/>
    <tableColumn id="4" xr3:uid="{00000000-0010-0000-3C00-000004000000}" name="ROUTE"/>
    <tableColumn id="5" xr3:uid="{00000000-0010-0000-3C00-000005000000}" name="DEPARTURE"/>
    <tableColumn id="6" xr3:uid="{00000000-0010-0000-3C00-000006000000}" name="BAGGAGE"/>
    <tableColumn id="7" xr3:uid="{00000000-0010-0000-3C00-000007000000}" name="AVAILABILITY"/>
    <tableColumn id="8" xr3:uid="{00000000-0010-0000-3C00-000008000000}" name="PUBLISHED FARE"/>
  </tableColumns>
  <tableStyleInfo name="TableStyleMedium2"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00000000-000C-0000-FFFF-FFFF3D000000}" name="ThreatsAlert_SSH_JED" displayName="ThreatsAlert_SSH_JED" ref="A1:H3" totalsRowShown="0">
  <autoFilter ref="A1:H3" xr:uid="{00000000-0009-0000-0100-00003E000000}"/>
  <tableColumns count="8">
    <tableColumn id="1" xr3:uid="{00000000-0010-0000-3D00-000001000000}" name="DATE"/>
    <tableColumn id="2" xr3:uid="{00000000-0010-0000-3D00-000002000000}" name="AIRLINE"/>
    <tableColumn id="3" xr3:uid="{00000000-0010-0000-3D00-000003000000}" name="FLIGHT NUM"/>
    <tableColumn id="4" xr3:uid="{00000000-0010-0000-3D00-000004000000}" name="ROUTE"/>
    <tableColumn id="5" xr3:uid="{00000000-0010-0000-3D00-000005000000}" name="DEPARTURE"/>
    <tableColumn id="6" xr3:uid="{00000000-0010-0000-3D00-000006000000}" name="BAGGAGE"/>
    <tableColumn id="7" xr3:uid="{00000000-0010-0000-3D00-000007000000}" name="AVAILABILITY"/>
    <tableColumn id="8" xr3:uid="{00000000-0010-0000-3D00-000008000000}" name="PUBLISHED FAR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2.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3.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5.xml"/><Relationship Id="rId1"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table" Target="../tables/table6.xml"/><Relationship Id="rId1" Type="http://schemas.openxmlformats.org/officeDocument/2006/relationships/vmlDrawing" Target="../drawings/vmlDrawing4.v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table" Target="../tables/table8.xml"/><Relationship Id="rId1" Type="http://schemas.openxmlformats.org/officeDocument/2006/relationships/vmlDrawing" Target="../drawings/vmlDrawing5.vml"/></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table" Target="../tables/table9.xml"/><Relationship Id="rId1" Type="http://schemas.openxmlformats.org/officeDocument/2006/relationships/vmlDrawing" Target="../drawings/vmlDrawing6.v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5.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table" Target="../tables/table11.xml"/><Relationship Id="rId1" Type="http://schemas.openxmlformats.org/officeDocument/2006/relationships/vmlDrawing" Target="../drawings/vmlDrawing7.vml"/></Relationships>
</file>

<file path=xl/worksheets/_rels/sheet16.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table" Target="../tables/table12.xml"/><Relationship Id="rId1" Type="http://schemas.openxmlformats.org/officeDocument/2006/relationships/vmlDrawing" Target="../drawings/vmlDrawing8.v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9.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table" Target="../tables/table14.xml"/><Relationship Id="rId1" Type="http://schemas.openxmlformats.org/officeDocument/2006/relationships/vmlDrawing" Target="../drawings/vmlDrawing9.vml"/></Relationships>
</file>

<file path=xl/worksheets/_rels/sheet20.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table" Target="../tables/table15.xml"/><Relationship Id="rId1" Type="http://schemas.openxmlformats.org/officeDocument/2006/relationships/vmlDrawing" Target="../drawings/vmlDrawing10.vml"/></Relationships>
</file>

<file path=xl/worksheets/_rels/sheet22.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23.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table" Target="../tables/table17.xml"/><Relationship Id="rId1" Type="http://schemas.openxmlformats.org/officeDocument/2006/relationships/vmlDrawing" Target="../drawings/vmlDrawing11.vml"/></Relationships>
</file>

<file path=xl/worksheets/_rels/sheet24.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table" Target="../tables/table18.xml"/><Relationship Id="rId1" Type="http://schemas.openxmlformats.org/officeDocument/2006/relationships/vmlDrawing" Target="../drawings/vmlDrawing12.vml"/></Relationships>
</file>

<file path=xl/worksheets/_rels/sheet42.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43.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table" Target="../tables/table20.xml"/><Relationship Id="rId1" Type="http://schemas.openxmlformats.org/officeDocument/2006/relationships/vmlDrawing" Target="../drawings/vmlDrawing13.vml"/></Relationships>
</file>

<file path=xl/worksheets/_rels/sheet44.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table" Target="../tables/table21.xml"/><Relationship Id="rId1" Type="http://schemas.openxmlformats.org/officeDocument/2006/relationships/vmlDrawing" Target="../drawings/vmlDrawing14.vml"/></Relationships>
</file>

<file path=xl/worksheets/_rels/sheet46.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47.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table" Target="../tables/table23.xml"/><Relationship Id="rId1" Type="http://schemas.openxmlformats.org/officeDocument/2006/relationships/vmlDrawing" Target="../drawings/vmlDrawing15.vml"/></Relationships>
</file>

<file path=xl/worksheets/_rels/sheet48.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table" Target="../tables/table24.xml"/><Relationship Id="rId1" Type="http://schemas.openxmlformats.org/officeDocument/2006/relationships/vmlDrawing" Target="../drawings/vmlDrawing16.vml"/></Relationships>
</file>

<file path=xl/worksheets/_rels/sheet50.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51.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table" Target="../tables/table26.xml"/><Relationship Id="rId1" Type="http://schemas.openxmlformats.org/officeDocument/2006/relationships/vmlDrawing" Target="../drawings/vmlDrawing17.vml"/></Relationships>
</file>

<file path=xl/worksheets/_rels/sheet52.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table" Target="../tables/table27.xml"/><Relationship Id="rId1" Type="http://schemas.openxmlformats.org/officeDocument/2006/relationships/vmlDrawing" Target="../drawings/vmlDrawing18.vml"/></Relationships>
</file>

<file path=xl/worksheets/_rels/sheet54.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55.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table" Target="../tables/table29.xml"/><Relationship Id="rId1" Type="http://schemas.openxmlformats.org/officeDocument/2006/relationships/vmlDrawing" Target="../drawings/vmlDrawing19.vml"/></Relationships>
</file>

<file path=xl/worksheets/_rels/sheet56.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table" Target="../tables/table30.xml"/><Relationship Id="rId1" Type="http://schemas.openxmlformats.org/officeDocument/2006/relationships/vmlDrawing" Target="../drawings/vmlDrawing20.vml"/></Relationships>
</file>

<file path=xl/worksheets/_rels/sheet58.xml.rels><?xml version="1.0" encoding="UTF-8" standalone="yes"?>
<Relationships xmlns="http://schemas.openxmlformats.org/package/2006/relationships"><Relationship Id="rId1" Type="http://schemas.openxmlformats.org/officeDocument/2006/relationships/table" Target="../tables/table31.xml"/></Relationships>
</file>

<file path=xl/worksheets/_rels/sheet59.xml.rels><?xml version="1.0" encoding="UTF-8" standalone="yes"?>
<Relationships xmlns="http://schemas.openxmlformats.org/package/2006/relationships"><Relationship Id="rId3" Type="http://schemas.openxmlformats.org/officeDocument/2006/relationships/comments" Target="../comments21.xml"/><Relationship Id="rId2" Type="http://schemas.openxmlformats.org/officeDocument/2006/relationships/table" Target="../tables/table32.xml"/><Relationship Id="rId1" Type="http://schemas.openxmlformats.org/officeDocument/2006/relationships/vmlDrawing" Target="../drawings/vmlDrawing21.vml"/></Relationships>
</file>

<file path=xl/worksheets/_rels/sheet60.xml.rels><?xml version="1.0" encoding="UTF-8" standalone="yes"?>
<Relationships xmlns="http://schemas.openxmlformats.org/package/2006/relationships"><Relationship Id="rId3" Type="http://schemas.openxmlformats.org/officeDocument/2006/relationships/comments" Target="../comments22.xml"/><Relationship Id="rId2" Type="http://schemas.openxmlformats.org/officeDocument/2006/relationships/table" Target="../tables/table33.xml"/><Relationship Id="rId1" Type="http://schemas.openxmlformats.org/officeDocument/2006/relationships/vmlDrawing" Target="../drawings/vmlDrawing22.vml"/></Relationships>
</file>

<file path=xl/worksheets/_rels/sheet62.xml.rels><?xml version="1.0" encoding="UTF-8" standalone="yes"?>
<Relationships xmlns="http://schemas.openxmlformats.org/package/2006/relationships"><Relationship Id="rId1" Type="http://schemas.openxmlformats.org/officeDocument/2006/relationships/table" Target="../tables/table34.xml"/></Relationships>
</file>

<file path=xl/worksheets/_rels/sheet63.xml.rels><?xml version="1.0" encoding="UTF-8" standalone="yes"?>
<Relationships xmlns="http://schemas.openxmlformats.org/package/2006/relationships"><Relationship Id="rId3" Type="http://schemas.openxmlformats.org/officeDocument/2006/relationships/comments" Target="../comments23.xml"/><Relationship Id="rId2" Type="http://schemas.openxmlformats.org/officeDocument/2006/relationships/table" Target="../tables/table35.xml"/><Relationship Id="rId1" Type="http://schemas.openxmlformats.org/officeDocument/2006/relationships/vmlDrawing" Target="../drawings/vmlDrawing23.vml"/></Relationships>
</file>

<file path=xl/worksheets/_rels/sheet64.xml.rels><?xml version="1.0" encoding="UTF-8" standalone="yes"?>
<Relationships xmlns="http://schemas.openxmlformats.org/package/2006/relationships"><Relationship Id="rId3" Type="http://schemas.openxmlformats.org/officeDocument/2006/relationships/comments" Target="../comments24.xml"/><Relationship Id="rId2" Type="http://schemas.openxmlformats.org/officeDocument/2006/relationships/table" Target="../tables/table36.xml"/><Relationship Id="rId1" Type="http://schemas.openxmlformats.org/officeDocument/2006/relationships/vmlDrawing" Target="../drawings/vmlDrawing24.vml"/></Relationships>
</file>

<file path=xl/worksheets/_rels/sheet66.xml.rels><?xml version="1.0" encoding="UTF-8" standalone="yes"?>
<Relationships xmlns="http://schemas.openxmlformats.org/package/2006/relationships"><Relationship Id="rId1" Type="http://schemas.openxmlformats.org/officeDocument/2006/relationships/table" Target="../tables/table37.xml"/></Relationships>
</file>

<file path=xl/worksheets/_rels/sheet67.xml.rels><?xml version="1.0" encoding="UTF-8" standalone="yes"?>
<Relationships xmlns="http://schemas.openxmlformats.org/package/2006/relationships"><Relationship Id="rId3" Type="http://schemas.openxmlformats.org/officeDocument/2006/relationships/comments" Target="../comments25.xml"/><Relationship Id="rId2" Type="http://schemas.openxmlformats.org/officeDocument/2006/relationships/table" Target="../tables/table38.xml"/><Relationship Id="rId1" Type="http://schemas.openxmlformats.org/officeDocument/2006/relationships/vmlDrawing" Target="../drawings/vmlDrawing25.vml"/></Relationships>
</file>

<file path=xl/worksheets/_rels/sheet68.xml.rels><?xml version="1.0" encoding="UTF-8" standalone="yes"?>
<Relationships xmlns="http://schemas.openxmlformats.org/package/2006/relationships"><Relationship Id="rId3" Type="http://schemas.openxmlformats.org/officeDocument/2006/relationships/comments" Target="../comments26.xml"/><Relationship Id="rId2" Type="http://schemas.openxmlformats.org/officeDocument/2006/relationships/table" Target="../tables/table39.xml"/><Relationship Id="rId1" Type="http://schemas.openxmlformats.org/officeDocument/2006/relationships/vmlDrawing" Target="../drawings/vmlDrawing26.vml"/></Relationships>
</file>

<file path=xl/worksheets/_rels/sheet70.xml.rels><?xml version="1.0" encoding="UTF-8" standalone="yes"?>
<Relationships xmlns="http://schemas.openxmlformats.org/package/2006/relationships"><Relationship Id="rId1" Type="http://schemas.openxmlformats.org/officeDocument/2006/relationships/table" Target="../tables/table40.xml"/></Relationships>
</file>

<file path=xl/worksheets/_rels/sheet71.xml.rels><?xml version="1.0" encoding="UTF-8" standalone="yes"?>
<Relationships xmlns="http://schemas.openxmlformats.org/package/2006/relationships"><Relationship Id="rId3" Type="http://schemas.openxmlformats.org/officeDocument/2006/relationships/comments" Target="../comments27.xml"/><Relationship Id="rId2" Type="http://schemas.openxmlformats.org/officeDocument/2006/relationships/table" Target="../tables/table41.xml"/><Relationship Id="rId1" Type="http://schemas.openxmlformats.org/officeDocument/2006/relationships/vmlDrawing" Target="../drawings/vmlDrawing27.vml"/></Relationships>
</file>

<file path=xl/worksheets/_rels/sheet72.xml.rels><?xml version="1.0" encoding="UTF-8" standalone="yes"?>
<Relationships xmlns="http://schemas.openxmlformats.org/package/2006/relationships"><Relationship Id="rId3" Type="http://schemas.openxmlformats.org/officeDocument/2006/relationships/comments" Target="../comments28.xml"/><Relationship Id="rId2" Type="http://schemas.openxmlformats.org/officeDocument/2006/relationships/table" Target="../tables/table42.xml"/><Relationship Id="rId1" Type="http://schemas.openxmlformats.org/officeDocument/2006/relationships/vmlDrawing" Target="../drawings/vmlDrawing28.vml"/></Relationships>
</file>

<file path=xl/worksheets/_rels/sheet74.xml.rels><?xml version="1.0" encoding="UTF-8" standalone="yes"?>
<Relationships xmlns="http://schemas.openxmlformats.org/package/2006/relationships"><Relationship Id="rId1" Type="http://schemas.openxmlformats.org/officeDocument/2006/relationships/table" Target="../tables/table43.xml"/></Relationships>
</file>

<file path=xl/worksheets/_rels/sheet75.xml.rels><?xml version="1.0" encoding="UTF-8" standalone="yes"?>
<Relationships xmlns="http://schemas.openxmlformats.org/package/2006/relationships"><Relationship Id="rId3" Type="http://schemas.openxmlformats.org/officeDocument/2006/relationships/comments" Target="../comments29.xml"/><Relationship Id="rId2" Type="http://schemas.openxmlformats.org/officeDocument/2006/relationships/table" Target="../tables/table44.xml"/><Relationship Id="rId1" Type="http://schemas.openxmlformats.org/officeDocument/2006/relationships/vmlDrawing" Target="../drawings/vmlDrawing29.vml"/></Relationships>
</file>

<file path=xl/worksheets/_rels/sheet76.xml.rels><?xml version="1.0" encoding="UTF-8" standalone="yes"?>
<Relationships xmlns="http://schemas.openxmlformats.org/package/2006/relationships"><Relationship Id="rId3" Type="http://schemas.openxmlformats.org/officeDocument/2006/relationships/comments" Target="../comments30.xml"/><Relationship Id="rId2" Type="http://schemas.openxmlformats.org/officeDocument/2006/relationships/table" Target="../tables/table45.xml"/><Relationship Id="rId1" Type="http://schemas.openxmlformats.org/officeDocument/2006/relationships/vmlDrawing" Target="../drawings/vmlDrawing30.vml"/></Relationships>
</file>

<file path=xl/worksheets/_rels/sheet78.xml.rels><?xml version="1.0" encoding="UTF-8" standalone="yes"?>
<Relationships xmlns="http://schemas.openxmlformats.org/package/2006/relationships"><Relationship Id="rId1" Type="http://schemas.openxmlformats.org/officeDocument/2006/relationships/table" Target="../tables/table46.xml"/></Relationships>
</file>

<file path=xl/worksheets/_rels/sheet79.xml.rels><?xml version="1.0" encoding="UTF-8" standalone="yes"?>
<Relationships xmlns="http://schemas.openxmlformats.org/package/2006/relationships"><Relationship Id="rId3" Type="http://schemas.openxmlformats.org/officeDocument/2006/relationships/comments" Target="../comments31.xml"/><Relationship Id="rId2" Type="http://schemas.openxmlformats.org/officeDocument/2006/relationships/table" Target="../tables/table47.xml"/><Relationship Id="rId1" Type="http://schemas.openxmlformats.org/officeDocument/2006/relationships/vmlDrawing" Target="../drawings/vmlDrawing31.vml"/></Relationships>
</file>

<file path=xl/worksheets/_rels/sheet80.xml.rels><?xml version="1.0" encoding="UTF-8" standalone="yes"?>
<Relationships xmlns="http://schemas.openxmlformats.org/package/2006/relationships"><Relationship Id="rId1" Type="http://schemas.openxmlformats.org/officeDocument/2006/relationships/table" Target="../tables/table48.xml"/></Relationships>
</file>

<file path=xl/worksheets/_rels/sheet82.xml.rels><?xml version="1.0" encoding="UTF-8" standalone="yes"?>
<Relationships xmlns="http://schemas.openxmlformats.org/package/2006/relationships"><Relationship Id="rId1" Type="http://schemas.openxmlformats.org/officeDocument/2006/relationships/table" Target="../tables/table49.xml"/></Relationships>
</file>

<file path=xl/worksheets/_rels/sheet83.xml.rels><?xml version="1.0" encoding="UTF-8" standalone="yes"?>
<Relationships xmlns="http://schemas.openxmlformats.org/package/2006/relationships"><Relationship Id="rId3" Type="http://schemas.openxmlformats.org/officeDocument/2006/relationships/comments" Target="../comments32.xml"/><Relationship Id="rId2" Type="http://schemas.openxmlformats.org/officeDocument/2006/relationships/table" Target="../tables/table50.xml"/><Relationship Id="rId1" Type="http://schemas.openxmlformats.org/officeDocument/2006/relationships/vmlDrawing" Target="../drawings/vmlDrawing32.vml"/></Relationships>
</file>

<file path=xl/worksheets/_rels/sheet84.xml.rels><?xml version="1.0" encoding="UTF-8" standalone="yes"?>
<Relationships xmlns="http://schemas.openxmlformats.org/package/2006/relationships"><Relationship Id="rId3" Type="http://schemas.openxmlformats.org/officeDocument/2006/relationships/comments" Target="../comments33.xml"/><Relationship Id="rId2" Type="http://schemas.openxmlformats.org/officeDocument/2006/relationships/table" Target="../tables/table51.xml"/><Relationship Id="rId1" Type="http://schemas.openxmlformats.org/officeDocument/2006/relationships/vmlDrawing" Target="../drawings/vmlDrawing33.vml"/></Relationships>
</file>

<file path=xl/worksheets/_rels/sheet86.xml.rels><?xml version="1.0" encoding="UTF-8" standalone="yes"?>
<Relationships xmlns="http://schemas.openxmlformats.org/package/2006/relationships"><Relationship Id="rId1" Type="http://schemas.openxmlformats.org/officeDocument/2006/relationships/table" Target="../tables/table52.xml"/></Relationships>
</file>

<file path=xl/worksheets/_rels/sheet87.xml.rels><?xml version="1.0" encoding="UTF-8" standalone="yes"?>
<Relationships xmlns="http://schemas.openxmlformats.org/package/2006/relationships"><Relationship Id="rId3" Type="http://schemas.openxmlformats.org/officeDocument/2006/relationships/comments" Target="../comments34.xml"/><Relationship Id="rId2" Type="http://schemas.openxmlformats.org/officeDocument/2006/relationships/table" Target="../tables/table53.xml"/><Relationship Id="rId1" Type="http://schemas.openxmlformats.org/officeDocument/2006/relationships/vmlDrawing" Target="../drawings/vmlDrawing34.vml"/></Relationships>
</file>

<file path=xl/worksheets/_rels/sheet88.xml.rels><?xml version="1.0" encoding="UTF-8" standalone="yes"?>
<Relationships xmlns="http://schemas.openxmlformats.org/package/2006/relationships"><Relationship Id="rId3" Type="http://schemas.openxmlformats.org/officeDocument/2006/relationships/comments" Target="../comments35.xml"/><Relationship Id="rId2" Type="http://schemas.openxmlformats.org/officeDocument/2006/relationships/table" Target="../tables/table54.xml"/><Relationship Id="rId1" Type="http://schemas.openxmlformats.org/officeDocument/2006/relationships/vmlDrawing" Target="../drawings/vmlDrawing35.vml"/></Relationships>
</file>

<file path=xl/worksheets/_rels/sheet90.xml.rels><?xml version="1.0" encoding="UTF-8" standalone="yes"?>
<Relationships xmlns="http://schemas.openxmlformats.org/package/2006/relationships"><Relationship Id="rId1" Type="http://schemas.openxmlformats.org/officeDocument/2006/relationships/table" Target="../tables/table55.xml"/></Relationships>
</file>

<file path=xl/worksheets/_rels/sheet91.xml.rels><?xml version="1.0" encoding="UTF-8" standalone="yes"?>
<Relationships xmlns="http://schemas.openxmlformats.org/package/2006/relationships"><Relationship Id="rId3" Type="http://schemas.openxmlformats.org/officeDocument/2006/relationships/comments" Target="../comments36.xml"/><Relationship Id="rId2" Type="http://schemas.openxmlformats.org/officeDocument/2006/relationships/table" Target="../tables/table56.xml"/><Relationship Id="rId1" Type="http://schemas.openxmlformats.org/officeDocument/2006/relationships/vmlDrawing" Target="../drawings/vmlDrawing36.vml"/></Relationships>
</file>

<file path=xl/worksheets/_rels/sheet92.xml.rels><?xml version="1.0" encoding="UTF-8" standalone="yes"?>
<Relationships xmlns="http://schemas.openxmlformats.org/package/2006/relationships"><Relationship Id="rId3" Type="http://schemas.openxmlformats.org/officeDocument/2006/relationships/comments" Target="../comments37.xml"/><Relationship Id="rId2" Type="http://schemas.openxmlformats.org/officeDocument/2006/relationships/table" Target="../tables/table57.xml"/><Relationship Id="rId1" Type="http://schemas.openxmlformats.org/officeDocument/2006/relationships/vmlDrawing" Target="../drawings/vmlDrawing37.vml"/></Relationships>
</file>

<file path=xl/worksheets/_rels/sheet94.xml.rels><?xml version="1.0" encoding="UTF-8" standalone="yes"?>
<Relationships xmlns="http://schemas.openxmlformats.org/package/2006/relationships"><Relationship Id="rId1" Type="http://schemas.openxmlformats.org/officeDocument/2006/relationships/table" Target="../tables/table58.xml"/></Relationships>
</file>

<file path=xl/worksheets/_rels/sheet95.xml.rels><?xml version="1.0" encoding="UTF-8" standalone="yes"?>
<Relationships xmlns="http://schemas.openxmlformats.org/package/2006/relationships"><Relationship Id="rId3" Type="http://schemas.openxmlformats.org/officeDocument/2006/relationships/comments" Target="../comments38.xml"/><Relationship Id="rId2" Type="http://schemas.openxmlformats.org/officeDocument/2006/relationships/table" Target="../tables/table59.xml"/><Relationship Id="rId1" Type="http://schemas.openxmlformats.org/officeDocument/2006/relationships/vmlDrawing" Target="../drawings/vmlDrawing38.vml"/></Relationships>
</file>

<file path=xl/worksheets/_rels/sheet96.xml.rels><?xml version="1.0" encoding="UTF-8" standalone="yes"?>
<Relationships xmlns="http://schemas.openxmlformats.org/package/2006/relationships"><Relationship Id="rId3" Type="http://schemas.openxmlformats.org/officeDocument/2006/relationships/comments" Target="../comments39.xml"/><Relationship Id="rId2" Type="http://schemas.openxmlformats.org/officeDocument/2006/relationships/table" Target="../tables/table60.xml"/><Relationship Id="rId1" Type="http://schemas.openxmlformats.org/officeDocument/2006/relationships/vmlDrawing" Target="../drawings/vmlDrawing39.vml"/></Relationships>
</file>

<file path=xl/worksheets/_rels/sheet99.xml.rels><?xml version="1.0" encoding="UTF-8" standalone="yes"?>
<Relationships xmlns="http://schemas.openxmlformats.org/package/2006/relationships"><Relationship Id="rId1" Type="http://schemas.openxmlformats.org/officeDocument/2006/relationships/table" Target="../tables/table61.xml"/></Relationships>
</file>

<file path=xl/worksheets/_rels/sheet100.xml.rels><?xml version="1.0" encoding="UTF-8" standalone="yes"?>
<Relationships xmlns="http://schemas.openxmlformats.org/package/2006/relationships"><Relationship Id="rId1" Type="http://schemas.openxmlformats.org/officeDocument/2006/relationships/table" Target="../tables/table6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N60"/>
  <sheetViews>
    <sheetView tabSelected="1" workbookViewId="0">
      <selection sqref="A1:E1"/>
    </sheetView>
  </sheetViews>
  <sheetFormatPr defaultRowHeight="14.4" x14ac:dyDescent="0.3"/>
  <cols>
    <col min="1" max="1" width="10.21875" bestFit="1" customWidth="1"/>
    <col min="2" max="2" width="15.6640625" bestFit="1" customWidth="1"/>
    <col min="3" max="3" width="14.77734375" bestFit="1" customWidth="1"/>
    <col min="4" max="4" width="33" bestFit="1" customWidth="1"/>
    <col min="5" max="5" width="18.5546875" bestFit="1" customWidth="1"/>
    <col min="6" max="6" width="23.44140625" bestFit="1" customWidth="1"/>
    <col min="7" max="7" width="44.5546875" bestFit="1" customWidth="1"/>
    <col min="8" max="8" width="9.44140625" bestFit="1" customWidth="1"/>
    <col min="9" max="9" width="9.21875" bestFit="1" customWidth="1"/>
    <col min="10" max="10" width="7.5546875" bestFit="1" customWidth="1"/>
    <col min="11" max="11" width="23.4414062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60.88671875" bestFit="1" customWidth="1"/>
  </cols>
  <sheetData>
    <row r="1" spans="1:92" ht="28.8" customHeight="1" x14ac:dyDescent="0.3">
      <c r="A1" s="260" t="s">
        <v>0</v>
      </c>
      <c r="B1" s="253"/>
      <c r="C1" s="253"/>
      <c r="D1" s="253"/>
      <c r="E1" s="253"/>
      <c r="F1" s="1" t="s">
        <v>1</v>
      </c>
      <c r="G1" s="2" t="s">
        <v>2</v>
      </c>
      <c r="H1" s="259">
        <v>45982</v>
      </c>
      <c r="I1" s="253"/>
      <c r="J1" s="253"/>
      <c r="K1" s="253"/>
      <c r="L1" s="253"/>
      <c r="M1" s="1" t="s">
        <v>3</v>
      </c>
      <c r="N1" s="266">
        <v>45984</v>
      </c>
      <c r="O1" s="253"/>
      <c r="P1" s="253"/>
      <c r="Q1" s="253"/>
      <c r="R1" s="253"/>
      <c r="CA1" s="3"/>
      <c r="CB1" s="3"/>
      <c r="CC1" s="3"/>
      <c r="CD1" s="3"/>
      <c r="CE1" s="3"/>
      <c r="CF1" s="3"/>
      <c r="CG1" s="3"/>
      <c r="CH1" s="3"/>
      <c r="CI1" s="3"/>
      <c r="CJ1" s="3"/>
      <c r="CK1" s="3"/>
      <c r="CL1" s="3"/>
      <c r="CM1" s="3"/>
      <c r="CN1" s="3"/>
    </row>
    <row r="2" spans="1:92" ht="23.4" customHeight="1" x14ac:dyDescent="0.3">
      <c r="A2" s="252" t="s">
        <v>4</v>
      </c>
      <c r="B2" s="253"/>
      <c r="C2" s="253"/>
      <c r="D2" s="253"/>
      <c r="E2" s="253"/>
      <c r="F2" s="253"/>
      <c r="G2" s="261">
        <v>45981.017653151634</v>
      </c>
      <c r="H2" s="253"/>
      <c r="I2" s="253"/>
      <c r="J2" s="253"/>
      <c r="K2" s="262">
        <v>45981.017653152689</v>
      </c>
      <c r="L2" s="253"/>
      <c r="M2" s="253"/>
      <c r="N2" s="253"/>
      <c r="O2" s="253"/>
      <c r="P2" s="253"/>
      <c r="Q2" s="253"/>
      <c r="R2" s="253"/>
      <c r="CA2" s="3"/>
      <c r="CB2" s="3"/>
      <c r="CC2" s="3"/>
      <c r="CD2" s="3"/>
      <c r="CE2" s="3"/>
      <c r="CF2" s="3"/>
      <c r="CG2" s="3"/>
      <c r="CH2" s="3"/>
      <c r="CI2" s="3"/>
      <c r="CJ2" s="3"/>
      <c r="CK2" s="3"/>
      <c r="CL2" s="3"/>
      <c r="CM2" s="3"/>
      <c r="CN2" s="3"/>
    </row>
    <row r="3" spans="1:92" ht="24" customHeight="1" x14ac:dyDescent="0.3">
      <c r="A3" s="254" t="s">
        <v>5</v>
      </c>
      <c r="B3" s="253"/>
      <c r="C3" s="253"/>
      <c r="D3" s="253"/>
      <c r="E3" s="253"/>
      <c r="F3" s="253"/>
      <c r="G3" s="253"/>
      <c r="H3" s="253"/>
      <c r="I3" s="253"/>
      <c r="J3" s="253"/>
      <c r="K3" s="253"/>
      <c r="L3" s="253"/>
      <c r="M3" s="253"/>
      <c r="N3" s="253"/>
      <c r="O3" s="253"/>
      <c r="P3" s="253"/>
      <c r="Q3" s="253"/>
      <c r="R3" s="253"/>
      <c r="CA3" s="3"/>
      <c r="CB3" s="3"/>
      <c r="CC3" s="3"/>
      <c r="CD3" s="3"/>
      <c r="CE3" s="3"/>
      <c r="CF3" s="3"/>
      <c r="CG3" s="3"/>
      <c r="CH3" s="3"/>
      <c r="CI3" s="3"/>
      <c r="CJ3" s="3"/>
      <c r="CK3" s="3"/>
      <c r="CL3" s="3"/>
      <c r="CM3" s="3"/>
      <c r="CN3" s="3"/>
    </row>
    <row r="4" spans="1:92" ht="22.05" customHeight="1" x14ac:dyDescent="0.3">
      <c r="A4" s="263" t="s">
        <v>6</v>
      </c>
      <c r="B4" s="250"/>
      <c r="C4" s="250"/>
      <c r="D4" s="250"/>
      <c r="E4" s="250"/>
      <c r="F4" s="251"/>
      <c r="G4" s="4">
        <v>45982</v>
      </c>
      <c r="H4" s="264" t="s">
        <v>7</v>
      </c>
      <c r="I4" s="250"/>
      <c r="J4" s="250"/>
      <c r="K4" s="250"/>
      <c r="L4" s="250"/>
      <c r="M4" s="250"/>
      <c r="N4" s="250"/>
      <c r="O4" s="250"/>
      <c r="P4" s="250"/>
      <c r="Q4" s="250"/>
      <c r="R4" s="251"/>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8" t="s">
        <v>26</v>
      </c>
      <c r="B6" s="8" t="s">
        <v>27</v>
      </c>
      <c r="C6" s="9">
        <v>0.75694444444444453</v>
      </c>
      <c r="D6" s="8" t="s">
        <v>28</v>
      </c>
      <c r="E6" s="8" t="s">
        <v>29</v>
      </c>
      <c r="F6" s="8" t="s">
        <v>30</v>
      </c>
      <c r="G6" s="265"/>
      <c r="H6" s="10"/>
      <c r="I6" s="11"/>
      <c r="J6" s="11"/>
      <c r="K6" s="11"/>
      <c r="L6" s="11"/>
      <c r="M6" s="11"/>
      <c r="N6" s="11"/>
      <c r="O6" s="12"/>
      <c r="P6" s="11"/>
      <c r="Q6" s="13"/>
      <c r="R6" s="14"/>
    </row>
    <row r="7" spans="1:92" ht="15" customHeight="1" x14ac:dyDescent="0.3">
      <c r="A7" s="15" t="s">
        <v>26</v>
      </c>
      <c r="B7" s="15" t="s">
        <v>27</v>
      </c>
      <c r="C7" s="16">
        <v>0.75694444444444453</v>
      </c>
      <c r="D7" s="15" t="s">
        <v>31</v>
      </c>
      <c r="E7" s="15" t="s">
        <v>32</v>
      </c>
      <c r="F7" s="15" t="s">
        <v>33</v>
      </c>
      <c r="G7" s="256"/>
      <c r="H7" s="10"/>
      <c r="I7" s="11"/>
      <c r="J7" s="11"/>
      <c r="K7" s="11"/>
      <c r="L7" s="11"/>
      <c r="M7" s="11"/>
      <c r="N7" s="11"/>
      <c r="O7" s="12"/>
      <c r="P7" s="11"/>
      <c r="Q7" s="13"/>
      <c r="R7" s="14"/>
    </row>
    <row r="8" spans="1:92" ht="15" customHeight="1" x14ac:dyDescent="0.3">
      <c r="A8" s="15" t="s">
        <v>26</v>
      </c>
      <c r="B8" s="15" t="s">
        <v>27</v>
      </c>
      <c r="C8" s="16">
        <v>0.75694444444444453</v>
      </c>
      <c r="D8" s="15" t="s">
        <v>34</v>
      </c>
      <c r="E8" s="15" t="s">
        <v>32</v>
      </c>
      <c r="F8" s="15" t="s">
        <v>35</v>
      </c>
      <c r="G8" s="256"/>
      <c r="H8" s="10"/>
      <c r="I8" s="11"/>
      <c r="J8" s="11"/>
      <c r="K8" s="11"/>
      <c r="L8" s="11"/>
      <c r="M8" s="11"/>
      <c r="N8" s="11"/>
      <c r="O8" s="12"/>
      <c r="P8" s="11"/>
      <c r="Q8" s="13"/>
      <c r="R8" s="14"/>
    </row>
    <row r="9" spans="1:92" ht="15" customHeight="1" x14ac:dyDescent="0.3">
      <c r="A9" s="17" t="s">
        <v>36</v>
      </c>
      <c r="B9" s="17" t="s">
        <v>37</v>
      </c>
      <c r="C9" s="18">
        <v>0.4201388888888889</v>
      </c>
      <c r="D9" s="17" t="s">
        <v>38</v>
      </c>
      <c r="E9" s="17" t="s">
        <v>39</v>
      </c>
      <c r="F9" s="17" t="s">
        <v>40</v>
      </c>
      <c r="G9" s="256"/>
      <c r="H9" s="10"/>
      <c r="I9" s="11"/>
      <c r="J9" s="11"/>
      <c r="K9" s="11"/>
      <c r="L9" s="11"/>
      <c r="M9" s="11"/>
      <c r="N9" s="11"/>
      <c r="O9" s="12"/>
      <c r="P9" s="11"/>
      <c r="Q9" s="13"/>
      <c r="R9" s="14"/>
    </row>
    <row r="10" spans="1:92" ht="15" customHeight="1" x14ac:dyDescent="0.3">
      <c r="A10" s="15" t="s">
        <v>36</v>
      </c>
      <c r="B10" s="15" t="s">
        <v>37</v>
      </c>
      <c r="C10" s="16">
        <v>0.4201388888888889</v>
      </c>
      <c r="D10" s="15" t="s">
        <v>41</v>
      </c>
      <c r="E10" s="15" t="s">
        <v>42</v>
      </c>
      <c r="F10" s="15" t="s">
        <v>43</v>
      </c>
      <c r="G10" s="256"/>
      <c r="H10" s="10"/>
      <c r="I10" s="11"/>
      <c r="J10" s="11"/>
      <c r="K10" s="11"/>
      <c r="L10" s="11"/>
      <c r="M10" s="11"/>
      <c r="N10" s="11"/>
      <c r="O10" s="12"/>
      <c r="P10" s="11"/>
      <c r="Q10" s="13"/>
      <c r="R10" s="14"/>
    </row>
    <row r="11" spans="1:92" ht="15" customHeight="1" x14ac:dyDescent="0.3">
      <c r="A11" s="15" t="s">
        <v>36</v>
      </c>
      <c r="B11" s="15" t="s">
        <v>37</v>
      </c>
      <c r="C11" s="16">
        <v>0.4201388888888889</v>
      </c>
      <c r="D11" s="15" t="s">
        <v>44</v>
      </c>
      <c r="E11" s="15" t="s">
        <v>42</v>
      </c>
      <c r="F11" s="15" t="s">
        <v>45</v>
      </c>
      <c r="G11" s="256"/>
      <c r="H11" s="10"/>
      <c r="I11" s="11"/>
      <c r="J11" s="11"/>
      <c r="K11" s="11"/>
      <c r="L11" s="11"/>
      <c r="M11" s="11"/>
      <c r="N11" s="11"/>
      <c r="O11" s="12"/>
      <c r="P11" s="11"/>
      <c r="Q11" s="13"/>
      <c r="R11" s="14"/>
    </row>
    <row r="12" spans="1:92" ht="15" customHeight="1" x14ac:dyDescent="0.3">
      <c r="A12" s="17" t="s">
        <v>46</v>
      </c>
      <c r="B12" s="17" t="s">
        <v>47</v>
      </c>
      <c r="C12" s="18">
        <v>0.49305555555555558</v>
      </c>
      <c r="D12" s="17" t="s">
        <v>48</v>
      </c>
      <c r="E12" s="17" t="s">
        <v>49</v>
      </c>
      <c r="F12" s="17" t="s">
        <v>50</v>
      </c>
      <c r="G12" s="256"/>
      <c r="H12" s="10"/>
      <c r="I12" s="11"/>
      <c r="J12" s="11"/>
      <c r="K12" s="11"/>
      <c r="L12" s="11"/>
      <c r="M12" s="11"/>
      <c r="N12" s="11"/>
      <c r="O12" s="12"/>
      <c r="P12" s="11"/>
      <c r="Q12" s="13"/>
      <c r="R12" s="14"/>
    </row>
    <row r="13" spans="1:92" ht="15" customHeight="1" x14ac:dyDescent="0.3">
      <c r="A13" s="19" t="s">
        <v>46</v>
      </c>
      <c r="B13" s="19" t="s">
        <v>51</v>
      </c>
      <c r="C13" s="20">
        <v>9.7222222222222224E-2</v>
      </c>
      <c r="D13" s="19" t="s">
        <v>48</v>
      </c>
      <c r="E13" s="19" t="s">
        <v>52</v>
      </c>
      <c r="F13" s="19" t="s">
        <v>50</v>
      </c>
      <c r="G13" s="256"/>
      <c r="H13" s="10"/>
      <c r="I13" s="11"/>
      <c r="J13" s="11"/>
      <c r="K13" s="11"/>
      <c r="L13" s="11"/>
      <c r="M13" s="11"/>
      <c r="N13" s="11"/>
      <c r="O13" s="12"/>
      <c r="P13" s="11"/>
      <c r="Q13" s="13"/>
      <c r="R13" s="14"/>
    </row>
    <row r="14" spans="1:92" ht="15" customHeight="1" x14ac:dyDescent="0.3">
      <c r="A14" s="19" t="s">
        <v>46</v>
      </c>
      <c r="B14" s="19" t="s">
        <v>53</v>
      </c>
      <c r="C14" s="20">
        <v>0.22222222222222221</v>
      </c>
      <c r="D14" s="19" t="s">
        <v>48</v>
      </c>
      <c r="E14" s="19" t="s">
        <v>52</v>
      </c>
      <c r="F14" s="19" t="s">
        <v>50</v>
      </c>
      <c r="G14" s="256"/>
      <c r="H14" s="10"/>
      <c r="I14" s="11"/>
      <c r="J14" s="11"/>
      <c r="K14" s="11"/>
      <c r="L14" s="11"/>
      <c r="M14" s="11"/>
      <c r="N14" s="11"/>
      <c r="O14" s="12"/>
      <c r="P14" s="11"/>
      <c r="Q14" s="13"/>
      <c r="R14" s="14"/>
    </row>
    <row r="15" spans="1:92" ht="15" customHeight="1" x14ac:dyDescent="0.3">
      <c r="A15" s="19" t="s">
        <v>46</v>
      </c>
      <c r="B15" s="19" t="s">
        <v>54</v>
      </c>
      <c r="C15" s="20">
        <v>0.44444444444444442</v>
      </c>
      <c r="D15" s="19" t="s">
        <v>48</v>
      </c>
      <c r="E15" s="19" t="s">
        <v>52</v>
      </c>
      <c r="F15" s="19" t="s">
        <v>55</v>
      </c>
      <c r="G15" s="256"/>
      <c r="H15" s="10"/>
      <c r="I15" s="11"/>
      <c r="J15" s="11"/>
      <c r="K15" s="11"/>
      <c r="L15" s="11"/>
      <c r="M15" s="11"/>
      <c r="N15" s="11"/>
      <c r="O15" s="12"/>
      <c r="P15" s="11"/>
      <c r="Q15" s="13"/>
      <c r="R15" s="14"/>
    </row>
    <row r="16" spans="1:92" ht="15" customHeight="1" x14ac:dyDescent="0.3">
      <c r="A16" s="17" t="s">
        <v>56</v>
      </c>
      <c r="B16" s="17" t="s">
        <v>57</v>
      </c>
      <c r="C16" s="18">
        <v>0.4201388888888889</v>
      </c>
      <c r="D16" s="17" t="s">
        <v>58</v>
      </c>
      <c r="E16" s="17" t="s">
        <v>59</v>
      </c>
      <c r="F16" s="17" t="s">
        <v>60</v>
      </c>
      <c r="G16" s="256"/>
      <c r="H16" s="10"/>
      <c r="I16" s="11"/>
      <c r="J16" s="11"/>
      <c r="K16" s="11"/>
      <c r="L16" s="11"/>
      <c r="M16" s="11"/>
      <c r="N16" s="11"/>
      <c r="O16" s="12"/>
      <c r="P16" s="11"/>
      <c r="Q16" s="13"/>
      <c r="R16" s="14"/>
    </row>
    <row r="17" spans="1:18" ht="15" customHeight="1" x14ac:dyDescent="0.3">
      <c r="A17" s="19" t="s">
        <v>56</v>
      </c>
      <c r="B17" s="19" t="s">
        <v>61</v>
      </c>
      <c r="C17" s="20">
        <v>0.79513888888888884</v>
      </c>
      <c r="D17" s="19" t="s">
        <v>62</v>
      </c>
      <c r="E17" s="19" t="s">
        <v>63</v>
      </c>
      <c r="F17" s="19" t="s">
        <v>64</v>
      </c>
      <c r="G17" s="256"/>
      <c r="H17" s="10"/>
      <c r="I17" s="11"/>
      <c r="J17" s="11"/>
      <c r="K17" s="11"/>
      <c r="L17" s="11"/>
      <c r="M17" s="11"/>
      <c r="N17" s="11"/>
      <c r="O17" s="12"/>
      <c r="P17" s="11"/>
      <c r="Q17" s="13"/>
      <c r="R17" s="14"/>
    </row>
    <row r="18" spans="1:18" ht="15" customHeight="1" x14ac:dyDescent="0.3">
      <c r="A18" s="15" t="s">
        <v>56</v>
      </c>
      <c r="B18" s="15" t="s">
        <v>61</v>
      </c>
      <c r="C18" s="16">
        <v>0.79513888888888884</v>
      </c>
      <c r="D18" s="15" t="s">
        <v>58</v>
      </c>
      <c r="E18" s="15" t="s">
        <v>65</v>
      </c>
      <c r="F18" s="15" t="s">
        <v>66</v>
      </c>
      <c r="G18" s="256"/>
      <c r="H18" s="10"/>
      <c r="I18" s="11"/>
      <c r="J18" s="11"/>
      <c r="K18" s="11"/>
      <c r="L18" s="11"/>
      <c r="M18" s="11"/>
      <c r="N18" s="11"/>
      <c r="O18" s="12"/>
      <c r="P18" s="11"/>
      <c r="Q18" s="13"/>
      <c r="R18" s="14"/>
    </row>
    <row r="19" spans="1:18" ht="15" customHeight="1" x14ac:dyDescent="0.3">
      <c r="A19" s="19" t="s">
        <v>56</v>
      </c>
      <c r="B19" s="19" t="s">
        <v>67</v>
      </c>
      <c r="C19" s="20">
        <v>8.6805555555555566E-2</v>
      </c>
      <c r="D19" s="19" t="s">
        <v>62</v>
      </c>
      <c r="E19" s="19" t="s">
        <v>63</v>
      </c>
      <c r="F19" s="19" t="s">
        <v>64</v>
      </c>
      <c r="G19" s="256"/>
      <c r="H19" s="10"/>
      <c r="I19" s="11"/>
      <c r="J19" s="11"/>
      <c r="K19" s="11"/>
      <c r="L19" s="11"/>
      <c r="M19" s="11"/>
      <c r="N19" s="11"/>
      <c r="O19" s="12"/>
      <c r="P19" s="11"/>
      <c r="Q19" s="13"/>
      <c r="R19" s="14"/>
    </row>
    <row r="20" spans="1:18" ht="15" customHeight="1" x14ac:dyDescent="0.3">
      <c r="A20" s="15" t="s">
        <v>56</v>
      </c>
      <c r="B20" s="15" t="s">
        <v>67</v>
      </c>
      <c r="C20" s="16">
        <v>8.6805555555555566E-2</v>
      </c>
      <c r="D20" s="15" t="s">
        <v>58</v>
      </c>
      <c r="E20" s="15" t="s">
        <v>65</v>
      </c>
      <c r="F20" s="15" t="s">
        <v>66</v>
      </c>
      <c r="G20" s="256"/>
      <c r="H20" s="10"/>
      <c r="I20" s="11"/>
      <c r="J20" s="11"/>
      <c r="K20" s="11"/>
      <c r="L20" s="11"/>
      <c r="M20" s="11"/>
      <c r="N20" s="11"/>
      <c r="O20" s="12"/>
      <c r="P20" s="11"/>
      <c r="Q20" s="13"/>
      <c r="R20" s="14"/>
    </row>
    <row r="21" spans="1:18" ht="15" customHeight="1" x14ac:dyDescent="0.3">
      <c r="A21" s="19" t="s">
        <v>56</v>
      </c>
      <c r="B21" s="19" t="s">
        <v>68</v>
      </c>
      <c r="C21" s="20">
        <v>0.60416666666666663</v>
      </c>
      <c r="D21" s="19" t="s">
        <v>62</v>
      </c>
      <c r="E21" s="19" t="s">
        <v>69</v>
      </c>
      <c r="F21" s="19" t="s">
        <v>70</v>
      </c>
      <c r="G21" s="256"/>
      <c r="H21" s="10"/>
      <c r="I21" s="11"/>
      <c r="J21" s="11"/>
      <c r="K21" s="11"/>
      <c r="L21" s="11"/>
      <c r="M21" s="11"/>
      <c r="N21" s="11"/>
      <c r="O21" s="12"/>
      <c r="P21" s="11"/>
      <c r="Q21" s="13"/>
      <c r="R21" s="14"/>
    </row>
    <row r="22" spans="1:18" ht="15" customHeight="1" thickBot="1" x14ac:dyDescent="0.35">
      <c r="A22" s="21" t="s">
        <v>56</v>
      </c>
      <c r="B22" s="21" t="s">
        <v>68</v>
      </c>
      <c r="C22" s="22">
        <v>0.60416666666666663</v>
      </c>
      <c r="D22" s="21" t="s">
        <v>58</v>
      </c>
      <c r="E22" s="21" t="s">
        <v>71</v>
      </c>
      <c r="F22" s="21" t="s">
        <v>72</v>
      </c>
      <c r="G22" s="257"/>
      <c r="H22" s="23"/>
      <c r="I22" s="24"/>
      <c r="J22" s="24"/>
      <c r="K22" s="24"/>
      <c r="L22" s="24"/>
      <c r="M22" s="24"/>
      <c r="N22" s="24"/>
      <c r="O22" s="25"/>
      <c r="P22" s="24"/>
      <c r="Q22" s="26"/>
      <c r="R22" s="27"/>
    </row>
    <row r="23" spans="1:18" ht="17.399999999999999" customHeight="1" thickBot="1" x14ac:dyDescent="0.35">
      <c r="A23" s="284"/>
      <c r="B23" s="285"/>
      <c r="C23" s="285"/>
      <c r="D23" s="285"/>
      <c r="E23" s="285"/>
      <c r="F23" s="285"/>
      <c r="G23" s="285"/>
      <c r="H23" s="285"/>
      <c r="I23" s="285"/>
      <c r="J23" s="285"/>
      <c r="K23" s="285"/>
      <c r="L23" s="285"/>
      <c r="M23" s="285"/>
      <c r="N23" s="285"/>
      <c r="O23" s="285"/>
      <c r="P23" s="285"/>
      <c r="Q23" s="285"/>
      <c r="R23" s="286"/>
    </row>
    <row r="24" spans="1:18" ht="22.05" customHeight="1" thickTop="1" thickBot="1" x14ac:dyDescent="0.35">
      <c r="A24" s="249" t="s">
        <v>6</v>
      </c>
      <c r="B24" s="250"/>
      <c r="C24" s="250"/>
      <c r="D24" s="250"/>
      <c r="E24" s="250"/>
      <c r="F24" s="251"/>
      <c r="G24" s="28">
        <v>45983</v>
      </c>
      <c r="H24" s="258" t="s">
        <v>7</v>
      </c>
      <c r="I24" s="250"/>
      <c r="J24" s="250"/>
      <c r="K24" s="250"/>
      <c r="L24" s="250"/>
      <c r="M24" s="250"/>
      <c r="N24" s="250"/>
      <c r="O24" s="250"/>
      <c r="P24" s="250"/>
      <c r="Q24" s="250"/>
      <c r="R24" s="251"/>
    </row>
    <row r="25" spans="1:18" ht="24" customHeight="1" x14ac:dyDescent="0.3">
      <c r="A25" s="29" t="s">
        <v>8</v>
      </c>
      <c r="B25" s="29" t="s">
        <v>9</v>
      </c>
      <c r="C25" s="30" t="s">
        <v>10</v>
      </c>
      <c r="D25" s="29" t="s">
        <v>11</v>
      </c>
      <c r="E25" s="29" t="s">
        <v>12</v>
      </c>
      <c r="F25" s="31" t="s">
        <v>13</v>
      </c>
      <c r="G25" s="32" t="s">
        <v>14</v>
      </c>
      <c r="H25" s="29" t="s">
        <v>15</v>
      </c>
      <c r="I25" s="33" t="s">
        <v>16</v>
      </c>
      <c r="J25" s="34" t="s">
        <v>17</v>
      </c>
      <c r="K25" s="35" t="s">
        <v>18</v>
      </c>
      <c r="L25" s="34" t="s">
        <v>19</v>
      </c>
      <c r="M25" s="34" t="s">
        <v>20</v>
      </c>
      <c r="N25" s="34" t="s">
        <v>21</v>
      </c>
      <c r="O25" s="29" t="s">
        <v>22</v>
      </c>
      <c r="P25" s="30" t="s">
        <v>23</v>
      </c>
      <c r="Q25" s="34" t="s">
        <v>24</v>
      </c>
      <c r="R25" s="29" t="s">
        <v>25</v>
      </c>
    </row>
    <row r="26" spans="1:18" ht="15" customHeight="1" x14ac:dyDescent="0.3">
      <c r="A26" s="8" t="s">
        <v>26</v>
      </c>
      <c r="B26" s="8" t="s">
        <v>73</v>
      </c>
      <c r="C26" s="9">
        <v>0.35416666666666669</v>
      </c>
      <c r="D26" s="8" t="s">
        <v>28</v>
      </c>
      <c r="E26" s="8" t="s">
        <v>74</v>
      </c>
      <c r="F26" s="8" t="s">
        <v>75</v>
      </c>
      <c r="G26" s="255"/>
      <c r="H26" s="10"/>
      <c r="I26" s="11"/>
      <c r="J26" s="11"/>
      <c r="K26" s="11"/>
      <c r="L26" s="11"/>
      <c r="M26" s="11"/>
      <c r="N26" s="11"/>
      <c r="O26" s="12"/>
      <c r="P26" s="11"/>
      <c r="Q26" s="13"/>
      <c r="R26" s="14"/>
    </row>
    <row r="27" spans="1:18" ht="15" customHeight="1" x14ac:dyDescent="0.3">
      <c r="A27" s="15" t="s">
        <v>26</v>
      </c>
      <c r="B27" s="15" t="s">
        <v>73</v>
      </c>
      <c r="C27" s="16">
        <v>0.35416666666666669</v>
      </c>
      <c r="D27" s="15" t="s">
        <v>31</v>
      </c>
      <c r="E27" s="15" t="s">
        <v>71</v>
      </c>
      <c r="F27" s="15" t="s">
        <v>76</v>
      </c>
      <c r="G27" s="256"/>
      <c r="H27" s="10"/>
      <c r="I27" s="11"/>
      <c r="J27" s="11"/>
      <c r="K27" s="11"/>
      <c r="L27" s="11"/>
      <c r="M27" s="11"/>
      <c r="N27" s="11"/>
      <c r="O27" s="12"/>
      <c r="P27" s="11"/>
      <c r="Q27" s="13"/>
      <c r="R27" s="14"/>
    </row>
    <row r="28" spans="1:18" ht="15" customHeight="1" x14ac:dyDescent="0.3">
      <c r="A28" s="15" t="s">
        <v>26</v>
      </c>
      <c r="B28" s="15" t="s">
        <v>73</v>
      </c>
      <c r="C28" s="16">
        <v>0.35416666666666669</v>
      </c>
      <c r="D28" s="15" t="s">
        <v>34</v>
      </c>
      <c r="E28" s="15" t="s">
        <v>71</v>
      </c>
      <c r="F28" s="15" t="s">
        <v>77</v>
      </c>
      <c r="G28" s="256"/>
      <c r="H28" s="10"/>
      <c r="I28" s="11"/>
      <c r="J28" s="11"/>
      <c r="K28" s="11"/>
      <c r="L28" s="11"/>
      <c r="M28" s="11"/>
      <c r="N28" s="11"/>
      <c r="O28" s="12"/>
      <c r="P28" s="11"/>
      <c r="Q28" s="13"/>
      <c r="R28" s="14"/>
    </row>
    <row r="29" spans="1:18" ht="15" customHeight="1" x14ac:dyDescent="0.3">
      <c r="A29" s="19" t="s">
        <v>26</v>
      </c>
      <c r="B29" s="19" t="s">
        <v>27</v>
      </c>
      <c r="C29" s="20">
        <v>0.75694444444444453</v>
      </c>
      <c r="D29" s="19" t="s">
        <v>28</v>
      </c>
      <c r="E29" s="19" t="s">
        <v>78</v>
      </c>
      <c r="F29" s="19" t="s">
        <v>79</v>
      </c>
      <c r="G29" s="256"/>
      <c r="H29" s="10"/>
      <c r="I29" s="11"/>
      <c r="J29" s="11"/>
      <c r="K29" s="11"/>
      <c r="L29" s="11"/>
      <c r="M29" s="11"/>
      <c r="N29" s="11"/>
      <c r="O29" s="12"/>
      <c r="P29" s="11"/>
      <c r="Q29" s="13"/>
      <c r="R29" s="14"/>
    </row>
    <row r="30" spans="1:18" ht="15" customHeight="1" x14ac:dyDescent="0.3">
      <c r="A30" s="15" t="s">
        <v>26</v>
      </c>
      <c r="B30" s="15" t="s">
        <v>27</v>
      </c>
      <c r="C30" s="16">
        <v>0.75694444444444453</v>
      </c>
      <c r="D30" s="15" t="s">
        <v>31</v>
      </c>
      <c r="E30" s="15" t="s">
        <v>80</v>
      </c>
      <c r="F30" s="15" t="s">
        <v>81</v>
      </c>
      <c r="G30" s="256"/>
      <c r="H30" s="10"/>
      <c r="I30" s="11"/>
      <c r="J30" s="11"/>
      <c r="K30" s="11"/>
      <c r="L30" s="11"/>
      <c r="M30" s="11"/>
      <c r="N30" s="11"/>
      <c r="O30" s="12"/>
      <c r="P30" s="11"/>
      <c r="Q30" s="13"/>
      <c r="R30" s="14"/>
    </row>
    <row r="31" spans="1:18" ht="15" customHeight="1" x14ac:dyDescent="0.3">
      <c r="A31" s="15" t="s">
        <v>26</v>
      </c>
      <c r="B31" s="15" t="s">
        <v>27</v>
      </c>
      <c r="C31" s="16">
        <v>0.75694444444444453</v>
      </c>
      <c r="D31" s="15" t="s">
        <v>34</v>
      </c>
      <c r="E31" s="15" t="s">
        <v>80</v>
      </c>
      <c r="F31" s="15" t="s">
        <v>82</v>
      </c>
      <c r="G31" s="256"/>
      <c r="H31" s="10"/>
      <c r="I31" s="11"/>
      <c r="J31" s="11"/>
      <c r="K31" s="11"/>
      <c r="L31" s="11"/>
      <c r="M31" s="11"/>
      <c r="N31" s="11"/>
      <c r="O31" s="12"/>
      <c r="P31" s="11"/>
      <c r="Q31" s="13"/>
      <c r="R31" s="14"/>
    </row>
    <row r="32" spans="1:18" ht="15" customHeight="1" x14ac:dyDescent="0.3">
      <c r="A32" s="17" t="s">
        <v>36</v>
      </c>
      <c r="B32" s="17" t="s">
        <v>37</v>
      </c>
      <c r="C32" s="18">
        <v>0.4201388888888889</v>
      </c>
      <c r="D32" s="17" t="s">
        <v>38</v>
      </c>
      <c r="E32" s="17" t="s">
        <v>83</v>
      </c>
      <c r="F32" s="17" t="s">
        <v>40</v>
      </c>
      <c r="G32" s="256"/>
      <c r="H32" s="10"/>
      <c r="I32" s="11"/>
      <c r="J32" s="11"/>
      <c r="K32" s="11"/>
      <c r="L32" s="11"/>
      <c r="M32" s="11"/>
      <c r="N32" s="11"/>
      <c r="O32" s="12"/>
      <c r="P32" s="11"/>
      <c r="Q32" s="13"/>
      <c r="R32" s="14"/>
    </row>
    <row r="33" spans="1:18" ht="15" customHeight="1" x14ac:dyDescent="0.3">
      <c r="A33" s="15" t="s">
        <v>36</v>
      </c>
      <c r="B33" s="15" t="s">
        <v>37</v>
      </c>
      <c r="C33" s="16">
        <v>0.4201388888888889</v>
      </c>
      <c r="D33" s="15" t="s">
        <v>41</v>
      </c>
      <c r="E33" s="15" t="s">
        <v>84</v>
      </c>
      <c r="F33" s="15" t="s">
        <v>43</v>
      </c>
      <c r="G33" s="256"/>
      <c r="H33" s="10"/>
      <c r="I33" s="11"/>
      <c r="J33" s="11"/>
      <c r="K33" s="11"/>
      <c r="L33" s="11"/>
      <c r="M33" s="11"/>
      <c r="N33" s="11"/>
      <c r="O33" s="12"/>
      <c r="P33" s="11"/>
      <c r="Q33" s="13"/>
      <c r="R33" s="14"/>
    </row>
    <row r="34" spans="1:18" ht="15" customHeight="1" x14ac:dyDescent="0.3">
      <c r="A34" s="15" t="s">
        <v>36</v>
      </c>
      <c r="B34" s="15" t="s">
        <v>37</v>
      </c>
      <c r="C34" s="16">
        <v>0.4201388888888889</v>
      </c>
      <c r="D34" s="15" t="s">
        <v>44</v>
      </c>
      <c r="E34" s="15" t="s">
        <v>84</v>
      </c>
      <c r="F34" s="15" t="s">
        <v>85</v>
      </c>
      <c r="G34" s="256"/>
      <c r="H34" s="10"/>
      <c r="I34" s="11"/>
      <c r="J34" s="11"/>
      <c r="K34" s="11"/>
      <c r="L34" s="11"/>
      <c r="M34" s="11"/>
      <c r="N34" s="11"/>
      <c r="O34" s="12"/>
      <c r="P34" s="11"/>
      <c r="Q34" s="13"/>
      <c r="R34" s="14"/>
    </row>
    <row r="35" spans="1:18" ht="15" customHeight="1" x14ac:dyDescent="0.3">
      <c r="A35" s="17" t="s">
        <v>46</v>
      </c>
      <c r="B35" s="17" t="s">
        <v>51</v>
      </c>
      <c r="C35" s="18">
        <v>9.7222222222222224E-2</v>
      </c>
      <c r="D35" s="17" t="s">
        <v>48</v>
      </c>
      <c r="E35" s="17" t="s">
        <v>49</v>
      </c>
      <c r="F35" s="17" t="s">
        <v>86</v>
      </c>
      <c r="G35" s="256"/>
      <c r="H35" s="10"/>
      <c r="I35" s="11"/>
      <c r="J35" s="11"/>
      <c r="K35" s="11"/>
      <c r="L35" s="11"/>
      <c r="M35" s="11"/>
      <c r="N35" s="11"/>
      <c r="O35" s="12"/>
      <c r="P35" s="11"/>
      <c r="Q35" s="13"/>
      <c r="R35" s="14"/>
    </row>
    <row r="36" spans="1:18" ht="15" customHeight="1" x14ac:dyDescent="0.3">
      <c r="A36" s="19" t="s">
        <v>46</v>
      </c>
      <c r="B36" s="19" t="s">
        <v>53</v>
      </c>
      <c r="C36" s="20">
        <v>0.22222222222222221</v>
      </c>
      <c r="D36" s="19" t="s">
        <v>48</v>
      </c>
      <c r="E36" s="19" t="s">
        <v>87</v>
      </c>
      <c r="F36" s="19" t="s">
        <v>88</v>
      </c>
      <c r="G36" s="256"/>
      <c r="H36" s="10"/>
      <c r="I36" s="11"/>
      <c r="J36" s="11"/>
      <c r="K36" s="11"/>
      <c r="L36" s="11"/>
      <c r="M36" s="11"/>
      <c r="N36" s="11"/>
      <c r="O36" s="12"/>
      <c r="P36" s="11"/>
      <c r="Q36" s="13"/>
      <c r="R36" s="14"/>
    </row>
    <row r="37" spans="1:18" ht="15" customHeight="1" x14ac:dyDescent="0.3">
      <c r="A37" s="17" t="s">
        <v>56</v>
      </c>
      <c r="B37" s="17" t="s">
        <v>67</v>
      </c>
      <c r="C37" s="18">
        <v>8.6805555555555566E-2</v>
      </c>
      <c r="D37" s="17" t="s">
        <v>62</v>
      </c>
      <c r="E37" s="17" t="s">
        <v>89</v>
      </c>
      <c r="F37" s="17" t="s">
        <v>90</v>
      </c>
      <c r="G37" s="256"/>
      <c r="H37" s="10"/>
      <c r="I37" s="11"/>
      <c r="J37" s="11"/>
      <c r="K37" s="11"/>
      <c r="L37" s="11"/>
      <c r="M37" s="11"/>
      <c r="N37" s="11"/>
      <c r="O37" s="12"/>
      <c r="P37" s="11"/>
      <c r="Q37" s="13"/>
      <c r="R37" s="14"/>
    </row>
    <row r="38" spans="1:18" ht="15" customHeight="1" x14ac:dyDescent="0.3">
      <c r="A38" s="15" t="s">
        <v>56</v>
      </c>
      <c r="B38" s="15" t="s">
        <v>67</v>
      </c>
      <c r="C38" s="16">
        <v>8.6805555555555566E-2</v>
      </c>
      <c r="D38" s="15" t="s">
        <v>58</v>
      </c>
      <c r="E38" s="15" t="s">
        <v>80</v>
      </c>
      <c r="F38" s="15" t="s">
        <v>91</v>
      </c>
      <c r="G38" s="256"/>
      <c r="H38" s="10"/>
      <c r="I38" s="11"/>
      <c r="J38" s="11"/>
      <c r="K38" s="11"/>
      <c r="L38" s="11"/>
      <c r="M38" s="11"/>
      <c r="N38" s="11"/>
      <c r="O38" s="12"/>
      <c r="P38" s="11"/>
      <c r="Q38" s="13"/>
      <c r="R38" s="14"/>
    </row>
    <row r="39" spans="1:18" ht="15" customHeight="1" x14ac:dyDescent="0.3">
      <c r="A39" s="19" t="s">
        <v>56</v>
      </c>
      <c r="B39" s="19" t="s">
        <v>57</v>
      </c>
      <c r="C39" s="20">
        <v>0.4201388888888889</v>
      </c>
      <c r="D39" s="19" t="s">
        <v>58</v>
      </c>
      <c r="E39" s="19" t="s">
        <v>92</v>
      </c>
      <c r="F39" s="19" t="s">
        <v>60</v>
      </c>
      <c r="G39" s="256"/>
      <c r="H39" s="10"/>
      <c r="I39" s="11"/>
      <c r="J39" s="11"/>
      <c r="K39" s="11"/>
      <c r="L39" s="11"/>
      <c r="M39" s="11"/>
      <c r="N39" s="11"/>
      <c r="O39" s="12"/>
      <c r="P39" s="11"/>
      <c r="Q39" s="13"/>
      <c r="R39" s="14"/>
    </row>
    <row r="40" spans="1:18" ht="15" customHeight="1" x14ac:dyDescent="0.3">
      <c r="A40" s="19" t="s">
        <v>56</v>
      </c>
      <c r="B40" s="19" t="s">
        <v>61</v>
      </c>
      <c r="C40" s="20">
        <v>0.79513888888888884</v>
      </c>
      <c r="D40" s="19" t="s">
        <v>62</v>
      </c>
      <c r="E40" s="19" t="s">
        <v>78</v>
      </c>
      <c r="F40" s="19" t="s">
        <v>70</v>
      </c>
      <c r="G40" s="256"/>
      <c r="H40" s="10"/>
      <c r="I40" s="11"/>
      <c r="J40" s="11"/>
      <c r="K40" s="11"/>
      <c r="L40" s="11"/>
      <c r="M40" s="11"/>
      <c r="N40" s="11"/>
      <c r="O40" s="12"/>
      <c r="P40" s="11"/>
      <c r="Q40" s="13"/>
      <c r="R40" s="14"/>
    </row>
    <row r="41" spans="1:18" ht="15" customHeight="1" x14ac:dyDescent="0.3">
      <c r="A41" s="15" t="s">
        <v>56</v>
      </c>
      <c r="B41" s="15" t="s">
        <v>61</v>
      </c>
      <c r="C41" s="16">
        <v>0.79513888888888884</v>
      </c>
      <c r="D41" s="15" t="s">
        <v>58</v>
      </c>
      <c r="E41" s="15" t="s">
        <v>80</v>
      </c>
      <c r="F41" s="15" t="s">
        <v>72</v>
      </c>
      <c r="G41" s="256"/>
      <c r="H41" s="10"/>
      <c r="I41" s="11"/>
      <c r="J41" s="11"/>
      <c r="K41" s="11"/>
      <c r="L41" s="11"/>
      <c r="M41" s="11"/>
      <c r="N41" s="11"/>
      <c r="O41" s="12"/>
      <c r="P41" s="11"/>
      <c r="Q41" s="13"/>
      <c r="R41" s="14"/>
    </row>
    <row r="42" spans="1:18" ht="15" customHeight="1" thickBot="1" x14ac:dyDescent="0.35">
      <c r="A42" s="36" t="s">
        <v>93</v>
      </c>
      <c r="B42" s="36" t="s">
        <v>94</v>
      </c>
      <c r="C42" s="37">
        <v>0.39583333333333331</v>
      </c>
      <c r="D42" s="36" t="s">
        <v>95</v>
      </c>
      <c r="E42" s="38"/>
      <c r="F42" s="36" t="s">
        <v>96</v>
      </c>
      <c r="G42" s="257"/>
      <c r="H42" s="39" t="s">
        <v>94</v>
      </c>
      <c r="I42" s="40">
        <v>1</v>
      </c>
      <c r="J42" s="41">
        <v>179</v>
      </c>
      <c r="K42" s="42" t="s">
        <v>97</v>
      </c>
      <c r="L42" s="41">
        <v>1</v>
      </c>
      <c r="M42" s="41">
        <v>0</v>
      </c>
      <c r="N42" s="41">
        <v>0</v>
      </c>
      <c r="O42" s="43" t="s">
        <v>98</v>
      </c>
      <c r="P42" s="44">
        <v>0.39583333333333331</v>
      </c>
      <c r="Q42" s="41">
        <v>179</v>
      </c>
      <c r="R42" s="45" t="s">
        <v>99</v>
      </c>
    </row>
    <row r="43" spans="1:18" ht="17.399999999999999" customHeight="1" thickBot="1" x14ac:dyDescent="0.35">
      <c r="A43" s="284"/>
      <c r="B43" s="285"/>
      <c r="C43" s="285"/>
      <c r="D43" s="285"/>
      <c r="E43" s="285"/>
      <c r="F43" s="285"/>
      <c r="G43" s="285"/>
      <c r="H43" s="285"/>
      <c r="I43" s="285"/>
      <c r="J43" s="285"/>
      <c r="K43" s="285"/>
      <c r="L43" s="285"/>
      <c r="M43" s="285"/>
      <c r="N43" s="285"/>
      <c r="O43" s="285"/>
      <c r="P43" s="285"/>
      <c r="Q43" s="285"/>
      <c r="R43" s="286"/>
    </row>
    <row r="44" spans="1:18" ht="22.05" customHeight="1" thickTop="1" thickBot="1" x14ac:dyDescent="0.35">
      <c r="A44" s="249" t="s">
        <v>6</v>
      </c>
      <c r="B44" s="250"/>
      <c r="C44" s="250"/>
      <c r="D44" s="250"/>
      <c r="E44" s="250"/>
      <c r="F44" s="251"/>
      <c r="G44" s="28">
        <v>45984</v>
      </c>
      <c r="H44" s="258" t="s">
        <v>7</v>
      </c>
      <c r="I44" s="250"/>
      <c r="J44" s="250"/>
      <c r="K44" s="250"/>
      <c r="L44" s="250"/>
      <c r="M44" s="250"/>
      <c r="N44" s="250"/>
      <c r="O44" s="250"/>
      <c r="P44" s="250"/>
      <c r="Q44" s="250"/>
      <c r="R44" s="251"/>
    </row>
    <row r="45" spans="1:18" ht="24" customHeight="1" x14ac:dyDescent="0.3">
      <c r="A45" s="29" t="s">
        <v>8</v>
      </c>
      <c r="B45" s="29" t="s">
        <v>9</v>
      </c>
      <c r="C45" s="30" t="s">
        <v>10</v>
      </c>
      <c r="D45" s="29" t="s">
        <v>11</v>
      </c>
      <c r="E45" s="29" t="s">
        <v>12</v>
      </c>
      <c r="F45" s="31" t="s">
        <v>13</v>
      </c>
      <c r="G45" s="32" t="s">
        <v>14</v>
      </c>
      <c r="H45" s="29" t="s">
        <v>15</v>
      </c>
      <c r="I45" s="33" t="s">
        <v>16</v>
      </c>
      <c r="J45" s="34" t="s">
        <v>17</v>
      </c>
      <c r="K45" s="35" t="s">
        <v>18</v>
      </c>
      <c r="L45" s="34" t="s">
        <v>19</v>
      </c>
      <c r="M45" s="34" t="s">
        <v>20</v>
      </c>
      <c r="N45" s="34" t="s">
        <v>21</v>
      </c>
      <c r="O45" s="29" t="s">
        <v>22</v>
      </c>
      <c r="P45" s="30" t="s">
        <v>23</v>
      </c>
      <c r="Q45" s="34" t="s">
        <v>24</v>
      </c>
      <c r="R45" s="29" t="s">
        <v>25</v>
      </c>
    </row>
    <row r="46" spans="1:18" ht="15" customHeight="1" x14ac:dyDescent="0.3">
      <c r="A46" s="8" t="s">
        <v>36</v>
      </c>
      <c r="B46" s="8" t="s">
        <v>37</v>
      </c>
      <c r="C46" s="9">
        <v>0.4201388888888889</v>
      </c>
      <c r="D46" s="8" t="s">
        <v>38</v>
      </c>
      <c r="E46" s="8" t="s">
        <v>100</v>
      </c>
      <c r="F46" s="8" t="s">
        <v>40</v>
      </c>
      <c r="G46" s="255"/>
      <c r="H46" s="10"/>
      <c r="I46" s="11"/>
      <c r="J46" s="11"/>
      <c r="K46" s="11"/>
      <c r="L46" s="11"/>
      <c r="M46" s="11"/>
      <c r="N46" s="11"/>
      <c r="O46" s="12"/>
      <c r="P46" s="11"/>
      <c r="Q46" s="13"/>
      <c r="R46" s="14"/>
    </row>
    <row r="47" spans="1:18" ht="15" customHeight="1" x14ac:dyDescent="0.3">
      <c r="A47" s="15" t="s">
        <v>36</v>
      </c>
      <c r="B47" s="15" t="s">
        <v>37</v>
      </c>
      <c r="C47" s="16">
        <v>0.4201388888888889</v>
      </c>
      <c r="D47" s="15" t="s">
        <v>41</v>
      </c>
      <c r="E47" s="15" t="s">
        <v>65</v>
      </c>
      <c r="F47" s="15" t="s">
        <v>43</v>
      </c>
      <c r="G47" s="256"/>
      <c r="H47" s="10"/>
      <c r="I47" s="11"/>
      <c r="J47" s="11"/>
      <c r="K47" s="11"/>
      <c r="L47" s="11"/>
      <c r="M47" s="11"/>
      <c r="N47" s="11"/>
      <c r="O47" s="12"/>
      <c r="P47" s="11"/>
      <c r="Q47" s="13"/>
      <c r="R47" s="14"/>
    </row>
    <row r="48" spans="1:18" ht="15" customHeight="1" x14ac:dyDescent="0.3">
      <c r="A48" s="15" t="s">
        <v>36</v>
      </c>
      <c r="B48" s="15" t="s">
        <v>37</v>
      </c>
      <c r="C48" s="16">
        <v>0.4201388888888889</v>
      </c>
      <c r="D48" s="15" t="s">
        <v>44</v>
      </c>
      <c r="E48" s="15" t="s">
        <v>65</v>
      </c>
      <c r="F48" s="15" t="s">
        <v>85</v>
      </c>
      <c r="G48" s="256"/>
      <c r="H48" s="10"/>
      <c r="I48" s="11"/>
      <c r="J48" s="11"/>
      <c r="K48" s="11"/>
      <c r="L48" s="11"/>
      <c r="M48" s="11"/>
      <c r="N48" s="11"/>
      <c r="O48" s="12"/>
      <c r="P48" s="11"/>
      <c r="Q48" s="13"/>
      <c r="R48" s="14"/>
    </row>
    <row r="49" spans="1:18" ht="15" customHeight="1" x14ac:dyDescent="0.3">
      <c r="A49" s="17" t="s">
        <v>26</v>
      </c>
      <c r="B49" s="17" t="s">
        <v>27</v>
      </c>
      <c r="C49" s="18">
        <v>0.75694444444444453</v>
      </c>
      <c r="D49" s="17" t="s">
        <v>28</v>
      </c>
      <c r="E49" s="17" t="s">
        <v>29</v>
      </c>
      <c r="F49" s="17" t="s">
        <v>79</v>
      </c>
      <c r="G49" s="256"/>
      <c r="H49" s="10"/>
      <c r="I49" s="11"/>
      <c r="J49" s="11"/>
      <c r="K49" s="11"/>
      <c r="L49" s="11"/>
      <c r="M49" s="11"/>
      <c r="N49" s="11"/>
      <c r="O49" s="12"/>
      <c r="P49" s="11"/>
      <c r="Q49" s="13"/>
      <c r="R49" s="14"/>
    </row>
    <row r="50" spans="1:18" ht="15" customHeight="1" x14ac:dyDescent="0.3">
      <c r="A50" s="15" t="s">
        <v>26</v>
      </c>
      <c r="B50" s="15" t="s">
        <v>27</v>
      </c>
      <c r="C50" s="16">
        <v>0.75694444444444453</v>
      </c>
      <c r="D50" s="15" t="s">
        <v>31</v>
      </c>
      <c r="E50" s="15" t="s">
        <v>32</v>
      </c>
      <c r="F50" s="15" t="s">
        <v>81</v>
      </c>
      <c r="G50" s="256"/>
      <c r="H50" s="10"/>
      <c r="I50" s="11"/>
      <c r="J50" s="11"/>
      <c r="K50" s="11"/>
      <c r="L50" s="11"/>
      <c r="M50" s="11"/>
      <c r="N50" s="11"/>
      <c r="O50" s="12"/>
      <c r="P50" s="11"/>
      <c r="Q50" s="13"/>
      <c r="R50" s="14"/>
    </row>
    <row r="51" spans="1:18" ht="15" customHeight="1" x14ac:dyDescent="0.3">
      <c r="A51" s="15" t="s">
        <v>26</v>
      </c>
      <c r="B51" s="15" t="s">
        <v>27</v>
      </c>
      <c r="C51" s="16">
        <v>0.75694444444444453</v>
      </c>
      <c r="D51" s="15" t="s">
        <v>34</v>
      </c>
      <c r="E51" s="15" t="s">
        <v>32</v>
      </c>
      <c r="F51" s="15" t="s">
        <v>82</v>
      </c>
      <c r="G51" s="256"/>
      <c r="H51" s="10"/>
      <c r="I51" s="11"/>
      <c r="J51" s="11"/>
      <c r="K51" s="11"/>
      <c r="L51" s="11"/>
      <c r="M51" s="11"/>
      <c r="N51" s="11"/>
      <c r="O51" s="12"/>
      <c r="P51" s="11"/>
      <c r="Q51" s="13"/>
      <c r="R51" s="14"/>
    </row>
    <row r="52" spans="1:18" ht="15" customHeight="1" x14ac:dyDescent="0.3">
      <c r="A52" s="17" t="s">
        <v>56</v>
      </c>
      <c r="B52" s="17" t="s">
        <v>57</v>
      </c>
      <c r="C52" s="18">
        <v>0.4201388888888889</v>
      </c>
      <c r="D52" s="17" t="s">
        <v>58</v>
      </c>
      <c r="E52" s="17" t="s">
        <v>59</v>
      </c>
      <c r="F52" s="17" t="s">
        <v>60</v>
      </c>
      <c r="G52" s="256"/>
      <c r="H52" s="10"/>
      <c r="I52" s="11"/>
      <c r="J52" s="11"/>
      <c r="K52" s="11"/>
      <c r="L52" s="11"/>
      <c r="M52" s="11"/>
      <c r="N52" s="11"/>
      <c r="O52" s="12"/>
      <c r="P52" s="11"/>
      <c r="Q52" s="13"/>
      <c r="R52" s="14"/>
    </row>
    <row r="53" spans="1:18" ht="15" customHeight="1" x14ac:dyDescent="0.3">
      <c r="A53" s="19" t="s">
        <v>56</v>
      </c>
      <c r="B53" s="19" t="s">
        <v>67</v>
      </c>
      <c r="C53" s="20">
        <v>8.6805555555555566E-2</v>
      </c>
      <c r="D53" s="19" t="s">
        <v>62</v>
      </c>
      <c r="E53" s="19" t="s">
        <v>52</v>
      </c>
      <c r="F53" s="19" t="s">
        <v>64</v>
      </c>
      <c r="G53" s="256"/>
      <c r="H53" s="10"/>
      <c r="I53" s="11"/>
      <c r="J53" s="11"/>
      <c r="K53" s="11"/>
      <c r="L53" s="11"/>
      <c r="M53" s="11"/>
      <c r="N53" s="11"/>
      <c r="O53" s="12"/>
      <c r="P53" s="11"/>
      <c r="Q53" s="13"/>
      <c r="R53" s="14"/>
    </row>
    <row r="54" spans="1:18" ht="15" customHeight="1" x14ac:dyDescent="0.3">
      <c r="A54" s="15" t="s">
        <v>56</v>
      </c>
      <c r="B54" s="15" t="s">
        <v>67</v>
      </c>
      <c r="C54" s="16">
        <v>8.6805555555555566E-2</v>
      </c>
      <c r="D54" s="15" t="s">
        <v>58</v>
      </c>
      <c r="E54" s="15" t="s">
        <v>101</v>
      </c>
      <c r="F54" s="15" t="s">
        <v>66</v>
      </c>
      <c r="G54" s="256"/>
      <c r="H54" s="10"/>
      <c r="I54" s="11"/>
      <c r="J54" s="11"/>
      <c r="K54" s="11"/>
      <c r="L54" s="11"/>
      <c r="M54" s="11"/>
      <c r="N54" s="11"/>
      <c r="O54" s="12"/>
      <c r="P54" s="11"/>
      <c r="Q54" s="13"/>
      <c r="R54" s="14"/>
    </row>
    <row r="55" spans="1:18" ht="15" customHeight="1" x14ac:dyDescent="0.3">
      <c r="A55" s="19" t="s">
        <v>56</v>
      </c>
      <c r="B55" s="19" t="s">
        <v>68</v>
      </c>
      <c r="C55" s="20">
        <v>0.60416666666666663</v>
      </c>
      <c r="D55" s="19" t="s">
        <v>62</v>
      </c>
      <c r="E55" s="19" t="s">
        <v>78</v>
      </c>
      <c r="F55" s="19" t="s">
        <v>70</v>
      </c>
      <c r="G55" s="256"/>
      <c r="H55" s="10"/>
      <c r="I55" s="11"/>
      <c r="J55" s="11"/>
      <c r="K55" s="11"/>
      <c r="L55" s="11"/>
      <c r="M55" s="11"/>
      <c r="N55" s="11"/>
      <c r="O55" s="12"/>
      <c r="P55" s="11"/>
      <c r="Q55" s="13"/>
      <c r="R55" s="14"/>
    </row>
    <row r="56" spans="1:18" ht="15" customHeight="1" x14ac:dyDescent="0.3">
      <c r="A56" s="15" t="s">
        <v>56</v>
      </c>
      <c r="B56" s="15" t="s">
        <v>68</v>
      </c>
      <c r="C56" s="16">
        <v>0.60416666666666663</v>
      </c>
      <c r="D56" s="15" t="s">
        <v>58</v>
      </c>
      <c r="E56" s="15" t="s">
        <v>80</v>
      </c>
      <c r="F56" s="15" t="s">
        <v>72</v>
      </c>
      <c r="G56" s="256"/>
      <c r="H56" s="10"/>
      <c r="I56" s="11"/>
      <c r="J56" s="11"/>
      <c r="K56" s="11"/>
      <c r="L56" s="11"/>
      <c r="M56" s="11"/>
      <c r="N56" s="11"/>
      <c r="O56" s="12"/>
      <c r="P56" s="11"/>
      <c r="Q56" s="13"/>
      <c r="R56" s="14"/>
    </row>
    <row r="57" spans="1:18" ht="15" customHeight="1" x14ac:dyDescent="0.3">
      <c r="A57" s="19" t="s">
        <v>56</v>
      </c>
      <c r="B57" s="19" t="s">
        <v>61</v>
      </c>
      <c r="C57" s="20">
        <v>0.79513888888888884</v>
      </c>
      <c r="D57" s="19" t="s">
        <v>62</v>
      </c>
      <c r="E57" s="19" t="s">
        <v>78</v>
      </c>
      <c r="F57" s="19" t="s">
        <v>70</v>
      </c>
      <c r="G57" s="256"/>
      <c r="H57" s="10"/>
      <c r="I57" s="11"/>
      <c r="J57" s="11"/>
      <c r="K57" s="11"/>
      <c r="L57" s="11"/>
      <c r="M57" s="11"/>
      <c r="N57" s="11"/>
      <c r="O57" s="12"/>
      <c r="P57" s="11"/>
      <c r="Q57" s="13"/>
      <c r="R57" s="14"/>
    </row>
    <row r="58" spans="1:18" ht="15" customHeight="1" x14ac:dyDescent="0.3">
      <c r="A58" s="15" t="s">
        <v>56</v>
      </c>
      <c r="B58" s="15" t="s">
        <v>61</v>
      </c>
      <c r="C58" s="16">
        <v>0.79513888888888884</v>
      </c>
      <c r="D58" s="15" t="s">
        <v>58</v>
      </c>
      <c r="E58" s="15" t="s">
        <v>80</v>
      </c>
      <c r="F58" s="15" t="s">
        <v>72</v>
      </c>
      <c r="G58" s="256"/>
      <c r="H58" s="10"/>
      <c r="I58" s="11"/>
      <c r="J58" s="11"/>
      <c r="K58" s="11"/>
      <c r="L58" s="11"/>
      <c r="M58" s="11"/>
      <c r="N58" s="11"/>
      <c r="O58" s="12"/>
      <c r="P58" s="11"/>
      <c r="Q58" s="13"/>
      <c r="R58" s="14"/>
    </row>
    <row r="59" spans="1:18" ht="15" customHeight="1" x14ac:dyDescent="0.3">
      <c r="A59" s="17" t="s">
        <v>46</v>
      </c>
      <c r="B59" s="17" t="s">
        <v>53</v>
      </c>
      <c r="C59" s="18">
        <v>0.22222222222222221</v>
      </c>
      <c r="D59" s="17" t="s">
        <v>48</v>
      </c>
      <c r="E59" s="17" t="s">
        <v>89</v>
      </c>
      <c r="F59" s="17" t="s">
        <v>55</v>
      </c>
      <c r="G59" s="256"/>
      <c r="H59" s="10"/>
      <c r="I59" s="11"/>
      <c r="J59" s="11"/>
      <c r="K59" s="11"/>
      <c r="L59" s="11"/>
      <c r="M59" s="11"/>
      <c r="N59" s="11"/>
      <c r="O59" s="12"/>
      <c r="P59" s="11"/>
      <c r="Q59" s="13"/>
      <c r="R59" s="14"/>
    </row>
    <row r="60" spans="1:18" ht="15" customHeight="1" x14ac:dyDescent="0.3">
      <c r="A60" s="46" t="s">
        <v>93</v>
      </c>
      <c r="B60" s="46" t="s">
        <v>94</v>
      </c>
      <c r="C60" s="47">
        <v>0.90277777777777779</v>
      </c>
      <c r="D60" s="46" t="s">
        <v>95</v>
      </c>
      <c r="E60" s="48"/>
      <c r="F60" s="46" t="s">
        <v>96</v>
      </c>
      <c r="G60" s="257"/>
      <c r="H60" s="49" t="s">
        <v>94</v>
      </c>
      <c r="I60" s="50">
        <v>1</v>
      </c>
      <c r="J60" s="51">
        <v>179</v>
      </c>
      <c r="K60" s="52" t="s">
        <v>102</v>
      </c>
      <c r="L60" s="51">
        <v>2</v>
      </c>
      <c r="M60" s="51">
        <v>0</v>
      </c>
      <c r="N60" s="51">
        <v>0</v>
      </c>
      <c r="O60" s="53" t="s">
        <v>98</v>
      </c>
      <c r="P60" s="54">
        <v>0.90277777777777779</v>
      </c>
      <c r="Q60" s="51">
        <v>179</v>
      </c>
      <c r="R60" s="55" t="s">
        <v>103</v>
      </c>
    </row>
  </sheetData>
  <mergeCells count="18">
    <mergeCell ref="G46:G60"/>
    <mergeCell ref="H4:R4"/>
    <mergeCell ref="G6:G22"/>
    <mergeCell ref="H44:R44"/>
    <mergeCell ref="N1:R1"/>
    <mergeCell ref="A44:F44"/>
    <mergeCell ref="H24:R24"/>
    <mergeCell ref="H1:L1"/>
    <mergeCell ref="A1:E1"/>
    <mergeCell ref="G2:J2"/>
    <mergeCell ref="K2:R2"/>
    <mergeCell ref="A4:F4"/>
    <mergeCell ref="A23:R23"/>
    <mergeCell ref="A24:F24"/>
    <mergeCell ref="A2:F2"/>
    <mergeCell ref="A3:R3"/>
    <mergeCell ref="A43:R43"/>
    <mergeCell ref="G26:G4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4"/>
  <sheetViews>
    <sheetView workbookViewId="0"/>
  </sheetViews>
  <sheetFormatPr defaultRowHeight="15.6" outlineLevelCol="1" x14ac:dyDescent="0.3"/>
  <cols>
    <col min="1" max="1" width="11.6640625" style="271" bestFit="1" customWidth="1"/>
    <col min="2" max="2" width="11.109375" style="271" bestFit="1" customWidth="1"/>
    <col min="3" max="3" width="7.88671875" style="271" bestFit="1" customWidth="1"/>
    <col min="4" max="4" width="6.77734375" style="271" bestFit="1" customWidth="1"/>
    <col min="5" max="5" width="9.77734375" style="271" bestFit="1" customWidth="1"/>
    <col min="6" max="6" width="5.21875" style="271" bestFit="1" customWidth="1"/>
    <col min="7" max="7" width="11.5546875" style="271" bestFit="1" customWidth="1"/>
    <col min="8" max="8" width="7" style="271" bestFit="1" customWidth="1"/>
    <col min="9" max="10" width="8" style="271" bestFit="1" customWidth="1"/>
    <col min="11" max="11" width="12.21875" style="271" bestFit="1" customWidth="1"/>
    <col min="12" max="12" width="21.21875" style="271" bestFit="1" customWidth="1"/>
    <col min="13" max="13" width="8.77734375" style="271" bestFit="1" customWidth="1" outlineLevel="1"/>
    <col min="14" max="14" width="7.33203125" style="271" bestFit="1" customWidth="1" outlineLevel="1"/>
    <col min="15" max="15" width="9.109375" style="271" bestFit="1" customWidth="1" outlineLevel="1"/>
    <col min="16" max="16" width="15.33203125" style="271" bestFit="1" customWidth="1"/>
    <col min="17" max="20" width="3.88671875" style="271" bestFit="1" customWidth="1"/>
    <col min="21" max="21" width="4.33203125" style="271" bestFit="1" customWidth="1"/>
    <col min="22" max="22" width="4" style="271" bestFit="1" customWidth="1"/>
    <col min="23" max="24" width="3.88671875" style="271" bestFit="1" customWidth="1"/>
    <col min="25" max="25" width="5.33203125" style="271" bestFit="1" customWidth="1"/>
    <col min="26" max="26" width="4.88671875" style="271" bestFit="1" customWidth="1"/>
    <col min="27" max="28" width="3.88671875" style="271" bestFit="1" customWidth="1"/>
    <col min="29" max="29" width="5.109375" style="271" bestFit="1" customWidth="1"/>
    <col min="30" max="31" width="4.21875" style="271" bestFit="1" customWidth="1"/>
    <col min="32" max="32" width="4.44140625" style="271" bestFit="1" customWidth="1"/>
    <col min="33" max="34" width="3.88671875" style="271" bestFit="1" customWidth="1"/>
    <col min="35" max="35" width="6.21875" style="271" bestFit="1" customWidth="1"/>
    <col min="36" max="36" width="4.21875" style="271" bestFit="1" customWidth="1"/>
    <col min="37" max="16384" width="8.88671875" style="271"/>
  </cols>
  <sheetData>
    <row r="1" spans="1:36" x14ac:dyDescent="0.3">
      <c r="A1" s="270" t="s">
        <v>104</v>
      </c>
      <c r="B1" s="270" t="s">
        <v>105</v>
      </c>
      <c r="C1" s="270" t="s">
        <v>106</v>
      </c>
      <c r="D1" s="270" t="s">
        <v>23</v>
      </c>
      <c r="E1" s="270" t="s">
        <v>107</v>
      </c>
      <c r="F1" s="270" t="s">
        <v>108</v>
      </c>
      <c r="G1" s="270" t="s">
        <v>16</v>
      </c>
      <c r="H1" s="270" t="s">
        <v>109</v>
      </c>
      <c r="I1" s="270" t="s">
        <v>110</v>
      </c>
      <c r="J1" s="270" t="s">
        <v>111</v>
      </c>
      <c r="K1" s="270" t="s">
        <v>112</v>
      </c>
      <c r="L1" s="270" t="s">
        <v>18</v>
      </c>
      <c r="M1" s="270" t="s">
        <v>20</v>
      </c>
      <c r="N1" s="270" t="s">
        <v>21</v>
      </c>
      <c r="O1" s="270" t="s">
        <v>19</v>
      </c>
      <c r="P1" s="270" t="s">
        <v>22</v>
      </c>
      <c r="Q1" s="270" t="s">
        <v>113</v>
      </c>
      <c r="R1" s="270" t="s">
        <v>114</v>
      </c>
      <c r="S1" s="270" t="s">
        <v>115</v>
      </c>
      <c r="T1" s="270" t="s">
        <v>116</v>
      </c>
      <c r="U1" s="270" t="s">
        <v>117</v>
      </c>
      <c r="V1" s="270" t="s">
        <v>118</v>
      </c>
      <c r="W1" s="270" t="s">
        <v>119</v>
      </c>
      <c r="X1" s="270" t="s">
        <v>120</v>
      </c>
      <c r="Y1" s="270" t="s">
        <v>121</v>
      </c>
      <c r="Z1" s="270" t="s">
        <v>122</v>
      </c>
      <c r="AA1" s="270" t="s">
        <v>123</v>
      </c>
      <c r="AB1" s="270" t="s">
        <v>124</v>
      </c>
      <c r="AC1" s="270" t="s">
        <v>125</v>
      </c>
      <c r="AD1" s="270" t="s">
        <v>126</v>
      </c>
      <c r="AE1" s="270" t="s">
        <v>127</v>
      </c>
      <c r="AF1" s="270" t="s">
        <v>128</v>
      </c>
      <c r="AG1" s="270" t="s">
        <v>129</v>
      </c>
      <c r="AH1" s="270" t="s">
        <v>130</v>
      </c>
      <c r="AI1" s="270" t="s">
        <v>131</v>
      </c>
      <c r="AJ1" s="270" t="s">
        <v>132</v>
      </c>
    </row>
    <row r="2" spans="1:36" x14ac:dyDescent="0.3">
      <c r="A2" s="272" t="s">
        <v>133</v>
      </c>
      <c r="B2" s="273">
        <v>45983</v>
      </c>
      <c r="C2" s="274" t="s">
        <v>94</v>
      </c>
      <c r="D2" s="275" t="s">
        <v>134</v>
      </c>
      <c r="E2" s="274" t="s">
        <v>1</v>
      </c>
      <c r="F2" s="274" t="s">
        <v>135</v>
      </c>
      <c r="G2" s="276">
        <v>1</v>
      </c>
      <c r="H2" s="277">
        <v>179</v>
      </c>
      <c r="I2" s="277">
        <v>179</v>
      </c>
      <c r="J2" s="277">
        <v>130</v>
      </c>
      <c r="K2" s="274" t="s">
        <v>136</v>
      </c>
      <c r="L2" s="278" t="s">
        <v>97</v>
      </c>
      <c r="M2" s="277">
        <v>0</v>
      </c>
      <c r="N2" s="277">
        <v>0</v>
      </c>
      <c r="O2" s="277">
        <v>1</v>
      </c>
      <c r="P2" s="274" t="s">
        <v>98</v>
      </c>
      <c r="Q2" s="270"/>
      <c r="R2" s="270"/>
      <c r="S2" s="270"/>
      <c r="T2" s="270"/>
      <c r="U2" s="277" t="s">
        <v>137</v>
      </c>
      <c r="V2" s="270"/>
      <c r="W2" s="270"/>
      <c r="X2" s="270"/>
      <c r="Y2" s="270"/>
      <c r="Z2" s="270"/>
      <c r="AA2" s="270"/>
      <c r="AB2" s="277" t="s">
        <v>138</v>
      </c>
      <c r="AC2" s="277" t="s">
        <v>139</v>
      </c>
      <c r="AD2" s="277" t="s">
        <v>140</v>
      </c>
      <c r="AE2" s="277" t="s">
        <v>141</v>
      </c>
      <c r="AF2" s="277" t="s">
        <v>142</v>
      </c>
      <c r="AG2" s="270"/>
      <c r="AH2" s="270"/>
      <c r="AI2" s="277" t="s">
        <v>143</v>
      </c>
      <c r="AJ2" s="277" t="s">
        <v>144</v>
      </c>
    </row>
    <row r="3" spans="1:36" x14ac:dyDescent="0.3">
      <c r="A3" s="272" t="s">
        <v>145</v>
      </c>
      <c r="B3" s="273">
        <v>45984</v>
      </c>
      <c r="C3" s="274" t="s">
        <v>94</v>
      </c>
      <c r="D3" s="275" t="s">
        <v>146</v>
      </c>
      <c r="E3" s="274" t="s">
        <v>1</v>
      </c>
      <c r="F3" s="274" t="s">
        <v>135</v>
      </c>
      <c r="G3" s="276">
        <v>1</v>
      </c>
      <c r="H3" s="277">
        <v>179</v>
      </c>
      <c r="I3" s="277">
        <v>179</v>
      </c>
      <c r="J3" s="277">
        <v>86</v>
      </c>
      <c r="K3" s="274" t="s">
        <v>136</v>
      </c>
      <c r="L3" s="278" t="s">
        <v>102</v>
      </c>
      <c r="M3" s="277">
        <v>0</v>
      </c>
      <c r="N3" s="277">
        <v>0</v>
      </c>
      <c r="O3" s="277">
        <v>2</v>
      </c>
      <c r="P3" s="274" t="s">
        <v>98</v>
      </c>
      <c r="Q3" s="270"/>
      <c r="R3" s="270"/>
      <c r="S3" s="270"/>
      <c r="T3" s="270"/>
      <c r="U3" s="270"/>
      <c r="V3" s="277" t="s">
        <v>147</v>
      </c>
      <c r="W3" s="270"/>
      <c r="X3" s="270"/>
      <c r="Y3" s="277" t="s">
        <v>148</v>
      </c>
      <c r="Z3" s="277" t="s">
        <v>149</v>
      </c>
      <c r="AA3" s="270"/>
      <c r="AB3" s="277" t="s">
        <v>150</v>
      </c>
      <c r="AC3" s="277" t="s">
        <v>151</v>
      </c>
      <c r="AD3" s="277" t="s">
        <v>152</v>
      </c>
      <c r="AE3" s="277" t="s">
        <v>153</v>
      </c>
      <c r="AF3" s="277" t="s">
        <v>142</v>
      </c>
      <c r="AG3" s="270"/>
      <c r="AH3" s="270"/>
      <c r="AI3" s="277" t="s">
        <v>154</v>
      </c>
      <c r="AJ3" s="277" t="s">
        <v>155</v>
      </c>
    </row>
    <row r="4" spans="1:36" ht="21" x14ac:dyDescent="0.3">
      <c r="A4" s="279" t="s">
        <v>946</v>
      </c>
      <c r="B4" s="280"/>
      <c r="C4" s="279">
        <f>SUBTOTAL(103,MED_CAI_LF_LEGACY[Flt])</f>
        <v>2</v>
      </c>
      <c r="D4" s="279"/>
      <c r="E4" s="279">
        <f>SUBTOTAL(103,MED_CAI_LF_LEGACY[Brd-Off])</f>
        <v>2</v>
      </c>
      <c r="F4" s="279"/>
      <c r="G4" s="281">
        <f>SUBTOTAL(101,MED_CAI_LF_LEGACY[LF%])</f>
        <v>1</v>
      </c>
      <c r="H4" s="282">
        <f>SUBTOTAL(109,MED_CAI_LF_LEGACY[CAP])</f>
        <v>358</v>
      </c>
      <c r="I4" s="282">
        <f>SUBTOTAL(109,MED_CAI_LF_LEGACY[BKG(Y)])</f>
        <v>358</v>
      </c>
      <c r="J4" s="282">
        <f>SUBTOTAL(109,MED_CAI_LF_LEGACY[GRP(Y)])</f>
        <v>216</v>
      </c>
      <c r="K4" s="279"/>
      <c r="L4" s="280"/>
      <c r="M4" s="282">
        <f>SUBTOTAL(109,MED_CAI_LF_LEGACY[TO-DAY])</f>
        <v>0</v>
      </c>
      <c r="N4" s="282">
        <f>SUBTOTAL(109,MED_CAI_LF_LEGACY[Y-DAY])</f>
        <v>0</v>
      </c>
      <c r="O4" s="282">
        <f>SUBTOTAL(109,MED_CAI_LF_LEGACY[WEEKLY])</f>
        <v>3</v>
      </c>
      <c r="P4" s="283"/>
      <c r="Q4" s="279">
        <f>SUBTOTAL(109,MED_CAI_LF_LEGACY[Y])</f>
        <v>0</v>
      </c>
      <c r="R4" s="279">
        <f>SUBTOTAL(109,MED_CAI_LF_LEGACY[B])</f>
        <v>0</v>
      </c>
      <c r="S4" s="279">
        <f>SUBTOTAL(109,MED_CAI_LF_LEGACY[M])</f>
        <v>0</v>
      </c>
      <c r="T4" s="279">
        <f>SUBTOTAL(109,MED_CAI_LF_LEGACY[H])</f>
        <v>0</v>
      </c>
      <c r="U4" s="279">
        <f>SUBTOTAL(109,MED_CAI_LF_LEGACY[Q])</f>
        <v>0</v>
      </c>
      <c r="V4" s="282">
        <f>SUBTOTAL(109,MED_CAI_LF_LEGACY[K])</f>
        <v>0</v>
      </c>
      <c r="W4" s="279">
        <f>SUBTOTAL(109,MED_CAI_LF_LEGACY[V])</f>
        <v>0</v>
      </c>
      <c r="X4" s="279">
        <f>SUBTOTAL(109,MED_CAI_LF_LEGACY[L])</f>
        <v>0</v>
      </c>
      <c r="Y4" s="282">
        <f>SUBTOTAL(109,MED_CAI_LF_LEGACY[G])</f>
        <v>0</v>
      </c>
      <c r="Z4" s="282">
        <f>SUBTOTAL(109,MED_CAI_LF_LEGACY[S])</f>
        <v>0</v>
      </c>
      <c r="AA4" s="279">
        <f>SUBTOTAL(109,MED_CAI_LF_LEGACY[W])</f>
        <v>0</v>
      </c>
      <c r="AB4" s="282">
        <f>SUBTOTAL(109,MED_CAI_LF_LEGACY[T])</f>
        <v>0</v>
      </c>
      <c r="AC4" s="282">
        <f>SUBTOTAL(109,MED_CAI_LF_LEGACY[X])</f>
        <v>0</v>
      </c>
      <c r="AD4" s="282">
        <f>SUBTOTAL(109,MED_CAI_LF_LEGACY[U])</f>
        <v>0</v>
      </c>
      <c r="AE4" s="282">
        <f>SUBTOTAL(109,MED_CAI_LF_LEGACY[O])</f>
        <v>0</v>
      </c>
      <c r="AF4" s="282">
        <f>SUBTOTAL(109,MED_CAI_LF_LEGACY[I])</f>
        <v>0</v>
      </c>
      <c r="AG4" s="279">
        <f>SUBTOTAL(109,MED_CAI_LF_LEGACY[E])</f>
        <v>0</v>
      </c>
      <c r="AH4" s="279">
        <f>SUBTOTAL(109,MED_CAI_LF_LEGACY[A])</f>
        <v>0</v>
      </c>
      <c r="AI4" s="282">
        <f>SUBTOTAL(109,MED_CAI_LF_LEGACY[P])</f>
        <v>0</v>
      </c>
      <c r="AJ4" s="279">
        <f>SUBTOTAL(103,MED_CAI_LF_LEGACY[N])</f>
        <v>2</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50"/>
  <sheetViews>
    <sheetView workbookViewId="0"/>
  </sheetViews>
  <sheetFormatPr defaultRowHeight="14.4" x14ac:dyDescent="0.3"/>
  <cols>
    <col min="1" max="1" width="11.88671875" bestFit="1" customWidth="1"/>
    <col min="2" max="2" width="13.7773437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0" hidden="1" customWidth="1"/>
  </cols>
  <sheetData>
    <row r="1" spans="1:8" ht="18" x14ac:dyDescent="0.3">
      <c r="A1" s="57" t="s">
        <v>156</v>
      </c>
      <c r="B1" s="58" t="s">
        <v>8</v>
      </c>
      <c r="C1" s="58" t="s">
        <v>9</v>
      </c>
      <c r="D1" s="58" t="s">
        <v>157</v>
      </c>
      <c r="E1" s="58" t="s">
        <v>10</v>
      </c>
      <c r="F1" s="58" t="s">
        <v>11</v>
      </c>
      <c r="G1" s="58" t="s">
        <v>12</v>
      </c>
      <c r="H1" s="59" t="s">
        <v>13</v>
      </c>
    </row>
    <row r="2" spans="1:8" ht="19.8" customHeight="1" x14ac:dyDescent="0.3">
      <c r="A2" s="60" t="s">
        <v>158</v>
      </c>
      <c r="B2" s="61" t="s">
        <v>26</v>
      </c>
      <c r="C2" s="62" t="s">
        <v>27</v>
      </c>
      <c r="D2" s="61" t="s">
        <v>1</v>
      </c>
      <c r="E2" s="61" t="s">
        <v>159</v>
      </c>
      <c r="F2" s="61" t="s">
        <v>28</v>
      </c>
      <c r="G2" s="63">
        <v>9</v>
      </c>
      <c r="H2" s="64">
        <v>559</v>
      </c>
    </row>
    <row r="3" spans="1:8" ht="19.8" customHeight="1" x14ac:dyDescent="0.3">
      <c r="A3" s="60" t="s">
        <v>158</v>
      </c>
      <c r="B3" s="61" t="s">
        <v>36</v>
      </c>
      <c r="C3" s="62" t="s">
        <v>37</v>
      </c>
      <c r="D3" s="61" t="s">
        <v>1</v>
      </c>
      <c r="E3" s="61" t="s">
        <v>160</v>
      </c>
      <c r="F3" s="61" t="s">
        <v>38</v>
      </c>
      <c r="G3" s="63">
        <v>23</v>
      </c>
      <c r="H3" s="64">
        <v>619</v>
      </c>
    </row>
    <row r="4" spans="1:8" ht="19.8" customHeight="1" x14ac:dyDescent="0.3">
      <c r="A4" s="60" t="s">
        <v>158</v>
      </c>
      <c r="B4" s="61" t="s">
        <v>26</v>
      </c>
      <c r="C4" s="62" t="s">
        <v>27</v>
      </c>
      <c r="D4" s="61" t="s">
        <v>1</v>
      </c>
      <c r="E4" s="61" t="s">
        <v>159</v>
      </c>
      <c r="F4" s="61" t="s">
        <v>31</v>
      </c>
      <c r="G4" s="63">
        <v>9</v>
      </c>
      <c r="H4" s="64">
        <v>659</v>
      </c>
    </row>
    <row r="5" spans="1:8" ht="19.8" customHeight="1" x14ac:dyDescent="0.3">
      <c r="A5" s="60" t="s">
        <v>158</v>
      </c>
      <c r="B5" s="61" t="s">
        <v>26</v>
      </c>
      <c r="C5" s="62" t="s">
        <v>27</v>
      </c>
      <c r="D5" s="61" t="s">
        <v>1</v>
      </c>
      <c r="E5" s="61" t="s">
        <v>159</v>
      </c>
      <c r="F5" s="61" t="s">
        <v>34</v>
      </c>
      <c r="G5" s="63">
        <v>9</v>
      </c>
      <c r="H5" s="64">
        <v>749</v>
      </c>
    </row>
    <row r="6" spans="1:8" ht="19.8" customHeight="1" x14ac:dyDescent="0.3">
      <c r="A6" s="60" t="s">
        <v>158</v>
      </c>
      <c r="B6" s="61" t="s">
        <v>36</v>
      </c>
      <c r="C6" s="62" t="s">
        <v>37</v>
      </c>
      <c r="D6" s="61" t="s">
        <v>1</v>
      </c>
      <c r="E6" s="61" t="s">
        <v>160</v>
      </c>
      <c r="F6" s="61" t="s">
        <v>41</v>
      </c>
      <c r="G6" s="63">
        <v>23</v>
      </c>
      <c r="H6" s="64">
        <v>769</v>
      </c>
    </row>
    <row r="7" spans="1:8" ht="19.8" customHeight="1" x14ac:dyDescent="0.3">
      <c r="A7" s="60" t="s">
        <v>158</v>
      </c>
      <c r="B7" s="61" t="s">
        <v>46</v>
      </c>
      <c r="C7" s="62" t="s">
        <v>47</v>
      </c>
      <c r="D7" s="61" t="s">
        <v>1</v>
      </c>
      <c r="E7" s="61" t="s">
        <v>161</v>
      </c>
      <c r="F7" s="61" t="s">
        <v>48</v>
      </c>
      <c r="G7" s="63">
        <v>9</v>
      </c>
      <c r="H7" s="64">
        <v>962</v>
      </c>
    </row>
    <row r="8" spans="1:8" ht="19.8" customHeight="1" x14ac:dyDescent="0.3">
      <c r="A8" s="60" t="s">
        <v>158</v>
      </c>
      <c r="B8" s="61" t="s">
        <v>46</v>
      </c>
      <c r="C8" s="62" t="s">
        <v>51</v>
      </c>
      <c r="D8" s="61" t="s">
        <v>1</v>
      </c>
      <c r="E8" s="61" t="s">
        <v>162</v>
      </c>
      <c r="F8" s="61" t="s">
        <v>48</v>
      </c>
      <c r="G8" s="63">
        <v>9</v>
      </c>
      <c r="H8" s="64">
        <v>962</v>
      </c>
    </row>
    <row r="9" spans="1:8" ht="19.8" customHeight="1" x14ac:dyDescent="0.3">
      <c r="A9" s="60" t="s">
        <v>158</v>
      </c>
      <c r="B9" s="61" t="s">
        <v>46</v>
      </c>
      <c r="C9" s="62" t="s">
        <v>53</v>
      </c>
      <c r="D9" s="61" t="s">
        <v>1</v>
      </c>
      <c r="E9" s="61" t="s">
        <v>163</v>
      </c>
      <c r="F9" s="61" t="s">
        <v>48</v>
      </c>
      <c r="G9" s="63">
        <v>9</v>
      </c>
      <c r="H9" s="64">
        <v>962</v>
      </c>
    </row>
    <row r="10" spans="1:8" ht="19.8" customHeight="1" x14ac:dyDescent="0.3">
      <c r="A10" s="60" t="s">
        <v>158</v>
      </c>
      <c r="B10" s="61" t="s">
        <v>36</v>
      </c>
      <c r="C10" s="62" t="s">
        <v>37</v>
      </c>
      <c r="D10" s="61" t="s">
        <v>1</v>
      </c>
      <c r="E10" s="61" t="s">
        <v>160</v>
      </c>
      <c r="F10" s="61" t="s">
        <v>44</v>
      </c>
      <c r="G10" s="63">
        <v>23</v>
      </c>
      <c r="H10" s="65" t="s">
        <v>45</v>
      </c>
    </row>
    <row r="11" spans="1:8" ht="19.8" customHeight="1" x14ac:dyDescent="0.3">
      <c r="A11" s="60" t="s">
        <v>158</v>
      </c>
      <c r="B11" s="61" t="s">
        <v>56</v>
      </c>
      <c r="C11" s="62" t="s">
        <v>57</v>
      </c>
      <c r="D11" s="61" t="s">
        <v>1</v>
      </c>
      <c r="E11" s="61" t="s">
        <v>160</v>
      </c>
      <c r="F11" s="61" t="s">
        <v>58</v>
      </c>
      <c r="G11" s="63">
        <v>4</v>
      </c>
      <c r="H11" s="65" t="s">
        <v>60</v>
      </c>
    </row>
    <row r="12" spans="1:8" ht="19.8" customHeight="1" x14ac:dyDescent="0.3">
      <c r="A12" s="60" t="s">
        <v>158</v>
      </c>
      <c r="B12" s="61" t="s">
        <v>46</v>
      </c>
      <c r="C12" s="62" t="s">
        <v>54</v>
      </c>
      <c r="D12" s="61" t="s">
        <v>1</v>
      </c>
      <c r="E12" s="61" t="s">
        <v>164</v>
      </c>
      <c r="F12" s="61" t="s">
        <v>48</v>
      </c>
      <c r="G12" s="63">
        <v>9</v>
      </c>
      <c r="H12" s="65" t="s">
        <v>55</v>
      </c>
    </row>
    <row r="13" spans="1:8" ht="19.8" customHeight="1" x14ac:dyDescent="0.3">
      <c r="A13" s="60" t="s">
        <v>158</v>
      </c>
      <c r="B13" s="61" t="s">
        <v>56</v>
      </c>
      <c r="C13" s="62" t="s">
        <v>61</v>
      </c>
      <c r="D13" s="61" t="s">
        <v>1</v>
      </c>
      <c r="E13" s="61" t="s">
        <v>165</v>
      </c>
      <c r="F13" s="61" t="s">
        <v>62</v>
      </c>
      <c r="G13" s="63">
        <v>6</v>
      </c>
      <c r="H13" s="65" t="s">
        <v>64</v>
      </c>
    </row>
    <row r="14" spans="1:8" ht="19.8" customHeight="1" x14ac:dyDescent="0.3">
      <c r="A14" s="60" t="s">
        <v>158</v>
      </c>
      <c r="B14" s="61" t="s">
        <v>56</v>
      </c>
      <c r="C14" s="62" t="s">
        <v>67</v>
      </c>
      <c r="D14" s="61" t="s">
        <v>1</v>
      </c>
      <c r="E14" s="61" t="s">
        <v>166</v>
      </c>
      <c r="F14" s="61" t="s">
        <v>62</v>
      </c>
      <c r="G14" s="63">
        <v>6</v>
      </c>
      <c r="H14" s="65" t="s">
        <v>64</v>
      </c>
    </row>
    <row r="15" spans="1:8" ht="19.8" customHeight="1" x14ac:dyDescent="0.3">
      <c r="A15" s="60" t="s">
        <v>158</v>
      </c>
      <c r="B15" s="61" t="s">
        <v>56</v>
      </c>
      <c r="C15" s="62" t="s">
        <v>61</v>
      </c>
      <c r="D15" s="61" t="s">
        <v>1</v>
      </c>
      <c r="E15" s="61" t="s">
        <v>165</v>
      </c>
      <c r="F15" s="61" t="s">
        <v>58</v>
      </c>
      <c r="G15" s="63">
        <v>6</v>
      </c>
      <c r="H15" s="65" t="s">
        <v>66</v>
      </c>
    </row>
    <row r="16" spans="1:8" ht="19.8" customHeight="1" x14ac:dyDescent="0.3">
      <c r="A16" s="60" t="s">
        <v>158</v>
      </c>
      <c r="B16" s="61" t="s">
        <v>56</v>
      </c>
      <c r="C16" s="62" t="s">
        <v>67</v>
      </c>
      <c r="D16" s="61" t="s">
        <v>1</v>
      </c>
      <c r="E16" s="61" t="s">
        <v>166</v>
      </c>
      <c r="F16" s="61" t="s">
        <v>58</v>
      </c>
      <c r="G16" s="63">
        <v>6</v>
      </c>
      <c r="H16" s="65" t="s">
        <v>66</v>
      </c>
    </row>
    <row r="17" spans="1:8" ht="19.8" customHeight="1" x14ac:dyDescent="0.3">
      <c r="A17" s="60" t="s">
        <v>158</v>
      </c>
      <c r="B17" s="61" t="s">
        <v>56</v>
      </c>
      <c r="C17" s="62" t="s">
        <v>68</v>
      </c>
      <c r="D17" s="61" t="s">
        <v>1</v>
      </c>
      <c r="E17" s="61" t="s">
        <v>167</v>
      </c>
      <c r="F17" s="61" t="s">
        <v>62</v>
      </c>
      <c r="G17" s="63">
        <v>3</v>
      </c>
      <c r="H17" s="65" t="s">
        <v>70</v>
      </c>
    </row>
    <row r="18" spans="1:8" ht="19.8" customHeight="1" x14ac:dyDescent="0.3">
      <c r="A18" s="66" t="s">
        <v>158</v>
      </c>
      <c r="B18" s="67" t="s">
        <v>56</v>
      </c>
      <c r="C18" s="68" t="s">
        <v>68</v>
      </c>
      <c r="D18" s="67" t="s">
        <v>1</v>
      </c>
      <c r="E18" s="67" t="s">
        <v>167</v>
      </c>
      <c r="F18" s="67" t="s">
        <v>58</v>
      </c>
      <c r="G18" s="69">
        <v>3</v>
      </c>
      <c r="H18" s="70" t="s">
        <v>72</v>
      </c>
    </row>
    <row r="19" spans="1:8" ht="19.8" customHeight="1" x14ac:dyDescent="0.3">
      <c r="A19" s="60" t="s">
        <v>168</v>
      </c>
      <c r="B19" s="61" t="s">
        <v>26</v>
      </c>
      <c r="C19" s="62" t="s">
        <v>73</v>
      </c>
      <c r="D19" s="61" t="s">
        <v>1</v>
      </c>
      <c r="E19" s="61" t="s">
        <v>169</v>
      </c>
      <c r="F19" s="61" t="s">
        <v>28</v>
      </c>
      <c r="G19" s="63">
        <v>3</v>
      </c>
      <c r="H19" s="64">
        <v>609</v>
      </c>
    </row>
    <row r="20" spans="1:8" ht="19.8" customHeight="1" x14ac:dyDescent="0.3">
      <c r="A20" s="60" t="s">
        <v>168</v>
      </c>
      <c r="B20" s="61" t="s">
        <v>36</v>
      </c>
      <c r="C20" s="62" t="s">
        <v>37</v>
      </c>
      <c r="D20" s="61" t="s">
        <v>1</v>
      </c>
      <c r="E20" s="61" t="s">
        <v>160</v>
      </c>
      <c r="F20" s="61" t="s">
        <v>38</v>
      </c>
      <c r="G20" s="63">
        <v>14</v>
      </c>
      <c r="H20" s="64">
        <v>619</v>
      </c>
    </row>
    <row r="21" spans="1:8" ht="19.8" customHeight="1" x14ac:dyDescent="0.3">
      <c r="A21" s="60" t="s">
        <v>168</v>
      </c>
      <c r="B21" s="61" t="s">
        <v>26</v>
      </c>
      <c r="C21" s="62" t="s">
        <v>27</v>
      </c>
      <c r="D21" s="61" t="s">
        <v>1</v>
      </c>
      <c r="E21" s="61" t="s">
        <v>159</v>
      </c>
      <c r="F21" s="61" t="s">
        <v>28</v>
      </c>
      <c r="G21" s="63">
        <v>1</v>
      </c>
      <c r="H21" s="64">
        <v>689</v>
      </c>
    </row>
    <row r="22" spans="1:8" ht="19.8" customHeight="1" x14ac:dyDescent="0.3">
      <c r="A22" s="60" t="s">
        <v>168</v>
      </c>
      <c r="B22" s="61" t="s">
        <v>26</v>
      </c>
      <c r="C22" s="62" t="s">
        <v>73</v>
      </c>
      <c r="D22" s="61" t="s">
        <v>1</v>
      </c>
      <c r="E22" s="61" t="s">
        <v>169</v>
      </c>
      <c r="F22" s="61" t="s">
        <v>31</v>
      </c>
      <c r="G22" s="63">
        <v>3</v>
      </c>
      <c r="H22" s="64">
        <v>709</v>
      </c>
    </row>
    <row r="23" spans="1:8" ht="19.8" customHeight="1" x14ac:dyDescent="0.3">
      <c r="A23" s="60" t="s">
        <v>168</v>
      </c>
      <c r="B23" s="61" t="s">
        <v>36</v>
      </c>
      <c r="C23" s="62" t="s">
        <v>37</v>
      </c>
      <c r="D23" s="61" t="s">
        <v>1</v>
      </c>
      <c r="E23" s="61" t="s">
        <v>160</v>
      </c>
      <c r="F23" s="61" t="s">
        <v>41</v>
      </c>
      <c r="G23" s="63">
        <v>14</v>
      </c>
      <c r="H23" s="64">
        <v>769</v>
      </c>
    </row>
    <row r="24" spans="1:8" ht="19.8" customHeight="1" x14ac:dyDescent="0.3">
      <c r="A24" s="60" t="s">
        <v>168</v>
      </c>
      <c r="B24" s="61" t="s">
        <v>26</v>
      </c>
      <c r="C24" s="62" t="s">
        <v>27</v>
      </c>
      <c r="D24" s="61" t="s">
        <v>1</v>
      </c>
      <c r="E24" s="61" t="s">
        <v>159</v>
      </c>
      <c r="F24" s="61" t="s">
        <v>31</v>
      </c>
      <c r="G24" s="63">
        <v>1</v>
      </c>
      <c r="H24" s="64">
        <v>789</v>
      </c>
    </row>
    <row r="25" spans="1:8" ht="19.8" customHeight="1" x14ac:dyDescent="0.3">
      <c r="A25" s="60" t="s">
        <v>168</v>
      </c>
      <c r="B25" s="61" t="s">
        <v>26</v>
      </c>
      <c r="C25" s="62" t="s">
        <v>73</v>
      </c>
      <c r="D25" s="61" t="s">
        <v>1</v>
      </c>
      <c r="E25" s="61" t="s">
        <v>169</v>
      </c>
      <c r="F25" s="61" t="s">
        <v>34</v>
      </c>
      <c r="G25" s="63">
        <v>3</v>
      </c>
      <c r="H25" s="64">
        <v>799</v>
      </c>
    </row>
    <row r="26" spans="1:8" ht="19.8" customHeight="1" x14ac:dyDescent="0.3">
      <c r="A26" s="60" t="s">
        <v>168</v>
      </c>
      <c r="B26" s="61" t="s">
        <v>26</v>
      </c>
      <c r="C26" s="62" t="s">
        <v>27</v>
      </c>
      <c r="D26" s="61" t="s">
        <v>1</v>
      </c>
      <c r="E26" s="61" t="s">
        <v>159</v>
      </c>
      <c r="F26" s="61" t="s">
        <v>34</v>
      </c>
      <c r="G26" s="63">
        <v>1</v>
      </c>
      <c r="H26" s="64">
        <v>879</v>
      </c>
    </row>
    <row r="27" spans="1:8" ht="19.8" customHeight="1" x14ac:dyDescent="0.3">
      <c r="A27" s="60" t="s">
        <v>168</v>
      </c>
      <c r="B27" s="61" t="s">
        <v>46</v>
      </c>
      <c r="C27" s="62" t="s">
        <v>51</v>
      </c>
      <c r="D27" s="61" t="s">
        <v>1</v>
      </c>
      <c r="E27" s="61" t="s">
        <v>162</v>
      </c>
      <c r="F27" s="61" t="s">
        <v>48</v>
      </c>
      <c r="G27" s="63">
        <v>9</v>
      </c>
      <c r="H27" s="65" t="s">
        <v>86</v>
      </c>
    </row>
    <row r="28" spans="1:8" ht="19.8" customHeight="1" x14ac:dyDescent="0.3">
      <c r="A28" s="60" t="s">
        <v>168</v>
      </c>
      <c r="B28" s="61" t="s">
        <v>36</v>
      </c>
      <c r="C28" s="62" t="s">
        <v>37</v>
      </c>
      <c r="D28" s="61" t="s">
        <v>1</v>
      </c>
      <c r="E28" s="61" t="s">
        <v>160</v>
      </c>
      <c r="F28" s="61" t="s">
        <v>44</v>
      </c>
      <c r="G28" s="63">
        <v>14</v>
      </c>
      <c r="H28" s="65" t="s">
        <v>85</v>
      </c>
    </row>
    <row r="29" spans="1:8" ht="19.8" customHeight="1" x14ac:dyDescent="0.3">
      <c r="A29" s="60" t="s">
        <v>168</v>
      </c>
      <c r="B29" s="61" t="s">
        <v>46</v>
      </c>
      <c r="C29" s="62" t="s">
        <v>53</v>
      </c>
      <c r="D29" s="61" t="s">
        <v>1</v>
      </c>
      <c r="E29" s="61" t="s">
        <v>163</v>
      </c>
      <c r="F29" s="61" t="s">
        <v>48</v>
      </c>
      <c r="G29" s="63">
        <v>2</v>
      </c>
      <c r="H29" s="65" t="s">
        <v>88</v>
      </c>
    </row>
    <row r="30" spans="1:8" ht="19.8" customHeight="1" x14ac:dyDescent="0.3">
      <c r="A30" s="60" t="s">
        <v>168</v>
      </c>
      <c r="B30" s="61" t="s">
        <v>56</v>
      </c>
      <c r="C30" s="62" t="s">
        <v>67</v>
      </c>
      <c r="D30" s="61" t="s">
        <v>1</v>
      </c>
      <c r="E30" s="61" t="s">
        <v>166</v>
      </c>
      <c r="F30" s="61" t="s">
        <v>62</v>
      </c>
      <c r="G30" s="63">
        <v>1</v>
      </c>
      <c r="H30" s="65" t="s">
        <v>90</v>
      </c>
    </row>
    <row r="31" spans="1:8" ht="19.8" customHeight="1" x14ac:dyDescent="0.3">
      <c r="A31" s="60" t="s">
        <v>168</v>
      </c>
      <c r="B31" s="61" t="s">
        <v>56</v>
      </c>
      <c r="C31" s="62" t="s">
        <v>67</v>
      </c>
      <c r="D31" s="61" t="s">
        <v>1</v>
      </c>
      <c r="E31" s="61" t="s">
        <v>166</v>
      </c>
      <c r="F31" s="61" t="s">
        <v>58</v>
      </c>
      <c r="G31" s="63">
        <v>1</v>
      </c>
      <c r="H31" s="65" t="s">
        <v>91</v>
      </c>
    </row>
    <row r="32" spans="1:8" ht="19.8" customHeight="1" x14ac:dyDescent="0.3">
      <c r="A32" s="60" t="s">
        <v>168</v>
      </c>
      <c r="B32" s="61" t="s">
        <v>56</v>
      </c>
      <c r="C32" s="62" t="s">
        <v>57</v>
      </c>
      <c r="D32" s="61" t="s">
        <v>1</v>
      </c>
      <c r="E32" s="61" t="s">
        <v>160</v>
      </c>
      <c r="F32" s="61" t="s">
        <v>58</v>
      </c>
      <c r="G32" s="63">
        <v>4</v>
      </c>
      <c r="H32" s="65" t="s">
        <v>60</v>
      </c>
    </row>
    <row r="33" spans="1:8" ht="19.8" customHeight="1" x14ac:dyDescent="0.3">
      <c r="A33" s="60" t="s">
        <v>168</v>
      </c>
      <c r="B33" s="61" t="s">
        <v>56</v>
      </c>
      <c r="C33" s="62" t="s">
        <v>61</v>
      </c>
      <c r="D33" s="61" t="s">
        <v>1</v>
      </c>
      <c r="E33" s="61" t="s">
        <v>165</v>
      </c>
      <c r="F33" s="61" t="s">
        <v>62</v>
      </c>
      <c r="G33" s="63">
        <v>1</v>
      </c>
      <c r="H33" s="65" t="s">
        <v>70</v>
      </c>
    </row>
    <row r="34" spans="1:8" ht="19.8" customHeight="1" x14ac:dyDescent="0.3">
      <c r="A34" s="60" t="s">
        <v>168</v>
      </c>
      <c r="B34" s="61" t="s">
        <v>56</v>
      </c>
      <c r="C34" s="62" t="s">
        <v>61</v>
      </c>
      <c r="D34" s="61" t="s">
        <v>1</v>
      </c>
      <c r="E34" s="61" t="s">
        <v>165</v>
      </c>
      <c r="F34" s="61" t="s">
        <v>58</v>
      </c>
      <c r="G34" s="63">
        <v>1</v>
      </c>
      <c r="H34" s="65" t="s">
        <v>72</v>
      </c>
    </row>
    <row r="35" spans="1:8" ht="19.8" customHeight="1" x14ac:dyDescent="0.3">
      <c r="A35" s="71" t="s">
        <v>168</v>
      </c>
      <c r="B35" s="72" t="s">
        <v>93</v>
      </c>
      <c r="C35" s="73" t="s">
        <v>94</v>
      </c>
      <c r="D35" s="72" t="s">
        <v>1</v>
      </c>
      <c r="E35" s="72" t="s">
        <v>134</v>
      </c>
      <c r="F35" s="72" t="s">
        <v>95</v>
      </c>
      <c r="G35" s="72"/>
      <c r="H35" s="74" t="s">
        <v>96</v>
      </c>
    </row>
    <row r="36" spans="1:8" ht="19.8" customHeight="1" x14ac:dyDescent="0.3">
      <c r="A36" s="75">
        <v>45984</v>
      </c>
      <c r="B36" s="61" t="s">
        <v>36</v>
      </c>
      <c r="C36" s="62" t="s">
        <v>37</v>
      </c>
      <c r="D36" s="61" t="s">
        <v>1</v>
      </c>
      <c r="E36" s="76">
        <v>1.4201388888888891</v>
      </c>
      <c r="F36" s="61" t="s">
        <v>38</v>
      </c>
      <c r="G36" s="63">
        <v>6</v>
      </c>
      <c r="H36" s="64">
        <v>619</v>
      </c>
    </row>
    <row r="37" spans="1:8" ht="19.8" customHeight="1" x14ac:dyDescent="0.3">
      <c r="A37" s="75">
        <v>45984</v>
      </c>
      <c r="B37" s="61" t="s">
        <v>26</v>
      </c>
      <c r="C37" s="62" t="s">
        <v>27</v>
      </c>
      <c r="D37" s="61" t="s">
        <v>1</v>
      </c>
      <c r="E37" s="76">
        <v>1.756944444444444</v>
      </c>
      <c r="F37" s="61" t="s">
        <v>28</v>
      </c>
      <c r="G37" s="63">
        <v>9</v>
      </c>
      <c r="H37" s="64">
        <v>689</v>
      </c>
    </row>
    <row r="38" spans="1:8" ht="19.8" customHeight="1" x14ac:dyDescent="0.3">
      <c r="A38" s="75">
        <v>45984</v>
      </c>
      <c r="B38" s="61" t="s">
        <v>36</v>
      </c>
      <c r="C38" s="62" t="s">
        <v>37</v>
      </c>
      <c r="D38" s="61" t="s">
        <v>1</v>
      </c>
      <c r="E38" s="76">
        <v>1.4201388888888891</v>
      </c>
      <c r="F38" s="61" t="s">
        <v>41</v>
      </c>
      <c r="G38" s="63">
        <v>6</v>
      </c>
      <c r="H38" s="64">
        <v>769</v>
      </c>
    </row>
    <row r="39" spans="1:8" ht="19.8" customHeight="1" x14ac:dyDescent="0.3">
      <c r="A39" s="75">
        <v>45984</v>
      </c>
      <c r="B39" s="61" t="s">
        <v>26</v>
      </c>
      <c r="C39" s="62" t="s">
        <v>27</v>
      </c>
      <c r="D39" s="61" t="s">
        <v>1</v>
      </c>
      <c r="E39" s="76">
        <v>1.756944444444444</v>
      </c>
      <c r="F39" s="61" t="s">
        <v>31</v>
      </c>
      <c r="G39" s="63">
        <v>9</v>
      </c>
      <c r="H39" s="64">
        <v>789</v>
      </c>
    </row>
    <row r="40" spans="1:8" ht="19.8" customHeight="1" x14ac:dyDescent="0.3">
      <c r="A40" s="75">
        <v>45984</v>
      </c>
      <c r="B40" s="61" t="s">
        <v>26</v>
      </c>
      <c r="C40" s="62" t="s">
        <v>27</v>
      </c>
      <c r="D40" s="61" t="s">
        <v>1</v>
      </c>
      <c r="E40" s="76">
        <v>1.756944444444444</v>
      </c>
      <c r="F40" s="61" t="s">
        <v>34</v>
      </c>
      <c r="G40" s="63">
        <v>9</v>
      </c>
      <c r="H40" s="64">
        <v>879</v>
      </c>
    </row>
    <row r="41" spans="1:8" ht="19.8" customHeight="1" x14ac:dyDescent="0.3">
      <c r="A41" s="75">
        <v>45984</v>
      </c>
      <c r="B41" s="61" t="s">
        <v>36</v>
      </c>
      <c r="C41" s="62" t="s">
        <v>37</v>
      </c>
      <c r="D41" s="61" t="s">
        <v>1</v>
      </c>
      <c r="E41" s="76">
        <v>1.4201388888888891</v>
      </c>
      <c r="F41" s="61" t="s">
        <v>44</v>
      </c>
      <c r="G41" s="63">
        <v>6</v>
      </c>
      <c r="H41" s="65" t="s">
        <v>85</v>
      </c>
    </row>
    <row r="42" spans="1:8" ht="19.8" customHeight="1" x14ac:dyDescent="0.3">
      <c r="A42" s="75">
        <v>45984</v>
      </c>
      <c r="B42" s="61" t="s">
        <v>56</v>
      </c>
      <c r="C42" s="62" t="s">
        <v>57</v>
      </c>
      <c r="D42" s="61" t="s">
        <v>1</v>
      </c>
      <c r="E42" s="76">
        <v>1.4201388888888891</v>
      </c>
      <c r="F42" s="61" t="s">
        <v>58</v>
      </c>
      <c r="G42" s="63">
        <v>4</v>
      </c>
      <c r="H42" s="65" t="s">
        <v>60</v>
      </c>
    </row>
    <row r="43" spans="1:8" ht="19.8" customHeight="1" x14ac:dyDescent="0.3">
      <c r="A43" s="75">
        <v>45984</v>
      </c>
      <c r="B43" s="61" t="s">
        <v>46</v>
      </c>
      <c r="C43" s="62" t="s">
        <v>53</v>
      </c>
      <c r="D43" s="61" t="s">
        <v>1</v>
      </c>
      <c r="E43" s="76">
        <v>1.2222222222222221</v>
      </c>
      <c r="F43" s="61" t="s">
        <v>48</v>
      </c>
      <c r="G43" s="63">
        <v>1</v>
      </c>
      <c r="H43" s="65" t="s">
        <v>55</v>
      </c>
    </row>
    <row r="44" spans="1:8" ht="19.8" customHeight="1" x14ac:dyDescent="0.3">
      <c r="A44" s="75">
        <v>45984</v>
      </c>
      <c r="B44" s="61" t="s">
        <v>56</v>
      </c>
      <c r="C44" s="62" t="s">
        <v>67</v>
      </c>
      <c r="D44" s="61" t="s">
        <v>1</v>
      </c>
      <c r="E44" s="76">
        <v>1.086805555555556</v>
      </c>
      <c r="F44" s="61" t="s">
        <v>62</v>
      </c>
      <c r="G44" s="63">
        <v>9</v>
      </c>
      <c r="H44" s="65" t="s">
        <v>64</v>
      </c>
    </row>
    <row r="45" spans="1:8" ht="19.8" customHeight="1" x14ac:dyDescent="0.3">
      <c r="A45" s="75">
        <v>45984</v>
      </c>
      <c r="B45" s="61" t="s">
        <v>56</v>
      </c>
      <c r="C45" s="62" t="s">
        <v>67</v>
      </c>
      <c r="D45" s="61" t="s">
        <v>1</v>
      </c>
      <c r="E45" s="76">
        <v>1.086805555555556</v>
      </c>
      <c r="F45" s="61" t="s">
        <v>58</v>
      </c>
      <c r="G45" s="63">
        <v>9</v>
      </c>
      <c r="H45" s="65" t="s">
        <v>66</v>
      </c>
    </row>
    <row r="46" spans="1:8" ht="19.8" customHeight="1" x14ac:dyDescent="0.3">
      <c r="A46" s="75">
        <v>45984</v>
      </c>
      <c r="B46" s="61" t="s">
        <v>56</v>
      </c>
      <c r="C46" s="62" t="s">
        <v>68</v>
      </c>
      <c r="D46" s="61" t="s">
        <v>1</v>
      </c>
      <c r="E46" s="76">
        <v>1.604166666666667</v>
      </c>
      <c r="F46" s="61" t="s">
        <v>62</v>
      </c>
      <c r="G46" s="63">
        <v>1</v>
      </c>
      <c r="H46" s="65" t="s">
        <v>70</v>
      </c>
    </row>
    <row r="47" spans="1:8" ht="19.8" customHeight="1" x14ac:dyDescent="0.3">
      <c r="A47" s="75">
        <v>45984</v>
      </c>
      <c r="B47" s="61" t="s">
        <v>56</v>
      </c>
      <c r="C47" s="62" t="s">
        <v>61</v>
      </c>
      <c r="D47" s="61" t="s">
        <v>1</v>
      </c>
      <c r="E47" s="76">
        <v>1.7951388888888891</v>
      </c>
      <c r="F47" s="61" t="s">
        <v>62</v>
      </c>
      <c r="G47" s="63">
        <v>1</v>
      </c>
      <c r="H47" s="65" t="s">
        <v>70</v>
      </c>
    </row>
    <row r="48" spans="1:8" ht="19.8" customHeight="1" x14ac:dyDescent="0.3">
      <c r="A48" s="75">
        <v>45984</v>
      </c>
      <c r="B48" s="61" t="s">
        <v>56</v>
      </c>
      <c r="C48" s="62" t="s">
        <v>68</v>
      </c>
      <c r="D48" s="61" t="s">
        <v>1</v>
      </c>
      <c r="E48" s="76">
        <v>1.604166666666667</v>
      </c>
      <c r="F48" s="61" t="s">
        <v>58</v>
      </c>
      <c r="G48" s="63">
        <v>1</v>
      </c>
      <c r="H48" s="65" t="s">
        <v>72</v>
      </c>
    </row>
    <row r="49" spans="1:8" ht="19.8" customHeight="1" x14ac:dyDescent="0.3">
      <c r="A49" s="75">
        <v>45984</v>
      </c>
      <c r="B49" s="61" t="s">
        <v>56</v>
      </c>
      <c r="C49" s="62" t="s">
        <v>61</v>
      </c>
      <c r="D49" s="61" t="s">
        <v>1</v>
      </c>
      <c r="E49" s="76">
        <v>1.7951388888888891</v>
      </c>
      <c r="F49" s="61" t="s">
        <v>58</v>
      </c>
      <c r="G49" s="63">
        <v>1</v>
      </c>
      <c r="H49" s="65" t="s">
        <v>72</v>
      </c>
    </row>
    <row r="50" spans="1:8" ht="19.8" customHeight="1" x14ac:dyDescent="0.3">
      <c r="A50" s="77">
        <v>45984</v>
      </c>
      <c r="B50" s="72" t="s">
        <v>93</v>
      </c>
      <c r="C50" s="73" t="s">
        <v>94</v>
      </c>
      <c r="D50" s="72" t="s">
        <v>1</v>
      </c>
      <c r="E50" s="78">
        <v>1.9027777777777779</v>
      </c>
      <c r="F50" s="72" t="s">
        <v>95</v>
      </c>
      <c r="G50" s="72"/>
      <c r="H50" s="74" t="s">
        <v>96</v>
      </c>
    </row>
  </sheetData>
  <pageMargins left="0.75" right="0.75" top="1" bottom="1" header="0.5" footer="0.5"/>
  <legacyDrawing r:id="rId1"/>
  <tableParts count="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0"/>
  <sheetViews>
    <sheetView workbookViewId="0"/>
  </sheetViews>
  <sheetFormatPr defaultRowHeight="14.4" x14ac:dyDescent="0.3"/>
  <cols>
    <col min="1" max="1" width="11.88671875" bestFit="1" customWidth="1"/>
    <col min="2" max="2" width="13.7773437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0" hidden="1" customWidth="1"/>
  </cols>
  <sheetData>
    <row r="1" spans="1:8" ht="18" x14ac:dyDescent="0.3">
      <c r="A1" s="57" t="s">
        <v>156</v>
      </c>
      <c r="B1" s="58" t="s">
        <v>8</v>
      </c>
      <c r="C1" s="58" t="s">
        <v>9</v>
      </c>
      <c r="D1" s="58" t="s">
        <v>157</v>
      </c>
      <c r="E1" s="58" t="s">
        <v>10</v>
      </c>
      <c r="F1" s="58" t="s">
        <v>11</v>
      </c>
      <c r="G1" s="58" t="s">
        <v>12</v>
      </c>
      <c r="H1" s="59" t="s">
        <v>13</v>
      </c>
    </row>
    <row r="2" spans="1:8" ht="19.8" customHeight="1" x14ac:dyDescent="0.3">
      <c r="A2" s="60" t="s">
        <v>158</v>
      </c>
      <c r="B2" s="61" t="s">
        <v>26</v>
      </c>
      <c r="C2" s="62" t="s">
        <v>27</v>
      </c>
      <c r="D2" s="61" t="s">
        <v>1</v>
      </c>
      <c r="E2" s="61" t="s">
        <v>159</v>
      </c>
      <c r="F2" s="61" t="s">
        <v>28</v>
      </c>
      <c r="G2" s="63">
        <v>9</v>
      </c>
      <c r="H2" s="64">
        <v>559</v>
      </c>
    </row>
    <row r="3" spans="1:8" ht="19.8" customHeight="1" x14ac:dyDescent="0.3">
      <c r="A3" s="60" t="s">
        <v>158</v>
      </c>
      <c r="B3" s="61" t="s">
        <v>36</v>
      </c>
      <c r="C3" s="62" t="s">
        <v>37</v>
      </c>
      <c r="D3" s="61" t="s">
        <v>1</v>
      </c>
      <c r="E3" s="61" t="s">
        <v>160</v>
      </c>
      <c r="F3" s="61" t="s">
        <v>38</v>
      </c>
      <c r="G3" s="63">
        <v>23</v>
      </c>
      <c r="H3" s="64">
        <v>619</v>
      </c>
    </row>
    <row r="4" spans="1:8" ht="19.8" customHeight="1" x14ac:dyDescent="0.3">
      <c r="A4" s="60" t="s">
        <v>158</v>
      </c>
      <c r="B4" s="61" t="s">
        <v>26</v>
      </c>
      <c r="C4" s="62" t="s">
        <v>27</v>
      </c>
      <c r="D4" s="61" t="s">
        <v>1</v>
      </c>
      <c r="E4" s="61" t="s">
        <v>159</v>
      </c>
      <c r="F4" s="61" t="s">
        <v>31</v>
      </c>
      <c r="G4" s="63">
        <v>9</v>
      </c>
      <c r="H4" s="64">
        <v>659</v>
      </c>
    </row>
    <row r="5" spans="1:8" ht="19.8" customHeight="1" x14ac:dyDescent="0.3">
      <c r="A5" s="60" t="s">
        <v>158</v>
      </c>
      <c r="B5" s="61" t="s">
        <v>26</v>
      </c>
      <c r="C5" s="62" t="s">
        <v>27</v>
      </c>
      <c r="D5" s="61" t="s">
        <v>1</v>
      </c>
      <c r="E5" s="61" t="s">
        <v>159</v>
      </c>
      <c r="F5" s="61" t="s">
        <v>34</v>
      </c>
      <c r="G5" s="63">
        <v>9</v>
      </c>
      <c r="H5" s="64">
        <v>749</v>
      </c>
    </row>
    <row r="6" spans="1:8" ht="19.8" customHeight="1" x14ac:dyDescent="0.3">
      <c r="A6" s="60" t="s">
        <v>158</v>
      </c>
      <c r="B6" s="61" t="s">
        <v>36</v>
      </c>
      <c r="C6" s="62" t="s">
        <v>37</v>
      </c>
      <c r="D6" s="61" t="s">
        <v>1</v>
      </c>
      <c r="E6" s="61" t="s">
        <v>160</v>
      </c>
      <c r="F6" s="61" t="s">
        <v>41</v>
      </c>
      <c r="G6" s="63">
        <v>23</v>
      </c>
      <c r="H6" s="64">
        <v>769</v>
      </c>
    </row>
    <row r="7" spans="1:8" ht="19.8" customHeight="1" x14ac:dyDescent="0.3">
      <c r="A7" s="60" t="s">
        <v>158</v>
      </c>
      <c r="B7" s="61" t="s">
        <v>46</v>
      </c>
      <c r="C7" s="62" t="s">
        <v>47</v>
      </c>
      <c r="D7" s="61" t="s">
        <v>1</v>
      </c>
      <c r="E7" s="61" t="s">
        <v>161</v>
      </c>
      <c r="F7" s="61" t="s">
        <v>48</v>
      </c>
      <c r="G7" s="63">
        <v>9</v>
      </c>
      <c r="H7" s="64">
        <v>962</v>
      </c>
    </row>
    <row r="8" spans="1:8" ht="19.8" customHeight="1" x14ac:dyDescent="0.3">
      <c r="A8" s="60" t="s">
        <v>158</v>
      </c>
      <c r="B8" s="61" t="s">
        <v>46</v>
      </c>
      <c r="C8" s="62" t="s">
        <v>51</v>
      </c>
      <c r="D8" s="61" t="s">
        <v>1</v>
      </c>
      <c r="E8" s="61" t="s">
        <v>162</v>
      </c>
      <c r="F8" s="61" t="s">
        <v>48</v>
      </c>
      <c r="G8" s="63">
        <v>9</v>
      </c>
      <c r="H8" s="64">
        <v>962</v>
      </c>
    </row>
    <row r="9" spans="1:8" ht="19.8" customHeight="1" x14ac:dyDescent="0.3">
      <c r="A9" s="60" t="s">
        <v>158</v>
      </c>
      <c r="B9" s="61" t="s">
        <v>46</v>
      </c>
      <c r="C9" s="62" t="s">
        <v>53</v>
      </c>
      <c r="D9" s="61" t="s">
        <v>1</v>
      </c>
      <c r="E9" s="61" t="s">
        <v>163</v>
      </c>
      <c r="F9" s="61" t="s">
        <v>48</v>
      </c>
      <c r="G9" s="63">
        <v>9</v>
      </c>
      <c r="H9" s="64">
        <v>962</v>
      </c>
    </row>
    <row r="10" spans="1:8" ht="19.8" customHeight="1" x14ac:dyDescent="0.3">
      <c r="A10" s="60" t="s">
        <v>158</v>
      </c>
      <c r="B10" s="61" t="s">
        <v>36</v>
      </c>
      <c r="C10" s="62" t="s">
        <v>37</v>
      </c>
      <c r="D10" s="61" t="s">
        <v>1</v>
      </c>
      <c r="E10" s="61" t="s">
        <v>160</v>
      </c>
      <c r="F10" s="61" t="s">
        <v>44</v>
      </c>
      <c r="G10" s="63">
        <v>23</v>
      </c>
      <c r="H10" s="65" t="s">
        <v>45</v>
      </c>
    </row>
    <row r="11" spans="1:8" ht="19.8" customHeight="1" x14ac:dyDescent="0.3">
      <c r="A11" s="60" t="s">
        <v>158</v>
      </c>
      <c r="B11" s="61" t="s">
        <v>56</v>
      </c>
      <c r="C11" s="62" t="s">
        <v>57</v>
      </c>
      <c r="D11" s="61" t="s">
        <v>1</v>
      </c>
      <c r="E11" s="61" t="s">
        <v>160</v>
      </c>
      <c r="F11" s="61" t="s">
        <v>58</v>
      </c>
      <c r="G11" s="63">
        <v>4</v>
      </c>
      <c r="H11" s="65" t="s">
        <v>60</v>
      </c>
    </row>
    <row r="12" spans="1:8" ht="19.8" customHeight="1" x14ac:dyDescent="0.3">
      <c r="A12" s="60" t="s">
        <v>158</v>
      </c>
      <c r="B12" s="61" t="s">
        <v>46</v>
      </c>
      <c r="C12" s="62" t="s">
        <v>54</v>
      </c>
      <c r="D12" s="61" t="s">
        <v>1</v>
      </c>
      <c r="E12" s="61" t="s">
        <v>164</v>
      </c>
      <c r="F12" s="61" t="s">
        <v>48</v>
      </c>
      <c r="G12" s="63">
        <v>9</v>
      </c>
      <c r="H12" s="65" t="s">
        <v>55</v>
      </c>
    </row>
    <row r="13" spans="1:8" ht="19.8" customHeight="1" x14ac:dyDescent="0.3">
      <c r="A13" s="60" t="s">
        <v>158</v>
      </c>
      <c r="B13" s="61" t="s">
        <v>56</v>
      </c>
      <c r="C13" s="62" t="s">
        <v>61</v>
      </c>
      <c r="D13" s="61" t="s">
        <v>1</v>
      </c>
      <c r="E13" s="61" t="s">
        <v>165</v>
      </c>
      <c r="F13" s="61" t="s">
        <v>62</v>
      </c>
      <c r="G13" s="63">
        <v>6</v>
      </c>
      <c r="H13" s="65" t="s">
        <v>64</v>
      </c>
    </row>
    <row r="14" spans="1:8" ht="19.8" customHeight="1" x14ac:dyDescent="0.3">
      <c r="A14" s="60" t="s">
        <v>158</v>
      </c>
      <c r="B14" s="61" t="s">
        <v>56</v>
      </c>
      <c r="C14" s="62" t="s">
        <v>67</v>
      </c>
      <c r="D14" s="61" t="s">
        <v>1</v>
      </c>
      <c r="E14" s="61" t="s">
        <v>166</v>
      </c>
      <c r="F14" s="61" t="s">
        <v>62</v>
      </c>
      <c r="G14" s="63">
        <v>6</v>
      </c>
      <c r="H14" s="65" t="s">
        <v>64</v>
      </c>
    </row>
    <row r="15" spans="1:8" ht="19.8" customHeight="1" x14ac:dyDescent="0.3">
      <c r="A15" s="60" t="s">
        <v>158</v>
      </c>
      <c r="B15" s="61" t="s">
        <v>56</v>
      </c>
      <c r="C15" s="62" t="s">
        <v>61</v>
      </c>
      <c r="D15" s="61" t="s">
        <v>1</v>
      </c>
      <c r="E15" s="61" t="s">
        <v>165</v>
      </c>
      <c r="F15" s="61" t="s">
        <v>58</v>
      </c>
      <c r="G15" s="63">
        <v>6</v>
      </c>
      <c r="H15" s="65" t="s">
        <v>66</v>
      </c>
    </row>
    <row r="16" spans="1:8" ht="19.8" customHeight="1" x14ac:dyDescent="0.3">
      <c r="A16" s="60" t="s">
        <v>158</v>
      </c>
      <c r="B16" s="61" t="s">
        <v>56</v>
      </c>
      <c r="C16" s="62" t="s">
        <v>67</v>
      </c>
      <c r="D16" s="61" t="s">
        <v>1</v>
      </c>
      <c r="E16" s="61" t="s">
        <v>166</v>
      </c>
      <c r="F16" s="61" t="s">
        <v>58</v>
      </c>
      <c r="G16" s="63">
        <v>6</v>
      </c>
      <c r="H16" s="65" t="s">
        <v>66</v>
      </c>
    </row>
    <row r="17" spans="1:8" ht="19.8" customHeight="1" x14ac:dyDescent="0.3">
      <c r="A17" s="60" t="s">
        <v>158</v>
      </c>
      <c r="B17" s="61" t="s">
        <v>56</v>
      </c>
      <c r="C17" s="62" t="s">
        <v>68</v>
      </c>
      <c r="D17" s="61" t="s">
        <v>1</v>
      </c>
      <c r="E17" s="61" t="s">
        <v>167</v>
      </c>
      <c r="F17" s="61" t="s">
        <v>62</v>
      </c>
      <c r="G17" s="63">
        <v>3</v>
      </c>
      <c r="H17" s="65" t="s">
        <v>70</v>
      </c>
    </row>
    <row r="18" spans="1:8" ht="19.8" customHeight="1" x14ac:dyDescent="0.3">
      <c r="A18" s="66" t="s">
        <v>158</v>
      </c>
      <c r="B18" s="67" t="s">
        <v>56</v>
      </c>
      <c r="C18" s="68" t="s">
        <v>68</v>
      </c>
      <c r="D18" s="67" t="s">
        <v>1</v>
      </c>
      <c r="E18" s="67" t="s">
        <v>167</v>
      </c>
      <c r="F18" s="67" t="s">
        <v>58</v>
      </c>
      <c r="G18" s="69">
        <v>3</v>
      </c>
      <c r="H18" s="70" t="s">
        <v>72</v>
      </c>
    </row>
    <row r="19" spans="1:8" ht="19.8" customHeight="1" x14ac:dyDescent="0.3">
      <c r="A19" s="71" t="s">
        <v>168</v>
      </c>
      <c r="B19" s="72" t="s">
        <v>93</v>
      </c>
      <c r="C19" s="73" t="s">
        <v>94</v>
      </c>
      <c r="D19" s="72" t="s">
        <v>1</v>
      </c>
      <c r="E19" s="72" t="s">
        <v>134</v>
      </c>
      <c r="F19" s="72" t="s">
        <v>95</v>
      </c>
      <c r="G19" s="72"/>
      <c r="H19" s="74" t="s">
        <v>96</v>
      </c>
    </row>
    <row r="20" spans="1:8" ht="19.8" customHeight="1" x14ac:dyDescent="0.3">
      <c r="A20" s="77">
        <v>45984</v>
      </c>
      <c r="B20" s="72" t="s">
        <v>93</v>
      </c>
      <c r="C20" s="73" t="s">
        <v>94</v>
      </c>
      <c r="D20" s="72" t="s">
        <v>1</v>
      </c>
      <c r="E20" s="78">
        <v>1.9027777777777779</v>
      </c>
      <c r="F20" s="72" t="s">
        <v>95</v>
      </c>
      <c r="G20" s="72"/>
      <c r="H20" s="74" t="s">
        <v>96</v>
      </c>
    </row>
  </sheetData>
  <pageMargins left="0.75" right="0.75" top="1" bottom="1" header="0.5" footer="0.5"/>
  <legacy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N32"/>
  <sheetViews>
    <sheetView workbookViewId="0"/>
  </sheetViews>
  <sheetFormatPr defaultRowHeight="14.4" x14ac:dyDescent="0.3"/>
  <cols>
    <col min="1" max="1" width="10.21875" bestFit="1" customWidth="1"/>
    <col min="2" max="2" width="15.6640625" bestFit="1" customWidth="1"/>
    <col min="3" max="3" width="14.77734375" bestFit="1" customWidth="1"/>
    <col min="4" max="4" width="34.21875" bestFit="1" customWidth="1"/>
    <col min="5" max="5" width="20.109375" bestFit="1" customWidth="1"/>
    <col min="6" max="6" width="23.44140625" bestFit="1" customWidth="1"/>
    <col min="7" max="7" width="44.5546875" bestFit="1" customWidth="1"/>
    <col min="8" max="8" width="9.44140625" bestFit="1" customWidth="1"/>
    <col min="9" max="9" width="9.21875" bestFit="1" customWidth="1"/>
    <col min="10" max="10" width="7.5546875" bestFit="1" customWidth="1"/>
    <col min="11" max="11" width="23.44140625" bestFit="1" customWidth="1"/>
    <col min="12" max="12" width="10.5546875" bestFit="1" customWidth="1"/>
    <col min="13" max="13" width="10.109375" bestFit="1" customWidth="1"/>
    <col min="14" max="14" width="8.5546875" bestFit="1" customWidth="1"/>
    <col min="15" max="15" width="17.88671875" bestFit="1" customWidth="1"/>
    <col min="16" max="16" width="6.21875" bestFit="1" customWidth="1"/>
    <col min="17" max="17" width="12.21875" bestFit="1" customWidth="1"/>
    <col min="18" max="18" width="12.6640625" bestFit="1" customWidth="1"/>
  </cols>
  <sheetData>
    <row r="1" spans="1:92" ht="28.8" customHeight="1" x14ac:dyDescent="0.3">
      <c r="A1" s="260" t="s">
        <v>0</v>
      </c>
      <c r="B1" s="253"/>
      <c r="C1" s="253"/>
      <c r="D1" s="253"/>
      <c r="E1" s="253"/>
      <c r="F1" s="1" t="s">
        <v>170</v>
      </c>
      <c r="G1" s="2" t="s">
        <v>2</v>
      </c>
      <c r="H1" s="259">
        <v>45982</v>
      </c>
      <c r="I1" s="253"/>
      <c r="J1" s="253"/>
      <c r="K1" s="253"/>
      <c r="L1" s="253"/>
      <c r="M1" s="1" t="s">
        <v>3</v>
      </c>
      <c r="N1" s="266">
        <v>45984</v>
      </c>
      <c r="O1" s="253"/>
      <c r="P1" s="253"/>
      <c r="Q1" s="253"/>
      <c r="R1" s="253"/>
      <c r="CA1" s="3"/>
      <c r="CB1" s="3"/>
      <c r="CC1" s="3"/>
      <c r="CD1" s="3"/>
      <c r="CE1" s="3"/>
      <c r="CF1" s="3"/>
      <c r="CG1" s="3"/>
      <c r="CH1" s="3"/>
      <c r="CI1" s="3"/>
      <c r="CJ1" s="3"/>
      <c r="CK1" s="3"/>
      <c r="CL1" s="3"/>
      <c r="CM1" s="3"/>
      <c r="CN1" s="3"/>
    </row>
    <row r="2" spans="1:92" ht="23.4" customHeight="1" x14ac:dyDescent="0.3">
      <c r="A2" s="252" t="s">
        <v>4</v>
      </c>
      <c r="B2" s="253"/>
      <c r="C2" s="253"/>
      <c r="D2" s="253"/>
      <c r="E2" s="253"/>
      <c r="F2" s="253"/>
      <c r="G2" s="261">
        <v>45981.017672205278</v>
      </c>
      <c r="H2" s="253"/>
      <c r="I2" s="253"/>
      <c r="J2" s="253"/>
      <c r="K2" s="262">
        <v>45981.017672205729</v>
      </c>
      <c r="L2" s="253"/>
      <c r="M2" s="253"/>
      <c r="N2" s="253"/>
      <c r="O2" s="253"/>
      <c r="P2" s="253"/>
      <c r="Q2" s="253"/>
      <c r="R2" s="253"/>
      <c r="CA2" s="3"/>
      <c r="CB2" s="3"/>
      <c r="CC2" s="3"/>
      <c r="CD2" s="3"/>
      <c r="CE2" s="3"/>
      <c r="CF2" s="3"/>
      <c r="CG2" s="3"/>
      <c r="CH2" s="3"/>
      <c r="CI2" s="3"/>
      <c r="CJ2" s="3"/>
      <c r="CK2" s="3"/>
      <c r="CL2" s="3"/>
      <c r="CM2" s="3"/>
      <c r="CN2" s="3"/>
    </row>
    <row r="3" spans="1:92" ht="24" customHeight="1" x14ac:dyDescent="0.3">
      <c r="A3" s="254" t="s">
        <v>5</v>
      </c>
      <c r="B3" s="253"/>
      <c r="C3" s="253"/>
      <c r="D3" s="253"/>
      <c r="E3" s="253"/>
      <c r="F3" s="253"/>
      <c r="G3" s="253"/>
      <c r="H3" s="253"/>
      <c r="I3" s="253"/>
      <c r="J3" s="253"/>
      <c r="K3" s="253"/>
      <c r="L3" s="253"/>
      <c r="M3" s="253"/>
      <c r="N3" s="253"/>
      <c r="O3" s="253"/>
      <c r="P3" s="253"/>
      <c r="Q3" s="253"/>
      <c r="R3" s="253"/>
      <c r="CA3" s="3"/>
      <c r="CB3" s="3"/>
      <c r="CC3" s="3"/>
      <c r="CD3" s="3"/>
      <c r="CE3" s="3"/>
      <c r="CF3" s="3"/>
      <c r="CG3" s="3"/>
      <c r="CH3" s="3"/>
      <c r="CI3" s="3"/>
      <c r="CJ3" s="3"/>
      <c r="CK3" s="3"/>
      <c r="CL3" s="3"/>
      <c r="CM3" s="3"/>
      <c r="CN3" s="3"/>
    </row>
    <row r="4" spans="1:92" ht="22.05" customHeight="1" x14ac:dyDescent="0.3">
      <c r="A4" s="263" t="s">
        <v>6</v>
      </c>
      <c r="B4" s="250"/>
      <c r="C4" s="250"/>
      <c r="D4" s="250"/>
      <c r="E4" s="250"/>
      <c r="F4" s="251"/>
      <c r="G4" s="4">
        <v>45982</v>
      </c>
      <c r="H4" s="264" t="s">
        <v>7</v>
      </c>
      <c r="I4" s="250"/>
      <c r="J4" s="250"/>
      <c r="K4" s="250"/>
      <c r="L4" s="250"/>
      <c r="M4" s="250"/>
      <c r="N4" s="250"/>
      <c r="O4" s="250"/>
      <c r="P4" s="250"/>
      <c r="Q4" s="250"/>
      <c r="R4" s="251"/>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8" t="s">
        <v>46</v>
      </c>
      <c r="B6" s="8" t="s">
        <v>171</v>
      </c>
      <c r="C6" s="9">
        <v>0.52083333333333337</v>
      </c>
      <c r="D6" s="8" t="s">
        <v>48</v>
      </c>
      <c r="E6" s="8" t="s">
        <v>49</v>
      </c>
      <c r="F6" s="8" t="s">
        <v>172</v>
      </c>
      <c r="G6" s="255"/>
      <c r="H6" s="10"/>
      <c r="I6" s="11"/>
      <c r="J6" s="11"/>
      <c r="K6" s="11"/>
      <c r="L6" s="11"/>
      <c r="M6" s="11"/>
      <c r="N6" s="11"/>
      <c r="O6" s="12"/>
      <c r="P6" s="11"/>
      <c r="Q6" s="13"/>
      <c r="R6" s="14"/>
    </row>
    <row r="7" spans="1:92" ht="18" x14ac:dyDescent="0.3">
      <c r="A7" s="267" t="s">
        <v>173</v>
      </c>
      <c r="B7" s="268"/>
      <c r="C7" s="268"/>
      <c r="D7" s="268"/>
      <c r="E7" s="268"/>
      <c r="F7" s="269"/>
      <c r="G7" s="256"/>
      <c r="H7" s="79"/>
      <c r="I7" s="79"/>
      <c r="J7" s="79"/>
      <c r="K7" s="79"/>
      <c r="L7" s="79"/>
      <c r="M7" s="79"/>
      <c r="N7" s="79"/>
      <c r="O7" s="80"/>
      <c r="P7" s="79"/>
      <c r="Q7" s="56"/>
      <c r="R7" s="56"/>
    </row>
    <row r="8" spans="1:92" ht="15" customHeight="1" x14ac:dyDescent="0.3">
      <c r="A8" s="19" t="s">
        <v>26</v>
      </c>
      <c r="B8" s="19" t="s">
        <v>27</v>
      </c>
      <c r="C8" s="20" t="s">
        <v>159</v>
      </c>
      <c r="D8" s="19" t="s">
        <v>28</v>
      </c>
      <c r="E8" s="19" t="s">
        <v>174</v>
      </c>
      <c r="F8" s="19" t="s">
        <v>30</v>
      </c>
      <c r="G8" s="256"/>
      <c r="H8" s="79"/>
      <c r="I8" s="79"/>
      <c r="J8" s="79"/>
      <c r="K8" s="79"/>
      <c r="L8" s="79"/>
      <c r="M8" s="79"/>
      <c r="N8" s="79"/>
      <c r="O8" s="80"/>
      <c r="P8" s="79"/>
      <c r="Q8" s="56"/>
      <c r="R8" s="56"/>
    </row>
    <row r="9" spans="1:92" ht="15" customHeight="1" x14ac:dyDescent="0.3">
      <c r="A9" s="19" t="s">
        <v>36</v>
      </c>
      <c r="B9" s="19" t="s">
        <v>37</v>
      </c>
      <c r="C9" s="20" t="s">
        <v>160</v>
      </c>
      <c r="D9" s="19" t="s">
        <v>38</v>
      </c>
      <c r="E9" s="19" t="s">
        <v>175</v>
      </c>
      <c r="F9" s="19" t="s">
        <v>40</v>
      </c>
      <c r="G9" s="256"/>
      <c r="H9" s="79"/>
      <c r="I9" s="79"/>
      <c r="J9" s="79"/>
      <c r="K9" s="79"/>
      <c r="L9" s="79"/>
      <c r="M9" s="79"/>
      <c r="N9" s="79"/>
      <c r="O9" s="80"/>
      <c r="P9" s="79"/>
      <c r="Q9" s="56"/>
      <c r="R9" s="56"/>
    </row>
    <row r="10" spans="1:92" ht="15" customHeight="1" x14ac:dyDescent="0.3">
      <c r="A10" s="19" t="s">
        <v>26</v>
      </c>
      <c r="B10" s="19" t="s">
        <v>27</v>
      </c>
      <c r="C10" s="20" t="s">
        <v>159</v>
      </c>
      <c r="D10" s="19" t="s">
        <v>31</v>
      </c>
      <c r="E10" s="19" t="s">
        <v>174</v>
      </c>
      <c r="F10" s="19" t="s">
        <v>33</v>
      </c>
      <c r="G10" s="256"/>
      <c r="H10" s="79"/>
      <c r="I10" s="79"/>
      <c r="J10" s="79"/>
      <c r="K10" s="79"/>
      <c r="L10" s="79"/>
      <c r="M10" s="79"/>
      <c r="N10" s="79"/>
      <c r="O10" s="80"/>
      <c r="P10" s="79"/>
      <c r="Q10" s="56"/>
      <c r="R10" s="56"/>
    </row>
    <row r="11" spans="1:92" ht="15" customHeight="1" x14ac:dyDescent="0.3">
      <c r="A11" s="19" t="s">
        <v>26</v>
      </c>
      <c r="B11" s="19" t="s">
        <v>27</v>
      </c>
      <c r="C11" s="20" t="s">
        <v>159</v>
      </c>
      <c r="D11" s="19" t="s">
        <v>34</v>
      </c>
      <c r="E11" s="19" t="s">
        <v>174</v>
      </c>
      <c r="F11" s="19" t="s">
        <v>35</v>
      </c>
      <c r="G11" s="256"/>
      <c r="H11" s="79"/>
      <c r="I11" s="79"/>
      <c r="J11" s="79"/>
      <c r="K11" s="79"/>
      <c r="L11" s="79"/>
      <c r="M11" s="79"/>
      <c r="N11" s="79"/>
      <c r="O11" s="80"/>
      <c r="P11" s="79"/>
      <c r="Q11" s="56"/>
      <c r="R11" s="56"/>
    </row>
    <row r="12" spans="1:92" ht="15" customHeight="1" x14ac:dyDescent="0.3">
      <c r="A12" s="19" t="s">
        <v>36</v>
      </c>
      <c r="B12" s="19" t="s">
        <v>37</v>
      </c>
      <c r="C12" s="20" t="s">
        <v>160</v>
      </c>
      <c r="D12" s="19" t="s">
        <v>41</v>
      </c>
      <c r="E12" s="19" t="s">
        <v>175</v>
      </c>
      <c r="F12" s="19" t="s">
        <v>43</v>
      </c>
      <c r="G12" s="256"/>
      <c r="H12" s="79"/>
      <c r="I12" s="79"/>
      <c r="J12" s="79"/>
      <c r="K12" s="79"/>
      <c r="L12" s="79"/>
      <c r="M12" s="79"/>
      <c r="N12" s="79"/>
      <c r="O12" s="80"/>
      <c r="P12" s="79"/>
      <c r="Q12" s="56"/>
      <c r="R12" s="56"/>
    </row>
    <row r="13" spans="1:92" ht="15" customHeight="1" x14ac:dyDescent="0.3">
      <c r="A13" s="19" t="s">
        <v>46</v>
      </c>
      <c r="B13" s="19" t="s">
        <v>47</v>
      </c>
      <c r="C13" s="20" t="s">
        <v>161</v>
      </c>
      <c r="D13" s="19" t="s">
        <v>48</v>
      </c>
      <c r="E13" s="19" t="s">
        <v>176</v>
      </c>
      <c r="F13" s="19" t="s">
        <v>50</v>
      </c>
      <c r="G13" s="256"/>
      <c r="H13" s="79"/>
      <c r="I13" s="79"/>
      <c r="J13" s="79"/>
      <c r="K13" s="79"/>
      <c r="L13" s="79"/>
      <c r="M13" s="79"/>
      <c r="N13" s="79"/>
      <c r="O13" s="80"/>
      <c r="P13" s="79"/>
      <c r="Q13" s="56"/>
      <c r="R13" s="56"/>
    </row>
    <row r="14" spans="1:92" ht="15" customHeight="1" x14ac:dyDescent="0.3">
      <c r="A14" s="19" t="s">
        <v>46</v>
      </c>
      <c r="B14" s="19" t="s">
        <v>51</v>
      </c>
      <c r="C14" s="20" t="s">
        <v>162</v>
      </c>
      <c r="D14" s="19" t="s">
        <v>48</v>
      </c>
      <c r="E14" s="19" t="s">
        <v>176</v>
      </c>
      <c r="F14" s="19" t="s">
        <v>50</v>
      </c>
      <c r="G14" s="256"/>
      <c r="H14" s="79"/>
      <c r="I14" s="79"/>
      <c r="J14" s="79"/>
      <c r="K14" s="79"/>
      <c r="L14" s="79"/>
      <c r="M14" s="79"/>
      <c r="N14" s="79"/>
      <c r="O14" s="80"/>
      <c r="P14" s="79"/>
      <c r="Q14" s="56"/>
      <c r="R14" s="56"/>
    </row>
    <row r="15" spans="1:92" ht="15" customHeight="1" x14ac:dyDescent="0.3">
      <c r="A15" s="19" t="s">
        <v>46</v>
      </c>
      <c r="B15" s="19" t="s">
        <v>53</v>
      </c>
      <c r="C15" s="20" t="s">
        <v>163</v>
      </c>
      <c r="D15" s="19" t="s">
        <v>48</v>
      </c>
      <c r="E15" s="19" t="s">
        <v>176</v>
      </c>
      <c r="F15" s="19" t="s">
        <v>50</v>
      </c>
      <c r="G15" s="256"/>
      <c r="H15" s="79"/>
      <c r="I15" s="79"/>
      <c r="J15" s="79"/>
      <c r="K15" s="79"/>
      <c r="L15" s="79"/>
      <c r="M15" s="79"/>
      <c r="N15" s="79"/>
      <c r="O15" s="80"/>
      <c r="P15" s="79"/>
      <c r="Q15" s="56"/>
      <c r="R15" s="56"/>
    </row>
    <row r="16" spans="1:92" ht="15" customHeight="1" x14ac:dyDescent="0.3">
      <c r="A16" s="19" t="s">
        <v>36</v>
      </c>
      <c r="B16" s="19" t="s">
        <v>37</v>
      </c>
      <c r="C16" s="20" t="s">
        <v>160</v>
      </c>
      <c r="D16" s="19" t="s">
        <v>44</v>
      </c>
      <c r="E16" s="19" t="s">
        <v>175</v>
      </c>
      <c r="F16" s="19" t="s">
        <v>45</v>
      </c>
      <c r="G16" s="256"/>
      <c r="H16" s="79"/>
      <c r="I16" s="79"/>
      <c r="J16" s="79"/>
      <c r="K16" s="79"/>
      <c r="L16" s="79"/>
      <c r="M16" s="79"/>
      <c r="N16" s="79"/>
      <c r="O16" s="80"/>
      <c r="P16" s="79"/>
      <c r="Q16" s="56"/>
      <c r="R16" s="56"/>
    </row>
    <row r="17" spans="1:18" ht="15" customHeight="1" thickBot="1" x14ac:dyDescent="0.35">
      <c r="A17" s="81" t="s">
        <v>56</v>
      </c>
      <c r="B17" s="81" t="s">
        <v>57</v>
      </c>
      <c r="C17" s="82" t="s">
        <v>160</v>
      </c>
      <c r="D17" s="81" t="s">
        <v>58</v>
      </c>
      <c r="E17" s="81" t="s">
        <v>177</v>
      </c>
      <c r="F17" s="81" t="s">
        <v>60</v>
      </c>
      <c r="G17" s="257"/>
      <c r="H17" s="83"/>
      <c r="I17" s="83"/>
      <c r="J17" s="83"/>
      <c r="K17" s="83"/>
      <c r="L17" s="83"/>
      <c r="M17" s="83"/>
      <c r="N17" s="83"/>
      <c r="O17" s="84"/>
      <c r="P17" s="83"/>
      <c r="Q17" s="85"/>
      <c r="R17" s="85"/>
    </row>
    <row r="18" spans="1:18" ht="17.399999999999999" customHeight="1" thickBot="1" x14ac:dyDescent="0.35">
      <c r="A18" s="284"/>
      <c r="B18" s="285"/>
      <c r="C18" s="285"/>
      <c r="D18" s="285"/>
      <c r="E18" s="285"/>
      <c r="F18" s="285"/>
      <c r="G18" s="285"/>
      <c r="H18" s="285"/>
      <c r="I18" s="285"/>
      <c r="J18" s="285"/>
      <c r="K18" s="285"/>
      <c r="L18" s="285"/>
      <c r="M18" s="285"/>
      <c r="N18" s="285"/>
      <c r="O18" s="285"/>
      <c r="P18" s="285"/>
      <c r="Q18" s="285"/>
      <c r="R18" s="286"/>
    </row>
    <row r="19" spans="1:18" ht="22.05" customHeight="1" thickTop="1" thickBot="1" x14ac:dyDescent="0.35">
      <c r="A19" s="249" t="s">
        <v>6</v>
      </c>
      <c r="B19" s="250"/>
      <c r="C19" s="250"/>
      <c r="D19" s="250"/>
      <c r="E19" s="250"/>
      <c r="F19" s="251"/>
      <c r="G19" s="28">
        <v>45984</v>
      </c>
      <c r="H19" s="258" t="s">
        <v>7</v>
      </c>
      <c r="I19" s="250"/>
      <c r="J19" s="250"/>
      <c r="K19" s="250"/>
      <c r="L19" s="250"/>
      <c r="M19" s="250"/>
      <c r="N19" s="250"/>
      <c r="O19" s="250"/>
      <c r="P19" s="250"/>
      <c r="Q19" s="250"/>
      <c r="R19" s="251"/>
    </row>
    <row r="20" spans="1:18" ht="24" customHeight="1" x14ac:dyDescent="0.3">
      <c r="A20" s="29" t="s">
        <v>8</v>
      </c>
      <c r="B20" s="29" t="s">
        <v>9</v>
      </c>
      <c r="C20" s="30" t="s">
        <v>10</v>
      </c>
      <c r="D20" s="29" t="s">
        <v>11</v>
      </c>
      <c r="E20" s="29" t="s">
        <v>12</v>
      </c>
      <c r="F20" s="31" t="s">
        <v>13</v>
      </c>
      <c r="G20" s="32" t="s">
        <v>14</v>
      </c>
      <c r="H20" s="29" t="s">
        <v>15</v>
      </c>
      <c r="I20" s="33" t="s">
        <v>16</v>
      </c>
      <c r="J20" s="34" t="s">
        <v>17</v>
      </c>
      <c r="K20" s="35" t="s">
        <v>18</v>
      </c>
      <c r="L20" s="34" t="s">
        <v>19</v>
      </c>
      <c r="M20" s="34" t="s">
        <v>20</v>
      </c>
      <c r="N20" s="34" t="s">
        <v>21</v>
      </c>
      <c r="O20" s="29" t="s">
        <v>22</v>
      </c>
      <c r="P20" s="30" t="s">
        <v>23</v>
      </c>
      <c r="Q20" s="34" t="s">
        <v>24</v>
      </c>
      <c r="R20" s="29" t="s">
        <v>25</v>
      </c>
    </row>
    <row r="21" spans="1:18" ht="15" customHeight="1" x14ac:dyDescent="0.3">
      <c r="A21" s="86" t="s">
        <v>93</v>
      </c>
      <c r="B21" s="86" t="s">
        <v>178</v>
      </c>
      <c r="C21" s="87">
        <v>0.40277777777777768</v>
      </c>
      <c r="D21" s="88"/>
      <c r="E21" s="88"/>
      <c r="F21" s="86" t="s">
        <v>96</v>
      </c>
      <c r="G21" s="255"/>
      <c r="H21" s="89" t="s">
        <v>179</v>
      </c>
      <c r="I21" s="90">
        <v>1</v>
      </c>
      <c r="J21" s="91">
        <v>179</v>
      </c>
      <c r="K21" s="92" t="s">
        <v>180</v>
      </c>
      <c r="L21" s="91">
        <v>5</v>
      </c>
      <c r="M21" s="91">
        <v>0</v>
      </c>
      <c r="N21" s="91">
        <v>2</v>
      </c>
      <c r="O21" s="93" t="s">
        <v>98</v>
      </c>
      <c r="P21" s="94">
        <v>0.40277777777777768</v>
      </c>
      <c r="Q21" s="91">
        <v>179</v>
      </c>
      <c r="R21" s="95" t="s">
        <v>181</v>
      </c>
    </row>
    <row r="22" spans="1:18" ht="18" x14ac:dyDescent="0.3">
      <c r="A22" s="267" t="s">
        <v>173</v>
      </c>
      <c r="B22" s="268"/>
      <c r="C22" s="268"/>
      <c r="D22" s="268"/>
      <c r="E22" s="268"/>
      <c r="F22" s="269"/>
      <c r="G22" s="256"/>
      <c r="H22" s="79"/>
      <c r="I22" s="79"/>
      <c r="J22" s="79"/>
      <c r="K22" s="79"/>
      <c r="L22" s="79"/>
      <c r="M22" s="79"/>
      <c r="N22" s="79"/>
      <c r="O22" s="80"/>
      <c r="P22" s="79"/>
      <c r="Q22" s="56"/>
      <c r="R22" s="56"/>
    </row>
    <row r="23" spans="1:18" ht="15" customHeight="1" x14ac:dyDescent="0.3">
      <c r="A23" s="19" t="s">
        <v>36</v>
      </c>
      <c r="B23" s="19" t="s">
        <v>37</v>
      </c>
      <c r="C23" s="20" t="s">
        <v>160</v>
      </c>
      <c r="D23" s="19" t="s">
        <v>38</v>
      </c>
      <c r="E23" s="19" t="s">
        <v>182</v>
      </c>
      <c r="F23" s="19" t="s">
        <v>40</v>
      </c>
      <c r="G23" s="256"/>
      <c r="H23" s="79"/>
      <c r="I23" s="79"/>
      <c r="J23" s="79"/>
      <c r="K23" s="79"/>
      <c r="L23" s="79"/>
      <c r="M23" s="79"/>
      <c r="N23" s="79"/>
      <c r="O23" s="80"/>
      <c r="P23" s="79"/>
      <c r="Q23" s="56"/>
      <c r="R23" s="56"/>
    </row>
    <row r="24" spans="1:18" ht="15" customHeight="1" x14ac:dyDescent="0.3">
      <c r="A24" s="19" t="s">
        <v>26</v>
      </c>
      <c r="B24" s="19" t="s">
        <v>27</v>
      </c>
      <c r="C24" s="20" t="s">
        <v>159</v>
      </c>
      <c r="D24" s="19" t="s">
        <v>28</v>
      </c>
      <c r="E24" s="19" t="s">
        <v>174</v>
      </c>
      <c r="F24" s="19" t="s">
        <v>79</v>
      </c>
      <c r="G24" s="256"/>
      <c r="H24" s="79"/>
      <c r="I24" s="79"/>
      <c r="J24" s="79"/>
      <c r="K24" s="79"/>
      <c r="L24" s="79"/>
      <c r="M24" s="79"/>
      <c r="N24" s="79"/>
      <c r="O24" s="80"/>
      <c r="P24" s="79"/>
      <c r="Q24" s="56"/>
      <c r="R24" s="56"/>
    </row>
    <row r="25" spans="1:18" ht="15" customHeight="1" x14ac:dyDescent="0.3">
      <c r="A25" s="19" t="s">
        <v>36</v>
      </c>
      <c r="B25" s="19" t="s">
        <v>37</v>
      </c>
      <c r="C25" s="20" t="s">
        <v>160</v>
      </c>
      <c r="D25" s="19" t="s">
        <v>41</v>
      </c>
      <c r="E25" s="19" t="s">
        <v>182</v>
      </c>
      <c r="F25" s="19" t="s">
        <v>43</v>
      </c>
      <c r="G25" s="256"/>
      <c r="H25" s="79"/>
      <c r="I25" s="79"/>
      <c r="J25" s="79"/>
      <c r="K25" s="79"/>
      <c r="L25" s="79"/>
      <c r="M25" s="79"/>
      <c r="N25" s="79"/>
      <c r="O25" s="80"/>
      <c r="P25" s="79"/>
      <c r="Q25" s="56"/>
      <c r="R25" s="56"/>
    </row>
    <row r="26" spans="1:18" ht="15" customHeight="1" x14ac:dyDescent="0.3">
      <c r="A26" s="19" t="s">
        <v>26</v>
      </c>
      <c r="B26" s="19" t="s">
        <v>27</v>
      </c>
      <c r="C26" s="20" t="s">
        <v>159</v>
      </c>
      <c r="D26" s="19" t="s">
        <v>31</v>
      </c>
      <c r="E26" s="19" t="s">
        <v>174</v>
      </c>
      <c r="F26" s="19" t="s">
        <v>81</v>
      </c>
      <c r="G26" s="256"/>
      <c r="H26" s="79"/>
      <c r="I26" s="79"/>
      <c r="J26" s="79"/>
      <c r="K26" s="79"/>
      <c r="L26" s="79"/>
      <c r="M26" s="79"/>
      <c r="N26" s="79"/>
      <c r="O26" s="80"/>
      <c r="P26" s="79"/>
      <c r="Q26" s="56"/>
      <c r="R26" s="56"/>
    </row>
    <row r="27" spans="1:18" ht="15" customHeight="1" x14ac:dyDescent="0.3">
      <c r="A27" s="19" t="s">
        <v>26</v>
      </c>
      <c r="B27" s="19" t="s">
        <v>27</v>
      </c>
      <c r="C27" s="20" t="s">
        <v>159</v>
      </c>
      <c r="D27" s="19" t="s">
        <v>34</v>
      </c>
      <c r="E27" s="19" t="s">
        <v>174</v>
      </c>
      <c r="F27" s="19" t="s">
        <v>82</v>
      </c>
      <c r="G27" s="256"/>
      <c r="H27" s="79"/>
      <c r="I27" s="79"/>
      <c r="J27" s="79"/>
      <c r="K27" s="79"/>
      <c r="L27" s="79"/>
      <c r="M27" s="79"/>
      <c r="N27" s="79"/>
      <c r="O27" s="80"/>
      <c r="P27" s="79"/>
      <c r="Q27" s="56"/>
      <c r="R27" s="56"/>
    </row>
    <row r="28" spans="1:18" ht="15" customHeight="1" x14ac:dyDescent="0.3">
      <c r="A28" s="19" t="s">
        <v>36</v>
      </c>
      <c r="B28" s="19" t="s">
        <v>37</v>
      </c>
      <c r="C28" s="20" t="s">
        <v>160</v>
      </c>
      <c r="D28" s="19" t="s">
        <v>44</v>
      </c>
      <c r="E28" s="19" t="s">
        <v>182</v>
      </c>
      <c r="F28" s="19" t="s">
        <v>85</v>
      </c>
      <c r="G28" s="256"/>
      <c r="H28" s="79"/>
      <c r="I28" s="79"/>
      <c r="J28" s="79"/>
      <c r="K28" s="79"/>
      <c r="L28" s="79"/>
      <c r="M28" s="79"/>
      <c r="N28" s="79"/>
      <c r="O28" s="80"/>
      <c r="P28" s="79"/>
      <c r="Q28" s="56"/>
      <c r="R28" s="56"/>
    </row>
    <row r="29" spans="1:18" ht="15" customHeight="1" x14ac:dyDescent="0.3">
      <c r="A29" s="19" t="s">
        <v>56</v>
      </c>
      <c r="B29" s="19" t="s">
        <v>57</v>
      </c>
      <c r="C29" s="20" t="s">
        <v>160</v>
      </c>
      <c r="D29" s="19" t="s">
        <v>58</v>
      </c>
      <c r="E29" s="19" t="s">
        <v>177</v>
      </c>
      <c r="F29" s="19" t="s">
        <v>60</v>
      </c>
      <c r="G29" s="256"/>
      <c r="H29" s="79"/>
      <c r="I29" s="79"/>
      <c r="J29" s="79"/>
      <c r="K29" s="79"/>
      <c r="L29" s="79"/>
      <c r="M29" s="79"/>
      <c r="N29" s="79"/>
      <c r="O29" s="80"/>
      <c r="P29" s="79"/>
      <c r="Q29" s="56"/>
      <c r="R29" s="56"/>
    </row>
    <row r="30" spans="1:18" ht="15" customHeight="1" x14ac:dyDescent="0.3">
      <c r="A30" s="19" t="s">
        <v>46</v>
      </c>
      <c r="B30" s="19" t="s">
        <v>53</v>
      </c>
      <c r="C30" s="20" t="s">
        <v>163</v>
      </c>
      <c r="D30" s="19" t="s">
        <v>48</v>
      </c>
      <c r="E30" s="19" t="s">
        <v>183</v>
      </c>
      <c r="F30" s="19" t="s">
        <v>55</v>
      </c>
      <c r="G30" s="256"/>
      <c r="H30" s="79"/>
      <c r="I30" s="79"/>
      <c r="J30" s="79"/>
      <c r="K30" s="79"/>
      <c r="L30" s="79"/>
      <c r="M30" s="79"/>
      <c r="N30" s="79"/>
      <c r="O30" s="80"/>
      <c r="P30" s="79"/>
      <c r="Q30" s="56"/>
      <c r="R30" s="56"/>
    </row>
    <row r="31" spans="1:18" ht="15" customHeight="1" x14ac:dyDescent="0.3">
      <c r="A31" s="19" t="s">
        <v>56</v>
      </c>
      <c r="B31" s="19" t="s">
        <v>67</v>
      </c>
      <c r="C31" s="20" t="s">
        <v>166</v>
      </c>
      <c r="D31" s="19" t="s">
        <v>62</v>
      </c>
      <c r="E31" s="19" t="s">
        <v>176</v>
      </c>
      <c r="F31" s="19" t="s">
        <v>64</v>
      </c>
      <c r="G31" s="256"/>
      <c r="H31" s="79"/>
      <c r="I31" s="79"/>
      <c r="J31" s="79"/>
      <c r="K31" s="79"/>
      <c r="L31" s="79"/>
      <c r="M31" s="79"/>
      <c r="N31" s="79"/>
      <c r="O31" s="80"/>
      <c r="P31" s="79"/>
      <c r="Q31" s="56"/>
      <c r="R31" s="56"/>
    </row>
    <row r="32" spans="1:18" ht="15" customHeight="1" x14ac:dyDescent="0.3">
      <c r="A32" s="81" t="s">
        <v>56</v>
      </c>
      <c r="B32" s="81" t="s">
        <v>67</v>
      </c>
      <c r="C32" s="82" t="s">
        <v>166</v>
      </c>
      <c r="D32" s="81" t="s">
        <v>58</v>
      </c>
      <c r="E32" s="81" t="s">
        <v>176</v>
      </c>
      <c r="F32" s="81" t="s">
        <v>66</v>
      </c>
      <c r="G32" s="257"/>
      <c r="H32" s="83"/>
      <c r="I32" s="83"/>
      <c r="J32" s="83"/>
      <c r="K32" s="83"/>
      <c r="L32" s="83"/>
      <c r="M32" s="83"/>
      <c r="N32" s="83"/>
      <c r="O32" s="84"/>
      <c r="P32" s="83"/>
      <c r="Q32" s="85"/>
      <c r="R32" s="85"/>
    </row>
  </sheetData>
  <mergeCells count="16">
    <mergeCell ref="H1:L1"/>
    <mergeCell ref="A1:E1"/>
    <mergeCell ref="G2:J2"/>
    <mergeCell ref="K2:R2"/>
    <mergeCell ref="A4:F4"/>
    <mergeCell ref="H4:R4"/>
    <mergeCell ref="N1:R1"/>
    <mergeCell ref="A2:F2"/>
    <mergeCell ref="A3:R3"/>
    <mergeCell ref="A7:F7"/>
    <mergeCell ref="A19:F19"/>
    <mergeCell ref="G21:G32"/>
    <mergeCell ref="A22:F22"/>
    <mergeCell ref="H19:R19"/>
    <mergeCell ref="G6:G17"/>
    <mergeCell ref="A18:R18"/>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J3"/>
  <sheetViews>
    <sheetView workbookViewId="0"/>
  </sheetViews>
  <sheetFormatPr defaultRowHeight="15.6" outlineLevelCol="1" x14ac:dyDescent="0.3"/>
  <cols>
    <col min="1" max="1" width="10.21875" style="271" bestFit="1" customWidth="1"/>
    <col min="2" max="2" width="11.109375" style="271" bestFit="1" customWidth="1"/>
    <col min="3" max="3" width="7.88671875" style="271" bestFit="1" customWidth="1"/>
    <col min="4" max="4" width="6.77734375" style="271" bestFit="1" customWidth="1"/>
    <col min="5" max="5" width="10.5546875" style="271" bestFit="1" customWidth="1"/>
    <col min="6" max="6" width="5.21875" style="271" bestFit="1" customWidth="1"/>
    <col min="7" max="7" width="11.5546875" style="271" bestFit="1" customWidth="1"/>
    <col min="8" max="8" width="7" style="271" bestFit="1" customWidth="1"/>
    <col min="9" max="10" width="8" style="271" bestFit="1" customWidth="1"/>
    <col min="11" max="11" width="12.21875" style="271" bestFit="1" customWidth="1"/>
    <col min="12" max="12" width="21.21875" style="271" bestFit="1" customWidth="1"/>
    <col min="13" max="13" width="8.77734375" style="271" bestFit="1" customWidth="1" outlineLevel="1"/>
    <col min="14" max="14" width="7.33203125" style="271" bestFit="1" customWidth="1" outlineLevel="1"/>
    <col min="15" max="15" width="9.109375" style="271" bestFit="1" customWidth="1" outlineLevel="1"/>
    <col min="16" max="16" width="15.33203125" style="271" bestFit="1" customWidth="1"/>
    <col min="17" max="20" width="3.88671875" style="271" bestFit="1" customWidth="1"/>
    <col min="21" max="21" width="4.33203125" style="271" bestFit="1" customWidth="1"/>
    <col min="22" max="34" width="3.88671875" style="271" bestFit="1" customWidth="1"/>
    <col min="35" max="35" width="6.21875" style="271" bestFit="1" customWidth="1"/>
    <col min="36" max="36" width="3.88671875" style="271" bestFit="1" customWidth="1"/>
    <col min="37" max="16384" width="8.88671875" style="271"/>
  </cols>
  <sheetData>
    <row r="1" spans="1:36" x14ac:dyDescent="0.3">
      <c r="A1" s="270" t="s">
        <v>104</v>
      </c>
      <c r="B1" s="270" t="s">
        <v>105</v>
      </c>
      <c r="C1" s="270" t="s">
        <v>106</v>
      </c>
      <c r="D1" s="270" t="s">
        <v>23</v>
      </c>
      <c r="E1" s="270" t="s">
        <v>107</v>
      </c>
      <c r="F1" s="270" t="s">
        <v>108</v>
      </c>
      <c r="G1" s="270" t="s">
        <v>16</v>
      </c>
      <c r="H1" s="270" t="s">
        <v>109</v>
      </c>
      <c r="I1" s="270" t="s">
        <v>110</v>
      </c>
      <c r="J1" s="270" t="s">
        <v>111</v>
      </c>
      <c r="K1" s="270" t="s">
        <v>112</v>
      </c>
      <c r="L1" s="270" t="s">
        <v>18</v>
      </c>
      <c r="M1" s="270" t="s">
        <v>20</v>
      </c>
      <c r="N1" s="270" t="s">
        <v>21</v>
      </c>
      <c r="O1" s="270" t="s">
        <v>19</v>
      </c>
      <c r="P1" s="270" t="s">
        <v>22</v>
      </c>
      <c r="Q1" s="270" t="s">
        <v>113</v>
      </c>
      <c r="R1" s="270" t="s">
        <v>114</v>
      </c>
      <c r="S1" s="270" t="s">
        <v>115</v>
      </c>
      <c r="T1" s="270" t="s">
        <v>116</v>
      </c>
      <c r="U1" s="270" t="s">
        <v>117</v>
      </c>
      <c r="V1" s="270" t="s">
        <v>118</v>
      </c>
      <c r="W1" s="270" t="s">
        <v>119</v>
      </c>
      <c r="X1" s="270" t="s">
        <v>120</v>
      </c>
      <c r="Y1" s="270" t="s">
        <v>121</v>
      </c>
      <c r="Z1" s="270" t="s">
        <v>122</v>
      </c>
      <c r="AA1" s="270" t="s">
        <v>123</v>
      </c>
      <c r="AB1" s="270" t="s">
        <v>124</v>
      </c>
      <c r="AC1" s="270" t="s">
        <v>125</v>
      </c>
      <c r="AD1" s="270" t="s">
        <v>126</v>
      </c>
      <c r="AE1" s="270" t="s">
        <v>127</v>
      </c>
      <c r="AF1" s="270" t="s">
        <v>128</v>
      </c>
      <c r="AG1" s="270" t="s">
        <v>129</v>
      </c>
      <c r="AH1" s="270" t="s">
        <v>130</v>
      </c>
      <c r="AI1" s="270" t="s">
        <v>131</v>
      </c>
      <c r="AJ1" s="270" t="s">
        <v>132</v>
      </c>
    </row>
    <row r="2" spans="1:36" x14ac:dyDescent="0.3">
      <c r="A2" s="272" t="s">
        <v>145</v>
      </c>
      <c r="B2" s="273">
        <v>45984</v>
      </c>
      <c r="C2" s="274" t="s">
        <v>179</v>
      </c>
      <c r="D2" s="275" t="s">
        <v>184</v>
      </c>
      <c r="E2" s="274" t="s">
        <v>170</v>
      </c>
      <c r="F2" s="274" t="s">
        <v>135</v>
      </c>
      <c r="G2" s="276">
        <v>1</v>
      </c>
      <c r="H2" s="277">
        <v>179</v>
      </c>
      <c r="I2" s="277">
        <v>179</v>
      </c>
      <c r="J2" s="277">
        <v>172</v>
      </c>
      <c r="K2" s="274" t="s">
        <v>136</v>
      </c>
      <c r="L2" s="278" t="s">
        <v>180</v>
      </c>
      <c r="M2" s="277">
        <v>0</v>
      </c>
      <c r="N2" s="277">
        <v>2</v>
      </c>
      <c r="O2" s="277">
        <v>5</v>
      </c>
      <c r="P2" s="274" t="s">
        <v>98</v>
      </c>
      <c r="Q2" s="270"/>
      <c r="R2" s="270"/>
      <c r="S2" s="270"/>
      <c r="T2" s="270"/>
      <c r="U2" s="277" t="s">
        <v>185</v>
      </c>
      <c r="V2" s="270"/>
      <c r="W2" s="270"/>
      <c r="X2" s="270"/>
      <c r="Y2" s="270"/>
      <c r="Z2" s="270"/>
      <c r="AA2" s="270"/>
      <c r="AB2" s="270"/>
      <c r="AC2" s="270"/>
      <c r="AD2" s="270"/>
      <c r="AE2" s="270"/>
      <c r="AF2" s="270"/>
      <c r="AG2" s="270"/>
      <c r="AH2" s="270"/>
      <c r="AI2" s="277" t="s">
        <v>186</v>
      </c>
      <c r="AJ2" s="270"/>
    </row>
    <row r="3" spans="1:36" ht="21" x14ac:dyDescent="0.3">
      <c r="A3" s="279" t="s">
        <v>946</v>
      </c>
      <c r="B3" s="280"/>
      <c r="C3" s="279">
        <f>SUBTOTAL(103,MED_HBE_LF_LEGACY[Flt])</f>
        <v>1</v>
      </c>
      <c r="D3" s="279"/>
      <c r="E3" s="279">
        <f>SUBTOTAL(103,MED_HBE_LF_LEGACY[Brd-Off])</f>
        <v>1</v>
      </c>
      <c r="F3" s="279"/>
      <c r="G3" s="281">
        <f>SUBTOTAL(101,MED_HBE_LF_LEGACY[LF%])</f>
        <v>1</v>
      </c>
      <c r="H3" s="282">
        <f>SUBTOTAL(109,MED_HBE_LF_LEGACY[CAP])</f>
        <v>179</v>
      </c>
      <c r="I3" s="282">
        <f>SUBTOTAL(109,MED_HBE_LF_LEGACY[BKG(Y)])</f>
        <v>179</v>
      </c>
      <c r="J3" s="282">
        <f>SUBTOTAL(109,MED_HBE_LF_LEGACY[GRP(Y)])</f>
        <v>172</v>
      </c>
      <c r="K3" s="279"/>
      <c r="L3" s="280"/>
      <c r="M3" s="282">
        <f>SUBTOTAL(109,MED_HBE_LF_LEGACY[TO-DAY])</f>
        <v>0</v>
      </c>
      <c r="N3" s="282">
        <f>SUBTOTAL(109,MED_HBE_LF_LEGACY[Y-DAY])</f>
        <v>2</v>
      </c>
      <c r="O3" s="282">
        <f>SUBTOTAL(109,MED_HBE_LF_LEGACY[WEEKLY])</f>
        <v>5</v>
      </c>
      <c r="P3" s="283"/>
      <c r="Q3" s="279">
        <f>SUBTOTAL(109,MED_HBE_LF_LEGACY[Y])</f>
        <v>0</v>
      </c>
      <c r="R3" s="279">
        <f>SUBTOTAL(109,MED_HBE_LF_LEGACY[B])</f>
        <v>0</v>
      </c>
      <c r="S3" s="279">
        <f>SUBTOTAL(109,MED_HBE_LF_LEGACY[M])</f>
        <v>0</v>
      </c>
      <c r="T3" s="279">
        <f>SUBTOTAL(109,MED_HBE_LF_LEGACY[H])</f>
        <v>0</v>
      </c>
      <c r="U3" s="282">
        <f>SUBTOTAL(109,MED_HBE_LF_LEGACY[Q])</f>
        <v>0</v>
      </c>
      <c r="V3" s="279">
        <f>SUBTOTAL(109,MED_HBE_LF_LEGACY[K])</f>
        <v>0</v>
      </c>
      <c r="W3" s="279">
        <f>SUBTOTAL(109,MED_HBE_LF_LEGACY[V])</f>
        <v>0</v>
      </c>
      <c r="X3" s="279">
        <f>SUBTOTAL(109,MED_HBE_LF_LEGACY[L])</f>
        <v>0</v>
      </c>
      <c r="Y3" s="279">
        <f>SUBTOTAL(109,MED_HBE_LF_LEGACY[G])</f>
        <v>0</v>
      </c>
      <c r="Z3" s="279">
        <f>SUBTOTAL(109,MED_HBE_LF_LEGACY[S])</f>
        <v>0</v>
      </c>
      <c r="AA3" s="279">
        <f>SUBTOTAL(109,MED_HBE_LF_LEGACY[W])</f>
        <v>0</v>
      </c>
      <c r="AB3" s="279">
        <f>SUBTOTAL(109,MED_HBE_LF_LEGACY[T])</f>
        <v>0</v>
      </c>
      <c r="AC3" s="279">
        <f>SUBTOTAL(109,MED_HBE_LF_LEGACY[X])</f>
        <v>0</v>
      </c>
      <c r="AD3" s="279">
        <f>SUBTOTAL(109,MED_HBE_LF_LEGACY[U])</f>
        <v>0</v>
      </c>
      <c r="AE3" s="279">
        <f>SUBTOTAL(109,MED_HBE_LF_LEGACY[O])</f>
        <v>0</v>
      </c>
      <c r="AF3" s="279">
        <f>SUBTOTAL(109,MED_HBE_LF_LEGACY[I])</f>
        <v>0</v>
      </c>
      <c r="AG3" s="279">
        <f>SUBTOTAL(109,MED_HBE_LF_LEGACY[E])</f>
        <v>0</v>
      </c>
      <c r="AH3" s="279">
        <f>SUBTOTAL(109,MED_HBE_LF_LEGACY[A])</f>
        <v>0</v>
      </c>
      <c r="AI3" s="282">
        <f>SUBTOTAL(109,MED_HBE_LF_LEGACY[P])</f>
        <v>0</v>
      </c>
      <c r="AJ3" s="279">
        <f>SUBTOTAL(103,MED_HBE_LF_LEGACY[N])</f>
        <v>0</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36"/>
  <sheetViews>
    <sheetView workbookViewId="0"/>
  </sheetViews>
  <sheetFormatPr defaultRowHeight="14.4" x14ac:dyDescent="0.3"/>
  <cols>
    <col min="1" max="1" width="11.88671875" bestFit="1" customWidth="1"/>
    <col min="2" max="2" width="13.77734375" bestFit="1" customWidth="1"/>
    <col min="3" max="3" width="19.21875" bestFit="1" customWidth="1"/>
    <col min="4" max="4" width="12.77734375" bestFit="1" customWidth="1"/>
    <col min="5" max="5" width="18.33203125" bestFit="1" customWidth="1"/>
    <col min="6" max="6" width="33.21875" bestFit="1" customWidth="1"/>
    <col min="7" max="7" width="20" bestFit="1" customWidth="1"/>
    <col min="8" max="8" width="23.6640625" bestFit="1" customWidth="1"/>
    <col min="9" max="9" width="0" hidden="1" customWidth="1"/>
  </cols>
  <sheetData>
    <row r="1" spans="1:8" ht="18" x14ac:dyDescent="0.3">
      <c r="A1" s="57" t="s">
        <v>156</v>
      </c>
      <c r="B1" s="58" t="s">
        <v>8</v>
      </c>
      <c r="C1" s="58" t="s">
        <v>9</v>
      </c>
      <c r="D1" s="58" t="s">
        <v>157</v>
      </c>
      <c r="E1" s="58" t="s">
        <v>10</v>
      </c>
      <c r="F1" s="58" t="s">
        <v>11</v>
      </c>
      <c r="G1" s="58" t="s">
        <v>12</v>
      </c>
      <c r="H1" s="59" t="s">
        <v>13</v>
      </c>
    </row>
    <row r="2" spans="1:8" ht="19.8" customHeight="1" x14ac:dyDescent="0.3">
      <c r="A2" s="60" t="s">
        <v>158</v>
      </c>
      <c r="B2" s="61" t="s">
        <v>46</v>
      </c>
      <c r="C2" s="62" t="s">
        <v>171</v>
      </c>
      <c r="D2" s="61" t="s">
        <v>170</v>
      </c>
      <c r="E2" s="61" t="s">
        <v>187</v>
      </c>
      <c r="F2" s="61" t="s">
        <v>48</v>
      </c>
      <c r="G2" s="63">
        <v>9</v>
      </c>
      <c r="H2" s="64">
        <v>860</v>
      </c>
    </row>
    <row r="3" spans="1:8" ht="19.8" customHeight="1" x14ac:dyDescent="0.3">
      <c r="A3" s="96"/>
      <c r="B3" s="97"/>
      <c r="C3" s="97"/>
      <c r="D3" s="97"/>
      <c r="E3" s="97"/>
      <c r="F3" s="98" t="s">
        <v>188</v>
      </c>
      <c r="G3" s="97"/>
      <c r="H3" s="99"/>
    </row>
    <row r="4" spans="1:8" ht="19.8" customHeight="1" x14ac:dyDescent="0.3">
      <c r="A4" s="60" t="s">
        <v>158</v>
      </c>
      <c r="B4" s="61" t="s">
        <v>26</v>
      </c>
      <c r="C4" s="62" t="s">
        <v>27</v>
      </c>
      <c r="D4" s="61" t="s">
        <v>1</v>
      </c>
      <c r="E4" s="61" t="s">
        <v>159</v>
      </c>
      <c r="F4" s="61" t="s">
        <v>28</v>
      </c>
      <c r="G4" s="63">
        <v>9</v>
      </c>
      <c r="H4" s="64">
        <v>559</v>
      </c>
    </row>
    <row r="5" spans="1:8" ht="19.8" customHeight="1" x14ac:dyDescent="0.3">
      <c r="A5" s="60" t="s">
        <v>158</v>
      </c>
      <c r="B5" s="61" t="s">
        <v>36</v>
      </c>
      <c r="C5" s="62" t="s">
        <v>37</v>
      </c>
      <c r="D5" s="61" t="s">
        <v>1</v>
      </c>
      <c r="E5" s="61" t="s">
        <v>160</v>
      </c>
      <c r="F5" s="61" t="s">
        <v>38</v>
      </c>
      <c r="G5" s="63">
        <v>23</v>
      </c>
      <c r="H5" s="64">
        <v>619</v>
      </c>
    </row>
    <row r="6" spans="1:8" ht="19.8" customHeight="1" x14ac:dyDescent="0.3">
      <c r="A6" s="60" t="s">
        <v>158</v>
      </c>
      <c r="B6" s="61" t="s">
        <v>26</v>
      </c>
      <c r="C6" s="62" t="s">
        <v>27</v>
      </c>
      <c r="D6" s="61" t="s">
        <v>1</v>
      </c>
      <c r="E6" s="61" t="s">
        <v>159</v>
      </c>
      <c r="F6" s="61" t="s">
        <v>31</v>
      </c>
      <c r="G6" s="63">
        <v>9</v>
      </c>
      <c r="H6" s="64">
        <v>659</v>
      </c>
    </row>
    <row r="7" spans="1:8" ht="19.8" customHeight="1" x14ac:dyDescent="0.3">
      <c r="A7" s="60" t="s">
        <v>158</v>
      </c>
      <c r="B7" s="61" t="s">
        <v>26</v>
      </c>
      <c r="C7" s="62" t="s">
        <v>27</v>
      </c>
      <c r="D7" s="61" t="s">
        <v>1</v>
      </c>
      <c r="E7" s="61" t="s">
        <v>159</v>
      </c>
      <c r="F7" s="61" t="s">
        <v>34</v>
      </c>
      <c r="G7" s="63">
        <v>9</v>
      </c>
      <c r="H7" s="64">
        <v>749</v>
      </c>
    </row>
    <row r="8" spans="1:8" ht="19.8" customHeight="1" x14ac:dyDescent="0.3">
      <c r="A8" s="60" t="s">
        <v>158</v>
      </c>
      <c r="B8" s="61" t="s">
        <v>36</v>
      </c>
      <c r="C8" s="62" t="s">
        <v>37</v>
      </c>
      <c r="D8" s="61" t="s">
        <v>1</v>
      </c>
      <c r="E8" s="61" t="s">
        <v>160</v>
      </c>
      <c r="F8" s="61" t="s">
        <v>41</v>
      </c>
      <c r="G8" s="63">
        <v>23</v>
      </c>
      <c r="H8" s="64">
        <v>769</v>
      </c>
    </row>
    <row r="9" spans="1:8" ht="19.8" customHeight="1" x14ac:dyDescent="0.3">
      <c r="A9" s="60" t="s">
        <v>158</v>
      </c>
      <c r="B9" s="61" t="s">
        <v>46</v>
      </c>
      <c r="C9" s="62" t="s">
        <v>47</v>
      </c>
      <c r="D9" s="61" t="s">
        <v>1</v>
      </c>
      <c r="E9" s="61" t="s">
        <v>161</v>
      </c>
      <c r="F9" s="61" t="s">
        <v>48</v>
      </c>
      <c r="G9" s="63">
        <v>9</v>
      </c>
      <c r="H9" s="64">
        <v>962</v>
      </c>
    </row>
    <row r="10" spans="1:8" ht="19.8" customHeight="1" x14ac:dyDescent="0.3">
      <c r="A10" s="60" t="s">
        <v>158</v>
      </c>
      <c r="B10" s="61" t="s">
        <v>46</v>
      </c>
      <c r="C10" s="62" t="s">
        <v>51</v>
      </c>
      <c r="D10" s="61" t="s">
        <v>1</v>
      </c>
      <c r="E10" s="61" t="s">
        <v>162</v>
      </c>
      <c r="F10" s="61" t="s">
        <v>48</v>
      </c>
      <c r="G10" s="63">
        <v>9</v>
      </c>
      <c r="H10" s="64">
        <v>962</v>
      </c>
    </row>
    <row r="11" spans="1:8" ht="19.8" customHeight="1" x14ac:dyDescent="0.3">
      <c r="A11" s="60" t="s">
        <v>158</v>
      </c>
      <c r="B11" s="61" t="s">
        <v>46</v>
      </c>
      <c r="C11" s="62" t="s">
        <v>53</v>
      </c>
      <c r="D11" s="61" t="s">
        <v>1</v>
      </c>
      <c r="E11" s="61" t="s">
        <v>163</v>
      </c>
      <c r="F11" s="61" t="s">
        <v>48</v>
      </c>
      <c r="G11" s="63">
        <v>9</v>
      </c>
      <c r="H11" s="64">
        <v>962</v>
      </c>
    </row>
    <row r="12" spans="1:8" ht="19.8" customHeight="1" x14ac:dyDescent="0.3">
      <c r="A12" s="60" t="s">
        <v>158</v>
      </c>
      <c r="B12" s="61" t="s">
        <v>36</v>
      </c>
      <c r="C12" s="62" t="s">
        <v>37</v>
      </c>
      <c r="D12" s="61" t="s">
        <v>1</v>
      </c>
      <c r="E12" s="61" t="s">
        <v>160</v>
      </c>
      <c r="F12" s="61" t="s">
        <v>44</v>
      </c>
      <c r="G12" s="63">
        <v>23</v>
      </c>
      <c r="H12" s="65" t="s">
        <v>45</v>
      </c>
    </row>
    <row r="13" spans="1:8" ht="19.8" customHeight="1" x14ac:dyDescent="0.3">
      <c r="A13" s="66" t="s">
        <v>158</v>
      </c>
      <c r="B13" s="67" t="s">
        <v>56</v>
      </c>
      <c r="C13" s="68" t="s">
        <v>57</v>
      </c>
      <c r="D13" s="67" t="s">
        <v>1</v>
      </c>
      <c r="E13" s="67" t="s">
        <v>160</v>
      </c>
      <c r="F13" s="67" t="s">
        <v>58</v>
      </c>
      <c r="G13" s="69">
        <v>4</v>
      </c>
      <c r="H13" s="70" t="s">
        <v>60</v>
      </c>
    </row>
    <row r="14" spans="1:8" ht="19.8" customHeight="1" x14ac:dyDescent="0.3">
      <c r="A14" s="96"/>
      <c r="B14" s="97"/>
      <c r="C14" s="97"/>
      <c r="D14" s="97"/>
      <c r="E14" s="97"/>
      <c r="F14" s="98" t="s">
        <v>188</v>
      </c>
      <c r="G14" s="97"/>
      <c r="H14" s="99"/>
    </row>
    <row r="15" spans="1:8" ht="19.8" customHeight="1" x14ac:dyDescent="0.3">
      <c r="A15" s="60" t="s">
        <v>168</v>
      </c>
      <c r="B15" s="61" t="s">
        <v>26</v>
      </c>
      <c r="C15" s="62" t="s">
        <v>73</v>
      </c>
      <c r="D15" s="61" t="s">
        <v>1</v>
      </c>
      <c r="E15" s="61" t="s">
        <v>169</v>
      </c>
      <c r="F15" s="61" t="s">
        <v>28</v>
      </c>
      <c r="G15" s="63">
        <v>3</v>
      </c>
      <c r="H15" s="64">
        <v>609</v>
      </c>
    </row>
    <row r="16" spans="1:8" ht="19.8" customHeight="1" x14ac:dyDescent="0.3">
      <c r="A16" s="60" t="s">
        <v>168</v>
      </c>
      <c r="B16" s="61" t="s">
        <v>36</v>
      </c>
      <c r="C16" s="62" t="s">
        <v>37</v>
      </c>
      <c r="D16" s="61" t="s">
        <v>1</v>
      </c>
      <c r="E16" s="61" t="s">
        <v>160</v>
      </c>
      <c r="F16" s="61" t="s">
        <v>38</v>
      </c>
      <c r="G16" s="63">
        <v>14</v>
      </c>
      <c r="H16" s="64">
        <v>619</v>
      </c>
    </row>
    <row r="17" spans="1:8" ht="19.8" customHeight="1" x14ac:dyDescent="0.3">
      <c r="A17" s="60" t="s">
        <v>168</v>
      </c>
      <c r="B17" s="61" t="s">
        <v>26</v>
      </c>
      <c r="C17" s="62" t="s">
        <v>27</v>
      </c>
      <c r="D17" s="61" t="s">
        <v>1</v>
      </c>
      <c r="E17" s="61" t="s">
        <v>159</v>
      </c>
      <c r="F17" s="61" t="s">
        <v>28</v>
      </c>
      <c r="G17" s="63">
        <v>1</v>
      </c>
      <c r="H17" s="64">
        <v>689</v>
      </c>
    </row>
    <row r="18" spans="1:8" ht="19.8" customHeight="1" x14ac:dyDescent="0.3">
      <c r="A18" s="60" t="s">
        <v>168</v>
      </c>
      <c r="B18" s="61" t="s">
        <v>26</v>
      </c>
      <c r="C18" s="62" t="s">
        <v>73</v>
      </c>
      <c r="D18" s="61" t="s">
        <v>1</v>
      </c>
      <c r="E18" s="61" t="s">
        <v>169</v>
      </c>
      <c r="F18" s="61" t="s">
        <v>31</v>
      </c>
      <c r="G18" s="63">
        <v>3</v>
      </c>
      <c r="H18" s="64">
        <v>709</v>
      </c>
    </row>
    <row r="19" spans="1:8" ht="19.8" customHeight="1" x14ac:dyDescent="0.3">
      <c r="A19" s="60" t="s">
        <v>168</v>
      </c>
      <c r="B19" s="61" t="s">
        <v>36</v>
      </c>
      <c r="C19" s="62" t="s">
        <v>37</v>
      </c>
      <c r="D19" s="61" t="s">
        <v>1</v>
      </c>
      <c r="E19" s="61" t="s">
        <v>160</v>
      </c>
      <c r="F19" s="61" t="s">
        <v>41</v>
      </c>
      <c r="G19" s="63">
        <v>14</v>
      </c>
      <c r="H19" s="64">
        <v>769</v>
      </c>
    </row>
    <row r="20" spans="1:8" ht="19.8" customHeight="1" x14ac:dyDescent="0.3">
      <c r="A20" s="60" t="s">
        <v>168</v>
      </c>
      <c r="B20" s="61" t="s">
        <v>26</v>
      </c>
      <c r="C20" s="62" t="s">
        <v>27</v>
      </c>
      <c r="D20" s="61" t="s">
        <v>1</v>
      </c>
      <c r="E20" s="61" t="s">
        <v>159</v>
      </c>
      <c r="F20" s="61" t="s">
        <v>31</v>
      </c>
      <c r="G20" s="63">
        <v>1</v>
      </c>
      <c r="H20" s="64">
        <v>789</v>
      </c>
    </row>
    <row r="21" spans="1:8" ht="19.8" customHeight="1" x14ac:dyDescent="0.3">
      <c r="A21" s="60" t="s">
        <v>168</v>
      </c>
      <c r="B21" s="61" t="s">
        <v>26</v>
      </c>
      <c r="C21" s="62" t="s">
        <v>73</v>
      </c>
      <c r="D21" s="61" t="s">
        <v>1</v>
      </c>
      <c r="E21" s="61" t="s">
        <v>169</v>
      </c>
      <c r="F21" s="61" t="s">
        <v>34</v>
      </c>
      <c r="G21" s="63">
        <v>3</v>
      </c>
      <c r="H21" s="64">
        <v>799</v>
      </c>
    </row>
    <row r="22" spans="1:8" ht="19.8" customHeight="1" x14ac:dyDescent="0.3">
      <c r="A22" s="60" t="s">
        <v>168</v>
      </c>
      <c r="B22" s="61" t="s">
        <v>26</v>
      </c>
      <c r="C22" s="62" t="s">
        <v>27</v>
      </c>
      <c r="D22" s="61" t="s">
        <v>1</v>
      </c>
      <c r="E22" s="61" t="s">
        <v>159</v>
      </c>
      <c r="F22" s="61" t="s">
        <v>34</v>
      </c>
      <c r="G22" s="63">
        <v>1</v>
      </c>
      <c r="H22" s="64">
        <v>879</v>
      </c>
    </row>
    <row r="23" spans="1:8" ht="19.8" customHeight="1" x14ac:dyDescent="0.3">
      <c r="A23" s="60" t="s">
        <v>168</v>
      </c>
      <c r="B23" s="61" t="s">
        <v>46</v>
      </c>
      <c r="C23" s="62" t="s">
        <v>51</v>
      </c>
      <c r="D23" s="61" t="s">
        <v>1</v>
      </c>
      <c r="E23" s="61" t="s">
        <v>162</v>
      </c>
      <c r="F23" s="61" t="s">
        <v>48</v>
      </c>
      <c r="G23" s="63">
        <v>9</v>
      </c>
      <c r="H23" s="65" t="s">
        <v>86</v>
      </c>
    </row>
    <row r="24" spans="1:8" ht="19.8" customHeight="1" x14ac:dyDescent="0.3">
      <c r="A24" s="66" t="s">
        <v>168</v>
      </c>
      <c r="B24" s="67" t="s">
        <v>36</v>
      </c>
      <c r="C24" s="68" t="s">
        <v>37</v>
      </c>
      <c r="D24" s="67" t="s">
        <v>1</v>
      </c>
      <c r="E24" s="67" t="s">
        <v>160</v>
      </c>
      <c r="F24" s="67" t="s">
        <v>44</v>
      </c>
      <c r="G24" s="69">
        <v>14</v>
      </c>
      <c r="H24" s="70" t="s">
        <v>85</v>
      </c>
    </row>
    <row r="25" spans="1:8" ht="19.8" customHeight="1" x14ac:dyDescent="0.3">
      <c r="A25" s="100" t="s">
        <v>189</v>
      </c>
      <c r="B25" s="101" t="s">
        <v>93</v>
      </c>
      <c r="C25" s="102" t="s">
        <v>178</v>
      </c>
      <c r="D25" s="101" t="s">
        <v>170</v>
      </c>
      <c r="E25" s="101" t="s">
        <v>184</v>
      </c>
      <c r="F25" s="101"/>
      <c r="G25" s="101"/>
      <c r="H25" s="103" t="s">
        <v>96</v>
      </c>
    </row>
    <row r="26" spans="1:8" ht="19.8" customHeight="1" x14ac:dyDescent="0.3">
      <c r="A26" s="96"/>
      <c r="B26" s="97"/>
      <c r="C26" s="97"/>
      <c r="D26" s="97"/>
      <c r="E26" s="97"/>
      <c r="F26" s="98" t="s">
        <v>188</v>
      </c>
      <c r="G26" s="97"/>
      <c r="H26" s="99"/>
    </row>
    <row r="27" spans="1:8" ht="19.8" customHeight="1" x14ac:dyDescent="0.3">
      <c r="A27" s="75">
        <v>45984</v>
      </c>
      <c r="B27" s="61" t="s">
        <v>36</v>
      </c>
      <c r="C27" s="62" t="s">
        <v>37</v>
      </c>
      <c r="D27" s="61" t="s">
        <v>1</v>
      </c>
      <c r="E27" s="76">
        <v>1.4201388888888891</v>
      </c>
      <c r="F27" s="61" t="s">
        <v>38</v>
      </c>
      <c r="G27" s="63">
        <v>6</v>
      </c>
      <c r="H27" s="64">
        <v>619</v>
      </c>
    </row>
    <row r="28" spans="1:8" ht="19.8" customHeight="1" x14ac:dyDescent="0.3">
      <c r="A28" s="75">
        <v>45984</v>
      </c>
      <c r="B28" s="61" t="s">
        <v>26</v>
      </c>
      <c r="C28" s="62" t="s">
        <v>27</v>
      </c>
      <c r="D28" s="61" t="s">
        <v>1</v>
      </c>
      <c r="E28" s="76">
        <v>1.756944444444444</v>
      </c>
      <c r="F28" s="61" t="s">
        <v>28</v>
      </c>
      <c r="G28" s="63">
        <v>9</v>
      </c>
      <c r="H28" s="64">
        <v>689</v>
      </c>
    </row>
    <row r="29" spans="1:8" ht="19.8" customHeight="1" x14ac:dyDescent="0.3">
      <c r="A29" s="75">
        <v>45984</v>
      </c>
      <c r="B29" s="61" t="s">
        <v>36</v>
      </c>
      <c r="C29" s="62" t="s">
        <v>37</v>
      </c>
      <c r="D29" s="61" t="s">
        <v>1</v>
      </c>
      <c r="E29" s="76">
        <v>1.4201388888888891</v>
      </c>
      <c r="F29" s="61" t="s">
        <v>41</v>
      </c>
      <c r="G29" s="63">
        <v>6</v>
      </c>
      <c r="H29" s="64">
        <v>769</v>
      </c>
    </row>
    <row r="30" spans="1:8" ht="19.8" customHeight="1" x14ac:dyDescent="0.3">
      <c r="A30" s="75">
        <v>45984</v>
      </c>
      <c r="B30" s="61" t="s">
        <v>26</v>
      </c>
      <c r="C30" s="62" t="s">
        <v>27</v>
      </c>
      <c r="D30" s="61" t="s">
        <v>1</v>
      </c>
      <c r="E30" s="76">
        <v>1.756944444444444</v>
      </c>
      <c r="F30" s="61" t="s">
        <v>31</v>
      </c>
      <c r="G30" s="63">
        <v>9</v>
      </c>
      <c r="H30" s="64">
        <v>789</v>
      </c>
    </row>
    <row r="31" spans="1:8" ht="19.8" customHeight="1" x14ac:dyDescent="0.3">
      <c r="A31" s="75">
        <v>45984</v>
      </c>
      <c r="B31" s="61" t="s">
        <v>26</v>
      </c>
      <c r="C31" s="62" t="s">
        <v>27</v>
      </c>
      <c r="D31" s="61" t="s">
        <v>1</v>
      </c>
      <c r="E31" s="76">
        <v>1.756944444444444</v>
      </c>
      <c r="F31" s="61" t="s">
        <v>34</v>
      </c>
      <c r="G31" s="63">
        <v>9</v>
      </c>
      <c r="H31" s="64">
        <v>879</v>
      </c>
    </row>
    <row r="32" spans="1:8" ht="19.8" customHeight="1" x14ac:dyDescent="0.3">
      <c r="A32" s="75">
        <v>45984</v>
      </c>
      <c r="B32" s="61" t="s">
        <v>36</v>
      </c>
      <c r="C32" s="62" t="s">
        <v>37</v>
      </c>
      <c r="D32" s="61" t="s">
        <v>1</v>
      </c>
      <c r="E32" s="76">
        <v>1.4201388888888891</v>
      </c>
      <c r="F32" s="61" t="s">
        <v>44</v>
      </c>
      <c r="G32" s="63">
        <v>6</v>
      </c>
      <c r="H32" s="65" t="s">
        <v>85</v>
      </c>
    </row>
    <row r="33" spans="1:8" ht="19.8" customHeight="1" x14ac:dyDescent="0.3">
      <c r="A33" s="75">
        <v>45984</v>
      </c>
      <c r="B33" s="61" t="s">
        <v>56</v>
      </c>
      <c r="C33" s="62" t="s">
        <v>57</v>
      </c>
      <c r="D33" s="61" t="s">
        <v>1</v>
      </c>
      <c r="E33" s="76">
        <v>1.4201388888888891</v>
      </c>
      <c r="F33" s="61" t="s">
        <v>58</v>
      </c>
      <c r="G33" s="63">
        <v>4</v>
      </c>
      <c r="H33" s="65" t="s">
        <v>60</v>
      </c>
    </row>
    <row r="34" spans="1:8" ht="19.8" customHeight="1" x14ac:dyDescent="0.3">
      <c r="A34" s="75">
        <v>45984</v>
      </c>
      <c r="B34" s="61" t="s">
        <v>46</v>
      </c>
      <c r="C34" s="62" t="s">
        <v>53</v>
      </c>
      <c r="D34" s="61" t="s">
        <v>1</v>
      </c>
      <c r="E34" s="76">
        <v>1.2222222222222221</v>
      </c>
      <c r="F34" s="61" t="s">
        <v>48</v>
      </c>
      <c r="G34" s="63">
        <v>1</v>
      </c>
      <c r="H34" s="65" t="s">
        <v>55</v>
      </c>
    </row>
    <row r="35" spans="1:8" ht="19.8" customHeight="1" x14ac:dyDescent="0.3">
      <c r="A35" s="75">
        <v>45984</v>
      </c>
      <c r="B35" s="61" t="s">
        <v>56</v>
      </c>
      <c r="C35" s="62" t="s">
        <v>67</v>
      </c>
      <c r="D35" s="61" t="s">
        <v>1</v>
      </c>
      <c r="E35" s="76">
        <v>1.086805555555556</v>
      </c>
      <c r="F35" s="61" t="s">
        <v>62</v>
      </c>
      <c r="G35" s="63">
        <v>9</v>
      </c>
      <c r="H35" s="65" t="s">
        <v>64</v>
      </c>
    </row>
    <row r="36" spans="1:8" ht="19.8" customHeight="1" x14ac:dyDescent="0.3">
      <c r="A36" s="104">
        <v>45984</v>
      </c>
      <c r="B36" s="67" t="s">
        <v>56</v>
      </c>
      <c r="C36" s="68" t="s">
        <v>67</v>
      </c>
      <c r="D36" s="67" t="s">
        <v>1</v>
      </c>
      <c r="E36" s="105">
        <v>1.086805555555556</v>
      </c>
      <c r="F36" s="67" t="s">
        <v>58</v>
      </c>
      <c r="G36" s="69">
        <v>9</v>
      </c>
      <c r="H36" s="70" t="s">
        <v>66</v>
      </c>
    </row>
  </sheetData>
  <pageMargins left="0.75" right="0.75" top="1" bottom="1" header="0.5" footer="0.5"/>
  <legacyDrawing r:id="rId1"/>
  <tableParts count="1">
    <tablePart r:id="rId2"/>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36"/>
  <sheetViews>
    <sheetView workbookViewId="0"/>
  </sheetViews>
  <sheetFormatPr defaultRowHeight="14.4" x14ac:dyDescent="0.3"/>
  <cols>
    <col min="1" max="1" width="11.88671875" bestFit="1" customWidth="1"/>
    <col min="2" max="2" width="13.77734375" bestFit="1" customWidth="1"/>
    <col min="3" max="3" width="19.21875" bestFit="1" customWidth="1"/>
    <col min="4" max="4" width="12.77734375" bestFit="1" customWidth="1"/>
    <col min="5" max="5" width="18.33203125" bestFit="1" customWidth="1"/>
    <col min="6" max="6" width="33.21875" bestFit="1" customWidth="1"/>
    <col min="7" max="7" width="20" bestFit="1" customWidth="1"/>
    <col min="8" max="8" width="23.6640625" bestFit="1" customWidth="1"/>
    <col min="9" max="9" width="0" hidden="1" customWidth="1"/>
  </cols>
  <sheetData>
    <row r="1" spans="1:8" ht="18" x14ac:dyDescent="0.3">
      <c r="A1" s="57" t="s">
        <v>156</v>
      </c>
      <c r="B1" s="58" t="s">
        <v>8</v>
      </c>
      <c r="C1" s="58" t="s">
        <v>9</v>
      </c>
      <c r="D1" s="58" t="s">
        <v>157</v>
      </c>
      <c r="E1" s="58" t="s">
        <v>10</v>
      </c>
      <c r="F1" s="58" t="s">
        <v>11</v>
      </c>
      <c r="G1" s="58" t="s">
        <v>12</v>
      </c>
      <c r="H1" s="59" t="s">
        <v>13</v>
      </c>
    </row>
    <row r="2" spans="1:8" ht="19.8" customHeight="1" x14ac:dyDescent="0.3">
      <c r="A2" s="60" t="s">
        <v>158</v>
      </c>
      <c r="B2" s="61" t="s">
        <v>46</v>
      </c>
      <c r="C2" s="62" t="s">
        <v>171</v>
      </c>
      <c r="D2" s="61" t="s">
        <v>170</v>
      </c>
      <c r="E2" s="61" t="s">
        <v>187</v>
      </c>
      <c r="F2" s="61" t="s">
        <v>48</v>
      </c>
      <c r="G2" s="63">
        <v>9</v>
      </c>
      <c r="H2" s="64">
        <v>860</v>
      </c>
    </row>
    <row r="3" spans="1:8" ht="19.8" customHeight="1" x14ac:dyDescent="0.3">
      <c r="A3" s="96"/>
      <c r="B3" s="97"/>
      <c r="C3" s="97"/>
      <c r="D3" s="97"/>
      <c r="E3" s="97"/>
      <c r="F3" s="98" t="s">
        <v>188</v>
      </c>
      <c r="G3" s="97"/>
      <c r="H3" s="99"/>
    </row>
    <row r="4" spans="1:8" ht="19.8" customHeight="1" x14ac:dyDescent="0.3">
      <c r="A4" s="60" t="s">
        <v>158</v>
      </c>
      <c r="B4" s="61" t="s">
        <v>26</v>
      </c>
      <c r="C4" s="62" t="s">
        <v>27</v>
      </c>
      <c r="D4" s="61" t="s">
        <v>1</v>
      </c>
      <c r="E4" s="61" t="s">
        <v>159</v>
      </c>
      <c r="F4" s="61" t="s">
        <v>28</v>
      </c>
      <c r="G4" s="63">
        <v>9</v>
      </c>
      <c r="H4" s="64">
        <v>559</v>
      </c>
    </row>
    <row r="5" spans="1:8" ht="19.8" customHeight="1" x14ac:dyDescent="0.3">
      <c r="A5" s="60" t="s">
        <v>158</v>
      </c>
      <c r="B5" s="61" t="s">
        <v>36</v>
      </c>
      <c r="C5" s="62" t="s">
        <v>37</v>
      </c>
      <c r="D5" s="61" t="s">
        <v>1</v>
      </c>
      <c r="E5" s="61" t="s">
        <v>160</v>
      </c>
      <c r="F5" s="61" t="s">
        <v>38</v>
      </c>
      <c r="G5" s="63">
        <v>23</v>
      </c>
      <c r="H5" s="64">
        <v>619</v>
      </c>
    </row>
    <row r="6" spans="1:8" ht="19.8" customHeight="1" x14ac:dyDescent="0.3">
      <c r="A6" s="60" t="s">
        <v>158</v>
      </c>
      <c r="B6" s="61" t="s">
        <v>26</v>
      </c>
      <c r="C6" s="62" t="s">
        <v>27</v>
      </c>
      <c r="D6" s="61" t="s">
        <v>1</v>
      </c>
      <c r="E6" s="61" t="s">
        <v>159</v>
      </c>
      <c r="F6" s="61" t="s">
        <v>31</v>
      </c>
      <c r="G6" s="63">
        <v>9</v>
      </c>
      <c r="H6" s="64">
        <v>659</v>
      </c>
    </row>
    <row r="7" spans="1:8" ht="19.8" customHeight="1" x14ac:dyDescent="0.3">
      <c r="A7" s="60" t="s">
        <v>158</v>
      </c>
      <c r="B7" s="61" t="s">
        <v>26</v>
      </c>
      <c r="C7" s="62" t="s">
        <v>27</v>
      </c>
      <c r="D7" s="61" t="s">
        <v>1</v>
      </c>
      <c r="E7" s="61" t="s">
        <v>159</v>
      </c>
      <c r="F7" s="61" t="s">
        <v>34</v>
      </c>
      <c r="G7" s="63">
        <v>9</v>
      </c>
      <c r="H7" s="64">
        <v>749</v>
      </c>
    </row>
    <row r="8" spans="1:8" ht="19.8" customHeight="1" x14ac:dyDescent="0.3">
      <c r="A8" s="60" t="s">
        <v>158</v>
      </c>
      <c r="B8" s="61" t="s">
        <v>36</v>
      </c>
      <c r="C8" s="62" t="s">
        <v>37</v>
      </c>
      <c r="D8" s="61" t="s">
        <v>1</v>
      </c>
      <c r="E8" s="61" t="s">
        <v>160</v>
      </c>
      <c r="F8" s="61" t="s">
        <v>41</v>
      </c>
      <c r="G8" s="63">
        <v>23</v>
      </c>
      <c r="H8" s="64">
        <v>769</v>
      </c>
    </row>
    <row r="9" spans="1:8" ht="19.8" customHeight="1" x14ac:dyDescent="0.3">
      <c r="A9" s="60" t="s">
        <v>158</v>
      </c>
      <c r="B9" s="61" t="s">
        <v>46</v>
      </c>
      <c r="C9" s="62" t="s">
        <v>47</v>
      </c>
      <c r="D9" s="61" t="s">
        <v>1</v>
      </c>
      <c r="E9" s="61" t="s">
        <v>161</v>
      </c>
      <c r="F9" s="61" t="s">
        <v>48</v>
      </c>
      <c r="G9" s="63">
        <v>9</v>
      </c>
      <c r="H9" s="64">
        <v>962</v>
      </c>
    </row>
    <row r="10" spans="1:8" ht="19.8" customHeight="1" x14ac:dyDescent="0.3">
      <c r="A10" s="60" t="s">
        <v>158</v>
      </c>
      <c r="B10" s="61" t="s">
        <v>46</v>
      </c>
      <c r="C10" s="62" t="s">
        <v>51</v>
      </c>
      <c r="D10" s="61" t="s">
        <v>1</v>
      </c>
      <c r="E10" s="61" t="s">
        <v>162</v>
      </c>
      <c r="F10" s="61" t="s">
        <v>48</v>
      </c>
      <c r="G10" s="63">
        <v>9</v>
      </c>
      <c r="H10" s="64">
        <v>962</v>
      </c>
    </row>
    <row r="11" spans="1:8" ht="19.8" customHeight="1" x14ac:dyDescent="0.3">
      <c r="A11" s="60" t="s">
        <v>158</v>
      </c>
      <c r="B11" s="61" t="s">
        <v>46</v>
      </c>
      <c r="C11" s="62" t="s">
        <v>53</v>
      </c>
      <c r="D11" s="61" t="s">
        <v>1</v>
      </c>
      <c r="E11" s="61" t="s">
        <v>163</v>
      </c>
      <c r="F11" s="61" t="s">
        <v>48</v>
      </c>
      <c r="G11" s="63">
        <v>9</v>
      </c>
      <c r="H11" s="64">
        <v>962</v>
      </c>
    </row>
    <row r="12" spans="1:8" ht="19.8" customHeight="1" x14ac:dyDescent="0.3">
      <c r="A12" s="60" t="s">
        <v>158</v>
      </c>
      <c r="B12" s="61" t="s">
        <v>36</v>
      </c>
      <c r="C12" s="62" t="s">
        <v>37</v>
      </c>
      <c r="D12" s="61" t="s">
        <v>1</v>
      </c>
      <c r="E12" s="61" t="s">
        <v>160</v>
      </c>
      <c r="F12" s="61" t="s">
        <v>44</v>
      </c>
      <c r="G12" s="63">
        <v>23</v>
      </c>
      <c r="H12" s="65" t="s">
        <v>45</v>
      </c>
    </row>
    <row r="13" spans="1:8" ht="19.8" customHeight="1" x14ac:dyDescent="0.3">
      <c r="A13" s="66" t="s">
        <v>158</v>
      </c>
      <c r="B13" s="67" t="s">
        <v>56</v>
      </c>
      <c r="C13" s="68" t="s">
        <v>57</v>
      </c>
      <c r="D13" s="67" t="s">
        <v>1</v>
      </c>
      <c r="E13" s="67" t="s">
        <v>160</v>
      </c>
      <c r="F13" s="67" t="s">
        <v>58</v>
      </c>
      <c r="G13" s="69">
        <v>4</v>
      </c>
      <c r="H13" s="70" t="s">
        <v>60</v>
      </c>
    </row>
    <row r="14" spans="1:8" ht="19.8" customHeight="1" x14ac:dyDescent="0.3">
      <c r="A14" s="96"/>
      <c r="B14" s="97"/>
      <c r="C14" s="97"/>
      <c r="D14" s="97"/>
      <c r="E14" s="97"/>
      <c r="F14" s="98" t="s">
        <v>188</v>
      </c>
      <c r="G14" s="97"/>
      <c r="H14" s="99"/>
    </row>
    <row r="15" spans="1:8" ht="19.8" customHeight="1" x14ac:dyDescent="0.3">
      <c r="A15" s="60" t="s">
        <v>168</v>
      </c>
      <c r="B15" s="61" t="s">
        <v>26</v>
      </c>
      <c r="C15" s="62" t="s">
        <v>73</v>
      </c>
      <c r="D15" s="61" t="s">
        <v>1</v>
      </c>
      <c r="E15" s="61" t="s">
        <v>169</v>
      </c>
      <c r="F15" s="61" t="s">
        <v>28</v>
      </c>
      <c r="G15" s="63">
        <v>3</v>
      </c>
      <c r="H15" s="64">
        <v>609</v>
      </c>
    </row>
    <row r="16" spans="1:8" ht="19.8" customHeight="1" x14ac:dyDescent="0.3">
      <c r="A16" s="60" t="s">
        <v>168</v>
      </c>
      <c r="B16" s="61" t="s">
        <v>36</v>
      </c>
      <c r="C16" s="62" t="s">
        <v>37</v>
      </c>
      <c r="D16" s="61" t="s">
        <v>1</v>
      </c>
      <c r="E16" s="61" t="s">
        <v>160</v>
      </c>
      <c r="F16" s="61" t="s">
        <v>38</v>
      </c>
      <c r="G16" s="63">
        <v>14</v>
      </c>
      <c r="H16" s="64">
        <v>619</v>
      </c>
    </row>
    <row r="17" spans="1:8" ht="19.8" customHeight="1" x14ac:dyDescent="0.3">
      <c r="A17" s="60" t="s">
        <v>168</v>
      </c>
      <c r="B17" s="61" t="s">
        <v>26</v>
      </c>
      <c r="C17" s="62" t="s">
        <v>27</v>
      </c>
      <c r="D17" s="61" t="s">
        <v>1</v>
      </c>
      <c r="E17" s="61" t="s">
        <v>159</v>
      </c>
      <c r="F17" s="61" t="s">
        <v>28</v>
      </c>
      <c r="G17" s="63">
        <v>1</v>
      </c>
      <c r="H17" s="64">
        <v>689</v>
      </c>
    </row>
    <row r="18" spans="1:8" ht="19.8" customHeight="1" x14ac:dyDescent="0.3">
      <c r="A18" s="60" t="s">
        <v>168</v>
      </c>
      <c r="B18" s="61" t="s">
        <v>26</v>
      </c>
      <c r="C18" s="62" t="s">
        <v>73</v>
      </c>
      <c r="D18" s="61" t="s">
        <v>1</v>
      </c>
      <c r="E18" s="61" t="s">
        <v>169</v>
      </c>
      <c r="F18" s="61" t="s">
        <v>31</v>
      </c>
      <c r="G18" s="63">
        <v>3</v>
      </c>
      <c r="H18" s="64">
        <v>709</v>
      </c>
    </row>
    <row r="19" spans="1:8" ht="19.8" customHeight="1" x14ac:dyDescent="0.3">
      <c r="A19" s="60" t="s">
        <v>168</v>
      </c>
      <c r="B19" s="61" t="s">
        <v>36</v>
      </c>
      <c r="C19" s="62" t="s">
        <v>37</v>
      </c>
      <c r="D19" s="61" t="s">
        <v>1</v>
      </c>
      <c r="E19" s="61" t="s">
        <v>160</v>
      </c>
      <c r="F19" s="61" t="s">
        <v>41</v>
      </c>
      <c r="G19" s="63">
        <v>14</v>
      </c>
      <c r="H19" s="64">
        <v>769</v>
      </c>
    </row>
    <row r="20" spans="1:8" ht="19.8" customHeight="1" x14ac:dyDescent="0.3">
      <c r="A20" s="60" t="s">
        <v>168</v>
      </c>
      <c r="B20" s="61" t="s">
        <v>26</v>
      </c>
      <c r="C20" s="62" t="s">
        <v>27</v>
      </c>
      <c r="D20" s="61" t="s">
        <v>1</v>
      </c>
      <c r="E20" s="61" t="s">
        <v>159</v>
      </c>
      <c r="F20" s="61" t="s">
        <v>31</v>
      </c>
      <c r="G20" s="63">
        <v>1</v>
      </c>
      <c r="H20" s="64">
        <v>789</v>
      </c>
    </row>
    <row r="21" spans="1:8" ht="19.8" customHeight="1" x14ac:dyDescent="0.3">
      <c r="A21" s="60" t="s">
        <v>168</v>
      </c>
      <c r="B21" s="61" t="s">
        <v>26</v>
      </c>
      <c r="C21" s="62" t="s">
        <v>73</v>
      </c>
      <c r="D21" s="61" t="s">
        <v>1</v>
      </c>
      <c r="E21" s="61" t="s">
        <v>169</v>
      </c>
      <c r="F21" s="61" t="s">
        <v>34</v>
      </c>
      <c r="G21" s="63">
        <v>3</v>
      </c>
      <c r="H21" s="64">
        <v>799</v>
      </c>
    </row>
    <row r="22" spans="1:8" ht="19.8" customHeight="1" x14ac:dyDescent="0.3">
      <c r="A22" s="60" t="s">
        <v>168</v>
      </c>
      <c r="B22" s="61" t="s">
        <v>26</v>
      </c>
      <c r="C22" s="62" t="s">
        <v>27</v>
      </c>
      <c r="D22" s="61" t="s">
        <v>1</v>
      </c>
      <c r="E22" s="61" t="s">
        <v>159</v>
      </c>
      <c r="F22" s="61" t="s">
        <v>34</v>
      </c>
      <c r="G22" s="63">
        <v>1</v>
      </c>
      <c r="H22" s="64">
        <v>879</v>
      </c>
    </row>
    <row r="23" spans="1:8" ht="19.8" customHeight="1" x14ac:dyDescent="0.3">
      <c r="A23" s="60" t="s">
        <v>168</v>
      </c>
      <c r="B23" s="61" t="s">
        <v>46</v>
      </c>
      <c r="C23" s="62" t="s">
        <v>51</v>
      </c>
      <c r="D23" s="61" t="s">
        <v>1</v>
      </c>
      <c r="E23" s="61" t="s">
        <v>162</v>
      </c>
      <c r="F23" s="61" t="s">
        <v>48</v>
      </c>
      <c r="G23" s="63">
        <v>9</v>
      </c>
      <c r="H23" s="65" t="s">
        <v>86</v>
      </c>
    </row>
    <row r="24" spans="1:8" ht="19.8" customHeight="1" x14ac:dyDescent="0.3">
      <c r="A24" s="66" t="s">
        <v>168</v>
      </c>
      <c r="B24" s="67" t="s">
        <v>36</v>
      </c>
      <c r="C24" s="68" t="s">
        <v>37</v>
      </c>
      <c r="D24" s="67" t="s">
        <v>1</v>
      </c>
      <c r="E24" s="67" t="s">
        <v>160</v>
      </c>
      <c r="F24" s="67" t="s">
        <v>44</v>
      </c>
      <c r="G24" s="69">
        <v>14</v>
      </c>
      <c r="H24" s="70" t="s">
        <v>85</v>
      </c>
    </row>
    <row r="25" spans="1:8" ht="19.8" customHeight="1" x14ac:dyDescent="0.3">
      <c r="A25" s="100" t="s">
        <v>189</v>
      </c>
      <c r="B25" s="101" t="s">
        <v>93</v>
      </c>
      <c r="C25" s="102" t="s">
        <v>178</v>
      </c>
      <c r="D25" s="101" t="s">
        <v>170</v>
      </c>
      <c r="E25" s="101" t="s">
        <v>184</v>
      </c>
      <c r="F25" s="101"/>
      <c r="G25" s="101"/>
      <c r="H25" s="103" t="s">
        <v>96</v>
      </c>
    </row>
    <row r="26" spans="1:8" ht="19.8" customHeight="1" x14ac:dyDescent="0.3">
      <c r="A26" s="96"/>
      <c r="B26" s="97"/>
      <c r="C26" s="97"/>
      <c r="D26" s="97"/>
      <c r="E26" s="97"/>
      <c r="F26" s="98" t="s">
        <v>188</v>
      </c>
      <c r="G26" s="97"/>
      <c r="H26" s="99"/>
    </row>
    <row r="27" spans="1:8" ht="19.8" customHeight="1" x14ac:dyDescent="0.3">
      <c r="A27" s="75">
        <v>45984</v>
      </c>
      <c r="B27" s="61" t="s">
        <v>36</v>
      </c>
      <c r="C27" s="62" t="s">
        <v>37</v>
      </c>
      <c r="D27" s="61" t="s">
        <v>1</v>
      </c>
      <c r="E27" s="76">
        <v>1.4201388888888891</v>
      </c>
      <c r="F27" s="61" t="s">
        <v>38</v>
      </c>
      <c r="G27" s="63">
        <v>6</v>
      </c>
      <c r="H27" s="64">
        <v>619</v>
      </c>
    </row>
    <row r="28" spans="1:8" ht="19.8" customHeight="1" x14ac:dyDescent="0.3">
      <c r="A28" s="75">
        <v>45984</v>
      </c>
      <c r="B28" s="61" t="s">
        <v>26</v>
      </c>
      <c r="C28" s="62" t="s">
        <v>27</v>
      </c>
      <c r="D28" s="61" t="s">
        <v>1</v>
      </c>
      <c r="E28" s="76">
        <v>1.756944444444444</v>
      </c>
      <c r="F28" s="61" t="s">
        <v>28</v>
      </c>
      <c r="G28" s="63">
        <v>9</v>
      </c>
      <c r="H28" s="64">
        <v>689</v>
      </c>
    </row>
    <row r="29" spans="1:8" ht="19.8" customHeight="1" x14ac:dyDescent="0.3">
      <c r="A29" s="75">
        <v>45984</v>
      </c>
      <c r="B29" s="61" t="s">
        <v>36</v>
      </c>
      <c r="C29" s="62" t="s">
        <v>37</v>
      </c>
      <c r="D29" s="61" t="s">
        <v>1</v>
      </c>
      <c r="E29" s="76">
        <v>1.4201388888888891</v>
      </c>
      <c r="F29" s="61" t="s">
        <v>41</v>
      </c>
      <c r="G29" s="63">
        <v>6</v>
      </c>
      <c r="H29" s="64">
        <v>769</v>
      </c>
    </row>
    <row r="30" spans="1:8" ht="19.8" customHeight="1" x14ac:dyDescent="0.3">
      <c r="A30" s="75">
        <v>45984</v>
      </c>
      <c r="B30" s="61" t="s">
        <v>26</v>
      </c>
      <c r="C30" s="62" t="s">
        <v>27</v>
      </c>
      <c r="D30" s="61" t="s">
        <v>1</v>
      </c>
      <c r="E30" s="76">
        <v>1.756944444444444</v>
      </c>
      <c r="F30" s="61" t="s">
        <v>31</v>
      </c>
      <c r="G30" s="63">
        <v>9</v>
      </c>
      <c r="H30" s="64">
        <v>789</v>
      </c>
    </row>
    <row r="31" spans="1:8" ht="19.8" customHeight="1" x14ac:dyDescent="0.3">
      <c r="A31" s="75">
        <v>45984</v>
      </c>
      <c r="B31" s="61" t="s">
        <v>26</v>
      </c>
      <c r="C31" s="62" t="s">
        <v>27</v>
      </c>
      <c r="D31" s="61" t="s">
        <v>1</v>
      </c>
      <c r="E31" s="76">
        <v>1.756944444444444</v>
      </c>
      <c r="F31" s="61" t="s">
        <v>34</v>
      </c>
      <c r="G31" s="63">
        <v>9</v>
      </c>
      <c r="H31" s="64">
        <v>879</v>
      </c>
    </row>
    <row r="32" spans="1:8" ht="19.8" customHeight="1" x14ac:dyDescent="0.3">
      <c r="A32" s="75">
        <v>45984</v>
      </c>
      <c r="B32" s="61" t="s">
        <v>36</v>
      </c>
      <c r="C32" s="62" t="s">
        <v>37</v>
      </c>
      <c r="D32" s="61" t="s">
        <v>1</v>
      </c>
      <c r="E32" s="76">
        <v>1.4201388888888891</v>
      </c>
      <c r="F32" s="61" t="s">
        <v>44</v>
      </c>
      <c r="G32" s="63">
        <v>6</v>
      </c>
      <c r="H32" s="65" t="s">
        <v>85</v>
      </c>
    </row>
    <row r="33" spans="1:8" ht="19.8" customHeight="1" x14ac:dyDescent="0.3">
      <c r="A33" s="75">
        <v>45984</v>
      </c>
      <c r="B33" s="61" t="s">
        <v>56</v>
      </c>
      <c r="C33" s="62" t="s">
        <v>57</v>
      </c>
      <c r="D33" s="61" t="s">
        <v>1</v>
      </c>
      <c r="E33" s="76">
        <v>1.4201388888888891</v>
      </c>
      <c r="F33" s="61" t="s">
        <v>58</v>
      </c>
      <c r="G33" s="63">
        <v>4</v>
      </c>
      <c r="H33" s="65" t="s">
        <v>60</v>
      </c>
    </row>
    <row r="34" spans="1:8" ht="19.8" customHeight="1" x14ac:dyDescent="0.3">
      <c r="A34" s="75">
        <v>45984</v>
      </c>
      <c r="B34" s="61" t="s">
        <v>46</v>
      </c>
      <c r="C34" s="62" t="s">
        <v>53</v>
      </c>
      <c r="D34" s="61" t="s">
        <v>1</v>
      </c>
      <c r="E34" s="76">
        <v>1.2222222222222221</v>
      </c>
      <c r="F34" s="61" t="s">
        <v>48</v>
      </c>
      <c r="G34" s="63">
        <v>1</v>
      </c>
      <c r="H34" s="65" t="s">
        <v>55</v>
      </c>
    </row>
    <row r="35" spans="1:8" ht="19.8" customHeight="1" x14ac:dyDescent="0.3">
      <c r="A35" s="75">
        <v>45984</v>
      </c>
      <c r="B35" s="61" t="s">
        <v>56</v>
      </c>
      <c r="C35" s="62" t="s">
        <v>67</v>
      </c>
      <c r="D35" s="61" t="s">
        <v>1</v>
      </c>
      <c r="E35" s="76">
        <v>1.086805555555556</v>
      </c>
      <c r="F35" s="61" t="s">
        <v>62</v>
      </c>
      <c r="G35" s="63">
        <v>9</v>
      </c>
      <c r="H35" s="65" t="s">
        <v>64</v>
      </c>
    </row>
    <row r="36" spans="1:8" ht="19.8" customHeight="1" x14ac:dyDescent="0.3">
      <c r="A36" s="104">
        <v>45984</v>
      </c>
      <c r="B36" s="67" t="s">
        <v>56</v>
      </c>
      <c r="C36" s="68" t="s">
        <v>67</v>
      </c>
      <c r="D36" s="67" t="s">
        <v>1</v>
      </c>
      <c r="E36" s="105">
        <v>1.086805555555556</v>
      </c>
      <c r="F36" s="67" t="s">
        <v>58</v>
      </c>
      <c r="G36" s="69">
        <v>9</v>
      </c>
      <c r="H36" s="70" t="s">
        <v>66</v>
      </c>
    </row>
  </sheetData>
  <pageMargins left="0.75" right="0.75" top="1" bottom="1" header="0.5" footer="0.5"/>
  <legacy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N19"/>
  <sheetViews>
    <sheetView workbookViewId="0"/>
  </sheetViews>
  <sheetFormatPr defaultRowHeight="14.4" x14ac:dyDescent="0.3"/>
  <cols>
    <col min="1" max="1" width="10.21875" bestFit="1" customWidth="1"/>
    <col min="2" max="2" width="15.6640625" bestFit="1" customWidth="1"/>
    <col min="3" max="3" width="14.77734375" bestFit="1" customWidth="1"/>
    <col min="4" max="4" width="34.21875" bestFit="1" customWidth="1"/>
    <col min="5" max="5" width="20.109375" bestFit="1" customWidth="1"/>
    <col min="6" max="6" width="23.44140625" bestFit="1" customWidth="1"/>
    <col min="7" max="7" width="48.77734375" bestFit="1" customWidth="1"/>
    <col min="8" max="8" width="9.44140625" bestFit="1" customWidth="1"/>
    <col min="9" max="9" width="9.21875" bestFit="1" customWidth="1"/>
    <col min="10" max="10" width="7.5546875" bestFit="1" customWidth="1"/>
    <col min="11" max="11" width="23.4414062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38.21875" bestFit="1" customWidth="1"/>
  </cols>
  <sheetData>
    <row r="1" spans="1:92" ht="28.8" customHeight="1" x14ac:dyDescent="0.3">
      <c r="A1" s="260" t="s">
        <v>0</v>
      </c>
      <c r="B1" s="253"/>
      <c r="C1" s="253"/>
      <c r="D1" s="253"/>
      <c r="E1" s="253"/>
      <c r="F1" s="1" t="s">
        <v>190</v>
      </c>
      <c r="G1" s="2" t="s">
        <v>2</v>
      </c>
      <c r="H1" s="259">
        <v>45982</v>
      </c>
      <c r="I1" s="253"/>
      <c r="J1" s="253"/>
      <c r="K1" s="253"/>
      <c r="L1" s="253"/>
      <c r="M1" s="1" t="s">
        <v>3</v>
      </c>
      <c r="N1" s="266">
        <v>45984</v>
      </c>
      <c r="O1" s="253"/>
      <c r="P1" s="253"/>
      <c r="Q1" s="253"/>
      <c r="R1" s="253"/>
      <c r="CA1" s="3"/>
      <c r="CB1" s="3"/>
      <c r="CC1" s="3"/>
      <c r="CD1" s="3"/>
      <c r="CE1" s="3"/>
      <c r="CF1" s="3"/>
      <c r="CG1" s="3"/>
      <c r="CH1" s="3"/>
      <c r="CI1" s="3"/>
      <c r="CJ1" s="3"/>
      <c r="CK1" s="3"/>
      <c r="CL1" s="3"/>
      <c r="CM1" s="3"/>
      <c r="CN1" s="3"/>
    </row>
    <row r="2" spans="1:92" ht="23.4" customHeight="1" x14ac:dyDescent="0.3">
      <c r="A2" s="252" t="s">
        <v>4</v>
      </c>
      <c r="B2" s="253"/>
      <c r="C2" s="253"/>
      <c r="D2" s="253"/>
      <c r="E2" s="253"/>
      <c r="F2" s="253"/>
      <c r="G2" s="261">
        <v>45981.017684041479</v>
      </c>
      <c r="H2" s="253"/>
      <c r="I2" s="253"/>
      <c r="J2" s="253"/>
      <c r="K2" s="262">
        <v>45981.017684042003</v>
      </c>
      <c r="L2" s="253"/>
      <c r="M2" s="253"/>
      <c r="N2" s="253"/>
      <c r="O2" s="253"/>
      <c r="P2" s="253"/>
      <c r="Q2" s="253"/>
      <c r="R2" s="253"/>
      <c r="CA2" s="3"/>
      <c r="CB2" s="3"/>
      <c r="CC2" s="3"/>
      <c r="CD2" s="3"/>
      <c r="CE2" s="3"/>
      <c r="CF2" s="3"/>
      <c r="CG2" s="3"/>
      <c r="CH2" s="3"/>
      <c r="CI2" s="3"/>
      <c r="CJ2" s="3"/>
      <c r="CK2" s="3"/>
      <c r="CL2" s="3"/>
      <c r="CM2" s="3"/>
      <c r="CN2" s="3"/>
    </row>
    <row r="3" spans="1:92" ht="24" customHeight="1" x14ac:dyDescent="0.3">
      <c r="A3" s="254" t="s">
        <v>5</v>
      </c>
      <c r="B3" s="253"/>
      <c r="C3" s="253"/>
      <c r="D3" s="253"/>
      <c r="E3" s="253"/>
      <c r="F3" s="253"/>
      <c r="G3" s="253"/>
      <c r="H3" s="253"/>
      <c r="I3" s="253"/>
      <c r="J3" s="253"/>
      <c r="K3" s="253"/>
      <c r="L3" s="253"/>
      <c r="M3" s="253"/>
      <c r="N3" s="253"/>
      <c r="O3" s="253"/>
      <c r="P3" s="253"/>
      <c r="Q3" s="253"/>
      <c r="R3" s="253"/>
      <c r="CA3" s="3"/>
      <c r="CB3" s="3"/>
      <c r="CC3" s="3"/>
      <c r="CD3" s="3"/>
      <c r="CE3" s="3"/>
      <c r="CF3" s="3"/>
      <c r="CG3" s="3"/>
      <c r="CH3" s="3"/>
      <c r="CI3" s="3"/>
      <c r="CJ3" s="3"/>
      <c r="CK3" s="3"/>
      <c r="CL3" s="3"/>
      <c r="CM3" s="3"/>
      <c r="CN3" s="3"/>
    </row>
    <row r="4" spans="1:92" ht="22.05" customHeight="1" x14ac:dyDescent="0.3">
      <c r="A4" s="263" t="s">
        <v>6</v>
      </c>
      <c r="B4" s="250"/>
      <c r="C4" s="250"/>
      <c r="D4" s="250"/>
      <c r="E4" s="250"/>
      <c r="F4" s="251"/>
      <c r="G4" s="4">
        <v>45983</v>
      </c>
      <c r="H4" s="264" t="s">
        <v>7</v>
      </c>
      <c r="I4" s="250"/>
      <c r="J4" s="250"/>
      <c r="K4" s="250"/>
      <c r="L4" s="250"/>
      <c r="M4" s="250"/>
      <c r="N4" s="250"/>
      <c r="O4" s="250"/>
      <c r="P4" s="250"/>
      <c r="Q4" s="250"/>
      <c r="R4" s="251"/>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106" t="s">
        <v>93</v>
      </c>
      <c r="B6" s="106" t="s">
        <v>191</v>
      </c>
      <c r="C6" s="107">
        <v>0.95486111111111116</v>
      </c>
      <c r="D6" s="108"/>
      <c r="E6" s="108"/>
      <c r="F6" s="106" t="s">
        <v>96</v>
      </c>
      <c r="G6" s="255"/>
      <c r="H6" s="109" t="s">
        <v>192</v>
      </c>
      <c r="I6" s="110">
        <v>1</v>
      </c>
      <c r="J6" s="111">
        <v>168</v>
      </c>
      <c r="K6" s="112" t="s">
        <v>180</v>
      </c>
      <c r="L6" s="111">
        <v>38</v>
      </c>
      <c r="M6" s="111">
        <v>0</v>
      </c>
      <c r="N6" s="111">
        <v>4</v>
      </c>
      <c r="O6" s="113" t="s">
        <v>98</v>
      </c>
      <c r="P6" s="114">
        <v>0.95486111111111116</v>
      </c>
      <c r="Q6" s="111">
        <v>168</v>
      </c>
      <c r="R6" s="115" t="s">
        <v>193</v>
      </c>
    </row>
    <row r="7" spans="1:92" ht="18" x14ac:dyDescent="0.3">
      <c r="A7" s="267" t="s">
        <v>173</v>
      </c>
      <c r="B7" s="268"/>
      <c r="C7" s="268"/>
      <c r="D7" s="268"/>
      <c r="E7" s="268"/>
      <c r="F7" s="269"/>
      <c r="G7" s="256"/>
      <c r="H7" s="79"/>
      <c r="I7" s="79"/>
      <c r="J7" s="79"/>
      <c r="K7" s="79"/>
      <c r="L7" s="79"/>
      <c r="M7" s="79"/>
      <c r="N7" s="79"/>
      <c r="O7" s="80"/>
      <c r="P7" s="79"/>
      <c r="Q7" s="56"/>
      <c r="R7" s="56"/>
    </row>
    <row r="8" spans="1:92" ht="15" customHeight="1" x14ac:dyDescent="0.3">
      <c r="A8" s="19" t="s">
        <v>26</v>
      </c>
      <c r="B8" s="19" t="s">
        <v>73</v>
      </c>
      <c r="C8" s="20" t="s">
        <v>169</v>
      </c>
      <c r="D8" s="19" t="s">
        <v>28</v>
      </c>
      <c r="E8" s="19" t="s">
        <v>194</v>
      </c>
      <c r="F8" s="19" t="s">
        <v>75</v>
      </c>
      <c r="G8" s="256"/>
      <c r="H8" s="79"/>
      <c r="I8" s="79"/>
      <c r="J8" s="79"/>
      <c r="K8" s="79"/>
      <c r="L8" s="79"/>
      <c r="M8" s="79"/>
      <c r="N8" s="79"/>
      <c r="O8" s="80"/>
      <c r="P8" s="79"/>
      <c r="Q8" s="56"/>
      <c r="R8" s="56"/>
    </row>
    <row r="9" spans="1:92" ht="15" customHeight="1" x14ac:dyDescent="0.3">
      <c r="A9" s="19" t="s">
        <v>36</v>
      </c>
      <c r="B9" s="19" t="s">
        <v>37</v>
      </c>
      <c r="C9" s="20" t="s">
        <v>160</v>
      </c>
      <c r="D9" s="19" t="s">
        <v>38</v>
      </c>
      <c r="E9" s="19" t="s">
        <v>195</v>
      </c>
      <c r="F9" s="19" t="s">
        <v>40</v>
      </c>
      <c r="G9" s="256"/>
      <c r="H9" s="79"/>
      <c r="I9" s="79"/>
      <c r="J9" s="79"/>
      <c r="K9" s="79"/>
      <c r="L9" s="79"/>
      <c r="M9" s="79"/>
      <c r="N9" s="79"/>
      <c r="O9" s="80"/>
      <c r="P9" s="79"/>
      <c r="Q9" s="56"/>
      <c r="R9" s="56"/>
    </row>
    <row r="10" spans="1:92" ht="15" customHeight="1" x14ac:dyDescent="0.3">
      <c r="A10" s="19" t="s">
        <v>26</v>
      </c>
      <c r="B10" s="19" t="s">
        <v>27</v>
      </c>
      <c r="C10" s="20" t="s">
        <v>159</v>
      </c>
      <c r="D10" s="19" t="s">
        <v>28</v>
      </c>
      <c r="E10" s="19" t="s">
        <v>183</v>
      </c>
      <c r="F10" s="19" t="s">
        <v>79</v>
      </c>
      <c r="G10" s="256"/>
      <c r="H10" s="79"/>
      <c r="I10" s="79"/>
      <c r="J10" s="79"/>
      <c r="K10" s="79"/>
      <c r="L10" s="79"/>
      <c r="M10" s="79"/>
      <c r="N10" s="79"/>
      <c r="O10" s="80"/>
      <c r="P10" s="79"/>
      <c r="Q10" s="56"/>
      <c r="R10" s="56"/>
    </row>
    <row r="11" spans="1:92" ht="15" customHeight="1" x14ac:dyDescent="0.3">
      <c r="A11" s="19" t="s">
        <v>26</v>
      </c>
      <c r="B11" s="19" t="s">
        <v>73</v>
      </c>
      <c r="C11" s="20" t="s">
        <v>169</v>
      </c>
      <c r="D11" s="19" t="s">
        <v>31</v>
      </c>
      <c r="E11" s="19" t="s">
        <v>194</v>
      </c>
      <c r="F11" s="19" t="s">
        <v>76</v>
      </c>
      <c r="G11" s="256"/>
      <c r="H11" s="79"/>
      <c r="I11" s="79"/>
      <c r="J11" s="79"/>
      <c r="K11" s="79"/>
      <c r="L11" s="79"/>
      <c r="M11" s="79"/>
      <c r="N11" s="79"/>
      <c r="O11" s="80"/>
      <c r="P11" s="79"/>
      <c r="Q11" s="56"/>
      <c r="R11" s="56"/>
    </row>
    <row r="12" spans="1:92" ht="15" customHeight="1" x14ac:dyDescent="0.3">
      <c r="A12" s="19" t="s">
        <v>36</v>
      </c>
      <c r="B12" s="19" t="s">
        <v>37</v>
      </c>
      <c r="C12" s="20" t="s">
        <v>160</v>
      </c>
      <c r="D12" s="19" t="s">
        <v>41</v>
      </c>
      <c r="E12" s="19" t="s">
        <v>195</v>
      </c>
      <c r="F12" s="19" t="s">
        <v>43</v>
      </c>
      <c r="G12" s="256"/>
      <c r="H12" s="79"/>
      <c r="I12" s="79"/>
      <c r="J12" s="79"/>
      <c r="K12" s="79"/>
      <c r="L12" s="79"/>
      <c r="M12" s="79"/>
      <c r="N12" s="79"/>
      <c r="O12" s="80"/>
      <c r="P12" s="79"/>
      <c r="Q12" s="56"/>
      <c r="R12" s="56"/>
    </row>
    <row r="13" spans="1:92" ht="15" customHeight="1" x14ac:dyDescent="0.3">
      <c r="A13" s="19" t="s">
        <v>26</v>
      </c>
      <c r="B13" s="19" t="s">
        <v>27</v>
      </c>
      <c r="C13" s="20" t="s">
        <v>159</v>
      </c>
      <c r="D13" s="19" t="s">
        <v>31</v>
      </c>
      <c r="E13" s="19" t="s">
        <v>183</v>
      </c>
      <c r="F13" s="19" t="s">
        <v>81</v>
      </c>
      <c r="G13" s="256"/>
      <c r="H13" s="79"/>
      <c r="I13" s="79"/>
      <c r="J13" s="79"/>
      <c r="K13" s="79"/>
      <c r="L13" s="79"/>
      <c r="M13" s="79"/>
      <c r="N13" s="79"/>
      <c r="O13" s="80"/>
      <c r="P13" s="79"/>
      <c r="Q13" s="56"/>
      <c r="R13" s="56"/>
    </row>
    <row r="14" spans="1:92" ht="15" customHeight="1" x14ac:dyDescent="0.3">
      <c r="A14" s="19" t="s">
        <v>26</v>
      </c>
      <c r="B14" s="19" t="s">
        <v>73</v>
      </c>
      <c r="C14" s="20" t="s">
        <v>169</v>
      </c>
      <c r="D14" s="19" t="s">
        <v>34</v>
      </c>
      <c r="E14" s="19" t="s">
        <v>194</v>
      </c>
      <c r="F14" s="19" t="s">
        <v>77</v>
      </c>
      <c r="G14" s="256"/>
      <c r="H14" s="79"/>
      <c r="I14" s="79"/>
      <c r="J14" s="79"/>
      <c r="K14" s="79"/>
      <c r="L14" s="79"/>
      <c r="M14" s="79"/>
      <c r="N14" s="79"/>
      <c r="O14" s="80"/>
      <c r="P14" s="79"/>
      <c r="Q14" s="56"/>
      <c r="R14" s="56"/>
    </row>
    <row r="15" spans="1:92" ht="15" customHeight="1" x14ac:dyDescent="0.3">
      <c r="A15" s="19" t="s">
        <v>26</v>
      </c>
      <c r="B15" s="19" t="s">
        <v>27</v>
      </c>
      <c r="C15" s="20" t="s">
        <v>159</v>
      </c>
      <c r="D15" s="19" t="s">
        <v>34</v>
      </c>
      <c r="E15" s="19" t="s">
        <v>183</v>
      </c>
      <c r="F15" s="19" t="s">
        <v>82</v>
      </c>
      <c r="G15" s="256"/>
      <c r="H15" s="79"/>
      <c r="I15" s="79"/>
      <c r="J15" s="79"/>
      <c r="K15" s="79"/>
      <c r="L15" s="79"/>
      <c r="M15" s="79"/>
      <c r="N15" s="79"/>
      <c r="O15" s="80"/>
      <c r="P15" s="79"/>
      <c r="Q15" s="56"/>
      <c r="R15" s="56"/>
    </row>
    <row r="16" spans="1:92" ht="15" customHeight="1" x14ac:dyDescent="0.3">
      <c r="A16" s="19" t="s">
        <v>46</v>
      </c>
      <c r="B16" s="19" t="s">
        <v>51</v>
      </c>
      <c r="C16" s="20" t="s">
        <v>162</v>
      </c>
      <c r="D16" s="19" t="s">
        <v>48</v>
      </c>
      <c r="E16" s="19" t="s">
        <v>176</v>
      </c>
      <c r="F16" s="19" t="s">
        <v>86</v>
      </c>
      <c r="G16" s="256"/>
      <c r="H16" s="79"/>
      <c r="I16" s="79"/>
      <c r="J16" s="79"/>
      <c r="K16" s="79"/>
      <c r="L16" s="79"/>
      <c r="M16" s="79"/>
      <c r="N16" s="79"/>
      <c r="O16" s="80"/>
      <c r="P16" s="79"/>
      <c r="Q16" s="56"/>
      <c r="R16" s="56"/>
    </row>
    <row r="17" spans="1:18" ht="15" customHeight="1" thickBot="1" x14ac:dyDescent="0.35">
      <c r="A17" s="81" t="s">
        <v>36</v>
      </c>
      <c r="B17" s="81" t="s">
        <v>37</v>
      </c>
      <c r="C17" s="82" t="s">
        <v>160</v>
      </c>
      <c r="D17" s="81" t="s">
        <v>44</v>
      </c>
      <c r="E17" s="81" t="s">
        <v>195</v>
      </c>
      <c r="F17" s="81" t="s">
        <v>85</v>
      </c>
      <c r="G17" s="257"/>
      <c r="H17" s="83"/>
      <c r="I17" s="83"/>
      <c r="J17" s="83"/>
      <c r="K17" s="83"/>
      <c r="L17" s="83"/>
      <c r="M17" s="83"/>
      <c r="N17" s="83"/>
      <c r="O17" s="84"/>
      <c r="P17" s="83"/>
      <c r="Q17" s="85"/>
      <c r="R17" s="85"/>
    </row>
    <row r="18" spans="1:18" ht="17.399999999999999" customHeight="1" thickBot="1" x14ac:dyDescent="0.35">
      <c r="A18" s="284"/>
      <c r="B18" s="285"/>
      <c r="C18" s="285"/>
      <c r="D18" s="285"/>
      <c r="E18" s="285"/>
      <c r="F18" s="285"/>
      <c r="G18" s="285"/>
      <c r="H18" s="285"/>
      <c r="I18" s="285"/>
      <c r="J18" s="285"/>
      <c r="K18" s="285"/>
      <c r="L18" s="285"/>
      <c r="M18" s="285"/>
      <c r="N18" s="285"/>
      <c r="O18" s="285"/>
      <c r="P18" s="285"/>
      <c r="Q18" s="285"/>
      <c r="R18" s="286"/>
    </row>
    <row r="19" spans="1:18" ht="15" thickTop="1" x14ac:dyDescent="0.3"/>
  </sheetData>
  <mergeCells count="12">
    <mergeCell ref="A18:R18"/>
    <mergeCell ref="N1:R1"/>
    <mergeCell ref="A2:F2"/>
    <mergeCell ref="A3:R3"/>
    <mergeCell ref="A7:F7"/>
    <mergeCell ref="H1:L1"/>
    <mergeCell ref="A1:E1"/>
    <mergeCell ref="G2:J2"/>
    <mergeCell ref="K2:R2"/>
    <mergeCell ref="A4:F4"/>
    <mergeCell ref="H4:R4"/>
    <mergeCell ref="G6:G17"/>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J3"/>
  <sheetViews>
    <sheetView workbookViewId="0"/>
  </sheetViews>
  <sheetFormatPr defaultRowHeight="15.6" outlineLevelCol="1" x14ac:dyDescent="0.3"/>
  <cols>
    <col min="1" max="1" width="11.6640625" style="271" bestFit="1" customWidth="1"/>
    <col min="2" max="2" width="11.109375" style="271" bestFit="1" customWidth="1"/>
    <col min="3" max="3" width="7.88671875" style="271" bestFit="1" customWidth="1"/>
    <col min="4" max="4" width="6.77734375" style="271" bestFit="1" customWidth="1"/>
    <col min="5" max="5" width="10.33203125" style="271" bestFit="1" customWidth="1"/>
    <col min="6" max="6" width="5.21875" style="271" bestFit="1" customWidth="1"/>
    <col min="7" max="7" width="11.5546875" style="271" bestFit="1" customWidth="1"/>
    <col min="8" max="8" width="7" style="271" bestFit="1" customWidth="1"/>
    <col min="9" max="10" width="8" style="271" bestFit="1" customWidth="1"/>
    <col min="11" max="11" width="12.21875" style="271" bestFit="1" customWidth="1"/>
    <col min="12" max="12" width="21.21875" style="271" bestFit="1" customWidth="1"/>
    <col min="13" max="13" width="8.77734375" style="271" bestFit="1" customWidth="1" outlineLevel="1"/>
    <col min="14" max="14" width="7.33203125" style="271" bestFit="1" customWidth="1" outlineLevel="1"/>
    <col min="15" max="15" width="9.109375" style="271" bestFit="1" customWidth="1" outlineLevel="1"/>
    <col min="16" max="16" width="15.33203125" style="271" bestFit="1" customWidth="1"/>
    <col min="17" max="28" width="3.88671875" style="271" bestFit="1" customWidth="1"/>
    <col min="29" max="29" width="5.109375" style="271" bestFit="1" customWidth="1"/>
    <col min="30" max="31" width="5.33203125" style="271" bestFit="1" customWidth="1"/>
    <col min="32" max="32" width="4.44140625" style="271" bestFit="1" customWidth="1"/>
    <col min="33" max="34" width="3.88671875" style="271" bestFit="1" customWidth="1"/>
    <col min="35" max="35" width="5.109375" style="271" bestFit="1" customWidth="1"/>
    <col min="36" max="36" width="3.88671875" style="271" bestFit="1" customWidth="1"/>
    <col min="37" max="16384" width="8.88671875" style="271"/>
  </cols>
  <sheetData>
    <row r="1" spans="1:36" x14ac:dyDescent="0.3">
      <c r="A1" s="270" t="s">
        <v>104</v>
      </c>
      <c r="B1" s="270" t="s">
        <v>105</v>
      </c>
      <c r="C1" s="270" t="s">
        <v>106</v>
      </c>
      <c r="D1" s="270" t="s">
        <v>23</v>
      </c>
      <c r="E1" s="270" t="s">
        <v>107</v>
      </c>
      <c r="F1" s="270" t="s">
        <v>108</v>
      </c>
      <c r="G1" s="270" t="s">
        <v>16</v>
      </c>
      <c r="H1" s="270" t="s">
        <v>109</v>
      </c>
      <c r="I1" s="270" t="s">
        <v>110</v>
      </c>
      <c r="J1" s="270" t="s">
        <v>111</v>
      </c>
      <c r="K1" s="270" t="s">
        <v>112</v>
      </c>
      <c r="L1" s="270" t="s">
        <v>18</v>
      </c>
      <c r="M1" s="270" t="s">
        <v>20</v>
      </c>
      <c r="N1" s="270" t="s">
        <v>21</v>
      </c>
      <c r="O1" s="270" t="s">
        <v>19</v>
      </c>
      <c r="P1" s="270" t="s">
        <v>22</v>
      </c>
      <c r="Q1" s="270" t="s">
        <v>113</v>
      </c>
      <c r="R1" s="270" t="s">
        <v>114</v>
      </c>
      <c r="S1" s="270" t="s">
        <v>115</v>
      </c>
      <c r="T1" s="270" t="s">
        <v>116</v>
      </c>
      <c r="U1" s="270" t="s">
        <v>117</v>
      </c>
      <c r="V1" s="270" t="s">
        <v>118</v>
      </c>
      <c r="W1" s="270" t="s">
        <v>119</v>
      </c>
      <c r="X1" s="270" t="s">
        <v>120</v>
      </c>
      <c r="Y1" s="270" t="s">
        <v>121</v>
      </c>
      <c r="Z1" s="270" t="s">
        <v>122</v>
      </c>
      <c r="AA1" s="270" t="s">
        <v>123</v>
      </c>
      <c r="AB1" s="270" t="s">
        <v>124</v>
      </c>
      <c r="AC1" s="270" t="s">
        <v>125</v>
      </c>
      <c r="AD1" s="270" t="s">
        <v>126</v>
      </c>
      <c r="AE1" s="270" t="s">
        <v>127</v>
      </c>
      <c r="AF1" s="270" t="s">
        <v>128</v>
      </c>
      <c r="AG1" s="270" t="s">
        <v>129</v>
      </c>
      <c r="AH1" s="270" t="s">
        <v>130</v>
      </c>
      <c r="AI1" s="270" t="s">
        <v>131</v>
      </c>
      <c r="AJ1" s="270" t="s">
        <v>132</v>
      </c>
    </row>
    <row r="2" spans="1:36" x14ac:dyDescent="0.3">
      <c r="A2" s="272" t="s">
        <v>133</v>
      </c>
      <c r="B2" s="273">
        <v>45983</v>
      </c>
      <c r="C2" s="274" t="s">
        <v>192</v>
      </c>
      <c r="D2" s="275" t="s">
        <v>196</v>
      </c>
      <c r="E2" s="274" t="s">
        <v>190</v>
      </c>
      <c r="F2" s="274" t="s">
        <v>135</v>
      </c>
      <c r="G2" s="276">
        <v>1</v>
      </c>
      <c r="H2" s="277">
        <v>168</v>
      </c>
      <c r="I2" s="277">
        <v>168</v>
      </c>
      <c r="J2" s="277">
        <v>84</v>
      </c>
      <c r="K2" s="274" t="s">
        <v>136</v>
      </c>
      <c r="L2" s="278" t="s">
        <v>180</v>
      </c>
      <c r="M2" s="277">
        <v>0</v>
      </c>
      <c r="N2" s="277">
        <v>4</v>
      </c>
      <c r="O2" s="277">
        <v>38</v>
      </c>
      <c r="P2" s="274" t="s">
        <v>98</v>
      </c>
      <c r="Q2" s="270"/>
      <c r="R2" s="270"/>
      <c r="S2" s="270"/>
      <c r="T2" s="270"/>
      <c r="U2" s="270"/>
      <c r="V2" s="270"/>
      <c r="W2" s="270"/>
      <c r="X2" s="270"/>
      <c r="Y2" s="270"/>
      <c r="Z2" s="277" t="s">
        <v>197</v>
      </c>
      <c r="AA2" s="270"/>
      <c r="AB2" s="270"/>
      <c r="AC2" s="277" t="s">
        <v>198</v>
      </c>
      <c r="AD2" s="277" t="s">
        <v>199</v>
      </c>
      <c r="AE2" s="277" t="s">
        <v>200</v>
      </c>
      <c r="AF2" s="277" t="s">
        <v>201</v>
      </c>
      <c r="AG2" s="270"/>
      <c r="AH2" s="270"/>
      <c r="AI2" s="277" t="s">
        <v>202</v>
      </c>
      <c r="AJ2" s="270"/>
    </row>
    <row r="3" spans="1:36" ht="21" x14ac:dyDescent="0.3">
      <c r="A3" s="279" t="s">
        <v>946</v>
      </c>
      <c r="B3" s="280"/>
      <c r="C3" s="279">
        <f>SUBTOTAL(103,MED_ATZ_LF_LEGACY[Flt])</f>
        <v>1</v>
      </c>
      <c r="D3" s="279"/>
      <c r="E3" s="279">
        <f>SUBTOTAL(103,MED_ATZ_LF_LEGACY[Brd-Off])</f>
        <v>1</v>
      </c>
      <c r="F3" s="279"/>
      <c r="G3" s="281">
        <f>SUBTOTAL(101,MED_ATZ_LF_LEGACY[LF%])</f>
        <v>1</v>
      </c>
      <c r="H3" s="282">
        <f>SUBTOTAL(109,MED_ATZ_LF_LEGACY[CAP])</f>
        <v>168</v>
      </c>
      <c r="I3" s="282">
        <f>SUBTOTAL(109,MED_ATZ_LF_LEGACY[BKG(Y)])</f>
        <v>168</v>
      </c>
      <c r="J3" s="282">
        <f>SUBTOTAL(109,MED_ATZ_LF_LEGACY[GRP(Y)])</f>
        <v>84</v>
      </c>
      <c r="K3" s="279"/>
      <c r="L3" s="280"/>
      <c r="M3" s="282">
        <f>SUBTOTAL(109,MED_ATZ_LF_LEGACY[TO-DAY])</f>
        <v>0</v>
      </c>
      <c r="N3" s="282">
        <f>SUBTOTAL(109,MED_ATZ_LF_LEGACY[Y-DAY])</f>
        <v>4</v>
      </c>
      <c r="O3" s="282">
        <f>SUBTOTAL(109,MED_ATZ_LF_LEGACY[WEEKLY])</f>
        <v>38</v>
      </c>
      <c r="P3" s="283"/>
      <c r="Q3" s="279">
        <f>SUBTOTAL(109,MED_ATZ_LF_LEGACY[Y])</f>
        <v>0</v>
      </c>
      <c r="R3" s="279">
        <f>SUBTOTAL(109,MED_ATZ_LF_LEGACY[B])</f>
        <v>0</v>
      </c>
      <c r="S3" s="279">
        <f>SUBTOTAL(109,MED_ATZ_LF_LEGACY[M])</f>
        <v>0</v>
      </c>
      <c r="T3" s="279">
        <f>SUBTOTAL(109,MED_ATZ_LF_LEGACY[H])</f>
        <v>0</v>
      </c>
      <c r="U3" s="279">
        <f>SUBTOTAL(109,MED_ATZ_LF_LEGACY[Q])</f>
        <v>0</v>
      </c>
      <c r="V3" s="279">
        <f>SUBTOTAL(109,MED_ATZ_LF_LEGACY[K])</f>
        <v>0</v>
      </c>
      <c r="W3" s="279">
        <f>SUBTOTAL(109,MED_ATZ_LF_LEGACY[V])</f>
        <v>0</v>
      </c>
      <c r="X3" s="279">
        <f>SUBTOTAL(109,MED_ATZ_LF_LEGACY[L])</f>
        <v>0</v>
      </c>
      <c r="Y3" s="279">
        <f>SUBTOTAL(109,MED_ATZ_LF_LEGACY[G])</f>
        <v>0</v>
      </c>
      <c r="Z3" s="282">
        <f>SUBTOTAL(109,MED_ATZ_LF_LEGACY[S])</f>
        <v>0</v>
      </c>
      <c r="AA3" s="279">
        <f>SUBTOTAL(109,MED_ATZ_LF_LEGACY[W])</f>
        <v>0</v>
      </c>
      <c r="AB3" s="279">
        <f>SUBTOTAL(109,MED_ATZ_LF_LEGACY[T])</f>
        <v>0</v>
      </c>
      <c r="AC3" s="282">
        <f>SUBTOTAL(109,MED_ATZ_LF_LEGACY[X])</f>
        <v>0</v>
      </c>
      <c r="AD3" s="282">
        <f>SUBTOTAL(109,MED_ATZ_LF_LEGACY[U])</f>
        <v>0</v>
      </c>
      <c r="AE3" s="282">
        <f>SUBTOTAL(109,MED_ATZ_LF_LEGACY[O])</f>
        <v>0</v>
      </c>
      <c r="AF3" s="282">
        <f>SUBTOTAL(109,MED_ATZ_LF_LEGACY[I])</f>
        <v>0</v>
      </c>
      <c r="AG3" s="279">
        <f>SUBTOTAL(109,MED_ATZ_LF_LEGACY[E])</f>
        <v>0</v>
      </c>
      <c r="AH3" s="279">
        <f>SUBTOTAL(109,MED_ATZ_LF_LEGACY[A])</f>
        <v>0</v>
      </c>
      <c r="AI3" s="282">
        <f>SUBTOTAL(109,MED_ATZ_LF_LEGACY[P])</f>
        <v>0</v>
      </c>
      <c r="AJ3" s="279">
        <f>SUBTOTAL(103,MED_ATZ_LF_LEGACY[N])</f>
        <v>0</v>
      </c>
    </row>
  </sheetData>
  <pageMargins left="0.75" right="0.75" top="1" bottom="1" header="0.5" footer="0.5"/>
  <tableParts count="1">
    <tablePart r:id="rId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35"/>
  <sheetViews>
    <sheetView workbookViewId="0"/>
  </sheetViews>
  <sheetFormatPr defaultRowHeight="14.4" x14ac:dyDescent="0.3"/>
  <cols>
    <col min="1" max="1" width="11.88671875" bestFit="1" customWidth="1"/>
    <col min="2" max="2" width="13.77734375" bestFit="1" customWidth="1"/>
    <col min="3" max="3" width="19.21875" bestFit="1" customWidth="1"/>
    <col min="4" max="4" width="12.77734375" bestFit="1" customWidth="1"/>
    <col min="5" max="5" width="18.33203125" bestFit="1" customWidth="1"/>
    <col min="6" max="6" width="33.21875" bestFit="1" customWidth="1"/>
    <col min="7" max="7" width="20" bestFit="1" customWidth="1"/>
    <col min="8" max="8" width="23.6640625" bestFit="1" customWidth="1"/>
    <col min="9" max="9" width="0" hidden="1" customWidth="1"/>
  </cols>
  <sheetData>
    <row r="1" spans="1:8" ht="18" x14ac:dyDescent="0.3">
      <c r="A1" s="57" t="s">
        <v>156</v>
      </c>
      <c r="B1" s="58" t="s">
        <v>8</v>
      </c>
      <c r="C1" s="58" t="s">
        <v>9</v>
      </c>
      <c r="D1" s="58" t="s">
        <v>157</v>
      </c>
      <c r="E1" s="58" t="s">
        <v>10</v>
      </c>
      <c r="F1" s="58" t="s">
        <v>11</v>
      </c>
      <c r="G1" s="58" t="s">
        <v>12</v>
      </c>
      <c r="H1" s="59" t="s">
        <v>13</v>
      </c>
    </row>
    <row r="2" spans="1:8" ht="19.8" customHeight="1" x14ac:dyDescent="0.3">
      <c r="A2" s="96"/>
      <c r="B2" s="97"/>
      <c r="C2" s="97"/>
      <c r="D2" s="97"/>
      <c r="E2" s="97"/>
      <c r="F2" s="98" t="s">
        <v>188</v>
      </c>
      <c r="G2" s="97"/>
      <c r="H2" s="99"/>
    </row>
    <row r="3" spans="1:8" ht="19.8" customHeight="1" x14ac:dyDescent="0.3">
      <c r="A3" s="60" t="s">
        <v>158</v>
      </c>
      <c r="B3" s="61" t="s">
        <v>26</v>
      </c>
      <c r="C3" s="62" t="s">
        <v>27</v>
      </c>
      <c r="D3" s="61" t="s">
        <v>1</v>
      </c>
      <c r="E3" s="61" t="s">
        <v>159</v>
      </c>
      <c r="F3" s="61" t="s">
        <v>28</v>
      </c>
      <c r="G3" s="63">
        <v>9</v>
      </c>
      <c r="H3" s="64">
        <v>559</v>
      </c>
    </row>
    <row r="4" spans="1:8" ht="19.8" customHeight="1" x14ac:dyDescent="0.3">
      <c r="A4" s="60" t="s">
        <v>158</v>
      </c>
      <c r="B4" s="61" t="s">
        <v>36</v>
      </c>
      <c r="C4" s="62" t="s">
        <v>37</v>
      </c>
      <c r="D4" s="61" t="s">
        <v>1</v>
      </c>
      <c r="E4" s="61" t="s">
        <v>160</v>
      </c>
      <c r="F4" s="61" t="s">
        <v>38</v>
      </c>
      <c r="G4" s="63">
        <v>23</v>
      </c>
      <c r="H4" s="64">
        <v>619</v>
      </c>
    </row>
    <row r="5" spans="1:8" ht="19.8" customHeight="1" x14ac:dyDescent="0.3">
      <c r="A5" s="60" t="s">
        <v>158</v>
      </c>
      <c r="B5" s="61" t="s">
        <v>26</v>
      </c>
      <c r="C5" s="62" t="s">
        <v>27</v>
      </c>
      <c r="D5" s="61" t="s">
        <v>1</v>
      </c>
      <c r="E5" s="61" t="s">
        <v>159</v>
      </c>
      <c r="F5" s="61" t="s">
        <v>31</v>
      </c>
      <c r="G5" s="63">
        <v>9</v>
      </c>
      <c r="H5" s="64">
        <v>659</v>
      </c>
    </row>
    <row r="6" spans="1:8" ht="19.8" customHeight="1" x14ac:dyDescent="0.3">
      <c r="A6" s="60" t="s">
        <v>158</v>
      </c>
      <c r="B6" s="61" t="s">
        <v>26</v>
      </c>
      <c r="C6" s="62" t="s">
        <v>27</v>
      </c>
      <c r="D6" s="61" t="s">
        <v>1</v>
      </c>
      <c r="E6" s="61" t="s">
        <v>159</v>
      </c>
      <c r="F6" s="61" t="s">
        <v>34</v>
      </c>
      <c r="G6" s="63">
        <v>9</v>
      </c>
      <c r="H6" s="64">
        <v>749</v>
      </c>
    </row>
    <row r="7" spans="1:8" ht="19.8" customHeight="1" x14ac:dyDescent="0.3">
      <c r="A7" s="60" t="s">
        <v>158</v>
      </c>
      <c r="B7" s="61" t="s">
        <v>36</v>
      </c>
      <c r="C7" s="62" t="s">
        <v>37</v>
      </c>
      <c r="D7" s="61" t="s">
        <v>1</v>
      </c>
      <c r="E7" s="61" t="s">
        <v>160</v>
      </c>
      <c r="F7" s="61" t="s">
        <v>41</v>
      </c>
      <c r="G7" s="63">
        <v>23</v>
      </c>
      <c r="H7" s="64">
        <v>769</v>
      </c>
    </row>
    <row r="8" spans="1:8" ht="19.8" customHeight="1" x14ac:dyDescent="0.3">
      <c r="A8" s="60" t="s">
        <v>158</v>
      </c>
      <c r="B8" s="61" t="s">
        <v>46</v>
      </c>
      <c r="C8" s="62" t="s">
        <v>47</v>
      </c>
      <c r="D8" s="61" t="s">
        <v>1</v>
      </c>
      <c r="E8" s="61" t="s">
        <v>161</v>
      </c>
      <c r="F8" s="61" t="s">
        <v>48</v>
      </c>
      <c r="G8" s="63">
        <v>9</v>
      </c>
      <c r="H8" s="64">
        <v>962</v>
      </c>
    </row>
    <row r="9" spans="1:8" ht="19.8" customHeight="1" x14ac:dyDescent="0.3">
      <c r="A9" s="60" t="s">
        <v>158</v>
      </c>
      <c r="B9" s="61" t="s">
        <v>46</v>
      </c>
      <c r="C9" s="62" t="s">
        <v>51</v>
      </c>
      <c r="D9" s="61" t="s">
        <v>1</v>
      </c>
      <c r="E9" s="61" t="s">
        <v>162</v>
      </c>
      <c r="F9" s="61" t="s">
        <v>48</v>
      </c>
      <c r="G9" s="63">
        <v>9</v>
      </c>
      <c r="H9" s="64">
        <v>962</v>
      </c>
    </row>
    <row r="10" spans="1:8" ht="19.8" customHeight="1" x14ac:dyDescent="0.3">
      <c r="A10" s="60" t="s">
        <v>158</v>
      </c>
      <c r="B10" s="61" t="s">
        <v>46</v>
      </c>
      <c r="C10" s="62" t="s">
        <v>53</v>
      </c>
      <c r="D10" s="61" t="s">
        <v>1</v>
      </c>
      <c r="E10" s="61" t="s">
        <v>163</v>
      </c>
      <c r="F10" s="61" t="s">
        <v>48</v>
      </c>
      <c r="G10" s="63">
        <v>9</v>
      </c>
      <c r="H10" s="64">
        <v>962</v>
      </c>
    </row>
    <row r="11" spans="1:8" ht="19.8" customHeight="1" x14ac:dyDescent="0.3">
      <c r="A11" s="60" t="s">
        <v>158</v>
      </c>
      <c r="B11" s="61" t="s">
        <v>36</v>
      </c>
      <c r="C11" s="62" t="s">
        <v>37</v>
      </c>
      <c r="D11" s="61" t="s">
        <v>1</v>
      </c>
      <c r="E11" s="61" t="s">
        <v>160</v>
      </c>
      <c r="F11" s="61" t="s">
        <v>44</v>
      </c>
      <c r="G11" s="63">
        <v>23</v>
      </c>
      <c r="H11" s="65" t="s">
        <v>45</v>
      </c>
    </row>
    <row r="12" spans="1:8" ht="19.8" customHeight="1" x14ac:dyDescent="0.3">
      <c r="A12" s="66" t="s">
        <v>158</v>
      </c>
      <c r="B12" s="67" t="s">
        <v>56</v>
      </c>
      <c r="C12" s="68" t="s">
        <v>57</v>
      </c>
      <c r="D12" s="67" t="s">
        <v>1</v>
      </c>
      <c r="E12" s="67" t="s">
        <v>160</v>
      </c>
      <c r="F12" s="67" t="s">
        <v>58</v>
      </c>
      <c r="G12" s="69">
        <v>4</v>
      </c>
      <c r="H12" s="70" t="s">
        <v>60</v>
      </c>
    </row>
    <row r="13" spans="1:8" ht="19.8" customHeight="1" x14ac:dyDescent="0.3">
      <c r="A13" s="100" t="s">
        <v>168</v>
      </c>
      <c r="B13" s="101" t="s">
        <v>93</v>
      </c>
      <c r="C13" s="102" t="s">
        <v>191</v>
      </c>
      <c r="D13" s="101" t="s">
        <v>190</v>
      </c>
      <c r="E13" s="101" t="s">
        <v>196</v>
      </c>
      <c r="F13" s="101"/>
      <c r="G13" s="101"/>
      <c r="H13" s="103" t="s">
        <v>96</v>
      </c>
    </row>
    <row r="14" spans="1:8" ht="19.8" customHeight="1" x14ac:dyDescent="0.3">
      <c r="A14" s="96"/>
      <c r="B14" s="97"/>
      <c r="C14" s="97"/>
      <c r="D14" s="97"/>
      <c r="E14" s="97"/>
      <c r="F14" s="98" t="s">
        <v>188</v>
      </c>
      <c r="G14" s="97"/>
      <c r="H14" s="99"/>
    </row>
    <row r="15" spans="1:8" ht="19.8" customHeight="1" x14ac:dyDescent="0.3">
      <c r="A15" s="75">
        <v>45983</v>
      </c>
      <c r="B15" s="61" t="s">
        <v>26</v>
      </c>
      <c r="C15" s="62" t="s">
        <v>73</v>
      </c>
      <c r="D15" s="61" t="s">
        <v>1</v>
      </c>
      <c r="E15" s="76">
        <v>1.354166666666667</v>
      </c>
      <c r="F15" s="61" t="s">
        <v>28</v>
      </c>
      <c r="G15" s="63">
        <v>3</v>
      </c>
      <c r="H15" s="64">
        <v>609</v>
      </c>
    </row>
    <row r="16" spans="1:8" ht="19.8" customHeight="1" x14ac:dyDescent="0.3">
      <c r="A16" s="75">
        <v>45983</v>
      </c>
      <c r="B16" s="61" t="s">
        <v>36</v>
      </c>
      <c r="C16" s="62" t="s">
        <v>37</v>
      </c>
      <c r="D16" s="61" t="s">
        <v>1</v>
      </c>
      <c r="E16" s="76">
        <v>1.4201388888888891</v>
      </c>
      <c r="F16" s="61" t="s">
        <v>38</v>
      </c>
      <c r="G16" s="63">
        <v>14</v>
      </c>
      <c r="H16" s="64">
        <v>619</v>
      </c>
    </row>
    <row r="17" spans="1:8" ht="19.8" customHeight="1" x14ac:dyDescent="0.3">
      <c r="A17" s="75">
        <v>45983</v>
      </c>
      <c r="B17" s="61" t="s">
        <v>26</v>
      </c>
      <c r="C17" s="62" t="s">
        <v>27</v>
      </c>
      <c r="D17" s="61" t="s">
        <v>1</v>
      </c>
      <c r="E17" s="76">
        <v>1.756944444444444</v>
      </c>
      <c r="F17" s="61" t="s">
        <v>28</v>
      </c>
      <c r="G17" s="63">
        <v>1</v>
      </c>
      <c r="H17" s="64">
        <v>689</v>
      </c>
    </row>
    <row r="18" spans="1:8" ht="19.8" customHeight="1" x14ac:dyDescent="0.3">
      <c r="A18" s="75">
        <v>45983</v>
      </c>
      <c r="B18" s="61" t="s">
        <v>26</v>
      </c>
      <c r="C18" s="62" t="s">
        <v>73</v>
      </c>
      <c r="D18" s="61" t="s">
        <v>1</v>
      </c>
      <c r="E18" s="76">
        <v>1.354166666666667</v>
      </c>
      <c r="F18" s="61" t="s">
        <v>31</v>
      </c>
      <c r="G18" s="63">
        <v>3</v>
      </c>
      <c r="H18" s="64">
        <v>709</v>
      </c>
    </row>
    <row r="19" spans="1:8" ht="19.8" customHeight="1" x14ac:dyDescent="0.3">
      <c r="A19" s="75">
        <v>45983</v>
      </c>
      <c r="B19" s="61" t="s">
        <v>36</v>
      </c>
      <c r="C19" s="62" t="s">
        <v>37</v>
      </c>
      <c r="D19" s="61" t="s">
        <v>1</v>
      </c>
      <c r="E19" s="76">
        <v>1.4201388888888891</v>
      </c>
      <c r="F19" s="61" t="s">
        <v>41</v>
      </c>
      <c r="G19" s="63">
        <v>14</v>
      </c>
      <c r="H19" s="64">
        <v>769</v>
      </c>
    </row>
    <row r="20" spans="1:8" ht="19.8" customHeight="1" x14ac:dyDescent="0.3">
      <c r="A20" s="75">
        <v>45983</v>
      </c>
      <c r="B20" s="61" t="s">
        <v>26</v>
      </c>
      <c r="C20" s="62" t="s">
        <v>27</v>
      </c>
      <c r="D20" s="61" t="s">
        <v>1</v>
      </c>
      <c r="E20" s="76">
        <v>1.756944444444444</v>
      </c>
      <c r="F20" s="61" t="s">
        <v>31</v>
      </c>
      <c r="G20" s="63">
        <v>1</v>
      </c>
      <c r="H20" s="64">
        <v>789</v>
      </c>
    </row>
    <row r="21" spans="1:8" ht="19.8" customHeight="1" x14ac:dyDescent="0.3">
      <c r="A21" s="75">
        <v>45983</v>
      </c>
      <c r="B21" s="61" t="s">
        <v>26</v>
      </c>
      <c r="C21" s="62" t="s">
        <v>73</v>
      </c>
      <c r="D21" s="61" t="s">
        <v>1</v>
      </c>
      <c r="E21" s="76">
        <v>1.354166666666667</v>
      </c>
      <c r="F21" s="61" t="s">
        <v>34</v>
      </c>
      <c r="G21" s="63">
        <v>3</v>
      </c>
      <c r="H21" s="64">
        <v>799</v>
      </c>
    </row>
    <row r="22" spans="1:8" ht="19.8" customHeight="1" x14ac:dyDescent="0.3">
      <c r="A22" s="75">
        <v>45983</v>
      </c>
      <c r="B22" s="61" t="s">
        <v>26</v>
      </c>
      <c r="C22" s="62" t="s">
        <v>27</v>
      </c>
      <c r="D22" s="61" t="s">
        <v>1</v>
      </c>
      <c r="E22" s="76">
        <v>1.756944444444444</v>
      </c>
      <c r="F22" s="61" t="s">
        <v>34</v>
      </c>
      <c r="G22" s="63">
        <v>1</v>
      </c>
      <c r="H22" s="64">
        <v>879</v>
      </c>
    </row>
    <row r="23" spans="1:8" ht="19.8" customHeight="1" x14ac:dyDescent="0.3">
      <c r="A23" s="75">
        <v>45983</v>
      </c>
      <c r="B23" s="61" t="s">
        <v>46</v>
      </c>
      <c r="C23" s="62" t="s">
        <v>51</v>
      </c>
      <c r="D23" s="61" t="s">
        <v>1</v>
      </c>
      <c r="E23" s="76">
        <v>1.0972222222222221</v>
      </c>
      <c r="F23" s="61" t="s">
        <v>48</v>
      </c>
      <c r="G23" s="63">
        <v>9</v>
      </c>
      <c r="H23" s="65" t="s">
        <v>86</v>
      </c>
    </row>
    <row r="24" spans="1:8" ht="19.8" customHeight="1" x14ac:dyDescent="0.3">
      <c r="A24" s="104">
        <v>45983</v>
      </c>
      <c r="B24" s="67" t="s">
        <v>36</v>
      </c>
      <c r="C24" s="68" t="s">
        <v>37</v>
      </c>
      <c r="D24" s="67" t="s">
        <v>1</v>
      </c>
      <c r="E24" s="105">
        <v>1.4201388888888891</v>
      </c>
      <c r="F24" s="67" t="s">
        <v>44</v>
      </c>
      <c r="G24" s="69">
        <v>14</v>
      </c>
      <c r="H24" s="70" t="s">
        <v>85</v>
      </c>
    </row>
    <row r="25" spans="1:8" ht="19.8" customHeight="1" x14ac:dyDescent="0.3">
      <c r="A25" s="96"/>
      <c r="B25" s="97"/>
      <c r="C25" s="97"/>
      <c r="D25" s="97"/>
      <c r="E25" s="97"/>
      <c r="F25" s="98" t="s">
        <v>188</v>
      </c>
      <c r="G25" s="97"/>
      <c r="H25" s="99"/>
    </row>
    <row r="26" spans="1:8" ht="19.8" customHeight="1" x14ac:dyDescent="0.3">
      <c r="A26" s="75">
        <v>45984</v>
      </c>
      <c r="B26" s="61" t="s">
        <v>36</v>
      </c>
      <c r="C26" s="62" t="s">
        <v>37</v>
      </c>
      <c r="D26" s="61" t="s">
        <v>1</v>
      </c>
      <c r="E26" s="76">
        <v>1.4201388888888891</v>
      </c>
      <c r="F26" s="61" t="s">
        <v>38</v>
      </c>
      <c r="G26" s="63">
        <v>6</v>
      </c>
      <c r="H26" s="64">
        <v>619</v>
      </c>
    </row>
    <row r="27" spans="1:8" ht="19.8" customHeight="1" x14ac:dyDescent="0.3">
      <c r="A27" s="75">
        <v>45984</v>
      </c>
      <c r="B27" s="61" t="s">
        <v>26</v>
      </c>
      <c r="C27" s="62" t="s">
        <v>27</v>
      </c>
      <c r="D27" s="61" t="s">
        <v>1</v>
      </c>
      <c r="E27" s="76">
        <v>1.756944444444444</v>
      </c>
      <c r="F27" s="61" t="s">
        <v>28</v>
      </c>
      <c r="G27" s="63">
        <v>9</v>
      </c>
      <c r="H27" s="64">
        <v>689</v>
      </c>
    </row>
    <row r="28" spans="1:8" ht="19.8" customHeight="1" x14ac:dyDescent="0.3">
      <c r="A28" s="75">
        <v>45984</v>
      </c>
      <c r="B28" s="61" t="s">
        <v>36</v>
      </c>
      <c r="C28" s="62" t="s">
        <v>37</v>
      </c>
      <c r="D28" s="61" t="s">
        <v>1</v>
      </c>
      <c r="E28" s="76">
        <v>1.4201388888888891</v>
      </c>
      <c r="F28" s="61" t="s">
        <v>41</v>
      </c>
      <c r="G28" s="63">
        <v>6</v>
      </c>
      <c r="H28" s="64">
        <v>769</v>
      </c>
    </row>
    <row r="29" spans="1:8" ht="19.8" customHeight="1" x14ac:dyDescent="0.3">
      <c r="A29" s="75">
        <v>45984</v>
      </c>
      <c r="B29" s="61" t="s">
        <v>26</v>
      </c>
      <c r="C29" s="62" t="s">
        <v>27</v>
      </c>
      <c r="D29" s="61" t="s">
        <v>1</v>
      </c>
      <c r="E29" s="76">
        <v>1.756944444444444</v>
      </c>
      <c r="F29" s="61" t="s">
        <v>31</v>
      </c>
      <c r="G29" s="63">
        <v>9</v>
      </c>
      <c r="H29" s="64">
        <v>789</v>
      </c>
    </row>
    <row r="30" spans="1:8" ht="19.8" customHeight="1" x14ac:dyDescent="0.3">
      <c r="A30" s="75">
        <v>45984</v>
      </c>
      <c r="B30" s="61" t="s">
        <v>26</v>
      </c>
      <c r="C30" s="62" t="s">
        <v>27</v>
      </c>
      <c r="D30" s="61" t="s">
        <v>1</v>
      </c>
      <c r="E30" s="76">
        <v>1.756944444444444</v>
      </c>
      <c r="F30" s="61" t="s">
        <v>34</v>
      </c>
      <c r="G30" s="63">
        <v>9</v>
      </c>
      <c r="H30" s="64">
        <v>879</v>
      </c>
    </row>
    <row r="31" spans="1:8" ht="19.8" customHeight="1" x14ac:dyDescent="0.3">
      <c r="A31" s="75">
        <v>45984</v>
      </c>
      <c r="B31" s="61" t="s">
        <v>36</v>
      </c>
      <c r="C31" s="62" t="s">
        <v>37</v>
      </c>
      <c r="D31" s="61" t="s">
        <v>1</v>
      </c>
      <c r="E31" s="76">
        <v>1.4201388888888891</v>
      </c>
      <c r="F31" s="61" t="s">
        <v>44</v>
      </c>
      <c r="G31" s="63">
        <v>6</v>
      </c>
      <c r="H31" s="65" t="s">
        <v>85</v>
      </c>
    </row>
    <row r="32" spans="1:8" ht="19.8" customHeight="1" x14ac:dyDescent="0.3">
      <c r="A32" s="75">
        <v>45984</v>
      </c>
      <c r="B32" s="61" t="s">
        <v>56</v>
      </c>
      <c r="C32" s="62" t="s">
        <v>57</v>
      </c>
      <c r="D32" s="61" t="s">
        <v>1</v>
      </c>
      <c r="E32" s="76">
        <v>1.4201388888888891</v>
      </c>
      <c r="F32" s="61" t="s">
        <v>58</v>
      </c>
      <c r="G32" s="63">
        <v>4</v>
      </c>
      <c r="H32" s="65" t="s">
        <v>60</v>
      </c>
    </row>
    <row r="33" spans="1:8" ht="19.8" customHeight="1" x14ac:dyDescent="0.3">
      <c r="A33" s="75">
        <v>45984</v>
      </c>
      <c r="B33" s="61" t="s">
        <v>46</v>
      </c>
      <c r="C33" s="62" t="s">
        <v>53</v>
      </c>
      <c r="D33" s="61" t="s">
        <v>1</v>
      </c>
      <c r="E33" s="76">
        <v>1.2222222222222221</v>
      </c>
      <c r="F33" s="61" t="s">
        <v>48</v>
      </c>
      <c r="G33" s="63">
        <v>1</v>
      </c>
      <c r="H33" s="65" t="s">
        <v>55</v>
      </c>
    </row>
    <row r="34" spans="1:8" ht="19.8" customHeight="1" x14ac:dyDescent="0.3">
      <c r="A34" s="75">
        <v>45984</v>
      </c>
      <c r="B34" s="61" t="s">
        <v>56</v>
      </c>
      <c r="C34" s="62" t="s">
        <v>67</v>
      </c>
      <c r="D34" s="61" t="s">
        <v>1</v>
      </c>
      <c r="E34" s="76">
        <v>1.086805555555556</v>
      </c>
      <c r="F34" s="61" t="s">
        <v>62</v>
      </c>
      <c r="G34" s="63">
        <v>9</v>
      </c>
      <c r="H34" s="65" t="s">
        <v>64</v>
      </c>
    </row>
    <row r="35" spans="1:8" ht="19.8" customHeight="1" x14ac:dyDescent="0.3">
      <c r="A35" s="104">
        <v>45984</v>
      </c>
      <c r="B35" s="67" t="s">
        <v>56</v>
      </c>
      <c r="C35" s="68" t="s">
        <v>67</v>
      </c>
      <c r="D35" s="67" t="s">
        <v>1</v>
      </c>
      <c r="E35" s="105">
        <v>1.086805555555556</v>
      </c>
      <c r="F35" s="67" t="s">
        <v>58</v>
      </c>
      <c r="G35" s="69">
        <v>9</v>
      </c>
      <c r="H35" s="70" t="s">
        <v>66</v>
      </c>
    </row>
  </sheetData>
  <pageMargins left="0.75" right="0.75" top="1" bottom="1" header="0.5" footer="0.5"/>
  <legacyDrawing r:id="rId1"/>
  <tableParts count="1">
    <tablePart r:id="rId2"/>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35"/>
  <sheetViews>
    <sheetView workbookViewId="0"/>
  </sheetViews>
  <sheetFormatPr defaultRowHeight="14.4" x14ac:dyDescent="0.3"/>
  <cols>
    <col min="1" max="1" width="11.88671875" bestFit="1" customWidth="1"/>
    <col min="2" max="2" width="13.77734375" bestFit="1" customWidth="1"/>
    <col min="3" max="3" width="19.21875" bestFit="1" customWidth="1"/>
    <col min="4" max="4" width="12.77734375" bestFit="1" customWidth="1"/>
    <col min="5" max="5" width="18.33203125" bestFit="1" customWidth="1"/>
    <col min="6" max="6" width="33.21875" bestFit="1" customWidth="1"/>
    <col min="7" max="7" width="20" bestFit="1" customWidth="1"/>
    <col min="8" max="8" width="23.6640625" bestFit="1" customWidth="1"/>
    <col min="9" max="9" width="0" hidden="1" customWidth="1"/>
  </cols>
  <sheetData>
    <row r="1" spans="1:8" ht="18" x14ac:dyDescent="0.3">
      <c r="A1" s="57" t="s">
        <v>156</v>
      </c>
      <c r="B1" s="58" t="s">
        <v>8</v>
      </c>
      <c r="C1" s="58" t="s">
        <v>9</v>
      </c>
      <c r="D1" s="58" t="s">
        <v>157</v>
      </c>
      <c r="E1" s="58" t="s">
        <v>10</v>
      </c>
      <c r="F1" s="58" t="s">
        <v>11</v>
      </c>
      <c r="G1" s="58" t="s">
        <v>12</v>
      </c>
      <c r="H1" s="59" t="s">
        <v>13</v>
      </c>
    </row>
    <row r="2" spans="1:8" ht="19.8" customHeight="1" x14ac:dyDescent="0.3">
      <c r="A2" s="96"/>
      <c r="B2" s="97"/>
      <c r="C2" s="97"/>
      <c r="D2" s="97"/>
      <c r="E2" s="97"/>
      <c r="F2" s="98" t="s">
        <v>188</v>
      </c>
      <c r="G2" s="97"/>
      <c r="H2" s="99"/>
    </row>
    <row r="3" spans="1:8" ht="19.8" customHeight="1" x14ac:dyDescent="0.3">
      <c r="A3" s="60" t="s">
        <v>158</v>
      </c>
      <c r="B3" s="61" t="s">
        <v>26</v>
      </c>
      <c r="C3" s="62" t="s">
        <v>27</v>
      </c>
      <c r="D3" s="61" t="s">
        <v>1</v>
      </c>
      <c r="E3" s="61" t="s">
        <v>159</v>
      </c>
      <c r="F3" s="61" t="s">
        <v>28</v>
      </c>
      <c r="G3" s="63">
        <v>9</v>
      </c>
      <c r="H3" s="64">
        <v>559</v>
      </c>
    </row>
    <row r="4" spans="1:8" ht="19.8" customHeight="1" x14ac:dyDescent="0.3">
      <c r="A4" s="60" t="s">
        <v>158</v>
      </c>
      <c r="B4" s="61" t="s">
        <v>36</v>
      </c>
      <c r="C4" s="62" t="s">
        <v>37</v>
      </c>
      <c r="D4" s="61" t="s">
        <v>1</v>
      </c>
      <c r="E4" s="61" t="s">
        <v>160</v>
      </c>
      <c r="F4" s="61" t="s">
        <v>38</v>
      </c>
      <c r="G4" s="63">
        <v>23</v>
      </c>
      <c r="H4" s="64">
        <v>619</v>
      </c>
    </row>
    <row r="5" spans="1:8" ht="19.8" customHeight="1" x14ac:dyDescent="0.3">
      <c r="A5" s="60" t="s">
        <v>158</v>
      </c>
      <c r="B5" s="61" t="s">
        <v>26</v>
      </c>
      <c r="C5" s="62" t="s">
        <v>27</v>
      </c>
      <c r="D5" s="61" t="s">
        <v>1</v>
      </c>
      <c r="E5" s="61" t="s">
        <v>159</v>
      </c>
      <c r="F5" s="61" t="s">
        <v>31</v>
      </c>
      <c r="G5" s="63">
        <v>9</v>
      </c>
      <c r="H5" s="64">
        <v>659</v>
      </c>
    </row>
    <row r="6" spans="1:8" ht="19.8" customHeight="1" x14ac:dyDescent="0.3">
      <c r="A6" s="60" t="s">
        <v>158</v>
      </c>
      <c r="B6" s="61" t="s">
        <v>26</v>
      </c>
      <c r="C6" s="62" t="s">
        <v>27</v>
      </c>
      <c r="D6" s="61" t="s">
        <v>1</v>
      </c>
      <c r="E6" s="61" t="s">
        <v>159</v>
      </c>
      <c r="F6" s="61" t="s">
        <v>34</v>
      </c>
      <c r="G6" s="63">
        <v>9</v>
      </c>
      <c r="H6" s="64">
        <v>749</v>
      </c>
    </row>
    <row r="7" spans="1:8" ht="19.8" customHeight="1" x14ac:dyDescent="0.3">
      <c r="A7" s="60" t="s">
        <v>158</v>
      </c>
      <c r="B7" s="61" t="s">
        <v>36</v>
      </c>
      <c r="C7" s="62" t="s">
        <v>37</v>
      </c>
      <c r="D7" s="61" t="s">
        <v>1</v>
      </c>
      <c r="E7" s="61" t="s">
        <v>160</v>
      </c>
      <c r="F7" s="61" t="s">
        <v>41</v>
      </c>
      <c r="G7" s="63">
        <v>23</v>
      </c>
      <c r="H7" s="64">
        <v>769</v>
      </c>
    </row>
    <row r="8" spans="1:8" ht="19.8" customHeight="1" x14ac:dyDescent="0.3">
      <c r="A8" s="60" t="s">
        <v>158</v>
      </c>
      <c r="B8" s="61" t="s">
        <v>46</v>
      </c>
      <c r="C8" s="62" t="s">
        <v>47</v>
      </c>
      <c r="D8" s="61" t="s">
        <v>1</v>
      </c>
      <c r="E8" s="61" t="s">
        <v>161</v>
      </c>
      <c r="F8" s="61" t="s">
        <v>48</v>
      </c>
      <c r="G8" s="63">
        <v>9</v>
      </c>
      <c r="H8" s="64">
        <v>962</v>
      </c>
    </row>
    <row r="9" spans="1:8" ht="19.8" customHeight="1" x14ac:dyDescent="0.3">
      <c r="A9" s="60" t="s">
        <v>158</v>
      </c>
      <c r="B9" s="61" t="s">
        <v>46</v>
      </c>
      <c r="C9" s="62" t="s">
        <v>51</v>
      </c>
      <c r="D9" s="61" t="s">
        <v>1</v>
      </c>
      <c r="E9" s="61" t="s">
        <v>162</v>
      </c>
      <c r="F9" s="61" t="s">
        <v>48</v>
      </c>
      <c r="G9" s="63">
        <v>9</v>
      </c>
      <c r="H9" s="64">
        <v>962</v>
      </c>
    </row>
    <row r="10" spans="1:8" ht="19.8" customHeight="1" x14ac:dyDescent="0.3">
      <c r="A10" s="60" t="s">
        <v>158</v>
      </c>
      <c r="B10" s="61" t="s">
        <v>46</v>
      </c>
      <c r="C10" s="62" t="s">
        <v>53</v>
      </c>
      <c r="D10" s="61" t="s">
        <v>1</v>
      </c>
      <c r="E10" s="61" t="s">
        <v>163</v>
      </c>
      <c r="F10" s="61" t="s">
        <v>48</v>
      </c>
      <c r="G10" s="63">
        <v>9</v>
      </c>
      <c r="H10" s="64">
        <v>962</v>
      </c>
    </row>
    <row r="11" spans="1:8" ht="19.8" customHeight="1" x14ac:dyDescent="0.3">
      <c r="A11" s="60" t="s">
        <v>158</v>
      </c>
      <c r="B11" s="61" t="s">
        <v>36</v>
      </c>
      <c r="C11" s="62" t="s">
        <v>37</v>
      </c>
      <c r="D11" s="61" t="s">
        <v>1</v>
      </c>
      <c r="E11" s="61" t="s">
        <v>160</v>
      </c>
      <c r="F11" s="61" t="s">
        <v>44</v>
      </c>
      <c r="G11" s="63">
        <v>23</v>
      </c>
      <c r="H11" s="65" t="s">
        <v>45</v>
      </c>
    </row>
    <row r="12" spans="1:8" ht="19.8" customHeight="1" x14ac:dyDescent="0.3">
      <c r="A12" s="66" t="s">
        <v>158</v>
      </c>
      <c r="B12" s="67" t="s">
        <v>56</v>
      </c>
      <c r="C12" s="68" t="s">
        <v>57</v>
      </c>
      <c r="D12" s="67" t="s">
        <v>1</v>
      </c>
      <c r="E12" s="67" t="s">
        <v>160</v>
      </c>
      <c r="F12" s="67" t="s">
        <v>58</v>
      </c>
      <c r="G12" s="69">
        <v>4</v>
      </c>
      <c r="H12" s="70" t="s">
        <v>60</v>
      </c>
    </row>
    <row r="13" spans="1:8" ht="19.8" customHeight="1" x14ac:dyDescent="0.3">
      <c r="A13" s="100" t="s">
        <v>168</v>
      </c>
      <c r="B13" s="101" t="s">
        <v>93</v>
      </c>
      <c r="C13" s="102" t="s">
        <v>191</v>
      </c>
      <c r="D13" s="101" t="s">
        <v>190</v>
      </c>
      <c r="E13" s="101" t="s">
        <v>196</v>
      </c>
      <c r="F13" s="101"/>
      <c r="G13" s="101"/>
      <c r="H13" s="103" t="s">
        <v>96</v>
      </c>
    </row>
    <row r="14" spans="1:8" ht="19.8" customHeight="1" x14ac:dyDescent="0.3">
      <c r="A14" s="96"/>
      <c r="B14" s="97"/>
      <c r="C14" s="97"/>
      <c r="D14" s="97"/>
      <c r="E14" s="97"/>
      <c r="F14" s="98" t="s">
        <v>188</v>
      </c>
      <c r="G14" s="97"/>
      <c r="H14" s="99"/>
    </row>
    <row r="15" spans="1:8" ht="19.8" customHeight="1" x14ac:dyDescent="0.3">
      <c r="A15" s="75">
        <v>45983</v>
      </c>
      <c r="B15" s="61" t="s">
        <v>26</v>
      </c>
      <c r="C15" s="62" t="s">
        <v>73</v>
      </c>
      <c r="D15" s="61" t="s">
        <v>1</v>
      </c>
      <c r="E15" s="76">
        <v>1.354166666666667</v>
      </c>
      <c r="F15" s="61" t="s">
        <v>28</v>
      </c>
      <c r="G15" s="63">
        <v>3</v>
      </c>
      <c r="H15" s="64">
        <v>609</v>
      </c>
    </row>
    <row r="16" spans="1:8" ht="19.8" customHeight="1" x14ac:dyDescent="0.3">
      <c r="A16" s="75">
        <v>45983</v>
      </c>
      <c r="B16" s="61" t="s">
        <v>36</v>
      </c>
      <c r="C16" s="62" t="s">
        <v>37</v>
      </c>
      <c r="D16" s="61" t="s">
        <v>1</v>
      </c>
      <c r="E16" s="76">
        <v>1.4201388888888891</v>
      </c>
      <c r="F16" s="61" t="s">
        <v>38</v>
      </c>
      <c r="G16" s="63">
        <v>14</v>
      </c>
      <c r="H16" s="64">
        <v>619</v>
      </c>
    </row>
    <row r="17" spans="1:8" ht="19.8" customHeight="1" x14ac:dyDescent="0.3">
      <c r="A17" s="75">
        <v>45983</v>
      </c>
      <c r="B17" s="61" t="s">
        <v>26</v>
      </c>
      <c r="C17" s="62" t="s">
        <v>27</v>
      </c>
      <c r="D17" s="61" t="s">
        <v>1</v>
      </c>
      <c r="E17" s="76">
        <v>1.756944444444444</v>
      </c>
      <c r="F17" s="61" t="s">
        <v>28</v>
      </c>
      <c r="G17" s="63">
        <v>1</v>
      </c>
      <c r="H17" s="64">
        <v>689</v>
      </c>
    </row>
    <row r="18" spans="1:8" ht="19.8" customHeight="1" x14ac:dyDescent="0.3">
      <c r="A18" s="75">
        <v>45983</v>
      </c>
      <c r="B18" s="61" t="s">
        <v>26</v>
      </c>
      <c r="C18" s="62" t="s">
        <v>73</v>
      </c>
      <c r="D18" s="61" t="s">
        <v>1</v>
      </c>
      <c r="E18" s="76">
        <v>1.354166666666667</v>
      </c>
      <c r="F18" s="61" t="s">
        <v>31</v>
      </c>
      <c r="G18" s="63">
        <v>3</v>
      </c>
      <c r="H18" s="64">
        <v>709</v>
      </c>
    </row>
    <row r="19" spans="1:8" ht="19.8" customHeight="1" x14ac:dyDescent="0.3">
      <c r="A19" s="75">
        <v>45983</v>
      </c>
      <c r="B19" s="61" t="s">
        <v>36</v>
      </c>
      <c r="C19" s="62" t="s">
        <v>37</v>
      </c>
      <c r="D19" s="61" t="s">
        <v>1</v>
      </c>
      <c r="E19" s="76">
        <v>1.4201388888888891</v>
      </c>
      <c r="F19" s="61" t="s">
        <v>41</v>
      </c>
      <c r="G19" s="63">
        <v>14</v>
      </c>
      <c r="H19" s="64">
        <v>769</v>
      </c>
    </row>
    <row r="20" spans="1:8" ht="19.8" customHeight="1" x14ac:dyDescent="0.3">
      <c r="A20" s="75">
        <v>45983</v>
      </c>
      <c r="B20" s="61" t="s">
        <v>26</v>
      </c>
      <c r="C20" s="62" t="s">
        <v>27</v>
      </c>
      <c r="D20" s="61" t="s">
        <v>1</v>
      </c>
      <c r="E20" s="76">
        <v>1.756944444444444</v>
      </c>
      <c r="F20" s="61" t="s">
        <v>31</v>
      </c>
      <c r="G20" s="63">
        <v>1</v>
      </c>
      <c r="H20" s="64">
        <v>789</v>
      </c>
    </row>
    <row r="21" spans="1:8" ht="19.8" customHeight="1" x14ac:dyDescent="0.3">
      <c r="A21" s="75">
        <v>45983</v>
      </c>
      <c r="B21" s="61" t="s">
        <v>26</v>
      </c>
      <c r="C21" s="62" t="s">
        <v>73</v>
      </c>
      <c r="D21" s="61" t="s">
        <v>1</v>
      </c>
      <c r="E21" s="76">
        <v>1.354166666666667</v>
      </c>
      <c r="F21" s="61" t="s">
        <v>34</v>
      </c>
      <c r="G21" s="63">
        <v>3</v>
      </c>
      <c r="H21" s="64">
        <v>799</v>
      </c>
    </row>
    <row r="22" spans="1:8" ht="19.8" customHeight="1" x14ac:dyDescent="0.3">
      <c r="A22" s="75">
        <v>45983</v>
      </c>
      <c r="B22" s="61" t="s">
        <v>26</v>
      </c>
      <c r="C22" s="62" t="s">
        <v>27</v>
      </c>
      <c r="D22" s="61" t="s">
        <v>1</v>
      </c>
      <c r="E22" s="76">
        <v>1.756944444444444</v>
      </c>
      <c r="F22" s="61" t="s">
        <v>34</v>
      </c>
      <c r="G22" s="63">
        <v>1</v>
      </c>
      <c r="H22" s="64">
        <v>879</v>
      </c>
    </row>
    <row r="23" spans="1:8" ht="19.8" customHeight="1" x14ac:dyDescent="0.3">
      <c r="A23" s="75">
        <v>45983</v>
      </c>
      <c r="B23" s="61" t="s">
        <v>46</v>
      </c>
      <c r="C23" s="62" t="s">
        <v>51</v>
      </c>
      <c r="D23" s="61" t="s">
        <v>1</v>
      </c>
      <c r="E23" s="76">
        <v>1.0972222222222221</v>
      </c>
      <c r="F23" s="61" t="s">
        <v>48</v>
      </c>
      <c r="G23" s="63">
        <v>9</v>
      </c>
      <c r="H23" s="65" t="s">
        <v>86</v>
      </c>
    </row>
    <row r="24" spans="1:8" ht="19.8" customHeight="1" x14ac:dyDescent="0.3">
      <c r="A24" s="104">
        <v>45983</v>
      </c>
      <c r="B24" s="67" t="s">
        <v>36</v>
      </c>
      <c r="C24" s="68" t="s">
        <v>37</v>
      </c>
      <c r="D24" s="67" t="s">
        <v>1</v>
      </c>
      <c r="E24" s="105">
        <v>1.4201388888888891</v>
      </c>
      <c r="F24" s="67" t="s">
        <v>44</v>
      </c>
      <c r="G24" s="69">
        <v>14</v>
      </c>
      <c r="H24" s="70" t="s">
        <v>85</v>
      </c>
    </row>
    <row r="25" spans="1:8" ht="19.8" customHeight="1" x14ac:dyDescent="0.3">
      <c r="A25" s="96"/>
      <c r="B25" s="97"/>
      <c r="C25" s="97"/>
      <c r="D25" s="97"/>
      <c r="E25" s="97"/>
      <c r="F25" s="98" t="s">
        <v>188</v>
      </c>
      <c r="G25" s="97"/>
      <c r="H25" s="99"/>
    </row>
    <row r="26" spans="1:8" ht="19.8" customHeight="1" x14ac:dyDescent="0.3">
      <c r="A26" s="75">
        <v>45984</v>
      </c>
      <c r="B26" s="61" t="s">
        <v>36</v>
      </c>
      <c r="C26" s="62" t="s">
        <v>37</v>
      </c>
      <c r="D26" s="61" t="s">
        <v>1</v>
      </c>
      <c r="E26" s="76">
        <v>1.4201388888888891</v>
      </c>
      <c r="F26" s="61" t="s">
        <v>38</v>
      </c>
      <c r="G26" s="63">
        <v>6</v>
      </c>
      <c r="H26" s="64">
        <v>619</v>
      </c>
    </row>
    <row r="27" spans="1:8" ht="19.8" customHeight="1" x14ac:dyDescent="0.3">
      <c r="A27" s="75">
        <v>45984</v>
      </c>
      <c r="B27" s="61" t="s">
        <v>26</v>
      </c>
      <c r="C27" s="62" t="s">
        <v>27</v>
      </c>
      <c r="D27" s="61" t="s">
        <v>1</v>
      </c>
      <c r="E27" s="76">
        <v>1.756944444444444</v>
      </c>
      <c r="F27" s="61" t="s">
        <v>28</v>
      </c>
      <c r="G27" s="63">
        <v>9</v>
      </c>
      <c r="H27" s="64">
        <v>689</v>
      </c>
    </row>
    <row r="28" spans="1:8" ht="19.8" customHeight="1" x14ac:dyDescent="0.3">
      <c r="A28" s="75">
        <v>45984</v>
      </c>
      <c r="B28" s="61" t="s">
        <v>36</v>
      </c>
      <c r="C28" s="62" t="s">
        <v>37</v>
      </c>
      <c r="D28" s="61" t="s">
        <v>1</v>
      </c>
      <c r="E28" s="76">
        <v>1.4201388888888891</v>
      </c>
      <c r="F28" s="61" t="s">
        <v>41</v>
      </c>
      <c r="G28" s="63">
        <v>6</v>
      </c>
      <c r="H28" s="64">
        <v>769</v>
      </c>
    </row>
    <row r="29" spans="1:8" ht="19.8" customHeight="1" x14ac:dyDescent="0.3">
      <c r="A29" s="75">
        <v>45984</v>
      </c>
      <c r="B29" s="61" t="s">
        <v>26</v>
      </c>
      <c r="C29" s="62" t="s">
        <v>27</v>
      </c>
      <c r="D29" s="61" t="s">
        <v>1</v>
      </c>
      <c r="E29" s="76">
        <v>1.756944444444444</v>
      </c>
      <c r="F29" s="61" t="s">
        <v>31</v>
      </c>
      <c r="G29" s="63">
        <v>9</v>
      </c>
      <c r="H29" s="64">
        <v>789</v>
      </c>
    </row>
    <row r="30" spans="1:8" ht="19.8" customHeight="1" x14ac:dyDescent="0.3">
      <c r="A30" s="75">
        <v>45984</v>
      </c>
      <c r="B30" s="61" t="s">
        <v>26</v>
      </c>
      <c r="C30" s="62" t="s">
        <v>27</v>
      </c>
      <c r="D30" s="61" t="s">
        <v>1</v>
      </c>
      <c r="E30" s="76">
        <v>1.756944444444444</v>
      </c>
      <c r="F30" s="61" t="s">
        <v>34</v>
      </c>
      <c r="G30" s="63">
        <v>9</v>
      </c>
      <c r="H30" s="64">
        <v>879</v>
      </c>
    </row>
    <row r="31" spans="1:8" ht="19.8" customHeight="1" x14ac:dyDescent="0.3">
      <c r="A31" s="75">
        <v>45984</v>
      </c>
      <c r="B31" s="61" t="s">
        <v>36</v>
      </c>
      <c r="C31" s="62" t="s">
        <v>37</v>
      </c>
      <c r="D31" s="61" t="s">
        <v>1</v>
      </c>
      <c r="E31" s="76">
        <v>1.4201388888888891</v>
      </c>
      <c r="F31" s="61" t="s">
        <v>44</v>
      </c>
      <c r="G31" s="63">
        <v>6</v>
      </c>
      <c r="H31" s="65" t="s">
        <v>85</v>
      </c>
    </row>
    <row r="32" spans="1:8" ht="19.8" customHeight="1" x14ac:dyDescent="0.3">
      <c r="A32" s="75">
        <v>45984</v>
      </c>
      <c r="B32" s="61" t="s">
        <v>56</v>
      </c>
      <c r="C32" s="62" t="s">
        <v>57</v>
      </c>
      <c r="D32" s="61" t="s">
        <v>1</v>
      </c>
      <c r="E32" s="76">
        <v>1.4201388888888891</v>
      </c>
      <c r="F32" s="61" t="s">
        <v>58</v>
      </c>
      <c r="G32" s="63">
        <v>4</v>
      </c>
      <c r="H32" s="65" t="s">
        <v>60</v>
      </c>
    </row>
    <row r="33" spans="1:8" ht="19.8" customHeight="1" x14ac:dyDescent="0.3">
      <c r="A33" s="75">
        <v>45984</v>
      </c>
      <c r="B33" s="61" t="s">
        <v>46</v>
      </c>
      <c r="C33" s="62" t="s">
        <v>53</v>
      </c>
      <c r="D33" s="61" t="s">
        <v>1</v>
      </c>
      <c r="E33" s="76">
        <v>1.2222222222222221</v>
      </c>
      <c r="F33" s="61" t="s">
        <v>48</v>
      </c>
      <c r="G33" s="63">
        <v>1</v>
      </c>
      <c r="H33" s="65" t="s">
        <v>55</v>
      </c>
    </row>
    <row r="34" spans="1:8" ht="19.8" customHeight="1" x14ac:dyDescent="0.3">
      <c r="A34" s="75">
        <v>45984</v>
      </c>
      <c r="B34" s="61" t="s">
        <v>56</v>
      </c>
      <c r="C34" s="62" t="s">
        <v>67</v>
      </c>
      <c r="D34" s="61" t="s">
        <v>1</v>
      </c>
      <c r="E34" s="76">
        <v>1.086805555555556</v>
      </c>
      <c r="F34" s="61" t="s">
        <v>62</v>
      </c>
      <c r="G34" s="63">
        <v>9</v>
      </c>
      <c r="H34" s="65" t="s">
        <v>64</v>
      </c>
    </row>
    <row r="35" spans="1:8" ht="19.8" customHeight="1" x14ac:dyDescent="0.3">
      <c r="A35" s="104">
        <v>45984</v>
      </c>
      <c r="B35" s="67" t="s">
        <v>56</v>
      </c>
      <c r="C35" s="68" t="s">
        <v>67</v>
      </c>
      <c r="D35" s="67" t="s">
        <v>1</v>
      </c>
      <c r="E35" s="105">
        <v>1.086805555555556</v>
      </c>
      <c r="F35" s="67" t="s">
        <v>58</v>
      </c>
      <c r="G35" s="69">
        <v>9</v>
      </c>
      <c r="H35" s="70" t="s">
        <v>66</v>
      </c>
    </row>
  </sheetData>
  <pageMargins left="0.75" right="0.75" top="1" bottom="1" header="0.5" footer="0.5"/>
  <legacyDrawing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N201"/>
  <sheetViews>
    <sheetView workbookViewId="0"/>
  </sheetViews>
  <sheetFormatPr defaultRowHeight="14.4" x14ac:dyDescent="0.3"/>
  <cols>
    <col min="1" max="1" width="17.21875" bestFit="1" customWidth="1"/>
    <col min="2" max="2" width="15.6640625" bestFit="1" customWidth="1"/>
    <col min="3" max="3" width="14.77734375" bestFit="1" customWidth="1"/>
    <col min="4" max="4" width="33" bestFit="1" customWidth="1"/>
    <col min="5" max="5" width="18.5546875" bestFit="1" customWidth="1"/>
    <col min="6" max="6" width="23.44140625" bestFit="1" customWidth="1"/>
    <col min="7" max="7" width="44.5546875" bestFit="1" customWidth="1"/>
    <col min="8" max="8" width="9.44140625" bestFit="1" customWidth="1"/>
    <col min="9" max="9" width="9.21875" bestFit="1" customWidth="1"/>
    <col min="10" max="10" width="7.5546875" bestFit="1" customWidth="1"/>
    <col min="11" max="11" width="23.4414062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76.88671875" bestFit="1" customWidth="1"/>
  </cols>
  <sheetData>
    <row r="1" spans="1:92" ht="28.8" customHeight="1" x14ac:dyDescent="0.3">
      <c r="A1" s="260" t="s">
        <v>0</v>
      </c>
      <c r="B1" s="253"/>
      <c r="C1" s="253"/>
      <c r="D1" s="253"/>
      <c r="E1" s="253"/>
      <c r="F1" s="1" t="s">
        <v>203</v>
      </c>
      <c r="G1" s="2" t="s">
        <v>2</v>
      </c>
      <c r="H1" s="259">
        <v>45982</v>
      </c>
      <c r="I1" s="253"/>
      <c r="J1" s="253"/>
      <c r="K1" s="253"/>
      <c r="L1" s="253"/>
      <c r="M1" s="1" t="s">
        <v>3</v>
      </c>
      <c r="N1" s="266">
        <v>45984</v>
      </c>
      <c r="O1" s="253"/>
      <c r="P1" s="253"/>
      <c r="Q1" s="253"/>
      <c r="R1" s="253"/>
      <c r="CA1" s="3"/>
      <c r="CB1" s="3"/>
      <c r="CC1" s="3"/>
      <c r="CD1" s="3"/>
      <c r="CE1" s="3"/>
      <c r="CF1" s="3"/>
      <c r="CG1" s="3"/>
      <c r="CH1" s="3"/>
      <c r="CI1" s="3"/>
      <c r="CJ1" s="3"/>
      <c r="CK1" s="3"/>
      <c r="CL1" s="3"/>
      <c r="CM1" s="3"/>
      <c r="CN1" s="3"/>
    </row>
    <row r="2" spans="1:92" ht="23.4" customHeight="1" x14ac:dyDescent="0.3">
      <c r="A2" s="252" t="s">
        <v>4</v>
      </c>
      <c r="B2" s="253"/>
      <c r="C2" s="253"/>
      <c r="D2" s="253"/>
      <c r="E2" s="253"/>
      <c r="F2" s="253"/>
      <c r="G2" s="261">
        <v>45981.01769113561</v>
      </c>
      <c r="H2" s="253"/>
      <c r="I2" s="253"/>
      <c r="J2" s="253"/>
      <c r="K2" s="262">
        <v>45981.01769113617</v>
      </c>
      <c r="L2" s="253"/>
      <c r="M2" s="253"/>
      <c r="N2" s="253"/>
      <c r="O2" s="253"/>
      <c r="P2" s="253"/>
      <c r="Q2" s="253"/>
      <c r="R2" s="253"/>
      <c r="CA2" s="3"/>
      <c r="CB2" s="3"/>
      <c r="CC2" s="3"/>
      <c r="CD2" s="3"/>
      <c r="CE2" s="3"/>
      <c r="CF2" s="3"/>
      <c r="CG2" s="3"/>
      <c r="CH2" s="3"/>
      <c r="CI2" s="3"/>
      <c r="CJ2" s="3"/>
      <c r="CK2" s="3"/>
      <c r="CL2" s="3"/>
      <c r="CM2" s="3"/>
      <c r="CN2" s="3"/>
    </row>
    <row r="3" spans="1:92" ht="24" customHeight="1" x14ac:dyDescent="0.3">
      <c r="A3" s="254" t="s">
        <v>5</v>
      </c>
      <c r="B3" s="253"/>
      <c r="C3" s="253"/>
      <c r="D3" s="253"/>
      <c r="E3" s="253"/>
      <c r="F3" s="253"/>
      <c r="G3" s="253"/>
      <c r="H3" s="253"/>
      <c r="I3" s="253"/>
      <c r="J3" s="253"/>
      <c r="K3" s="253"/>
      <c r="L3" s="253"/>
      <c r="M3" s="253"/>
      <c r="N3" s="253"/>
      <c r="O3" s="253"/>
      <c r="P3" s="253"/>
      <c r="Q3" s="253"/>
      <c r="R3" s="253"/>
      <c r="CA3" s="3"/>
      <c r="CB3" s="3"/>
      <c r="CC3" s="3"/>
      <c r="CD3" s="3"/>
      <c r="CE3" s="3"/>
      <c r="CF3" s="3"/>
      <c r="CG3" s="3"/>
      <c r="CH3" s="3"/>
      <c r="CI3" s="3"/>
      <c r="CJ3" s="3"/>
      <c r="CK3" s="3"/>
      <c r="CL3" s="3"/>
      <c r="CM3" s="3"/>
      <c r="CN3" s="3"/>
    </row>
    <row r="4" spans="1:92" ht="22.05" customHeight="1" x14ac:dyDescent="0.3">
      <c r="A4" s="263" t="s">
        <v>6</v>
      </c>
      <c r="B4" s="250"/>
      <c r="C4" s="250"/>
      <c r="D4" s="250"/>
      <c r="E4" s="250"/>
      <c r="F4" s="251"/>
      <c r="G4" s="4">
        <v>45982</v>
      </c>
      <c r="H4" s="264" t="s">
        <v>7</v>
      </c>
      <c r="I4" s="250"/>
      <c r="J4" s="250"/>
      <c r="K4" s="250"/>
      <c r="L4" s="250"/>
      <c r="M4" s="250"/>
      <c r="N4" s="250"/>
      <c r="O4" s="250"/>
      <c r="P4" s="250"/>
      <c r="Q4" s="250"/>
      <c r="R4" s="251"/>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8" t="s">
        <v>36</v>
      </c>
      <c r="B6" s="8" t="s">
        <v>204</v>
      </c>
      <c r="C6" s="9">
        <v>0.88888888888888884</v>
      </c>
      <c r="D6" s="8" t="s">
        <v>38</v>
      </c>
      <c r="E6" s="8" t="s">
        <v>205</v>
      </c>
      <c r="F6" s="8" t="s">
        <v>206</v>
      </c>
      <c r="G6" s="265"/>
      <c r="H6" s="10"/>
      <c r="I6" s="11"/>
      <c r="J6" s="11"/>
      <c r="K6" s="11"/>
      <c r="L6" s="11"/>
      <c r="M6" s="11"/>
      <c r="N6" s="11"/>
      <c r="O6" s="12"/>
      <c r="P6" s="11"/>
      <c r="Q6" s="13"/>
      <c r="R6" s="14"/>
    </row>
    <row r="7" spans="1:92" ht="15" customHeight="1" x14ac:dyDescent="0.3">
      <c r="A7" s="15" t="s">
        <v>36</v>
      </c>
      <c r="B7" s="15" t="s">
        <v>204</v>
      </c>
      <c r="C7" s="16">
        <v>0.88888888888888884</v>
      </c>
      <c r="D7" s="15" t="s">
        <v>41</v>
      </c>
      <c r="E7" s="15" t="s">
        <v>207</v>
      </c>
      <c r="F7" s="15" t="s">
        <v>81</v>
      </c>
      <c r="G7" s="256"/>
      <c r="H7" s="10"/>
      <c r="I7" s="11"/>
      <c r="J7" s="11"/>
      <c r="K7" s="11"/>
      <c r="L7" s="11"/>
      <c r="M7" s="11"/>
      <c r="N7" s="11"/>
      <c r="O7" s="12"/>
      <c r="P7" s="11"/>
      <c r="Q7" s="13"/>
      <c r="R7" s="14"/>
    </row>
    <row r="8" spans="1:92" ht="15" customHeight="1" x14ac:dyDescent="0.3">
      <c r="A8" s="15" t="s">
        <v>36</v>
      </c>
      <c r="B8" s="15" t="s">
        <v>204</v>
      </c>
      <c r="C8" s="16">
        <v>0.88888888888888884</v>
      </c>
      <c r="D8" s="15" t="s">
        <v>44</v>
      </c>
      <c r="E8" s="15" t="s">
        <v>207</v>
      </c>
      <c r="F8" s="15" t="s">
        <v>85</v>
      </c>
      <c r="G8" s="256"/>
      <c r="H8" s="10"/>
      <c r="I8" s="11"/>
      <c r="J8" s="11"/>
      <c r="K8" s="11"/>
      <c r="L8" s="11"/>
      <c r="M8" s="11"/>
      <c r="N8" s="11"/>
      <c r="O8" s="12"/>
      <c r="P8" s="11"/>
      <c r="Q8" s="13"/>
      <c r="R8" s="14"/>
    </row>
    <row r="9" spans="1:92" ht="15" customHeight="1" x14ac:dyDescent="0.3">
      <c r="A9" s="19" t="s">
        <v>36</v>
      </c>
      <c r="B9" s="19" t="s">
        <v>208</v>
      </c>
      <c r="C9" s="20">
        <v>0.30208333333333331</v>
      </c>
      <c r="D9" s="19" t="s">
        <v>38</v>
      </c>
      <c r="E9" s="19" t="s">
        <v>209</v>
      </c>
      <c r="F9" s="19" t="s">
        <v>79</v>
      </c>
      <c r="G9" s="256"/>
      <c r="H9" s="10"/>
      <c r="I9" s="11"/>
      <c r="J9" s="11"/>
      <c r="K9" s="11"/>
      <c r="L9" s="11"/>
      <c r="M9" s="11"/>
      <c r="N9" s="11"/>
      <c r="O9" s="12"/>
      <c r="P9" s="11"/>
      <c r="Q9" s="13"/>
      <c r="R9" s="14"/>
    </row>
    <row r="10" spans="1:92" ht="15" customHeight="1" x14ac:dyDescent="0.3">
      <c r="A10" s="15" t="s">
        <v>36</v>
      </c>
      <c r="B10" s="15" t="s">
        <v>208</v>
      </c>
      <c r="C10" s="16">
        <v>0.30208333333333331</v>
      </c>
      <c r="D10" s="15" t="s">
        <v>41</v>
      </c>
      <c r="E10" s="15" t="s">
        <v>210</v>
      </c>
      <c r="F10" s="15" t="s">
        <v>211</v>
      </c>
      <c r="G10" s="256"/>
      <c r="H10" s="10"/>
      <c r="I10" s="11"/>
      <c r="J10" s="11"/>
      <c r="K10" s="11"/>
      <c r="L10" s="11"/>
      <c r="M10" s="11"/>
      <c r="N10" s="11"/>
      <c r="O10" s="12"/>
      <c r="P10" s="11"/>
      <c r="Q10" s="13"/>
      <c r="R10" s="14"/>
    </row>
    <row r="11" spans="1:92" ht="15" customHeight="1" x14ac:dyDescent="0.3">
      <c r="A11" s="15" t="s">
        <v>36</v>
      </c>
      <c r="B11" s="15" t="s">
        <v>208</v>
      </c>
      <c r="C11" s="16">
        <v>0.30208333333333331</v>
      </c>
      <c r="D11" s="15" t="s">
        <v>44</v>
      </c>
      <c r="E11" s="15" t="s">
        <v>210</v>
      </c>
      <c r="F11" s="15" t="s">
        <v>85</v>
      </c>
      <c r="G11" s="256"/>
      <c r="H11" s="10"/>
      <c r="I11" s="11"/>
      <c r="J11" s="11"/>
      <c r="K11" s="11"/>
      <c r="L11" s="11"/>
      <c r="M11" s="11"/>
      <c r="N11" s="11"/>
      <c r="O11" s="12"/>
      <c r="P11" s="11"/>
      <c r="Q11" s="13"/>
      <c r="R11" s="14"/>
    </row>
    <row r="12" spans="1:92" ht="15" customHeight="1" x14ac:dyDescent="0.3">
      <c r="A12" s="19" t="s">
        <v>36</v>
      </c>
      <c r="B12" s="19" t="s">
        <v>212</v>
      </c>
      <c r="C12" s="20">
        <v>0.12847222222222221</v>
      </c>
      <c r="D12" s="19" t="s">
        <v>38</v>
      </c>
      <c r="E12" s="19" t="s">
        <v>213</v>
      </c>
      <c r="F12" s="19" t="s">
        <v>79</v>
      </c>
      <c r="G12" s="256"/>
      <c r="H12" s="10"/>
      <c r="I12" s="11"/>
      <c r="J12" s="11"/>
      <c r="K12" s="11"/>
      <c r="L12" s="11"/>
      <c r="M12" s="11"/>
      <c r="N12" s="11"/>
      <c r="O12" s="12"/>
      <c r="P12" s="11"/>
      <c r="Q12" s="13"/>
      <c r="R12" s="14"/>
    </row>
    <row r="13" spans="1:92" ht="15" customHeight="1" x14ac:dyDescent="0.3">
      <c r="A13" s="15" t="s">
        <v>36</v>
      </c>
      <c r="B13" s="15" t="s">
        <v>212</v>
      </c>
      <c r="C13" s="16">
        <v>0.12847222222222221</v>
      </c>
      <c r="D13" s="15" t="s">
        <v>41</v>
      </c>
      <c r="E13" s="15" t="s">
        <v>214</v>
      </c>
      <c r="F13" s="15" t="s">
        <v>211</v>
      </c>
      <c r="G13" s="256"/>
      <c r="H13" s="10"/>
      <c r="I13" s="11"/>
      <c r="J13" s="11"/>
      <c r="K13" s="11"/>
      <c r="L13" s="11"/>
      <c r="M13" s="11"/>
      <c r="N13" s="11"/>
      <c r="O13" s="12"/>
      <c r="P13" s="11"/>
      <c r="Q13" s="13"/>
      <c r="R13" s="14"/>
    </row>
    <row r="14" spans="1:92" ht="15" customHeight="1" x14ac:dyDescent="0.3">
      <c r="A14" s="15" t="s">
        <v>36</v>
      </c>
      <c r="B14" s="15" t="s">
        <v>212</v>
      </c>
      <c r="C14" s="16">
        <v>0.12847222222222221</v>
      </c>
      <c r="D14" s="15" t="s">
        <v>44</v>
      </c>
      <c r="E14" s="15" t="s">
        <v>214</v>
      </c>
      <c r="F14" s="15" t="s">
        <v>85</v>
      </c>
      <c r="G14" s="256"/>
      <c r="H14" s="10"/>
      <c r="I14" s="11"/>
      <c r="J14" s="11"/>
      <c r="K14" s="11"/>
      <c r="L14" s="11"/>
      <c r="M14" s="11"/>
      <c r="N14" s="11"/>
      <c r="O14" s="12"/>
      <c r="P14" s="11"/>
      <c r="Q14" s="13"/>
      <c r="R14" s="14"/>
    </row>
    <row r="15" spans="1:92" ht="15" customHeight="1" x14ac:dyDescent="0.3">
      <c r="A15" s="19" t="s">
        <v>36</v>
      </c>
      <c r="B15" s="19" t="s">
        <v>215</v>
      </c>
      <c r="C15" s="20">
        <v>0.78819444444444453</v>
      </c>
      <c r="D15" s="19" t="s">
        <v>38</v>
      </c>
      <c r="E15" s="19" t="s">
        <v>216</v>
      </c>
      <c r="F15" s="19" t="s">
        <v>79</v>
      </c>
      <c r="G15" s="256"/>
      <c r="H15" s="10"/>
      <c r="I15" s="11"/>
      <c r="J15" s="11"/>
      <c r="K15" s="11"/>
      <c r="L15" s="11"/>
      <c r="M15" s="11"/>
      <c r="N15" s="11"/>
      <c r="O15" s="12"/>
      <c r="P15" s="11"/>
      <c r="Q15" s="13"/>
      <c r="R15" s="14"/>
    </row>
    <row r="16" spans="1:92" ht="15" customHeight="1" x14ac:dyDescent="0.3">
      <c r="A16" s="15" t="s">
        <v>36</v>
      </c>
      <c r="B16" s="15" t="s">
        <v>215</v>
      </c>
      <c r="C16" s="16">
        <v>0.78819444444444453</v>
      </c>
      <c r="D16" s="15" t="s">
        <v>41</v>
      </c>
      <c r="E16" s="15" t="s">
        <v>217</v>
      </c>
      <c r="F16" s="15" t="s">
        <v>211</v>
      </c>
      <c r="G16" s="256"/>
      <c r="H16" s="10"/>
      <c r="I16" s="11"/>
      <c r="J16" s="11"/>
      <c r="K16" s="11"/>
      <c r="L16" s="11"/>
      <c r="M16" s="11"/>
      <c r="N16" s="11"/>
      <c r="O16" s="12"/>
      <c r="P16" s="11"/>
      <c r="Q16" s="13"/>
      <c r="R16" s="14"/>
    </row>
    <row r="17" spans="1:18" ht="15" customHeight="1" x14ac:dyDescent="0.3">
      <c r="A17" s="15" t="s">
        <v>36</v>
      </c>
      <c r="B17" s="15" t="s">
        <v>215</v>
      </c>
      <c r="C17" s="16">
        <v>0.78819444444444453</v>
      </c>
      <c r="D17" s="15" t="s">
        <v>44</v>
      </c>
      <c r="E17" s="15" t="s">
        <v>217</v>
      </c>
      <c r="F17" s="15" t="s">
        <v>45</v>
      </c>
      <c r="G17" s="256"/>
      <c r="H17" s="10"/>
      <c r="I17" s="11"/>
      <c r="J17" s="11"/>
      <c r="K17" s="11"/>
      <c r="L17" s="11"/>
      <c r="M17" s="11"/>
      <c r="N17" s="11"/>
      <c r="O17" s="12"/>
      <c r="P17" s="11"/>
      <c r="Q17" s="13"/>
      <c r="R17" s="14"/>
    </row>
    <row r="18" spans="1:18" ht="15" customHeight="1" x14ac:dyDescent="0.3">
      <c r="A18" s="17" t="s">
        <v>26</v>
      </c>
      <c r="B18" s="17" t="s">
        <v>218</v>
      </c>
      <c r="C18" s="18">
        <v>0.25694444444444448</v>
      </c>
      <c r="D18" s="17" t="s">
        <v>28</v>
      </c>
      <c r="E18" s="17" t="s">
        <v>219</v>
      </c>
      <c r="F18" s="17" t="s">
        <v>220</v>
      </c>
      <c r="G18" s="256"/>
      <c r="H18" s="10"/>
      <c r="I18" s="11"/>
      <c r="J18" s="11"/>
      <c r="K18" s="11"/>
      <c r="L18" s="11"/>
      <c r="M18" s="11"/>
      <c r="N18" s="11"/>
      <c r="O18" s="12"/>
      <c r="P18" s="11"/>
      <c r="Q18" s="13"/>
      <c r="R18" s="14"/>
    </row>
    <row r="19" spans="1:18" ht="15" customHeight="1" x14ac:dyDescent="0.3">
      <c r="A19" s="15" t="s">
        <v>26</v>
      </c>
      <c r="B19" s="15" t="s">
        <v>218</v>
      </c>
      <c r="C19" s="16">
        <v>0.25694444444444448</v>
      </c>
      <c r="D19" s="15" t="s">
        <v>31</v>
      </c>
      <c r="E19" s="15" t="s">
        <v>221</v>
      </c>
      <c r="F19" s="15" t="s">
        <v>222</v>
      </c>
      <c r="G19" s="256"/>
      <c r="H19" s="10"/>
      <c r="I19" s="11"/>
      <c r="J19" s="11"/>
      <c r="K19" s="11"/>
      <c r="L19" s="11"/>
      <c r="M19" s="11"/>
      <c r="N19" s="11"/>
      <c r="O19" s="12"/>
      <c r="P19" s="11"/>
      <c r="Q19" s="13"/>
      <c r="R19" s="14"/>
    </row>
    <row r="20" spans="1:18" ht="15" customHeight="1" x14ac:dyDescent="0.3">
      <c r="A20" s="15" t="s">
        <v>26</v>
      </c>
      <c r="B20" s="15" t="s">
        <v>218</v>
      </c>
      <c r="C20" s="16">
        <v>0.25694444444444448</v>
      </c>
      <c r="D20" s="15" t="s">
        <v>34</v>
      </c>
      <c r="E20" s="15" t="s">
        <v>221</v>
      </c>
      <c r="F20" s="15" t="s">
        <v>223</v>
      </c>
      <c r="G20" s="256"/>
      <c r="H20" s="10"/>
      <c r="I20" s="11"/>
      <c r="J20" s="11"/>
      <c r="K20" s="11"/>
      <c r="L20" s="11"/>
      <c r="M20" s="11"/>
      <c r="N20" s="11"/>
      <c r="O20" s="12"/>
      <c r="P20" s="11"/>
      <c r="Q20" s="13"/>
      <c r="R20" s="14"/>
    </row>
    <row r="21" spans="1:18" ht="15" customHeight="1" x14ac:dyDescent="0.3">
      <c r="A21" s="19" t="s">
        <v>26</v>
      </c>
      <c r="B21" s="19" t="s">
        <v>224</v>
      </c>
      <c r="C21" s="20">
        <v>0.90277777777777779</v>
      </c>
      <c r="D21" s="19" t="s">
        <v>28</v>
      </c>
      <c r="E21" s="19" t="s">
        <v>225</v>
      </c>
      <c r="F21" s="19" t="s">
        <v>220</v>
      </c>
      <c r="G21" s="256"/>
      <c r="H21" s="10"/>
      <c r="I21" s="11"/>
      <c r="J21" s="11"/>
      <c r="K21" s="11"/>
      <c r="L21" s="11"/>
      <c r="M21" s="11"/>
      <c r="N21" s="11"/>
      <c r="O21" s="12"/>
      <c r="P21" s="11"/>
      <c r="Q21" s="13"/>
      <c r="R21" s="14"/>
    </row>
    <row r="22" spans="1:18" ht="15" customHeight="1" x14ac:dyDescent="0.3">
      <c r="A22" s="15" t="s">
        <v>26</v>
      </c>
      <c r="B22" s="15" t="s">
        <v>224</v>
      </c>
      <c r="C22" s="16">
        <v>0.90277777777777779</v>
      </c>
      <c r="D22" s="15" t="s">
        <v>31</v>
      </c>
      <c r="E22" s="15" t="s">
        <v>32</v>
      </c>
      <c r="F22" s="15" t="s">
        <v>222</v>
      </c>
      <c r="G22" s="256"/>
      <c r="H22" s="10"/>
      <c r="I22" s="11"/>
      <c r="J22" s="11"/>
      <c r="K22" s="11"/>
      <c r="L22" s="11"/>
      <c r="M22" s="11"/>
      <c r="N22" s="11"/>
      <c r="O22" s="12"/>
      <c r="P22" s="11"/>
      <c r="Q22" s="13"/>
      <c r="R22" s="14"/>
    </row>
    <row r="23" spans="1:18" ht="15" customHeight="1" x14ac:dyDescent="0.3">
      <c r="A23" s="15" t="s">
        <v>26</v>
      </c>
      <c r="B23" s="15" t="s">
        <v>224</v>
      </c>
      <c r="C23" s="16">
        <v>0.90277777777777779</v>
      </c>
      <c r="D23" s="15" t="s">
        <v>34</v>
      </c>
      <c r="E23" s="15" t="s">
        <v>32</v>
      </c>
      <c r="F23" s="15" t="s">
        <v>223</v>
      </c>
      <c r="G23" s="256"/>
      <c r="H23" s="10"/>
      <c r="I23" s="11"/>
      <c r="J23" s="11"/>
      <c r="K23" s="11"/>
      <c r="L23" s="11"/>
      <c r="M23" s="11"/>
      <c r="N23" s="11"/>
      <c r="O23" s="12"/>
      <c r="P23" s="11"/>
      <c r="Q23" s="13"/>
      <c r="R23" s="14"/>
    </row>
    <row r="24" spans="1:18" ht="15" customHeight="1" x14ac:dyDescent="0.3">
      <c r="A24" s="19" t="s">
        <v>26</v>
      </c>
      <c r="B24" s="19" t="s">
        <v>226</v>
      </c>
      <c r="C24" s="20">
        <v>0.64583333333333337</v>
      </c>
      <c r="D24" s="19" t="s">
        <v>28</v>
      </c>
      <c r="E24" s="19" t="s">
        <v>69</v>
      </c>
      <c r="F24" s="19" t="s">
        <v>220</v>
      </c>
      <c r="G24" s="256"/>
      <c r="H24" s="10"/>
      <c r="I24" s="11"/>
      <c r="J24" s="11"/>
      <c r="K24" s="11"/>
      <c r="L24" s="11"/>
      <c r="M24" s="11"/>
      <c r="N24" s="11"/>
      <c r="O24" s="12"/>
      <c r="P24" s="11"/>
      <c r="Q24" s="13"/>
      <c r="R24" s="14"/>
    </row>
    <row r="25" spans="1:18" ht="15" customHeight="1" x14ac:dyDescent="0.3">
      <c r="A25" s="15" t="s">
        <v>26</v>
      </c>
      <c r="B25" s="15" t="s">
        <v>226</v>
      </c>
      <c r="C25" s="16">
        <v>0.64583333333333337</v>
      </c>
      <c r="D25" s="15" t="s">
        <v>31</v>
      </c>
      <c r="E25" s="15" t="s">
        <v>71</v>
      </c>
      <c r="F25" s="15" t="s">
        <v>222</v>
      </c>
      <c r="G25" s="256"/>
      <c r="H25" s="10"/>
      <c r="I25" s="11"/>
      <c r="J25" s="11"/>
      <c r="K25" s="11"/>
      <c r="L25" s="11"/>
      <c r="M25" s="11"/>
      <c r="N25" s="11"/>
      <c r="O25" s="12"/>
      <c r="P25" s="11"/>
      <c r="Q25" s="13"/>
      <c r="R25" s="14"/>
    </row>
    <row r="26" spans="1:18" ht="15" customHeight="1" x14ac:dyDescent="0.3">
      <c r="A26" s="15" t="s">
        <v>26</v>
      </c>
      <c r="B26" s="15" t="s">
        <v>226</v>
      </c>
      <c r="C26" s="16">
        <v>0.64583333333333337</v>
      </c>
      <c r="D26" s="15" t="s">
        <v>34</v>
      </c>
      <c r="E26" s="15" t="s">
        <v>71</v>
      </c>
      <c r="F26" s="15" t="s">
        <v>223</v>
      </c>
      <c r="G26" s="256"/>
      <c r="H26" s="10"/>
      <c r="I26" s="11"/>
      <c r="J26" s="11"/>
      <c r="K26" s="11"/>
      <c r="L26" s="11"/>
      <c r="M26" s="11"/>
      <c r="N26" s="11"/>
      <c r="O26" s="12"/>
      <c r="P26" s="11"/>
      <c r="Q26" s="13"/>
      <c r="R26" s="14"/>
    </row>
    <row r="27" spans="1:18" ht="15" customHeight="1" x14ac:dyDescent="0.3">
      <c r="A27" s="19" t="s">
        <v>26</v>
      </c>
      <c r="B27" s="19" t="s">
        <v>227</v>
      </c>
      <c r="C27" s="20">
        <v>0.85416666666666663</v>
      </c>
      <c r="D27" s="19" t="s">
        <v>28</v>
      </c>
      <c r="E27" s="19" t="s">
        <v>228</v>
      </c>
      <c r="F27" s="19" t="s">
        <v>220</v>
      </c>
      <c r="G27" s="256"/>
      <c r="H27" s="10"/>
      <c r="I27" s="11"/>
      <c r="J27" s="11"/>
      <c r="K27" s="11"/>
      <c r="L27" s="11"/>
      <c r="M27" s="11"/>
      <c r="N27" s="11"/>
      <c r="O27" s="12"/>
      <c r="P27" s="11"/>
      <c r="Q27" s="13"/>
      <c r="R27" s="14"/>
    </row>
    <row r="28" spans="1:18" ht="15" customHeight="1" x14ac:dyDescent="0.3">
      <c r="A28" s="15" t="s">
        <v>26</v>
      </c>
      <c r="B28" s="15" t="s">
        <v>227</v>
      </c>
      <c r="C28" s="16">
        <v>0.85416666666666663</v>
      </c>
      <c r="D28" s="15" t="s">
        <v>31</v>
      </c>
      <c r="E28" s="15" t="s">
        <v>229</v>
      </c>
      <c r="F28" s="15" t="s">
        <v>222</v>
      </c>
      <c r="G28" s="256"/>
      <c r="H28" s="10"/>
      <c r="I28" s="11"/>
      <c r="J28" s="11"/>
      <c r="K28" s="11"/>
      <c r="L28" s="11"/>
      <c r="M28" s="11"/>
      <c r="N28" s="11"/>
      <c r="O28" s="12"/>
      <c r="P28" s="11"/>
      <c r="Q28" s="13"/>
      <c r="R28" s="14"/>
    </row>
    <row r="29" spans="1:18" ht="15" customHeight="1" x14ac:dyDescent="0.3">
      <c r="A29" s="15" t="s">
        <v>26</v>
      </c>
      <c r="B29" s="15" t="s">
        <v>227</v>
      </c>
      <c r="C29" s="16">
        <v>0.85416666666666663</v>
      </c>
      <c r="D29" s="15" t="s">
        <v>34</v>
      </c>
      <c r="E29" s="15" t="s">
        <v>229</v>
      </c>
      <c r="F29" s="15" t="s">
        <v>223</v>
      </c>
      <c r="G29" s="256"/>
      <c r="H29" s="10"/>
      <c r="I29" s="11"/>
      <c r="J29" s="11"/>
      <c r="K29" s="11"/>
      <c r="L29" s="11"/>
      <c r="M29" s="11"/>
      <c r="N29" s="11"/>
      <c r="O29" s="12"/>
      <c r="P29" s="11"/>
      <c r="Q29" s="13"/>
      <c r="R29" s="14"/>
    </row>
    <row r="30" spans="1:18" ht="15" customHeight="1" x14ac:dyDescent="0.3">
      <c r="A30" s="19" t="s">
        <v>26</v>
      </c>
      <c r="B30" s="19" t="s">
        <v>230</v>
      </c>
      <c r="C30" s="20">
        <v>0.39583333333333331</v>
      </c>
      <c r="D30" s="19" t="s">
        <v>28</v>
      </c>
      <c r="E30" s="19" t="s">
        <v>231</v>
      </c>
      <c r="F30" s="19" t="s">
        <v>220</v>
      </c>
      <c r="G30" s="256"/>
      <c r="H30" s="10"/>
      <c r="I30" s="11"/>
      <c r="J30" s="11"/>
      <c r="K30" s="11"/>
      <c r="L30" s="11"/>
      <c r="M30" s="11"/>
      <c r="N30" s="11"/>
      <c r="O30" s="12"/>
      <c r="P30" s="11"/>
      <c r="Q30" s="13"/>
      <c r="R30" s="14"/>
    </row>
    <row r="31" spans="1:18" ht="15" customHeight="1" x14ac:dyDescent="0.3">
      <c r="A31" s="15" t="s">
        <v>26</v>
      </c>
      <c r="B31" s="15" t="s">
        <v>230</v>
      </c>
      <c r="C31" s="16">
        <v>0.39583333333333331</v>
      </c>
      <c r="D31" s="15" t="s">
        <v>31</v>
      </c>
      <c r="E31" s="15" t="s">
        <v>207</v>
      </c>
      <c r="F31" s="15" t="s">
        <v>222</v>
      </c>
      <c r="G31" s="256"/>
      <c r="H31" s="10"/>
      <c r="I31" s="11"/>
      <c r="J31" s="11"/>
      <c r="K31" s="11"/>
      <c r="L31" s="11"/>
      <c r="M31" s="11"/>
      <c r="N31" s="11"/>
      <c r="O31" s="12"/>
      <c r="P31" s="11"/>
      <c r="Q31" s="13"/>
      <c r="R31" s="14"/>
    </row>
    <row r="32" spans="1:18" ht="15" customHeight="1" x14ac:dyDescent="0.3">
      <c r="A32" s="15" t="s">
        <v>26</v>
      </c>
      <c r="B32" s="15" t="s">
        <v>230</v>
      </c>
      <c r="C32" s="16">
        <v>0.39583333333333331</v>
      </c>
      <c r="D32" s="15" t="s">
        <v>34</v>
      </c>
      <c r="E32" s="15" t="s">
        <v>207</v>
      </c>
      <c r="F32" s="15" t="s">
        <v>223</v>
      </c>
      <c r="G32" s="256"/>
      <c r="H32" s="10"/>
      <c r="I32" s="11"/>
      <c r="J32" s="11"/>
      <c r="K32" s="11"/>
      <c r="L32" s="11"/>
      <c r="M32" s="11"/>
      <c r="N32" s="11"/>
      <c r="O32" s="12"/>
      <c r="P32" s="11"/>
      <c r="Q32" s="13"/>
      <c r="R32" s="14"/>
    </row>
    <row r="33" spans="1:18" ht="15" customHeight="1" x14ac:dyDescent="0.3">
      <c r="A33" s="19" t="s">
        <v>26</v>
      </c>
      <c r="B33" s="19" t="s">
        <v>232</v>
      </c>
      <c r="C33" s="20">
        <v>0.79861111111111116</v>
      </c>
      <c r="D33" s="19" t="s">
        <v>28</v>
      </c>
      <c r="E33" s="19" t="s">
        <v>225</v>
      </c>
      <c r="F33" s="19" t="s">
        <v>220</v>
      </c>
      <c r="G33" s="256"/>
      <c r="H33" s="10"/>
      <c r="I33" s="11"/>
      <c r="J33" s="11"/>
      <c r="K33" s="11"/>
      <c r="L33" s="11"/>
      <c r="M33" s="11"/>
      <c r="N33" s="11"/>
      <c r="O33" s="12"/>
      <c r="P33" s="11"/>
      <c r="Q33" s="13"/>
      <c r="R33" s="14"/>
    </row>
    <row r="34" spans="1:18" ht="15" customHeight="1" x14ac:dyDescent="0.3">
      <c r="A34" s="15" t="s">
        <v>26</v>
      </c>
      <c r="B34" s="15" t="s">
        <v>232</v>
      </c>
      <c r="C34" s="16">
        <v>0.79861111111111116</v>
      </c>
      <c r="D34" s="15" t="s">
        <v>31</v>
      </c>
      <c r="E34" s="15" t="s">
        <v>32</v>
      </c>
      <c r="F34" s="15" t="s">
        <v>222</v>
      </c>
      <c r="G34" s="256"/>
      <c r="H34" s="10"/>
      <c r="I34" s="11"/>
      <c r="J34" s="11"/>
      <c r="K34" s="11"/>
      <c r="L34" s="11"/>
      <c r="M34" s="11"/>
      <c r="N34" s="11"/>
      <c r="O34" s="12"/>
      <c r="P34" s="11"/>
      <c r="Q34" s="13"/>
      <c r="R34" s="14"/>
    </row>
    <row r="35" spans="1:18" ht="15" customHeight="1" x14ac:dyDescent="0.3">
      <c r="A35" s="15" t="s">
        <v>26</v>
      </c>
      <c r="B35" s="15" t="s">
        <v>232</v>
      </c>
      <c r="C35" s="16">
        <v>0.79861111111111116</v>
      </c>
      <c r="D35" s="15" t="s">
        <v>34</v>
      </c>
      <c r="E35" s="15" t="s">
        <v>32</v>
      </c>
      <c r="F35" s="15" t="s">
        <v>223</v>
      </c>
      <c r="G35" s="256"/>
      <c r="H35" s="10"/>
      <c r="I35" s="11"/>
      <c r="J35" s="11"/>
      <c r="K35" s="11"/>
      <c r="L35" s="11"/>
      <c r="M35" s="11"/>
      <c r="N35" s="11"/>
      <c r="O35" s="12"/>
      <c r="P35" s="11"/>
      <c r="Q35" s="13"/>
      <c r="R35" s="14"/>
    </row>
    <row r="36" spans="1:18" ht="15" customHeight="1" x14ac:dyDescent="0.3">
      <c r="A36" s="19" t="s">
        <v>26</v>
      </c>
      <c r="B36" s="19" t="s">
        <v>233</v>
      </c>
      <c r="C36" s="20">
        <v>0.51736111111111105</v>
      </c>
      <c r="D36" s="19" t="s">
        <v>28</v>
      </c>
      <c r="E36" s="19" t="s">
        <v>225</v>
      </c>
      <c r="F36" s="19" t="s">
        <v>234</v>
      </c>
      <c r="G36" s="256"/>
      <c r="H36" s="10"/>
      <c r="I36" s="11"/>
      <c r="J36" s="11"/>
      <c r="K36" s="11"/>
      <c r="L36" s="11"/>
      <c r="M36" s="11"/>
      <c r="N36" s="11"/>
      <c r="O36" s="12"/>
      <c r="P36" s="11"/>
      <c r="Q36" s="13"/>
      <c r="R36" s="14"/>
    </row>
    <row r="37" spans="1:18" ht="15" customHeight="1" x14ac:dyDescent="0.3">
      <c r="A37" s="15" t="s">
        <v>26</v>
      </c>
      <c r="B37" s="15" t="s">
        <v>233</v>
      </c>
      <c r="C37" s="16">
        <v>0.51736111111111105</v>
      </c>
      <c r="D37" s="15" t="s">
        <v>31</v>
      </c>
      <c r="E37" s="15" t="s">
        <v>32</v>
      </c>
      <c r="F37" s="15" t="s">
        <v>235</v>
      </c>
      <c r="G37" s="256"/>
      <c r="H37" s="10"/>
      <c r="I37" s="11"/>
      <c r="J37" s="11"/>
      <c r="K37" s="11"/>
      <c r="L37" s="11"/>
      <c r="M37" s="11"/>
      <c r="N37" s="11"/>
      <c r="O37" s="12"/>
      <c r="P37" s="11"/>
      <c r="Q37" s="13"/>
      <c r="R37" s="14"/>
    </row>
    <row r="38" spans="1:18" ht="15" customHeight="1" x14ac:dyDescent="0.3">
      <c r="A38" s="15" t="s">
        <v>26</v>
      </c>
      <c r="B38" s="15" t="s">
        <v>233</v>
      </c>
      <c r="C38" s="16">
        <v>0.51736111111111105</v>
      </c>
      <c r="D38" s="15" t="s">
        <v>34</v>
      </c>
      <c r="E38" s="15" t="s">
        <v>32</v>
      </c>
      <c r="F38" s="15" t="s">
        <v>236</v>
      </c>
      <c r="G38" s="256"/>
      <c r="H38" s="10"/>
      <c r="I38" s="11"/>
      <c r="J38" s="11"/>
      <c r="K38" s="11"/>
      <c r="L38" s="11"/>
      <c r="M38" s="11"/>
      <c r="N38" s="11"/>
      <c r="O38" s="12"/>
      <c r="P38" s="11"/>
      <c r="Q38" s="13"/>
      <c r="R38" s="14"/>
    </row>
    <row r="39" spans="1:18" ht="15" customHeight="1" x14ac:dyDescent="0.3">
      <c r="A39" s="17" t="s">
        <v>237</v>
      </c>
      <c r="B39" s="17" t="s">
        <v>238</v>
      </c>
      <c r="C39" s="18">
        <v>0.97569444444444453</v>
      </c>
      <c r="D39" s="17" t="s">
        <v>239</v>
      </c>
      <c r="E39" s="17" t="s">
        <v>29</v>
      </c>
      <c r="F39" s="17" t="s">
        <v>240</v>
      </c>
      <c r="G39" s="256"/>
      <c r="H39" s="10"/>
      <c r="I39" s="11"/>
      <c r="J39" s="11"/>
      <c r="K39" s="11"/>
      <c r="L39" s="11"/>
      <c r="M39" s="11"/>
      <c r="N39" s="11"/>
      <c r="O39" s="12"/>
      <c r="P39" s="11"/>
      <c r="Q39" s="13"/>
      <c r="R39" s="14"/>
    </row>
    <row r="40" spans="1:18" ht="15" customHeight="1" x14ac:dyDescent="0.3">
      <c r="A40" s="19" t="s">
        <v>237</v>
      </c>
      <c r="B40" s="19" t="s">
        <v>241</v>
      </c>
      <c r="C40" s="20">
        <v>0.3923611111111111</v>
      </c>
      <c r="D40" s="19" t="s">
        <v>239</v>
      </c>
      <c r="E40" s="19" t="s">
        <v>225</v>
      </c>
      <c r="F40" s="19" t="s">
        <v>242</v>
      </c>
      <c r="G40" s="256"/>
      <c r="H40" s="10"/>
      <c r="I40" s="11"/>
      <c r="J40" s="11"/>
      <c r="K40" s="11"/>
      <c r="L40" s="11"/>
      <c r="M40" s="11"/>
      <c r="N40" s="11"/>
      <c r="O40" s="12"/>
      <c r="P40" s="11"/>
      <c r="Q40" s="13"/>
      <c r="R40" s="14"/>
    </row>
    <row r="41" spans="1:18" ht="15" customHeight="1" x14ac:dyDescent="0.3">
      <c r="A41" s="17" t="s">
        <v>243</v>
      </c>
      <c r="B41" s="17" t="s">
        <v>244</v>
      </c>
      <c r="C41" s="18">
        <v>0.41666666666666669</v>
      </c>
      <c r="D41" s="17" t="s">
        <v>245</v>
      </c>
      <c r="E41" s="17" t="s">
        <v>205</v>
      </c>
      <c r="F41" s="17" t="s">
        <v>35</v>
      </c>
      <c r="G41" s="256"/>
      <c r="H41" s="10"/>
      <c r="I41" s="11"/>
      <c r="J41" s="11"/>
      <c r="K41" s="11"/>
      <c r="L41" s="11"/>
      <c r="M41" s="11"/>
      <c r="N41" s="11"/>
      <c r="O41" s="12"/>
      <c r="P41" s="11"/>
      <c r="Q41" s="13"/>
      <c r="R41" s="14"/>
    </row>
    <row r="42" spans="1:18" ht="15" customHeight="1" x14ac:dyDescent="0.3">
      <c r="A42" s="19" t="s">
        <v>243</v>
      </c>
      <c r="B42" s="19" t="s">
        <v>246</v>
      </c>
      <c r="C42" s="20">
        <v>0.71527777777777779</v>
      </c>
      <c r="D42" s="19" t="s">
        <v>245</v>
      </c>
      <c r="E42" s="19" t="s">
        <v>52</v>
      </c>
      <c r="F42" s="19" t="s">
        <v>247</v>
      </c>
      <c r="G42" s="256"/>
      <c r="H42" s="10"/>
      <c r="I42" s="11"/>
      <c r="J42" s="11"/>
      <c r="K42" s="11"/>
      <c r="L42" s="11"/>
      <c r="M42" s="11"/>
      <c r="N42" s="11"/>
      <c r="O42" s="12"/>
      <c r="P42" s="11"/>
      <c r="Q42" s="13"/>
      <c r="R42" s="14"/>
    </row>
    <row r="43" spans="1:18" ht="15" customHeight="1" x14ac:dyDescent="0.3">
      <c r="A43" s="116" t="s">
        <v>93</v>
      </c>
      <c r="B43" s="116" t="s">
        <v>248</v>
      </c>
      <c r="C43" s="117">
        <v>0.1145833333333333</v>
      </c>
      <c r="D43" s="116" t="s">
        <v>249</v>
      </c>
      <c r="E43" s="116" t="s">
        <v>89</v>
      </c>
      <c r="F43" s="116" t="s">
        <v>250</v>
      </c>
      <c r="G43" s="256"/>
      <c r="H43" s="118" t="s">
        <v>251</v>
      </c>
      <c r="I43" s="119">
        <v>0.54190000000000005</v>
      </c>
      <c r="J43" s="120">
        <v>97</v>
      </c>
      <c r="K43" s="121" t="s">
        <v>180</v>
      </c>
      <c r="L43" s="120">
        <v>26</v>
      </c>
      <c r="M43" s="120">
        <v>0</v>
      </c>
      <c r="N43" s="120">
        <v>7</v>
      </c>
      <c r="O43" s="122" t="s">
        <v>252</v>
      </c>
      <c r="P43" s="123">
        <v>0.1145833333333333</v>
      </c>
      <c r="Q43" s="120">
        <v>179</v>
      </c>
      <c r="R43" s="124" t="s">
        <v>253</v>
      </c>
    </row>
    <row r="44" spans="1:18" ht="15" customHeight="1" x14ac:dyDescent="0.3">
      <c r="A44" s="125" t="s">
        <v>93</v>
      </c>
      <c r="B44" s="125" t="s">
        <v>254</v>
      </c>
      <c r="C44" s="126">
        <v>0.73611111111111116</v>
      </c>
      <c r="D44" s="125" t="s">
        <v>249</v>
      </c>
      <c r="E44" s="125" t="s">
        <v>92</v>
      </c>
      <c r="F44" s="125" t="s">
        <v>255</v>
      </c>
      <c r="G44" s="256"/>
      <c r="H44" s="127" t="s">
        <v>256</v>
      </c>
      <c r="I44" s="128">
        <v>0.5363</v>
      </c>
      <c r="J44" s="129">
        <v>96</v>
      </c>
      <c r="K44" s="130" t="s">
        <v>180</v>
      </c>
      <c r="L44" s="129">
        <v>14</v>
      </c>
      <c r="M44" s="129">
        <v>0</v>
      </c>
      <c r="N44" s="129">
        <v>1</v>
      </c>
      <c r="O44" s="131" t="s">
        <v>257</v>
      </c>
      <c r="P44" s="132">
        <v>0.73611111111111116</v>
      </c>
      <c r="Q44" s="129">
        <v>179</v>
      </c>
      <c r="R44" s="133" t="s">
        <v>258</v>
      </c>
    </row>
    <row r="45" spans="1:18" ht="15" customHeight="1" x14ac:dyDescent="0.3">
      <c r="A45" s="134" t="s">
        <v>93</v>
      </c>
      <c r="B45" s="134" t="s">
        <v>259</v>
      </c>
      <c r="C45" s="135">
        <v>0.45833333333333331</v>
      </c>
      <c r="D45" s="134" t="s">
        <v>249</v>
      </c>
      <c r="E45" s="134" t="s">
        <v>78</v>
      </c>
      <c r="F45" s="134" t="s">
        <v>255</v>
      </c>
      <c r="G45" s="256"/>
      <c r="H45" s="118" t="s">
        <v>260</v>
      </c>
      <c r="I45" s="136">
        <v>0.57540000000000002</v>
      </c>
      <c r="J45" s="120">
        <v>103</v>
      </c>
      <c r="K45" s="121" t="s">
        <v>180</v>
      </c>
      <c r="L45" s="120">
        <v>11</v>
      </c>
      <c r="M45" s="120">
        <v>0</v>
      </c>
      <c r="N45" s="120">
        <v>6</v>
      </c>
      <c r="O45" s="122" t="s">
        <v>261</v>
      </c>
      <c r="P45" s="123">
        <v>0.45833333333333331</v>
      </c>
      <c r="Q45" s="120">
        <v>179</v>
      </c>
      <c r="R45" s="124" t="s">
        <v>262</v>
      </c>
    </row>
    <row r="46" spans="1:18" ht="15" customHeight="1" x14ac:dyDescent="0.3">
      <c r="A46" s="137" t="s">
        <v>93</v>
      </c>
      <c r="B46" s="137" t="s">
        <v>263</v>
      </c>
      <c r="C46" s="138">
        <v>0.61458333333333337</v>
      </c>
      <c r="D46" s="137" t="s">
        <v>249</v>
      </c>
      <c r="E46" s="137" t="s">
        <v>231</v>
      </c>
      <c r="F46" s="137" t="s">
        <v>255</v>
      </c>
      <c r="G46" s="256"/>
      <c r="H46" s="139" t="s">
        <v>264</v>
      </c>
      <c r="I46" s="140">
        <v>0.54190000000000005</v>
      </c>
      <c r="J46" s="141">
        <v>97</v>
      </c>
      <c r="K46" s="142" t="s">
        <v>180</v>
      </c>
      <c r="L46" s="141">
        <v>21</v>
      </c>
      <c r="M46" s="141">
        <v>0</v>
      </c>
      <c r="N46" s="141">
        <v>2</v>
      </c>
      <c r="O46" s="143" t="s">
        <v>257</v>
      </c>
      <c r="P46" s="144">
        <v>0.61458333333333337</v>
      </c>
      <c r="Q46" s="141">
        <v>179</v>
      </c>
      <c r="R46" s="145" t="s">
        <v>265</v>
      </c>
    </row>
    <row r="47" spans="1:18" ht="15" customHeight="1" x14ac:dyDescent="0.3">
      <c r="A47" s="125" t="s">
        <v>93</v>
      </c>
      <c r="B47" s="125" t="s">
        <v>266</v>
      </c>
      <c r="C47" s="126">
        <v>0.31944444444444448</v>
      </c>
      <c r="D47" s="125" t="s">
        <v>249</v>
      </c>
      <c r="E47" s="125" t="s">
        <v>267</v>
      </c>
      <c r="F47" s="125" t="s">
        <v>268</v>
      </c>
      <c r="G47" s="256"/>
      <c r="H47" s="127" t="s">
        <v>269</v>
      </c>
      <c r="I47" s="146">
        <v>0.5978</v>
      </c>
      <c r="J47" s="129">
        <v>107</v>
      </c>
      <c r="K47" s="130" t="s">
        <v>270</v>
      </c>
      <c r="L47" s="129">
        <v>12</v>
      </c>
      <c r="M47" s="129">
        <v>0</v>
      </c>
      <c r="N47" s="129">
        <v>0</v>
      </c>
      <c r="O47" s="131" t="s">
        <v>271</v>
      </c>
      <c r="P47" s="132">
        <v>0.31944444444444448</v>
      </c>
      <c r="Q47" s="129">
        <v>179</v>
      </c>
      <c r="R47" s="133" t="s">
        <v>272</v>
      </c>
    </row>
    <row r="48" spans="1:18" ht="15" customHeight="1" x14ac:dyDescent="0.3">
      <c r="A48" s="147" t="s">
        <v>93</v>
      </c>
      <c r="B48" s="147" t="s">
        <v>273</v>
      </c>
      <c r="C48" s="148">
        <v>0.9375</v>
      </c>
      <c r="D48" s="147" t="s">
        <v>95</v>
      </c>
      <c r="E48" s="149"/>
      <c r="F48" s="147" t="s">
        <v>96</v>
      </c>
      <c r="G48" s="256"/>
      <c r="H48" s="109" t="s">
        <v>273</v>
      </c>
      <c r="I48" s="110">
        <v>1.0115000000000001</v>
      </c>
      <c r="J48" s="111">
        <v>176</v>
      </c>
      <c r="K48" s="112" t="s">
        <v>274</v>
      </c>
      <c r="L48" s="111">
        <v>6</v>
      </c>
      <c r="M48" s="111">
        <v>0</v>
      </c>
      <c r="N48" s="111">
        <v>0</v>
      </c>
      <c r="O48" s="113" t="s">
        <v>98</v>
      </c>
      <c r="P48" s="114">
        <v>0.9375</v>
      </c>
      <c r="Q48" s="111">
        <v>174</v>
      </c>
      <c r="R48" s="115" t="s">
        <v>275</v>
      </c>
    </row>
    <row r="49" spans="1:18" ht="15" customHeight="1" x14ac:dyDescent="0.3">
      <c r="A49" s="17" t="s">
        <v>46</v>
      </c>
      <c r="B49" s="17" t="s">
        <v>276</v>
      </c>
      <c r="C49" s="18">
        <v>0.22916666666666671</v>
      </c>
      <c r="D49" s="17" t="s">
        <v>48</v>
      </c>
      <c r="E49" s="17" t="s">
        <v>49</v>
      </c>
      <c r="F49" s="17" t="s">
        <v>277</v>
      </c>
      <c r="G49" s="256"/>
      <c r="H49" s="10"/>
      <c r="I49" s="11"/>
      <c r="J49" s="11"/>
      <c r="K49" s="11"/>
      <c r="L49" s="11"/>
      <c r="M49" s="11"/>
      <c r="N49" s="11"/>
      <c r="O49" s="12"/>
      <c r="P49" s="11"/>
      <c r="Q49" s="13"/>
      <c r="R49" s="14"/>
    </row>
    <row r="50" spans="1:18" ht="15" customHeight="1" x14ac:dyDescent="0.3">
      <c r="A50" s="19" t="s">
        <v>46</v>
      </c>
      <c r="B50" s="19" t="s">
        <v>278</v>
      </c>
      <c r="C50" s="20">
        <v>0.14583333333333329</v>
      </c>
      <c r="D50" s="19" t="s">
        <v>48</v>
      </c>
      <c r="E50" s="19" t="s">
        <v>52</v>
      </c>
      <c r="F50" s="19" t="s">
        <v>279</v>
      </c>
      <c r="G50" s="256"/>
      <c r="H50" s="10"/>
      <c r="I50" s="11"/>
      <c r="J50" s="11"/>
      <c r="K50" s="11"/>
      <c r="L50" s="11"/>
      <c r="M50" s="11"/>
      <c r="N50" s="11"/>
      <c r="O50" s="12"/>
      <c r="P50" s="11"/>
      <c r="Q50" s="13"/>
      <c r="R50" s="14"/>
    </row>
    <row r="51" spans="1:18" ht="15" customHeight="1" x14ac:dyDescent="0.3">
      <c r="A51" s="19" t="s">
        <v>46</v>
      </c>
      <c r="B51" s="19" t="s">
        <v>280</v>
      </c>
      <c r="C51" s="20">
        <v>0.96527777777777779</v>
      </c>
      <c r="D51" s="19" t="s">
        <v>48</v>
      </c>
      <c r="E51" s="19" t="s">
        <v>52</v>
      </c>
      <c r="F51" s="19" t="s">
        <v>279</v>
      </c>
      <c r="G51" s="256"/>
      <c r="H51" s="10"/>
      <c r="I51" s="11"/>
      <c r="J51" s="11"/>
      <c r="K51" s="11"/>
      <c r="L51" s="11"/>
      <c r="M51" s="11"/>
      <c r="N51" s="11"/>
      <c r="O51" s="12"/>
      <c r="P51" s="11"/>
      <c r="Q51" s="13"/>
      <c r="R51" s="14"/>
    </row>
    <row r="52" spans="1:18" ht="15" customHeight="1" x14ac:dyDescent="0.3">
      <c r="A52" s="19" t="s">
        <v>46</v>
      </c>
      <c r="B52" s="19" t="s">
        <v>281</v>
      </c>
      <c r="C52" s="20">
        <v>0.79166666666666663</v>
      </c>
      <c r="D52" s="19" t="s">
        <v>48</v>
      </c>
      <c r="E52" s="19" t="s">
        <v>52</v>
      </c>
      <c r="F52" s="19" t="s">
        <v>279</v>
      </c>
      <c r="G52" s="256"/>
      <c r="H52" s="10"/>
      <c r="I52" s="11"/>
      <c r="J52" s="11"/>
      <c r="K52" s="11"/>
      <c r="L52" s="11"/>
      <c r="M52" s="11"/>
      <c r="N52" s="11"/>
      <c r="O52" s="12"/>
      <c r="P52" s="11"/>
      <c r="Q52" s="13"/>
      <c r="R52" s="14"/>
    </row>
    <row r="53" spans="1:18" ht="15" customHeight="1" x14ac:dyDescent="0.3">
      <c r="A53" s="19" t="s">
        <v>46</v>
      </c>
      <c r="B53" s="19" t="s">
        <v>282</v>
      </c>
      <c r="C53" s="20">
        <v>1.388888888888889E-2</v>
      </c>
      <c r="D53" s="19" t="s">
        <v>48</v>
      </c>
      <c r="E53" s="19" t="s">
        <v>52</v>
      </c>
      <c r="F53" s="19" t="s">
        <v>283</v>
      </c>
      <c r="G53" s="256"/>
      <c r="H53" s="10"/>
      <c r="I53" s="11"/>
      <c r="J53" s="11"/>
      <c r="K53" s="11"/>
      <c r="L53" s="11"/>
      <c r="M53" s="11"/>
      <c r="N53" s="11"/>
      <c r="O53" s="12"/>
      <c r="P53" s="11"/>
      <c r="Q53" s="13"/>
      <c r="R53" s="14"/>
    </row>
    <row r="54" spans="1:18" ht="15" customHeight="1" x14ac:dyDescent="0.3">
      <c r="A54" s="19" t="s">
        <v>46</v>
      </c>
      <c r="B54" s="19" t="s">
        <v>284</v>
      </c>
      <c r="C54" s="20">
        <v>0.50694444444444442</v>
      </c>
      <c r="D54" s="19" t="s">
        <v>48</v>
      </c>
      <c r="E54" s="19" t="s">
        <v>52</v>
      </c>
      <c r="F54" s="19" t="s">
        <v>285</v>
      </c>
      <c r="G54" s="256"/>
      <c r="H54" s="10"/>
      <c r="I54" s="11"/>
      <c r="J54" s="11"/>
      <c r="K54" s="11"/>
      <c r="L54" s="11"/>
      <c r="M54" s="11"/>
      <c r="N54" s="11"/>
      <c r="O54" s="12"/>
      <c r="P54" s="11"/>
      <c r="Q54" s="13"/>
      <c r="R54" s="14"/>
    </row>
    <row r="55" spans="1:18" ht="15" customHeight="1" x14ac:dyDescent="0.3">
      <c r="A55" s="19" t="s">
        <v>46</v>
      </c>
      <c r="B55" s="19" t="s">
        <v>286</v>
      </c>
      <c r="C55" s="20">
        <v>0.27777777777777779</v>
      </c>
      <c r="D55" s="19" t="s">
        <v>48</v>
      </c>
      <c r="E55" s="19" t="s">
        <v>52</v>
      </c>
      <c r="F55" s="19" t="s">
        <v>285</v>
      </c>
      <c r="G55" s="256"/>
      <c r="H55" s="10"/>
      <c r="I55" s="11"/>
      <c r="J55" s="11"/>
      <c r="K55" s="11"/>
      <c r="L55" s="11"/>
      <c r="M55" s="11"/>
      <c r="N55" s="11"/>
      <c r="O55" s="12"/>
      <c r="P55" s="11"/>
      <c r="Q55" s="13"/>
      <c r="R55" s="14"/>
    </row>
    <row r="56" spans="1:18" ht="15" customHeight="1" x14ac:dyDescent="0.3">
      <c r="A56" s="17" t="s">
        <v>56</v>
      </c>
      <c r="B56" s="17" t="s">
        <v>287</v>
      </c>
      <c r="C56" s="18">
        <v>0.23958333333333329</v>
      </c>
      <c r="D56" s="17" t="s">
        <v>62</v>
      </c>
      <c r="E56" s="17" t="s">
        <v>49</v>
      </c>
      <c r="F56" s="17" t="s">
        <v>288</v>
      </c>
      <c r="G56" s="256"/>
      <c r="H56" s="10"/>
      <c r="I56" s="11"/>
      <c r="J56" s="11"/>
      <c r="K56" s="11"/>
      <c r="L56" s="11"/>
      <c r="M56" s="11"/>
      <c r="N56" s="11"/>
      <c r="O56" s="12"/>
      <c r="P56" s="11"/>
      <c r="Q56" s="13"/>
      <c r="R56" s="14"/>
    </row>
    <row r="57" spans="1:18" ht="15" customHeight="1" x14ac:dyDescent="0.3">
      <c r="A57" s="15" t="s">
        <v>56</v>
      </c>
      <c r="B57" s="15" t="s">
        <v>287</v>
      </c>
      <c r="C57" s="16">
        <v>0.23958333333333329</v>
      </c>
      <c r="D57" s="15" t="s">
        <v>58</v>
      </c>
      <c r="E57" s="15" t="s">
        <v>101</v>
      </c>
      <c r="F57" s="15" t="s">
        <v>289</v>
      </c>
      <c r="G57" s="256"/>
      <c r="H57" s="10"/>
      <c r="I57" s="11"/>
      <c r="J57" s="11"/>
      <c r="K57" s="11"/>
      <c r="L57" s="11"/>
      <c r="M57" s="11"/>
      <c r="N57" s="11"/>
      <c r="O57" s="12"/>
      <c r="P57" s="11"/>
      <c r="Q57" s="13"/>
      <c r="R57" s="14"/>
    </row>
    <row r="58" spans="1:18" ht="15" customHeight="1" x14ac:dyDescent="0.3">
      <c r="A58" s="19" t="s">
        <v>56</v>
      </c>
      <c r="B58" s="19" t="s">
        <v>290</v>
      </c>
      <c r="C58" s="20">
        <v>6.9444444444444441E-3</v>
      </c>
      <c r="D58" s="19" t="s">
        <v>62</v>
      </c>
      <c r="E58" s="19" t="s">
        <v>52</v>
      </c>
      <c r="F58" s="19" t="s">
        <v>291</v>
      </c>
      <c r="G58" s="256"/>
      <c r="H58" s="10"/>
      <c r="I58" s="11"/>
      <c r="J58" s="11"/>
      <c r="K58" s="11"/>
      <c r="L58" s="11"/>
      <c r="M58" s="11"/>
      <c r="N58" s="11"/>
      <c r="O58" s="12"/>
      <c r="P58" s="11"/>
      <c r="Q58" s="13"/>
      <c r="R58" s="14"/>
    </row>
    <row r="59" spans="1:18" ht="15" customHeight="1" x14ac:dyDescent="0.3">
      <c r="A59" s="15" t="s">
        <v>56</v>
      </c>
      <c r="B59" s="15" t="s">
        <v>290</v>
      </c>
      <c r="C59" s="16">
        <v>6.9444444444444441E-3</v>
      </c>
      <c r="D59" s="15" t="s">
        <v>58</v>
      </c>
      <c r="E59" s="15" t="s">
        <v>101</v>
      </c>
      <c r="F59" s="15" t="s">
        <v>292</v>
      </c>
      <c r="G59" s="256"/>
      <c r="H59" s="10"/>
      <c r="I59" s="11"/>
      <c r="J59" s="11"/>
      <c r="K59" s="11"/>
      <c r="L59" s="11"/>
      <c r="M59" s="11"/>
      <c r="N59" s="11"/>
      <c r="O59" s="12"/>
      <c r="P59" s="11"/>
      <c r="Q59" s="13"/>
      <c r="R59" s="14"/>
    </row>
    <row r="60" spans="1:18" ht="15" customHeight="1" x14ac:dyDescent="0.3">
      <c r="A60" s="19" t="s">
        <v>56</v>
      </c>
      <c r="B60" s="19" t="s">
        <v>293</v>
      </c>
      <c r="C60" s="20">
        <v>0.1423611111111111</v>
      </c>
      <c r="D60" s="19" t="s">
        <v>62</v>
      </c>
      <c r="E60" s="19" t="s">
        <v>52</v>
      </c>
      <c r="F60" s="19" t="s">
        <v>294</v>
      </c>
      <c r="G60" s="256"/>
      <c r="H60" s="10"/>
      <c r="I60" s="11"/>
      <c r="J60" s="11"/>
      <c r="K60" s="11"/>
      <c r="L60" s="11"/>
      <c r="M60" s="11"/>
      <c r="N60" s="11"/>
      <c r="O60" s="12"/>
      <c r="P60" s="11"/>
      <c r="Q60" s="13"/>
      <c r="R60" s="14"/>
    </row>
    <row r="61" spans="1:18" ht="15" customHeight="1" x14ac:dyDescent="0.3">
      <c r="A61" s="15" t="s">
        <v>56</v>
      </c>
      <c r="B61" s="15" t="s">
        <v>293</v>
      </c>
      <c r="C61" s="16">
        <v>0.1423611111111111</v>
      </c>
      <c r="D61" s="15" t="s">
        <v>58</v>
      </c>
      <c r="E61" s="15" t="s">
        <v>101</v>
      </c>
      <c r="F61" s="15" t="s">
        <v>295</v>
      </c>
      <c r="G61" s="256"/>
      <c r="H61" s="10"/>
      <c r="I61" s="11"/>
      <c r="J61" s="11"/>
      <c r="K61" s="11"/>
      <c r="L61" s="11"/>
      <c r="M61" s="11"/>
      <c r="N61" s="11"/>
      <c r="O61" s="12"/>
      <c r="P61" s="11"/>
      <c r="Q61" s="13"/>
      <c r="R61" s="14"/>
    </row>
    <row r="62" spans="1:18" ht="15" customHeight="1" x14ac:dyDescent="0.3">
      <c r="A62" s="19" t="s">
        <v>56</v>
      </c>
      <c r="B62" s="19" t="s">
        <v>296</v>
      </c>
      <c r="C62" s="20">
        <v>0.93055555555555547</v>
      </c>
      <c r="D62" s="19" t="s">
        <v>62</v>
      </c>
      <c r="E62" s="19" t="s">
        <v>52</v>
      </c>
      <c r="F62" s="19" t="s">
        <v>294</v>
      </c>
      <c r="G62" s="256"/>
      <c r="H62" s="10"/>
      <c r="I62" s="11"/>
      <c r="J62" s="11"/>
      <c r="K62" s="11"/>
      <c r="L62" s="11"/>
      <c r="M62" s="11"/>
      <c r="N62" s="11"/>
      <c r="O62" s="12"/>
      <c r="P62" s="11"/>
      <c r="Q62" s="13"/>
      <c r="R62" s="14"/>
    </row>
    <row r="63" spans="1:18" ht="15" customHeight="1" x14ac:dyDescent="0.3">
      <c r="A63" s="15" t="s">
        <v>56</v>
      </c>
      <c r="B63" s="15" t="s">
        <v>296</v>
      </c>
      <c r="C63" s="16">
        <v>0.93055555555555547</v>
      </c>
      <c r="D63" s="15" t="s">
        <v>58</v>
      </c>
      <c r="E63" s="15" t="s">
        <v>101</v>
      </c>
      <c r="F63" s="15" t="s">
        <v>295</v>
      </c>
      <c r="G63" s="256"/>
      <c r="H63" s="10"/>
      <c r="I63" s="11"/>
      <c r="J63" s="11"/>
      <c r="K63" s="11"/>
      <c r="L63" s="11"/>
      <c r="M63" s="11"/>
      <c r="N63" s="11"/>
      <c r="O63" s="12"/>
      <c r="P63" s="11"/>
      <c r="Q63" s="13"/>
      <c r="R63" s="14"/>
    </row>
    <row r="64" spans="1:18" ht="15" customHeight="1" x14ac:dyDescent="0.3">
      <c r="A64" s="19" t="s">
        <v>56</v>
      </c>
      <c r="B64" s="19" t="s">
        <v>297</v>
      </c>
      <c r="C64" s="20">
        <v>0.88888888888888884</v>
      </c>
      <c r="D64" s="19" t="s">
        <v>58</v>
      </c>
      <c r="E64" s="19" t="s">
        <v>92</v>
      </c>
      <c r="F64" s="19" t="s">
        <v>298</v>
      </c>
      <c r="G64" s="256"/>
      <c r="H64" s="10"/>
      <c r="I64" s="11"/>
      <c r="J64" s="11"/>
      <c r="K64" s="11"/>
      <c r="L64" s="11"/>
      <c r="M64" s="11"/>
      <c r="N64" s="11"/>
      <c r="O64" s="12"/>
      <c r="P64" s="11"/>
      <c r="Q64" s="13"/>
      <c r="R64" s="14"/>
    </row>
    <row r="65" spans="1:18" ht="15" customHeight="1" x14ac:dyDescent="0.3">
      <c r="A65" s="19" t="s">
        <v>56</v>
      </c>
      <c r="B65" s="19" t="s">
        <v>299</v>
      </c>
      <c r="C65" s="20">
        <v>0.37847222222222232</v>
      </c>
      <c r="D65" s="19" t="s">
        <v>62</v>
      </c>
      <c r="E65" s="19" t="s">
        <v>52</v>
      </c>
      <c r="F65" s="19" t="s">
        <v>300</v>
      </c>
      <c r="G65" s="256"/>
      <c r="H65" s="10"/>
      <c r="I65" s="11"/>
      <c r="J65" s="11"/>
      <c r="K65" s="11"/>
      <c r="L65" s="11"/>
      <c r="M65" s="11"/>
      <c r="N65" s="11"/>
      <c r="O65" s="12"/>
      <c r="P65" s="11"/>
      <c r="Q65" s="13"/>
      <c r="R65" s="14"/>
    </row>
    <row r="66" spans="1:18" ht="15" customHeight="1" x14ac:dyDescent="0.3">
      <c r="A66" s="15" t="s">
        <v>56</v>
      </c>
      <c r="B66" s="15" t="s">
        <v>299</v>
      </c>
      <c r="C66" s="16">
        <v>0.37847222222222232</v>
      </c>
      <c r="D66" s="15" t="s">
        <v>58</v>
      </c>
      <c r="E66" s="15" t="s">
        <v>101</v>
      </c>
      <c r="F66" s="15" t="s">
        <v>301</v>
      </c>
      <c r="G66" s="256"/>
      <c r="H66" s="10"/>
      <c r="I66" s="11"/>
      <c r="J66" s="11"/>
      <c r="K66" s="11"/>
      <c r="L66" s="11"/>
      <c r="M66" s="11"/>
      <c r="N66" s="11"/>
      <c r="O66" s="12"/>
      <c r="P66" s="11"/>
      <c r="Q66" s="13"/>
      <c r="R66" s="14"/>
    </row>
    <row r="67" spans="1:18" ht="15" customHeight="1" x14ac:dyDescent="0.3">
      <c r="A67" s="19" t="s">
        <v>56</v>
      </c>
      <c r="B67" s="19" t="s">
        <v>302</v>
      </c>
      <c r="C67" s="20">
        <v>0.71875</v>
      </c>
      <c r="D67" s="19" t="s">
        <v>62</v>
      </c>
      <c r="E67" s="19" t="s">
        <v>52</v>
      </c>
      <c r="F67" s="19" t="s">
        <v>300</v>
      </c>
      <c r="G67" s="256"/>
      <c r="H67" s="10"/>
      <c r="I67" s="11"/>
      <c r="J67" s="11"/>
      <c r="K67" s="11"/>
      <c r="L67" s="11"/>
      <c r="M67" s="11"/>
      <c r="N67" s="11"/>
      <c r="O67" s="12"/>
      <c r="P67" s="11"/>
      <c r="Q67" s="13"/>
      <c r="R67" s="14"/>
    </row>
    <row r="68" spans="1:18" ht="15" customHeight="1" x14ac:dyDescent="0.3">
      <c r="A68" s="15" t="s">
        <v>56</v>
      </c>
      <c r="B68" s="15" t="s">
        <v>302</v>
      </c>
      <c r="C68" s="16">
        <v>0.71875</v>
      </c>
      <c r="D68" s="15" t="s">
        <v>58</v>
      </c>
      <c r="E68" s="15" t="s">
        <v>101</v>
      </c>
      <c r="F68" s="15" t="s">
        <v>301</v>
      </c>
      <c r="G68" s="256"/>
      <c r="H68" s="10"/>
      <c r="I68" s="11"/>
      <c r="J68" s="11"/>
      <c r="K68" s="11"/>
      <c r="L68" s="11"/>
      <c r="M68" s="11"/>
      <c r="N68" s="11"/>
      <c r="O68" s="12"/>
      <c r="P68" s="11"/>
      <c r="Q68" s="13"/>
      <c r="R68" s="14"/>
    </row>
    <row r="69" spans="1:18" ht="15" customHeight="1" x14ac:dyDescent="0.3">
      <c r="A69" s="19" t="s">
        <v>56</v>
      </c>
      <c r="B69" s="19" t="s">
        <v>303</v>
      </c>
      <c r="C69" s="20">
        <v>0.61111111111111105</v>
      </c>
      <c r="D69" s="19" t="s">
        <v>62</v>
      </c>
      <c r="E69" s="19" t="s">
        <v>52</v>
      </c>
      <c r="F69" s="19" t="s">
        <v>300</v>
      </c>
      <c r="G69" s="256"/>
      <c r="H69" s="10"/>
      <c r="I69" s="11"/>
      <c r="J69" s="11"/>
      <c r="K69" s="11"/>
      <c r="L69" s="11"/>
      <c r="M69" s="11"/>
      <c r="N69" s="11"/>
      <c r="O69" s="12"/>
      <c r="P69" s="11"/>
      <c r="Q69" s="13"/>
      <c r="R69" s="14"/>
    </row>
    <row r="70" spans="1:18" ht="15" customHeight="1" x14ac:dyDescent="0.3">
      <c r="A70" s="15" t="s">
        <v>56</v>
      </c>
      <c r="B70" s="15" t="s">
        <v>303</v>
      </c>
      <c r="C70" s="16">
        <v>0.61111111111111105</v>
      </c>
      <c r="D70" s="15" t="s">
        <v>58</v>
      </c>
      <c r="E70" s="15" t="s">
        <v>101</v>
      </c>
      <c r="F70" s="15" t="s">
        <v>301</v>
      </c>
      <c r="G70" s="256"/>
      <c r="H70" s="10"/>
      <c r="I70" s="11"/>
      <c r="J70" s="11"/>
      <c r="K70" s="11"/>
      <c r="L70" s="11"/>
      <c r="M70" s="11"/>
      <c r="N70" s="11"/>
      <c r="O70" s="12"/>
      <c r="P70" s="11"/>
      <c r="Q70" s="13"/>
      <c r="R70" s="14"/>
    </row>
    <row r="71" spans="1:18" ht="15" customHeight="1" x14ac:dyDescent="0.3">
      <c r="A71" s="19" t="s">
        <v>56</v>
      </c>
      <c r="B71" s="19" t="s">
        <v>304</v>
      </c>
      <c r="C71" s="20">
        <v>0.82986111111111116</v>
      </c>
      <c r="D71" s="19" t="s">
        <v>62</v>
      </c>
      <c r="E71" s="19" t="s">
        <v>52</v>
      </c>
      <c r="F71" s="19" t="s">
        <v>300</v>
      </c>
      <c r="G71" s="256"/>
      <c r="H71" s="10"/>
      <c r="I71" s="11"/>
      <c r="J71" s="11"/>
      <c r="K71" s="11"/>
      <c r="L71" s="11"/>
      <c r="M71" s="11"/>
      <c r="N71" s="11"/>
      <c r="O71" s="12"/>
      <c r="P71" s="11"/>
      <c r="Q71" s="13"/>
      <c r="R71" s="14"/>
    </row>
    <row r="72" spans="1:18" ht="15" customHeight="1" x14ac:dyDescent="0.3">
      <c r="A72" s="15" t="s">
        <v>56</v>
      </c>
      <c r="B72" s="15" t="s">
        <v>304</v>
      </c>
      <c r="C72" s="16">
        <v>0.82986111111111116</v>
      </c>
      <c r="D72" s="15" t="s">
        <v>58</v>
      </c>
      <c r="E72" s="15" t="s">
        <v>101</v>
      </c>
      <c r="F72" s="15" t="s">
        <v>301</v>
      </c>
      <c r="G72" s="256"/>
      <c r="H72" s="10"/>
      <c r="I72" s="11"/>
      <c r="J72" s="11"/>
      <c r="K72" s="11"/>
      <c r="L72" s="11"/>
      <c r="M72" s="11"/>
      <c r="N72" s="11"/>
      <c r="O72" s="12"/>
      <c r="P72" s="11"/>
      <c r="Q72" s="13"/>
      <c r="R72" s="14"/>
    </row>
    <row r="73" spans="1:18" ht="15" customHeight="1" x14ac:dyDescent="0.3">
      <c r="A73" s="19" t="s">
        <v>56</v>
      </c>
      <c r="B73" s="19" t="s">
        <v>305</v>
      </c>
      <c r="C73" s="20">
        <v>0.30208333333333331</v>
      </c>
      <c r="D73" s="19" t="s">
        <v>58</v>
      </c>
      <c r="E73" s="19" t="s">
        <v>92</v>
      </c>
      <c r="F73" s="19" t="s">
        <v>306</v>
      </c>
      <c r="G73" s="256"/>
      <c r="H73" s="10"/>
      <c r="I73" s="11"/>
      <c r="J73" s="11"/>
      <c r="K73" s="11"/>
      <c r="L73" s="11"/>
      <c r="M73" s="11"/>
      <c r="N73" s="11"/>
      <c r="O73" s="12"/>
      <c r="P73" s="11"/>
      <c r="Q73" s="13"/>
      <c r="R73" s="14"/>
    </row>
    <row r="74" spans="1:18" ht="15" customHeight="1" x14ac:dyDescent="0.3">
      <c r="A74" s="19" t="s">
        <v>56</v>
      </c>
      <c r="B74" s="19" t="s">
        <v>307</v>
      </c>
      <c r="C74" s="20">
        <v>0.12847222222222221</v>
      </c>
      <c r="D74" s="19" t="s">
        <v>58</v>
      </c>
      <c r="E74" s="19" t="s">
        <v>92</v>
      </c>
      <c r="F74" s="19" t="s">
        <v>306</v>
      </c>
      <c r="G74" s="256"/>
      <c r="H74" s="10"/>
      <c r="I74" s="11"/>
      <c r="J74" s="11"/>
      <c r="K74" s="11"/>
      <c r="L74" s="11"/>
      <c r="M74" s="11"/>
      <c r="N74" s="11"/>
      <c r="O74" s="12"/>
      <c r="P74" s="11"/>
      <c r="Q74" s="13"/>
      <c r="R74" s="14"/>
    </row>
    <row r="75" spans="1:18" ht="15" customHeight="1" thickBot="1" x14ac:dyDescent="0.35">
      <c r="A75" s="81" t="s">
        <v>56</v>
      </c>
      <c r="B75" s="81" t="s">
        <v>308</v>
      </c>
      <c r="C75" s="82">
        <v>0.78819444444444453</v>
      </c>
      <c r="D75" s="81" t="s">
        <v>58</v>
      </c>
      <c r="E75" s="81" t="s">
        <v>92</v>
      </c>
      <c r="F75" s="81" t="s">
        <v>306</v>
      </c>
      <c r="G75" s="257"/>
      <c r="H75" s="23"/>
      <c r="I75" s="24"/>
      <c r="J75" s="24"/>
      <c r="K75" s="24"/>
      <c r="L75" s="24"/>
      <c r="M75" s="24"/>
      <c r="N75" s="24"/>
      <c r="O75" s="25"/>
      <c r="P75" s="24"/>
      <c r="Q75" s="26"/>
      <c r="R75" s="27"/>
    </row>
    <row r="76" spans="1:18" ht="17.399999999999999" customHeight="1" thickBot="1" x14ac:dyDescent="0.35">
      <c r="A76" s="284"/>
      <c r="B76" s="285"/>
      <c r="C76" s="285"/>
      <c r="D76" s="285"/>
      <c r="E76" s="285"/>
      <c r="F76" s="285"/>
      <c r="G76" s="285"/>
      <c r="H76" s="285"/>
      <c r="I76" s="285"/>
      <c r="J76" s="285"/>
      <c r="K76" s="285"/>
      <c r="L76" s="285"/>
      <c r="M76" s="285"/>
      <c r="N76" s="285"/>
      <c r="O76" s="285"/>
      <c r="P76" s="285"/>
      <c r="Q76" s="285"/>
      <c r="R76" s="286"/>
    </row>
    <row r="77" spans="1:18" ht="22.05" customHeight="1" thickTop="1" thickBot="1" x14ac:dyDescent="0.35">
      <c r="A77" s="249" t="s">
        <v>6</v>
      </c>
      <c r="B77" s="250"/>
      <c r="C77" s="250"/>
      <c r="D77" s="250"/>
      <c r="E77" s="250"/>
      <c r="F77" s="251"/>
      <c r="G77" s="28">
        <v>45983</v>
      </c>
      <c r="H77" s="258" t="s">
        <v>7</v>
      </c>
      <c r="I77" s="250"/>
      <c r="J77" s="250"/>
      <c r="K77" s="250"/>
      <c r="L77" s="250"/>
      <c r="M77" s="250"/>
      <c r="N77" s="250"/>
      <c r="O77" s="250"/>
      <c r="P77" s="250"/>
      <c r="Q77" s="250"/>
      <c r="R77" s="251"/>
    </row>
    <row r="78" spans="1:18" ht="24" customHeight="1" x14ac:dyDescent="0.3">
      <c r="A78" s="29" t="s">
        <v>8</v>
      </c>
      <c r="B78" s="29" t="s">
        <v>9</v>
      </c>
      <c r="C78" s="30" t="s">
        <v>10</v>
      </c>
      <c r="D78" s="29" t="s">
        <v>11</v>
      </c>
      <c r="E78" s="29" t="s">
        <v>12</v>
      </c>
      <c r="F78" s="31" t="s">
        <v>13</v>
      </c>
      <c r="G78" s="32" t="s">
        <v>14</v>
      </c>
      <c r="H78" s="29" t="s">
        <v>15</v>
      </c>
      <c r="I78" s="33" t="s">
        <v>16</v>
      </c>
      <c r="J78" s="34" t="s">
        <v>17</v>
      </c>
      <c r="K78" s="35" t="s">
        <v>18</v>
      </c>
      <c r="L78" s="34" t="s">
        <v>19</v>
      </c>
      <c r="M78" s="34" t="s">
        <v>20</v>
      </c>
      <c r="N78" s="34" t="s">
        <v>21</v>
      </c>
      <c r="O78" s="29" t="s">
        <v>22</v>
      </c>
      <c r="P78" s="30" t="s">
        <v>23</v>
      </c>
      <c r="Q78" s="34" t="s">
        <v>24</v>
      </c>
      <c r="R78" s="29" t="s">
        <v>25</v>
      </c>
    </row>
    <row r="79" spans="1:18" ht="15" customHeight="1" x14ac:dyDescent="0.3">
      <c r="A79" s="8" t="s">
        <v>36</v>
      </c>
      <c r="B79" s="8" t="s">
        <v>208</v>
      </c>
      <c r="C79" s="9">
        <v>0.30208333333333331</v>
      </c>
      <c r="D79" s="8" t="s">
        <v>38</v>
      </c>
      <c r="E79" s="8" t="s">
        <v>309</v>
      </c>
      <c r="F79" s="8" t="s">
        <v>206</v>
      </c>
      <c r="G79" s="255"/>
      <c r="H79" s="10"/>
      <c r="I79" s="11"/>
      <c r="J79" s="11"/>
      <c r="K79" s="11"/>
      <c r="L79" s="11"/>
      <c r="M79" s="11"/>
      <c r="N79" s="11"/>
      <c r="O79" s="12"/>
      <c r="P79" s="11"/>
      <c r="Q79" s="13"/>
      <c r="R79" s="14"/>
    </row>
    <row r="80" spans="1:18" ht="15" customHeight="1" x14ac:dyDescent="0.3">
      <c r="A80" s="15" t="s">
        <v>36</v>
      </c>
      <c r="B80" s="15" t="s">
        <v>208</v>
      </c>
      <c r="C80" s="16">
        <v>0.30208333333333331</v>
      </c>
      <c r="D80" s="15" t="s">
        <v>41</v>
      </c>
      <c r="E80" s="15" t="s">
        <v>229</v>
      </c>
      <c r="F80" s="15" t="s">
        <v>81</v>
      </c>
      <c r="G80" s="256"/>
      <c r="H80" s="10"/>
      <c r="I80" s="11"/>
      <c r="J80" s="11"/>
      <c r="K80" s="11"/>
      <c r="L80" s="11"/>
      <c r="M80" s="11"/>
      <c r="N80" s="11"/>
      <c r="O80" s="12"/>
      <c r="P80" s="11"/>
      <c r="Q80" s="13"/>
      <c r="R80" s="14"/>
    </row>
    <row r="81" spans="1:18" ht="15" customHeight="1" x14ac:dyDescent="0.3">
      <c r="A81" s="15" t="s">
        <v>36</v>
      </c>
      <c r="B81" s="15" t="s">
        <v>208</v>
      </c>
      <c r="C81" s="16">
        <v>0.30208333333333331</v>
      </c>
      <c r="D81" s="15" t="s">
        <v>44</v>
      </c>
      <c r="E81" s="15" t="s">
        <v>229</v>
      </c>
      <c r="F81" s="15" t="s">
        <v>85</v>
      </c>
      <c r="G81" s="256"/>
      <c r="H81" s="10"/>
      <c r="I81" s="11"/>
      <c r="J81" s="11"/>
      <c r="K81" s="11"/>
      <c r="L81" s="11"/>
      <c r="M81" s="11"/>
      <c r="N81" s="11"/>
      <c r="O81" s="12"/>
      <c r="P81" s="11"/>
      <c r="Q81" s="13"/>
      <c r="R81" s="14"/>
    </row>
    <row r="82" spans="1:18" ht="15" customHeight="1" x14ac:dyDescent="0.3">
      <c r="A82" s="19" t="s">
        <v>36</v>
      </c>
      <c r="B82" s="19" t="s">
        <v>212</v>
      </c>
      <c r="C82" s="20">
        <v>0.12847222222222221</v>
      </c>
      <c r="D82" s="19" t="s">
        <v>38</v>
      </c>
      <c r="E82" s="19" t="s">
        <v>310</v>
      </c>
      <c r="F82" s="19" t="s">
        <v>206</v>
      </c>
      <c r="G82" s="256"/>
      <c r="H82" s="10"/>
      <c r="I82" s="11"/>
      <c r="J82" s="11"/>
      <c r="K82" s="11"/>
      <c r="L82" s="11"/>
      <c r="M82" s="11"/>
      <c r="N82" s="11"/>
      <c r="O82" s="12"/>
      <c r="P82" s="11"/>
      <c r="Q82" s="13"/>
      <c r="R82" s="14"/>
    </row>
    <row r="83" spans="1:18" ht="15" customHeight="1" x14ac:dyDescent="0.3">
      <c r="A83" s="15" t="s">
        <v>36</v>
      </c>
      <c r="B83" s="15" t="s">
        <v>212</v>
      </c>
      <c r="C83" s="16">
        <v>0.12847222222222221</v>
      </c>
      <c r="D83" s="15" t="s">
        <v>41</v>
      </c>
      <c r="E83" s="15" t="s">
        <v>311</v>
      </c>
      <c r="F83" s="15" t="s">
        <v>81</v>
      </c>
      <c r="G83" s="256"/>
      <c r="H83" s="10"/>
      <c r="I83" s="11"/>
      <c r="J83" s="11"/>
      <c r="K83" s="11"/>
      <c r="L83" s="11"/>
      <c r="M83" s="11"/>
      <c r="N83" s="11"/>
      <c r="O83" s="12"/>
      <c r="P83" s="11"/>
      <c r="Q83" s="13"/>
      <c r="R83" s="14"/>
    </row>
    <row r="84" spans="1:18" ht="15" customHeight="1" x14ac:dyDescent="0.3">
      <c r="A84" s="15" t="s">
        <v>36</v>
      </c>
      <c r="B84" s="15" t="s">
        <v>212</v>
      </c>
      <c r="C84" s="16">
        <v>0.12847222222222221</v>
      </c>
      <c r="D84" s="15" t="s">
        <v>44</v>
      </c>
      <c r="E84" s="15" t="s">
        <v>311</v>
      </c>
      <c r="F84" s="15" t="s">
        <v>85</v>
      </c>
      <c r="G84" s="256"/>
      <c r="H84" s="10"/>
      <c r="I84" s="11"/>
      <c r="J84" s="11"/>
      <c r="K84" s="11"/>
      <c r="L84" s="11"/>
      <c r="M84" s="11"/>
      <c r="N84" s="11"/>
      <c r="O84" s="12"/>
      <c r="P84" s="11"/>
      <c r="Q84" s="13"/>
      <c r="R84" s="14"/>
    </row>
    <row r="85" spans="1:18" ht="15" customHeight="1" x14ac:dyDescent="0.3">
      <c r="A85" s="19" t="s">
        <v>36</v>
      </c>
      <c r="B85" s="19" t="s">
        <v>204</v>
      </c>
      <c r="C85" s="20">
        <v>0.88888888888888884</v>
      </c>
      <c r="D85" s="19" t="s">
        <v>38</v>
      </c>
      <c r="E85" s="19" t="s">
        <v>312</v>
      </c>
      <c r="F85" s="19" t="s">
        <v>206</v>
      </c>
      <c r="G85" s="256"/>
      <c r="H85" s="10"/>
      <c r="I85" s="11"/>
      <c r="J85" s="11"/>
      <c r="K85" s="11"/>
      <c r="L85" s="11"/>
      <c r="M85" s="11"/>
      <c r="N85" s="11"/>
      <c r="O85" s="12"/>
      <c r="P85" s="11"/>
      <c r="Q85" s="13"/>
      <c r="R85" s="14"/>
    </row>
    <row r="86" spans="1:18" ht="15" customHeight="1" x14ac:dyDescent="0.3">
      <c r="A86" s="15" t="s">
        <v>36</v>
      </c>
      <c r="B86" s="15" t="s">
        <v>204</v>
      </c>
      <c r="C86" s="16">
        <v>0.88888888888888884</v>
      </c>
      <c r="D86" s="15" t="s">
        <v>41</v>
      </c>
      <c r="E86" s="15" t="s">
        <v>313</v>
      </c>
      <c r="F86" s="15" t="s">
        <v>81</v>
      </c>
      <c r="G86" s="256"/>
      <c r="H86" s="10"/>
      <c r="I86" s="11"/>
      <c r="J86" s="11"/>
      <c r="K86" s="11"/>
      <c r="L86" s="11"/>
      <c r="M86" s="11"/>
      <c r="N86" s="11"/>
      <c r="O86" s="12"/>
      <c r="P86" s="11"/>
      <c r="Q86" s="13"/>
      <c r="R86" s="14"/>
    </row>
    <row r="87" spans="1:18" ht="15" customHeight="1" x14ac:dyDescent="0.3">
      <c r="A87" s="15" t="s">
        <v>36</v>
      </c>
      <c r="B87" s="15" t="s">
        <v>204</v>
      </c>
      <c r="C87" s="16">
        <v>0.88888888888888884</v>
      </c>
      <c r="D87" s="15" t="s">
        <v>44</v>
      </c>
      <c r="E87" s="15" t="s">
        <v>313</v>
      </c>
      <c r="F87" s="15" t="s">
        <v>85</v>
      </c>
      <c r="G87" s="256"/>
      <c r="H87" s="10"/>
      <c r="I87" s="11"/>
      <c r="J87" s="11"/>
      <c r="K87" s="11"/>
      <c r="L87" s="11"/>
      <c r="M87" s="11"/>
      <c r="N87" s="11"/>
      <c r="O87" s="12"/>
      <c r="P87" s="11"/>
      <c r="Q87" s="13"/>
      <c r="R87" s="14"/>
    </row>
    <row r="88" spans="1:18" ht="15" customHeight="1" x14ac:dyDescent="0.3">
      <c r="A88" s="19" t="s">
        <v>36</v>
      </c>
      <c r="B88" s="19" t="s">
        <v>215</v>
      </c>
      <c r="C88" s="20">
        <v>0.78819444444444453</v>
      </c>
      <c r="D88" s="19" t="s">
        <v>38</v>
      </c>
      <c r="E88" s="19" t="s">
        <v>314</v>
      </c>
      <c r="F88" s="19" t="s">
        <v>79</v>
      </c>
      <c r="G88" s="256"/>
      <c r="H88" s="10"/>
      <c r="I88" s="11"/>
      <c r="J88" s="11"/>
      <c r="K88" s="11"/>
      <c r="L88" s="11"/>
      <c r="M88" s="11"/>
      <c r="N88" s="11"/>
      <c r="O88" s="12"/>
      <c r="P88" s="11"/>
      <c r="Q88" s="13"/>
      <c r="R88" s="14"/>
    </row>
    <row r="89" spans="1:18" ht="15" customHeight="1" x14ac:dyDescent="0.3">
      <c r="A89" s="15" t="s">
        <v>36</v>
      </c>
      <c r="B89" s="15" t="s">
        <v>215</v>
      </c>
      <c r="C89" s="16">
        <v>0.78819444444444453</v>
      </c>
      <c r="D89" s="15" t="s">
        <v>41</v>
      </c>
      <c r="E89" s="15" t="s">
        <v>315</v>
      </c>
      <c r="F89" s="15" t="s">
        <v>211</v>
      </c>
      <c r="G89" s="256"/>
      <c r="H89" s="10"/>
      <c r="I89" s="11"/>
      <c r="J89" s="11"/>
      <c r="K89" s="11"/>
      <c r="L89" s="11"/>
      <c r="M89" s="11"/>
      <c r="N89" s="11"/>
      <c r="O89" s="12"/>
      <c r="P89" s="11"/>
      <c r="Q89" s="13"/>
      <c r="R89" s="14"/>
    </row>
    <row r="90" spans="1:18" ht="15" customHeight="1" x14ac:dyDescent="0.3">
      <c r="A90" s="15" t="s">
        <v>36</v>
      </c>
      <c r="B90" s="15" t="s">
        <v>215</v>
      </c>
      <c r="C90" s="16">
        <v>0.78819444444444453</v>
      </c>
      <c r="D90" s="15" t="s">
        <v>44</v>
      </c>
      <c r="E90" s="15" t="s">
        <v>315</v>
      </c>
      <c r="F90" s="15" t="s">
        <v>85</v>
      </c>
      <c r="G90" s="256"/>
      <c r="H90" s="10"/>
      <c r="I90" s="11"/>
      <c r="J90" s="11"/>
      <c r="K90" s="11"/>
      <c r="L90" s="11"/>
      <c r="M90" s="11"/>
      <c r="N90" s="11"/>
      <c r="O90" s="12"/>
      <c r="P90" s="11"/>
      <c r="Q90" s="13"/>
      <c r="R90" s="14"/>
    </row>
    <row r="91" spans="1:18" ht="15" customHeight="1" x14ac:dyDescent="0.3">
      <c r="A91" s="17" t="s">
        <v>26</v>
      </c>
      <c r="B91" s="17" t="s">
        <v>218</v>
      </c>
      <c r="C91" s="18">
        <v>0.25694444444444448</v>
      </c>
      <c r="D91" s="17" t="s">
        <v>28</v>
      </c>
      <c r="E91" s="17" t="s">
        <v>205</v>
      </c>
      <c r="F91" s="17" t="s">
        <v>316</v>
      </c>
      <c r="G91" s="256"/>
      <c r="H91" s="10"/>
      <c r="I91" s="11"/>
      <c r="J91" s="11"/>
      <c r="K91" s="11"/>
      <c r="L91" s="11"/>
      <c r="M91" s="11"/>
      <c r="N91" s="11"/>
      <c r="O91" s="12"/>
      <c r="P91" s="11"/>
      <c r="Q91" s="13"/>
      <c r="R91" s="14"/>
    </row>
    <row r="92" spans="1:18" ht="15" customHeight="1" x14ac:dyDescent="0.3">
      <c r="A92" s="15" t="s">
        <v>26</v>
      </c>
      <c r="B92" s="15" t="s">
        <v>218</v>
      </c>
      <c r="C92" s="16">
        <v>0.25694444444444448</v>
      </c>
      <c r="D92" s="15" t="s">
        <v>31</v>
      </c>
      <c r="E92" s="15" t="s">
        <v>207</v>
      </c>
      <c r="F92" s="15" t="s">
        <v>43</v>
      </c>
      <c r="G92" s="256"/>
      <c r="H92" s="10"/>
      <c r="I92" s="11"/>
      <c r="J92" s="11"/>
      <c r="K92" s="11"/>
      <c r="L92" s="11"/>
      <c r="M92" s="11"/>
      <c r="N92" s="11"/>
      <c r="O92" s="12"/>
      <c r="P92" s="11"/>
      <c r="Q92" s="13"/>
      <c r="R92" s="14"/>
    </row>
    <row r="93" spans="1:18" ht="15" customHeight="1" x14ac:dyDescent="0.3">
      <c r="A93" s="15" t="s">
        <v>26</v>
      </c>
      <c r="B93" s="15" t="s">
        <v>218</v>
      </c>
      <c r="C93" s="16">
        <v>0.25694444444444448</v>
      </c>
      <c r="D93" s="15" t="s">
        <v>34</v>
      </c>
      <c r="E93" s="15" t="s">
        <v>207</v>
      </c>
      <c r="F93" s="15" t="s">
        <v>317</v>
      </c>
      <c r="G93" s="256"/>
      <c r="H93" s="10"/>
      <c r="I93" s="11"/>
      <c r="J93" s="11"/>
      <c r="K93" s="11"/>
      <c r="L93" s="11"/>
      <c r="M93" s="11"/>
      <c r="N93" s="11"/>
      <c r="O93" s="12"/>
      <c r="P93" s="11"/>
      <c r="Q93" s="13"/>
      <c r="R93" s="14"/>
    </row>
    <row r="94" spans="1:18" ht="15" customHeight="1" x14ac:dyDescent="0.3">
      <c r="A94" s="19" t="s">
        <v>26</v>
      </c>
      <c r="B94" s="19" t="s">
        <v>224</v>
      </c>
      <c r="C94" s="20">
        <v>0.90277777777777779</v>
      </c>
      <c r="D94" s="19" t="s">
        <v>28</v>
      </c>
      <c r="E94" s="19" t="s">
        <v>225</v>
      </c>
      <c r="F94" s="19" t="s">
        <v>316</v>
      </c>
      <c r="G94" s="256"/>
      <c r="H94" s="10"/>
      <c r="I94" s="11"/>
      <c r="J94" s="11"/>
      <c r="K94" s="11"/>
      <c r="L94" s="11"/>
      <c r="M94" s="11"/>
      <c r="N94" s="11"/>
      <c r="O94" s="12"/>
      <c r="P94" s="11"/>
      <c r="Q94" s="13"/>
      <c r="R94" s="14"/>
    </row>
    <row r="95" spans="1:18" ht="15" customHeight="1" x14ac:dyDescent="0.3">
      <c r="A95" s="15" t="s">
        <v>26</v>
      </c>
      <c r="B95" s="15" t="s">
        <v>224</v>
      </c>
      <c r="C95" s="16">
        <v>0.90277777777777779</v>
      </c>
      <c r="D95" s="15" t="s">
        <v>31</v>
      </c>
      <c r="E95" s="15" t="s">
        <v>32</v>
      </c>
      <c r="F95" s="15" t="s">
        <v>43</v>
      </c>
      <c r="G95" s="256"/>
      <c r="H95" s="10"/>
      <c r="I95" s="11"/>
      <c r="J95" s="11"/>
      <c r="K95" s="11"/>
      <c r="L95" s="11"/>
      <c r="M95" s="11"/>
      <c r="N95" s="11"/>
      <c r="O95" s="12"/>
      <c r="P95" s="11"/>
      <c r="Q95" s="13"/>
      <c r="R95" s="14"/>
    </row>
    <row r="96" spans="1:18" ht="15" customHeight="1" x14ac:dyDescent="0.3">
      <c r="A96" s="15" t="s">
        <v>26</v>
      </c>
      <c r="B96" s="15" t="s">
        <v>224</v>
      </c>
      <c r="C96" s="16">
        <v>0.90277777777777779</v>
      </c>
      <c r="D96" s="15" t="s">
        <v>34</v>
      </c>
      <c r="E96" s="15" t="s">
        <v>32</v>
      </c>
      <c r="F96" s="15" t="s">
        <v>317</v>
      </c>
      <c r="G96" s="256"/>
      <c r="H96" s="10"/>
      <c r="I96" s="11"/>
      <c r="J96" s="11"/>
      <c r="K96" s="11"/>
      <c r="L96" s="11"/>
      <c r="M96" s="11"/>
      <c r="N96" s="11"/>
      <c r="O96" s="12"/>
      <c r="P96" s="11"/>
      <c r="Q96" s="13"/>
      <c r="R96" s="14"/>
    </row>
    <row r="97" spans="1:18" ht="15" customHeight="1" x14ac:dyDescent="0.3">
      <c r="A97" s="19" t="s">
        <v>26</v>
      </c>
      <c r="B97" s="19" t="s">
        <v>226</v>
      </c>
      <c r="C97" s="20">
        <v>0.65972222222222221</v>
      </c>
      <c r="D97" s="19" t="s">
        <v>28</v>
      </c>
      <c r="E97" s="19" t="s">
        <v>87</v>
      </c>
      <c r="F97" s="19" t="s">
        <v>316</v>
      </c>
      <c r="G97" s="256"/>
      <c r="H97" s="10"/>
      <c r="I97" s="11"/>
      <c r="J97" s="11"/>
      <c r="K97" s="11"/>
      <c r="L97" s="11"/>
      <c r="M97" s="11"/>
      <c r="N97" s="11"/>
      <c r="O97" s="12"/>
      <c r="P97" s="11"/>
      <c r="Q97" s="13"/>
      <c r="R97" s="14"/>
    </row>
    <row r="98" spans="1:18" ht="15" customHeight="1" x14ac:dyDescent="0.3">
      <c r="A98" s="15" t="s">
        <v>26</v>
      </c>
      <c r="B98" s="15" t="s">
        <v>226</v>
      </c>
      <c r="C98" s="16">
        <v>0.65972222222222221</v>
      </c>
      <c r="D98" s="15" t="s">
        <v>31</v>
      </c>
      <c r="E98" s="15" t="s">
        <v>318</v>
      </c>
      <c r="F98" s="15" t="s">
        <v>43</v>
      </c>
      <c r="G98" s="256"/>
      <c r="H98" s="10"/>
      <c r="I98" s="11"/>
      <c r="J98" s="11"/>
      <c r="K98" s="11"/>
      <c r="L98" s="11"/>
      <c r="M98" s="11"/>
      <c r="N98" s="11"/>
      <c r="O98" s="12"/>
      <c r="P98" s="11"/>
      <c r="Q98" s="13"/>
      <c r="R98" s="14"/>
    </row>
    <row r="99" spans="1:18" ht="15" customHeight="1" x14ac:dyDescent="0.3">
      <c r="A99" s="15" t="s">
        <v>26</v>
      </c>
      <c r="B99" s="15" t="s">
        <v>226</v>
      </c>
      <c r="C99" s="16">
        <v>0.65972222222222221</v>
      </c>
      <c r="D99" s="15" t="s">
        <v>34</v>
      </c>
      <c r="E99" s="15" t="s">
        <v>318</v>
      </c>
      <c r="F99" s="15" t="s">
        <v>317</v>
      </c>
      <c r="G99" s="256"/>
      <c r="H99" s="10"/>
      <c r="I99" s="11"/>
      <c r="J99" s="11"/>
      <c r="K99" s="11"/>
      <c r="L99" s="11"/>
      <c r="M99" s="11"/>
      <c r="N99" s="11"/>
      <c r="O99" s="12"/>
      <c r="P99" s="11"/>
      <c r="Q99" s="13"/>
      <c r="R99" s="14"/>
    </row>
    <row r="100" spans="1:18" ht="15" customHeight="1" x14ac:dyDescent="0.3">
      <c r="A100" s="19" t="s">
        <v>26</v>
      </c>
      <c r="B100" s="19" t="s">
        <v>233</v>
      </c>
      <c r="C100" s="20">
        <v>0.51736111111111105</v>
      </c>
      <c r="D100" s="19" t="s">
        <v>28</v>
      </c>
      <c r="E100" s="19" t="s">
        <v>87</v>
      </c>
      <c r="F100" s="19" t="s">
        <v>316</v>
      </c>
      <c r="G100" s="256"/>
      <c r="H100" s="10"/>
      <c r="I100" s="11"/>
      <c r="J100" s="11"/>
      <c r="K100" s="11"/>
      <c r="L100" s="11"/>
      <c r="M100" s="11"/>
      <c r="N100" s="11"/>
      <c r="O100" s="12"/>
      <c r="P100" s="11"/>
      <c r="Q100" s="13"/>
      <c r="R100" s="14"/>
    </row>
    <row r="101" spans="1:18" ht="15" customHeight="1" x14ac:dyDescent="0.3">
      <c r="A101" s="15" t="s">
        <v>26</v>
      </c>
      <c r="B101" s="15" t="s">
        <v>233</v>
      </c>
      <c r="C101" s="16">
        <v>0.51736111111111105</v>
      </c>
      <c r="D101" s="15" t="s">
        <v>31</v>
      </c>
      <c r="E101" s="15" t="s">
        <v>318</v>
      </c>
      <c r="F101" s="15" t="s">
        <v>43</v>
      </c>
      <c r="G101" s="256"/>
      <c r="H101" s="10"/>
      <c r="I101" s="11"/>
      <c r="J101" s="11"/>
      <c r="K101" s="11"/>
      <c r="L101" s="11"/>
      <c r="M101" s="11"/>
      <c r="N101" s="11"/>
      <c r="O101" s="12"/>
      <c r="P101" s="11"/>
      <c r="Q101" s="13"/>
      <c r="R101" s="14"/>
    </row>
    <row r="102" spans="1:18" ht="15" customHeight="1" x14ac:dyDescent="0.3">
      <c r="A102" s="15" t="s">
        <v>26</v>
      </c>
      <c r="B102" s="15" t="s">
        <v>233</v>
      </c>
      <c r="C102" s="16">
        <v>0.51736111111111105</v>
      </c>
      <c r="D102" s="15" t="s">
        <v>34</v>
      </c>
      <c r="E102" s="15" t="s">
        <v>318</v>
      </c>
      <c r="F102" s="15" t="s">
        <v>317</v>
      </c>
      <c r="G102" s="256"/>
      <c r="H102" s="10"/>
      <c r="I102" s="11"/>
      <c r="J102" s="11"/>
      <c r="K102" s="11"/>
      <c r="L102" s="11"/>
      <c r="M102" s="11"/>
      <c r="N102" s="11"/>
      <c r="O102" s="12"/>
      <c r="P102" s="11"/>
      <c r="Q102" s="13"/>
      <c r="R102" s="14"/>
    </row>
    <row r="103" spans="1:18" ht="15" customHeight="1" x14ac:dyDescent="0.3">
      <c r="A103" s="19" t="s">
        <v>26</v>
      </c>
      <c r="B103" s="19" t="s">
        <v>227</v>
      </c>
      <c r="C103" s="20">
        <v>0.85416666666666663</v>
      </c>
      <c r="D103" s="19" t="s">
        <v>28</v>
      </c>
      <c r="E103" s="19" t="s">
        <v>231</v>
      </c>
      <c r="F103" s="19" t="s">
        <v>316</v>
      </c>
      <c r="G103" s="256"/>
      <c r="H103" s="10"/>
      <c r="I103" s="11"/>
      <c r="J103" s="11"/>
      <c r="K103" s="11"/>
      <c r="L103" s="11"/>
      <c r="M103" s="11"/>
      <c r="N103" s="11"/>
      <c r="O103" s="12"/>
      <c r="P103" s="11"/>
      <c r="Q103" s="13"/>
      <c r="R103" s="14"/>
    </row>
    <row r="104" spans="1:18" ht="15" customHeight="1" x14ac:dyDescent="0.3">
      <c r="A104" s="15" t="s">
        <v>26</v>
      </c>
      <c r="B104" s="15" t="s">
        <v>227</v>
      </c>
      <c r="C104" s="16">
        <v>0.85416666666666663</v>
      </c>
      <c r="D104" s="15" t="s">
        <v>31</v>
      </c>
      <c r="E104" s="15" t="s">
        <v>207</v>
      </c>
      <c r="F104" s="15" t="s">
        <v>43</v>
      </c>
      <c r="G104" s="256"/>
      <c r="H104" s="10"/>
      <c r="I104" s="11"/>
      <c r="J104" s="11"/>
      <c r="K104" s="11"/>
      <c r="L104" s="11"/>
      <c r="M104" s="11"/>
      <c r="N104" s="11"/>
      <c r="O104" s="12"/>
      <c r="P104" s="11"/>
      <c r="Q104" s="13"/>
      <c r="R104" s="14"/>
    </row>
    <row r="105" spans="1:18" ht="15" customHeight="1" x14ac:dyDescent="0.3">
      <c r="A105" s="15" t="s">
        <v>26</v>
      </c>
      <c r="B105" s="15" t="s">
        <v>227</v>
      </c>
      <c r="C105" s="16">
        <v>0.85416666666666663</v>
      </c>
      <c r="D105" s="15" t="s">
        <v>34</v>
      </c>
      <c r="E105" s="15" t="s">
        <v>207</v>
      </c>
      <c r="F105" s="15" t="s">
        <v>317</v>
      </c>
      <c r="G105" s="256"/>
      <c r="H105" s="10"/>
      <c r="I105" s="11"/>
      <c r="J105" s="11"/>
      <c r="K105" s="11"/>
      <c r="L105" s="11"/>
      <c r="M105" s="11"/>
      <c r="N105" s="11"/>
      <c r="O105" s="12"/>
      <c r="P105" s="11"/>
      <c r="Q105" s="13"/>
      <c r="R105" s="14"/>
    </row>
    <row r="106" spans="1:18" ht="15" customHeight="1" x14ac:dyDescent="0.3">
      <c r="A106" s="19" t="s">
        <v>26</v>
      </c>
      <c r="B106" s="19" t="s">
        <v>230</v>
      </c>
      <c r="C106" s="20">
        <v>0.39583333333333331</v>
      </c>
      <c r="D106" s="19" t="s">
        <v>28</v>
      </c>
      <c r="E106" s="19" t="s">
        <v>228</v>
      </c>
      <c r="F106" s="19" t="s">
        <v>316</v>
      </c>
      <c r="G106" s="256"/>
      <c r="H106" s="10"/>
      <c r="I106" s="11"/>
      <c r="J106" s="11"/>
      <c r="K106" s="11"/>
      <c r="L106" s="11"/>
      <c r="M106" s="11"/>
      <c r="N106" s="11"/>
      <c r="O106" s="12"/>
      <c r="P106" s="11"/>
      <c r="Q106" s="13"/>
      <c r="R106" s="14"/>
    </row>
    <row r="107" spans="1:18" ht="15" customHeight="1" x14ac:dyDescent="0.3">
      <c r="A107" s="15" t="s">
        <v>26</v>
      </c>
      <c r="B107" s="15" t="s">
        <v>230</v>
      </c>
      <c r="C107" s="16">
        <v>0.39583333333333331</v>
      </c>
      <c r="D107" s="15" t="s">
        <v>31</v>
      </c>
      <c r="E107" s="15" t="s">
        <v>229</v>
      </c>
      <c r="F107" s="15" t="s">
        <v>43</v>
      </c>
      <c r="G107" s="256"/>
      <c r="H107" s="10"/>
      <c r="I107" s="11"/>
      <c r="J107" s="11"/>
      <c r="K107" s="11"/>
      <c r="L107" s="11"/>
      <c r="M107" s="11"/>
      <c r="N107" s="11"/>
      <c r="O107" s="12"/>
      <c r="P107" s="11"/>
      <c r="Q107" s="13"/>
      <c r="R107" s="14"/>
    </row>
    <row r="108" spans="1:18" ht="15" customHeight="1" x14ac:dyDescent="0.3">
      <c r="A108" s="15" t="s">
        <v>26</v>
      </c>
      <c r="B108" s="15" t="s">
        <v>230</v>
      </c>
      <c r="C108" s="16">
        <v>0.39583333333333331</v>
      </c>
      <c r="D108" s="15" t="s">
        <v>34</v>
      </c>
      <c r="E108" s="15" t="s">
        <v>229</v>
      </c>
      <c r="F108" s="15" t="s">
        <v>317</v>
      </c>
      <c r="G108" s="256"/>
      <c r="H108" s="10"/>
      <c r="I108" s="11"/>
      <c r="J108" s="11"/>
      <c r="K108" s="11"/>
      <c r="L108" s="11"/>
      <c r="M108" s="11"/>
      <c r="N108" s="11"/>
      <c r="O108" s="12"/>
      <c r="P108" s="11"/>
      <c r="Q108" s="13"/>
      <c r="R108" s="14"/>
    </row>
    <row r="109" spans="1:18" ht="15" customHeight="1" x14ac:dyDescent="0.3">
      <c r="A109" s="19" t="s">
        <v>26</v>
      </c>
      <c r="B109" s="19" t="s">
        <v>232</v>
      </c>
      <c r="C109" s="20">
        <v>0.79861111111111116</v>
      </c>
      <c r="D109" s="19" t="s">
        <v>28</v>
      </c>
      <c r="E109" s="19" t="s">
        <v>231</v>
      </c>
      <c r="F109" s="19" t="s">
        <v>316</v>
      </c>
      <c r="G109" s="256"/>
      <c r="H109" s="10"/>
      <c r="I109" s="11"/>
      <c r="J109" s="11"/>
      <c r="K109" s="11"/>
      <c r="L109" s="11"/>
      <c r="M109" s="11"/>
      <c r="N109" s="11"/>
      <c r="O109" s="12"/>
      <c r="P109" s="11"/>
      <c r="Q109" s="13"/>
      <c r="R109" s="14"/>
    </row>
    <row r="110" spans="1:18" ht="15" customHeight="1" x14ac:dyDescent="0.3">
      <c r="A110" s="15" t="s">
        <v>26</v>
      </c>
      <c r="B110" s="15" t="s">
        <v>232</v>
      </c>
      <c r="C110" s="16">
        <v>0.79861111111111116</v>
      </c>
      <c r="D110" s="15" t="s">
        <v>31</v>
      </c>
      <c r="E110" s="15" t="s">
        <v>207</v>
      </c>
      <c r="F110" s="15" t="s">
        <v>43</v>
      </c>
      <c r="G110" s="256"/>
      <c r="H110" s="10"/>
      <c r="I110" s="11"/>
      <c r="J110" s="11"/>
      <c r="K110" s="11"/>
      <c r="L110" s="11"/>
      <c r="M110" s="11"/>
      <c r="N110" s="11"/>
      <c r="O110" s="12"/>
      <c r="P110" s="11"/>
      <c r="Q110" s="13"/>
      <c r="R110" s="14"/>
    </row>
    <row r="111" spans="1:18" ht="15" customHeight="1" x14ac:dyDescent="0.3">
      <c r="A111" s="15" t="s">
        <v>26</v>
      </c>
      <c r="B111" s="15" t="s">
        <v>232</v>
      </c>
      <c r="C111" s="16">
        <v>0.79861111111111116</v>
      </c>
      <c r="D111" s="15" t="s">
        <v>34</v>
      </c>
      <c r="E111" s="15" t="s">
        <v>207</v>
      </c>
      <c r="F111" s="15" t="s">
        <v>317</v>
      </c>
      <c r="G111" s="256"/>
      <c r="H111" s="10"/>
      <c r="I111" s="11"/>
      <c r="J111" s="11"/>
      <c r="K111" s="11"/>
      <c r="L111" s="11"/>
      <c r="M111" s="11"/>
      <c r="N111" s="11"/>
      <c r="O111" s="12"/>
      <c r="P111" s="11"/>
      <c r="Q111" s="13"/>
      <c r="R111" s="14"/>
    </row>
    <row r="112" spans="1:18" ht="15" customHeight="1" x14ac:dyDescent="0.3">
      <c r="A112" s="17" t="s">
        <v>237</v>
      </c>
      <c r="B112" s="17" t="s">
        <v>241</v>
      </c>
      <c r="C112" s="18">
        <v>0.28819444444444448</v>
      </c>
      <c r="D112" s="17" t="s">
        <v>319</v>
      </c>
      <c r="E112" s="17" t="s">
        <v>29</v>
      </c>
      <c r="F112" s="17" t="s">
        <v>320</v>
      </c>
      <c r="G112" s="256"/>
      <c r="H112" s="10"/>
      <c r="I112" s="11"/>
      <c r="J112" s="11"/>
      <c r="K112" s="11"/>
      <c r="L112" s="11"/>
      <c r="M112" s="11"/>
      <c r="N112" s="11"/>
      <c r="O112" s="12"/>
      <c r="P112" s="11"/>
      <c r="Q112" s="13"/>
      <c r="R112" s="14"/>
    </row>
    <row r="113" spans="1:18" ht="15" customHeight="1" x14ac:dyDescent="0.3">
      <c r="A113" s="15" t="s">
        <v>237</v>
      </c>
      <c r="B113" s="15" t="s">
        <v>241</v>
      </c>
      <c r="C113" s="16">
        <v>0.28819444444444448</v>
      </c>
      <c r="D113" s="15" t="s">
        <v>44</v>
      </c>
      <c r="E113" s="15" t="s">
        <v>32</v>
      </c>
      <c r="F113" s="15" t="s">
        <v>321</v>
      </c>
      <c r="G113" s="256"/>
      <c r="H113" s="10"/>
      <c r="I113" s="11"/>
      <c r="J113" s="11"/>
      <c r="K113" s="11"/>
      <c r="L113" s="11"/>
      <c r="M113" s="11"/>
      <c r="N113" s="11"/>
      <c r="O113" s="12"/>
      <c r="P113" s="11"/>
      <c r="Q113" s="13"/>
      <c r="R113" s="14"/>
    </row>
    <row r="114" spans="1:18" ht="15" customHeight="1" x14ac:dyDescent="0.3">
      <c r="A114" s="19" t="s">
        <v>237</v>
      </c>
      <c r="B114" s="19" t="s">
        <v>322</v>
      </c>
      <c r="C114" s="20">
        <v>0.21527777777777779</v>
      </c>
      <c r="D114" s="19" t="s">
        <v>319</v>
      </c>
      <c r="E114" s="19" t="s">
        <v>225</v>
      </c>
      <c r="F114" s="19" t="s">
        <v>320</v>
      </c>
      <c r="G114" s="256"/>
      <c r="H114" s="10"/>
      <c r="I114" s="11"/>
      <c r="J114" s="11"/>
      <c r="K114" s="11"/>
      <c r="L114" s="11"/>
      <c r="M114" s="11"/>
      <c r="N114" s="11"/>
      <c r="O114" s="12"/>
      <c r="P114" s="11"/>
      <c r="Q114" s="13"/>
      <c r="R114" s="14"/>
    </row>
    <row r="115" spans="1:18" ht="15" customHeight="1" x14ac:dyDescent="0.3">
      <c r="A115" s="15" t="s">
        <v>237</v>
      </c>
      <c r="B115" s="15" t="s">
        <v>322</v>
      </c>
      <c r="C115" s="16">
        <v>0.21527777777777779</v>
      </c>
      <c r="D115" s="15" t="s">
        <v>44</v>
      </c>
      <c r="E115" s="15" t="s">
        <v>32</v>
      </c>
      <c r="F115" s="15" t="s">
        <v>321</v>
      </c>
      <c r="G115" s="256"/>
      <c r="H115" s="10"/>
      <c r="I115" s="11"/>
      <c r="J115" s="11"/>
      <c r="K115" s="11"/>
      <c r="L115" s="11"/>
      <c r="M115" s="11"/>
      <c r="N115" s="11"/>
      <c r="O115" s="12"/>
      <c r="P115" s="11"/>
      <c r="Q115" s="13"/>
      <c r="R115" s="14"/>
    </row>
    <row r="116" spans="1:18" ht="15" customHeight="1" x14ac:dyDescent="0.3">
      <c r="A116" s="17" t="s">
        <v>243</v>
      </c>
      <c r="B116" s="17" t="s">
        <v>246</v>
      </c>
      <c r="C116" s="18">
        <v>0.66666666666666663</v>
      </c>
      <c r="D116" s="17" t="s">
        <v>245</v>
      </c>
      <c r="E116" s="17" t="s">
        <v>89</v>
      </c>
      <c r="F116" s="17" t="s">
        <v>35</v>
      </c>
      <c r="G116" s="256"/>
      <c r="H116" s="10"/>
      <c r="I116" s="11"/>
      <c r="J116" s="11"/>
      <c r="K116" s="11"/>
      <c r="L116" s="11"/>
      <c r="M116" s="11"/>
      <c r="N116" s="11"/>
      <c r="O116" s="12"/>
      <c r="P116" s="11"/>
      <c r="Q116" s="13"/>
      <c r="R116" s="14"/>
    </row>
    <row r="117" spans="1:18" ht="15" customHeight="1" x14ac:dyDescent="0.3">
      <c r="A117" s="17" t="s">
        <v>323</v>
      </c>
      <c r="B117" s="17" t="s">
        <v>324</v>
      </c>
      <c r="C117" s="18">
        <v>0.27083333333333331</v>
      </c>
      <c r="D117" s="17" t="s">
        <v>245</v>
      </c>
      <c r="E117" s="17" t="s">
        <v>89</v>
      </c>
      <c r="F117" s="17" t="s">
        <v>325</v>
      </c>
      <c r="G117" s="256"/>
      <c r="H117" s="10"/>
      <c r="I117" s="11"/>
      <c r="J117" s="11"/>
      <c r="K117" s="11"/>
      <c r="L117" s="11"/>
      <c r="M117" s="11"/>
      <c r="N117" s="11"/>
      <c r="O117" s="12"/>
      <c r="P117" s="11"/>
      <c r="Q117" s="13"/>
      <c r="R117" s="14"/>
    </row>
    <row r="118" spans="1:18" ht="15" customHeight="1" x14ac:dyDescent="0.3">
      <c r="A118" s="150" t="s">
        <v>93</v>
      </c>
      <c r="B118" s="150" t="s">
        <v>259</v>
      </c>
      <c r="C118" s="151">
        <v>0.68055555555555547</v>
      </c>
      <c r="D118" s="150" t="s">
        <v>249</v>
      </c>
      <c r="E118" s="150" t="s">
        <v>89</v>
      </c>
      <c r="F118" s="150" t="s">
        <v>326</v>
      </c>
      <c r="G118" s="256"/>
      <c r="H118" s="152" t="s">
        <v>260</v>
      </c>
      <c r="I118" s="153">
        <v>0.99439999999999995</v>
      </c>
      <c r="J118" s="154">
        <v>178</v>
      </c>
      <c r="K118" s="155" t="s">
        <v>102</v>
      </c>
      <c r="L118" s="154">
        <v>3</v>
      </c>
      <c r="M118" s="154">
        <v>0</v>
      </c>
      <c r="N118" s="154">
        <v>0</v>
      </c>
      <c r="O118" s="156" t="s">
        <v>327</v>
      </c>
      <c r="P118" s="157">
        <v>0.68055555555555547</v>
      </c>
      <c r="Q118" s="154">
        <v>179</v>
      </c>
      <c r="R118" s="158" t="s">
        <v>328</v>
      </c>
    </row>
    <row r="119" spans="1:18" ht="15" customHeight="1" x14ac:dyDescent="0.3">
      <c r="A119" s="134" t="s">
        <v>93</v>
      </c>
      <c r="B119" s="134" t="s">
        <v>329</v>
      </c>
      <c r="C119" s="135">
        <v>0.2361111111111111</v>
      </c>
      <c r="D119" s="134" t="s">
        <v>95</v>
      </c>
      <c r="E119" s="159"/>
      <c r="F119" s="134" t="s">
        <v>96</v>
      </c>
      <c r="G119" s="256"/>
      <c r="H119" s="118" t="s">
        <v>329</v>
      </c>
      <c r="I119" s="160">
        <v>1</v>
      </c>
      <c r="J119" s="120">
        <v>179</v>
      </c>
      <c r="K119" s="121" t="s">
        <v>330</v>
      </c>
      <c r="L119" s="120">
        <v>0</v>
      </c>
      <c r="M119" s="120">
        <v>0</v>
      </c>
      <c r="N119" s="120">
        <v>0</v>
      </c>
      <c r="O119" s="122" t="s">
        <v>98</v>
      </c>
      <c r="P119" s="123">
        <v>0.2361111111111111</v>
      </c>
      <c r="Q119" s="120">
        <v>179</v>
      </c>
      <c r="R119" s="124" t="s">
        <v>331</v>
      </c>
    </row>
    <row r="120" spans="1:18" ht="15" customHeight="1" x14ac:dyDescent="0.3">
      <c r="A120" s="161" t="s">
        <v>93</v>
      </c>
      <c r="B120" s="161" t="s">
        <v>269</v>
      </c>
      <c r="C120" s="162">
        <v>0.33333333333333331</v>
      </c>
      <c r="D120" s="161" t="s">
        <v>95</v>
      </c>
      <c r="E120" s="163"/>
      <c r="F120" s="161" t="s">
        <v>96</v>
      </c>
      <c r="G120" s="256"/>
      <c r="H120" s="152" t="s">
        <v>269</v>
      </c>
      <c r="I120" s="153">
        <v>1</v>
      </c>
      <c r="J120" s="154">
        <v>179</v>
      </c>
      <c r="K120" s="155" t="s">
        <v>274</v>
      </c>
      <c r="L120" s="154">
        <v>4</v>
      </c>
      <c r="M120" s="154">
        <v>0</v>
      </c>
      <c r="N120" s="154">
        <v>0</v>
      </c>
      <c r="O120" s="156" t="s">
        <v>98</v>
      </c>
      <c r="P120" s="157">
        <v>0.33333333333333331</v>
      </c>
      <c r="Q120" s="154">
        <v>179</v>
      </c>
      <c r="R120" s="158" t="s">
        <v>332</v>
      </c>
    </row>
    <row r="121" spans="1:18" ht="15" customHeight="1" x14ac:dyDescent="0.3">
      <c r="A121" s="17" t="s">
        <v>46</v>
      </c>
      <c r="B121" s="17" t="s">
        <v>276</v>
      </c>
      <c r="C121" s="18">
        <v>0.22916666666666671</v>
      </c>
      <c r="D121" s="17" t="s">
        <v>48</v>
      </c>
      <c r="E121" s="17" t="s">
        <v>49</v>
      </c>
      <c r="F121" s="17" t="s">
        <v>333</v>
      </c>
      <c r="G121" s="256"/>
      <c r="H121" s="10"/>
      <c r="I121" s="11"/>
      <c r="J121" s="11"/>
      <c r="K121" s="11"/>
      <c r="L121" s="11"/>
      <c r="M121" s="11"/>
      <c r="N121" s="11"/>
      <c r="O121" s="12"/>
      <c r="P121" s="11"/>
      <c r="Q121" s="13"/>
      <c r="R121" s="14"/>
    </row>
    <row r="122" spans="1:18" ht="15" customHeight="1" x14ac:dyDescent="0.3">
      <c r="A122" s="15" t="s">
        <v>46</v>
      </c>
      <c r="B122" s="15" t="s">
        <v>276</v>
      </c>
      <c r="C122" s="16">
        <v>0.22916666666666671</v>
      </c>
      <c r="D122" s="15" t="s">
        <v>48</v>
      </c>
      <c r="E122" s="15" t="s">
        <v>101</v>
      </c>
      <c r="F122" s="15" t="s">
        <v>279</v>
      </c>
      <c r="G122" s="256"/>
      <c r="H122" s="10"/>
      <c r="I122" s="11"/>
      <c r="J122" s="11"/>
      <c r="K122" s="11"/>
      <c r="L122" s="11"/>
      <c r="M122" s="11"/>
      <c r="N122" s="11"/>
      <c r="O122" s="12"/>
      <c r="P122" s="11"/>
      <c r="Q122" s="13"/>
      <c r="R122" s="14"/>
    </row>
    <row r="123" spans="1:18" ht="15" customHeight="1" x14ac:dyDescent="0.3">
      <c r="A123" s="19" t="s">
        <v>46</v>
      </c>
      <c r="B123" s="19" t="s">
        <v>286</v>
      </c>
      <c r="C123" s="20">
        <v>0.27777777777777779</v>
      </c>
      <c r="D123" s="19" t="s">
        <v>48</v>
      </c>
      <c r="E123" s="19" t="s">
        <v>52</v>
      </c>
      <c r="F123" s="19" t="s">
        <v>334</v>
      </c>
      <c r="G123" s="256"/>
      <c r="H123" s="10"/>
      <c r="I123" s="11"/>
      <c r="J123" s="11"/>
      <c r="K123" s="11"/>
      <c r="L123" s="11"/>
      <c r="M123" s="11"/>
      <c r="N123" s="11"/>
      <c r="O123" s="12"/>
      <c r="P123" s="11"/>
      <c r="Q123" s="13"/>
      <c r="R123" s="14"/>
    </row>
    <row r="124" spans="1:18" ht="15" customHeight="1" x14ac:dyDescent="0.3">
      <c r="A124" s="15" t="s">
        <v>46</v>
      </c>
      <c r="B124" s="15" t="s">
        <v>286</v>
      </c>
      <c r="C124" s="16">
        <v>0.27777777777777779</v>
      </c>
      <c r="D124" s="15" t="s">
        <v>48</v>
      </c>
      <c r="E124" s="15" t="s">
        <v>101</v>
      </c>
      <c r="F124" s="15" t="s">
        <v>285</v>
      </c>
      <c r="G124" s="256"/>
      <c r="H124" s="10"/>
      <c r="I124" s="11"/>
      <c r="J124" s="11"/>
      <c r="K124" s="11"/>
      <c r="L124" s="11"/>
      <c r="M124" s="11"/>
      <c r="N124" s="11"/>
      <c r="O124" s="12"/>
      <c r="P124" s="11"/>
      <c r="Q124" s="13"/>
      <c r="R124" s="14"/>
    </row>
    <row r="125" spans="1:18" ht="15" customHeight="1" x14ac:dyDescent="0.3">
      <c r="A125" s="19" t="s">
        <v>46</v>
      </c>
      <c r="B125" s="19" t="s">
        <v>282</v>
      </c>
      <c r="C125" s="20">
        <v>1.388888888888889E-2</v>
      </c>
      <c r="D125" s="19" t="s">
        <v>48</v>
      </c>
      <c r="E125" s="19" t="s">
        <v>52</v>
      </c>
      <c r="F125" s="19" t="s">
        <v>335</v>
      </c>
      <c r="G125" s="256"/>
      <c r="H125" s="10"/>
      <c r="I125" s="11"/>
      <c r="J125" s="11"/>
      <c r="K125" s="11"/>
      <c r="L125" s="11"/>
      <c r="M125" s="11"/>
      <c r="N125" s="11"/>
      <c r="O125" s="12"/>
      <c r="P125" s="11"/>
      <c r="Q125" s="13"/>
      <c r="R125" s="14"/>
    </row>
    <row r="126" spans="1:18" ht="15" customHeight="1" x14ac:dyDescent="0.3">
      <c r="A126" s="15" t="s">
        <v>46</v>
      </c>
      <c r="B126" s="15" t="s">
        <v>282</v>
      </c>
      <c r="C126" s="16">
        <v>1.388888888888889E-2</v>
      </c>
      <c r="D126" s="15" t="s">
        <v>48</v>
      </c>
      <c r="E126" s="15" t="s">
        <v>101</v>
      </c>
      <c r="F126" s="15" t="s">
        <v>336</v>
      </c>
      <c r="G126" s="256"/>
      <c r="H126" s="10"/>
      <c r="I126" s="11"/>
      <c r="J126" s="11"/>
      <c r="K126" s="11"/>
      <c r="L126" s="11"/>
      <c r="M126" s="11"/>
      <c r="N126" s="11"/>
      <c r="O126" s="12"/>
      <c r="P126" s="11"/>
      <c r="Q126" s="13"/>
      <c r="R126" s="14"/>
    </row>
    <row r="127" spans="1:18" ht="15" customHeight="1" x14ac:dyDescent="0.3">
      <c r="A127" s="19" t="s">
        <v>46</v>
      </c>
      <c r="B127" s="19" t="s">
        <v>278</v>
      </c>
      <c r="C127" s="20">
        <v>0.14583333333333329</v>
      </c>
      <c r="D127" s="19" t="s">
        <v>48</v>
      </c>
      <c r="E127" s="19" t="s">
        <v>87</v>
      </c>
      <c r="F127" s="19" t="s">
        <v>337</v>
      </c>
      <c r="G127" s="256"/>
      <c r="H127" s="10"/>
      <c r="I127" s="11"/>
      <c r="J127" s="11"/>
      <c r="K127" s="11"/>
      <c r="L127" s="11"/>
      <c r="M127" s="11"/>
      <c r="N127" s="11"/>
      <c r="O127" s="12"/>
      <c r="P127" s="11"/>
      <c r="Q127" s="13"/>
      <c r="R127" s="14"/>
    </row>
    <row r="128" spans="1:18" ht="15" customHeight="1" x14ac:dyDescent="0.3">
      <c r="A128" s="15" t="s">
        <v>46</v>
      </c>
      <c r="B128" s="15" t="s">
        <v>278</v>
      </c>
      <c r="C128" s="16">
        <v>0.14583333333333329</v>
      </c>
      <c r="D128" s="15" t="s">
        <v>48</v>
      </c>
      <c r="E128" s="15" t="s">
        <v>318</v>
      </c>
      <c r="F128" s="15" t="s">
        <v>338</v>
      </c>
      <c r="G128" s="256"/>
      <c r="H128" s="10"/>
      <c r="I128" s="11"/>
      <c r="J128" s="11"/>
      <c r="K128" s="11"/>
      <c r="L128" s="11"/>
      <c r="M128" s="11"/>
      <c r="N128" s="11"/>
      <c r="O128" s="12"/>
      <c r="P128" s="11"/>
      <c r="Q128" s="13"/>
      <c r="R128" s="14"/>
    </row>
    <row r="129" spans="1:18" ht="15" customHeight="1" x14ac:dyDescent="0.3">
      <c r="A129" s="19" t="s">
        <v>46</v>
      </c>
      <c r="B129" s="19" t="s">
        <v>339</v>
      </c>
      <c r="C129" s="20">
        <v>0.54166666666666663</v>
      </c>
      <c r="D129" s="19" t="s">
        <v>48</v>
      </c>
      <c r="E129" s="19" t="s">
        <v>231</v>
      </c>
      <c r="F129" s="19" t="s">
        <v>337</v>
      </c>
      <c r="G129" s="256"/>
      <c r="H129" s="10"/>
      <c r="I129" s="11"/>
      <c r="J129" s="11"/>
      <c r="K129" s="11"/>
      <c r="L129" s="11"/>
      <c r="M129" s="11"/>
      <c r="N129" s="11"/>
      <c r="O129" s="12"/>
      <c r="P129" s="11"/>
      <c r="Q129" s="13"/>
      <c r="R129" s="14"/>
    </row>
    <row r="130" spans="1:18" ht="15" customHeight="1" x14ac:dyDescent="0.3">
      <c r="A130" s="15" t="s">
        <v>46</v>
      </c>
      <c r="B130" s="15" t="s">
        <v>339</v>
      </c>
      <c r="C130" s="16">
        <v>0.54166666666666663</v>
      </c>
      <c r="D130" s="15" t="s">
        <v>48</v>
      </c>
      <c r="E130" s="15" t="s">
        <v>207</v>
      </c>
      <c r="F130" s="15" t="s">
        <v>338</v>
      </c>
      <c r="G130" s="256"/>
      <c r="H130" s="10"/>
      <c r="I130" s="11"/>
      <c r="J130" s="11"/>
      <c r="K130" s="11"/>
      <c r="L130" s="11"/>
      <c r="M130" s="11"/>
      <c r="N130" s="11"/>
      <c r="O130" s="12"/>
      <c r="P130" s="11"/>
      <c r="Q130" s="13"/>
      <c r="R130" s="14"/>
    </row>
    <row r="131" spans="1:18" ht="15" customHeight="1" x14ac:dyDescent="0.3">
      <c r="A131" s="19" t="s">
        <v>46</v>
      </c>
      <c r="B131" s="19" t="s">
        <v>281</v>
      </c>
      <c r="C131" s="20">
        <v>0.77083333333333337</v>
      </c>
      <c r="D131" s="19" t="s">
        <v>48</v>
      </c>
      <c r="E131" s="19" t="s">
        <v>69</v>
      </c>
      <c r="F131" s="19" t="s">
        <v>337</v>
      </c>
      <c r="G131" s="256"/>
      <c r="H131" s="10"/>
      <c r="I131" s="11"/>
      <c r="J131" s="11"/>
      <c r="K131" s="11"/>
      <c r="L131" s="11"/>
      <c r="M131" s="11"/>
      <c r="N131" s="11"/>
      <c r="O131" s="12"/>
      <c r="P131" s="11"/>
      <c r="Q131" s="13"/>
      <c r="R131" s="14"/>
    </row>
    <row r="132" spans="1:18" ht="15" customHeight="1" x14ac:dyDescent="0.3">
      <c r="A132" s="15" t="s">
        <v>46</v>
      </c>
      <c r="B132" s="15" t="s">
        <v>281</v>
      </c>
      <c r="C132" s="16">
        <v>0.77083333333333337</v>
      </c>
      <c r="D132" s="15" t="s">
        <v>48</v>
      </c>
      <c r="E132" s="15" t="s">
        <v>71</v>
      </c>
      <c r="F132" s="15" t="s">
        <v>338</v>
      </c>
      <c r="G132" s="256"/>
      <c r="H132" s="10"/>
      <c r="I132" s="11"/>
      <c r="J132" s="11"/>
      <c r="K132" s="11"/>
      <c r="L132" s="11"/>
      <c r="M132" s="11"/>
      <c r="N132" s="11"/>
      <c r="O132" s="12"/>
      <c r="P132" s="11"/>
      <c r="Q132" s="13"/>
      <c r="R132" s="14"/>
    </row>
    <row r="133" spans="1:18" ht="15" customHeight="1" x14ac:dyDescent="0.3">
      <c r="A133" s="17" t="s">
        <v>56</v>
      </c>
      <c r="B133" s="17" t="s">
        <v>299</v>
      </c>
      <c r="C133" s="18">
        <v>0.37847222222222232</v>
      </c>
      <c r="D133" s="17" t="s">
        <v>62</v>
      </c>
      <c r="E133" s="17" t="s">
        <v>49</v>
      </c>
      <c r="F133" s="17" t="s">
        <v>288</v>
      </c>
      <c r="G133" s="256"/>
      <c r="H133" s="10"/>
      <c r="I133" s="11"/>
      <c r="J133" s="11"/>
      <c r="K133" s="11"/>
      <c r="L133" s="11"/>
      <c r="M133" s="11"/>
      <c r="N133" s="11"/>
      <c r="O133" s="12"/>
      <c r="P133" s="11"/>
      <c r="Q133" s="13"/>
      <c r="R133" s="14"/>
    </row>
    <row r="134" spans="1:18" ht="15" customHeight="1" x14ac:dyDescent="0.3">
      <c r="A134" s="15" t="s">
        <v>56</v>
      </c>
      <c r="B134" s="15" t="s">
        <v>299</v>
      </c>
      <c r="C134" s="16">
        <v>0.37847222222222232</v>
      </c>
      <c r="D134" s="15" t="s">
        <v>58</v>
      </c>
      <c r="E134" s="15" t="s">
        <v>101</v>
      </c>
      <c r="F134" s="15" t="s">
        <v>289</v>
      </c>
      <c r="G134" s="256"/>
      <c r="H134" s="10"/>
      <c r="I134" s="11"/>
      <c r="J134" s="11"/>
      <c r="K134" s="11"/>
      <c r="L134" s="11"/>
      <c r="M134" s="11"/>
      <c r="N134" s="11"/>
      <c r="O134" s="12"/>
      <c r="P134" s="11"/>
      <c r="Q134" s="13"/>
      <c r="R134" s="14"/>
    </row>
    <row r="135" spans="1:18" ht="15" customHeight="1" x14ac:dyDescent="0.3">
      <c r="A135" s="19" t="s">
        <v>56</v>
      </c>
      <c r="B135" s="19" t="s">
        <v>302</v>
      </c>
      <c r="C135" s="20">
        <v>0.71875</v>
      </c>
      <c r="D135" s="19" t="s">
        <v>62</v>
      </c>
      <c r="E135" s="19" t="s">
        <v>52</v>
      </c>
      <c r="F135" s="19" t="s">
        <v>288</v>
      </c>
      <c r="G135" s="256"/>
      <c r="H135" s="10"/>
      <c r="I135" s="11"/>
      <c r="J135" s="11"/>
      <c r="K135" s="11"/>
      <c r="L135" s="11"/>
      <c r="M135" s="11"/>
      <c r="N135" s="11"/>
      <c r="O135" s="12"/>
      <c r="P135" s="11"/>
      <c r="Q135" s="13"/>
      <c r="R135" s="14"/>
    </row>
    <row r="136" spans="1:18" ht="15" customHeight="1" x14ac:dyDescent="0.3">
      <c r="A136" s="15" t="s">
        <v>56</v>
      </c>
      <c r="B136" s="15" t="s">
        <v>302</v>
      </c>
      <c r="C136" s="16">
        <v>0.71875</v>
      </c>
      <c r="D136" s="15" t="s">
        <v>58</v>
      </c>
      <c r="E136" s="15" t="s">
        <v>101</v>
      </c>
      <c r="F136" s="15" t="s">
        <v>289</v>
      </c>
      <c r="G136" s="256"/>
      <c r="H136" s="10"/>
      <c r="I136" s="11"/>
      <c r="J136" s="11"/>
      <c r="K136" s="11"/>
      <c r="L136" s="11"/>
      <c r="M136" s="11"/>
      <c r="N136" s="11"/>
      <c r="O136" s="12"/>
      <c r="P136" s="11"/>
      <c r="Q136" s="13"/>
      <c r="R136" s="14"/>
    </row>
    <row r="137" spans="1:18" ht="15" customHeight="1" x14ac:dyDescent="0.3">
      <c r="A137" s="19" t="s">
        <v>56</v>
      </c>
      <c r="B137" s="19" t="s">
        <v>290</v>
      </c>
      <c r="C137" s="20">
        <v>6.9444444444444441E-3</v>
      </c>
      <c r="D137" s="19" t="s">
        <v>62</v>
      </c>
      <c r="E137" s="19" t="s">
        <v>52</v>
      </c>
      <c r="F137" s="19" t="s">
        <v>288</v>
      </c>
      <c r="G137" s="256"/>
      <c r="H137" s="10"/>
      <c r="I137" s="11"/>
      <c r="J137" s="11"/>
      <c r="K137" s="11"/>
      <c r="L137" s="11"/>
      <c r="M137" s="11"/>
      <c r="N137" s="11"/>
      <c r="O137" s="12"/>
      <c r="P137" s="11"/>
      <c r="Q137" s="13"/>
      <c r="R137" s="14"/>
    </row>
    <row r="138" spans="1:18" ht="15" customHeight="1" x14ac:dyDescent="0.3">
      <c r="A138" s="15" t="s">
        <v>56</v>
      </c>
      <c r="B138" s="15" t="s">
        <v>290</v>
      </c>
      <c r="C138" s="16">
        <v>6.9444444444444441E-3</v>
      </c>
      <c r="D138" s="15" t="s">
        <v>58</v>
      </c>
      <c r="E138" s="15" t="s">
        <v>101</v>
      </c>
      <c r="F138" s="15" t="s">
        <v>289</v>
      </c>
      <c r="G138" s="256"/>
      <c r="H138" s="10"/>
      <c r="I138" s="11"/>
      <c r="J138" s="11"/>
      <c r="K138" s="11"/>
      <c r="L138" s="11"/>
      <c r="M138" s="11"/>
      <c r="N138" s="11"/>
      <c r="O138" s="12"/>
      <c r="P138" s="11"/>
      <c r="Q138" s="13"/>
      <c r="R138" s="14"/>
    </row>
    <row r="139" spans="1:18" ht="15" customHeight="1" x14ac:dyDescent="0.3">
      <c r="A139" s="19" t="s">
        <v>56</v>
      </c>
      <c r="B139" s="19" t="s">
        <v>287</v>
      </c>
      <c r="C139" s="20">
        <v>0.24305555555555561</v>
      </c>
      <c r="D139" s="19" t="s">
        <v>62</v>
      </c>
      <c r="E139" s="19" t="s">
        <v>52</v>
      </c>
      <c r="F139" s="19" t="s">
        <v>288</v>
      </c>
      <c r="G139" s="256"/>
      <c r="H139" s="10"/>
      <c r="I139" s="11"/>
      <c r="J139" s="11"/>
      <c r="K139" s="11"/>
      <c r="L139" s="11"/>
      <c r="M139" s="11"/>
      <c r="N139" s="11"/>
      <c r="O139" s="12"/>
      <c r="P139" s="11"/>
      <c r="Q139" s="13"/>
      <c r="R139" s="14"/>
    </row>
    <row r="140" spans="1:18" ht="15" customHeight="1" x14ac:dyDescent="0.3">
      <c r="A140" s="15" t="s">
        <v>56</v>
      </c>
      <c r="B140" s="15" t="s">
        <v>287</v>
      </c>
      <c r="C140" s="16">
        <v>0.24305555555555561</v>
      </c>
      <c r="D140" s="15" t="s">
        <v>58</v>
      </c>
      <c r="E140" s="15" t="s">
        <v>101</v>
      </c>
      <c r="F140" s="15" t="s">
        <v>289</v>
      </c>
      <c r="G140" s="256"/>
      <c r="H140" s="10"/>
      <c r="I140" s="11"/>
      <c r="J140" s="11"/>
      <c r="K140" s="11"/>
      <c r="L140" s="11"/>
      <c r="M140" s="11"/>
      <c r="N140" s="11"/>
      <c r="O140" s="12"/>
      <c r="P140" s="11"/>
      <c r="Q140" s="13"/>
      <c r="R140" s="14"/>
    </row>
    <row r="141" spans="1:18" ht="15" customHeight="1" x14ac:dyDescent="0.3">
      <c r="A141" s="19" t="s">
        <v>56</v>
      </c>
      <c r="B141" s="19" t="s">
        <v>293</v>
      </c>
      <c r="C141" s="20">
        <v>0.1423611111111111</v>
      </c>
      <c r="D141" s="19" t="s">
        <v>62</v>
      </c>
      <c r="E141" s="19" t="s">
        <v>52</v>
      </c>
      <c r="F141" s="19" t="s">
        <v>288</v>
      </c>
      <c r="G141" s="256"/>
      <c r="H141" s="10"/>
      <c r="I141" s="11"/>
      <c r="J141" s="11"/>
      <c r="K141" s="11"/>
      <c r="L141" s="11"/>
      <c r="M141" s="11"/>
      <c r="N141" s="11"/>
      <c r="O141" s="12"/>
      <c r="P141" s="11"/>
      <c r="Q141" s="13"/>
      <c r="R141" s="14"/>
    </row>
    <row r="142" spans="1:18" ht="15" customHeight="1" x14ac:dyDescent="0.3">
      <c r="A142" s="15" t="s">
        <v>56</v>
      </c>
      <c r="B142" s="15" t="s">
        <v>293</v>
      </c>
      <c r="C142" s="16">
        <v>0.1423611111111111</v>
      </c>
      <c r="D142" s="15" t="s">
        <v>58</v>
      </c>
      <c r="E142" s="15" t="s">
        <v>101</v>
      </c>
      <c r="F142" s="15" t="s">
        <v>289</v>
      </c>
      <c r="G142" s="256"/>
      <c r="H142" s="10"/>
      <c r="I142" s="11"/>
      <c r="J142" s="11"/>
      <c r="K142" s="11"/>
      <c r="L142" s="11"/>
      <c r="M142" s="11"/>
      <c r="N142" s="11"/>
      <c r="O142" s="12"/>
      <c r="P142" s="11"/>
      <c r="Q142" s="13"/>
      <c r="R142" s="14"/>
    </row>
    <row r="143" spans="1:18" ht="15" customHeight="1" x14ac:dyDescent="0.3">
      <c r="A143" s="19" t="s">
        <v>56</v>
      </c>
      <c r="B143" s="19" t="s">
        <v>296</v>
      </c>
      <c r="C143" s="20">
        <v>0.93055555555555547</v>
      </c>
      <c r="D143" s="19" t="s">
        <v>62</v>
      </c>
      <c r="E143" s="19" t="s">
        <v>52</v>
      </c>
      <c r="F143" s="19" t="s">
        <v>288</v>
      </c>
      <c r="G143" s="256"/>
      <c r="H143" s="10"/>
      <c r="I143" s="11"/>
      <c r="J143" s="11"/>
      <c r="K143" s="11"/>
      <c r="L143" s="11"/>
      <c r="M143" s="11"/>
      <c r="N143" s="11"/>
      <c r="O143" s="12"/>
      <c r="P143" s="11"/>
      <c r="Q143" s="13"/>
      <c r="R143" s="14"/>
    </row>
    <row r="144" spans="1:18" ht="15" customHeight="1" x14ac:dyDescent="0.3">
      <c r="A144" s="15" t="s">
        <v>56</v>
      </c>
      <c r="B144" s="15" t="s">
        <v>296</v>
      </c>
      <c r="C144" s="16">
        <v>0.93055555555555547</v>
      </c>
      <c r="D144" s="15" t="s">
        <v>58</v>
      </c>
      <c r="E144" s="15" t="s">
        <v>101</v>
      </c>
      <c r="F144" s="15" t="s">
        <v>289</v>
      </c>
      <c r="G144" s="256"/>
      <c r="H144" s="10"/>
      <c r="I144" s="11"/>
      <c r="J144" s="11"/>
      <c r="K144" s="11"/>
      <c r="L144" s="11"/>
      <c r="M144" s="11"/>
      <c r="N144" s="11"/>
      <c r="O144" s="12"/>
      <c r="P144" s="11"/>
      <c r="Q144" s="13"/>
      <c r="R144" s="14"/>
    </row>
    <row r="145" spans="1:18" ht="15" customHeight="1" x14ac:dyDescent="0.3">
      <c r="A145" s="19" t="s">
        <v>56</v>
      </c>
      <c r="B145" s="19" t="s">
        <v>303</v>
      </c>
      <c r="C145" s="20">
        <v>0.61111111111111105</v>
      </c>
      <c r="D145" s="19" t="s">
        <v>62</v>
      </c>
      <c r="E145" s="19" t="s">
        <v>52</v>
      </c>
      <c r="F145" s="19" t="s">
        <v>294</v>
      </c>
      <c r="G145" s="256"/>
      <c r="H145" s="10"/>
      <c r="I145" s="11"/>
      <c r="J145" s="11"/>
      <c r="K145" s="11"/>
      <c r="L145" s="11"/>
      <c r="M145" s="11"/>
      <c r="N145" s="11"/>
      <c r="O145" s="12"/>
      <c r="P145" s="11"/>
      <c r="Q145" s="13"/>
      <c r="R145" s="14"/>
    </row>
    <row r="146" spans="1:18" ht="15" customHeight="1" x14ac:dyDescent="0.3">
      <c r="A146" s="15" t="s">
        <v>56</v>
      </c>
      <c r="B146" s="15" t="s">
        <v>303</v>
      </c>
      <c r="C146" s="16">
        <v>0.61111111111111105</v>
      </c>
      <c r="D146" s="15" t="s">
        <v>58</v>
      </c>
      <c r="E146" s="15" t="s">
        <v>101</v>
      </c>
      <c r="F146" s="15" t="s">
        <v>295</v>
      </c>
      <c r="G146" s="256"/>
      <c r="H146" s="10"/>
      <c r="I146" s="11"/>
      <c r="J146" s="11"/>
      <c r="K146" s="11"/>
      <c r="L146" s="11"/>
      <c r="M146" s="11"/>
      <c r="N146" s="11"/>
      <c r="O146" s="12"/>
      <c r="P146" s="11"/>
      <c r="Q146" s="13"/>
      <c r="R146" s="14"/>
    </row>
    <row r="147" spans="1:18" ht="15" customHeight="1" x14ac:dyDescent="0.3">
      <c r="A147" s="19" t="s">
        <v>56</v>
      </c>
      <c r="B147" s="19" t="s">
        <v>305</v>
      </c>
      <c r="C147" s="20">
        <v>0.30208333333333331</v>
      </c>
      <c r="D147" s="19" t="s">
        <v>58</v>
      </c>
      <c r="E147" s="19" t="s">
        <v>92</v>
      </c>
      <c r="F147" s="19" t="s">
        <v>298</v>
      </c>
      <c r="G147" s="256"/>
      <c r="H147" s="10"/>
      <c r="I147" s="11"/>
      <c r="J147" s="11"/>
      <c r="K147" s="11"/>
      <c r="L147" s="11"/>
      <c r="M147" s="11"/>
      <c r="N147" s="11"/>
      <c r="O147" s="12"/>
      <c r="P147" s="11"/>
      <c r="Q147" s="13"/>
      <c r="R147" s="14"/>
    </row>
    <row r="148" spans="1:18" ht="15" customHeight="1" x14ac:dyDescent="0.3">
      <c r="A148" s="19" t="s">
        <v>56</v>
      </c>
      <c r="B148" s="19" t="s">
        <v>307</v>
      </c>
      <c r="C148" s="20">
        <v>0.12847222222222221</v>
      </c>
      <c r="D148" s="19" t="s">
        <v>58</v>
      </c>
      <c r="E148" s="19" t="s">
        <v>92</v>
      </c>
      <c r="F148" s="19" t="s">
        <v>298</v>
      </c>
      <c r="G148" s="256"/>
      <c r="H148" s="10"/>
      <c r="I148" s="11"/>
      <c r="J148" s="11"/>
      <c r="K148" s="11"/>
      <c r="L148" s="11"/>
      <c r="M148" s="11"/>
      <c r="N148" s="11"/>
      <c r="O148" s="12"/>
      <c r="P148" s="11"/>
      <c r="Q148" s="13"/>
      <c r="R148" s="14"/>
    </row>
    <row r="149" spans="1:18" ht="15" customHeight="1" x14ac:dyDescent="0.3">
      <c r="A149" s="19" t="s">
        <v>56</v>
      </c>
      <c r="B149" s="19" t="s">
        <v>304</v>
      </c>
      <c r="C149" s="20">
        <v>0.82986111111111116</v>
      </c>
      <c r="D149" s="19" t="s">
        <v>62</v>
      </c>
      <c r="E149" s="19" t="s">
        <v>52</v>
      </c>
      <c r="F149" s="19" t="s">
        <v>300</v>
      </c>
      <c r="G149" s="256"/>
      <c r="H149" s="10"/>
      <c r="I149" s="11"/>
      <c r="J149" s="11"/>
      <c r="K149" s="11"/>
      <c r="L149" s="11"/>
      <c r="M149" s="11"/>
      <c r="N149" s="11"/>
      <c r="O149" s="12"/>
      <c r="P149" s="11"/>
      <c r="Q149" s="13"/>
      <c r="R149" s="14"/>
    </row>
    <row r="150" spans="1:18" ht="15" customHeight="1" x14ac:dyDescent="0.3">
      <c r="A150" s="15" t="s">
        <v>56</v>
      </c>
      <c r="B150" s="15" t="s">
        <v>304</v>
      </c>
      <c r="C150" s="16">
        <v>0.82986111111111116</v>
      </c>
      <c r="D150" s="15" t="s">
        <v>58</v>
      </c>
      <c r="E150" s="15" t="s">
        <v>101</v>
      </c>
      <c r="F150" s="15" t="s">
        <v>301</v>
      </c>
      <c r="G150" s="256"/>
      <c r="H150" s="10"/>
      <c r="I150" s="11"/>
      <c r="J150" s="11"/>
      <c r="K150" s="11"/>
      <c r="L150" s="11"/>
      <c r="M150" s="11"/>
      <c r="N150" s="11"/>
      <c r="O150" s="12"/>
      <c r="P150" s="11"/>
      <c r="Q150" s="13"/>
      <c r="R150" s="14"/>
    </row>
    <row r="151" spans="1:18" ht="15" customHeight="1" x14ac:dyDescent="0.3">
      <c r="A151" s="19" t="s">
        <v>56</v>
      </c>
      <c r="B151" s="19" t="s">
        <v>297</v>
      </c>
      <c r="C151" s="20">
        <v>0.88888888888888884</v>
      </c>
      <c r="D151" s="19" t="s">
        <v>58</v>
      </c>
      <c r="E151" s="19" t="s">
        <v>92</v>
      </c>
      <c r="F151" s="19" t="s">
        <v>306</v>
      </c>
      <c r="G151" s="256"/>
      <c r="H151" s="10"/>
      <c r="I151" s="11"/>
      <c r="J151" s="11"/>
      <c r="K151" s="11"/>
      <c r="L151" s="11"/>
      <c r="M151" s="11"/>
      <c r="N151" s="11"/>
      <c r="O151" s="12"/>
      <c r="P151" s="11"/>
      <c r="Q151" s="13"/>
      <c r="R151" s="14"/>
    </row>
    <row r="152" spans="1:18" ht="15" customHeight="1" thickBot="1" x14ac:dyDescent="0.35">
      <c r="A152" s="81" t="s">
        <v>56</v>
      </c>
      <c r="B152" s="81" t="s">
        <v>308</v>
      </c>
      <c r="C152" s="82">
        <v>0.78819444444444453</v>
      </c>
      <c r="D152" s="81" t="s">
        <v>58</v>
      </c>
      <c r="E152" s="81" t="s">
        <v>92</v>
      </c>
      <c r="F152" s="81" t="s">
        <v>306</v>
      </c>
      <c r="G152" s="257"/>
      <c r="H152" s="23"/>
      <c r="I152" s="24"/>
      <c r="J152" s="24"/>
      <c r="K152" s="24"/>
      <c r="L152" s="24"/>
      <c r="M152" s="24"/>
      <c r="N152" s="24"/>
      <c r="O152" s="25"/>
      <c r="P152" s="24"/>
      <c r="Q152" s="26"/>
      <c r="R152" s="27"/>
    </row>
    <row r="153" spans="1:18" ht="17.399999999999999" customHeight="1" thickBot="1" x14ac:dyDescent="0.35">
      <c r="A153" s="284"/>
      <c r="B153" s="285"/>
      <c r="C153" s="285"/>
      <c r="D153" s="285"/>
      <c r="E153" s="285"/>
      <c r="F153" s="285"/>
      <c r="G153" s="285"/>
      <c r="H153" s="285"/>
      <c r="I153" s="285"/>
      <c r="J153" s="285"/>
      <c r="K153" s="285"/>
      <c r="L153" s="285"/>
      <c r="M153" s="285"/>
      <c r="N153" s="285"/>
      <c r="O153" s="285"/>
      <c r="P153" s="285"/>
      <c r="Q153" s="285"/>
      <c r="R153" s="286"/>
    </row>
    <row r="154" spans="1:18" ht="22.05" customHeight="1" thickTop="1" thickBot="1" x14ac:dyDescent="0.35">
      <c r="A154" s="249" t="s">
        <v>6</v>
      </c>
      <c r="B154" s="250"/>
      <c r="C154" s="250"/>
      <c r="D154" s="250"/>
      <c r="E154" s="250"/>
      <c r="F154" s="251"/>
      <c r="G154" s="28">
        <v>45984</v>
      </c>
      <c r="H154" s="258" t="s">
        <v>7</v>
      </c>
      <c r="I154" s="250"/>
      <c r="J154" s="250"/>
      <c r="K154" s="250"/>
      <c r="L154" s="250"/>
      <c r="M154" s="250"/>
      <c r="N154" s="250"/>
      <c r="O154" s="250"/>
      <c r="P154" s="250"/>
      <c r="Q154" s="250"/>
      <c r="R154" s="251"/>
    </row>
    <row r="155" spans="1:18" ht="24" customHeight="1" x14ac:dyDescent="0.3">
      <c r="A155" s="29" t="s">
        <v>8</v>
      </c>
      <c r="B155" s="29" t="s">
        <v>9</v>
      </c>
      <c r="C155" s="30" t="s">
        <v>10</v>
      </c>
      <c r="D155" s="29" t="s">
        <v>11</v>
      </c>
      <c r="E155" s="29" t="s">
        <v>12</v>
      </c>
      <c r="F155" s="31" t="s">
        <v>13</v>
      </c>
      <c r="G155" s="32" t="s">
        <v>14</v>
      </c>
      <c r="H155" s="29" t="s">
        <v>15</v>
      </c>
      <c r="I155" s="33" t="s">
        <v>16</v>
      </c>
      <c r="J155" s="34" t="s">
        <v>17</v>
      </c>
      <c r="K155" s="35" t="s">
        <v>18</v>
      </c>
      <c r="L155" s="34" t="s">
        <v>19</v>
      </c>
      <c r="M155" s="34" t="s">
        <v>20</v>
      </c>
      <c r="N155" s="34" t="s">
        <v>21</v>
      </c>
      <c r="O155" s="29" t="s">
        <v>22</v>
      </c>
      <c r="P155" s="30" t="s">
        <v>23</v>
      </c>
      <c r="Q155" s="34" t="s">
        <v>24</v>
      </c>
      <c r="R155" s="29" t="s">
        <v>25</v>
      </c>
    </row>
    <row r="156" spans="1:18" ht="15" customHeight="1" x14ac:dyDescent="0.3">
      <c r="A156" s="8" t="s">
        <v>36</v>
      </c>
      <c r="B156" s="8" t="s">
        <v>215</v>
      </c>
      <c r="C156" s="9">
        <v>0.78819444444444453</v>
      </c>
      <c r="D156" s="8" t="s">
        <v>340</v>
      </c>
      <c r="E156" s="8" t="s">
        <v>341</v>
      </c>
      <c r="F156" s="8" t="s">
        <v>342</v>
      </c>
      <c r="G156" s="255"/>
      <c r="H156" s="10"/>
      <c r="I156" s="11"/>
      <c r="J156" s="11"/>
      <c r="K156" s="11"/>
      <c r="L156" s="11"/>
      <c r="M156" s="11"/>
      <c r="N156" s="11"/>
      <c r="O156" s="12"/>
      <c r="P156" s="11"/>
      <c r="Q156" s="13"/>
      <c r="R156" s="14"/>
    </row>
    <row r="157" spans="1:18" ht="15" customHeight="1" x14ac:dyDescent="0.3">
      <c r="A157" s="19" t="s">
        <v>36</v>
      </c>
      <c r="B157" s="19" t="s">
        <v>204</v>
      </c>
      <c r="C157" s="20">
        <v>0.88888888888888884</v>
      </c>
      <c r="D157" s="19" t="s">
        <v>340</v>
      </c>
      <c r="E157" s="19" t="s">
        <v>267</v>
      </c>
      <c r="F157" s="19" t="s">
        <v>342</v>
      </c>
      <c r="G157" s="256"/>
      <c r="H157" s="10"/>
      <c r="I157" s="11"/>
      <c r="J157" s="11"/>
      <c r="K157" s="11"/>
      <c r="L157" s="11"/>
      <c r="M157" s="11"/>
      <c r="N157" s="11"/>
      <c r="O157" s="12"/>
      <c r="P157" s="11"/>
      <c r="Q157" s="13"/>
      <c r="R157" s="14"/>
    </row>
    <row r="158" spans="1:18" ht="15" customHeight="1" x14ac:dyDescent="0.3">
      <c r="A158" s="19" t="s">
        <v>36</v>
      </c>
      <c r="B158" s="19" t="s">
        <v>208</v>
      </c>
      <c r="C158" s="20">
        <v>0.30208333333333331</v>
      </c>
      <c r="D158" s="19" t="s">
        <v>340</v>
      </c>
      <c r="E158" s="19" t="s">
        <v>69</v>
      </c>
      <c r="F158" s="19" t="s">
        <v>343</v>
      </c>
      <c r="G158" s="256"/>
      <c r="H158" s="10"/>
      <c r="I158" s="11"/>
      <c r="J158" s="11"/>
      <c r="K158" s="11"/>
      <c r="L158" s="11"/>
      <c r="M158" s="11"/>
      <c r="N158" s="11"/>
      <c r="O158" s="12"/>
      <c r="P158" s="11"/>
      <c r="Q158" s="13"/>
      <c r="R158" s="14"/>
    </row>
    <row r="159" spans="1:18" ht="15" customHeight="1" x14ac:dyDescent="0.3">
      <c r="A159" s="19" t="s">
        <v>36</v>
      </c>
      <c r="B159" s="19" t="s">
        <v>212</v>
      </c>
      <c r="C159" s="20">
        <v>0.12847222222222221</v>
      </c>
      <c r="D159" s="19" t="s">
        <v>340</v>
      </c>
      <c r="E159" s="19" t="s">
        <v>209</v>
      </c>
      <c r="F159" s="19" t="s">
        <v>343</v>
      </c>
      <c r="G159" s="256"/>
      <c r="H159" s="10"/>
      <c r="I159" s="11"/>
      <c r="J159" s="11"/>
      <c r="K159" s="11"/>
      <c r="L159" s="11"/>
      <c r="M159" s="11"/>
      <c r="N159" s="11"/>
      <c r="O159" s="12"/>
      <c r="P159" s="11"/>
      <c r="Q159" s="13"/>
      <c r="R159" s="14"/>
    </row>
    <row r="160" spans="1:18" ht="15" customHeight="1" x14ac:dyDescent="0.3">
      <c r="A160" s="17" t="s">
        <v>26</v>
      </c>
      <c r="B160" s="17" t="s">
        <v>224</v>
      </c>
      <c r="C160" s="18">
        <v>0.90277777777777779</v>
      </c>
      <c r="D160" s="17" t="s">
        <v>344</v>
      </c>
      <c r="E160" s="17" t="s">
        <v>29</v>
      </c>
      <c r="F160" s="17" t="s">
        <v>343</v>
      </c>
      <c r="G160" s="256"/>
      <c r="H160" s="10"/>
      <c r="I160" s="11"/>
      <c r="J160" s="11"/>
      <c r="K160" s="11"/>
      <c r="L160" s="11"/>
      <c r="M160" s="11"/>
      <c r="N160" s="11"/>
      <c r="O160" s="12"/>
      <c r="P160" s="11"/>
      <c r="Q160" s="13"/>
      <c r="R160" s="14"/>
    </row>
    <row r="161" spans="1:18" ht="15" customHeight="1" x14ac:dyDescent="0.3">
      <c r="A161" s="19" t="s">
        <v>26</v>
      </c>
      <c r="B161" s="19" t="s">
        <v>226</v>
      </c>
      <c r="C161" s="20">
        <v>0.64583333333333337</v>
      </c>
      <c r="D161" s="19" t="s">
        <v>344</v>
      </c>
      <c r="E161" s="19" t="s">
        <v>87</v>
      </c>
      <c r="F161" s="19" t="s">
        <v>343</v>
      </c>
      <c r="G161" s="256"/>
      <c r="H161" s="10"/>
      <c r="I161" s="11"/>
      <c r="J161" s="11"/>
      <c r="K161" s="11"/>
      <c r="L161" s="11"/>
      <c r="M161" s="11"/>
      <c r="N161" s="11"/>
      <c r="O161" s="12"/>
      <c r="P161" s="11"/>
      <c r="Q161" s="13"/>
      <c r="R161" s="14"/>
    </row>
    <row r="162" spans="1:18" ht="15" customHeight="1" x14ac:dyDescent="0.3">
      <c r="A162" s="19" t="s">
        <v>26</v>
      </c>
      <c r="B162" s="19" t="s">
        <v>227</v>
      </c>
      <c r="C162" s="20">
        <v>0.85416666666666663</v>
      </c>
      <c r="D162" s="19" t="s">
        <v>344</v>
      </c>
      <c r="E162" s="19" t="s">
        <v>225</v>
      </c>
      <c r="F162" s="19" t="s">
        <v>343</v>
      </c>
      <c r="G162" s="256"/>
      <c r="H162" s="10"/>
      <c r="I162" s="11"/>
      <c r="J162" s="11"/>
      <c r="K162" s="11"/>
      <c r="L162" s="11"/>
      <c r="M162" s="11"/>
      <c r="N162" s="11"/>
      <c r="O162" s="12"/>
      <c r="P162" s="11"/>
      <c r="Q162" s="13"/>
      <c r="R162" s="14"/>
    </row>
    <row r="163" spans="1:18" ht="15" customHeight="1" x14ac:dyDescent="0.3">
      <c r="A163" s="19" t="s">
        <v>26</v>
      </c>
      <c r="B163" s="19" t="s">
        <v>345</v>
      </c>
      <c r="C163" s="20">
        <v>0.30208333333333331</v>
      </c>
      <c r="D163" s="19" t="s">
        <v>344</v>
      </c>
      <c r="E163" s="19" t="s">
        <v>87</v>
      </c>
      <c r="F163" s="19" t="s">
        <v>343</v>
      </c>
      <c r="G163" s="256"/>
      <c r="H163" s="10"/>
      <c r="I163" s="11"/>
      <c r="J163" s="11"/>
      <c r="K163" s="11"/>
      <c r="L163" s="11"/>
      <c r="M163" s="11"/>
      <c r="N163" s="11"/>
      <c r="O163" s="12"/>
      <c r="P163" s="11"/>
      <c r="Q163" s="13"/>
      <c r="R163" s="14"/>
    </row>
    <row r="164" spans="1:18" ht="15" customHeight="1" x14ac:dyDescent="0.3">
      <c r="A164" s="19" t="s">
        <v>26</v>
      </c>
      <c r="B164" s="19" t="s">
        <v>232</v>
      </c>
      <c r="C164" s="20">
        <v>0.79861111111111116</v>
      </c>
      <c r="D164" s="19" t="s">
        <v>344</v>
      </c>
      <c r="E164" s="19" t="s">
        <v>225</v>
      </c>
      <c r="F164" s="19" t="s">
        <v>343</v>
      </c>
      <c r="G164" s="256"/>
      <c r="H164" s="10"/>
      <c r="I164" s="11"/>
      <c r="J164" s="11"/>
      <c r="K164" s="11"/>
      <c r="L164" s="11"/>
      <c r="M164" s="11"/>
      <c r="N164" s="11"/>
      <c r="O164" s="12"/>
      <c r="P164" s="11"/>
      <c r="Q164" s="13"/>
      <c r="R164" s="14"/>
    </row>
    <row r="165" spans="1:18" ht="15" customHeight="1" x14ac:dyDescent="0.3">
      <c r="A165" s="19" t="s">
        <v>26</v>
      </c>
      <c r="B165" s="19" t="s">
        <v>218</v>
      </c>
      <c r="C165" s="20">
        <v>0.25694444444444448</v>
      </c>
      <c r="D165" s="19" t="s">
        <v>344</v>
      </c>
      <c r="E165" s="19" t="s">
        <v>225</v>
      </c>
      <c r="F165" s="19" t="s">
        <v>316</v>
      </c>
      <c r="G165" s="256"/>
      <c r="H165" s="10"/>
      <c r="I165" s="11"/>
      <c r="J165" s="11"/>
      <c r="K165" s="11"/>
      <c r="L165" s="11"/>
      <c r="M165" s="11"/>
      <c r="N165" s="11"/>
      <c r="O165" s="12"/>
      <c r="P165" s="11"/>
      <c r="Q165" s="13"/>
      <c r="R165" s="14"/>
    </row>
    <row r="166" spans="1:18" ht="15" customHeight="1" x14ac:dyDescent="0.3">
      <c r="A166" s="19" t="s">
        <v>26</v>
      </c>
      <c r="B166" s="19" t="s">
        <v>233</v>
      </c>
      <c r="C166" s="20">
        <v>0.51736111111111105</v>
      </c>
      <c r="D166" s="19" t="s">
        <v>344</v>
      </c>
      <c r="E166" s="19" t="s">
        <v>225</v>
      </c>
      <c r="F166" s="19" t="s">
        <v>316</v>
      </c>
      <c r="G166" s="256"/>
      <c r="H166" s="10"/>
      <c r="I166" s="11"/>
      <c r="J166" s="11"/>
      <c r="K166" s="11"/>
      <c r="L166" s="11"/>
      <c r="M166" s="11"/>
      <c r="N166" s="11"/>
      <c r="O166" s="12"/>
      <c r="P166" s="11"/>
      <c r="Q166" s="13"/>
      <c r="R166" s="14"/>
    </row>
    <row r="167" spans="1:18" ht="15" customHeight="1" x14ac:dyDescent="0.3">
      <c r="A167" s="19" t="s">
        <v>26</v>
      </c>
      <c r="B167" s="19" t="s">
        <v>230</v>
      </c>
      <c r="C167" s="20">
        <v>0.39583333333333331</v>
      </c>
      <c r="D167" s="19" t="s">
        <v>344</v>
      </c>
      <c r="E167" s="19" t="s">
        <v>225</v>
      </c>
      <c r="F167" s="19" t="s">
        <v>316</v>
      </c>
      <c r="G167" s="256"/>
      <c r="H167" s="10"/>
      <c r="I167" s="11"/>
      <c r="J167" s="11"/>
      <c r="K167" s="11"/>
      <c r="L167" s="11"/>
      <c r="M167" s="11"/>
      <c r="N167" s="11"/>
      <c r="O167" s="12"/>
      <c r="P167" s="11"/>
      <c r="Q167" s="13"/>
      <c r="R167" s="14"/>
    </row>
    <row r="168" spans="1:18" ht="15" customHeight="1" x14ac:dyDescent="0.3">
      <c r="A168" s="17" t="s">
        <v>243</v>
      </c>
      <c r="B168" s="17" t="s">
        <v>246</v>
      </c>
      <c r="C168" s="18">
        <v>0.66666666666666663</v>
      </c>
      <c r="D168" s="17" t="s">
        <v>245</v>
      </c>
      <c r="E168" s="17" t="s">
        <v>100</v>
      </c>
      <c r="F168" s="17" t="s">
        <v>346</v>
      </c>
      <c r="G168" s="256"/>
      <c r="H168" s="10"/>
      <c r="I168" s="11"/>
      <c r="J168" s="11"/>
      <c r="K168" s="11"/>
      <c r="L168" s="11"/>
      <c r="M168" s="11"/>
      <c r="N168" s="11"/>
      <c r="O168" s="12"/>
      <c r="P168" s="11"/>
      <c r="Q168" s="13"/>
      <c r="R168" s="14"/>
    </row>
    <row r="169" spans="1:18" ht="15" customHeight="1" x14ac:dyDescent="0.3">
      <c r="A169" s="19" t="s">
        <v>243</v>
      </c>
      <c r="B169" s="19" t="s">
        <v>244</v>
      </c>
      <c r="C169" s="20">
        <v>0.38194444444444442</v>
      </c>
      <c r="D169" s="19" t="s">
        <v>245</v>
      </c>
      <c r="E169" s="19" t="s">
        <v>92</v>
      </c>
      <c r="F169" s="19" t="s">
        <v>346</v>
      </c>
      <c r="G169" s="256"/>
      <c r="H169" s="10"/>
      <c r="I169" s="11"/>
      <c r="J169" s="11"/>
      <c r="K169" s="11"/>
      <c r="L169" s="11"/>
      <c r="M169" s="11"/>
      <c r="N169" s="11"/>
      <c r="O169" s="12"/>
      <c r="P169" s="11"/>
      <c r="Q169" s="13"/>
      <c r="R169" s="14"/>
    </row>
    <row r="170" spans="1:18" ht="15" customHeight="1" x14ac:dyDescent="0.3">
      <c r="A170" s="17" t="s">
        <v>237</v>
      </c>
      <c r="B170" s="17" t="s">
        <v>241</v>
      </c>
      <c r="C170" s="18">
        <v>0.3888888888888889</v>
      </c>
      <c r="D170" s="17" t="s">
        <v>239</v>
      </c>
      <c r="E170" s="17" t="s">
        <v>29</v>
      </c>
      <c r="F170" s="17" t="s">
        <v>347</v>
      </c>
      <c r="G170" s="256"/>
      <c r="H170" s="10"/>
      <c r="I170" s="11"/>
      <c r="J170" s="11"/>
      <c r="K170" s="11"/>
      <c r="L170" s="11"/>
      <c r="M170" s="11"/>
      <c r="N170" s="11"/>
      <c r="O170" s="12"/>
      <c r="P170" s="11"/>
      <c r="Q170" s="13"/>
      <c r="R170" s="14"/>
    </row>
    <row r="171" spans="1:18" ht="15" customHeight="1" x14ac:dyDescent="0.3">
      <c r="A171" s="17" t="s">
        <v>323</v>
      </c>
      <c r="B171" s="17" t="s">
        <v>348</v>
      </c>
      <c r="C171" s="18">
        <v>0.34722222222222232</v>
      </c>
      <c r="D171" s="17" t="s">
        <v>245</v>
      </c>
      <c r="E171" s="17" t="s">
        <v>49</v>
      </c>
      <c r="F171" s="17" t="s">
        <v>349</v>
      </c>
      <c r="G171" s="256"/>
      <c r="H171" s="10"/>
      <c r="I171" s="11"/>
      <c r="J171" s="11"/>
      <c r="K171" s="11"/>
      <c r="L171" s="11"/>
      <c r="M171" s="11"/>
      <c r="N171" s="11"/>
      <c r="O171" s="12"/>
      <c r="P171" s="11"/>
      <c r="Q171" s="13"/>
      <c r="R171" s="14"/>
    </row>
    <row r="172" spans="1:18" ht="15" customHeight="1" x14ac:dyDescent="0.3">
      <c r="A172" s="19" t="s">
        <v>323</v>
      </c>
      <c r="B172" s="19" t="s">
        <v>324</v>
      </c>
      <c r="C172" s="20">
        <v>0.27430555555555552</v>
      </c>
      <c r="D172" s="19" t="s">
        <v>245</v>
      </c>
      <c r="E172" s="19" t="s">
        <v>52</v>
      </c>
      <c r="F172" s="19" t="s">
        <v>350</v>
      </c>
      <c r="G172" s="256"/>
      <c r="H172" s="10"/>
      <c r="I172" s="11"/>
      <c r="J172" s="11"/>
      <c r="K172" s="11"/>
      <c r="L172" s="11"/>
      <c r="M172" s="11"/>
      <c r="N172" s="11"/>
      <c r="O172" s="12"/>
      <c r="P172" s="11"/>
      <c r="Q172" s="13"/>
      <c r="R172" s="14"/>
    </row>
    <row r="173" spans="1:18" ht="15" customHeight="1" x14ac:dyDescent="0.3">
      <c r="A173" s="86" t="s">
        <v>93</v>
      </c>
      <c r="B173" s="86" t="s">
        <v>248</v>
      </c>
      <c r="C173" s="87">
        <v>8.3333333333333329E-2</v>
      </c>
      <c r="D173" s="86" t="s">
        <v>249</v>
      </c>
      <c r="E173" s="86" t="s">
        <v>341</v>
      </c>
      <c r="F173" s="86" t="s">
        <v>351</v>
      </c>
      <c r="G173" s="256"/>
      <c r="H173" s="89" t="s">
        <v>251</v>
      </c>
      <c r="I173" s="164">
        <v>0.61450000000000005</v>
      </c>
      <c r="J173" s="91">
        <v>110</v>
      </c>
      <c r="K173" s="92" t="s">
        <v>180</v>
      </c>
      <c r="L173" s="91">
        <v>49</v>
      </c>
      <c r="M173" s="91">
        <v>0</v>
      </c>
      <c r="N173" s="91">
        <v>6</v>
      </c>
      <c r="O173" s="93" t="s">
        <v>352</v>
      </c>
      <c r="P173" s="94">
        <v>8.3333333333333329E-2</v>
      </c>
      <c r="Q173" s="91">
        <v>179</v>
      </c>
      <c r="R173" s="95" t="s">
        <v>353</v>
      </c>
    </row>
    <row r="174" spans="1:18" ht="15" customHeight="1" x14ac:dyDescent="0.3">
      <c r="A174" s="137" t="s">
        <v>93</v>
      </c>
      <c r="B174" s="137" t="s">
        <v>266</v>
      </c>
      <c r="C174" s="138">
        <v>0.31944444444444448</v>
      </c>
      <c r="D174" s="137" t="s">
        <v>249</v>
      </c>
      <c r="E174" s="137" t="s">
        <v>231</v>
      </c>
      <c r="F174" s="137" t="s">
        <v>351</v>
      </c>
      <c r="G174" s="256"/>
      <c r="H174" s="139" t="s">
        <v>269</v>
      </c>
      <c r="I174" s="140">
        <v>0.54190000000000005</v>
      </c>
      <c r="J174" s="141">
        <v>97</v>
      </c>
      <c r="K174" s="142" t="s">
        <v>274</v>
      </c>
      <c r="L174" s="141">
        <v>34</v>
      </c>
      <c r="M174" s="141">
        <v>0</v>
      </c>
      <c r="N174" s="141">
        <v>0</v>
      </c>
      <c r="O174" s="143" t="s">
        <v>354</v>
      </c>
      <c r="P174" s="144">
        <v>0.31944444444444448</v>
      </c>
      <c r="Q174" s="141">
        <v>179</v>
      </c>
      <c r="R174" s="145" t="s">
        <v>355</v>
      </c>
    </row>
    <row r="175" spans="1:18" ht="15" customHeight="1" x14ac:dyDescent="0.3">
      <c r="A175" s="125" t="s">
        <v>93</v>
      </c>
      <c r="B175" s="125" t="s">
        <v>356</v>
      </c>
      <c r="C175" s="126">
        <v>0.33333333333333331</v>
      </c>
      <c r="D175" s="125" t="s">
        <v>249</v>
      </c>
      <c r="E175" s="125" t="s">
        <v>52</v>
      </c>
      <c r="F175" s="125" t="s">
        <v>250</v>
      </c>
      <c r="G175" s="256"/>
      <c r="H175" s="127" t="s">
        <v>357</v>
      </c>
      <c r="I175" s="165">
        <v>0.88690000000000002</v>
      </c>
      <c r="J175" s="129">
        <v>149</v>
      </c>
      <c r="K175" s="130" t="s">
        <v>180</v>
      </c>
      <c r="L175" s="129">
        <v>32</v>
      </c>
      <c r="M175" s="129">
        <v>0</v>
      </c>
      <c r="N175" s="129">
        <v>8</v>
      </c>
      <c r="O175" s="131" t="s">
        <v>358</v>
      </c>
      <c r="P175" s="132">
        <v>0.33333333333333331</v>
      </c>
      <c r="Q175" s="129">
        <v>168</v>
      </c>
      <c r="R175" s="133" t="s">
        <v>359</v>
      </c>
    </row>
    <row r="176" spans="1:18" ht="15" customHeight="1" x14ac:dyDescent="0.3">
      <c r="A176" s="161" t="s">
        <v>93</v>
      </c>
      <c r="B176" s="161" t="s">
        <v>360</v>
      </c>
      <c r="C176" s="162">
        <v>0.51041666666666663</v>
      </c>
      <c r="D176" s="161" t="s">
        <v>249</v>
      </c>
      <c r="E176" s="161" t="s">
        <v>231</v>
      </c>
      <c r="F176" s="161" t="s">
        <v>250</v>
      </c>
      <c r="G176" s="256"/>
      <c r="H176" s="152" t="s">
        <v>273</v>
      </c>
      <c r="I176" s="153">
        <v>0.92179999999999995</v>
      </c>
      <c r="J176" s="154">
        <v>165</v>
      </c>
      <c r="K176" s="155" t="s">
        <v>180</v>
      </c>
      <c r="L176" s="154">
        <v>8</v>
      </c>
      <c r="M176" s="154">
        <v>0</v>
      </c>
      <c r="N176" s="154">
        <v>3</v>
      </c>
      <c r="O176" s="156" t="s">
        <v>361</v>
      </c>
      <c r="P176" s="157">
        <v>0.51041666666666663</v>
      </c>
      <c r="Q176" s="154">
        <v>179</v>
      </c>
      <c r="R176" s="158" t="s">
        <v>362</v>
      </c>
    </row>
    <row r="177" spans="1:18" ht="15" customHeight="1" x14ac:dyDescent="0.3">
      <c r="A177" s="147" t="s">
        <v>93</v>
      </c>
      <c r="B177" s="147" t="s">
        <v>260</v>
      </c>
      <c r="C177" s="148">
        <v>0.63194444444444442</v>
      </c>
      <c r="D177" s="147" t="s">
        <v>95</v>
      </c>
      <c r="E177" s="149"/>
      <c r="F177" s="147" t="s">
        <v>96</v>
      </c>
      <c r="G177" s="256"/>
      <c r="H177" s="109" t="s">
        <v>260</v>
      </c>
      <c r="I177" s="110">
        <v>1.0112000000000001</v>
      </c>
      <c r="J177" s="111">
        <v>181</v>
      </c>
      <c r="K177" s="112" t="s">
        <v>180</v>
      </c>
      <c r="L177" s="111">
        <v>12</v>
      </c>
      <c r="M177" s="111">
        <v>0</v>
      </c>
      <c r="N177" s="111">
        <v>3</v>
      </c>
      <c r="O177" s="113" t="s">
        <v>98</v>
      </c>
      <c r="P177" s="114">
        <v>0.63194444444444442</v>
      </c>
      <c r="Q177" s="111">
        <v>179</v>
      </c>
      <c r="R177" s="115" t="s">
        <v>363</v>
      </c>
    </row>
    <row r="178" spans="1:18" ht="15" customHeight="1" x14ac:dyDescent="0.3">
      <c r="A178" s="17" t="s">
        <v>46</v>
      </c>
      <c r="B178" s="17" t="s">
        <v>276</v>
      </c>
      <c r="C178" s="18">
        <v>0.22222222222222221</v>
      </c>
      <c r="D178" s="17" t="s">
        <v>48</v>
      </c>
      <c r="E178" s="17" t="s">
        <v>49</v>
      </c>
      <c r="F178" s="17" t="s">
        <v>279</v>
      </c>
      <c r="G178" s="256"/>
      <c r="H178" s="10"/>
      <c r="I178" s="11"/>
      <c r="J178" s="11"/>
      <c r="K178" s="11"/>
      <c r="L178" s="11"/>
      <c r="M178" s="11"/>
      <c r="N178" s="11"/>
      <c r="O178" s="12"/>
      <c r="P178" s="11"/>
      <c r="Q178" s="13"/>
      <c r="R178" s="14"/>
    </row>
    <row r="179" spans="1:18" ht="15" customHeight="1" x14ac:dyDescent="0.3">
      <c r="A179" s="19" t="s">
        <v>46</v>
      </c>
      <c r="B179" s="19" t="s">
        <v>280</v>
      </c>
      <c r="C179" s="20">
        <v>0.97569444444444453</v>
      </c>
      <c r="D179" s="19" t="s">
        <v>48</v>
      </c>
      <c r="E179" s="19" t="s">
        <v>52</v>
      </c>
      <c r="F179" s="19" t="s">
        <v>285</v>
      </c>
      <c r="G179" s="256"/>
      <c r="H179" s="10"/>
      <c r="I179" s="11"/>
      <c r="J179" s="11"/>
      <c r="K179" s="11"/>
      <c r="L179" s="11"/>
      <c r="M179" s="11"/>
      <c r="N179" s="11"/>
      <c r="O179" s="12"/>
      <c r="P179" s="11"/>
      <c r="Q179" s="13"/>
      <c r="R179" s="14"/>
    </row>
    <row r="180" spans="1:18" ht="15" customHeight="1" x14ac:dyDescent="0.3">
      <c r="A180" s="19" t="s">
        <v>46</v>
      </c>
      <c r="B180" s="19" t="s">
        <v>284</v>
      </c>
      <c r="C180" s="20">
        <v>0.4861111111111111</v>
      </c>
      <c r="D180" s="19" t="s">
        <v>48</v>
      </c>
      <c r="E180" s="19" t="s">
        <v>52</v>
      </c>
      <c r="F180" s="19" t="s">
        <v>294</v>
      </c>
      <c r="G180" s="256"/>
      <c r="H180" s="10"/>
      <c r="I180" s="11"/>
      <c r="J180" s="11"/>
      <c r="K180" s="11"/>
      <c r="L180" s="11"/>
      <c r="M180" s="11"/>
      <c r="N180" s="11"/>
      <c r="O180" s="12"/>
      <c r="P180" s="11"/>
      <c r="Q180" s="13"/>
      <c r="R180" s="14"/>
    </row>
    <row r="181" spans="1:18" ht="15" customHeight="1" x14ac:dyDescent="0.3">
      <c r="A181" s="19" t="s">
        <v>46</v>
      </c>
      <c r="B181" s="19" t="s">
        <v>286</v>
      </c>
      <c r="C181" s="20">
        <v>0.2638888888888889</v>
      </c>
      <c r="D181" s="19" t="s">
        <v>48</v>
      </c>
      <c r="E181" s="19" t="s">
        <v>52</v>
      </c>
      <c r="F181" s="19" t="s">
        <v>294</v>
      </c>
      <c r="G181" s="256"/>
      <c r="H181" s="10"/>
      <c r="I181" s="11"/>
      <c r="J181" s="11"/>
      <c r="K181" s="11"/>
      <c r="L181" s="11"/>
      <c r="M181" s="11"/>
      <c r="N181" s="11"/>
      <c r="O181" s="12"/>
      <c r="P181" s="11"/>
      <c r="Q181" s="13"/>
      <c r="R181" s="14"/>
    </row>
    <row r="182" spans="1:18" ht="15" customHeight="1" x14ac:dyDescent="0.3">
      <c r="A182" s="19" t="s">
        <v>46</v>
      </c>
      <c r="B182" s="19" t="s">
        <v>278</v>
      </c>
      <c r="C182" s="20">
        <v>0.14583333333333329</v>
      </c>
      <c r="D182" s="19" t="s">
        <v>48</v>
      </c>
      <c r="E182" s="19" t="s">
        <v>87</v>
      </c>
      <c r="F182" s="19" t="s">
        <v>338</v>
      </c>
      <c r="G182" s="256"/>
      <c r="H182" s="10"/>
      <c r="I182" s="11"/>
      <c r="J182" s="11"/>
      <c r="K182" s="11"/>
      <c r="L182" s="11"/>
      <c r="M182" s="11"/>
      <c r="N182" s="11"/>
      <c r="O182" s="12"/>
      <c r="P182" s="11"/>
      <c r="Q182" s="13"/>
      <c r="R182" s="14"/>
    </row>
    <row r="183" spans="1:18" ht="15" customHeight="1" x14ac:dyDescent="0.3">
      <c r="A183" s="19" t="s">
        <v>46</v>
      </c>
      <c r="B183" s="19" t="s">
        <v>281</v>
      </c>
      <c r="C183" s="20">
        <v>0.77430555555555547</v>
      </c>
      <c r="D183" s="19" t="s">
        <v>48</v>
      </c>
      <c r="E183" s="19" t="s">
        <v>52</v>
      </c>
      <c r="F183" s="19" t="s">
        <v>338</v>
      </c>
      <c r="G183" s="256"/>
      <c r="H183" s="10"/>
      <c r="I183" s="11"/>
      <c r="J183" s="11"/>
      <c r="K183" s="11"/>
      <c r="L183" s="11"/>
      <c r="M183" s="11"/>
      <c r="N183" s="11"/>
      <c r="O183" s="12"/>
      <c r="P183" s="11"/>
      <c r="Q183" s="13"/>
      <c r="R183" s="14"/>
    </row>
    <row r="184" spans="1:18" ht="15" customHeight="1" x14ac:dyDescent="0.3">
      <c r="A184" s="17" t="s">
        <v>56</v>
      </c>
      <c r="B184" s="17" t="s">
        <v>290</v>
      </c>
      <c r="C184" s="18">
        <v>6.9444444444444441E-3</v>
      </c>
      <c r="D184" s="17" t="s">
        <v>62</v>
      </c>
      <c r="E184" s="17" t="s">
        <v>49</v>
      </c>
      <c r="F184" s="17" t="s">
        <v>364</v>
      </c>
      <c r="G184" s="256"/>
      <c r="H184" s="10"/>
      <c r="I184" s="11"/>
      <c r="J184" s="11"/>
      <c r="K184" s="11"/>
      <c r="L184" s="11"/>
      <c r="M184" s="11"/>
      <c r="N184" s="11"/>
      <c r="O184" s="12"/>
      <c r="P184" s="11"/>
      <c r="Q184" s="13"/>
      <c r="R184" s="14"/>
    </row>
    <row r="185" spans="1:18" ht="15" customHeight="1" x14ac:dyDescent="0.3">
      <c r="A185" s="15" t="s">
        <v>56</v>
      </c>
      <c r="B185" s="15" t="s">
        <v>290</v>
      </c>
      <c r="C185" s="16">
        <v>6.9444444444444441E-3</v>
      </c>
      <c r="D185" s="15" t="s">
        <v>58</v>
      </c>
      <c r="E185" s="15" t="s">
        <v>101</v>
      </c>
      <c r="F185" s="15" t="s">
        <v>365</v>
      </c>
      <c r="G185" s="256"/>
      <c r="H185" s="10"/>
      <c r="I185" s="11"/>
      <c r="J185" s="11"/>
      <c r="K185" s="11"/>
      <c r="L185" s="11"/>
      <c r="M185" s="11"/>
      <c r="N185" s="11"/>
      <c r="O185" s="12"/>
      <c r="P185" s="11"/>
      <c r="Q185" s="13"/>
      <c r="R185" s="14"/>
    </row>
    <row r="186" spans="1:18" ht="15" customHeight="1" x14ac:dyDescent="0.3">
      <c r="A186" s="19" t="s">
        <v>56</v>
      </c>
      <c r="B186" s="19" t="s">
        <v>287</v>
      </c>
      <c r="C186" s="20">
        <v>0.23958333333333329</v>
      </c>
      <c r="D186" s="19" t="s">
        <v>62</v>
      </c>
      <c r="E186" s="19" t="s">
        <v>267</v>
      </c>
      <c r="F186" s="19" t="s">
        <v>364</v>
      </c>
      <c r="G186" s="256"/>
      <c r="H186" s="10"/>
      <c r="I186" s="11"/>
      <c r="J186" s="11"/>
      <c r="K186" s="11"/>
      <c r="L186" s="11"/>
      <c r="M186" s="11"/>
      <c r="N186" s="11"/>
      <c r="O186" s="12"/>
      <c r="P186" s="11"/>
      <c r="Q186" s="13"/>
      <c r="R186" s="14"/>
    </row>
    <row r="187" spans="1:18" ht="15" customHeight="1" x14ac:dyDescent="0.3">
      <c r="A187" s="15" t="s">
        <v>56</v>
      </c>
      <c r="B187" s="15" t="s">
        <v>287</v>
      </c>
      <c r="C187" s="16">
        <v>0.23958333333333329</v>
      </c>
      <c r="D187" s="15" t="s">
        <v>58</v>
      </c>
      <c r="E187" s="15" t="s">
        <v>221</v>
      </c>
      <c r="F187" s="15" t="s">
        <v>365</v>
      </c>
      <c r="G187" s="256"/>
      <c r="H187" s="10"/>
      <c r="I187" s="11"/>
      <c r="J187" s="11"/>
      <c r="K187" s="11"/>
      <c r="L187" s="11"/>
      <c r="M187" s="11"/>
      <c r="N187" s="11"/>
      <c r="O187" s="12"/>
      <c r="P187" s="11"/>
      <c r="Q187" s="13"/>
      <c r="R187" s="14"/>
    </row>
    <row r="188" spans="1:18" ht="15" customHeight="1" x14ac:dyDescent="0.3">
      <c r="A188" s="19" t="s">
        <v>56</v>
      </c>
      <c r="B188" s="19" t="s">
        <v>293</v>
      </c>
      <c r="C188" s="20">
        <v>0.1423611111111111</v>
      </c>
      <c r="D188" s="19" t="s">
        <v>62</v>
      </c>
      <c r="E188" s="19" t="s">
        <v>52</v>
      </c>
      <c r="F188" s="19" t="s">
        <v>364</v>
      </c>
      <c r="G188" s="256"/>
      <c r="H188" s="10"/>
      <c r="I188" s="11"/>
      <c r="J188" s="11"/>
      <c r="K188" s="11"/>
      <c r="L188" s="11"/>
      <c r="M188" s="11"/>
      <c r="N188" s="11"/>
      <c r="O188" s="12"/>
      <c r="P188" s="11"/>
      <c r="Q188" s="13"/>
      <c r="R188" s="14"/>
    </row>
    <row r="189" spans="1:18" ht="15" customHeight="1" x14ac:dyDescent="0.3">
      <c r="A189" s="15" t="s">
        <v>56</v>
      </c>
      <c r="B189" s="15" t="s">
        <v>293</v>
      </c>
      <c r="C189" s="16">
        <v>0.1423611111111111</v>
      </c>
      <c r="D189" s="15" t="s">
        <v>58</v>
      </c>
      <c r="E189" s="15" t="s">
        <v>101</v>
      </c>
      <c r="F189" s="15" t="s">
        <v>365</v>
      </c>
      <c r="G189" s="256"/>
      <c r="H189" s="10"/>
      <c r="I189" s="11"/>
      <c r="J189" s="11"/>
      <c r="K189" s="11"/>
      <c r="L189" s="11"/>
      <c r="M189" s="11"/>
      <c r="N189" s="11"/>
      <c r="O189" s="12"/>
      <c r="P189" s="11"/>
      <c r="Q189" s="13"/>
      <c r="R189" s="14"/>
    </row>
    <row r="190" spans="1:18" ht="15" customHeight="1" x14ac:dyDescent="0.3">
      <c r="A190" s="19" t="s">
        <v>56</v>
      </c>
      <c r="B190" s="19" t="s">
        <v>296</v>
      </c>
      <c r="C190" s="20">
        <v>0.93055555555555547</v>
      </c>
      <c r="D190" s="19" t="s">
        <v>62</v>
      </c>
      <c r="E190" s="19" t="s">
        <v>228</v>
      </c>
      <c r="F190" s="19" t="s">
        <v>364</v>
      </c>
      <c r="G190" s="256"/>
      <c r="H190" s="10"/>
      <c r="I190" s="11"/>
      <c r="J190" s="11"/>
      <c r="K190" s="11"/>
      <c r="L190" s="11"/>
      <c r="M190" s="11"/>
      <c r="N190" s="11"/>
      <c r="O190" s="12"/>
      <c r="P190" s="11"/>
      <c r="Q190" s="13"/>
      <c r="R190" s="14"/>
    </row>
    <row r="191" spans="1:18" ht="15" customHeight="1" x14ac:dyDescent="0.3">
      <c r="A191" s="15" t="s">
        <v>56</v>
      </c>
      <c r="B191" s="15" t="s">
        <v>296</v>
      </c>
      <c r="C191" s="16">
        <v>0.93055555555555547</v>
      </c>
      <c r="D191" s="15" t="s">
        <v>58</v>
      </c>
      <c r="E191" s="15" t="s">
        <v>229</v>
      </c>
      <c r="F191" s="15" t="s">
        <v>365</v>
      </c>
      <c r="G191" s="256"/>
      <c r="H191" s="10"/>
      <c r="I191" s="11"/>
      <c r="J191" s="11"/>
      <c r="K191" s="11"/>
      <c r="L191" s="11"/>
      <c r="M191" s="11"/>
      <c r="N191" s="11"/>
      <c r="O191" s="12"/>
      <c r="P191" s="11"/>
      <c r="Q191" s="13"/>
      <c r="R191" s="14"/>
    </row>
    <row r="192" spans="1:18" ht="15" customHeight="1" x14ac:dyDescent="0.3">
      <c r="A192" s="19" t="s">
        <v>56</v>
      </c>
      <c r="B192" s="19" t="s">
        <v>297</v>
      </c>
      <c r="C192" s="20">
        <v>0.88888888888888884</v>
      </c>
      <c r="D192" s="19" t="s">
        <v>58</v>
      </c>
      <c r="E192" s="19" t="s">
        <v>92</v>
      </c>
      <c r="F192" s="19" t="s">
        <v>366</v>
      </c>
      <c r="G192" s="256"/>
      <c r="H192" s="10"/>
      <c r="I192" s="11"/>
      <c r="J192" s="11"/>
      <c r="K192" s="11"/>
      <c r="L192" s="11"/>
      <c r="M192" s="11"/>
      <c r="N192" s="11"/>
      <c r="O192" s="12"/>
      <c r="P192" s="11"/>
      <c r="Q192" s="13"/>
      <c r="R192" s="14"/>
    </row>
    <row r="193" spans="1:18" ht="15" customHeight="1" x14ac:dyDescent="0.3">
      <c r="A193" s="19" t="s">
        <v>56</v>
      </c>
      <c r="B193" s="19" t="s">
        <v>305</v>
      </c>
      <c r="C193" s="20">
        <v>0.30208333333333331</v>
      </c>
      <c r="D193" s="19" t="s">
        <v>58</v>
      </c>
      <c r="E193" s="19" t="s">
        <v>92</v>
      </c>
      <c r="F193" s="19" t="s">
        <v>298</v>
      </c>
      <c r="G193" s="256"/>
      <c r="H193" s="10"/>
      <c r="I193" s="11"/>
      <c r="J193" s="11"/>
      <c r="K193" s="11"/>
      <c r="L193" s="11"/>
      <c r="M193" s="11"/>
      <c r="N193" s="11"/>
      <c r="O193" s="12"/>
      <c r="P193" s="11"/>
      <c r="Q193" s="13"/>
      <c r="R193" s="14"/>
    </row>
    <row r="194" spans="1:18" ht="15" customHeight="1" x14ac:dyDescent="0.3">
      <c r="A194" s="19" t="s">
        <v>56</v>
      </c>
      <c r="B194" s="19" t="s">
        <v>307</v>
      </c>
      <c r="C194" s="20">
        <v>0.12847222222222221</v>
      </c>
      <c r="D194" s="19" t="s">
        <v>58</v>
      </c>
      <c r="E194" s="19" t="s">
        <v>92</v>
      </c>
      <c r="F194" s="19" t="s">
        <v>298</v>
      </c>
      <c r="G194" s="256"/>
      <c r="H194" s="10"/>
      <c r="I194" s="11"/>
      <c r="J194" s="11"/>
      <c r="K194" s="11"/>
      <c r="L194" s="11"/>
      <c r="M194" s="11"/>
      <c r="N194" s="11"/>
      <c r="O194" s="12"/>
      <c r="P194" s="11"/>
      <c r="Q194" s="13"/>
      <c r="R194" s="14"/>
    </row>
    <row r="195" spans="1:18" ht="15" customHeight="1" x14ac:dyDescent="0.3">
      <c r="A195" s="19" t="s">
        <v>56</v>
      </c>
      <c r="B195" s="19" t="s">
        <v>308</v>
      </c>
      <c r="C195" s="20">
        <v>0.78819444444444453</v>
      </c>
      <c r="D195" s="19" t="s">
        <v>58</v>
      </c>
      <c r="E195" s="19" t="s">
        <v>92</v>
      </c>
      <c r="F195" s="19" t="s">
        <v>298</v>
      </c>
      <c r="G195" s="256"/>
      <c r="H195" s="10"/>
      <c r="I195" s="11"/>
      <c r="J195" s="11"/>
      <c r="K195" s="11"/>
      <c r="L195" s="11"/>
      <c r="M195" s="11"/>
      <c r="N195" s="11"/>
      <c r="O195" s="12"/>
      <c r="P195" s="11"/>
      <c r="Q195" s="13"/>
      <c r="R195" s="14"/>
    </row>
    <row r="196" spans="1:18" ht="15" customHeight="1" x14ac:dyDescent="0.3">
      <c r="A196" s="19" t="s">
        <v>56</v>
      </c>
      <c r="B196" s="19" t="s">
        <v>299</v>
      </c>
      <c r="C196" s="20">
        <v>0.37847222222222232</v>
      </c>
      <c r="D196" s="19" t="s">
        <v>62</v>
      </c>
      <c r="E196" s="19" t="s">
        <v>78</v>
      </c>
      <c r="F196" s="19" t="s">
        <v>367</v>
      </c>
      <c r="G196" s="256"/>
      <c r="H196" s="10"/>
      <c r="I196" s="11"/>
      <c r="J196" s="11"/>
      <c r="K196" s="11"/>
      <c r="L196" s="11"/>
      <c r="M196" s="11"/>
      <c r="N196" s="11"/>
      <c r="O196" s="12"/>
      <c r="P196" s="11"/>
      <c r="Q196" s="13"/>
      <c r="R196" s="14"/>
    </row>
    <row r="197" spans="1:18" ht="15" customHeight="1" x14ac:dyDescent="0.3">
      <c r="A197" s="15" t="s">
        <v>56</v>
      </c>
      <c r="B197" s="15" t="s">
        <v>299</v>
      </c>
      <c r="C197" s="16">
        <v>0.37847222222222232</v>
      </c>
      <c r="D197" s="15" t="s">
        <v>58</v>
      </c>
      <c r="E197" s="15" t="s">
        <v>80</v>
      </c>
      <c r="F197" s="15" t="s">
        <v>368</v>
      </c>
      <c r="G197" s="256"/>
      <c r="H197" s="10"/>
      <c r="I197" s="11"/>
      <c r="J197" s="11"/>
      <c r="K197" s="11"/>
      <c r="L197" s="11"/>
      <c r="M197" s="11"/>
      <c r="N197" s="11"/>
      <c r="O197" s="12"/>
      <c r="P197" s="11"/>
      <c r="Q197" s="13"/>
      <c r="R197" s="14"/>
    </row>
    <row r="198" spans="1:18" ht="15" customHeight="1" x14ac:dyDescent="0.3">
      <c r="A198" s="19" t="s">
        <v>56</v>
      </c>
      <c r="B198" s="19" t="s">
        <v>303</v>
      </c>
      <c r="C198" s="20">
        <v>0.61111111111111105</v>
      </c>
      <c r="D198" s="19" t="s">
        <v>62</v>
      </c>
      <c r="E198" s="19" t="s">
        <v>52</v>
      </c>
      <c r="F198" s="19" t="s">
        <v>367</v>
      </c>
      <c r="G198" s="256"/>
      <c r="H198" s="10"/>
      <c r="I198" s="11"/>
      <c r="J198" s="11"/>
      <c r="K198" s="11"/>
      <c r="L198" s="11"/>
      <c r="M198" s="11"/>
      <c r="N198" s="11"/>
      <c r="O198" s="12"/>
      <c r="P198" s="11"/>
      <c r="Q198" s="13"/>
      <c r="R198" s="14"/>
    </row>
    <row r="199" spans="1:18" ht="15" customHeight="1" x14ac:dyDescent="0.3">
      <c r="A199" s="15" t="s">
        <v>56</v>
      </c>
      <c r="B199" s="15" t="s">
        <v>303</v>
      </c>
      <c r="C199" s="16">
        <v>0.61111111111111105</v>
      </c>
      <c r="D199" s="15" t="s">
        <v>58</v>
      </c>
      <c r="E199" s="15" t="s">
        <v>101</v>
      </c>
      <c r="F199" s="15" t="s">
        <v>368</v>
      </c>
      <c r="G199" s="256"/>
      <c r="H199" s="10"/>
      <c r="I199" s="11"/>
      <c r="J199" s="11"/>
      <c r="K199" s="11"/>
      <c r="L199" s="11"/>
      <c r="M199" s="11"/>
      <c r="N199" s="11"/>
      <c r="O199" s="12"/>
      <c r="P199" s="11"/>
      <c r="Q199" s="13"/>
      <c r="R199" s="14"/>
    </row>
    <row r="200" spans="1:18" ht="15" customHeight="1" x14ac:dyDescent="0.3">
      <c r="A200" s="19" t="s">
        <v>56</v>
      </c>
      <c r="B200" s="19" t="s">
        <v>304</v>
      </c>
      <c r="C200" s="20">
        <v>0.82986111111111116</v>
      </c>
      <c r="D200" s="19" t="s">
        <v>62</v>
      </c>
      <c r="E200" s="19" t="s">
        <v>52</v>
      </c>
      <c r="F200" s="19" t="s">
        <v>367</v>
      </c>
      <c r="G200" s="256"/>
      <c r="H200" s="10"/>
      <c r="I200" s="11"/>
      <c r="J200" s="11"/>
      <c r="K200" s="11"/>
      <c r="L200" s="11"/>
      <c r="M200" s="11"/>
      <c r="N200" s="11"/>
      <c r="O200" s="12"/>
      <c r="P200" s="11"/>
      <c r="Q200" s="13"/>
      <c r="R200" s="14"/>
    </row>
    <row r="201" spans="1:18" ht="15" customHeight="1" x14ac:dyDescent="0.3">
      <c r="A201" s="21" t="s">
        <v>56</v>
      </c>
      <c r="B201" s="21" t="s">
        <v>304</v>
      </c>
      <c r="C201" s="22">
        <v>0.82986111111111116</v>
      </c>
      <c r="D201" s="21" t="s">
        <v>58</v>
      </c>
      <c r="E201" s="21" t="s">
        <v>101</v>
      </c>
      <c r="F201" s="21" t="s">
        <v>368</v>
      </c>
      <c r="G201" s="257"/>
      <c r="H201" s="23"/>
      <c r="I201" s="24"/>
      <c r="J201" s="24"/>
      <c r="K201" s="24"/>
      <c r="L201" s="24"/>
      <c r="M201" s="24"/>
      <c r="N201" s="24"/>
      <c r="O201" s="25"/>
      <c r="P201" s="24"/>
      <c r="Q201" s="26"/>
      <c r="R201" s="27"/>
    </row>
  </sheetData>
  <mergeCells count="18">
    <mergeCell ref="G156:G201"/>
    <mergeCell ref="A154:F154"/>
    <mergeCell ref="A77:F77"/>
    <mergeCell ref="H4:R4"/>
    <mergeCell ref="G79:G152"/>
    <mergeCell ref="G6:G75"/>
    <mergeCell ref="H1:L1"/>
    <mergeCell ref="A1:E1"/>
    <mergeCell ref="G2:J2"/>
    <mergeCell ref="K2:R2"/>
    <mergeCell ref="A4:F4"/>
    <mergeCell ref="N1:R1"/>
    <mergeCell ref="A2:F2"/>
    <mergeCell ref="A153:R153"/>
    <mergeCell ref="A3:R3"/>
    <mergeCell ref="H77:R77"/>
    <mergeCell ref="H154:R154"/>
    <mergeCell ref="A76:R76"/>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J16"/>
  <sheetViews>
    <sheetView workbookViewId="0"/>
  </sheetViews>
  <sheetFormatPr defaultRowHeight="15.6" outlineLevelCol="1" x14ac:dyDescent="0.3"/>
  <cols>
    <col min="1" max="1" width="11.6640625" style="271" bestFit="1" customWidth="1"/>
    <col min="2" max="2" width="11.109375" style="271" bestFit="1" customWidth="1"/>
    <col min="3" max="3" width="7.88671875" style="271" bestFit="1" customWidth="1"/>
    <col min="4" max="4" width="6.77734375" style="271" bestFit="1" customWidth="1"/>
    <col min="5" max="5" width="8.6640625" style="271" bestFit="1" customWidth="1"/>
    <col min="6" max="6" width="5.21875" style="271" bestFit="1" customWidth="1"/>
    <col min="7" max="7" width="10" style="271" bestFit="1" customWidth="1"/>
    <col min="8" max="9" width="8.5546875" style="271" bestFit="1" customWidth="1"/>
    <col min="10" max="10" width="8" style="271" bestFit="1" customWidth="1"/>
    <col min="11" max="11" width="12.21875" style="271" bestFit="1" customWidth="1"/>
    <col min="12" max="12" width="21.21875" style="271" bestFit="1" customWidth="1"/>
    <col min="13" max="13" width="8.77734375" style="271" bestFit="1" customWidth="1" outlineLevel="1"/>
    <col min="14" max="14" width="7.33203125" style="271" bestFit="1" customWidth="1" outlineLevel="1"/>
    <col min="15" max="15" width="9.109375" style="271" bestFit="1" customWidth="1" outlineLevel="1"/>
    <col min="16" max="16" width="15.33203125" style="271" bestFit="1" customWidth="1"/>
    <col min="17" max="21" width="3.88671875" style="271" bestFit="1" customWidth="1"/>
    <col min="22" max="22" width="4" style="271" bestFit="1" customWidth="1"/>
    <col min="23" max="23" width="5.21875" style="271" bestFit="1" customWidth="1"/>
    <col min="24" max="24" width="4.77734375" style="271" bestFit="1" customWidth="1"/>
    <col min="25" max="25" width="5.33203125" style="271" bestFit="1" customWidth="1"/>
    <col min="26" max="26" width="4.88671875" style="271" bestFit="1" customWidth="1"/>
    <col min="27" max="27" width="5.88671875" style="271" bestFit="1" customWidth="1"/>
    <col min="28" max="28" width="5" style="271" bestFit="1" customWidth="1"/>
    <col min="29" max="29" width="5.109375" style="271" bestFit="1" customWidth="1"/>
    <col min="30" max="31" width="5.33203125" style="271" bestFit="1" customWidth="1"/>
    <col min="32" max="32" width="4.44140625" style="271" bestFit="1" customWidth="1"/>
    <col min="33" max="33" width="5" style="271" bestFit="1" customWidth="1"/>
    <col min="34" max="34" width="3.88671875" style="271" bestFit="1" customWidth="1"/>
    <col min="35" max="35" width="6.21875" style="271" bestFit="1" customWidth="1"/>
    <col min="36" max="36" width="4.21875" style="271" bestFit="1" customWidth="1"/>
    <col min="37" max="16384" width="8.88671875" style="271"/>
  </cols>
  <sheetData>
    <row r="1" spans="1:36" x14ac:dyDescent="0.3">
      <c r="A1" s="270" t="s">
        <v>104</v>
      </c>
      <c r="B1" s="270" t="s">
        <v>105</v>
      </c>
      <c r="C1" s="270" t="s">
        <v>106</v>
      </c>
      <c r="D1" s="270" t="s">
        <v>23</v>
      </c>
      <c r="E1" s="270" t="s">
        <v>107</v>
      </c>
      <c r="F1" s="270" t="s">
        <v>108</v>
      </c>
      <c r="G1" s="270" t="s">
        <v>16</v>
      </c>
      <c r="H1" s="270" t="s">
        <v>109</v>
      </c>
      <c r="I1" s="270" t="s">
        <v>110</v>
      </c>
      <c r="J1" s="270" t="s">
        <v>111</v>
      </c>
      <c r="K1" s="270" t="s">
        <v>112</v>
      </c>
      <c r="L1" s="270" t="s">
        <v>18</v>
      </c>
      <c r="M1" s="270" t="s">
        <v>20</v>
      </c>
      <c r="N1" s="270" t="s">
        <v>21</v>
      </c>
      <c r="O1" s="270" t="s">
        <v>19</v>
      </c>
      <c r="P1" s="270" t="s">
        <v>22</v>
      </c>
      <c r="Q1" s="270" t="s">
        <v>113</v>
      </c>
      <c r="R1" s="270" t="s">
        <v>114</v>
      </c>
      <c r="S1" s="270" t="s">
        <v>115</v>
      </c>
      <c r="T1" s="270" t="s">
        <v>116</v>
      </c>
      <c r="U1" s="270" t="s">
        <v>117</v>
      </c>
      <c r="V1" s="270" t="s">
        <v>118</v>
      </c>
      <c r="W1" s="270" t="s">
        <v>119</v>
      </c>
      <c r="X1" s="270" t="s">
        <v>120</v>
      </c>
      <c r="Y1" s="270" t="s">
        <v>121</v>
      </c>
      <c r="Z1" s="270" t="s">
        <v>122</v>
      </c>
      <c r="AA1" s="270" t="s">
        <v>123</v>
      </c>
      <c r="AB1" s="270" t="s">
        <v>124</v>
      </c>
      <c r="AC1" s="270" t="s">
        <v>125</v>
      </c>
      <c r="AD1" s="270" t="s">
        <v>126</v>
      </c>
      <c r="AE1" s="270" t="s">
        <v>127</v>
      </c>
      <c r="AF1" s="270" t="s">
        <v>128</v>
      </c>
      <c r="AG1" s="270" t="s">
        <v>129</v>
      </c>
      <c r="AH1" s="270" t="s">
        <v>130</v>
      </c>
      <c r="AI1" s="270" t="s">
        <v>131</v>
      </c>
      <c r="AJ1" s="270" t="s">
        <v>132</v>
      </c>
    </row>
    <row r="2" spans="1:36" x14ac:dyDescent="0.3">
      <c r="A2" s="272" t="s">
        <v>369</v>
      </c>
      <c r="B2" s="273">
        <v>45982</v>
      </c>
      <c r="C2" s="274" t="s">
        <v>251</v>
      </c>
      <c r="D2" s="275" t="s">
        <v>370</v>
      </c>
      <c r="E2" s="274" t="s">
        <v>203</v>
      </c>
      <c r="F2" s="274" t="s">
        <v>135</v>
      </c>
      <c r="G2" s="276">
        <v>0.54190000000000005</v>
      </c>
      <c r="H2" s="277">
        <v>179</v>
      </c>
      <c r="I2" s="277">
        <v>97</v>
      </c>
      <c r="J2" s="277">
        <v>0</v>
      </c>
      <c r="K2" s="274" t="s">
        <v>136</v>
      </c>
      <c r="L2" s="278" t="s">
        <v>180</v>
      </c>
      <c r="M2" s="277">
        <v>0</v>
      </c>
      <c r="N2" s="277">
        <v>7</v>
      </c>
      <c r="O2" s="277">
        <v>26</v>
      </c>
      <c r="P2" s="274" t="s">
        <v>252</v>
      </c>
      <c r="Q2" s="270"/>
      <c r="R2" s="270"/>
      <c r="S2" s="270"/>
      <c r="T2" s="270"/>
      <c r="U2" s="270"/>
      <c r="V2" s="277" t="s">
        <v>371</v>
      </c>
      <c r="W2" s="277" t="s">
        <v>372</v>
      </c>
      <c r="X2" s="277" t="s">
        <v>373</v>
      </c>
      <c r="Y2" s="277" t="s">
        <v>374</v>
      </c>
      <c r="Z2" s="277" t="s">
        <v>375</v>
      </c>
      <c r="AA2" s="277" t="s">
        <v>376</v>
      </c>
      <c r="AB2" s="270"/>
      <c r="AC2" s="277" t="s">
        <v>377</v>
      </c>
      <c r="AD2" s="270"/>
      <c r="AE2" s="270"/>
      <c r="AF2" s="270"/>
      <c r="AG2" s="270"/>
      <c r="AH2" s="270"/>
      <c r="AI2" s="270"/>
      <c r="AJ2" s="270"/>
    </row>
    <row r="3" spans="1:36" x14ac:dyDescent="0.3">
      <c r="A3" s="272" t="s">
        <v>369</v>
      </c>
      <c r="B3" s="273">
        <v>45982</v>
      </c>
      <c r="C3" s="274" t="s">
        <v>269</v>
      </c>
      <c r="D3" s="275" t="s">
        <v>378</v>
      </c>
      <c r="E3" s="274" t="s">
        <v>203</v>
      </c>
      <c r="F3" s="274" t="s">
        <v>135</v>
      </c>
      <c r="G3" s="276">
        <v>0.5978</v>
      </c>
      <c r="H3" s="277">
        <v>179</v>
      </c>
      <c r="I3" s="277">
        <v>107</v>
      </c>
      <c r="J3" s="277">
        <v>1</v>
      </c>
      <c r="K3" s="274" t="s">
        <v>136</v>
      </c>
      <c r="L3" s="278" t="s">
        <v>270</v>
      </c>
      <c r="M3" s="277">
        <v>0</v>
      </c>
      <c r="N3" s="277">
        <v>0</v>
      </c>
      <c r="O3" s="277">
        <v>12</v>
      </c>
      <c r="P3" s="274" t="s">
        <v>271</v>
      </c>
      <c r="Q3" s="270"/>
      <c r="R3" s="270"/>
      <c r="S3" s="270"/>
      <c r="T3" s="270"/>
      <c r="U3" s="270"/>
      <c r="V3" s="277" t="s">
        <v>147</v>
      </c>
      <c r="W3" s="277" t="s">
        <v>372</v>
      </c>
      <c r="X3" s="277" t="s">
        <v>379</v>
      </c>
      <c r="Y3" s="277" t="s">
        <v>380</v>
      </c>
      <c r="Z3" s="277" t="s">
        <v>381</v>
      </c>
      <c r="AA3" s="277" t="s">
        <v>376</v>
      </c>
      <c r="AB3" s="277" t="s">
        <v>382</v>
      </c>
      <c r="AC3" s="277" t="s">
        <v>139</v>
      </c>
      <c r="AD3" s="277" t="s">
        <v>383</v>
      </c>
      <c r="AE3" s="277" t="s">
        <v>384</v>
      </c>
      <c r="AF3" s="277" t="s">
        <v>385</v>
      </c>
      <c r="AG3" s="270"/>
      <c r="AH3" s="270"/>
      <c r="AI3" s="277" t="s">
        <v>386</v>
      </c>
      <c r="AJ3" s="270"/>
    </row>
    <row r="4" spans="1:36" x14ac:dyDescent="0.3">
      <c r="A4" s="272" t="s">
        <v>369</v>
      </c>
      <c r="B4" s="273">
        <v>45982</v>
      </c>
      <c r="C4" s="274" t="s">
        <v>260</v>
      </c>
      <c r="D4" s="275" t="s">
        <v>387</v>
      </c>
      <c r="E4" s="274" t="s">
        <v>203</v>
      </c>
      <c r="F4" s="274" t="s">
        <v>135</v>
      </c>
      <c r="G4" s="276">
        <v>0.57540000000000002</v>
      </c>
      <c r="H4" s="277">
        <v>179</v>
      </c>
      <c r="I4" s="277">
        <v>103</v>
      </c>
      <c r="J4" s="277">
        <v>0</v>
      </c>
      <c r="K4" s="274" t="s">
        <v>136</v>
      </c>
      <c r="L4" s="278" t="s">
        <v>180</v>
      </c>
      <c r="M4" s="277">
        <v>0</v>
      </c>
      <c r="N4" s="277">
        <v>6</v>
      </c>
      <c r="O4" s="277">
        <v>11</v>
      </c>
      <c r="P4" s="274" t="s">
        <v>261</v>
      </c>
      <c r="Q4" s="270"/>
      <c r="R4" s="270"/>
      <c r="S4" s="270"/>
      <c r="T4" s="270"/>
      <c r="U4" s="270"/>
      <c r="V4" s="270"/>
      <c r="W4" s="277" t="s">
        <v>388</v>
      </c>
      <c r="X4" s="277" t="s">
        <v>389</v>
      </c>
      <c r="Y4" s="277" t="s">
        <v>390</v>
      </c>
      <c r="Z4" s="277" t="s">
        <v>391</v>
      </c>
      <c r="AA4" s="277" t="s">
        <v>376</v>
      </c>
      <c r="AB4" s="270"/>
      <c r="AC4" s="270"/>
      <c r="AD4" s="270"/>
      <c r="AE4" s="270"/>
      <c r="AF4" s="270"/>
      <c r="AG4" s="270"/>
      <c r="AH4" s="270"/>
      <c r="AI4" s="270"/>
      <c r="AJ4" s="270"/>
    </row>
    <row r="5" spans="1:36" x14ac:dyDescent="0.3">
      <c r="A5" s="272" t="s">
        <v>369</v>
      </c>
      <c r="B5" s="273">
        <v>45982</v>
      </c>
      <c r="C5" s="274" t="s">
        <v>264</v>
      </c>
      <c r="D5" s="275" t="s">
        <v>392</v>
      </c>
      <c r="E5" s="274" t="s">
        <v>203</v>
      </c>
      <c r="F5" s="274" t="s">
        <v>135</v>
      </c>
      <c r="G5" s="276">
        <v>0.54190000000000005</v>
      </c>
      <c r="H5" s="277">
        <v>179</v>
      </c>
      <c r="I5" s="277">
        <v>97</v>
      </c>
      <c r="J5" s="277">
        <v>0</v>
      </c>
      <c r="K5" s="274" t="s">
        <v>136</v>
      </c>
      <c r="L5" s="278" t="s">
        <v>180</v>
      </c>
      <c r="M5" s="277">
        <v>0</v>
      </c>
      <c r="N5" s="277">
        <v>2</v>
      </c>
      <c r="O5" s="277">
        <v>21</v>
      </c>
      <c r="P5" s="274" t="s">
        <v>257</v>
      </c>
      <c r="Q5" s="270"/>
      <c r="R5" s="270"/>
      <c r="S5" s="270"/>
      <c r="T5" s="270"/>
      <c r="U5" s="270"/>
      <c r="V5" s="270"/>
      <c r="W5" s="277" t="s">
        <v>393</v>
      </c>
      <c r="X5" s="277" t="s">
        <v>394</v>
      </c>
      <c r="Y5" s="277" t="s">
        <v>380</v>
      </c>
      <c r="Z5" s="277" t="s">
        <v>395</v>
      </c>
      <c r="AA5" s="277" t="s">
        <v>376</v>
      </c>
      <c r="AB5" s="270"/>
      <c r="AC5" s="270"/>
      <c r="AD5" s="270"/>
      <c r="AE5" s="270"/>
      <c r="AF5" s="270"/>
      <c r="AG5" s="270"/>
      <c r="AH5" s="270"/>
      <c r="AI5" s="270"/>
      <c r="AJ5" s="270"/>
    </row>
    <row r="6" spans="1:36" x14ac:dyDescent="0.3">
      <c r="A6" s="272" t="s">
        <v>369</v>
      </c>
      <c r="B6" s="273">
        <v>45982</v>
      </c>
      <c r="C6" s="274" t="s">
        <v>256</v>
      </c>
      <c r="D6" s="275" t="s">
        <v>396</v>
      </c>
      <c r="E6" s="274" t="s">
        <v>203</v>
      </c>
      <c r="F6" s="274" t="s">
        <v>135</v>
      </c>
      <c r="G6" s="276">
        <v>0.5363</v>
      </c>
      <c r="H6" s="277">
        <v>179</v>
      </c>
      <c r="I6" s="277">
        <v>96</v>
      </c>
      <c r="J6" s="277">
        <v>0</v>
      </c>
      <c r="K6" s="274" t="s">
        <v>136</v>
      </c>
      <c r="L6" s="278" t="s">
        <v>180</v>
      </c>
      <c r="M6" s="277">
        <v>0</v>
      </c>
      <c r="N6" s="277">
        <v>1</v>
      </c>
      <c r="O6" s="277">
        <v>14</v>
      </c>
      <c r="P6" s="274" t="s">
        <v>257</v>
      </c>
      <c r="Q6" s="270"/>
      <c r="R6" s="270"/>
      <c r="S6" s="270"/>
      <c r="T6" s="270"/>
      <c r="U6" s="270"/>
      <c r="V6" s="270"/>
      <c r="W6" s="277" t="s">
        <v>397</v>
      </c>
      <c r="X6" s="277" t="s">
        <v>398</v>
      </c>
      <c r="Y6" s="277" t="s">
        <v>399</v>
      </c>
      <c r="Z6" s="277" t="s">
        <v>400</v>
      </c>
      <c r="AA6" s="277" t="s">
        <v>376</v>
      </c>
      <c r="AB6" s="270"/>
      <c r="AC6" s="270"/>
      <c r="AD6" s="270"/>
      <c r="AE6" s="270"/>
      <c r="AF6" s="270"/>
      <c r="AG6" s="270"/>
      <c r="AH6" s="270"/>
      <c r="AI6" s="270"/>
      <c r="AJ6" s="270"/>
    </row>
    <row r="7" spans="1:36" x14ac:dyDescent="0.3">
      <c r="A7" s="272" t="s">
        <v>369</v>
      </c>
      <c r="B7" s="273">
        <v>45982</v>
      </c>
      <c r="C7" s="274" t="s">
        <v>273</v>
      </c>
      <c r="D7" s="275" t="s">
        <v>401</v>
      </c>
      <c r="E7" s="274" t="s">
        <v>203</v>
      </c>
      <c r="F7" s="274" t="s">
        <v>135</v>
      </c>
      <c r="G7" s="276">
        <v>1.0115000000000001</v>
      </c>
      <c r="H7" s="277">
        <v>174</v>
      </c>
      <c r="I7" s="277">
        <v>176</v>
      </c>
      <c r="J7" s="277">
        <v>92</v>
      </c>
      <c r="K7" s="274" t="s">
        <v>136</v>
      </c>
      <c r="L7" s="278" t="s">
        <v>274</v>
      </c>
      <c r="M7" s="277">
        <v>0</v>
      </c>
      <c r="N7" s="277">
        <v>0</v>
      </c>
      <c r="O7" s="277">
        <v>6</v>
      </c>
      <c r="P7" s="274" t="s">
        <v>98</v>
      </c>
      <c r="Q7" s="270"/>
      <c r="R7" s="270"/>
      <c r="S7" s="270"/>
      <c r="T7" s="270"/>
      <c r="U7" s="270"/>
      <c r="V7" s="270"/>
      <c r="W7" s="277" t="s">
        <v>271</v>
      </c>
      <c r="X7" s="270"/>
      <c r="Y7" s="277" t="s">
        <v>252</v>
      </c>
      <c r="Z7" s="277" t="s">
        <v>375</v>
      </c>
      <c r="AA7" s="277" t="s">
        <v>402</v>
      </c>
      <c r="AB7" s="277" t="s">
        <v>403</v>
      </c>
      <c r="AC7" s="277" t="s">
        <v>404</v>
      </c>
      <c r="AD7" s="277" t="s">
        <v>405</v>
      </c>
      <c r="AE7" s="277" t="s">
        <v>406</v>
      </c>
      <c r="AF7" s="277" t="s">
        <v>407</v>
      </c>
      <c r="AG7" s="270"/>
      <c r="AH7" s="270"/>
      <c r="AI7" s="277" t="s">
        <v>408</v>
      </c>
      <c r="AJ7" s="270"/>
    </row>
    <row r="8" spans="1:36" x14ac:dyDescent="0.3">
      <c r="A8" s="272" t="s">
        <v>133</v>
      </c>
      <c r="B8" s="273">
        <v>45983</v>
      </c>
      <c r="C8" s="274" t="s">
        <v>329</v>
      </c>
      <c r="D8" s="275" t="s">
        <v>409</v>
      </c>
      <c r="E8" s="274" t="s">
        <v>203</v>
      </c>
      <c r="F8" s="274" t="s">
        <v>135</v>
      </c>
      <c r="G8" s="276">
        <v>1</v>
      </c>
      <c r="H8" s="277">
        <v>179</v>
      </c>
      <c r="I8" s="277">
        <v>179</v>
      </c>
      <c r="J8" s="277">
        <v>50</v>
      </c>
      <c r="K8" s="274" t="s">
        <v>136</v>
      </c>
      <c r="L8" s="278" t="s">
        <v>330</v>
      </c>
      <c r="M8" s="277">
        <v>0</v>
      </c>
      <c r="N8" s="277">
        <v>0</v>
      </c>
      <c r="O8" s="277">
        <v>0</v>
      </c>
      <c r="P8" s="274" t="s">
        <v>98</v>
      </c>
      <c r="Q8" s="270"/>
      <c r="R8" s="270"/>
      <c r="S8" s="270"/>
      <c r="T8" s="270"/>
      <c r="U8" s="270"/>
      <c r="V8" s="270"/>
      <c r="W8" s="277" t="s">
        <v>410</v>
      </c>
      <c r="X8" s="270"/>
      <c r="Y8" s="277" t="s">
        <v>411</v>
      </c>
      <c r="Z8" s="277" t="s">
        <v>412</v>
      </c>
      <c r="AA8" s="277" t="s">
        <v>413</v>
      </c>
      <c r="AB8" s="277" t="s">
        <v>403</v>
      </c>
      <c r="AC8" s="277" t="s">
        <v>404</v>
      </c>
      <c r="AD8" s="277" t="s">
        <v>414</v>
      </c>
      <c r="AE8" s="277" t="s">
        <v>415</v>
      </c>
      <c r="AF8" s="277" t="s">
        <v>142</v>
      </c>
      <c r="AG8" s="270"/>
      <c r="AH8" s="270"/>
      <c r="AI8" s="277" t="s">
        <v>416</v>
      </c>
      <c r="AJ8" s="270"/>
    </row>
    <row r="9" spans="1:36" x14ac:dyDescent="0.3">
      <c r="A9" s="272" t="s">
        <v>133</v>
      </c>
      <c r="B9" s="273">
        <v>45983</v>
      </c>
      <c r="C9" s="274" t="s">
        <v>269</v>
      </c>
      <c r="D9" s="275" t="s">
        <v>417</v>
      </c>
      <c r="E9" s="274" t="s">
        <v>203</v>
      </c>
      <c r="F9" s="274" t="s">
        <v>135</v>
      </c>
      <c r="G9" s="276">
        <v>1</v>
      </c>
      <c r="H9" s="277">
        <v>179</v>
      </c>
      <c r="I9" s="277">
        <v>179</v>
      </c>
      <c r="J9" s="277">
        <v>134</v>
      </c>
      <c r="K9" s="274" t="s">
        <v>136</v>
      </c>
      <c r="L9" s="278" t="s">
        <v>274</v>
      </c>
      <c r="M9" s="277">
        <v>0</v>
      </c>
      <c r="N9" s="277">
        <v>0</v>
      </c>
      <c r="O9" s="277">
        <v>4</v>
      </c>
      <c r="P9" s="274" t="s">
        <v>98</v>
      </c>
      <c r="Q9" s="270"/>
      <c r="R9" s="270"/>
      <c r="S9" s="270"/>
      <c r="T9" s="270"/>
      <c r="U9" s="270"/>
      <c r="V9" s="277" t="s">
        <v>418</v>
      </c>
      <c r="W9" s="270"/>
      <c r="X9" s="277" t="s">
        <v>419</v>
      </c>
      <c r="Y9" s="270"/>
      <c r="Z9" s="277" t="s">
        <v>420</v>
      </c>
      <c r="AA9" s="277" t="s">
        <v>376</v>
      </c>
      <c r="AB9" s="270"/>
      <c r="AC9" s="270"/>
      <c r="AD9" s="270"/>
      <c r="AE9" s="270"/>
      <c r="AF9" s="270"/>
      <c r="AG9" s="270"/>
      <c r="AH9" s="270"/>
      <c r="AI9" s="277" t="s">
        <v>421</v>
      </c>
      <c r="AJ9" s="277" t="s">
        <v>144</v>
      </c>
    </row>
    <row r="10" spans="1:36" x14ac:dyDescent="0.3">
      <c r="A10" s="272" t="s">
        <v>133</v>
      </c>
      <c r="B10" s="273">
        <v>45983</v>
      </c>
      <c r="C10" s="274" t="s">
        <v>260</v>
      </c>
      <c r="D10" s="275" t="s">
        <v>422</v>
      </c>
      <c r="E10" s="274" t="s">
        <v>203</v>
      </c>
      <c r="F10" s="274" t="s">
        <v>135</v>
      </c>
      <c r="G10" s="276">
        <v>0.99439999999999995</v>
      </c>
      <c r="H10" s="277">
        <v>179</v>
      </c>
      <c r="I10" s="277">
        <v>178</v>
      </c>
      <c r="J10" s="277">
        <v>127</v>
      </c>
      <c r="K10" s="274" t="s">
        <v>136</v>
      </c>
      <c r="L10" s="278" t="s">
        <v>102</v>
      </c>
      <c r="M10" s="277">
        <v>0</v>
      </c>
      <c r="N10" s="277">
        <v>0</v>
      </c>
      <c r="O10" s="277">
        <v>3</v>
      </c>
      <c r="P10" s="274" t="s">
        <v>327</v>
      </c>
      <c r="Q10" s="270"/>
      <c r="R10" s="270"/>
      <c r="S10" s="270"/>
      <c r="T10" s="270"/>
      <c r="U10" s="270"/>
      <c r="V10" s="277" t="s">
        <v>423</v>
      </c>
      <c r="W10" s="270"/>
      <c r="X10" s="277" t="s">
        <v>261</v>
      </c>
      <c r="Y10" s="277" t="s">
        <v>424</v>
      </c>
      <c r="Z10" s="277" t="s">
        <v>425</v>
      </c>
      <c r="AA10" s="277" t="s">
        <v>426</v>
      </c>
      <c r="AB10" s="277" t="s">
        <v>403</v>
      </c>
      <c r="AC10" s="277" t="s">
        <v>427</v>
      </c>
      <c r="AD10" s="277" t="s">
        <v>428</v>
      </c>
      <c r="AE10" s="277" t="s">
        <v>429</v>
      </c>
      <c r="AF10" s="277" t="s">
        <v>430</v>
      </c>
      <c r="AG10" s="277" t="s">
        <v>431</v>
      </c>
      <c r="AH10" s="270"/>
      <c r="AI10" s="277" t="s">
        <v>432</v>
      </c>
      <c r="AJ10" s="277" t="s">
        <v>433</v>
      </c>
    </row>
    <row r="11" spans="1:36" x14ac:dyDescent="0.3">
      <c r="A11" s="272" t="s">
        <v>145</v>
      </c>
      <c r="B11" s="273">
        <v>45984</v>
      </c>
      <c r="C11" s="274" t="s">
        <v>251</v>
      </c>
      <c r="D11" s="275" t="s">
        <v>434</v>
      </c>
      <c r="E11" s="274" t="s">
        <v>203</v>
      </c>
      <c r="F11" s="274" t="s">
        <v>135</v>
      </c>
      <c r="G11" s="276">
        <v>0.61450000000000005</v>
      </c>
      <c r="H11" s="277">
        <v>179</v>
      </c>
      <c r="I11" s="277">
        <v>110</v>
      </c>
      <c r="J11" s="277">
        <v>28</v>
      </c>
      <c r="K11" s="274" t="s">
        <v>136</v>
      </c>
      <c r="L11" s="278" t="s">
        <v>180</v>
      </c>
      <c r="M11" s="277">
        <v>0</v>
      </c>
      <c r="N11" s="277">
        <v>6</v>
      </c>
      <c r="O11" s="277">
        <v>49</v>
      </c>
      <c r="P11" s="274" t="s">
        <v>352</v>
      </c>
      <c r="Q11" s="270"/>
      <c r="R11" s="270"/>
      <c r="S11" s="270"/>
      <c r="T11" s="270"/>
      <c r="U11" s="270"/>
      <c r="V11" s="270"/>
      <c r="W11" s="270"/>
      <c r="X11" s="270"/>
      <c r="Y11" s="270"/>
      <c r="Z11" s="277" t="s">
        <v>395</v>
      </c>
      <c r="AA11" s="277" t="s">
        <v>435</v>
      </c>
      <c r="AB11" s="277" t="s">
        <v>436</v>
      </c>
      <c r="AC11" s="277" t="s">
        <v>437</v>
      </c>
      <c r="AD11" s="277" t="s">
        <v>428</v>
      </c>
      <c r="AE11" s="277" t="s">
        <v>384</v>
      </c>
      <c r="AF11" s="277" t="s">
        <v>430</v>
      </c>
      <c r="AG11" s="270"/>
      <c r="AH11" s="270"/>
      <c r="AI11" s="277" t="s">
        <v>438</v>
      </c>
      <c r="AJ11" s="277" t="s">
        <v>439</v>
      </c>
    </row>
    <row r="12" spans="1:36" x14ac:dyDescent="0.3">
      <c r="A12" s="272" t="s">
        <v>145</v>
      </c>
      <c r="B12" s="273">
        <v>45984</v>
      </c>
      <c r="C12" s="274" t="s">
        <v>269</v>
      </c>
      <c r="D12" s="275" t="s">
        <v>378</v>
      </c>
      <c r="E12" s="274" t="s">
        <v>203</v>
      </c>
      <c r="F12" s="274" t="s">
        <v>135</v>
      </c>
      <c r="G12" s="276">
        <v>0.54190000000000005</v>
      </c>
      <c r="H12" s="277">
        <v>179</v>
      </c>
      <c r="I12" s="277">
        <v>97</v>
      </c>
      <c r="J12" s="277">
        <v>0</v>
      </c>
      <c r="K12" s="274" t="s">
        <v>136</v>
      </c>
      <c r="L12" s="278" t="s">
        <v>274</v>
      </c>
      <c r="M12" s="277">
        <v>0</v>
      </c>
      <c r="N12" s="277">
        <v>0</v>
      </c>
      <c r="O12" s="277">
        <v>34</v>
      </c>
      <c r="P12" s="274" t="s">
        <v>354</v>
      </c>
      <c r="Q12" s="270"/>
      <c r="R12" s="270"/>
      <c r="S12" s="270"/>
      <c r="T12" s="270"/>
      <c r="U12" s="270"/>
      <c r="V12" s="270"/>
      <c r="W12" s="270"/>
      <c r="X12" s="270"/>
      <c r="Y12" s="277" t="s">
        <v>361</v>
      </c>
      <c r="Z12" s="277" t="s">
        <v>391</v>
      </c>
      <c r="AA12" s="277" t="s">
        <v>440</v>
      </c>
      <c r="AB12" s="277" t="s">
        <v>441</v>
      </c>
      <c r="AC12" s="277" t="s">
        <v>442</v>
      </c>
      <c r="AD12" s="277" t="s">
        <v>428</v>
      </c>
      <c r="AE12" s="277" t="s">
        <v>443</v>
      </c>
      <c r="AF12" s="277" t="s">
        <v>385</v>
      </c>
      <c r="AG12" s="270"/>
      <c r="AH12" s="270"/>
      <c r="AI12" s="270"/>
      <c r="AJ12" s="270"/>
    </row>
    <row r="13" spans="1:36" x14ac:dyDescent="0.3">
      <c r="A13" s="272" t="s">
        <v>145</v>
      </c>
      <c r="B13" s="273">
        <v>45984</v>
      </c>
      <c r="C13" s="274" t="s">
        <v>357</v>
      </c>
      <c r="D13" s="275" t="s">
        <v>417</v>
      </c>
      <c r="E13" s="274" t="s">
        <v>203</v>
      </c>
      <c r="F13" s="274" t="s">
        <v>135</v>
      </c>
      <c r="G13" s="276">
        <v>0.88690000000000002</v>
      </c>
      <c r="H13" s="277">
        <v>168</v>
      </c>
      <c r="I13" s="277">
        <v>149</v>
      </c>
      <c r="J13" s="277">
        <v>62</v>
      </c>
      <c r="K13" s="274" t="s">
        <v>136</v>
      </c>
      <c r="L13" s="278" t="s">
        <v>180</v>
      </c>
      <c r="M13" s="277">
        <v>0</v>
      </c>
      <c r="N13" s="277">
        <v>8</v>
      </c>
      <c r="O13" s="277">
        <v>32</v>
      </c>
      <c r="P13" s="274" t="s">
        <v>358</v>
      </c>
      <c r="Q13" s="270"/>
      <c r="R13" s="270"/>
      <c r="S13" s="270"/>
      <c r="T13" s="270"/>
      <c r="U13" s="270"/>
      <c r="V13" s="270"/>
      <c r="W13" s="270"/>
      <c r="X13" s="270"/>
      <c r="Y13" s="277" t="s">
        <v>252</v>
      </c>
      <c r="Z13" s="277" t="s">
        <v>444</v>
      </c>
      <c r="AA13" s="277" t="s">
        <v>440</v>
      </c>
      <c r="AB13" s="277" t="s">
        <v>445</v>
      </c>
      <c r="AC13" s="277" t="s">
        <v>442</v>
      </c>
      <c r="AD13" s="277" t="s">
        <v>199</v>
      </c>
      <c r="AE13" s="277" t="s">
        <v>384</v>
      </c>
      <c r="AF13" s="277" t="s">
        <v>385</v>
      </c>
      <c r="AG13" s="270"/>
      <c r="AH13" s="270"/>
      <c r="AI13" s="277" t="s">
        <v>446</v>
      </c>
      <c r="AJ13" s="270"/>
    </row>
    <row r="14" spans="1:36" x14ac:dyDescent="0.3">
      <c r="A14" s="272" t="s">
        <v>145</v>
      </c>
      <c r="B14" s="273">
        <v>45984</v>
      </c>
      <c r="C14" s="274" t="s">
        <v>273</v>
      </c>
      <c r="D14" s="275" t="s">
        <v>447</v>
      </c>
      <c r="E14" s="274" t="s">
        <v>203</v>
      </c>
      <c r="F14" s="274" t="s">
        <v>135</v>
      </c>
      <c r="G14" s="276">
        <v>0.92179999999999995</v>
      </c>
      <c r="H14" s="277">
        <v>179</v>
      </c>
      <c r="I14" s="277">
        <v>165</v>
      </c>
      <c r="J14" s="277">
        <v>128</v>
      </c>
      <c r="K14" s="274" t="s">
        <v>136</v>
      </c>
      <c r="L14" s="278" t="s">
        <v>180</v>
      </c>
      <c r="M14" s="277">
        <v>0</v>
      </c>
      <c r="N14" s="277">
        <v>3</v>
      </c>
      <c r="O14" s="277">
        <v>8</v>
      </c>
      <c r="P14" s="274" t="s">
        <v>361</v>
      </c>
      <c r="Q14" s="270"/>
      <c r="R14" s="270"/>
      <c r="S14" s="270"/>
      <c r="T14" s="270"/>
      <c r="U14" s="270"/>
      <c r="V14" s="270"/>
      <c r="W14" s="270"/>
      <c r="X14" s="277" t="s">
        <v>419</v>
      </c>
      <c r="Y14" s="277" t="s">
        <v>424</v>
      </c>
      <c r="Z14" s="277" t="s">
        <v>395</v>
      </c>
      <c r="AA14" s="270"/>
      <c r="AB14" s="270"/>
      <c r="AC14" s="270"/>
      <c r="AD14" s="277" t="s">
        <v>448</v>
      </c>
      <c r="AE14" s="277" t="s">
        <v>443</v>
      </c>
      <c r="AF14" s="277" t="s">
        <v>449</v>
      </c>
      <c r="AG14" s="270"/>
      <c r="AH14" s="270"/>
      <c r="AI14" s="277" t="s">
        <v>450</v>
      </c>
      <c r="AJ14" s="270"/>
    </row>
    <row r="15" spans="1:36" x14ac:dyDescent="0.3">
      <c r="A15" s="272" t="s">
        <v>145</v>
      </c>
      <c r="B15" s="273">
        <v>45984</v>
      </c>
      <c r="C15" s="274" t="s">
        <v>260</v>
      </c>
      <c r="D15" s="275" t="s">
        <v>451</v>
      </c>
      <c r="E15" s="274" t="s">
        <v>203</v>
      </c>
      <c r="F15" s="274" t="s">
        <v>135</v>
      </c>
      <c r="G15" s="276">
        <v>1.0112000000000001</v>
      </c>
      <c r="H15" s="277">
        <v>179</v>
      </c>
      <c r="I15" s="277">
        <v>181</v>
      </c>
      <c r="J15" s="277">
        <v>128</v>
      </c>
      <c r="K15" s="274" t="s">
        <v>136</v>
      </c>
      <c r="L15" s="278" t="s">
        <v>180</v>
      </c>
      <c r="M15" s="277">
        <v>0</v>
      </c>
      <c r="N15" s="277">
        <v>3</v>
      </c>
      <c r="O15" s="277">
        <v>12</v>
      </c>
      <c r="P15" s="274" t="s">
        <v>98</v>
      </c>
      <c r="Q15" s="270"/>
      <c r="R15" s="270"/>
      <c r="S15" s="270"/>
      <c r="T15" s="270"/>
      <c r="U15" s="270"/>
      <c r="V15" s="270"/>
      <c r="W15" s="270"/>
      <c r="X15" s="277" t="s">
        <v>261</v>
      </c>
      <c r="Y15" s="277" t="s">
        <v>452</v>
      </c>
      <c r="Z15" s="277" t="s">
        <v>381</v>
      </c>
      <c r="AA15" s="270"/>
      <c r="AB15" s="277" t="s">
        <v>453</v>
      </c>
      <c r="AC15" s="277" t="s">
        <v>427</v>
      </c>
      <c r="AD15" s="277" t="s">
        <v>428</v>
      </c>
      <c r="AE15" s="277" t="s">
        <v>443</v>
      </c>
      <c r="AF15" s="277" t="s">
        <v>449</v>
      </c>
      <c r="AG15" s="270"/>
      <c r="AH15" s="270"/>
      <c r="AI15" s="277" t="s">
        <v>454</v>
      </c>
      <c r="AJ15" s="270"/>
    </row>
    <row r="16" spans="1:36" ht="21" x14ac:dyDescent="0.3">
      <c r="A16" s="279" t="s">
        <v>946</v>
      </c>
      <c r="B16" s="280"/>
      <c r="C16" s="279">
        <f>SUBTOTAL(103,JED_CAI_LF_LEGACY[Flt])</f>
        <v>14</v>
      </c>
      <c r="D16" s="279"/>
      <c r="E16" s="279">
        <f>SUBTOTAL(103,JED_CAI_LF_LEGACY[Brd-Off])</f>
        <v>14</v>
      </c>
      <c r="F16" s="279"/>
      <c r="G16" s="281">
        <f>SUBTOTAL(101,JED_CAI_LF_LEGACY[LF%])</f>
        <v>0.76967857142857155</v>
      </c>
      <c r="H16" s="282">
        <f>SUBTOTAL(109,JED_CAI_LF_LEGACY[CAP])</f>
        <v>2490</v>
      </c>
      <c r="I16" s="282">
        <f>SUBTOTAL(109,JED_CAI_LF_LEGACY[BKG(Y)])</f>
        <v>1914</v>
      </c>
      <c r="J16" s="282">
        <f>SUBTOTAL(109,JED_CAI_LF_LEGACY[GRP(Y)])</f>
        <v>750</v>
      </c>
      <c r="K16" s="279"/>
      <c r="L16" s="280"/>
      <c r="M16" s="282">
        <f>SUBTOTAL(109,JED_CAI_LF_LEGACY[TO-DAY])</f>
        <v>0</v>
      </c>
      <c r="N16" s="282">
        <f>SUBTOTAL(109,JED_CAI_LF_LEGACY[Y-DAY])</f>
        <v>36</v>
      </c>
      <c r="O16" s="282">
        <f>SUBTOTAL(109,JED_CAI_LF_LEGACY[WEEKLY])</f>
        <v>232</v>
      </c>
      <c r="P16" s="283"/>
      <c r="Q16" s="279">
        <f>SUBTOTAL(109,JED_CAI_LF_LEGACY[Y])</f>
        <v>0</v>
      </c>
      <c r="R16" s="279">
        <f>SUBTOTAL(109,JED_CAI_LF_LEGACY[B])</f>
        <v>0</v>
      </c>
      <c r="S16" s="279">
        <f>SUBTOTAL(109,JED_CAI_LF_LEGACY[M])</f>
        <v>0</v>
      </c>
      <c r="T16" s="279">
        <f>SUBTOTAL(109,JED_CAI_LF_LEGACY[H])</f>
        <v>0</v>
      </c>
      <c r="U16" s="279">
        <f>SUBTOTAL(109,JED_CAI_LF_LEGACY[Q])</f>
        <v>0</v>
      </c>
      <c r="V16" s="279">
        <f>SUBTOTAL(109,JED_CAI_LF_LEGACY[K])</f>
        <v>0</v>
      </c>
      <c r="W16" s="279">
        <f>SUBTOTAL(109,JED_CAI_LF_LEGACY[V])</f>
        <v>0</v>
      </c>
      <c r="X16" s="279">
        <f>SUBTOTAL(109,JED_CAI_LF_LEGACY[L])</f>
        <v>0</v>
      </c>
      <c r="Y16" s="282">
        <f>SUBTOTAL(109,JED_CAI_LF_LEGACY[G])</f>
        <v>0</v>
      </c>
      <c r="Z16" s="282">
        <f>SUBTOTAL(109,JED_CAI_LF_LEGACY[S])</f>
        <v>0</v>
      </c>
      <c r="AA16" s="282">
        <f>SUBTOTAL(109,JED_CAI_LF_LEGACY[W])</f>
        <v>0</v>
      </c>
      <c r="AB16" s="282">
        <f>SUBTOTAL(109,JED_CAI_LF_LEGACY[T])</f>
        <v>0</v>
      </c>
      <c r="AC16" s="282">
        <f>SUBTOTAL(109,JED_CAI_LF_LEGACY[X])</f>
        <v>0</v>
      </c>
      <c r="AD16" s="282">
        <f>SUBTOTAL(109,JED_CAI_LF_LEGACY[U])</f>
        <v>0</v>
      </c>
      <c r="AE16" s="282">
        <f>SUBTOTAL(109,JED_CAI_LF_LEGACY[O])</f>
        <v>0</v>
      </c>
      <c r="AF16" s="282">
        <f>SUBTOTAL(109,JED_CAI_LF_LEGACY[I])</f>
        <v>0</v>
      </c>
      <c r="AG16" s="279">
        <f>SUBTOTAL(109,JED_CAI_LF_LEGACY[E])</f>
        <v>0</v>
      </c>
      <c r="AH16" s="279">
        <f>SUBTOTAL(109,JED_CAI_LF_LEGACY[A])</f>
        <v>0</v>
      </c>
      <c r="AI16" s="282">
        <f>SUBTOTAL(109,JED_CAI_LF_LEGACY[P])</f>
        <v>0</v>
      </c>
      <c r="AJ16" s="279">
        <f>SUBTOTAL(103,JED_CAI_LF_LEGACY[N])</f>
        <v>3</v>
      </c>
    </row>
  </sheetData>
  <pageMargins left="0.75" right="0.75" top="1" bottom="1" header="0.5" footer="0.5"/>
  <tableParts count="1">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191"/>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0" hidden="1" customWidth="1"/>
  </cols>
  <sheetData>
    <row r="1" spans="1:8" ht="18" x14ac:dyDescent="0.3">
      <c r="A1" s="57" t="s">
        <v>156</v>
      </c>
      <c r="B1" s="58" t="s">
        <v>8</v>
      </c>
      <c r="C1" s="58" t="s">
        <v>9</v>
      </c>
      <c r="D1" s="58" t="s">
        <v>157</v>
      </c>
      <c r="E1" s="58" t="s">
        <v>10</v>
      </c>
      <c r="F1" s="58" t="s">
        <v>11</v>
      </c>
      <c r="G1" s="58" t="s">
        <v>12</v>
      </c>
      <c r="H1" s="59" t="s">
        <v>13</v>
      </c>
    </row>
    <row r="2" spans="1:8" ht="19.8" customHeight="1" x14ac:dyDescent="0.3">
      <c r="A2" s="60" t="s">
        <v>158</v>
      </c>
      <c r="B2" s="61" t="s">
        <v>36</v>
      </c>
      <c r="C2" s="62" t="s">
        <v>204</v>
      </c>
      <c r="D2" s="61" t="s">
        <v>203</v>
      </c>
      <c r="E2" s="61" t="s">
        <v>455</v>
      </c>
      <c r="F2" s="61" t="s">
        <v>38</v>
      </c>
      <c r="G2" s="63">
        <v>5</v>
      </c>
      <c r="H2" s="64">
        <v>639</v>
      </c>
    </row>
    <row r="3" spans="1:8" ht="19.8" customHeight="1" x14ac:dyDescent="0.3">
      <c r="A3" s="60" t="s">
        <v>158</v>
      </c>
      <c r="B3" s="61" t="s">
        <v>36</v>
      </c>
      <c r="C3" s="62" t="s">
        <v>208</v>
      </c>
      <c r="D3" s="61" t="s">
        <v>203</v>
      </c>
      <c r="E3" s="61" t="s">
        <v>456</v>
      </c>
      <c r="F3" s="61" t="s">
        <v>38</v>
      </c>
      <c r="G3" s="63">
        <v>10</v>
      </c>
      <c r="H3" s="64">
        <v>689</v>
      </c>
    </row>
    <row r="4" spans="1:8" ht="19.8" customHeight="1" x14ac:dyDescent="0.3">
      <c r="A4" s="60" t="s">
        <v>158</v>
      </c>
      <c r="B4" s="61" t="s">
        <v>36</v>
      </c>
      <c r="C4" s="62" t="s">
        <v>212</v>
      </c>
      <c r="D4" s="61" t="s">
        <v>203</v>
      </c>
      <c r="E4" s="61" t="s">
        <v>457</v>
      </c>
      <c r="F4" s="61" t="s">
        <v>38</v>
      </c>
      <c r="G4" s="63">
        <v>12</v>
      </c>
      <c r="H4" s="64">
        <v>689</v>
      </c>
    </row>
    <row r="5" spans="1:8" ht="19.8" customHeight="1" x14ac:dyDescent="0.3">
      <c r="A5" s="60" t="s">
        <v>158</v>
      </c>
      <c r="B5" s="61" t="s">
        <v>36</v>
      </c>
      <c r="C5" s="62" t="s">
        <v>215</v>
      </c>
      <c r="D5" s="61" t="s">
        <v>203</v>
      </c>
      <c r="E5" s="61" t="s">
        <v>458</v>
      </c>
      <c r="F5" s="61" t="s">
        <v>38</v>
      </c>
      <c r="G5" s="63">
        <v>19</v>
      </c>
      <c r="H5" s="64">
        <v>689</v>
      </c>
    </row>
    <row r="6" spans="1:8" ht="19.8" customHeight="1" x14ac:dyDescent="0.3">
      <c r="A6" s="60" t="s">
        <v>158</v>
      </c>
      <c r="B6" s="61" t="s">
        <v>26</v>
      </c>
      <c r="C6" s="62" t="s">
        <v>218</v>
      </c>
      <c r="D6" s="61" t="s">
        <v>203</v>
      </c>
      <c r="E6" s="61" t="s">
        <v>459</v>
      </c>
      <c r="F6" s="61" t="s">
        <v>28</v>
      </c>
      <c r="G6" s="63">
        <v>7</v>
      </c>
      <c r="H6" s="64">
        <v>719</v>
      </c>
    </row>
    <row r="7" spans="1:8" ht="19.8" customHeight="1" x14ac:dyDescent="0.3">
      <c r="A7" s="60" t="s">
        <v>158</v>
      </c>
      <c r="B7" s="61" t="s">
        <v>26</v>
      </c>
      <c r="C7" s="62" t="s">
        <v>224</v>
      </c>
      <c r="D7" s="61" t="s">
        <v>203</v>
      </c>
      <c r="E7" s="61" t="s">
        <v>146</v>
      </c>
      <c r="F7" s="61" t="s">
        <v>28</v>
      </c>
      <c r="G7" s="63">
        <v>9</v>
      </c>
      <c r="H7" s="64">
        <v>719</v>
      </c>
    </row>
    <row r="8" spans="1:8" ht="19.8" customHeight="1" x14ac:dyDescent="0.3">
      <c r="A8" s="60" t="s">
        <v>158</v>
      </c>
      <c r="B8" s="61" t="s">
        <v>26</v>
      </c>
      <c r="C8" s="62" t="s">
        <v>226</v>
      </c>
      <c r="D8" s="61" t="s">
        <v>203</v>
      </c>
      <c r="E8" s="61" t="s">
        <v>460</v>
      </c>
      <c r="F8" s="61" t="s">
        <v>28</v>
      </c>
      <c r="G8" s="63">
        <v>3</v>
      </c>
      <c r="H8" s="64">
        <v>719</v>
      </c>
    </row>
    <row r="9" spans="1:8" ht="19.8" customHeight="1" x14ac:dyDescent="0.3">
      <c r="A9" s="60" t="s">
        <v>158</v>
      </c>
      <c r="B9" s="61" t="s">
        <v>26</v>
      </c>
      <c r="C9" s="62" t="s">
        <v>227</v>
      </c>
      <c r="D9" s="61" t="s">
        <v>203</v>
      </c>
      <c r="E9" s="61" t="s">
        <v>461</v>
      </c>
      <c r="F9" s="61" t="s">
        <v>28</v>
      </c>
      <c r="G9" s="63">
        <v>8</v>
      </c>
      <c r="H9" s="64">
        <v>719</v>
      </c>
    </row>
    <row r="10" spans="1:8" ht="19.8" customHeight="1" x14ac:dyDescent="0.3">
      <c r="A10" s="60" t="s">
        <v>158</v>
      </c>
      <c r="B10" s="61" t="s">
        <v>26</v>
      </c>
      <c r="C10" s="62" t="s">
        <v>230</v>
      </c>
      <c r="D10" s="61" t="s">
        <v>203</v>
      </c>
      <c r="E10" s="61" t="s">
        <v>134</v>
      </c>
      <c r="F10" s="61" t="s">
        <v>28</v>
      </c>
      <c r="G10" s="63">
        <v>5</v>
      </c>
      <c r="H10" s="64">
        <v>719</v>
      </c>
    </row>
    <row r="11" spans="1:8" ht="19.8" customHeight="1" x14ac:dyDescent="0.3">
      <c r="A11" s="60" t="s">
        <v>158</v>
      </c>
      <c r="B11" s="61" t="s">
        <v>26</v>
      </c>
      <c r="C11" s="62" t="s">
        <v>232</v>
      </c>
      <c r="D11" s="61" t="s">
        <v>203</v>
      </c>
      <c r="E11" s="61" t="s">
        <v>462</v>
      </c>
      <c r="F11" s="61" t="s">
        <v>28</v>
      </c>
      <c r="G11" s="63">
        <v>9</v>
      </c>
      <c r="H11" s="64">
        <v>719</v>
      </c>
    </row>
    <row r="12" spans="1:8" ht="19.8" customHeight="1" x14ac:dyDescent="0.3">
      <c r="A12" s="60" t="s">
        <v>158</v>
      </c>
      <c r="B12" s="61" t="s">
        <v>237</v>
      </c>
      <c r="C12" s="62" t="s">
        <v>238</v>
      </c>
      <c r="D12" s="61" t="s">
        <v>203</v>
      </c>
      <c r="E12" s="61" t="s">
        <v>463</v>
      </c>
      <c r="F12" s="61" t="s">
        <v>239</v>
      </c>
      <c r="G12" s="63">
        <v>9</v>
      </c>
      <c r="H12" s="64">
        <v>742</v>
      </c>
    </row>
    <row r="13" spans="1:8" ht="19.8" customHeight="1" x14ac:dyDescent="0.3">
      <c r="A13" s="60" t="s">
        <v>158</v>
      </c>
      <c r="B13" s="61" t="s">
        <v>243</v>
      </c>
      <c r="C13" s="62" t="s">
        <v>244</v>
      </c>
      <c r="D13" s="61" t="s">
        <v>203</v>
      </c>
      <c r="E13" s="61" t="s">
        <v>464</v>
      </c>
      <c r="F13" s="61" t="s">
        <v>245</v>
      </c>
      <c r="G13" s="63">
        <v>5</v>
      </c>
      <c r="H13" s="64">
        <v>749</v>
      </c>
    </row>
    <row r="14" spans="1:8" ht="19.8" customHeight="1" x14ac:dyDescent="0.3">
      <c r="A14" s="100" t="s">
        <v>158</v>
      </c>
      <c r="B14" s="101" t="s">
        <v>93</v>
      </c>
      <c r="C14" s="102" t="s">
        <v>248</v>
      </c>
      <c r="D14" s="101" t="s">
        <v>203</v>
      </c>
      <c r="E14" s="101" t="s">
        <v>370</v>
      </c>
      <c r="F14" s="101" t="s">
        <v>249</v>
      </c>
      <c r="G14" s="166">
        <v>1</v>
      </c>
      <c r="H14" s="167">
        <v>781</v>
      </c>
    </row>
    <row r="15" spans="1:8" ht="19.8" customHeight="1" x14ac:dyDescent="0.3">
      <c r="A15" s="75">
        <v>45982</v>
      </c>
      <c r="B15" s="61" t="s">
        <v>36</v>
      </c>
      <c r="C15" s="62" t="s">
        <v>204</v>
      </c>
      <c r="D15" s="61" t="s">
        <v>203</v>
      </c>
      <c r="E15" s="76">
        <v>1.8888888888888891</v>
      </c>
      <c r="F15" s="61" t="s">
        <v>41</v>
      </c>
      <c r="G15" s="63">
        <v>5</v>
      </c>
      <c r="H15" s="64">
        <v>789</v>
      </c>
    </row>
    <row r="16" spans="1:8" ht="19.8" customHeight="1" x14ac:dyDescent="0.3">
      <c r="A16" s="75">
        <v>45982</v>
      </c>
      <c r="B16" s="61" t="s">
        <v>237</v>
      </c>
      <c r="C16" s="62" t="s">
        <v>241</v>
      </c>
      <c r="D16" s="61" t="s">
        <v>203</v>
      </c>
      <c r="E16" s="76">
        <v>1.3923611111111109</v>
      </c>
      <c r="F16" s="61" t="s">
        <v>239</v>
      </c>
      <c r="G16" s="63">
        <v>9</v>
      </c>
      <c r="H16" s="64">
        <v>800</v>
      </c>
    </row>
    <row r="17" spans="1:8" ht="19.8" customHeight="1" x14ac:dyDescent="0.3">
      <c r="A17" s="75">
        <v>45982</v>
      </c>
      <c r="B17" s="61" t="s">
        <v>26</v>
      </c>
      <c r="C17" s="62" t="s">
        <v>218</v>
      </c>
      <c r="D17" s="61" t="s">
        <v>203</v>
      </c>
      <c r="E17" s="76">
        <v>1.256944444444444</v>
      </c>
      <c r="F17" s="61" t="s">
        <v>31</v>
      </c>
      <c r="G17" s="63">
        <v>7</v>
      </c>
      <c r="H17" s="64">
        <v>819</v>
      </c>
    </row>
    <row r="18" spans="1:8" ht="19.8" customHeight="1" x14ac:dyDescent="0.3">
      <c r="A18" s="75">
        <v>45982</v>
      </c>
      <c r="B18" s="61" t="s">
        <v>26</v>
      </c>
      <c r="C18" s="62" t="s">
        <v>224</v>
      </c>
      <c r="D18" s="61" t="s">
        <v>203</v>
      </c>
      <c r="E18" s="76">
        <v>1.9027777777777779</v>
      </c>
      <c r="F18" s="61" t="s">
        <v>31</v>
      </c>
      <c r="G18" s="63">
        <v>9</v>
      </c>
      <c r="H18" s="64">
        <v>819</v>
      </c>
    </row>
    <row r="19" spans="1:8" ht="19.8" customHeight="1" x14ac:dyDescent="0.3">
      <c r="A19" s="75">
        <v>45982</v>
      </c>
      <c r="B19" s="61" t="s">
        <v>26</v>
      </c>
      <c r="C19" s="62" t="s">
        <v>226</v>
      </c>
      <c r="D19" s="61" t="s">
        <v>203</v>
      </c>
      <c r="E19" s="76">
        <v>1.645833333333333</v>
      </c>
      <c r="F19" s="61" t="s">
        <v>31</v>
      </c>
      <c r="G19" s="63">
        <v>3</v>
      </c>
      <c r="H19" s="64">
        <v>819</v>
      </c>
    </row>
    <row r="20" spans="1:8" ht="19.8" customHeight="1" x14ac:dyDescent="0.3">
      <c r="A20" s="75">
        <v>45982</v>
      </c>
      <c r="B20" s="61" t="s">
        <v>26</v>
      </c>
      <c r="C20" s="62" t="s">
        <v>227</v>
      </c>
      <c r="D20" s="61" t="s">
        <v>203</v>
      </c>
      <c r="E20" s="76">
        <v>1.854166666666667</v>
      </c>
      <c r="F20" s="61" t="s">
        <v>31</v>
      </c>
      <c r="G20" s="63">
        <v>8</v>
      </c>
      <c r="H20" s="64">
        <v>819</v>
      </c>
    </row>
    <row r="21" spans="1:8" ht="19.8" customHeight="1" x14ac:dyDescent="0.3">
      <c r="A21" s="75">
        <v>45982</v>
      </c>
      <c r="B21" s="61" t="s">
        <v>26</v>
      </c>
      <c r="C21" s="62" t="s">
        <v>230</v>
      </c>
      <c r="D21" s="61" t="s">
        <v>203</v>
      </c>
      <c r="E21" s="76">
        <v>1.395833333333333</v>
      </c>
      <c r="F21" s="61" t="s">
        <v>31</v>
      </c>
      <c r="G21" s="63">
        <v>5</v>
      </c>
      <c r="H21" s="64">
        <v>819</v>
      </c>
    </row>
    <row r="22" spans="1:8" ht="19.8" customHeight="1" x14ac:dyDescent="0.3">
      <c r="A22" s="75">
        <v>45982</v>
      </c>
      <c r="B22" s="61" t="s">
        <v>26</v>
      </c>
      <c r="C22" s="62" t="s">
        <v>232</v>
      </c>
      <c r="D22" s="61" t="s">
        <v>203</v>
      </c>
      <c r="E22" s="76">
        <v>1.7986111111111109</v>
      </c>
      <c r="F22" s="61" t="s">
        <v>31</v>
      </c>
      <c r="G22" s="63">
        <v>9</v>
      </c>
      <c r="H22" s="64">
        <v>819</v>
      </c>
    </row>
    <row r="23" spans="1:8" ht="19.8" customHeight="1" x14ac:dyDescent="0.3">
      <c r="A23" s="75">
        <v>45982</v>
      </c>
      <c r="B23" s="61" t="s">
        <v>26</v>
      </c>
      <c r="C23" s="62" t="s">
        <v>233</v>
      </c>
      <c r="D23" s="61" t="s">
        <v>203</v>
      </c>
      <c r="E23" s="76">
        <v>1.5173611111111109</v>
      </c>
      <c r="F23" s="61" t="s">
        <v>28</v>
      </c>
      <c r="G23" s="63">
        <v>9</v>
      </c>
      <c r="H23" s="64">
        <v>829</v>
      </c>
    </row>
    <row r="24" spans="1:8" ht="19.8" customHeight="1" x14ac:dyDescent="0.3">
      <c r="A24" s="75">
        <v>45982</v>
      </c>
      <c r="B24" s="61" t="s">
        <v>243</v>
      </c>
      <c r="C24" s="62" t="s">
        <v>246</v>
      </c>
      <c r="D24" s="61" t="s">
        <v>203</v>
      </c>
      <c r="E24" s="76">
        <v>1.7152777777777779</v>
      </c>
      <c r="F24" s="61" t="s">
        <v>245</v>
      </c>
      <c r="G24" s="63">
        <v>9</v>
      </c>
      <c r="H24" s="64">
        <v>834</v>
      </c>
    </row>
    <row r="25" spans="1:8" ht="19.8" customHeight="1" x14ac:dyDescent="0.3">
      <c r="A25" s="75">
        <v>45982</v>
      </c>
      <c r="B25" s="61" t="s">
        <v>36</v>
      </c>
      <c r="C25" s="62" t="s">
        <v>208</v>
      </c>
      <c r="D25" s="61" t="s">
        <v>203</v>
      </c>
      <c r="E25" s="76">
        <v>1.302083333333333</v>
      </c>
      <c r="F25" s="61" t="s">
        <v>41</v>
      </c>
      <c r="G25" s="63">
        <v>10</v>
      </c>
      <c r="H25" s="64">
        <v>839</v>
      </c>
    </row>
    <row r="26" spans="1:8" ht="19.8" customHeight="1" x14ac:dyDescent="0.3">
      <c r="A26" s="75">
        <v>45982</v>
      </c>
      <c r="B26" s="61" t="s">
        <v>36</v>
      </c>
      <c r="C26" s="62" t="s">
        <v>212</v>
      </c>
      <c r="D26" s="61" t="s">
        <v>203</v>
      </c>
      <c r="E26" s="76">
        <v>1.1284722222222221</v>
      </c>
      <c r="F26" s="61" t="s">
        <v>41</v>
      </c>
      <c r="G26" s="63">
        <v>12</v>
      </c>
      <c r="H26" s="64">
        <v>839</v>
      </c>
    </row>
    <row r="27" spans="1:8" ht="19.8" customHeight="1" x14ac:dyDescent="0.3">
      <c r="A27" s="75">
        <v>45982</v>
      </c>
      <c r="B27" s="61" t="s">
        <v>36</v>
      </c>
      <c r="C27" s="62" t="s">
        <v>215</v>
      </c>
      <c r="D27" s="61" t="s">
        <v>203</v>
      </c>
      <c r="E27" s="76">
        <v>1.788194444444444</v>
      </c>
      <c r="F27" s="61" t="s">
        <v>41</v>
      </c>
      <c r="G27" s="63">
        <v>19</v>
      </c>
      <c r="H27" s="64">
        <v>839</v>
      </c>
    </row>
    <row r="28" spans="1:8" ht="19.8" customHeight="1" x14ac:dyDescent="0.3">
      <c r="A28" s="168">
        <v>45982</v>
      </c>
      <c r="B28" s="101" t="s">
        <v>93</v>
      </c>
      <c r="C28" s="102" t="s">
        <v>254</v>
      </c>
      <c r="D28" s="101" t="s">
        <v>203</v>
      </c>
      <c r="E28" s="169">
        <v>1.7361111111111109</v>
      </c>
      <c r="F28" s="101" t="s">
        <v>249</v>
      </c>
      <c r="G28" s="166">
        <v>4</v>
      </c>
      <c r="H28" s="167">
        <v>856</v>
      </c>
    </row>
    <row r="29" spans="1:8" ht="19.8" customHeight="1" x14ac:dyDescent="0.3">
      <c r="A29" s="168">
        <v>45982</v>
      </c>
      <c r="B29" s="101" t="s">
        <v>93</v>
      </c>
      <c r="C29" s="102" t="s">
        <v>259</v>
      </c>
      <c r="D29" s="101" t="s">
        <v>203</v>
      </c>
      <c r="E29" s="169">
        <v>1.458333333333333</v>
      </c>
      <c r="F29" s="101" t="s">
        <v>249</v>
      </c>
      <c r="G29" s="166">
        <v>1</v>
      </c>
      <c r="H29" s="167">
        <v>856</v>
      </c>
    </row>
    <row r="30" spans="1:8" ht="19.8" customHeight="1" x14ac:dyDescent="0.3">
      <c r="A30" s="168">
        <v>45982</v>
      </c>
      <c r="B30" s="101" t="s">
        <v>93</v>
      </c>
      <c r="C30" s="102" t="s">
        <v>263</v>
      </c>
      <c r="D30" s="101" t="s">
        <v>203</v>
      </c>
      <c r="E30" s="169">
        <v>1.614583333333333</v>
      </c>
      <c r="F30" s="101" t="s">
        <v>249</v>
      </c>
      <c r="G30" s="166">
        <v>5</v>
      </c>
      <c r="H30" s="167">
        <v>856</v>
      </c>
    </row>
    <row r="31" spans="1:8" ht="19.8" customHeight="1" x14ac:dyDescent="0.3">
      <c r="A31" s="75">
        <v>45982</v>
      </c>
      <c r="B31" s="61" t="s">
        <v>26</v>
      </c>
      <c r="C31" s="62" t="s">
        <v>218</v>
      </c>
      <c r="D31" s="61" t="s">
        <v>203</v>
      </c>
      <c r="E31" s="76">
        <v>1.256944444444444</v>
      </c>
      <c r="F31" s="61" t="s">
        <v>34</v>
      </c>
      <c r="G31" s="63">
        <v>7</v>
      </c>
      <c r="H31" s="64">
        <v>909</v>
      </c>
    </row>
    <row r="32" spans="1:8" ht="19.8" customHeight="1" x14ac:dyDescent="0.3">
      <c r="A32" s="75">
        <v>45982</v>
      </c>
      <c r="B32" s="61" t="s">
        <v>26</v>
      </c>
      <c r="C32" s="62" t="s">
        <v>224</v>
      </c>
      <c r="D32" s="61" t="s">
        <v>203</v>
      </c>
      <c r="E32" s="76">
        <v>1.9027777777777779</v>
      </c>
      <c r="F32" s="61" t="s">
        <v>34</v>
      </c>
      <c r="G32" s="63">
        <v>9</v>
      </c>
      <c r="H32" s="64">
        <v>909</v>
      </c>
    </row>
    <row r="33" spans="1:8" ht="19.8" customHeight="1" x14ac:dyDescent="0.3">
      <c r="A33" s="75">
        <v>45982</v>
      </c>
      <c r="B33" s="61" t="s">
        <v>26</v>
      </c>
      <c r="C33" s="62" t="s">
        <v>226</v>
      </c>
      <c r="D33" s="61" t="s">
        <v>203</v>
      </c>
      <c r="E33" s="76">
        <v>1.645833333333333</v>
      </c>
      <c r="F33" s="61" t="s">
        <v>34</v>
      </c>
      <c r="G33" s="63">
        <v>3</v>
      </c>
      <c r="H33" s="64">
        <v>909</v>
      </c>
    </row>
    <row r="34" spans="1:8" ht="19.8" customHeight="1" x14ac:dyDescent="0.3">
      <c r="A34" s="75">
        <v>45982</v>
      </c>
      <c r="B34" s="61" t="s">
        <v>26</v>
      </c>
      <c r="C34" s="62" t="s">
        <v>227</v>
      </c>
      <c r="D34" s="61" t="s">
        <v>203</v>
      </c>
      <c r="E34" s="76">
        <v>1.854166666666667</v>
      </c>
      <c r="F34" s="61" t="s">
        <v>34</v>
      </c>
      <c r="G34" s="63">
        <v>8</v>
      </c>
      <c r="H34" s="64">
        <v>909</v>
      </c>
    </row>
    <row r="35" spans="1:8" ht="19.8" customHeight="1" x14ac:dyDescent="0.3">
      <c r="A35" s="75">
        <v>45982</v>
      </c>
      <c r="B35" s="61" t="s">
        <v>26</v>
      </c>
      <c r="C35" s="62" t="s">
        <v>230</v>
      </c>
      <c r="D35" s="61" t="s">
        <v>203</v>
      </c>
      <c r="E35" s="76">
        <v>1.395833333333333</v>
      </c>
      <c r="F35" s="61" t="s">
        <v>34</v>
      </c>
      <c r="G35" s="63">
        <v>5</v>
      </c>
      <c r="H35" s="64">
        <v>909</v>
      </c>
    </row>
    <row r="36" spans="1:8" ht="19.8" customHeight="1" x14ac:dyDescent="0.3">
      <c r="A36" s="75">
        <v>45982</v>
      </c>
      <c r="B36" s="61" t="s">
        <v>26</v>
      </c>
      <c r="C36" s="62" t="s">
        <v>232</v>
      </c>
      <c r="D36" s="61" t="s">
        <v>203</v>
      </c>
      <c r="E36" s="76">
        <v>1.7986111111111109</v>
      </c>
      <c r="F36" s="61" t="s">
        <v>34</v>
      </c>
      <c r="G36" s="63">
        <v>9</v>
      </c>
      <c r="H36" s="64">
        <v>909</v>
      </c>
    </row>
    <row r="37" spans="1:8" ht="19.8" customHeight="1" x14ac:dyDescent="0.3">
      <c r="A37" s="75">
        <v>45982</v>
      </c>
      <c r="B37" s="61" t="s">
        <v>26</v>
      </c>
      <c r="C37" s="62" t="s">
        <v>233</v>
      </c>
      <c r="D37" s="61" t="s">
        <v>203</v>
      </c>
      <c r="E37" s="76">
        <v>1.5173611111111109</v>
      </c>
      <c r="F37" s="61" t="s">
        <v>31</v>
      </c>
      <c r="G37" s="63">
        <v>9</v>
      </c>
      <c r="H37" s="64">
        <v>929</v>
      </c>
    </row>
    <row r="38" spans="1:8" ht="19.8" customHeight="1" x14ac:dyDescent="0.3">
      <c r="A38" s="168">
        <v>45982</v>
      </c>
      <c r="B38" s="101" t="s">
        <v>93</v>
      </c>
      <c r="C38" s="102" t="s">
        <v>266</v>
      </c>
      <c r="D38" s="101" t="s">
        <v>203</v>
      </c>
      <c r="E38" s="169">
        <v>1.319444444444444</v>
      </c>
      <c r="F38" s="101" t="s">
        <v>249</v>
      </c>
      <c r="G38" s="166">
        <v>7</v>
      </c>
      <c r="H38" s="167">
        <v>952</v>
      </c>
    </row>
    <row r="39" spans="1:8" ht="19.8" customHeight="1" x14ac:dyDescent="0.3">
      <c r="A39" s="75">
        <v>45982</v>
      </c>
      <c r="B39" s="61" t="s">
        <v>26</v>
      </c>
      <c r="C39" s="62" t="s">
        <v>233</v>
      </c>
      <c r="D39" s="61" t="s">
        <v>203</v>
      </c>
      <c r="E39" s="76">
        <v>1.5173611111111109</v>
      </c>
      <c r="F39" s="61" t="s">
        <v>34</v>
      </c>
      <c r="G39" s="63">
        <v>9</v>
      </c>
      <c r="H39" s="65" t="s">
        <v>236</v>
      </c>
    </row>
    <row r="40" spans="1:8" ht="19.8" customHeight="1" x14ac:dyDescent="0.3">
      <c r="A40" s="75">
        <v>45982</v>
      </c>
      <c r="B40" s="61" t="s">
        <v>36</v>
      </c>
      <c r="C40" s="62" t="s">
        <v>208</v>
      </c>
      <c r="D40" s="61" t="s">
        <v>203</v>
      </c>
      <c r="E40" s="76">
        <v>1.302083333333333</v>
      </c>
      <c r="F40" s="61" t="s">
        <v>44</v>
      </c>
      <c r="G40" s="63">
        <v>10</v>
      </c>
      <c r="H40" s="65" t="s">
        <v>85</v>
      </c>
    </row>
    <row r="41" spans="1:8" ht="19.8" customHeight="1" x14ac:dyDescent="0.3">
      <c r="A41" s="75">
        <v>45982</v>
      </c>
      <c r="B41" s="61" t="s">
        <v>36</v>
      </c>
      <c r="C41" s="62" t="s">
        <v>212</v>
      </c>
      <c r="D41" s="61" t="s">
        <v>203</v>
      </c>
      <c r="E41" s="76">
        <v>1.1284722222222221</v>
      </c>
      <c r="F41" s="61" t="s">
        <v>44</v>
      </c>
      <c r="G41" s="63">
        <v>12</v>
      </c>
      <c r="H41" s="65" t="s">
        <v>85</v>
      </c>
    </row>
    <row r="42" spans="1:8" ht="19.8" customHeight="1" x14ac:dyDescent="0.3">
      <c r="A42" s="75">
        <v>45982</v>
      </c>
      <c r="B42" s="61" t="s">
        <v>36</v>
      </c>
      <c r="C42" s="62" t="s">
        <v>204</v>
      </c>
      <c r="D42" s="61" t="s">
        <v>203</v>
      </c>
      <c r="E42" s="76">
        <v>1.8888888888888891</v>
      </c>
      <c r="F42" s="61" t="s">
        <v>44</v>
      </c>
      <c r="G42" s="63">
        <v>5</v>
      </c>
      <c r="H42" s="65" t="s">
        <v>85</v>
      </c>
    </row>
    <row r="43" spans="1:8" ht="19.8" customHeight="1" x14ac:dyDescent="0.3">
      <c r="A43" s="75">
        <v>45982</v>
      </c>
      <c r="B43" s="61" t="s">
        <v>46</v>
      </c>
      <c r="C43" s="62" t="s">
        <v>276</v>
      </c>
      <c r="D43" s="61" t="s">
        <v>203</v>
      </c>
      <c r="E43" s="76">
        <v>1.229166666666667</v>
      </c>
      <c r="F43" s="61" t="s">
        <v>48</v>
      </c>
      <c r="G43" s="63">
        <v>9</v>
      </c>
      <c r="H43" s="65" t="s">
        <v>277</v>
      </c>
    </row>
    <row r="44" spans="1:8" ht="19.8" customHeight="1" x14ac:dyDescent="0.3">
      <c r="A44" s="75">
        <v>45982</v>
      </c>
      <c r="B44" s="61" t="s">
        <v>56</v>
      </c>
      <c r="C44" s="62" t="s">
        <v>287</v>
      </c>
      <c r="D44" s="61" t="s">
        <v>203</v>
      </c>
      <c r="E44" s="76">
        <v>1.239583333333333</v>
      </c>
      <c r="F44" s="61" t="s">
        <v>62</v>
      </c>
      <c r="G44" s="63">
        <v>9</v>
      </c>
      <c r="H44" s="65" t="s">
        <v>288</v>
      </c>
    </row>
    <row r="45" spans="1:8" ht="19.8" customHeight="1" x14ac:dyDescent="0.3">
      <c r="A45" s="75">
        <v>45982</v>
      </c>
      <c r="B45" s="61" t="s">
        <v>46</v>
      </c>
      <c r="C45" s="62" t="s">
        <v>278</v>
      </c>
      <c r="D45" s="61" t="s">
        <v>203</v>
      </c>
      <c r="E45" s="76">
        <v>1.145833333333333</v>
      </c>
      <c r="F45" s="61" t="s">
        <v>48</v>
      </c>
      <c r="G45" s="63">
        <v>9</v>
      </c>
      <c r="H45" s="65" t="s">
        <v>279</v>
      </c>
    </row>
    <row r="46" spans="1:8" ht="19.8" customHeight="1" x14ac:dyDescent="0.3">
      <c r="A46" s="75">
        <v>45982</v>
      </c>
      <c r="B46" s="61" t="s">
        <v>46</v>
      </c>
      <c r="C46" s="62" t="s">
        <v>280</v>
      </c>
      <c r="D46" s="61" t="s">
        <v>203</v>
      </c>
      <c r="E46" s="76">
        <v>1.9652777777777779</v>
      </c>
      <c r="F46" s="61" t="s">
        <v>48</v>
      </c>
      <c r="G46" s="63">
        <v>9</v>
      </c>
      <c r="H46" s="65" t="s">
        <v>279</v>
      </c>
    </row>
    <row r="47" spans="1:8" ht="19.8" customHeight="1" x14ac:dyDescent="0.3">
      <c r="A47" s="75">
        <v>45982</v>
      </c>
      <c r="B47" s="61" t="s">
        <v>46</v>
      </c>
      <c r="C47" s="62" t="s">
        <v>281</v>
      </c>
      <c r="D47" s="61" t="s">
        <v>203</v>
      </c>
      <c r="E47" s="76">
        <v>1.791666666666667</v>
      </c>
      <c r="F47" s="61" t="s">
        <v>48</v>
      </c>
      <c r="G47" s="63">
        <v>9</v>
      </c>
      <c r="H47" s="65" t="s">
        <v>279</v>
      </c>
    </row>
    <row r="48" spans="1:8" ht="19.8" customHeight="1" x14ac:dyDescent="0.3">
      <c r="A48" s="75">
        <v>45982</v>
      </c>
      <c r="B48" s="61" t="s">
        <v>46</v>
      </c>
      <c r="C48" s="62" t="s">
        <v>282</v>
      </c>
      <c r="D48" s="61" t="s">
        <v>203</v>
      </c>
      <c r="E48" s="76">
        <v>1.0138888888888891</v>
      </c>
      <c r="F48" s="61" t="s">
        <v>48</v>
      </c>
      <c r="G48" s="63">
        <v>9</v>
      </c>
      <c r="H48" s="65" t="s">
        <v>283</v>
      </c>
    </row>
    <row r="49" spans="1:8" ht="19.8" customHeight="1" x14ac:dyDescent="0.3">
      <c r="A49" s="75">
        <v>45982</v>
      </c>
      <c r="B49" s="61" t="s">
        <v>56</v>
      </c>
      <c r="C49" s="62" t="s">
        <v>287</v>
      </c>
      <c r="D49" s="61" t="s">
        <v>203</v>
      </c>
      <c r="E49" s="76">
        <v>1.239583333333333</v>
      </c>
      <c r="F49" s="61" t="s">
        <v>58</v>
      </c>
      <c r="G49" s="63">
        <v>9</v>
      </c>
      <c r="H49" s="65" t="s">
        <v>289</v>
      </c>
    </row>
    <row r="50" spans="1:8" ht="19.8" customHeight="1" x14ac:dyDescent="0.3">
      <c r="A50" s="75">
        <v>45982</v>
      </c>
      <c r="B50" s="61" t="s">
        <v>56</v>
      </c>
      <c r="C50" s="62" t="s">
        <v>290</v>
      </c>
      <c r="D50" s="61" t="s">
        <v>203</v>
      </c>
      <c r="E50" s="76">
        <v>1.006944444444444</v>
      </c>
      <c r="F50" s="61" t="s">
        <v>62</v>
      </c>
      <c r="G50" s="63">
        <v>9</v>
      </c>
      <c r="H50" s="65" t="s">
        <v>291</v>
      </c>
    </row>
    <row r="51" spans="1:8" ht="19.8" customHeight="1" x14ac:dyDescent="0.3">
      <c r="A51" s="75">
        <v>45982</v>
      </c>
      <c r="B51" s="61" t="s">
        <v>46</v>
      </c>
      <c r="C51" s="62" t="s">
        <v>284</v>
      </c>
      <c r="D51" s="61" t="s">
        <v>203</v>
      </c>
      <c r="E51" s="76">
        <v>1.506944444444444</v>
      </c>
      <c r="F51" s="61" t="s">
        <v>48</v>
      </c>
      <c r="G51" s="63">
        <v>9</v>
      </c>
      <c r="H51" s="65" t="s">
        <v>285</v>
      </c>
    </row>
    <row r="52" spans="1:8" ht="19.8" customHeight="1" x14ac:dyDescent="0.3">
      <c r="A52" s="75">
        <v>45982</v>
      </c>
      <c r="B52" s="61" t="s">
        <v>46</v>
      </c>
      <c r="C52" s="62" t="s">
        <v>286</v>
      </c>
      <c r="D52" s="61" t="s">
        <v>203</v>
      </c>
      <c r="E52" s="76">
        <v>1.2777777777777779</v>
      </c>
      <c r="F52" s="61" t="s">
        <v>48</v>
      </c>
      <c r="G52" s="63">
        <v>9</v>
      </c>
      <c r="H52" s="65" t="s">
        <v>285</v>
      </c>
    </row>
    <row r="53" spans="1:8" ht="19.8" customHeight="1" x14ac:dyDescent="0.3">
      <c r="A53" s="75">
        <v>45982</v>
      </c>
      <c r="B53" s="61" t="s">
        <v>36</v>
      </c>
      <c r="C53" s="62" t="s">
        <v>215</v>
      </c>
      <c r="D53" s="61" t="s">
        <v>203</v>
      </c>
      <c r="E53" s="76">
        <v>1.788194444444444</v>
      </c>
      <c r="F53" s="61" t="s">
        <v>44</v>
      </c>
      <c r="G53" s="63">
        <v>19</v>
      </c>
      <c r="H53" s="65" t="s">
        <v>45</v>
      </c>
    </row>
    <row r="54" spans="1:8" ht="19.8" customHeight="1" x14ac:dyDescent="0.3">
      <c r="A54" s="75">
        <v>45982</v>
      </c>
      <c r="B54" s="61" t="s">
        <v>56</v>
      </c>
      <c r="C54" s="62" t="s">
        <v>290</v>
      </c>
      <c r="D54" s="61" t="s">
        <v>203</v>
      </c>
      <c r="E54" s="76">
        <v>1.006944444444444</v>
      </c>
      <c r="F54" s="61" t="s">
        <v>58</v>
      </c>
      <c r="G54" s="63">
        <v>9</v>
      </c>
      <c r="H54" s="65" t="s">
        <v>292</v>
      </c>
    </row>
    <row r="55" spans="1:8" ht="19.8" customHeight="1" x14ac:dyDescent="0.3">
      <c r="A55" s="75">
        <v>45982</v>
      </c>
      <c r="B55" s="61" t="s">
        <v>56</v>
      </c>
      <c r="C55" s="62" t="s">
        <v>293</v>
      </c>
      <c r="D55" s="61" t="s">
        <v>203</v>
      </c>
      <c r="E55" s="76">
        <v>1.1423611111111109</v>
      </c>
      <c r="F55" s="61" t="s">
        <v>62</v>
      </c>
      <c r="G55" s="63">
        <v>9</v>
      </c>
      <c r="H55" s="65" t="s">
        <v>294</v>
      </c>
    </row>
    <row r="56" spans="1:8" ht="19.8" customHeight="1" x14ac:dyDescent="0.3">
      <c r="A56" s="75">
        <v>45982</v>
      </c>
      <c r="B56" s="61" t="s">
        <v>56</v>
      </c>
      <c r="C56" s="62" t="s">
        <v>296</v>
      </c>
      <c r="D56" s="61" t="s">
        <v>203</v>
      </c>
      <c r="E56" s="76">
        <v>1.930555555555556</v>
      </c>
      <c r="F56" s="61" t="s">
        <v>62</v>
      </c>
      <c r="G56" s="63">
        <v>9</v>
      </c>
      <c r="H56" s="65" t="s">
        <v>294</v>
      </c>
    </row>
    <row r="57" spans="1:8" ht="19.8" customHeight="1" x14ac:dyDescent="0.3">
      <c r="A57" s="75">
        <v>45982</v>
      </c>
      <c r="B57" s="61" t="s">
        <v>56</v>
      </c>
      <c r="C57" s="62" t="s">
        <v>293</v>
      </c>
      <c r="D57" s="61" t="s">
        <v>203</v>
      </c>
      <c r="E57" s="76">
        <v>1.1423611111111109</v>
      </c>
      <c r="F57" s="61" t="s">
        <v>58</v>
      </c>
      <c r="G57" s="63">
        <v>9</v>
      </c>
      <c r="H57" s="65" t="s">
        <v>295</v>
      </c>
    </row>
    <row r="58" spans="1:8" ht="19.8" customHeight="1" x14ac:dyDescent="0.3">
      <c r="A58" s="75">
        <v>45982</v>
      </c>
      <c r="B58" s="61" t="s">
        <v>56</v>
      </c>
      <c r="C58" s="62" t="s">
        <v>296</v>
      </c>
      <c r="D58" s="61" t="s">
        <v>203</v>
      </c>
      <c r="E58" s="76">
        <v>1.930555555555556</v>
      </c>
      <c r="F58" s="61" t="s">
        <v>58</v>
      </c>
      <c r="G58" s="63">
        <v>9</v>
      </c>
      <c r="H58" s="65" t="s">
        <v>295</v>
      </c>
    </row>
    <row r="59" spans="1:8" ht="19.8" customHeight="1" x14ac:dyDescent="0.3">
      <c r="A59" s="75">
        <v>45982</v>
      </c>
      <c r="B59" s="61" t="s">
        <v>56</v>
      </c>
      <c r="C59" s="62" t="s">
        <v>297</v>
      </c>
      <c r="D59" s="61" t="s">
        <v>203</v>
      </c>
      <c r="E59" s="76">
        <v>1.8888888888888891</v>
      </c>
      <c r="F59" s="61" t="s">
        <v>58</v>
      </c>
      <c r="G59" s="63">
        <v>4</v>
      </c>
      <c r="H59" s="65" t="s">
        <v>298</v>
      </c>
    </row>
    <row r="60" spans="1:8" ht="19.8" customHeight="1" x14ac:dyDescent="0.3">
      <c r="A60" s="75">
        <v>45982</v>
      </c>
      <c r="B60" s="61" t="s">
        <v>56</v>
      </c>
      <c r="C60" s="62" t="s">
        <v>299</v>
      </c>
      <c r="D60" s="61" t="s">
        <v>203</v>
      </c>
      <c r="E60" s="76">
        <v>1.3784722222222221</v>
      </c>
      <c r="F60" s="61" t="s">
        <v>62</v>
      </c>
      <c r="G60" s="63">
        <v>9</v>
      </c>
      <c r="H60" s="65" t="s">
        <v>300</v>
      </c>
    </row>
    <row r="61" spans="1:8" ht="19.8" customHeight="1" x14ac:dyDescent="0.3">
      <c r="A61" s="75">
        <v>45982</v>
      </c>
      <c r="B61" s="61" t="s">
        <v>56</v>
      </c>
      <c r="C61" s="62" t="s">
        <v>302</v>
      </c>
      <c r="D61" s="61" t="s">
        <v>203</v>
      </c>
      <c r="E61" s="76">
        <v>1.71875</v>
      </c>
      <c r="F61" s="61" t="s">
        <v>62</v>
      </c>
      <c r="G61" s="63">
        <v>9</v>
      </c>
      <c r="H61" s="65" t="s">
        <v>300</v>
      </c>
    </row>
    <row r="62" spans="1:8" ht="19.8" customHeight="1" x14ac:dyDescent="0.3">
      <c r="A62" s="75">
        <v>45982</v>
      </c>
      <c r="B62" s="61" t="s">
        <v>56</v>
      </c>
      <c r="C62" s="62" t="s">
        <v>303</v>
      </c>
      <c r="D62" s="61" t="s">
        <v>203</v>
      </c>
      <c r="E62" s="76">
        <v>1.6111111111111109</v>
      </c>
      <c r="F62" s="61" t="s">
        <v>62</v>
      </c>
      <c r="G62" s="63">
        <v>9</v>
      </c>
      <c r="H62" s="65" t="s">
        <v>300</v>
      </c>
    </row>
    <row r="63" spans="1:8" ht="19.8" customHeight="1" x14ac:dyDescent="0.3">
      <c r="A63" s="75">
        <v>45982</v>
      </c>
      <c r="B63" s="61" t="s">
        <v>56</v>
      </c>
      <c r="C63" s="62" t="s">
        <v>304</v>
      </c>
      <c r="D63" s="61" t="s">
        <v>203</v>
      </c>
      <c r="E63" s="76">
        <v>1.8298611111111109</v>
      </c>
      <c r="F63" s="61" t="s">
        <v>62</v>
      </c>
      <c r="G63" s="63">
        <v>9</v>
      </c>
      <c r="H63" s="65" t="s">
        <v>300</v>
      </c>
    </row>
    <row r="64" spans="1:8" ht="19.8" customHeight="1" x14ac:dyDescent="0.3">
      <c r="A64" s="75">
        <v>45982</v>
      </c>
      <c r="B64" s="61" t="s">
        <v>56</v>
      </c>
      <c r="C64" s="62" t="s">
        <v>305</v>
      </c>
      <c r="D64" s="61" t="s">
        <v>203</v>
      </c>
      <c r="E64" s="76">
        <v>1.302083333333333</v>
      </c>
      <c r="F64" s="61" t="s">
        <v>58</v>
      </c>
      <c r="G64" s="63">
        <v>4</v>
      </c>
      <c r="H64" s="65" t="s">
        <v>306</v>
      </c>
    </row>
    <row r="65" spans="1:8" ht="19.8" customHeight="1" x14ac:dyDescent="0.3">
      <c r="A65" s="75">
        <v>45982</v>
      </c>
      <c r="B65" s="61" t="s">
        <v>56</v>
      </c>
      <c r="C65" s="62" t="s">
        <v>307</v>
      </c>
      <c r="D65" s="61" t="s">
        <v>203</v>
      </c>
      <c r="E65" s="76">
        <v>1.1284722222222221</v>
      </c>
      <c r="F65" s="61" t="s">
        <v>58</v>
      </c>
      <c r="G65" s="63">
        <v>4</v>
      </c>
      <c r="H65" s="65" t="s">
        <v>306</v>
      </c>
    </row>
    <row r="66" spans="1:8" ht="19.8" customHeight="1" x14ac:dyDescent="0.3">
      <c r="A66" s="75">
        <v>45982</v>
      </c>
      <c r="B66" s="61" t="s">
        <v>56</v>
      </c>
      <c r="C66" s="62" t="s">
        <v>308</v>
      </c>
      <c r="D66" s="61" t="s">
        <v>203</v>
      </c>
      <c r="E66" s="76">
        <v>1.788194444444444</v>
      </c>
      <c r="F66" s="61" t="s">
        <v>58</v>
      </c>
      <c r="G66" s="63">
        <v>4</v>
      </c>
      <c r="H66" s="65" t="s">
        <v>306</v>
      </c>
    </row>
    <row r="67" spans="1:8" ht="19.8" customHeight="1" x14ac:dyDescent="0.3">
      <c r="A67" s="75">
        <v>45982</v>
      </c>
      <c r="B67" s="61" t="s">
        <v>56</v>
      </c>
      <c r="C67" s="62" t="s">
        <v>299</v>
      </c>
      <c r="D67" s="61" t="s">
        <v>203</v>
      </c>
      <c r="E67" s="76">
        <v>1.3784722222222221</v>
      </c>
      <c r="F67" s="61" t="s">
        <v>58</v>
      </c>
      <c r="G67" s="63">
        <v>9</v>
      </c>
      <c r="H67" s="65" t="s">
        <v>301</v>
      </c>
    </row>
    <row r="68" spans="1:8" ht="19.8" customHeight="1" x14ac:dyDescent="0.3">
      <c r="A68" s="75">
        <v>45982</v>
      </c>
      <c r="B68" s="61" t="s">
        <v>56</v>
      </c>
      <c r="C68" s="62" t="s">
        <v>302</v>
      </c>
      <c r="D68" s="61" t="s">
        <v>203</v>
      </c>
      <c r="E68" s="76">
        <v>1.71875</v>
      </c>
      <c r="F68" s="61" t="s">
        <v>58</v>
      </c>
      <c r="G68" s="63">
        <v>9</v>
      </c>
      <c r="H68" s="65" t="s">
        <v>301</v>
      </c>
    </row>
    <row r="69" spans="1:8" ht="19.8" customHeight="1" x14ac:dyDescent="0.3">
      <c r="A69" s="75">
        <v>45982</v>
      </c>
      <c r="B69" s="61" t="s">
        <v>56</v>
      </c>
      <c r="C69" s="62" t="s">
        <v>303</v>
      </c>
      <c r="D69" s="61" t="s">
        <v>203</v>
      </c>
      <c r="E69" s="76">
        <v>1.6111111111111109</v>
      </c>
      <c r="F69" s="61" t="s">
        <v>58</v>
      </c>
      <c r="G69" s="63">
        <v>9</v>
      </c>
      <c r="H69" s="65" t="s">
        <v>301</v>
      </c>
    </row>
    <row r="70" spans="1:8" ht="19.8" customHeight="1" x14ac:dyDescent="0.3">
      <c r="A70" s="75">
        <v>45982</v>
      </c>
      <c r="B70" s="61" t="s">
        <v>56</v>
      </c>
      <c r="C70" s="62" t="s">
        <v>304</v>
      </c>
      <c r="D70" s="61" t="s">
        <v>203</v>
      </c>
      <c r="E70" s="76">
        <v>1.8298611111111109</v>
      </c>
      <c r="F70" s="61" t="s">
        <v>58</v>
      </c>
      <c r="G70" s="63">
        <v>9</v>
      </c>
      <c r="H70" s="65" t="s">
        <v>301</v>
      </c>
    </row>
    <row r="71" spans="1:8" ht="19.8" customHeight="1" x14ac:dyDescent="0.3">
      <c r="A71" s="77">
        <v>45982</v>
      </c>
      <c r="B71" s="72" t="s">
        <v>93</v>
      </c>
      <c r="C71" s="73" t="s">
        <v>273</v>
      </c>
      <c r="D71" s="72" t="s">
        <v>203</v>
      </c>
      <c r="E71" s="78">
        <v>1.9375</v>
      </c>
      <c r="F71" s="72" t="s">
        <v>95</v>
      </c>
      <c r="G71" s="72"/>
      <c r="H71" s="74" t="s">
        <v>96</v>
      </c>
    </row>
    <row r="72" spans="1:8" ht="19.8" customHeight="1" x14ac:dyDescent="0.3">
      <c r="A72" s="75">
        <v>45983</v>
      </c>
      <c r="B72" s="61" t="s">
        <v>36</v>
      </c>
      <c r="C72" s="62" t="s">
        <v>208</v>
      </c>
      <c r="D72" s="61" t="s">
        <v>203</v>
      </c>
      <c r="E72" s="76">
        <v>1.302083333333333</v>
      </c>
      <c r="F72" s="61" t="s">
        <v>38</v>
      </c>
      <c r="G72" s="63">
        <v>8</v>
      </c>
      <c r="H72" s="64">
        <v>639</v>
      </c>
    </row>
    <row r="73" spans="1:8" ht="19.8" customHeight="1" x14ac:dyDescent="0.3">
      <c r="A73" s="75">
        <v>45983</v>
      </c>
      <c r="B73" s="61" t="s">
        <v>36</v>
      </c>
      <c r="C73" s="62" t="s">
        <v>212</v>
      </c>
      <c r="D73" s="61" t="s">
        <v>203</v>
      </c>
      <c r="E73" s="76">
        <v>1.1284722222222221</v>
      </c>
      <c r="F73" s="61" t="s">
        <v>38</v>
      </c>
      <c r="G73" s="63">
        <v>17</v>
      </c>
      <c r="H73" s="64">
        <v>639</v>
      </c>
    </row>
    <row r="74" spans="1:8" ht="19.8" customHeight="1" x14ac:dyDescent="0.3">
      <c r="A74" s="75">
        <v>45983</v>
      </c>
      <c r="B74" s="61" t="s">
        <v>36</v>
      </c>
      <c r="C74" s="62" t="s">
        <v>204</v>
      </c>
      <c r="D74" s="61" t="s">
        <v>203</v>
      </c>
      <c r="E74" s="76">
        <v>1.8888888888888891</v>
      </c>
      <c r="F74" s="61" t="s">
        <v>38</v>
      </c>
      <c r="G74" s="63">
        <v>11</v>
      </c>
      <c r="H74" s="64">
        <v>639</v>
      </c>
    </row>
    <row r="75" spans="1:8" ht="19.8" customHeight="1" x14ac:dyDescent="0.3">
      <c r="A75" s="75">
        <v>45983</v>
      </c>
      <c r="B75" s="61" t="s">
        <v>26</v>
      </c>
      <c r="C75" s="62" t="s">
        <v>218</v>
      </c>
      <c r="D75" s="61" t="s">
        <v>203</v>
      </c>
      <c r="E75" s="76">
        <v>1.256944444444444</v>
      </c>
      <c r="F75" s="61" t="s">
        <v>28</v>
      </c>
      <c r="G75" s="63">
        <v>5</v>
      </c>
      <c r="H75" s="64">
        <v>669</v>
      </c>
    </row>
    <row r="76" spans="1:8" ht="19.8" customHeight="1" x14ac:dyDescent="0.3">
      <c r="A76" s="75">
        <v>45983</v>
      </c>
      <c r="B76" s="61" t="s">
        <v>26</v>
      </c>
      <c r="C76" s="62" t="s">
        <v>224</v>
      </c>
      <c r="D76" s="61" t="s">
        <v>203</v>
      </c>
      <c r="E76" s="76">
        <v>1.9027777777777779</v>
      </c>
      <c r="F76" s="61" t="s">
        <v>28</v>
      </c>
      <c r="G76" s="63">
        <v>9</v>
      </c>
      <c r="H76" s="64">
        <v>669</v>
      </c>
    </row>
    <row r="77" spans="1:8" ht="19.8" customHeight="1" x14ac:dyDescent="0.3">
      <c r="A77" s="75">
        <v>45983</v>
      </c>
      <c r="B77" s="61" t="s">
        <v>26</v>
      </c>
      <c r="C77" s="62" t="s">
        <v>226</v>
      </c>
      <c r="D77" s="61" t="s">
        <v>203</v>
      </c>
      <c r="E77" s="76">
        <v>1.6597222222222221</v>
      </c>
      <c r="F77" s="61" t="s">
        <v>28</v>
      </c>
      <c r="G77" s="63">
        <v>2</v>
      </c>
      <c r="H77" s="64">
        <v>669</v>
      </c>
    </row>
    <row r="78" spans="1:8" ht="19.8" customHeight="1" x14ac:dyDescent="0.3">
      <c r="A78" s="75">
        <v>45983</v>
      </c>
      <c r="B78" s="61" t="s">
        <v>26</v>
      </c>
      <c r="C78" s="62" t="s">
        <v>233</v>
      </c>
      <c r="D78" s="61" t="s">
        <v>203</v>
      </c>
      <c r="E78" s="76">
        <v>1.5173611111111109</v>
      </c>
      <c r="F78" s="61" t="s">
        <v>28</v>
      </c>
      <c r="G78" s="63">
        <v>2</v>
      </c>
      <c r="H78" s="64">
        <v>669</v>
      </c>
    </row>
    <row r="79" spans="1:8" ht="19.8" customHeight="1" x14ac:dyDescent="0.3">
      <c r="A79" s="75">
        <v>45983</v>
      </c>
      <c r="B79" s="61" t="s">
        <v>26</v>
      </c>
      <c r="C79" s="62" t="s">
        <v>227</v>
      </c>
      <c r="D79" s="61" t="s">
        <v>203</v>
      </c>
      <c r="E79" s="76">
        <v>1.854166666666667</v>
      </c>
      <c r="F79" s="61" t="s">
        <v>28</v>
      </c>
      <c r="G79" s="63">
        <v>5</v>
      </c>
      <c r="H79" s="64">
        <v>669</v>
      </c>
    </row>
    <row r="80" spans="1:8" ht="19.8" customHeight="1" x14ac:dyDescent="0.3">
      <c r="A80" s="75">
        <v>45983</v>
      </c>
      <c r="B80" s="61" t="s">
        <v>26</v>
      </c>
      <c r="C80" s="62" t="s">
        <v>230</v>
      </c>
      <c r="D80" s="61" t="s">
        <v>203</v>
      </c>
      <c r="E80" s="76">
        <v>1.395833333333333</v>
      </c>
      <c r="F80" s="61" t="s">
        <v>28</v>
      </c>
      <c r="G80" s="63">
        <v>8</v>
      </c>
      <c r="H80" s="64">
        <v>669</v>
      </c>
    </row>
    <row r="81" spans="1:8" ht="19.8" customHeight="1" x14ac:dyDescent="0.3">
      <c r="A81" s="75">
        <v>45983</v>
      </c>
      <c r="B81" s="61" t="s">
        <v>26</v>
      </c>
      <c r="C81" s="62" t="s">
        <v>232</v>
      </c>
      <c r="D81" s="61" t="s">
        <v>203</v>
      </c>
      <c r="E81" s="76">
        <v>1.7986111111111109</v>
      </c>
      <c r="F81" s="61" t="s">
        <v>28</v>
      </c>
      <c r="G81" s="63">
        <v>5</v>
      </c>
      <c r="H81" s="64">
        <v>669</v>
      </c>
    </row>
    <row r="82" spans="1:8" ht="19.8" customHeight="1" x14ac:dyDescent="0.3">
      <c r="A82" s="75">
        <v>45983</v>
      </c>
      <c r="B82" s="61" t="s">
        <v>36</v>
      </c>
      <c r="C82" s="62" t="s">
        <v>215</v>
      </c>
      <c r="D82" s="61" t="s">
        <v>203</v>
      </c>
      <c r="E82" s="76">
        <v>1.788194444444444</v>
      </c>
      <c r="F82" s="61" t="s">
        <v>38</v>
      </c>
      <c r="G82" s="63">
        <v>13</v>
      </c>
      <c r="H82" s="64">
        <v>689</v>
      </c>
    </row>
    <row r="83" spans="1:8" ht="19.8" customHeight="1" x14ac:dyDescent="0.3">
      <c r="A83" s="75">
        <v>45983</v>
      </c>
      <c r="B83" s="61" t="s">
        <v>237</v>
      </c>
      <c r="C83" s="62" t="s">
        <v>241</v>
      </c>
      <c r="D83" s="61" t="s">
        <v>203</v>
      </c>
      <c r="E83" s="76">
        <v>1.288194444444444</v>
      </c>
      <c r="F83" s="61" t="s">
        <v>319</v>
      </c>
      <c r="G83" s="63">
        <v>9</v>
      </c>
      <c r="H83" s="64">
        <v>700</v>
      </c>
    </row>
    <row r="84" spans="1:8" ht="19.8" customHeight="1" x14ac:dyDescent="0.3">
      <c r="A84" s="75">
        <v>45983</v>
      </c>
      <c r="B84" s="61" t="s">
        <v>237</v>
      </c>
      <c r="C84" s="62" t="s">
        <v>322</v>
      </c>
      <c r="D84" s="61" t="s">
        <v>203</v>
      </c>
      <c r="E84" s="76">
        <v>1.2152777777777779</v>
      </c>
      <c r="F84" s="61" t="s">
        <v>319</v>
      </c>
      <c r="G84" s="63">
        <v>9</v>
      </c>
      <c r="H84" s="64">
        <v>700</v>
      </c>
    </row>
    <row r="85" spans="1:8" ht="19.8" customHeight="1" x14ac:dyDescent="0.3">
      <c r="A85" s="75">
        <v>45983</v>
      </c>
      <c r="B85" s="61" t="s">
        <v>243</v>
      </c>
      <c r="C85" s="62" t="s">
        <v>246</v>
      </c>
      <c r="D85" s="61" t="s">
        <v>203</v>
      </c>
      <c r="E85" s="76">
        <v>1.666666666666667</v>
      </c>
      <c r="F85" s="61" t="s">
        <v>245</v>
      </c>
      <c r="G85" s="63">
        <v>1</v>
      </c>
      <c r="H85" s="64">
        <v>749</v>
      </c>
    </row>
    <row r="86" spans="1:8" ht="19.8" customHeight="1" x14ac:dyDescent="0.3">
      <c r="A86" s="75">
        <v>45983</v>
      </c>
      <c r="B86" s="61" t="s">
        <v>26</v>
      </c>
      <c r="C86" s="62" t="s">
        <v>218</v>
      </c>
      <c r="D86" s="61" t="s">
        <v>203</v>
      </c>
      <c r="E86" s="76">
        <v>1.256944444444444</v>
      </c>
      <c r="F86" s="61" t="s">
        <v>31</v>
      </c>
      <c r="G86" s="63">
        <v>5</v>
      </c>
      <c r="H86" s="64">
        <v>769</v>
      </c>
    </row>
    <row r="87" spans="1:8" ht="19.8" customHeight="1" x14ac:dyDescent="0.3">
      <c r="A87" s="75">
        <v>45983</v>
      </c>
      <c r="B87" s="61" t="s">
        <v>26</v>
      </c>
      <c r="C87" s="62" t="s">
        <v>224</v>
      </c>
      <c r="D87" s="61" t="s">
        <v>203</v>
      </c>
      <c r="E87" s="76">
        <v>1.9027777777777779</v>
      </c>
      <c r="F87" s="61" t="s">
        <v>31</v>
      </c>
      <c r="G87" s="63">
        <v>9</v>
      </c>
      <c r="H87" s="64">
        <v>769</v>
      </c>
    </row>
    <row r="88" spans="1:8" ht="19.8" customHeight="1" x14ac:dyDescent="0.3">
      <c r="A88" s="75">
        <v>45983</v>
      </c>
      <c r="B88" s="61" t="s">
        <v>26</v>
      </c>
      <c r="C88" s="62" t="s">
        <v>226</v>
      </c>
      <c r="D88" s="61" t="s">
        <v>203</v>
      </c>
      <c r="E88" s="76">
        <v>1.6597222222222221</v>
      </c>
      <c r="F88" s="61" t="s">
        <v>31</v>
      </c>
      <c r="G88" s="63">
        <v>2</v>
      </c>
      <c r="H88" s="64">
        <v>769</v>
      </c>
    </row>
    <row r="89" spans="1:8" ht="19.8" customHeight="1" x14ac:dyDescent="0.3">
      <c r="A89" s="75">
        <v>45983</v>
      </c>
      <c r="B89" s="61" t="s">
        <v>26</v>
      </c>
      <c r="C89" s="62" t="s">
        <v>233</v>
      </c>
      <c r="D89" s="61" t="s">
        <v>203</v>
      </c>
      <c r="E89" s="76">
        <v>1.5173611111111109</v>
      </c>
      <c r="F89" s="61" t="s">
        <v>31</v>
      </c>
      <c r="G89" s="63">
        <v>2</v>
      </c>
      <c r="H89" s="64">
        <v>769</v>
      </c>
    </row>
    <row r="90" spans="1:8" ht="19.8" customHeight="1" x14ac:dyDescent="0.3">
      <c r="A90" s="75">
        <v>45983</v>
      </c>
      <c r="B90" s="61" t="s">
        <v>26</v>
      </c>
      <c r="C90" s="62" t="s">
        <v>227</v>
      </c>
      <c r="D90" s="61" t="s">
        <v>203</v>
      </c>
      <c r="E90" s="76">
        <v>1.854166666666667</v>
      </c>
      <c r="F90" s="61" t="s">
        <v>31</v>
      </c>
      <c r="G90" s="63">
        <v>5</v>
      </c>
      <c r="H90" s="64">
        <v>769</v>
      </c>
    </row>
    <row r="91" spans="1:8" ht="19.8" customHeight="1" x14ac:dyDescent="0.3">
      <c r="A91" s="75">
        <v>45983</v>
      </c>
      <c r="B91" s="61" t="s">
        <v>26</v>
      </c>
      <c r="C91" s="62" t="s">
        <v>230</v>
      </c>
      <c r="D91" s="61" t="s">
        <v>203</v>
      </c>
      <c r="E91" s="76">
        <v>1.395833333333333</v>
      </c>
      <c r="F91" s="61" t="s">
        <v>31</v>
      </c>
      <c r="G91" s="63">
        <v>8</v>
      </c>
      <c r="H91" s="64">
        <v>769</v>
      </c>
    </row>
    <row r="92" spans="1:8" ht="19.8" customHeight="1" x14ac:dyDescent="0.3">
      <c r="A92" s="75">
        <v>45983</v>
      </c>
      <c r="B92" s="61" t="s">
        <v>26</v>
      </c>
      <c r="C92" s="62" t="s">
        <v>232</v>
      </c>
      <c r="D92" s="61" t="s">
        <v>203</v>
      </c>
      <c r="E92" s="76">
        <v>1.7986111111111109</v>
      </c>
      <c r="F92" s="61" t="s">
        <v>31</v>
      </c>
      <c r="G92" s="63">
        <v>5</v>
      </c>
      <c r="H92" s="64">
        <v>769</v>
      </c>
    </row>
    <row r="93" spans="1:8" ht="19.8" customHeight="1" x14ac:dyDescent="0.3">
      <c r="A93" s="75">
        <v>45983</v>
      </c>
      <c r="B93" s="61" t="s">
        <v>36</v>
      </c>
      <c r="C93" s="62" t="s">
        <v>208</v>
      </c>
      <c r="D93" s="61" t="s">
        <v>203</v>
      </c>
      <c r="E93" s="76">
        <v>1.302083333333333</v>
      </c>
      <c r="F93" s="61" t="s">
        <v>41</v>
      </c>
      <c r="G93" s="63">
        <v>8</v>
      </c>
      <c r="H93" s="64">
        <v>789</v>
      </c>
    </row>
    <row r="94" spans="1:8" ht="19.8" customHeight="1" x14ac:dyDescent="0.3">
      <c r="A94" s="75">
        <v>45983</v>
      </c>
      <c r="B94" s="61" t="s">
        <v>36</v>
      </c>
      <c r="C94" s="62" t="s">
        <v>212</v>
      </c>
      <c r="D94" s="61" t="s">
        <v>203</v>
      </c>
      <c r="E94" s="76">
        <v>1.1284722222222221</v>
      </c>
      <c r="F94" s="61" t="s">
        <v>41</v>
      </c>
      <c r="G94" s="63">
        <v>17</v>
      </c>
      <c r="H94" s="64">
        <v>789</v>
      </c>
    </row>
    <row r="95" spans="1:8" ht="19.8" customHeight="1" x14ac:dyDescent="0.3">
      <c r="A95" s="75">
        <v>45983</v>
      </c>
      <c r="B95" s="61" t="s">
        <v>36</v>
      </c>
      <c r="C95" s="62" t="s">
        <v>204</v>
      </c>
      <c r="D95" s="61" t="s">
        <v>203</v>
      </c>
      <c r="E95" s="76">
        <v>1.8888888888888891</v>
      </c>
      <c r="F95" s="61" t="s">
        <v>41</v>
      </c>
      <c r="G95" s="63">
        <v>11</v>
      </c>
      <c r="H95" s="64">
        <v>789</v>
      </c>
    </row>
    <row r="96" spans="1:8" ht="19.8" customHeight="1" x14ac:dyDescent="0.3">
      <c r="A96" s="75">
        <v>45983</v>
      </c>
      <c r="B96" s="61" t="s">
        <v>323</v>
      </c>
      <c r="C96" s="62" t="s">
        <v>324</v>
      </c>
      <c r="D96" s="61" t="s">
        <v>203</v>
      </c>
      <c r="E96" s="76">
        <v>1.270833333333333</v>
      </c>
      <c r="F96" s="61" t="s">
        <v>245</v>
      </c>
      <c r="G96" s="63">
        <v>1</v>
      </c>
      <c r="H96" s="64">
        <v>835</v>
      </c>
    </row>
    <row r="97" spans="1:8" ht="19.8" customHeight="1" x14ac:dyDescent="0.3">
      <c r="A97" s="75">
        <v>45983</v>
      </c>
      <c r="B97" s="61" t="s">
        <v>36</v>
      </c>
      <c r="C97" s="62" t="s">
        <v>215</v>
      </c>
      <c r="D97" s="61" t="s">
        <v>203</v>
      </c>
      <c r="E97" s="76">
        <v>1.788194444444444</v>
      </c>
      <c r="F97" s="61" t="s">
        <v>41</v>
      </c>
      <c r="G97" s="63">
        <v>13</v>
      </c>
      <c r="H97" s="64">
        <v>839</v>
      </c>
    </row>
    <row r="98" spans="1:8" ht="19.8" customHeight="1" x14ac:dyDescent="0.3">
      <c r="A98" s="75">
        <v>45983</v>
      </c>
      <c r="B98" s="61" t="s">
        <v>26</v>
      </c>
      <c r="C98" s="62" t="s">
        <v>218</v>
      </c>
      <c r="D98" s="61" t="s">
        <v>203</v>
      </c>
      <c r="E98" s="76">
        <v>1.256944444444444</v>
      </c>
      <c r="F98" s="61" t="s">
        <v>34</v>
      </c>
      <c r="G98" s="63">
        <v>5</v>
      </c>
      <c r="H98" s="64">
        <v>859</v>
      </c>
    </row>
    <row r="99" spans="1:8" ht="19.8" customHeight="1" x14ac:dyDescent="0.3">
      <c r="A99" s="75">
        <v>45983</v>
      </c>
      <c r="B99" s="61" t="s">
        <v>26</v>
      </c>
      <c r="C99" s="62" t="s">
        <v>224</v>
      </c>
      <c r="D99" s="61" t="s">
        <v>203</v>
      </c>
      <c r="E99" s="76">
        <v>1.9027777777777779</v>
      </c>
      <c r="F99" s="61" t="s">
        <v>34</v>
      </c>
      <c r="G99" s="63">
        <v>9</v>
      </c>
      <c r="H99" s="64">
        <v>859</v>
      </c>
    </row>
    <row r="100" spans="1:8" ht="19.8" customHeight="1" x14ac:dyDescent="0.3">
      <c r="A100" s="75">
        <v>45983</v>
      </c>
      <c r="B100" s="61" t="s">
        <v>26</v>
      </c>
      <c r="C100" s="62" t="s">
        <v>226</v>
      </c>
      <c r="D100" s="61" t="s">
        <v>203</v>
      </c>
      <c r="E100" s="76">
        <v>1.6597222222222221</v>
      </c>
      <c r="F100" s="61" t="s">
        <v>34</v>
      </c>
      <c r="G100" s="63">
        <v>2</v>
      </c>
      <c r="H100" s="64">
        <v>859</v>
      </c>
    </row>
    <row r="101" spans="1:8" ht="19.8" customHeight="1" x14ac:dyDescent="0.3">
      <c r="A101" s="75">
        <v>45983</v>
      </c>
      <c r="B101" s="61" t="s">
        <v>26</v>
      </c>
      <c r="C101" s="62" t="s">
        <v>233</v>
      </c>
      <c r="D101" s="61" t="s">
        <v>203</v>
      </c>
      <c r="E101" s="76">
        <v>1.5173611111111109</v>
      </c>
      <c r="F101" s="61" t="s">
        <v>34</v>
      </c>
      <c r="G101" s="63">
        <v>2</v>
      </c>
      <c r="H101" s="64">
        <v>859</v>
      </c>
    </row>
    <row r="102" spans="1:8" ht="19.8" customHeight="1" x14ac:dyDescent="0.3">
      <c r="A102" s="75">
        <v>45983</v>
      </c>
      <c r="B102" s="61" t="s">
        <v>26</v>
      </c>
      <c r="C102" s="62" t="s">
        <v>227</v>
      </c>
      <c r="D102" s="61" t="s">
        <v>203</v>
      </c>
      <c r="E102" s="76">
        <v>1.854166666666667</v>
      </c>
      <c r="F102" s="61" t="s">
        <v>34</v>
      </c>
      <c r="G102" s="63">
        <v>5</v>
      </c>
      <c r="H102" s="64">
        <v>859</v>
      </c>
    </row>
    <row r="103" spans="1:8" ht="19.8" customHeight="1" x14ac:dyDescent="0.3">
      <c r="A103" s="75">
        <v>45983</v>
      </c>
      <c r="B103" s="61" t="s">
        <v>26</v>
      </c>
      <c r="C103" s="62" t="s">
        <v>230</v>
      </c>
      <c r="D103" s="61" t="s">
        <v>203</v>
      </c>
      <c r="E103" s="76">
        <v>1.395833333333333</v>
      </c>
      <c r="F103" s="61" t="s">
        <v>34</v>
      </c>
      <c r="G103" s="63">
        <v>8</v>
      </c>
      <c r="H103" s="64">
        <v>859</v>
      </c>
    </row>
    <row r="104" spans="1:8" ht="19.8" customHeight="1" x14ac:dyDescent="0.3">
      <c r="A104" s="75">
        <v>45983</v>
      </c>
      <c r="B104" s="61" t="s">
        <v>26</v>
      </c>
      <c r="C104" s="62" t="s">
        <v>232</v>
      </c>
      <c r="D104" s="61" t="s">
        <v>203</v>
      </c>
      <c r="E104" s="76">
        <v>1.7986111111111109</v>
      </c>
      <c r="F104" s="61" t="s">
        <v>34</v>
      </c>
      <c r="G104" s="63">
        <v>5</v>
      </c>
      <c r="H104" s="64">
        <v>859</v>
      </c>
    </row>
    <row r="105" spans="1:8" ht="19.8" customHeight="1" x14ac:dyDescent="0.3">
      <c r="A105" s="75">
        <v>45983</v>
      </c>
      <c r="B105" s="61" t="s">
        <v>237</v>
      </c>
      <c r="C105" s="62" t="s">
        <v>241</v>
      </c>
      <c r="D105" s="61" t="s">
        <v>203</v>
      </c>
      <c r="E105" s="76">
        <v>1.288194444444444</v>
      </c>
      <c r="F105" s="61" t="s">
        <v>44</v>
      </c>
      <c r="G105" s="63">
        <v>9</v>
      </c>
      <c r="H105" s="64">
        <v>926</v>
      </c>
    </row>
    <row r="106" spans="1:8" ht="19.8" customHeight="1" x14ac:dyDescent="0.3">
      <c r="A106" s="75">
        <v>45983</v>
      </c>
      <c r="B106" s="61" t="s">
        <v>237</v>
      </c>
      <c r="C106" s="62" t="s">
        <v>322</v>
      </c>
      <c r="D106" s="61" t="s">
        <v>203</v>
      </c>
      <c r="E106" s="76">
        <v>1.2152777777777779</v>
      </c>
      <c r="F106" s="61" t="s">
        <v>44</v>
      </c>
      <c r="G106" s="63">
        <v>9</v>
      </c>
      <c r="H106" s="64">
        <v>926</v>
      </c>
    </row>
    <row r="107" spans="1:8" ht="19.8" customHeight="1" x14ac:dyDescent="0.3">
      <c r="A107" s="168">
        <v>45983</v>
      </c>
      <c r="B107" s="101" t="s">
        <v>93</v>
      </c>
      <c r="C107" s="102" t="s">
        <v>259</v>
      </c>
      <c r="D107" s="101" t="s">
        <v>203</v>
      </c>
      <c r="E107" s="169">
        <v>1.680555555555556</v>
      </c>
      <c r="F107" s="101" t="s">
        <v>249</v>
      </c>
      <c r="G107" s="166">
        <v>1</v>
      </c>
      <c r="H107" s="103" t="s">
        <v>326</v>
      </c>
    </row>
    <row r="108" spans="1:8" ht="19.8" customHeight="1" x14ac:dyDescent="0.3">
      <c r="A108" s="75">
        <v>45983</v>
      </c>
      <c r="B108" s="61" t="s">
        <v>46</v>
      </c>
      <c r="C108" s="62" t="s">
        <v>276</v>
      </c>
      <c r="D108" s="61" t="s">
        <v>203</v>
      </c>
      <c r="E108" s="76">
        <v>1.229166666666667</v>
      </c>
      <c r="F108" s="61" t="s">
        <v>48</v>
      </c>
      <c r="G108" s="63">
        <v>9</v>
      </c>
      <c r="H108" s="65" t="s">
        <v>333</v>
      </c>
    </row>
    <row r="109" spans="1:8" ht="19.8" customHeight="1" x14ac:dyDescent="0.3">
      <c r="A109" s="75">
        <v>45983</v>
      </c>
      <c r="B109" s="61" t="s">
        <v>36</v>
      </c>
      <c r="C109" s="62" t="s">
        <v>208</v>
      </c>
      <c r="D109" s="61" t="s">
        <v>203</v>
      </c>
      <c r="E109" s="76">
        <v>1.302083333333333</v>
      </c>
      <c r="F109" s="61" t="s">
        <v>44</v>
      </c>
      <c r="G109" s="63">
        <v>8</v>
      </c>
      <c r="H109" s="65" t="s">
        <v>85</v>
      </c>
    </row>
    <row r="110" spans="1:8" ht="19.8" customHeight="1" x14ac:dyDescent="0.3">
      <c r="A110" s="75">
        <v>45983</v>
      </c>
      <c r="B110" s="61" t="s">
        <v>36</v>
      </c>
      <c r="C110" s="62" t="s">
        <v>212</v>
      </c>
      <c r="D110" s="61" t="s">
        <v>203</v>
      </c>
      <c r="E110" s="76">
        <v>1.1284722222222221</v>
      </c>
      <c r="F110" s="61" t="s">
        <v>44</v>
      </c>
      <c r="G110" s="63">
        <v>17</v>
      </c>
      <c r="H110" s="65" t="s">
        <v>85</v>
      </c>
    </row>
    <row r="111" spans="1:8" ht="19.8" customHeight="1" x14ac:dyDescent="0.3">
      <c r="A111" s="75">
        <v>45983</v>
      </c>
      <c r="B111" s="61" t="s">
        <v>36</v>
      </c>
      <c r="C111" s="62" t="s">
        <v>215</v>
      </c>
      <c r="D111" s="61" t="s">
        <v>203</v>
      </c>
      <c r="E111" s="76">
        <v>1.788194444444444</v>
      </c>
      <c r="F111" s="61" t="s">
        <v>44</v>
      </c>
      <c r="G111" s="63">
        <v>13</v>
      </c>
      <c r="H111" s="65" t="s">
        <v>85</v>
      </c>
    </row>
    <row r="112" spans="1:8" ht="19.8" customHeight="1" x14ac:dyDescent="0.3">
      <c r="A112" s="75">
        <v>45983</v>
      </c>
      <c r="B112" s="61" t="s">
        <v>36</v>
      </c>
      <c r="C112" s="62" t="s">
        <v>204</v>
      </c>
      <c r="D112" s="61" t="s">
        <v>203</v>
      </c>
      <c r="E112" s="76">
        <v>1.8888888888888891</v>
      </c>
      <c r="F112" s="61" t="s">
        <v>44</v>
      </c>
      <c r="G112" s="63">
        <v>11</v>
      </c>
      <c r="H112" s="65" t="s">
        <v>85</v>
      </c>
    </row>
    <row r="113" spans="1:8" ht="19.8" customHeight="1" x14ac:dyDescent="0.3">
      <c r="A113" s="75">
        <v>45983</v>
      </c>
      <c r="B113" s="61" t="s">
        <v>56</v>
      </c>
      <c r="C113" s="62" t="s">
        <v>299</v>
      </c>
      <c r="D113" s="61" t="s">
        <v>203</v>
      </c>
      <c r="E113" s="76">
        <v>1.3784722222222221</v>
      </c>
      <c r="F113" s="61" t="s">
        <v>62</v>
      </c>
      <c r="G113" s="63">
        <v>9</v>
      </c>
      <c r="H113" s="65" t="s">
        <v>288</v>
      </c>
    </row>
    <row r="114" spans="1:8" ht="19.8" customHeight="1" x14ac:dyDescent="0.3">
      <c r="A114" s="75">
        <v>45983</v>
      </c>
      <c r="B114" s="61" t="s">
        <v>56</v>
      </c>
      <c r="C114" s="62" t="s">
        <v>302</v>
      </c>
      <c r="D114" s="61" t="s">
        <v>203</v>
      </c>
      <c r="E114" s="76">
        <v>1.71875</v>
      </c>
      <c r="F114" s="61" t="s">
        <v>62</v>
      </c>
      <c r="G114" s="63">
        <v>9</v>
      </c>
      <c r="H114" s="65" t="s">
        <v>288</v>
      </c>
    </row>
    <row r="115" spans="1:8" ht="19.8" customHeight="1" x14ac:dyDescent="0.3">
      <c r="A115" s="75">
        <v>45983</v>
      </c>
      <c r="B115" s="61" t="s">
        <v>56</v>
      </c>
      <c r="C115" s="62" t="s">
        <v>290</v>
      </c>
      <c r="D115" s="61" t="s">
        <v>203</v>
      </c>
      <c r="E115" s="76">
        <v>1.006944444444444</v>
      </c>
      <c r="F115" s="61" t="s">
        <v>62</v>
      </c>
      <c r="G115" s="63">
        <v>9</v>
      </c>
      <c r="H115" s="65" t="s">
        <v>288</v>
      </c>
    </row>
    <row r="116" spans="1:8" ht="19.8" customHeight="1" x14ac:dyDescent="0.3">
      <c r="A116" s="75">
        <v>45983</v>
      </c>
      <c r="B116" s="61" t="s">
        <v>56</v>
      </c>
      <c r="C116" s="62" t="s">
        <v>287</v>
      </c>
      <c r="D116" s="61" t="s">
        <v>203</v>
      </c>
      <c r="E116" s="76">
        <v>1.243055555555556</v>
      </c>
      <c r="F116" s="61" t="s">
        <v>62</v>
      </c>
      <c r="G116" s="63">
        <v>9</v>
      </c>
      <c r="H116" s="65" t="s">
        <v>288</v>
      </c>
    </row>
    <row r="117" spans="1:8" ht="19.8" customHeight="1" x14ac:dyDescent="0.3">
      <c r="A117" s="75">
        <v>45983</v>
      </c>
      <c r="B117" s="61" t="s">
        <v>56</v>
      </c>
      <c r="C117" s="62" t="s">
        <v>293</v>
      </c>
      <c r="D117" s="61" t="s">
        <v>203</v>
      </c>
      <c r="E117" s="76">
        <v>1.1423611111111109</v>
      </c>
      <c r="F117" s="61" t="s">
        <v>62</v>
      </c>
      <c r="G117" s="63">
        <v>9</v>
      </c>
      <c r="H117" s="65" t="s">
        <v>288</v>
      </c>
    </row>
    <row r="118" spans="1:8" ht="19.8" customHeight="1" x14ac:dyDescent="0.3">
      <c r="A118" s="75">
        <v>45983</v>
      </c>
      <c r="B118" s="61" t="s">
        <v>56</v>
      </c>
      <c r="C118" s="62" t="s">
        <v>296</v>
      </c>
      <c r="D118" s="61" t="s">
        <v>203</v>
      </c>
      <c r="E118" s="76">
        <v>1.930555555555556</v>
      </c>
      <c r="F118" s="61" t="s">
        <v>62</v>
      </c>
      <c r="G118" s="63">
        <v>9</v>
      </c>
      <c r="H118" s="65" t="s">
        <v>288</v>
      </c>
    </row>
    <row r="119" spans="1:8" ht="19.8" customHeight="1" x14ac:dyDescent="0.3">
      <c r="A119" s="75">
        <v>45983</v>
      </c>
      <c r="B119" s="61" t="s">
        <v>46</v>
      </c>
      <c r="C119" s="62" t="s">
        <v>276</v>
      </c>
      <c r="D119" s="61" t="s">
        <v>203</v>
      </c>
      <c r="E119" s="76">
        <v>1.229166666666667</v>
      </c>
      <c r="F119" s="61" t="s">
        <v>48</v>
      </c>
      <c r="G119" s="63">
        <v>9</v>
      </c>
      <c r="H119" s="65" t="s">
        <v>279</v>
      </c>
    </row>
    <row r="120" spans="1:8" ht="19.8" customHeight="1" x14ac:dyDescent="0.3">
      <c r="A120" s="75">
        <v>45983</v>
      </c>
      <c r="B120" s="61" t="s">
        <v>46</v>
      </c>
      <c r="C120" s="62" t="s">
        <v>286</v>
      </c>
      <c r="D120" s="61" t="s">
        <v>203</v>
      </c>
      <c r="E120" s="76">
        <v>1.2777777777777779</v>
      </c>
      <c r="F120" s="61" t="s">
        <v>48</v>
      </c>
      <c r="G120" s="63">
        <v>9</v>
      </c>
      <c r="H120" s="65" t="s">
        <v>334</v>
      </c>
    </row>
    <row r="121" spans="1:8" ht="19.8" customHeight="1" x14ac:dyDescent="0.3">
      <c r="A121" s="75">
        <v>45983</v>
      </c>
      <c r="B121" s="61" t="s">
        <v>46</v>
      </c>
      <c r="C121" s="62" t="s">
        <v>282</v>
      </c>
      <c r="D121" s="61" t="s">
        <v>203</v>
      </c>
      <c r="E121" s="76">
        <v>1.0138888888888891</v>
      </c>
      <c r="F121" s="61" t="s">
        <v>48</v>
      </c>
      <c r="G121" s="63">
        <v>9</v>
      </c>
      <c r="H121" s="65" t="s">
        <v>335</v>
      </c>
    </row>
    <row r="122" spans="1:8" ht="19.8" customHeight="1" x14ac:dyDescent="0.3">
      <c r="A122" s="75">
        <v>45983</v>
      </c>
      <c r="B122" s="61" t="s">
        <v>56</v>
      </c>
      <c r="C122" s="62" t="s">
        <v>299</v>
      </c>
      <c r="D122" s="61" t="s">
        <v>203</v>
      </c>
      <c r="E122" s="76">
        <v>1.3784722222222221</v>
      </c>
      <c r="F122" s="61" t="s">
        <v>58</v>
      </c>
      <c r="G122" s="63">
        <v>9</v>
      </c>
      <c r="H122" s="65" t="s">
        <v>289</v>
      </c>
    </row>
    <row r="123" spans="1:8" ht="19.8" customHeight="1" x14ac:dyDescent="0.3">
      <c r="A123" s="75">
        <v>45983</v>
      </c>
      <c r="B123" s="61" t="s">
        <v>56</v>
      </c>
      <c r="C123" s="62" t="s">
        <v>302</v>
      </c>
      <c r="D123" s="61" t="s">
        <v>203</v>
      </c>
      <c r="E123" s="76">
        <v>1.71875</v>
      </c>
      <c r="F123" s="61" t="s">
        <v>58</v>
      </c>
      <c r="G123" s="63">
        <v>9</v>
      </c>
      <c r="H123" s="65" t="s">
        <v>289</v>
      </c>
    </row>
    <row r="124" spans="1:8" ht="19.8" customHeight="1" x14ac:dyDescent="0.3">
      <c r="A124" s="75">
        <v>45983</v>
      </c>
      <c r="B124" s="61" t="s">
        <v>56</v>
      </c>
      <c r="C124" s="62" t="s">
        <v>290</v>
      </c>
      <c r="D124" s="61" t="s">
        <v>203</v>
      </c>
      <c r="E124" s="76">
        <v>1.006944444444444</v>
      </c>
      <c r="F124" s="61" t="s">
        <v>58</v>
      </c>
      <c r="G124" s="63">
        <v>9</v>
      </c>
      <c r="H124" s="65" t="s">
        <v>289</v>
      </c>
    </row>
    <row r="125" spans="1:8" ht="19.8" customHeight="1" x14ac:dyDescent="0.3">
      <c r="A125" s="75">
        <v>45983</v>
      </c>
      <c r="B125" s="61" t="s">
        <v>56</v>
      </c>
      <c r="C125" s="62" t="s">
        <v>287</v>
      </c>
      <c r="D125" s="61" t="s">
        <v>203</v>
      </c>
      <c r="E125" s="76">
        <v>1.243055555555556</v>
      </c>
      <c r="F125" s="61" t="s">
        <v>58</v>
      </c>
      <c r="G125" s="63">
        <v>9</v>
      </c>
      <c r="H125" s="65" t="s">
        <v>289</v>
      </c>
    </row>
    <row r="126" spans="1:8" ht="19.8" customHeight="1" x14ac:dyDescent="0.3">
      <c r="A126" s="75">
        <v>45983</v>
      </c>
      <c r="B126" s="61" t="s">
        <v>56</v>
      </c>
      <c r="C126" s="62" t="s">
        <v>293</v>
      </c>
      <c r="D126" s="61" t="s">
        <v>203</v>
      </c>
      <c r="E126" s="76">
        <v>1.1423611111111109</v>
      </c>
      <c r="F126" s="61" t="s">
        <v>58</v>
      </c>
      <c r="G126" s="63">
        <v>9</v>
      </c>
      <c r="H126" s="65" t="s">
        <v>289</v>
      </c>
    </row>
    <row r="127" spans="1:8" ht="19.8" customHeight="1" x14ac:dyDescent="0.3">
      <c r="A127" s="75">
        <v>45983</v>
      </c>
      <c r="B127" s="61" t="s">
        <v>56</v>
      </c>
      <c r="C127" s="62" t="s">
        <v>296</v>
      </c>
      <c r="D127" s="61" t="s">
        <v>203</v>
      </c>
      <c r="E127" s="76">
        <v>1.930555555555556</v>
      </c>
      <c r="F127" s="61" t="s">
        <v>58</v>
      </c>
      <c r="G127" s="63">
        <v>9</v>
      </c>
      <c r="H127" s="65" t="s">
        <v>289</v>
      </c>
    </row>
    <row r="128" spans="1:8" ht="19.8" customHeight="1" x14ac:dyDescent="0.3">
      <c r="A128" s="75">
        <v>45983</v>
      </c>
      <c r="B128" s="61" t="s">
        <v>46</v>
      </c>
      <c r="C128" s="62" t="s">
        <v>286</v>
      </c>
      <c r="D128" s="61" t="s">
        <v>203</v>
      </c>
      <c r="E128" s="76">
        <v>1.2777777777777779</v>
      </c>
      <c r="F128" s="61" t="s">
        <v>48</v>
      </c>
      <c r="G128" s="63">
        <v>9</v>
      </c>
      <c r="H128" s="65" t="s">
        <v>285</v>
      </c>
    </row>
    <row r="129" spans="1:8" ht="19.8" customHeight="1" x14ac:dyDescent="0.3">
      <c r="A129" s="75">
        <v>45983</v>
      </c>
      <c r="B129" s="61" t="s">
        <v>46</v>
      </c>
      <c r="C129" s="62" t="s">
        <v>282</v>
      </c>
      <c r="D129" s="61" t="s">
        <v>203</v>
      </c>
      <c r="E129" s="76">
        <v>1.0138888888888891</v>
      </c>
      <c r="F129" s="61" t="s">
        <v>48</v>
      </c>
      <c r="G129" s="63">
        <v>9</v>
      </c>
      <c r="H129" s="65" t="s">
        <v>336</v>
      </c>
    </row>
    <row r="130" spans="1:8" ht="19.8" customHeight="1" x14ac:dyDescent="0.3">
      <c r="A130" s="75">
        <v>45983</v>
      </c>
      <c r="B130" s="61" t="s">
        <v>56</v>
      </c>
      <c r="C130" s="62" t="s">
        <v>303</v>
      </c>
      <c r="D130" s="61" t="s">
        <v>203</v>
      </c>
      <c r="E130" s="76">
        <v>1.6111111111111109</v>
      </c>
      <c r="F130" s="61" t="s">
        <v>62</v>
      </c>
      <c r="G130" s="63">
        <v>9</v>
      </c>
      <c r="H130" s="65" t="s">
        <v>294</v>
      </c>
    </row>
    <row r="131" spans="1:8" ht="19.8" customHeight="1" x14ac:dyDescent="0.3">
      <c r="A131" s="75">
        <v>45983</v>
      </c>
      <c r="B131" s="61" t="s">
        <v>56</v>
      </c>
      <c r="C131" s="62" t="s">
        <v>303</v>
      </c>
      <c r="D131" s="61" t="s">
        <v>203</v>
      </c>
      <c r="E131" s="76">
        <v>1.6111111111111109</v>
      </c>
      <c r="F131" s="61" t="s">
        <v>58</v>
      </c>
      <c r="G131" s="63">
        <v>9</v>
      </c>
      <c r="H131" s="65" t="s">
        <v>295</v>
      </c>
    </row>
    <row r="132" spans="1:8" ht="19.8" customHeight="1" x14ac:dyDescent="0.3">
      <c r="A132" s="75">
        <v>45983</v>
      </c>
      <c r="B132" s="61" t="s">
        <v>56</v>
      </c>
      <c r="C132" s="62" t="s">
        <v>305</v>
      </c>
      <c r="D132" s="61" t="s">
        <v>203</v>
      </c>
      <c r="E132" s="76">
        <v>1.302083333333333</v>
      </c>
      <c r="F132" s="61" t="s">
        <v>58</v>
      </c>
      <c r="G132" s="63">
        <v>4</v>
      </c>
      <c r="H132" s="65" t="s">
        <v>298</v>
      </c>
    </row>
    <row r="133" spans="1:8" ht="19.8" customHeight="1" x14ac:dyDescent="0.3">
      <c r="A133" s="75">
        <v>45983</v>
      </c>
      <c r="B133" s="61" t="s">
        <v>56</v>
      </c>
      <c r="C133" s="62" t="s">
        <v>307</v>
      </c>
      <c r="D133" s="61" t="s">
        <v>203</v>
      </c>
      <c r="E133" s="76">
        <v>1.1284722222222221</v>
      </c>
      <c r="F133" s="61" t="s">
        <v>58</v>
      </c>
      <c r="G133" s="63">
        <v>4</v>
      </c>
      <c r="H133" s="65" t="s">
        <v>298</v>
      </c>
    </row>
    <row r="134" spans="1:8" ht="19.8" customHeight="1" x14ac:dyDescent="0.3">
      <c r="A134" s="75">
        <v>45983</v>
      </c>
      <c r="B134" s="61" t="s">
        <v>56</v>
      </c>
      <c r="C134" s="62" t="s">
        <v>304</v>
      </c>
      <c r="D134" s="61" t="s">
        <v>203</v>
      </c>
      <c r="E134" s="76">
        <v>1.8298611111111109</v>
      </c>
      <c r="F134" s="61" t="s">
        <v>62</v>
      </c>
      <c r="G134" s="63">
        <v>9</v>
      </c>
      <c r="H134" s="65" t="s">
        <v>300</v>
      </c>
    </row>
    <row r="135" spans="1:8" ht="19.8" customHeight="1" x14ac:dyDescent="0.3">
      <c r="A135" s="75">
        <v>45983</v>
      </c>
      <c r="B135" s="61" t="s">
        <v>46</v>
      </c>
      <c r="C135" s="62" t="s">
        <v>278</v>
      </c>
      <c r="D135" s="61" t="s">
        <v>203</v>
      </c>
      <c r="E135" s="76">
        <v>1.145833333333333</v>
      </c>
      <c r="F135" s="61" t="s">
        <v>48</v>
      </c>
      <c r="G135" s="63">
        <v>2</v>
      </c>
      <c r="H135" s="65" t="s">
        <v>337</v>
      </c>
    </row>
    <row r="136" spans="1:8" ht="19.8" customHeight="1" x14ac:dyDescent="0.3">
      <c r="A136" s="75">
        <v>45983</v>
      </c>
      <c r="B136" s="61" t="s">
        <v>46</v>
      </c>
      <c r="C136" s="62" t="s">
        <v>339</v>
      </c>
      <c r="D136" s="61" t="s">
        <v>203</v>
      </c>
      <c r="E136" s="76">
        <v>1.541666666666667</v>
      </c>
      <c r="F136" s="61" t="s">
        <v>48</v>
      </c>
      <c r="G136" s="63">
        <v>5</v>
      </c>
      <c r="H136" s="65" t="s">
        <v>337</v>
      </c>
    </row>
    <row r="137" spans="1:8" ht="19.8" customHeight="1" x14ac:dyDescent="0.3">
      <c r="A137" s="75">
        <v>45983</v>
      </c>
      <c r="B137" s="61" t="s">
        <v>46</v>
      </c>
      <c r="C137" s="62" t="s">
        <v>281</v>
      </c>
      <c r="D137" s="61" t="s">
        <v>203</v>
      </c>
      <c r="E137" s="76">
        <v>1.770833333333333</v>
      </c>
      <c r="F137" s="61" t="s">
        <v>48</v>
      </c>
      <c r="G137" s="63">
        <v>3</v>
      </c>
      <c r="H137" s="65" t="s">
        <v>337</v>
      </c>
    </row>
    <row r="138" spans="1:8" ht="19.8" customHeight="1" x14ac:dyDescent="0.3">
      <c r="A138" s="75">
        <v>45983</v>
      </c>
      <c r="B138" s="61" t="s">
        <v>56</v>
      </c>
      <c r="C138" s="62" t="s">
        <v>297</v>
      </c>
      <c r="D138" s="61" t="s">
        <v>203</v>
      </c>
      <c r="E138" s="76">
        <v>1.8888888888888891</v>
      </c>
      <c r="F138" s="61" t="s">
        <v>58</v>
      </c>
      <c r="G138" s="63">
        <v>4</v>
      </c>
      <c r="H138" s="65" t="s">
        <v>306</v>
      </c>
    </row>
    <row r="139" spans="1:8" ht="19.8" customHeight="1" x14ac:dyDescent="0.3">
      <c r="A139" s="75">
        <v>45983</v>
      </c>
      <c r="B139" s="61" t="s">
        <v>56</v>
      </c>
      <c r="C139" s="62" t="s">
        <v>308</v>
      </c>
      <c r="D139" s="61" t="s">
        <v>203</v>
      </c>
      <c r="E139" s="76">
        <v>1.788194444444444</v>
      </c>
      <c r="F139" s="61" t="s">
        <v>58</v>
      </c>
      <c r="G139" s="63">
        <v>4</v>
      </c>
      <c r="H139" s="65" t="s">
        <v>306</v>
      </c>
    </row>
    <row r="140" spans="1:8" ht="19.8" customHeight="1" x14ac:dyDescent="0.3">
      <c r="A140" s="75">
        <v>45983</v>
      </c>
      <c r="B140" s="61" t="s">
        <v>56</v>
      </c>
      <c r="C140" s="62" t="s">
        <v>304</v>
      </c>
      <c r="D140" s="61" t="s">
        <v>203</v>
      </c>
      <c r="E140" s="76">
        <v>1.8298611111111109</v>
      </c>
      <c r="F140" s="61" t="s">
        <v>58</v>
      </c>
      <c r="G140" s="63">
        <v>9</v>
      </c>
      <c r="H140" s="65" t="s">
        <v>301</v>
      </c>
    </row>
    <row r="141" spans="1:8" ht="19.8" customHeight="1" x14ac:dyDescent="0.3">
      <c r="A141" s="75">
        <v>45983</v>
      </c>
      <c r="B141" s="61" t="s">
        <v>46</v>
      </c>
      <c r="C141" s="62" t="s">
        <v>278</v>
      </c>
      <c r="D141" s="61" t="s">
        <v>203</v>
      </c>
      <c r="E141" s="76">
        <v>1.145833333333333</v>
      </c>
      <c r="F141" s="61" t="s">
        <v>48</v>
      </c>
      <c r="G141" s="63">
        <v>2</v>
      </c>
      <c r="H141" s="65" t="s">
        <v>338</v>
      </c>
    </row>
    <row r="142" spans="1:8" ht="19.8" customHeight="1" x14ac:dyDescent="0.3">
      <c r="A142" s="75">
        <v>45983</v>
      </c>
      <c r="B142" s="61" t="s">
        <v>46</v>
      </c>
      <c r="C142" s="62" t="s">
        <v>339</v>
      </c>
      <c r="D142" s="61" t="s">
        <v>203</v>
      </c>
      <c r="E142" s="76">
        <v>1.541666666666667</v>
      </c>
      <c r="F142" s="61" t="s">
        <v>48</v>
      </c>
      <c r="G142" s="63">
        <v>5</v>
      </c>
      <c r="H142" s="65" t="s">
        <v>338</v>
      </c>
    </row>
    <row r="143" spans="1:8" ht="19.8" customHeight="1" x14ac:dyDescent="0.3">
      <c r="A143" s="75">
        <v>45983</v>
      </c>
      <c r="B143" s="61" t="s">
        <v>46</v>
      </c>
      <c r="C143" s="62" t="s">
        <v>281</v>
      </c>
      <c r="D143" s="61" t="s">
        <v>203</v>
      </c>
      <c r="E143" s="76">
        <v>1.770833333333333</v>
      </c>
      <c r="F143" s="61" t="s">
        <v>48</v>
      </c>
      <c r="G143" s="63">
        <v>3</v>
      </c>
      <c r="H143" s="65" t="s">
        <v>338</v>
      </c>
    </row>
    <row r="144" spans="1:8" ht="19.8" customHeight="1" x14ac:dyDescent="0.3">
      <c r="A144" s="168">
        <v>45983</v>
      </c>
      <c r="B144" s="101" t="s">
        <v>93</v>
      </c>
      <c r="C144" s="102" t="s">
        <v>329</v>
      </c>
      <c r="D144" s="101" t="s">
        <v>203</v>
      </c>
      <c r="E144" s="169">
        <v>1.2361111111111109</v>
      </c>
      <c r="F144" s="101" t="s">
        <v>95</v>
      </c>
      <c r="G144" s="101"/>
      <c r="H144" s="103" t="s">
        <v>96</v>
      </c>
    </row>
    <row r="145" spans="1:8" ht="19.8" customHeight="1" x14ac:dyDescent="0.3">
      <c r="A145" s="77">
        <v>45983</v>
      </c>
      <c r="B145" s="72" t="s">
        <v>93</v>
      </c>
      <c r="C145" s="73" t="s">
        <v>269</v>
      </c>
      <c r="D145" s="72" t="s">
        <v>203</v>
      </c>
      <c r="E145" s="78">
        <v>1.333333333333333</v>
      </c>
      <c r="F145" s="72" t="s">
        <v>95</v>
      </c>
      <c r="G145" s="72"/>
      <c r="H145" s="74" t="s">
        <v>96</v>
      </c>
    </row>
    <row r="146" spans="1:8" ht="19.8" customHeight="1" x14ac:dyDescent="0.3">
      <c r="A146" s="75">
        <v>45984</v>
      </c>
      <c r="B146" s="61" t="s">
        <v>36</v>
      </c>
      <c r="C146" s="62" t="s">
        <v>215</v>
      </c>
      <c r="D146" s="61" t="s">
        <v>203</v>
      </c>
      <c r="E146" s="76">
        <v>1.788194444444444</v>
      </c>
      <c r="F146" s="61" t="s">
        <v>340</v>
      </c>
      <c r="G146" s="63">
        <v>2</v>
      </c>
      <c r="H146" s="64">
        <v>539</v>
      </c>
    </row>
    <row r="147" spans="1:8" ht="19.8" customHeight="1" x14ac:dyDescent="0.3">
      <c r="A147" s="75">
        <v>45984</v>
      </c>
      <c r="B147" s="61" t="s">
        <v>36</v>
      </c>
      <c r="C147" s="62" t="s">
        <v>204</v>
      </c>
      <c r="D147" s="61" t="s">
        <v>203</v>
      </c>
      <c r="E147" s="76">
        <v>1.8888888888888891</v>
      </c>
      <c r="F147" s="61" t="s">
        <v>340</v>
      </c>
      <c r="G147" s="63">
        <v>7</v>
      </c>
      <c r="H147" s="64">
        <v>539</v>
      </c>
    </row>
    <row r="148" spans="1:8" ht="19.8" customHeight="1" x14ac:dyDescent="0.3">
      <c r="A148" s="75">
        <v>45984</v>
      </c>
      <c r="B148" s="61" t="s">
        <v>36</v>
      </c>
      <c r="C148" s="62" t="s">
        <v>208</v>
      </c>
      <c r="D148" s="61" t="s">
        <v>203</v>
      </c>
      <c r="E148" s="76">
        <v>1.302083333333333</v>
      </c>
      <c r="F148" s="61" t="s">
        <v>340</v>
      </c>
      <c r="G148" s="63">
        <v>3</v>
      </c>
      <c r="H148" s="64">
        <v>589</v>
      </c>
    </row>
    <row r="149" spans="1:8" ht="19.8" customHeight="1" x14ac:dyDescent="0.3">
      <c r="A149" s="75">
        <v>45984</v>
      </c>
      <c r="B149" s="61" t="s">
        <v>36</v>
      </c>
      <c r="C149" s="62" t="s">
        <v>212</v>
      </c>
      <c r="D149" s="61" t="s">
        <v>203</v>
      </c>
      <c r="E149" s="76">
        <v>1.1284722222222221</v>
      </c>
      <c r="F149" s="61" t="s">
        <v>340</v>
      </c>
      <c r="G149" s="63">
        <v>10</v>
      </c>
      <c r="H149" s="64">
        <v>589</v>
      </c>
    </row>
    <row r="150" spans="1:8" ht="19.8" customHeight="1" x14ac:dyDescent="0.3">
      <c r="A150" s="75">
        <v>45984</v>
      </c>
      <c r="B150" s="61" t="s">
        <v>26</v>
      </c>
      <c r="C150" s="62" t="s">
        <v>224</v>
      </c>
      <c r="D150" s="61" t="s">
        <v>203</v>
      </c>
      <c r="E150" s="76">
        <v>1.9027777777777779</v>
      </c>
      <c r="F150" s="61" t="s">
        <v>344</v>
      </c>
      <c r="G150" s="63">
        <v>9</v>
      </c>
      <c r="H150" s="64">
        <v>589</v>
      </c>
    </row>
    <row r="151" spans="1:8" ht="19.8" customHeight="1" x14ac:dyDescent="0.3">
      <c r="A151" s="75">
        <v>45984</v>
      </c>
      <c r="B151" s="61" t="s">
        <v>26</v>
      </c>
      <c r="C151" s="62" t="s">
        <v>226</v>
      </c>
      <c r="D151" s="61" t="s">
        <v>203</v>
      </c>
      <c r="E151" s="76">
        <v>1.645833333333333</v>
      </c>
      <c r="F151" s="61" t="s">
        <v>344</v>
      </c>
      <c r="G151" s="63">
        <v>2</v>
      </c>
      <c r="H151" s="64">
        <v>589</v>
      </c>
    </row>
    <row r="152" spans="1:8" ht="19.8" customHeight="1" x14ac:dyDescent="0.3">
      <c r="A152" s="75">
        <v>45984</v>
      </c>
      <c r="B152" s="61" t="s">
        <v>26</v>
      </c>
      <c r="C152" s="62" t="s">
        <v>227</v>
      </c>
      <c r="D152" s="61" t="s">
        <v>203</v>
      </c>
      <c r="E152" s="76">
        <v>1.854166666666667</v>
      </c>
      <c r="F152" s="61" t="s">
        <v>344</v>
      </c>
      <c r="G152" s="63">
        <v>9</v>
      </c>
      <c r="H152" s="64">
        <v>589</v>
      </c>
    </row>
    <row r="153" spans="1:8" ht="19.8" customHeight="1" x14ac:dyDescent="0.3">
      <c r="A153" s="75">
        <v>45984</v>
      </c>
      <c r="B153" s="61" t="s">
        <v>26</v>
      </c>
      <c r="C153" s="62" t="s">
        <v>345</v>
      </c>
      <c r="D153" s="61" t="s">
        <v>203</v>
      </c>
      <c r="E153" s="76">
        <v>1.302083333333333</v>
      </c>
      <c r="F153" s="61" t="s">
        <v>344</v>
      </c>
      <c r="G153" s="63">
        <v>2</v>
      </c>
      <c r="H153" s="64">
        <v>589</v>
      </c>
    </row>
    <row r="154" spans="1:8" ht="19.8" customHeight="1" x14ac:dyDescent="0.3">
      <c r="A154" s="75">
        <v>45984</v>
      </c>
      <c r="B154" s="61" t="s">
        <v>26</v>
      </c>
      <c r="C154" s="62" t="s">
        <v>232</v>
      </c>
      <c r="D154" s="61" t="s">
        <v>203</v>
      </c>
      <c r="E154" s="76">
        <v>1.7986111111111109</v>
      </c>
      <c r="F154" s="61" t="s">
        <v>344</v>
      </c>
      <c r="G154" s="63">
        <v>9</v>
      </c>
      <c r="H154" s="64">
        <v>589</v>
      </c>
    </row>
    <row r="155" spans="1:8" ht="19.8" customHeight="1" x14ac:dyDescent="0.3">
      <c r="A155" s="75">
        <v>45984</v>
      </c>
      <c r="B155" s="61" t="s">
        <v>243</v>
      </c>
      <c r="C155" s="62" t="s">
        <v>246</v>
      </c>
      <c r="D155" s="61" t="s">
        <v>203</v>
      </c>
      <c r="E155" s="76">
        <v>1.666666666666667</v>
      </c>
      <c r="F155" s="61" t="s">
        <v>245</v>
      </c>
      <c r="G155" s="63">
        <v>6</v>
      </c>
      <c r="H155" s="64">
        <v>599</v>
      </c>
    </row>
    <row r="156" spans="1:8" ht="19.8" customHeight="1" x14ac:dyDescent="0.3">
      <c r="A156" s="75">
        <v>45984</v>
      </c>
      <c r="B156" s="61" t="s">
        <v>243</v>
      </c>
      <c r="C156" s="62" t="s">
        <v>244</v>
      </c>
      <c r="D156" s="61" t="s">
        <v>203</v>
      </c>
      <c r="E156" s="76">
        <v>1.381944444444444</v>
      </c>
      <c r="F156" s="61" t="s">
        <v>245</v>
      </c>
      <c r="G156" s="63">
        <v>4</v>
      </c>
      <c r="H156" s="64">
        <v>599</v>
      </c>
    </row>
    <row r="157" spans="1:8" ht="19.8" customHeight="1" x14ac:dyDescent="0.3">
      <c r="A157" s="75">
        <v>45984</v>
      </c>
      <c r="B157" s="61" t="s">
        <v>237</v>
      </c>
      <c r="C157" s="62" t="s">
        <v>241</v>
      </c>
      <c r="D157" s="61" t="s">
        <v>203</v>
      </c>
      <c r="E157" s="76">
        <v>1.3888888888888891</v>
      </c>
      <c r="F157" s="61" t="s">
        <v>239</v>
      </c>
      <c r="G157" s="63">
        <v>9</v>
      </c>
      <c r="H157" s="64">
        <v>605</v>
      </c>
    </row>
    <row r="158" spans="1:8" ht="19.8" customHeight="1" x14ac:dyDescent="0.3">
      <c r="A158" s="75">
        <v>45984</v>
      </c>
      <c r="B158" s="61" t="s">
        <v>323</v>
      </c>
      <c r="C158" s="62" t="s">
        <v>348</v>
      </c>
      <c r="D158" s="61" t="s">
        <v>203</v>
      </c>
      <c r="E158" s="76">
        <v>1.3472222222222221</v>
      </c>
      <c r="F158" s="61" t="s">
        <v>245</v>
      </c>
      <c r="G158" s="63">
        <v>9</v>
      </c>
      <c r="H158" s="64">
        <v>645</v>
      </c>
    </row>
    <row r="159" spans="1:8" ht="19.8" customHeight="1" x14ac:dyDescent="0.3">
      <c r="A159" s="75">
        <v>45984</v>
      </c>
      <c r="B159" s="61" t="s">
        <v>26</v>
      </c>
      <c r="C159" s="62" t="s">
        <v>218</v>
      </c>
      <c r="D159" s="61" t="s">
        <v>203</v>
      </c>
      <c r="E159" s="76">
        <v>1.256944444444444</v>
      </c>
      <c r="F159" s="61" t="s">
        <v>344</v>
      </c>
      <c r="G159" s="63">
        <v>9</v>
      </c>
      <c r="H159" s="64">
        <v>669</v>
      </c>
    </row>
    <row r="160" spans="1:8" ht="19.8" customHeight="1" x14ac:dyDescent="0.3">
      <c r="A160" s="75">
        <v>45984</v>
      </c>
      <c r="B160" s="61" t="s">
        <v>26</v>
      </c>
      <c r="C160" s="62" t="s">
        <v>233</v>
      </c>
      <c r="D160" s="61" t="s">
        <v>203</v>
      </c>
      <c r="E160" s="76">
        <v>1.5173611111111109</v>
      </c>
      <c r="F160" s="61" t="s">
        <v>344</v>
      </c>
      <c r="G160" s="63">
        <v>9</v>
      </c>
      <c r="H160" s="64">
        <v>669</v>
      </c>
    </row>
    <row r="161" spans="1:8" ht="19.8" customHeight="1" x14ac:dyDescent="0.3">
      <c r="A161" s="75">
        <v>45984</v>
      </c>
      <c r="B161" s="61" t="s">
        <v>26</v>
      </c>
      <c r="C161" s="62" t="s">
        <v>230</v>
      </c>
      <c r="D161" s="61" t="s">
        <v>203</v>
      </c>
      <c r="E161" s="76">
        <v>1.395833333333333</v>
      </c>
      <c r="F161" s="61" t="s">
        <v>344</v>
      </c>
      <c r="G161" s="63">
        <v>9</v>
      </c>
      <c r="H161" s="64">
        <v>669</v>
      </c>
    </row>
    <row r="162" spans="1:8" ht="19.8" customHeight="1" x14ac:dyDescent="0.3">
      <c r="A162" s="75">
        <v>45984</v>
      </c>
      <c r="B162" s="61" t="s">
        <v>323</v>
      </c>
      <c r="C162" s="62" t="s">
        <v>324</v>
      </c>
      <c r="D162" s="61" t="s">
        <v>203</v>
      </c>
      <c r="E162" s="76">
        <v>1.274305555555556</v>
      </c>
      <c r="F162" s="61" t="s">
        <v>245</v>
      </c>
      <c r="G162" s="63">
        <v>9</v>
      </c>
      <c r="H162" s="64">
        <v>695</v>
      </c>
    </row>
    <row r="163" spans="1:8" ht="19.8" customHeight="1" x14ac:dyDescent="0.3">
      <c r="A163" s="168">
        <v>45984</v>
      </c>
      <c r="B163" s="101" t="s">
        <v>93</v>
      </c>
      <c r="C163" s="102" t="s">
        <v>248</v>
      </c>
      <c r="D163" s="101" t="s">
        <v>203</v>
      </c>
      <c r="E163" s="169">
        <v>1.083333333333333</v>
      </c>
      <c r="F163" s="101" t="s">
        <v>249</v>
      </c>
      <c r="G163" s="166">
        <v>2</v>
      </c>
      <c r="H163" s="167">
        <v>706</v>
      </c>
    </row>
    <row r="164" spans="1:8" ht="19.8" customHeight="1" x14ac:dyDescent="0.3">
      <c r="A164" s="168">
        <v>45984</v>
      </c>
      <c r="B164" s="101" t="s">
        <v>93</v>
      </c>
      <c r="C164" s="102" t="s">
        <v>266</v>
      </c>
      <c r="D164" s="101" t="s">
        <v>203</v>
      </c>
      <c r="E164" s="169">
        <v>1.319444444444444</v>
      </c>
      <c r="F164" s="101" t="s">
        <v>249</v>
      </c>
      <c r="G164" s="166">
        <v>5</v>
      </c>
      <c r="H164" s="167">
        <v>706</v>
      </c>
    </row>
    <row r="165" spans="1:8" ht="19.8" customHeight="1" x14ac:dyDescent="0.3">
      <c r="A165" s="168">
        <v>45984</v>
      </c>
      <c r="B165" s="101" t="s">
        <v>93</v>
      </c>
      <c r="C165" s="102" t="s">
        <v>356</v>
      </c>
      <c r="D165" s="101" t="s">
        <v>203</v>
      </c>
      <c r="E165" s="169">
        <v>1.333333333333333</v>
      </c>
      <c r="F165" s="101" t="s">
        <v>249</v>
      </c>
      <c r="G165" s="166">
        <v>9</v>
      </c>
      <c r="H165" s="167">
        <v>781</v>
      </c>
    </row>
    <row r="166" spans="1:8" ht="19.8" customHeight="1" x14ac:dyDescent="0.3">
      <c r="A166" s="168">
        <v>45984</v>
      </c>
      <c r="B166" s="101" t="s">
        <v>93</v>
      </c>
      <c r="C166" s="102" t="s">
        <v>360</v>
      </c>
      <c r="D166" s="101" t="s">
        <v>203</v>
      </c>
      <c r="E166" s="169">
        <v>1.510416666666667</v>
      </c>
      <c r="F166" s="101" t="s">
        <v>249</v>
      </c>
      <c r="G166" s="166">
        <v>5</v>
      </c>
      <c r="H166" s="167">
        <v>781</v>
      </c>
    </row>
    <row r="167" spans="1:8" ht="19.8" customHeight="1" x14ac:dyDescent="0.3">
      <c r="A167" s="75">
        <v>45984</v>
      </c>
      <c r="B167" s="61" t="s">
        <v>46</v>
      </c>
      <c r="C167" s="62" t="s">
        <v>276</v>
      </c>
      <c r="D167" s="61" t="s">
        <v>203</v>
      </c>
      <c r="E167" s="76">
        <v>1.2222222222222221</v>
      </c>
      <c r="F167" s="61" t="s">
        <v>48</v>
      </c>
      <c r="G167" s="63">
        <v>9</v>
      </c>
      <c r="H167" s="65" t="s">
        <v>279</v>
      </c>
    </row>
    <row r="168" spans="1:8" ht="19.8" customHeight="1" x14ac:dyDescent="0.3">
      <c r="A168" s="75">
        <v>45984</v>
      </c>
      <c r="B168" s="61" t="s">
        <v>56</v>
      </c>
      <c r="C168" s="62" t="s">
        <v>290</v>
      </c>
      <c r="D168" s="61" t="s">
        <v>203</v>
      </c>
      <c r="E168" s="76">
        <v>1.006944444444444</v>
      </c>
      <c r="F168" s="61" t="s">
        <v>62</v>
      </c>
      <c r="G168" s="63">
        <v>9</v>
      </c>
      <c r="H168" s="65" t="s">
        <v>364</v>
      </c>
    </row>
    <row r="169" spans="1:8" ht="19.8" customHeight="1" x14ac:dyDescent="0.3">
      <c r="A169" s="75">
        <v>45984</v>
      </c>
      <c r="B169" s="61" t="s">
        <v>56</v>
      </c>
      <c r="C169" s="62" t="s">
        <v>287</v>
      </c>
      <c r="D169" s="61" t="s">
        <v>203</v>
      </c>
      <c r="E169" s="76">
        <v>1.239583333333333</v>
      </c>
      <c r="F169" s="61" t="s">
        <v>62</v>
      </c>
      <c r="G169" s="63">
        <v>7</v>
      </c>
      <c r="H169" s="65" t="s">
        <v>364</v>
      </c>
    </row>
    <row r="170" spans="1:8" ht="19.8" customHeight="1" x14ac:dyDescent="0.3">
      <c r="A170" s="75">
        <v>45984</v>
      </c>
      <c r="B170" s="61" t="s">
        <v>56</v>
      </c>
      <c r="C170" s="62" t="s">
        <v>293</v>
      </c>
      <c r="D170" s="61" t="s">
        <v>203</v>
      </c>
      <c r="E170" s="76">
        <v>1.1423611111111109</v>
      </c>
      <c r="F170" s="61" t="s">
        <v>62</v>
      </c>
      <c r="G170" s="63">
        <v>9</v>
      </c>
      <c r="H170" s="65" t="s">
        <v>364</v>
      </c>
    </row>
    <row r="171" spans="1:8" ht="19.8" customHeight="1" x14ac:dyDescent="0.3">
      <c r="A171" s="75">
        <v>45984</v>
      </c>
      <c r="B171" s="61" t="s">
        <v>56</v>
      </c>
      <c r="C171" s="62" t="s">
        <v>296</v>
      </c>
      <c r="D171" s="61" t="s">
        <v>203</v>
      </c>
      <c r="E171" s="76">
        <v>1.930555555555556</v>
      </c>
      <c r="F171" s="61" t="s">
        <v>62</v>
      </c>
      <c r="G171" s="63">
        <v>8</v>
      </c>
      <c r="H171" s="65" t="s">
        <v>364</v>
      </c>
    </row>
    <row r="172" spans="1:8" ht="19.8" customHeight="1" x14ac:dyDescent="0.3">
      <c r="A172" s="75">
        <v>45984</v>
      </c>
      <c r="B172" s="61" t="s">
        <v>56</v>
      </c>
      <c r="C172" s="62" t="s">
        <v>290</v>
      </c>
      <c r="D172" s="61" t="s">
        <v>203</v>
      </c>
      <c r="E172" s="76">
        <v>1.006944444444444</v>
      </c>
      <c r="F172" s="61" t="s">
        <v>58</v>
      </c>
      <c r="G172" s="63">
        <v>9</v>
      </c>
      <c r="H172" s="65" t="s">
        <v>365</v>
      </c>
    </row>
    <row r="173" spans="1:8" ht="19.8" customHeight="1" x14ac:dyDescent="0.3">
      <c r="A173" s="75">
        <v>45984</v>
      </c>
      <c r="B173" s="61" t="s">
        <v>56</v>
      </c>
      <c r="C173" s="62" t="s">
        <v>287</v>
      </c>
      <c r="D173" s="61" t="s">
        <v>203</v>
      </c>
      <c r="E173" s="76">
        <v>1.239583333333333</v>
      </c>
      <c r="F173" s="61" t="s">
        <v>58</v>
      </c>
      <c r="G173" s="63">
        <v>7</v>
      </c>
      <c r="H173" s="65" t="s">
        <v>365</v>
      </c>
    </row>
    <row r="174" spans="1:8" ht="19.8" customHeight="1" x14ac:dyDescent="0.3">
      <c r="A174" s="75">
        <v>45984</v>
      </c>
      <c r="B174" s="61" t="s">
        <v>56</v>
      </c>
      <c r="C174" s="62" t="s">
        <v>293</v>
      </c>
      <c r="D174" s="61" t="s">
        <v>203</v>
      </c>
      <c r="E174" s="76">
        <v>1.1423611111111109</v>
      </c>
      <c r="F174" s="61" t="s">
        <v>58</v>
      </c>
      <c r="G174" s="63">
        <v>9</v>
      </c>
      <c r="H174" s="65" t="s">
        <v>365</v>
      </c>
    </row>
    <row r="175" spans="1:8" ht="19.8" customHeight="1" x14ac:dyDescent="0.3">
      <c r="A175" s="75">
        <v>45984</v>
      </c>
      <c r="B175" s="61" t="s">
        <v>56</v>
      </c>
      <c r="C175" s="62" t="s">
        <v>296</v>
      </c>
      <c r="D175" s="61" t="s">
        <v>203</v>
      </c>
      <c r="E175" s="76">
        <v>1.930555555555556</v>
      </c>
      <c r="F175" s="61" t="s">
        <v>58</v>
      </c>
      <c r="G175" s="63">
        <v>8</v>
      </c>
      <c r="H175" s="65" t="s">
        <v>365</v>
      </c>
    </row>
    <row r="176" spans="1:8" ht="19.8" customHeight="1" x14ac:dyDescent="0.3">
      <c r="A176" s="75">
        <v>45984</v>
      </c>
      <c r="B176" s="61" t="s">
        <v>46</v>
      </c>
      <c r="C176" s="62" t="s">
        <v>280</v>
      </c>
      <c r="D176" s="61" t="s">
        <v>203</v>
      </c>
      <c r="E176" s="76">
        <v>1.975694444444444</v>
      </c>
      <c r="F176" s="61" t="s">
        <v>48</v>
      </c>
      <c r="G176" s="63">
        <v>9</v>
      </c>
      <c r="H176" s="65" t="s">
        <v>285</v>
      </c>
    </row>
    <row r="177" spans="1:8" ht="19.8" customHeight="1" x14ac:dyDescent="0.3">
      <c r="A177" s="75">
        <v>45984</v>
      </c>
      <c r="B177" s="61" t="s">
        <v>56</v>
      </c>
      <c r="C177" s="62" t="s">
        <v>297</v>
      </c>
      <c r="D177" s="61" t="s">
        <v>203</v>
      </c>
      <c r="E177" s="76">
        <v>1.8888888888888891</v>
      </c>
      <c r="F177" s="61" t="s">
        <v>58</v>
      </c>
      <c r="G177" s="63">
        <v>4</v>
      </c>
      <c r="H177" s="65" t="s">
        <v>366</v>
      </c>
    </row>
    <row r="178" spans="1:8" ht="19.8" customHeight="1" x14ac:dyDescent="0.3">
      <c r="A178" s="75">
        <v>45984</v>
      </c>
      <c r="B178" s="61" t="s">
        <v>46</v>
      </c>
      <c r="C178" s="62" t="s">
        <v>284</v>
      </c>
      <c r="D178" s="61" t="s">
        <v>203</v>
      </c>
      <c r="E178" s="76">
        <v>1.4861111111111109</v>
      </c>
      <c r="F178" s="61" t="s">
        <v>48</v>
      </c>
      <c r="G178" s="63">
        <v>9</v>
      </c>
      <c r="H178" s="65" t="s">
        <v>294</v>
      </c>
    </row>
    <row r="179" spans="1:8" ht="19.8" customHeight="1" x14ac:dyDescent="0.3">
      <c r="A179" s="75">
        <v>45984</v>
      </c>
      <c r="B179" s="61" t="s">
        <v>46</v>
      </c>
      <c r="C179" s="62" t="s">
        <v>286</v>
      </c>
      <c r="D179" s="61" t="s">
        <v>203</v>
      </c>
      <c r="E179" s="76">
        <v>1.2638888888888891</v>
      </c>
      <c r="F179" s="61" t="s">
        <v>48</v>
      </c>
      <c r="G179" s="63">
        <v>9</v>
      </c>
      <c r="H179" s="65" t="s">
        <v>294</v>
      </c>
    </row>
    <row r="180" spans="1:8" ht="19.8" customHeight="1" x14ac:dyDescent="0.3">
      <c r="A180" s="75">
        <v>45984</v>
      </c>
      <c r="B180" s="61" t="s">
        <v>56</v>
      </c>
      <c r="C180" s="62" t="s">
        <v>305</v>
      </c>
      <c r="D180" s="61" t="s">
        <v>203</v>
      </c>
      <c r="E180" s="76">
        <v>1.302083333333333</v>
      </c>
      <c r="F180" s="61" t="s">
        <v>58</v>
      </c>
      <c r="G180" s="63">
        <v>4</v>
      </c>
      <c r="H180" s="65" t="s">
        <v>298</v>
      </c>
    </row>
    <row r="181" spans="1:8" ht="19.8" customHeight="1" x14ac:dyDescent="0.3">
      <c r="A181" s="75">
        <v>45984</v>
      </c>
      <c r="B181" s="61" t="s">
        <v>56</v>
      </c>
      <c r="C181" s="62" t="s">
        <v>307</v>
      </c>
      <c r="D181" s="61" t="s">
        <v>203</v>
      </c>
      <c r="E181" s="76">
        <v>1.1284722222222221</v>
      </c>
      <c r="F181" s="61" t="s">
        <v>58</v>
      </c>
      <c r="G181" s="63">
        <v>4</v>
      </c>
      <c r="H181" s="65" t="s">
        <v>298</v>
      </c>
    </row>
    <row r="182" spans="1:8" ht="19.8" customHeight="1" x14ac:dyDescent="0.3">
      <c r="A182" s="75">
        <v>45984</v>
      </c>
      <c r="B182" s="61" t="s">
        <v>56</v>
      </c>
      <c r="C182" s="62" t="s">
        <v>308</v>
      </c>
      <c r="D182" s="61" t="s">
        <v>203</v>
      </c>
      <c r="E182" s="76">
        <v>1.788194444444444</v>
      </c>
      <c r="F182" s="61" t="s">
        <v>58</v>
      </c>
      <c r="G182" s="63">
        <v>4</v>
      </c>
      <c r="H182" s="65" t="s">
        <v>298</v>
      </c>
    </row>
    <row r="183" spans="1:8" ht="19.8" customHeight="1" x14ac:dyDescent="0.3">
      <c r="A183" s="75">
        <v>45984</v>
      </c>
      <c r="B183" s="61" t="s">
        <v>56</v>
      </c>
      <c r="C183" s="62" t="s">
        <v>299</v>
      </c>
      <c r="D183" s="61" t="s">
        <v>203</v>
      </c>
      <c r="E183" s="76">
        <v>1.3784722222222221</v>
      </c>
      <c r="F183" s="61" t="s">
        <v>62</v>
      </c>
      <c r="G183" s="63">
        <v>1</v>
      </c>
      <c r="H183" s="65" t="s">
        <v>367</v>
      </c>
    </row>
    <row r="184" spans="1:8" ht="19.8" customHeight="1" x14ac:dyDescent="0.3">
      <c r="A184" s="75">
        <v>45984</v>
      </c>
      <c r="B184" s="61" t="s">
        <v>56</v>
      </c>
      <c r="C184" s="62" t="s">
        <v>303</v>
      </c>
      <c r="D184" s="61" t="s">
        <v>203</v>
      </c>
      <c r="E184" s="76">
        <v>1.6111111111111109</v>
      </c>
      <c r="F184" s="61" t="s">
        <v>62</v>
      </c>
      <c r="G184" s="63">
        <v>9</v>
      </c>
      <c r="H184" s="65" t="s">
        <v>367</v>
      </c>
    </row>
    <row r="185" spans="1:8" ht="19.8" customHeight="1" x14ac:dyDescent="0.3">
      <c r="A185" s="75">
        <v>45984</v>
      </c>
      <c r="B185" s="61" t="s">
        <v>56</v>
      </c>
      <c r="C185" s="62" t="s">
        <v>304</v>
      </c>
      <c r="D185" s="61" t="s">
        <v>203</v>
      </c>
      <c r="E185" s="76">
        <v>1.8298611111111109</v>
      </c>
      <c r="F185" s="61" t="s">
        <v>62</v>
      </c>
      <c r="G185" s="63">
        <v>9</v>
      </c>
      <c r="H185" s="65" t="s">
        <v>367</v>
      </c>
    </row>
    <row r="186" spans="1:8" ht="19.8" customHeight="1" x14ac:dyDescent="0.3">
      <c r="A186" s="75">
        <v>45984</v>
      </c>
      <c r="B186" s="61" t="s">
        <v>56</v>
      </c>
      <c r="C186" s="62" t="s">
        <v>299</v>
      </c>
      <c r="D186" s="61" t="s">
        <v>203</v>
      </c>
      <c r="E186" s="76">
        <v>1.3784722222222221</v>
      </c>
      <c r="F186" s="61" t="s">
        <v>58</v>
      </c>
      <c r="G186" s="63">
        <v>1</v>
      </c>
      <c r="H186" s="65" t="s">
        <v>368</v>
      </c>
    </row>
    <row r="187" spans="1:8" ht="19.8" customHeight="1" x14ac:dyDescent="0.3">
      <c r="A187" s="75">
        <v>45984</v>
      </c>
      <c r="B187" s="61" t="s">
        <v>56</v>
      </c>
      <c r="C187" s="62" t="s">
        <v>303</v>
      </c>
      <c r="D187" s="61" t="s">
        <v>203</v>
      </c>
      <c r="E187" s="76">
        <v>1.6111111111111109</v>
      </c>
      <c r="F187" s="61" t="s">
        <v>58</v>
      </c>
      <c r="G187" s="63">
        <v>9</v>
      </c>
      <c r="H187" s="65" t="s">
        <v>368</v>
      </c>
    </row>
    <row r="188" spans="1:8" ht="19.8" customHeight="1" x14ac:dyDescent="0.3">
      <c r="A188" s="75">
        <v>45984</v>
      </c>
      <c r="B188" s="61" t="s">
        <v>56</v>
      </c>
      <c r="C188" s="62" t="s">
        <v>304</v>
      </c>
      <c r="D188" s="61" t="s">
        <v>203</v>
      </c>
      <c r="E188" s="76">
        <v>1.8298611111111109</v>
      </c>
      <c r="F188" s="61" t="s">
        <v>58</v>
      </c>
      <c r="G188" s="63">
        <v>9</v>
      </c>
      <c r="H188" s="65" t="s">
        <v>368</v>
      </c>
    </row>
    <row r="189" spans="1:8" ht="19.8" customHeight="1" x14ac:dyDescent="0.3">
      <c r="A189" s="75">
        <v>45984</v>
      </c>
      <c r="B189" s="61" t="s">
        <v>46</v>
      </c>
      <c r="C189" s="62" t="s">
        <v>278</v>
      </c>
      <c r="D189" s="61" t="s">
        <v>203</v>
      </c>
      <c r="E189" s="76">
        <v>1.145833333333333</v>
      </c>
      <c r="F189" s="61" t="s">
        <v>48</v>
      </c>
      <c r="G189" s="63">
        <v>2</v>
      </c>
      <c r="H189" s="65" t="s">
        <v>338</v>
      </c>
    </row>
    <row r="190" spans="1:8" ht="19.8" customHeight="1" x14ac:dyDescent="0.3">
      <c r="A190" s="75">
        <v>45984</v>
      </c>
      <c r="B190" s="61" t="s">
        <v>46</v>
      </c>
      <c r="C190" s="62" t="s">
        <v>281</v>
      </c>
      <c r="D190" s="61" t="s">
        <v>203</v>
      </c>
      <c r="E190" s="76">
        <v>1.774305555555556</v>
      </c>
      <c r="F190" s="61" t="s">
        <v>48</v>
      </c>
      <c r="G190" s="63">
        <v>9</v>
      </c>
      <c r="H190" s="65" t="s">
        <v>338</v>
      </c>
    </row>
    <row r="191" spans="1:8" ht="19.8" customHeight="1" x14ac:dyDescent="0.3">
      <c r="A191" s="77">
        <v>45984</v>
      </c>
      <c r="B191" s="72" t="s">
        <v>93</v>
      </c>
      <c r="C191" s="73" t="s">
        <v>260</v>
      </c>
      <c r="D191" s="72" t="s">
        <v>203</v>
      </c>
      <c r="E191" s="78">
        <v>1.631944444444444</v>
      </c>
      <c r="F191" s="72" t="s">
        <v>95</v>
      </c>
      <c r="G191" s="72"/>
      <c r="H191" s="74" t="s">
        <v>96</v>
      </c>
    </row>
  </sheetData>
  <pageMargins left="0.75" right="0.75" top="1" bottom="1" header="0.5" footer="0.5"/>
  <legacyDrawing r:id="rId1"/>
  <tableParts count="1">
    <tablePart r:id="rId2"/>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29"/>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0" bestFit="1" customWidth="1"/>
    <col min="7" max="7" width="20" bestFit="1" customWidth="1"/>
    <col min="8" max="8" width="23.6640625" bestFit="1" customWidth="1"/>
    <col min="9" max="9" width="0" hidden="1" customWidth="1"/>
  </cols>
  <sheetData>
    <row r="1" spans="1:8" ht="18" x14ac:dyDescent="0.3">
      <c r="A1" s="57" t="s">
        <v>156</v>
      </c>
      <c r="B1" s="58" t="s">
        <v>8</v>
      </c>
      <c r="C1" s="58" t="s">
        <v>9</v>
      </c>
      <c r="D1" s="58" t="s">
        <v>157</v>
      </c>
      <c r="E1" s="58" t="s">
        <v>10</v>
      </c>
      <c r="F1" s="58" t="s">
        <v>11</v>
      </c>
      <c r="G1" s="58" t="s">
        <v>12</v>
      </c>
      <c r="H1" s="59" t="s">
        <v>13</v>
      </c>
    </row>
    <row r="2" spans="1:8" ht="19.8" customHeight="1" x14ac:dyDescent="0.3">
      <c r="A2" s="60" t="s">
        <v>158</v>
      </c>
      <c r="B2" s="61" t="s">
        <v>237</v>
      </c>
      <c r="C2" s="62" t="s">
        <v>238</v>
      </c>
      <c r="D2" s="61" t="s">
        <v>203</v>
      </c>
      <c r="E2" s="61" t="s">
        <v>463</v>
      </c>
      <c r="F2" s="61" t="s">
        <v>239</v>
      </c>
      <c r="G2" s="63">
        <v>9</v>
      </c>
      <c r="H2" s="64">
        <v>742</v>
      </c>
    </row>
    <row r="3" spans="1:8" ht="19.8" customHeight="1" x14ac:dyDescent="0.3">
      <c r="A3" s="60" t="s">
        <v>158</v>
      </c>
      <c r="B3" s="61" t="s">
        <v>243</v>
      </c>
      <c r="C3" s="62" t="s">
        <v>244</v>
      </c>
      <c r="D3" s="61" t="s">
        <v>203</v>
      </c>
      <c r="E3" s="61" t="s">
        <v>464</v>
      </c>
      <c r="F3" s="61" t="s">
        <v>245</v>
      </c>
      <c r="G3" s="63">
        <v>5</v>
      </c>
      <c r="H3" s="64">
        <v>749</v>
      </c>
    </row>
    <row r="4" spans="1:8" ht="19.8" customHeight="1" x14ac:dyDescent="0.3">
      <c r="A4" s="100" t="s">
        <v>158</v>
      </c>
      <c r="B4" s="101" t="s">
        <v>93</v>
      </c>
      <c r="C4" s="102" t="s">
        <v>248</v>
      </c>
      <c r="D4" s="101" t="s">
        <v>203</v>
      </c>
      <c r="E4" s="101" t="s">
        <v>370</v>
      </c>
      <c r="F4" s="101" t="s">
        <v>249</v>
      </c>
      <c r="G4" s="166">
        <v>1</v>
      </c>
      <c r="H4" s="167">
        <v>781</v>
      </c>
    </row>
    <row r="5" spans="1:8" ht="19.8" customHeight="1" x14ac:dyDescent="0.3">
      <c r="A5" s="75">
        <v>45982</v>
      </c>
      <c r="B5" s="61" t="s">
        <v>237</v>
      </c>
      <c r="C5" s="62" t="s">
        <v>241</v>
      </c>
      <c r="D5" s="61" t="s">
        <v>203</v>
      </c>
      <c r="E5" s="76">
        <v>1.3923611111111109</v>
      </c>
      <c r="F5" s="61" t="s">
        <v>239</v>
      </c>
      <c r="G5" s="63">
        <v>9</v>
      </c>
      <c r="H5" s="64">
        <v>800</v>
      </c>
    </row>
    <row r="6" spans="1:8" ht="19.8" customHeight="1" x14ac:dyDescent="0.3">
      <c r="A6" s="75">
        <v>45982</v>
      </c>
      <c r="B6" s="61" t="s">
        <v>26</v>
      </c>
      <c r="C6" s="62" t="s">
        <v>218</v>
      </c>
      <c r="D6" s="61" t="s">
        <v>203</v>
      </c>
      <c r="E6" s="76">
        <v>1.256944444444444</v>
      </c>
      <c r="F6" s="61" t="s">
        <v>31</v>
      </c>
      <c r="G6" s="63">
        <v>7</v>
      </c>
      <c r="H6" s="64">
        <v>819</v>
      </c>
    </row>
    <row r="7" spans="1:8" ht="19.8" customHeight="1" x14ac:dyDescent="0.3">
      <c r="A7" s="75">
        <v>45982</v>
      </c>
      <c r="B7" s="61" t="s">
        <v>26</v>
      </c>
      <c r="C7" s="62" t="s">
        <v>224</v>
      </c>
      <c r="D7" s="61" t="s">
        <v>203</v>
      </c>
      <c r="E7" s="76">
        <v>1.9027777777777779</v>
      </c>
      <c r="F7" s="61" t="s">
        <v>31</v>
      </c>
      <c r="G7" s="63">
        <v>9</v>
      </c>
      <c r="H7" s="64">
        <v>819</v>
      </c>
    </row>
    <row r="8" spans="1:8" ht="19.8" customHeight="1" x14ac:dyDescent="0.3">
      <c r="A8" s="75">
        <v>45982</v>
      </c>
      <c r="B8" s="61" t="s">
        <v>26</v>
      </c>
      <c r="C8" s="62" t="s">
        <v>226</v>
      </c>
      <c r="D8" s="61" t="s">
        <v>203</v>
      </c>
      <c r="E8" s="76">
        <v>1.645833333333333</v>
      </c>
      <c r="F8" s="61" t="s">
        <v>31</v>
      </c>
      <c r="G8" s="63">
        <v>3</v>
      </c>
      <c r="H8" s="64">
        <v>819</v>
      </c>
    </row>
    <row r="9" spans="1:8" ht="19.8" customHeight="1" x14ac:dyDescent="0.3">
      <c r="A9" s="75">
        <v>45982</v>
      </c>
      <c r="B9" s="61" t="s">
        <v>26</v>
      </c>
      <c r="C9" s="62" t="s">
        <v>227</v>
      </c>
      <c r="D9" s="61" t="s">
        <v>203</v>
      </c>
      <c r="E9" s="76">
        <v>1.854166666666667</v>
      </c>
      <c r="F9" s="61" t="s">
        <v>31</v>
      </c>
      <c r="G9" s="63">
        <v>8</v>
      </c>
      <c r="H9" s="64">
        <v>819</v>
      </c>
    </row>
    <row r="10" spans="1:8" ht="19.8" customHeight="1" x14ac:dyDescent="0.3">
      <c r="A10" s="75">
        <v>45982</v>
      </c>
      <c r="B10" s="61" t="s">
        <v>26</v>
      </c>
      <c r="C10" s="62" t="s">
        <v>230</v>
      </c>
      <c r="D10" s="61" t="s">
        <v>203</v>
      </c>
      <c r="E10" s="76">
        <v>1.395833333333333</v>
      </c>
      <c r="F10" s="61" t="s">
        <v>31</v>
      </c>
      <c r="G10" s="63">
        <v>5</v>
      </c>
      <c r="H10" s="64">
        <v>819</v>
      </c>
    </row>
    <row r="11" spans="1:8" ht="19.8" customHeight="1" x14ac:dyDescent="0.3">
      <c r="A11" s="75">
        <v>45982</v>
      </c>
      <c r="B11" s="61" t="s">
        <v>26</v>
      </c>
      <c r="C11" s="62" t="s">
        <v>232</v>
      </c>
      <c r="D11" s="61" t="s">
        <v>203</v>
      </c>
      <c r="E11" s="76">
        <v>1.7986111111111109</v>
      </c>
      <c r="F11" s="61" t="s">
        <v>31</v>
      </c>
      <c r="G11" s="63">
        <v>9</v>
      </c>
      <c r="H11" s="64">
        <v>819</v>
      </c>
    </row>
    <row r="12" spans="1:8" ht="19.8" customHeight="1" x14ac:dyDescent="0.3">
      <c r="A12" s="75">
        <v>45982</v>
      </c>
      <c r="B12" s="61" t="s">
        <v>243</v>
      </c>
      <c r="C12" s="62" t="s">
        <v>246</v>
      </c>
      <c r="D12" s="61" t="s">
        <v>203</v>
      </c>
      <c r="E12" s="76">
        <v>1.7152777777777779</v>
      </c>
      <c r="F12" s="61" t="s">
        <v>245</v>
      </c>
      <c r="G12" s="63">
        <v>9</v>
      </c>
      <c r="H12" s="64">
        <v>834</v>
      </c>
    </row>
    <row r="13" spans="1:8" ht="19.8" customHeight="1" x14ac:dyDescent="0.3">
      <c r="A13" s="168">
        <v>45982</v>
      </c>
      <c r="B13" s="101" t="s">
        <v>93</v>
      </c>
      <c r="C13" s="102" t="s">
        <v>254</v>
      </c>
      <c r="D13" s="101" t="s">
        <v>203</v>
      </c>
      <c r="E13" s="169">
        <v>1.7361111111111109</v>
      </c>
      <c r="F13" s="101" t="s">
        <v>249</v>
      </c>
      <c r="G13" s="166">
        <v>4</v>
      </c>
      <c r="H13" s="167">
        <v>856</v>
      </c>
    </row>
    <row r="14" spans="1:8" ht="19.8" customHeight="1" x14ac:dyDescent="0.3">
      <c r="A14" s="168">
        <v>45982</v>
      </c>
      <c r="B14" s="101" t="s">
        <v>93</v>
      </c>
      <c r="C14" s="102" t="s">
        <v>259</v>
      </c>
      <c r="D14" s="101" t="s">
        <v>203</v>
      </c>
      <c r="E14" s="169">
        <v>1.458333333333333</v>
      </c>
      <c r="F14" s="101" t="s">
        <v>249</v>
      </c>
      <c r="G14" s="166">
        <v>1</v>
      </c>
      <c r="H14" s="167">
        <v>856</v>
      </c>
    </row>
    <row r="15" spans="1:8" ht="19.8" customHeight="1" x14ac:dyDescent="0.3">
      <c r="A15" s="168">
        <v>45982</v>
      </c>
      <c r="B15" s="101" t="s">
        <v>93</v>
      </c>
      <c r="C15" s="102" t="s">
        <v>263</v>
      </c>
      <c r="D15" s="101" t="s">
        <v>203</v>
      </c>
      <c r="E15" s="169">
        <v>1.614583333333333</v>
      </c>
      <c r="F15" s="101" t="s">
        <v>249</v>
      </c>
      <c r="G15" s="166">
        <v>5</v>
      </c>
      <c r="H15" s="167">
        <v>856</v>
      </c>
    </row>
    <row r="16" spans="1:8" ht="19.8" customHeight="1" x14ac:dyDescent="0.3">
      <c r="A16" s="75">
        <v>45982</v>
      </c>
      <c r="B16" s="61" t="s">
        <v>26</v>
      </c>
      <c r="C16" s="62" t="s">
        <v>233</v>
      </c>
      <c r="D16" s="61" t="s">
        <v>203</v>
      </c>
      <c r="E16" s="76">
        <v>1.5173611111111109</v>
      </c>
      <c r="F16" s="61" t="s">
        <v>31</v>
      </c>
      <c r="G16" s="63">
        <v>9</v>
      </c>
      <c r="H16" s="64">
        <v>929</v>
      </c>
    </row>
    <row r="17" spans="1:8" ht="19.8" customHeight="1" x14ac:dyDescent="0.3">
      <c r="A17" s="168">
        <v>45982</v>
      </c>
      <c r="B17" s="101" t="s">
        <v>93</v>
      </c>
      <c r="C17" s="102" t="s">
        <v>266</v>
      </c>
      <c r="D17" s="101" t="s">
        <v>203</v>
      </c>
      <c r="E17" s="169">
        <v>1.319444444444444</v>
      </c>
      <c r="F17" s="101" t="s">
        <v>249</v>
      </c>
      <c r="G17" s="166">
        <v>7</v>
      </c>
      <c r="H17" s="167">
        <v>952</v>
      </c>
    </row>
    <row r="18" spans="1:8" ht="19.8" customHeight="1" x14ac:dyDescent="0.3">
      <c r="A18" s="77">
        <v>45982</v>
      </c>
      <c r="B18" s="72" t="s">
        <v>93</v>
      </c>
      <c r="C18" s="73" t="s">
        <v>273</v>
      </c>
      <c r="D18" s="72" t="s">
        <v>203</v>
      </c>
      <c r="E18" s="78">
        <v>1.9375</v>
      </c>
      <c r="F18" s="72" t="s">
        <v>95</v>
      </c>
      <c r="G18" s="72"/>
      <c r="H18" s="74" t="s">
        <v>96</v>
      </c>
    </row>
    <row r="19" spans="1:8" ht="19.8" customHeight="1" x14ac:dyDescent="0.3">
      <c r="A19" s="168">
        <v>45983</v>
      </c>
      <c r="B19" s="101" t="s">
        <v>93</v>
      </c>
      <c r="C19" s="102" t="s">
        <v>259</v>
      </c>
      <c r="D19" s="101" t="s">
        <v>203</v>
      </c>
      <c r="E19" s="169">
        <v>1.680555555555556</v>
      </c>
      <c r="F19" s="101" t="s">
        <v>249</v>
      </c>
      <c r="G19" s="166">
        <v>1</v>
      </c>
      <c r="H19" s="103" t="s">
        <v>326</v>
      </c>
    </row>
    <row r="20" spans="1:8" ht="19.8" customHeight="1" x14ac:dyDescent="0.3">
      <c r="A20" s="75">
        <v>45983</v>
      </c>
      <c r="B20" s="61" t="s">
        <v>46</v>
      </c>
      <c r="C20" s="62" t="s">
        <v>276</v>
      </c>
      <c r="D20" s="61" t="s">
        <v>203</v>
      </c>
      <c r="E20" s="76">
        <v>1.229166666666667</v>
      </c>
      <c r="F20" s="61" t="s">
        <v>48</v>
      </c>
      <c r="G20" s="63">
        <v>9</v>
      </c>
      <c r="H20" s="65" t="s">
        <v>333</v>
      </c>
    </row>
    <row r="21" spans="1:8" ht="19.8" customHeight="1" x14ac:dyDescent="0.3">
      <c r="A21" s="168">
        <v>45983</v>
      </c>
      <c r="B21" s="101" t="s">
        <v>93</v>
      </c>
      <c r="C21" s="102" t="s">
        <v>329</v>
      </c>
      <c r="D21" s="101" t="s">
        <v>203</v>
      </c>
      <c r="E21" s="169">
        <v>1.2361111111111109</v>
      </c>
      <c r="F21" s="101" t="s">
        <v>95</v>
      </c>
      <c r="G21" s="101"/>
      <c r="H21" s="103" t="s">
        <v>96</v>
      </c>
    </row>
    <row r="22" spans="1:8" ht="19.8" customHeight="1" x14ac:dyDescent="0.3">
      <c r="A22" s="77">
        <v>45983</v>
      </c>
      <c r="B22" s="72" t="s">
        <v>93</v>
      </c>
      <c r="C22" s="73" t="s">
        <v>269</v>
      </c>
      <c r="D22" s="72" t="s">
        <v>203</v>
      </c>
      <c r="E22" s="78">
        <v>1.333333333333333</v>
      </c>
      <c r="F22" s="72" t="s">
        <v>95</v>
      </c>
      <c r="G22" s="72"/>
      <c r="H22" s="74" t="s">
        <v>96</v>
      </c>
    </row>
    <row r="23" spans="1:8" ht="19.8" customHeight="1" x14ac:dyDescent="0.3">
      <c r="A23" s="75">
        <v>45984</v>
      </c>
      <c r="B23" s="61" t="s">
        <v>323</v>
      </c>
      <c r="C23" s="62" t="s">
        <v>348</v>
      </c>
      <c r="D23" s="61" t="s">
        <v>203</v>
      </c>
      <c r="E23" s="76">
        <v>1.3472222222222221</v>
      </c>
      <c r="F23" s="61" t="s">
        <v>245</v>
      </c>
      <c r="G23" s="63">
        <v>9</v>
      </c>
      <c r="H23" s="64">
        <v>645</v>
      </c>
    </row>
    <row r="24" spans="1:8" ht="19.8" customHeight="1" x14ac:dyDescent="0.3">
      <c r="A24" s="75">
        <v>45984</v>
      </c>
      <c r="B24" s="61" t="s">
        <v>323</v>
      </c>
      <c r="C24" s="62" t="s">
        <v>324</v>
      </c>
      <c r="D24" s="61" t="s">
        <v>203</v>
      </c>
      <c r="E24" s="76">
        <v>1.274305555555556</v>
      </c>
      <c r="F24" s="61" t="s">
        <v>245</v>
      </c>
      <c r="G24" s="63">
        <v>9</v>
      </c>
      <c r="H24" s="64">
        <v>695</v>
      </c>
    </row>
    <row r="25" spans="1:8" ht="19.8" customHeight="1" x14ac:dyDescent="0.3">
      <c r="A25" s="168">
        <v>45984</v>
      </c>
      <c r="B25" s="101" t="s">
        <v>93</v>
      </c>
      <c r="C25" s="102" t="s">
        <v>248</v>
      </c>
      <c r="D25" s="101" t="s">
        <v>203</v>
      </c>
      <c r="E25" s="169">
        <v>1.083333333333333</v>
      </c>
      <c r="F25" s="101" t="s">
        <v>249</v>
      </c>
      <c r="G25" s="166">
        <v>2</v>
      </c>
      <c r="H25" s="167">
        <v>706</v>
      </c>
    </row>
    <row r="26" spans="1:8" ht="19.8" customHeight="1" x14ac:dyDescent="0.3">
      <c r="A26" s="168">
        <v>45984</v>
      </c>
      <c r="B26" s="101" t="s">
        <v>93</v>
      </c>
      <c r="C26" s="102" t="s">
        <v>266</v>
      </c>
      <c r="D26" s="101" t="s">
        <v>203</v>
      </c>
      <c r="E26" s="169">
        <v>1.319444444444444</v>
      </c>
      <c r="F26" s="101" t="s">
        <v>249</v>
      </c>
      <c r="G26" s="166">
        <v>5</v>
      </c>
      <c r="H26" s="167">
        <v>706</v>
      </c>
    </row>
    <row r="27" spans="1:8" ht="19.8" customHeight="1" x14ac:dyDescent="0.3">
      <c r="A27" s="168">
        <v>45984</v>
      </c>
      <c r="B27" s="101" t="s">
        <v>93</v>
      </c>
      <c r="C27" s="102" t="s">
        <v>356</v>
      </c>
      <c r="D27" s="101" t="s">
        <v>203</v>
      </c>
      <c r="E27" s="169">
        <v>1.333333333333333</v>
      </c>
      <c r="F27" s="101" t="s">
        <v>249</v>
      </c>
      <c r="G27" s="166">
        <v>9</v>
      </c>
      <c r="H27" s="167">
        <v>781</v>
      </c>
    </row>
    <row r="28" spans="1:8" ht="19.8" customHeight="1" x14ac:dyDescent="0.3">
      <c r="A28" s="168">
        <v>45984</v>
      </c>
      <c r="B28" s="101" t="s">
        <v>93</v>
      </c>
      <c r="C28" s="102" t="s">
        <v>360</v>
      </c>
      <c r="D28" s="101" t="s">
        <v>203</v>
      </c>
      <c r="E28" s="169">
        <v>1.510416666666667</v>
      </c>
      <c r="F28" s="101" t="s">
        <v>249</v>
      </c>
      <c r="G28" s="166">
        <v>5</v>
      </c>
      <c r="H28" s="167">
        <v>781</v>
      </c>
    </row>
    <row r="29" spans="1:8" ht="19.8" customHeight="1" x14ac:dyDescent="0.3">
      <c r="A29" s="77">
        <v>45984</v>
      </c>
      <c r="B29" s="72" t="s">
        <v>93</v>
      </c>
      <c r="C29" s="73" t="s">
        <v>260</v>
      </c>
      <c r="D29" s="72" t="s">
        <v>203</v>
      </c>
      <c r="E29" s="78">
        <v>1.631944444444444</v>
      </c>
      <c r="F29" s="72" t="s">
        <v>95</v>
      </c>
      <c r="G29" s="72"/>
      <c r="H29" s="74" t="s">
        <v>96</v>
      </c>
    </row>
  </sheetData>
  <pageMargins left="0.75" right="0.75" top="1" bottom="1" header="0.5" footer="0.5"/>
  <legacyDrawing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N69"/>
  <sheetViews>
    <sheetView workbookViewId="0"/>
  </sheetViews>
  <sheetFormatPr defaultRowHeight="14.4" x14ac:dyDescent="0.3"/>
  <cols>
    <col min="1" max="1" width="17.21875" bestFit="1" customWidth="1"/>
    <col min="2" max="2" width="15.6640625" bestFit="1" customWidth="1"/>
    <col min="3" max="3" width="14.77734375" bestFit="1" customWidth="1"/>
    <col min="4" max="4" width="32.88671875" bestFit="1" customWidth="1"/>
    <col min="5" max="5" width="20.109375" bestFit="1" customWidth="1"/>
    <col min="6" max="6" width="23.44140625" bestFit="1" customWidth="1"/>
    <col min="7" max="7" width="44.5546875" bestFit="1" customWidth="1"/>
    <col min="8" max="8" width="9.44140625" bestFit="1" customWidth="1"/>
    <col min="9" max="9" width="9.21875" bestFit="1" customWidth="1"/>
    <col min="10" max="10" width="7.5546875" bestFit="1" customWidth="1"/>
    <col min="11" max="11" width="23.4414062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63.21875" bestFit="1" customWidth="1"/>
  </cols>
  <sheetData>
    <row r="1" spans="1:92" ht="28.8" customHeight="1" x14ac:dyDescent="0.3">
      <c r="A1" s="260" t="s">
        <v>0</v>
      </c>
      <c r="B1" s="253"/>
      <c r="C1" s="253"/>
      <c r="D1" s="253"/>
      <c r="E1" s="253"/>
      <c r="F1" s="1" t="s">
        <v>465</v>
      </c>
      <c r="G1" s="2" t="s">
        <v>2</v>
      </c>
      <c r="H1" s="259">
        <v>45982</v>
      </c>
      <c r="I1" s="253"/>
      <c r="J1" s="253"/>
      <c r="K1" s="253"/>
      <c r="L1" s="253"/>
      <c r="M1" s="1" t="s">
        <v>3</v>
      </c>
      <c r="N1" s="266">
        <v>45984</v>
      </c>
      <c r="O1" s="253"/>
      <c r="P1" s="253"/>
      <c r="Q1" s="253"/>
      <c r="R1" s="253"/>
      <c r="CA1" s="3"/>
      <c r="CB1" s="3"/>
      <c r="CC1" s="3"/>
      <c r="CD1" s="3"/>
      <c r="CE1" s="3"/>
      <c r="CF1" s="3"/>
      <c r="CG1" s="3"/>
      <c r="CH1" s="3"/>
      <c r="CI1" s="3"/>
      <c r="CJ1" s="3"/>
      <c r="CK1" s="3"/>
      <c r="CL1" s="3"/>
      <c r="CM1" s="3"/>
      <c r="CN1" s="3"/>
    </row>
    <row r="2" spans="1:92" ht="23.4" customHeight="1" x14ac:dyDescent="0.3">
      <c r="A2" s="252" t="s">
        <v>4</v>
      </c>
      <c r="B2" s="253"/>
      <c r="C2" s="253"/>
      <c r="D2" s="253"/>
      <c r="E2" s="253"/>
      <c r="F2" s="253"/>
      <c r="G2" s="261">
        <v>45981.017744444573</v>
      </c>
      <c r="H2" s="253"/>
      <c r="I2" s="253"/>
      <c r="J2" s="253"/>
      <c r="K2" s="262">
        <v>45981.01774444506</v>
      </c>
      <c r="L2" s="253"/>
      <c r="M2" s="253"/>
      <c r="N2" s="253"/>
      <c r="O2" s="253"/>
      <c r="P2" s="253"/>
      <c r="Q2" s="253"/>
      <c r="R2" s="253"/>
      <c r="CA2" s="3"/>
      <c r="CB2" s="3"/>
      <c r="CC2" s="3"/>
      <c r="CD2" s="3"/>
      <c r="CE2" s="3"/>
      <c r="CF2" s="3"/>
      <c r="CG2" s="3"/>
      <c r="CH2" s="3"/>
      <c r="CI2" s="3"/>
      <c r="CJ2" s="3"/>
      <c r="CK2" s="3"/>
      <c r="CL2" s="3"/>
      <c r="CM2" s="3"/>
      <c r="CN2" s="3"/>
    </row>
    <row r="3" spans="1:92" ht="24" customHeight="1" x14ac:dyDescent="0.3">
      <c r="A3" s="254" t="s">
        <v>5</v>
      </c>
      <c r="B3" s="253"/>
      <c r="C3" s="253"/>
      <c r="D3" s="253"/>
      <c r="E3" s="253"/>
      <c r="F3" s="253"/>
      <c r="G3" s="253"/>
      <c r="H3" s="253"/>
      <c r="I3" s="253"/>
      <c r="J3" s="253"/>
      <c r="K3" s="253"/>
      <c r="L3" s="253"/>
      <c r="M3" s="253"/>
      <c r="N3" s="253"/>
      <c r="O3" s="253"/>
      <c r="P3" s="253"/>
      <c r="Q3" s="253"/>
      <c r="R3" s="253"/>
      <c r="CA3" s="3"/>
      <c r="CB3" s="3"/>
      <c r="CC3" s="3"/>
      <c r="CD3" s="3"/>
      <c r="CE3" s="3"/>
      <c r="CF3" s="3"/>
      <c r="CG3" s="3"/>
      <c r="CH3" s="3"/>
      <c r="CI3" s="3"/>
      <c r="CJ3" s="3"/>
      <c r="CK3" s="3"/>
      <c r="CL3" s="3"/>
      <c r="CM3" s="3"/>
      <c r="CN3" s="3"/>
    </row>
    <row r="4" spans="1:92" ht="22.05" customHeight="1" x14ac:dyDescent="0.3">
      <c r="A4" s="263" t="s">
        <v>6</v>
      </c>
      <c r="B4" s="250"/>
      <c r="C4" s="250"/>
      <c r="D4" s="250"/>
      <c r="E4" s="250"/>
      <c r="F4" s="251"/>
      <c r="G4" s="4">
        <v>45982</v>
      </c>
      <c r="H4" s="264" t="s">
        <v>7</v>
      </c>
      <c r="I4" s="250"/>
      <c r="J4" s="250"/>
      <c r="K4" s="250"/>
      <c r="L4" s="250"/>
      <c r="M4" s="250"/>
      <c r="N4" s="250"/>
      <c r="O4" s="250"/>
      <c r="P4" s="250"/>
      <c r="Q4" s="250"/>
      <c r="R4" s="251"/>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8" t="s">
        <v>237</v>
      </c>
      <c r="B6" s="8" t="s">
        <v>466</v>
      </c>
      <c r="C6" s="9">
        <v>0.1875</v>
      </c>
      <c r="D6" s="8" t="s">
        <v>467</v>
      </c>
      <c r="E6" s="8" t="s">
        <v>29</v>
      </c>
      <c r="F6" s="8" t="s">
        <v>468</v>
      </c>
      <c r="G6" s="255"/>
      <c r="H6" s="10"/>
      <c r="I6" s="11"/>
      <c r="J6" s="11"/>
      <c r="K6" s="11"/>
      <c r="L6" s="11"/>
      <c r="M6" s="11"/>
      <c r="N6" s="11"/>
      <c r="O6" s="12"/>
      <c r="P6" s="11"/>
      <c r="Q6" s="13"/>
      <c r="R6" s="14"/>
    </row>
    <row r="7" spans="1:92" ht="15" customHeight="1" x14ac:dyDescent="0.3">
      <c r="A7" s="15" t="s">
        <v>237</v>
      </c>
      <c r="B7" s="15" t="s">
        <v>466</v>
      </c>
      <c r="C7" s="16">
        <v>0.1875</v>
      </c>
      <c r="D7" s="15" t="s">
        <v>469</v>
      </c>
      <c r="E7" s="15" t="s">
        <v>32</v>
      </c>
      <c r="F7" s="15" t="s">
        <v>470</v>
      </c>
      <c r="G7" s="256"/>
      <c r="H7" s="10"/>
      <c r="I7" s="11"/>
      <c r="J7" s="11"/>
      <c r="K7" s="11"/>
      <c r="L7" s="11"/>
      <c r="M7" s="11"/>
      <c r="N7" s="11"/>
      <c r="O7" s="12"/>
      <c r="P7" s="11"/>
      <c r="Q7" s="13"/>
      <c r="R7" s="14"/>
    </row>
    <row r="8" spans="1:92" ht="15" customHeight="1" x14ac:dyDescent="0.3">
      <c r="A8" s="15" t="s">
        <v>237</v>
      </c>
      <c r="B8" s="15" t="s">
        <v>466</v>
      </c>
      <c r="C8" s="16">
        <v>0.1875</v>
      </c>
      <c r="D8" s="15" t="s">
        <v>44</v>
      </c>
      <c r="E8" s="15" t="s">
        <v>32</v>
      </c>
      <c r="F8" s="15" t="s">
        <v>471</v>
      </c>
      <c r="G8" s="256"/>
      <c r="H8" s="10"/>
      <c r="I8" s="11"/>
      <c r="J8" s="11"/>
      <c r="K8" s="11"/>
      <c r="L8" s="11"/>
      <c r="M8" s="11"/>
      <c r="N8" s="11"/>
      <c r="O8" s="12"/>
      <c r="P8" s="11"/>
      <c r="Q8" s="13"/>
      <c r="R8" s="14"/>
    </row>
    <row r="9" spans="1:92" ht="15" customHeight="1" x14ac:dyDescent="0.3">
      <c r="A9" s="17" t="s">
        <v>56</v>
      </c>
      <c r="B9" s="17" t="s">
        <v>472</v>
      </c>
      <c r="C9" s="18">
        <v>0.71180555555555547</v>
      </c>
      <c r="D9" s="17" t="s">
        <v>62</v>
      </c>
      <c r="E9" s="17" t="s">
        <v>49</v>
      </c>
      <c r="F9" s="17" t="s">
        <v>473</v>
      </c>
      <c r="G9" s="256"/>
      <c r="H9" s="10"/>
      <c r="I9" s="11"/>
      <c r="J9" s="11"/>
      <c r="K9" s="11"/>
      <c r="L9" s="11"/>
      <c r="M9" s="11"/>
      <c r="N9" s="11"/>
      <c r="O9" s="12"/>
      <c r="P9" s="11"/>
      <c r="Q9" s="13"/>
      <c r="R9" s="14"/>
    </row>
    <row r="10" spans="1:92" ht="15" customHeight="1" x14ac:dyDescent="0.3">
      <c r="A10" s="15" t="s">
        <v>56</v>
      </c>
      <c r="B10" s="15" t="s">
        <v>472</v>
      </c>
      <c r="C10" s="16">
        <v>0.71180555555555547</v>
      </c>
      <c r="D10" s="15" t="s">
        <v>58</v>
      </c>
      <c r="E10" s="15" t="s">
        <v>101</v>
      </c>
      <c r="F10" s="15" t="s">
        <v>474</v>
      </c>
      <c r="G10" s="256"/>
      <c r="H10" s="10"/>
      <c r="I10" s="11"/>
      <c r="J10" s="11"/>
      <c r="K10" s="11"/>
      <c r="L10" s="11"/>
      <c r="M10" s="11"/>
      <c r="N10" s="11"/>
      <c r="O10" s="12"/>
      <c r="P10" s="11"/>
      <c r="Q10" s="13"/>
      <c r="R10" s="14"/>
    </row>
    <row r="11" spans="1:92" ht="15" customHeight="1" x14ac:dyDescent="0.3">
      <c r="A11" s="170" t="s">
        <v>93</v>
      </c>
      <c r="B11" s="170" t="s">
        <v>475</v>
      </c>
      <c r="C11" s="171">
        <v>0.41666666666666669</v>
      </c>
      <c r="D11" s="170" t="s">
        <v>95</v>
      </c>
      <c r="E11" s="172"/>
      <c r="F11" s="170" t="s">
        <v>96</v>
      </c>
      <c r="G11" s="256"/>
      <c r="H11" s="127" t="s">
        <v>475</v>
      </c>
      <c r="I11" s="165">
        <v>1</v>
      </c>
      <c r="J11" s="129">
        <v>179</v>
      </c>
      <c r="K11" s="130" t="s">
        <v>180</v>
      </c>
      <c r="L11" s="129">
        <v>8</v>
      </c>
      <c r="M11" s="129">
        <v>0</v>
      </c>
      <c r="N11" s="129">
        <v>2</v>
      </c>
      <c r="O11" s="131" t="s">
        <v>98</v>
      </c>
      <c r="P11" s="132">
        <v>0.41666666666666669</v>
      </c>
      <c r="Q11" s="129">
        <v>179</v>
      </c>
      <c r="R11" s="133" t="s">
        <v>476</v>
      </c>
    </row>
    <row r="12" spans="1:92" ht="18" x14ac:dyDescent="0.3">
      <c r="A12" s="267" t="s">
        <v>477</v>
      </c>
      <c r="B12" s="268"/>
      <c r="C12" s="268"/>
      <c r="D12" s="268"/>
      <c r="E12" s="268"/>
      <c r="F12" s="269"/>
      <c r="G12" s="256"/>
      <c r="H12" s="79"/>
      <c r="I12" s="79"/>
      <c r="J12" s="79"/>
      <c r="K12" s="79"/>
      <c r="L12" s="79"/>
      <c r="M12" s="79"/>
      <c r="N12" s="79"/>
      <c r="O12" s="80"/>
      <c r="P12" s="79"/>
      <c r="Q12" s="56"/>
      <c r="R12" s="56"/>
    </row>
    <row r="13" spans="1:92" ht="15" customHeight="1" x14ac:dyDescent="0.3">
      <c r="A13" s="19" t="s">
        <v>36</v>
      </c>
      <c r="B13" s="19" t="s">
        <v>204</v>
      </c>
      <c r="C13" s="20" t="s">
        <v>455</v>
      </c>
      <c r="D13" s="19" t="s">
        <v>38</v>
      </c>
      <c r="E13" s="19" t="s">
        <v>478</v>
      </c>
      <c r="F13" s="19" t="s">
        <v>206</v>
      </c>
      <c r="G13" s="256"/>
      <c r="H13" s="79"/>
      <c r="I13" s="79"/>
      <c r="J13" s="79"/>
      <c r="K13" s="79"/>
      <c r="L13" s="79"/>
      <c r="M13" s="79"/>
      <c r="N13" s="79"/>
      <c r="O13" s="80"/>
      <c r="P13" s="79"/>
      <c r="Q13" s="56"/>
      <c r="R13" s="56"/>
    </row>
    <row r="14" spans="1:92" ht="15" customHeight="1" x14ac:dyDescent="0.3">
      <c r="A14" s="19" t="s">
        <v>36</v>
      </c>
      <c r="B14" s="19" t="s">
        <v>208</v>
      </c>
      <c r="C14" s="20" t="s">
        <v>456</v>
      </c>
      <c r="D14" s="19" t="s">
        <v>38</v>
      </c>
      <c r="E14" s="19" t="s">
        <v>479</v>
      </c>
      <c r="F14" s="19" t="s">
        <v>79</v>
      </c>
      <c r="G14" s="256"/>
      <c r="H14" s="79"/>
      <c r="I14" s="79"/>
      <c r="J14" s="79"/>
      <c r="K14" s="79"/>
      <c r="L14" s="79"/>
      <c r="M14" s="79"/>
      <c r="N14" s="79"/>
      <c r="O14" s="80"/>
      <c r="P14" s="79"/>
      <c r="Q14" s="56"/>
      <c r="R14" s="56"/>
    </row>
    <row r="15" spans="1:92" ht="15" customHeight="1" x14ac:dyDescent="0.3">
      <c r="A15" s="19" t="s">
        <v>36</v>
      </c>
      <c r="B15" s="19" t="s">
        <v>212</v>
      </c>
      <c r="C15" s="20" t="s">
        <v>457</v>
      </c>
      <c r="D15" s="19" t="s">
        <v>38</v>
      </c>
      <c r="E15" s="19" t="s">
        <v>480</v>
      </c>
      <c r="F15" s="19" t="s">
        <v>79</v>
      </c>
      <c r="G15" s="256"/>
      <c r="H15" s="79"/>
      <c r="I15" s="79"/>
      <c r="J15" s="79"/>
      <c r="K15" s="79"/>
      <c r="L15" s="79"/>
      <c r="M15" s="79"/>
      <c r="N15" s="79"/>
      <c r="O15" s="80"/>
      <c r="P15" s="79"/>
      <c r="Q15" s="56"/>
      <c r="R15" s="56"/>
    </row>
    <row r="16" spans="1:92" ht="15" customHeight="1" x14ac:dyDescent="0.3">
      <c r="A16" s="19" t="s">
        <v>36</v>
      </c>
      <c r="B16" s="19" t="s">
        <v>215</v>
      </c>
      <c r="C16" s="20" t="s">
        <v>458</v>
      </c>
      <c r="D16" s="19" t="s">
        <v>38</v>
      </c>
      <c r="E16" s="19" t="s">
        <v>481</v>
      </c>
      <c r="F16" s="19" t="s">
        <v>79</v>
      </c>
      <c r="G16" s="256"/>
      <c r="H16" s="79"/>
      <c r="I16" s="79"/>
      <c r="J16" s="79"/>
      <c r="K16" s="79"/>
      <c r="L16" s="79"/>
      <c r="M16" s="79"/>
      <c r="N16" s="79"/>
      <c r="O16" s="80"/>
      <c r="P16" s="79"/>
      <c r="Q16" s="56"/>
      <c r="R16" s="56"/>
    </row>
    <row r="17" spans="1:18" ht="15" customHeight="1" x14ac:dyDescent="0.3">
      <c r="A17" s="19" t="s">
        <v>26</v>
      </c>
      <c r="B17" s="19" t="s">
        <v>218</v>
      </c>
      <c r="C17" s="20" t="s">
        <v>459</v>
      </c>
      <c r="D17" s="19" t="s">
        <v>28</v>
      </c>
      <c r="E17" s="19" t="s">
        <v>482</v>
      </c>
      <c r="F17" s="19" t="s">
        <v>220</v>
      </c>
      <c r="G17" s="256"/>
      <c r="H17" s="79"/>
      <c r="I17" s="79"/>
      <c r="J17" s="79"/>
      <c r="K17" s="79"/>
      <c r="L17" s="79"/>
      <c r="M17" s="79"/>
      <c r="N17" s="79"/>
      <c r="O17" s="80"/>
      <c r="P17" s="79"/>
      <c r="Q17" s="56"/>
      <c r="R17" s="56"/>
    </row>
    <row r="18" spans="1:18" ht="15" customHeight="1" x14ac:dyDescent="0.3">
      <c r="A18" s="19" t="s">
        <v>26</v>
      </c>
      <c r="B18" s="19" t="s">
        <v>224</v>
      </c>
      <c r="C18" s="20" t="s">
        <v>146</v>
      </c>
      <c r="D18" s="19" t="s">
        <v>28</v>
      </c>
      <c r="E18" s="19" t="s">
        <v>174</v>
      </c>
      <c r="F18" s="19" t="s">
        <v>220</v>
      </c>
      <c r="G18" s="256"/>
      <c r="H18" s="79"/>
      <c r="I18" s="79"/>
      <c r="J18" s="79"/>
      <c r="K18" s="79"/>
      <c r="L18" s="79"/>
      <c r="M18" s="79"/>
      <c r="N18" s="79"/>
      <c r="O18" s="80"/>
      <c r="P18" s="79"/>
      <c r="Q18" s="56"/>
      <c r="R18" s="56"/>
    </row>
    <row r="19" spans="1:18" ht="15" customHeight="1" x14ac:dyDescent="0.3">
      <c r="A19" s="19" t="s">
        <v>26</v>
      </c>
      <c r="B19" s="19" t="s">
        <v>226</v>
      </c>
      <c r="C19" s="20" t="s">
        <v>460</v>
      </c>
      <c r="D19" s="19" t="s">
        <v>28</v>
      </c>
      <c r="E19" s="19" t="s">
        <v>194</v>
      </c>
      <c r="F19" s="19" t="s">
        <v>220</v>
      </c>
      <c r="G19" s="256"/>
      <c r="H19" s="79"/>
      <c r="I19" s="79"/>
      <c r="J19" s="79"/>
      <c r="K19" s="79"/>
      <c r="L19" s="79"/>
      <c r="M19" s="79"/>
      <c r="N19" s="79"/>
      <c r="O19" s="80"/>
      <c r="P19" s="79"/>
      <c r="Q19" s="56"/>
      <c r="R19" s="56"/>
    </row>
    <row r="20" spans="1:18" ht="15" customHeight="1" x14ac:dyDescent="0.3">
      <c r="A20" s="19" t="s">
        <v>26</v>
      </c>
      <c r="B20" s="19" t="s">
        <v>227</v>
      </c>
      <c r="C20" s="20" t="s">
        <v>461</v>
      </c>
      <c r="D20" s="19" t="s">
        <v>28</v>
      </c>
      <c r="E20" s="19" t="s">
        <v>483</v>
      </c>
      <c r="F20" s="19" t="s">
        <v>220</v>
      </c>
      <c r="G20" s="256"/>
      <c r="H20" s="79"/>
      <c r="I20" s="79"/>
      <c r="J20" s="79"/>
      <c r="K20" s="79"/>
      <c r="L20" s="79"/>
      <c r="M20" s="79"/>
      <c r="N20" s="79"/>
      <c r="O20" s="80"/>
      <c r="P20" s="79"/>
      <c r="Q20" s="56"/>
      <c r="R20" s="56"/>
    </row>
    <row r="21" spans="1:18" ht="15" customHeight="1" x14ac:dyDescent="0.3">
      <c r="A21" s="19" t="s">
        <v>26</v>
      </c>
      <c r="B21" s="19" t="s">
        <v>230</v>
      </c>
      <c r="C21" s="20" t="s">
        <v>134</v>
      </c>
      <c r="D21" s="19" t="s">
        <v>28</v>
      </c>
      <c r="E21" s="19" t="s">
        <v>478</v>
      </c>
      <c r="F21" s="19" t="s">
        <v>220</v>
      </c>
      <c r="G21" s="256"/>
      <c r="H21" s="79"/>
      <c r="I21" s="79"/>
      <c r="J21" s="79"/>
      <c r="K21" s="79"/>
      <c r="L21" s="79"/>
      <c r="M21" s="79"/>
      <c r="N21" s="79"/>
      <c r="O21" s="80"/>
      <c r="P21" s="79"/>
      <c r="Q21" s="56"/>
      <c r="R21" s="56"/>
    </row>
    <row r="22" spans="1:18" ht="15" customHeight="1" thickBot="1" x14ac:dyDescent="0.35">
      <c r="A22" s="81" t="s">
        <v>26</v>
      </c>
      <c r="B22" s="81" t="s">
        <v>232</v>
      </c>
      <c r="C22" s="82" t="s">
        <v>462</v>
      </c>
      <c r="D22" s="81" t="s">
        <v>28</v>
      </c>
      <c r="E22" s="81" t="s">
        <v>174</v>
      </c>
      <c r="F22" s="81" t="s">
        <v>220</v>
      </c>
      <c r="G22" s="257"/>
      <c r="H22" s="83"/>
      <c r="I22" s="83"/>
      <c r="J22" s="83"/>
      <c r="K22" s="83"/>
      <c r="L22" s="83"/>
      <c r="M22" s="83"/>
      <c r="N22" s="83"/>
      <c r="O22" s="84"/>
      <c r="P22" s="83"/>
      <c r="Q22" s="85"/>
      <c r="R22" s="85"/>
    </row>
    <row r="23" spans="1:18" ht="17.399999999999999" customHeight="1" thickBot="1" x14ac:dyDescent="0.35">
      <c r="A23" s="284"/>
      <c r="B23" s="285"/>
      <c r="C23" s="285"/>
      <c r="D23" s="285"/>
      <c r="E23" s="285"/>
      <c r="F23" s="285"/>
      <c r="G23" s="285"/>
      <c r="H23" s="285"/>
      <c r="I23" s="285"/>
      <c r="J23" s="285"/>
      <c r="K23" s="285"/>
      <c r="L23" s="285"/>
      <c r="M23" s="285"/>
      <c r="N23" s="285"/>
      <c r="O23" s="285"/>
      <c r="P23" s="285"/>
      <c r="Q23" s="285"/>
      <c r="R23" s="286"/>
    </row>
    <row r="24" spans="1:18" ht="22.05" customHeight="1" thickTop="1" thickBot="1" x14ac:dyDescent="0.35">
      <c r="A24" s="249" t="s">
        <v>6</v>
      </c>
      <c r="B24" s="250"/>
      <c r="C24" s="250"/>
      <c r="D24" s="250"/>
      <c r="E24" s="250"/>
      <c r="F24" s="251"/>
      <c r="G24" s="28">
        <v>45983</v>
      </c>
      <c r="H24" s="258" t="s">
        <v>7</v>
      </c>
      <c r="I24" s="250"/>
      <c r="J24" s="250"/>
      <c r="K24" s="250"/>
      <c r="L24" s="250"/>
      <c r="M24" s="250"/>
      <c r="N24" s="250"/>
      <c r="O24" s="250"/>
      <c r="P24" s="250"/>
      <c r="Q24" s="250"/>
      <c r="R24" s="251"/>
    </row>
    <row r="25" spans="1:18" ht="24" customHeight="1" x14ac:dyDescent="0.3">
      <c r="A25" s="29" t="s">
        <v>8</v>
      </c>
      <c r="B25" s="29" t="s">
        <v>9</v>
      </c>
      <c r="C25" s="30" t="s">
        <v>10</v>
      </c>
      <c r="D25" s="29" t="s">
        <v>11</v>
      </c>
      <c r="E25" s="29" t="s">
        <v>12</v>
      </c>
      <c r="F25" s="31" t="s">
        <v>13</v>
      </c>
      <c r="G25" s="32" t="s">
        <v>14</v>
      </c>
      <c r="H25" s="29" t="s">
        <v>15</v>
      </c>
      <c r="I25" s="33" t="s">
        <v>16</v>
      </c>
      <c r="J25" s="34" t="s">
        <v>17</v>
      </c>
      <c r="K25" s="35" t="s">
        <v>18</v>
      </c>
      <c r="L25" s="34" t="s">
        <v>19</v>
      </c>
      <c r="M25" s="34" t="s">
        <v>20</v>
      </c>
      <c r="N25" s="34" t="s">
        <v>21</v>
      </c>
      <c r="O25" s="29" t="s">
        <v>22</v>
      </c>
      <c r="P25" s="30" t="s">
        <v>23</v>
      </c>
      <c r="Q25" s="34" t="s">
        <v>24</v>
      </c>
      <c r="R25" s="29" t="s">
        <v>25</v>
      </c>
    </row>
    <row r="26" spans="1:18" ht="15" customHeight="1" x14ac:dyDescent="0.3">
      <c r="A26" s="8" t="s">
        <v>36</v>
      </c>
      <c r="B26" s="8" t="s">
        <v>484</v>
      </c>
      <c r="C26" s="9">
        <v>0.25694444444444448</v>
      </c>
      <c r="D26" s="8" t="s">
        <v>485</v>
      </c>
      <c r="E26" s="8" t="s">
        <v>89</v>
      </c>
      <c r="F26" s="8" t="s">
        <v>486</v>
      </c>
      <c r="G26" s="255"/>
      <c r="H26" s="10"/>
      <c r="I26" s="11"/>
      <c r="J26" s="11"/>
      <c r="K26" s="11"/>
      <c r="L26" s="11"/>
      <c r="M26" s="11"/>
      <c r="N26" s="11"/>
      <c r="O26" s="12"/>
      <c r="P26" s="11"/>
      <c r="Q26" s="13"/>
      <c r="R26" s="14"/>
    </row>
    <row r="27" spans="1:18" ht="15" customHeight="1" x14ac:dyDescent="0.3">
      <c r="A27" s="15" t="s">
        <v>36</v>
      </c>
      <c r="B27" s="15" t="s">
        <v>484</v>
      </c>
      <c r="C27" s="16">
        <v>0.25694444444444448</v>
      </c>
      <c r="D27" s="15" t="s">
        <v>467</v>
      </c>
      <c r="E27" s="15" t="s">
        <v>80</v>
      </c>
      <c r="F27" s="15" t="s">
        <v>487</v>
      </c>
      <c r="G27" s="256"/>
      <c r="H27" s="10"/>
      <c r="I27" s="11"/>
      <c r="J27" s="11"/>
      <c r="K27" s="11"/>
      <c r="L27" s="11"/>
      <c r="M27" s="11"/>
      <c r="N27" s="11"/>
      <c r="O27" s="12"/>
      <c r="P27" s="11"/>
      <c r="Q27" s="13"/>
      <c r="R27" s="14"/>
    </row>
    <row r="28" spans="1:18" ht="15" customHeight="1" x14ac:dyDescent="0.3">
      <c r="A28" s="15" t="s">
        <v>36</v>
      </c>
      <c r="B28" s="15" t="s">
        <v>484</v>
      </c>
      <c r="C28" s="16">
        <v>0.25694444444444448</v>
      </c>
      <c r="D28" s="15" t="s">
        <v>469</v>
      </c>
      <c r="E28" s="15" t="s">
        <v>80</v>
      </c>
      <c r="F28" s="15" t="s">
        <v>488</v>
      </c>
      <c r="G28" s="256"/>
      <c r="H28" s="10"/>
      <c r="I28" s="11"/>
      <c r="J28" s="11"/>
      <c r="K28" s="11"/>
      <c r="L28" s="11"/>
      <c r="M28" s="11"/>
      <c r="N28" s="11"/>
      <c r="O28" s="12"/>
      <c r="P28" s="11"/>
      <c r="Q28" s="13"/>
      <c r="R28" s="14"/>
    </row>
    <row r="29" spans="1:18" ht="15" customHeight="1" x14ac:dyDescent="0.3">
      <c r="A29" s="15" t="s">
        <v>36</v>
      </c>
      <c r="B29" s="15" t="s">
        <v>484</v>
      </c>
      <c r="C29" s="16">
        <v>0.25694444444444448</v>
      </c>
      <c r="D29" s="15" t="s">
        <v>489</v>
      </c>
      <c r="E29" s="15" t="s">
        <v>80</v>
      </c>
      <c r="F29" s="15" t="s">
        <v>85</v>
      </c>
      <c r="G29" s="256"/>
      <c r="H29" s="10"/>
      <c r="I29" s="11"/>
      <c r="J29" s="11"/>
      <c r="K29" s="11"/>
      <c r="L29" s="11"/>
      <c r="M29" s="11"/>
      <c r="N29" s="11"/>
      <c r="O29" s="12"/>
      <c r="P29" s="11"/>
      <c r="Q29" s="13"/>
      <c r="R29" s="14"/>
    </row>
    <row r="30" spans="1:18" ht="15" customHeight="1" x14ac:dyDescent="0.3">
      <c r="A30" s="17" t="s">
        <v>237</v>
      </c>
      <c r="B30" s="17" t="s">
        <v>490</v>
      </c>
      <c r="C30" s="18">
        <v>0.52777777777777779</v>
      </c>
      <c r="D30" s="17" t="s">
        <v>467</v>
      </c>
      <c r="E30" s="17" t="s">
        <v>341</v>
      </c>
      <c r="F30" s="17" t="s">
        <v>491</v>
      </c>
      <c r="G30" s="256"/>
      <c r="H30" s="10"/>
      <c r="I30" s="11"/>
      <c r="J30" s="11"/>
      <c r="K30" s="11"/>
      <c r="L30" s="11"/>
      <c r="M30" s="11"/>
      <c r="N30" s="11"/>
      <c r="O30" s="12"/>
      <c r="P30" s="11"/>
      <c r="Q30" s="13"/>
      <c r="R30" s="14"/>
    </row>
    <row r="31" spans="1:18" ht="15" customHeight="1" x14ac:dyDescent="0.3">
      <c r="A31" s="15" t="s">
        <v>237</v>
      </c>
      <c r="B31" s="15" t="s">
        <v>490</v>
      </c>
      <c r="C31" s="16">
        <v>0.52777777777777779</v>
      </c>
      <c r="D31" s="15" t="s">
        <v>469</v>
      </c>
      <c r="E31" s="15" t="s">
        <v>318</v>
      </c>
      <c r="F31" s="15" t="s">
        <v>492</v>
      </c>
      <c r="G31" s="256"/>
      <c r="H31" s="10"/>
      <c r="I31" s="11"/>
      <c r="J31" s="11"/>
      <c r="K31" s="11"/>
      <c r="L31" s="11"/>
      <c r="M31" s="11"/>
      <c r="N31" s="11"/>
      <c r="O31" s="12"/>
      <c r="P31" s="11"/>
      <c r="Q31" s="13"/>
      <c r="R31" s="14"/>
    </row>
    <row r="32" spans="1:18" ht="15" customHeight="1" x14ac:dyDescent="0.3">
      <c r="A32" s="15" t="s">
        <v>237</v>
      </c>
      <c r="B32" s="15" t="s">
        <v>490</v>
      </c>
      <c r="C32" s="16">
        <v>0.52777777777777779</v>
      </c>
      <c r="D32" s="15" t="s">
        <v>44</v>
      </c>
      <c r="E32" s="15" t="s">
        <v>318</v>
      </c>
      <c r="F32" s="15" t="s">
        <v>277</v>
      </c>
      <c r="G32" s="256"/>
      <c r="H32" s="10"/>
      <c r="I32" s="11"/>
      <c r="J32" s="11"/>
      <c r="K32" s="11"/>
      <c r="L32" s="11"/>
      <c r="M32" s="11"/>
      <c r="N32" s="11"/>
      <c r="O32" s="12"/>
      <c r="P32" s="11"/>
      <c r="Q32" s="13"/>
      <c r="R32" s="14"/>
    </row>
    <row r="33" spans="1:18" ht="15" customHeight="1" x14ac:dyDescent="0.3">
      <c r="A33" s="17" t="s">
        <v>46</v>
      </c>
      <c r="B33" s="17" t="s">
        <v>493</v>
      </c>
      <c r="C33" s="18">
        <v>0.60416666666666663</v>
      </c>
      <c r="D33" s="17" t="s">
        <v>48</v>
      </c>
      <c r="E33" s="17" t="s">
        <v>205</v>
      </c>
      <c r="F33" s="17" t="s">
        <v>494</v>
      </c>
      <c r="G33" s="256"/>
      <c r="H33" s="10"/>
      <c r="I33" s="11"/>
      <c r="J33" s="11"/>
      <c r="K33" s="11"/>
      <c r="L33" s="11"/>
      <c r="M33" s="11"/>
      <c r="N33" s="11"/>
      <c r="O33" s="12"/>
      <c r="P33" s="11"/>
      <c r="Q33" s="13"/>
      <c r="R33" s="14"/>
    </row>
    <row r="34" spans="1:18" ht="15" customHeight="1" x14ac:dyDescent="0.3">
      <c r="A34" s="17" t="s">
        <v>56</v>
      </c>
      <c r="B34" s="17" t="s">
        <v>472</v>
      </c>
      <c r="C34" s="18">
        <v>0.71180555555555547</v>
      </c>
      <c r="D34" s="17" t="s">
        <v>62</v>
      </c>
      <c r="E34" s="17" t="s">
        <v>89</v>
      </c>
      <c r="F34" s="17" t="s">
        <v>495</v>
      </c>
      <c r="G34" s="256"/>
      <c r="H34" s="10"/>
      <c r="I34" s="11"/>
      <c r="J34" s="11"/>
      <c r="K34" s="11"/>
      <c r="L34" s="11"/>
      <c r="M34" s="11"/>
      <c r="N34" s="11"/>
      <c r="O34" s="12"/>
      <c r="P34" s="11"/>
      <c r="Q34" s="13"/>
      <c r="R34" s="14"/>
    </row>
    <row r="35" spans="1:18" ht="15" customHeight="1" x14ac:dyDescent="0.3">
      <c r="A35" s="15" t="s">
        <v>56</v>
      </c>
      <c r="B35" s="15" t="s">
        <v>472</v>
      </c>
      <c r="C35" s="16">
        <v>0.71180555555555547</v>
      </c>
      <c r="D35" s="15" t="s">
        <v>58</v>
      </c>
      <c r="E35" s="15" t="s">
        <v>80</v>
      </c>
      <c r="F35" s="15" t="s">
        <v>496</v>
      </c>
      <c r="G35" s="256"/>
      <c r="H35" s="10"/>
      <c r="I35" s="11"/>
      <c r="J35" s="11"/>
      <c r="K35" s="11"/>
      <c r="L35" s="11"/>
      <c r="M35" s="11"/>
      <c r="N35" s="11"/>
      <c r="O35" s="12"/>
      <c r="P35" s="11"/>
      <c r="Q35" s="13"/>
      <c r="R35" s="14"/>
    </row>
    <row r="36" spans="1:18" ht="15" customHeight="1" x14ac:dyDescent="0.3">
      <c r="A36" s="116" t="s">
        <v>93</v>
      </c>
      <c r="B36" s="116" t="s">
        <v>497</v>
      </c>
      <c r="C36" s="117">
        <v>0.45833333333333331</v>
      </c>
      <c r="D36" s="116" t="s">
        <v>95</v>
      </c>
      <c r="E36" s="173"/>
      <c r="F36" s="116" t="s">
        <v>96</v>
      </c>
      <c r="G36" s="256"/>
      <c r="H36" s="118" t="s">
        <v>497</v>
      </c>
      <c r="I36" s="160">
        <v>1</v>
      </c>
      <c r="J36" s="120">
        <v>179</v>
      </c>
      <c r="K36" s="121" t="s">
        <v>180</v>
      </c>
      <c r="L36" s="120">
        <v>12</v>
      </c>
      <c r="M36" s="120">
        <v>0</v>
      </c>
      <c r="N36" s="120">
        <v>2</v>
      </c>
      <c r="O36" s="122" t="s">
        <v>98</v>
      </c>
      <c r="P36" s="123">
        <v>0.45833333333333331</v>
      </c>
      <c r="Q36" s="120">
        <v>179</v>
      </c>
      <c r="R36" s="124" t="s">
        <v>498</v>
      </c>
    </row>
    <row r="37" spans="1:18" ht="15" customHeight="1" x14ac:dyDescent="0.3">
      <c r="A37" s="137" t="s">
        <v>93</v>
      </c>
      <c r="B37" s="137" t="s">
        <v>475</v>
      </c>
      <c r="C37" s="138">
        <v>0.79166666666666663</v>
      </c>
      <c r="D37" s="137" t="s">
        <v>95</v>
      </c>
      <c r="E37" s="174"/>
      <c r="F37" s="137" t="s">
        <v>96</v>
      </c>
      <c r="G37" s="256"/>
      <c r="H37" s="139" t="s">
        <v>475</v>
      </c>
      <c r="I37" s="175">
        <v>1</v>
      </c>
      <c r="J37" s="141">
        <v>179</v>
      </c>
      <c r="K37" s="142" t="s">
        <v>180</v>
      </c>
      <c r="L37" s="141">
        <v>8</v>
      </c>
      <c r="M37" s="141">
        <v>0</v>
      </c>
      <c r="N37" s="141">
        <v>2</v>
      </c>
      <c r="O37" s="143" t="s">
        <v>98</v>
      </c>
      <c r="P37" s="144">
        <v>0.79166666666666663</v>
      </c>
      <c r="Q37" s="141">
        <v>179</v>
      </c>
      <c r="R37" s="145" t="s">
        <v>499</v>
      </c>
    </row>
    <row r="38" spans="1:18" ht="18" x14ac:dyDescent="0.3">
      <c r="A38" s="267" t="s">
        <v>477</v>
      </c>
      <c r="B38" s="268"/>
      <c r="C38" s="268"/>
      <c r="D38" s="268"/>
      <c r="E38" s="268"/>
      <c r="F38" s="269"/>
      <c r="G38" s="256"/>
      <c r="H38" s="79"/>
      <c r="I38" s="79"/>
      <c r="J38" s="79"/>
      <c r="K38" s="79"/>
      <c r="L38" s="79"/>
      <c r="M38" s="79"/>
      <c r="N38" s="79"/>
      <c r="O38" s="80"/>
      <c r="P38" s="79"/>
      <c r="Q38" s="56"/>
      <c r="R38" s="56"/>
    </row>
    <row r="39" spans="1:18" ht="15" customHeight="1" x14ac:dyDescent="0.3">
      <c r="A39" s="19" t="s">
        <v>36</v>
      </c>
      <c r="B39" s="19" t="s">
        <v>208</v>
      </c>
      <c r="C39" s="20" t="s">
        <v>456</v>
      </c>
      <c r="D39" s="19" t="s">
        <v>38</v>
      </c>
      <c r="E39" s="19" t="s">
        <v>483</v>
      </c>
      <c r="F39" s="19" t="s">
        <v>206</v>
      </c>
      <c r="G39" s="256"/>
      <c r="H39" s="79"/>
      <c r="I39" s="79"/>
      <c r="J39" s="79"/>
      <c r="K39" s="79"/>
      <c r="L39" s="79"/>
      <c r="M39" s="79"/>
      <c r="N39" s="79"/>
      <c r="O39" s="80"/>
      <c r="P39" s="79"/>
      <c r="Q39" s="56"/>
      <c r="R39" s="56"/>
    </row>
    <row r="40" spans="1:18" ht="15" customHeight="1" x14ac:dyDescent="0.3">
      <c r="A40" s="19" t="s">
        <v>36</v>
      </c>
      <c r="B40" s="19" t="s">
        <v>212</v>
      </c>
      <c r="C40" s="20" t="s">
        <v>457</v>
      </c>
      <c r="D40" s="19" t="s">
        <v>38</v>
      </c>
      <c r="E40" s="19" t="s">
        <v>500</v>
      </c>
      <c r="F40" s="19" t="s">
        <v>206</v>
      </c>
      <c r="G40" s="256"/>
      <c r="H40" s="79"/>
      <c r="I40" s="79"/>
      <c r="J40" s="79"/>
      <c r="K40" s="79"/>
      <c r="L40" s="79"/>
      <c r="M40" s="79"/>
      <c r="N40" s="79"/>
      <c r="O40" s="80"/>
      <c r="P40" s="79"/>
      <c r="Q40" s="56"/>
      <c r="R40" s="56"/>
    </row>
    <row r="41" spans="1:18" ht="15" customHeight="1" x14ac:dyDescent="0.3">
      <c r="A41" s="19" t="s">
        <v>36</v>
      </c>
      <c r="B41" s="19" t="s">
        <v>204</v>
      </c>
      <c r="C41" s="20" t="s">
        <v>455</v>
      </c>
      <c r="D41" s="19" t="s">
        <v>38</v>
      </c>
      <c r="E41" s="19" t="s">
        <v>501</v>
      </c>
      <c r="F41" s="19" t="s">
        <v>206</v>
      </c>
      <c r="G41" s="256"/>
      <c r="H41" s="79"/>
      <c r="I41" s="79"/>
      <c r="J41" s="79"/>
      <c r="K41" s="79"/>
      <c r="L41" s="79"/>
      <c r="M41" s="79"/>
      <c r="N41" s="79"/>
      <c r="O41" s="80"/>
      <c r="P41" s="79"/>
      <c r="Q41" s="56"/>
      <c r="R41" s="56"/>
    </row>
    <row r="42" spans="1:18" ht="15" customHeight="1" x14ac:dyDescent="0.3">
      <c r="A42" s="19" t="s">
        <v>26</v>
      </c>
      <c r="B42" s="19" t="s">
        <v>218</v>
      </c>
      <c r="C42" s="20" t="s">
        <v>459</v>
      </c>
      <c r="D42" s="19" t="s">
        <v>28</v>
      </c>
      <c r="E42" s="19" t="s">
        <v>478</v>
      </c>
      <c r="F42" s="19" t="s">
        <v>316</v>
      </c>
      <c r="G42" s="256"/>
      <c r="H42" s="79"/>
      <c r="I42" s="79"/>
      <c r="J42" s="79"/>
      <c r="K42" s="79"/>
      <c r="L42" s="79"/>
      <c r="M42" s="79"/>
      <c r="N42" s="79"/>
      <c r="O42" s="80"/>
      <c r="P42" s="79"/>
      <c r="Q42" s="56"/>
      <c r="R42" s="56"/>
    </row>
    <row r="43" spans="1:18" ht="15" customHeight="1" x14ac:dyDescent="0.3">
      <c r="A43" s="19" t="s">
        <v>26</v>
      </c>
      <c r="B43" s="19" t="s">
        <v>224</v>
      </c>
      <c r="C43" s="20" t="s">
        <v>146</v>
      </c>
      <c r="D43" s="19" t="s">
        <v>28</v>
      </c>
      <c r="E43" s="19" t="s">
        <v>174</v>
      </c>
      <c r="F43" s="19" t="s">
        <v>316</v>
      </c>
      <c r="G43" s="256"/>
      <c r="H43" s="79"/>
      <c r="I43" s="79"/>
      <c r="J43" s="79"/>
      <c r="K43" s="79"/>
      <c r="L43" s="79"/>
      <c r="M43" s="79"/>
      <c r="N43" s="79"/>
      <c r="O43" s="80"/>
      <c r="P43" s="79"/>
      <c r="Q43" s="56"/>
      <c r="R43" s="56"/>
    </row>
    <row r="44" spans="1:18" ht="15" customHeight="1" x14ac:dyDescent="0.3">
      <c r="A44" s="19" t="s">
        <v>26</v>
      </c>
      <c r="B44" s="19" t="s">
        <v>226</v>
      </c>
      <c r="C44" s="20" t="s">
        <v>502</v>
      </c>
      <c r="D44" s="19" t="s">
        <v>28</v>
      </c>
      <c r="E44" s="19" t="s">
        <v>503</v>
      </c>
      <c r="F44" s="19" t="s">
        <v>316</v>
      </c>
      <c r="G44" s="256"/>
      <c r="H44" s="79"/>
      <c r="I44" s="79"/>
      <c r="J44" s="79"/>
      <c r="K44" s="79"/>
      <c r="L44" s="79"/>
      <c r="M44" s="79"/>
      <c r="N44" s="79"/>
      <c r="O44" s="80"/>
      <c r="P44" s="79"/>
      <c r="Q44" s="56"/>
      <c r="R44" s="56"/>
    </row>
    <row r="45" spans="1:18" ht="15" customHeight="1" x14ac:dyDescent="0.3">
      <c r="A45" s="19" t="s">
        <v>26</v>
      </c>
      <c r="B45" s="19" t="s">
        <v>233</v>
      </c>
      <c r="C45" s="20" t="s">
        <v>504</v>
      </c>
      <c r="D45" s="19" t="s">
        <v>28</v>
      </c>
      <c r="E45" s="19" t="s">
        <v>503</v>
      </c>
      <c r="F45" s="19" t="s">
        <v>316</v>
      </c>
      <c r="G45" s="256"/>
      <c r="H45" s="79"/>
      <c r="I45" s="79"/>
      <c r="J45" s="79"/>
      <c r="K45" s="79"/>
      <c r="L45" s="79"/>
      <c r="M45" s="79"/>
      <c r="N45" s="79"/>
      <c r="O45" s="80"/>
      <c r="P45" s="79"/>
      <c r="Q45" s="56"/>
      <c r="R45" s="56"/>
    </row>
    <row r="46" spans="1:18" ht="15" customHeight="1" x14ac:dyDescent="0.3">
      <c r="A46" s="19" t="s">
        <v>26</v>
      </c>
      <c r="B46" s="19" t="s">
        <v>227</v>
      </c>
      <c r="C46" s="20" t="s">
        <v>461</v>
      </c>
      <c r="D46" s="19" t="s">
        <v>28</v>
      </c>
      <c r="E46" s="19" t="s">
        <v>478</v>
      </c>
      <c r="F46" s="19" t="s">
        <v>316</v>
      </c>
      <c r="G46" s="256"/>
      <c r="H46" s="79"/>
      <c r="I46" s="79"/>
      <c r="J46" s="79"/>
      <c r="K46" s="79"/>
      <c r="L46" s="79"/>
      <c r="M46" s="79"/>
      <c r="N46" s="79"/>
      <c r="O46" s="80"/>
      <c r="P46" s="79"/>
      <c r="Q46" s="56"/>
      <c r="R46" s="56"/>
    </row>
    <row r="47" spans="1:18" ht="15" customHeight="1" x14ac:dyDescent="0.3">
      <c r="A47" s="19" t="s">
        <v>26</v>
      </c>
      <c r="B47" s="19" t="s">
        <v>230</v>
      </c>
      <c r="C47" s="20" t="s">
        <v>134</v>
      </c>
      <c r="D47" s="19" t="s">
        <v>28</v>
      </c>
      <c r="E47" s="19" t="s">
        <v>483</v>
      </c>
      <c r="F47" s="19" t="s">
        <v>316</v>
      </c>
      <c r="G47" s="256"/>
      <c r="H47" s="79"/>
      <c r="I47" s="79"/>
      <c r="J47" s="79"/>
      <c r="K47" s="79"/>
      <c r="L47" s="79"/>
      <c r="M47" s="79"/>
      <c r="N47" s="79"/>
      <c r="O47" s="80"/>
      <c r="P47" s="79"/>
      <c r="Q47" s="56"/>
      <c r="R47" s="56"/>
    </row>
    <row r="48" spans="1:18" ht="15" customHeight="1" thickBot="1" x14ac:dyDescent="0.35">
      <c r="A48" s="81" t="s">
        <v>26</v>
      </c>
      <c r="B48" s="81" t="s">
        <v>232</v>
      </c>
      <c r="C48" s="82" t="s">
        <v>462</v>
      </c>
      <c r="D48" s="81" t="s">
        <v>28</v>
      </c>
      <c r="E48" s="81" t="s">
        <v>478</v>
      </c>
      <c r="F48" s="81" t="s">
        <v>316</v>
      </c>
      <c r="G48" s="257"/>
      <c r="H48" s="83"/>
      <c r="I48" s="83"/>
      <c r="J48" s="83"/>
      <c r="K48" s="83"/>
      <c r="L48" s="83"/>
      <c r="M48" s="83"/>
      <c r="N48" s="83"/>
      <c r="O48" s="84"/>
      <c r="P48" s="83"/>
      <c r="Q48" s="85"/>
      <c r="R48" s="85"/>
    </row>
    <row r="49" spans="1:18" ht="17.399999999999999" customHeight="1" thickBot="1" x14ac:dyDescent="0.35">
      <c r="A49" s="284"/>
      <c r="B49" s="285"/>
      <c r="C49" s="285"/>
      <c r="D49" s="285"/>
      <c r="E49" s="285"/>
      <c r="F49" s="285"/>
      <c r="G49" s="285"/>
      <c r="H49" s="285"/>
      <c r="I49" s="285"/>
      <c r="J49" s="285"/>
      <c r="K49" s="285"/>
      <c r="L49" s="285"/>
      <c r="M49" s="285"/>
      <c r="N49" s="285"/>
      <c r="O49" s="285"/>
      <c r="P49" s="285"/>
      <c r="Q49" s="285"/>
      <c r="R49" s="286"/>
    </row>
    <row r="50" spans="1:18" ht="22.05" customHeight="1" thickTop="1" thickBot="1" x14ac:dyDescent="0.35">
      <c r="A50" s="249" t="s">
        <v>6</v>
      </c>
      <c r="B50" s="250"/>
      <c r="C50" s="250"/>
      <c r="D50" s="250"/>
      <c r="E50" s="250"/>
      <c r="F50" s="251"/>
      <c r="G50" s="28">
        <v>45984</v>
      </c>
      <c r="H50" s="258" t="s">
        <v>7</v>
      </c>
      <c r="I50" s="250"/>
      <c r="J50" s="250"/>
      <c r="K50" s="250"/>
      <c r="L50" s="250"/>
      <c r="M50" s="250"/>
      <c r="N50" s="250"/>
      <c r="O50" s="250"/>
      <c r="P50" s="250"/>
      <c r="Q50" s="250"/>
      <c r="R50" s="251"/>
    </row>
    <row r="51" spans="1:18" ht="24" customHeight="1" x14ac:dyDescent="0.3">
      <c r="A51" s="29" t="s">
        <v>8</v>
      </c>
      <c r="B51" s="29" t="s">
        <v>9</v>
      </c>
      <c r="C51" s="30" t="s">
        <v>10</v>
      </c>
      <c r="D51" s="29" t="s">
        <v>11</v>
      </c>
      <c r="E51" s="29" t="s">
        <v>12</v>
      </c>
      <c r="F51" s="31" t="s">
        <v>13</v>
      </c>
      <c r="G51" s="32" t="s">
        <v>14</v>
      </c>
      <c r="H51" s="29" t="s">
        <v>15</v>
      </c>
      <c r="I51" s="33" t="s">
        <v>16</v>
      </c>
      <c r="J51" s="34" t="s">
        <v>17</v>
      </c>
      <c r="K51" s="35" t="s">
        <v>18</v>
      </c>
      <c r="L51" s="34" t="s">
        <v>19</v>
      </c>
      <c r="M51" s="34" t="s">
        <v>20</v>
      </c>
      <c r="N51" s="34" t="s">
        <v>21</v>
      </c>
      <c r="O51" s="29" t="s">
        <v>22</v>
      </c>
      <c r="P51" s="30" t="s">
        <v>23</v>
      </c>
      <c r="Q51" s="34" t="s">
        <v>24</v>
      </c>
      <c r="R51" s="29" t="s">
        <v>25</v>
      </c>
    </row>
    <row r="52" spans="1:18" ht="15" customHeight="1" x14ac:dyDescent="0.3">
      <c r="A52" s="8" t="s">
        <v>237</v>
      </c>
      <c r="B52" s="8" t="s">
        <v>490</v>
      </c>
      <c r="C52" s="9">
        <v>0.52777777777777779</v>
      </c>
      <c r="D52" s="8" t="s">
        <v>467</v>
      </c>
      <c r="E52" s="8" t="s">
        <v>309</v>
      </c>
      <c r="F52" s="8" t="s">
        <v>505</v>
      </c>
      <c r="G52" s="255"/>
      <c r="H52" s="10"/>
      <c r="I52" s="11"/>
      <c r="J52" s="11"/>
      <c r="K52" s="11"/>
      <c r="L52" s="11"/>
      <c r="M52" s="11"/>
      <c r="N52" s="11"/>
      <c r="O52" s="12"/>
      <c r="P52" s="11"/>
      <c r="Q52" s="13"/>
      <c r="R52" s="14"/>
    </row>
    <row r="53" spans="1:18" ht="15" customHeight="1" x14ac:dyDescent="0.3">
      <c r="A53" s="15" t="s">
        <v>237</v>
      </c>
      <c r="B53" s="15" t="s">
        <v>490</v>
      </c>
      <c r="C53" s="16">
        <v>0.52777777777777779</v>
      </c>
      <c r="D53" s="15" t="s">
        <v>469</v>
      </c>
      <c r="E53" s="15" t="s">
        <v>229</v>
      </c>
      <c r="F53" s="15" t="s">
        <v>82</v>
      </c>
      <c r="G53" s="256"/>
      <c r="H53" s="10"/>
      <c r="I53" s="11"/>
      <c r="J53" s="11"/>
      <c r="K53" s="11"/>
      <c r="L53" s="11"/>
      <c r="M53" s="11"/>
      <c r="N53" s="11"/>
      <c r="O53" s="12"/>
      <c r="P53" s="11"/>
      <c r="Q53" s="13"/>
      <c r="R53" s="14"/>
    </row>
    <row r="54" spans="1:18" ht="15" customHeight="1" x14ac:dyDescent="0.3">
      <c r="A54" s="15" t="s">
        <v>237</v>
      </c>
      <c r="B54" s="15" t="s">
        <v>490</v>
      </c>
      <c r="C54" s="16">
        <v>0.52777777777777779</v>
      </c>
      <c r="D54" s="15" t="s">
        <v>44</v>
      </c>
      <c r="E54" s="15" t="s">
        <v>229</v>
      </c>
      <c r="F54" s="15" t="s">
        <v>506</v>
      </c>
      <c r="G54" s="256"/>
      <c r="H54" s="10"/>
      <c r="I54" s="11"/>
      <c r="J54" s="11"/>
      <c r="K54" s="11"/>
      <c r="L54" s="11"/>
      <c r="M54" s="11"/>
      <c r="N54" s="11"/>
      <c r="O54" s="12"/>
      <c r="P54" s="11"/>
      <c r="Q54" s="13"/>
      <c r="R54" s="14"/>
    </row>
    <row r="55" spans="1:18" ht="15" customHeight="1" x14ac:dyDescent="0.3">
      <c r="A55" s="106" t="s">
        <v>93</v>
      </c>
      <c r="B55" s="106" t="s">
        <v>507</v>
      </c>
      <c r="C55" s="107">
        <v>0.48958333333333331</v>
      </c>
      <c r="D55" s="106" t="s">
        <v>249</v>
      </c>
      <c r="E55" s="106" t="s">
        <v>341</v>
      </c>
      <c r="F55" s="106" t="s">
        <v>268</v>
      </c>
      <c r="G55" s="256"/>
      <c r="H55" s="109" t="s">
        <v>497</v>
      </c>
      <c r="I55" s="110">
        <v>0.98880000000000001</v>
      </c>
      <c r="J55" s="111">
        <v>177</v>
      </c>
      <c r="K55" s="112" t="s">
        <v>180</v>
      </c>
      <c r="L55" s="111">
        <v>29</v>
      </c>
      <c r="M55" s="111">
        <v>0</v>
      </c>
      <c r="N55" s="111">
        <v>7</v>
      </c>
      <c r="O55" s="113" t="s">
        <v>508</v>
      </c>
      <c r="P55" s="114">
        <v>0.48958333333333331</v>
      </c>
      <c r="Q55" s="111">
        <v>179</v>
      </c>
      <c r="R55" s="115" t="s">
        <v>509</v>
      </c>
    </row>
    <row r="56" spans="1:18" ht="15" customHeight="1" x14ac:dyDescent="0.3">
      <c r="A56" s="161" t="s">
        <v>93</v>
      </c>
      <c r="B56" s="161" t="s">
        <v>475</v>
      </c>
      <c r="C56" s="162">
        <v>0.6875</v>
      </c>
      <c r="D56" s="161" t="s">
        <v>95</v>
      </c>
      <c r="E56" s="163"/>
      <c r="F56" s="161" t="s">
        <v>96</v>
      </c>
      <c r="G56" s="256"/>
      <c r="H56" s="152" t="s">
        <v>475</v>
      </c>
      <c r="I56" s="153">
        <v>1</v>
      </c>
      <c r="J56" s="154">
        <v>179</v>
      </c>
      <c r="K56" s="155" t="s">
        <v>180</v>
      </c>
      <c r="L56" s="154">
        <v>15</v>
      </c>
      <c r="M56" s="154">
        <v>0</v>
      </c>
      <c r="N56" s="154">
        <v>2</v>
      </c>
      <c r="O56" s="156" t="s">
        <v>98</v>
      </c>
      <c r="P56" s="157">
        <v>0.6875</v>
      </c>
      <c r="Q56" s="154">
        <v>179</v>
      </c>
      <c r="R56" s="158" t="s">
        <v>510</v>
      </c>
    </row>
    <row r="57" spans="1:18" ht="15" customHeight="1" x14ac:dyDescent="0.3">
      <c r="A57" s="17" t="s">
        <v>56</v>
      </c>
      <c r="B57" s="17" t="s">
        <v>472</v>
      </c>
      <c r="C57" s="18">
        <v>0.71180555555555547</v>
      </c>
      <c r="D57" s="17" t="s">
        <v>62</v>
      </c>
      <c r="E57" s="17" t="s">
        <v>49</v>
      </c>
      <c r="F57" s="17" t="s">
        <v>511</v>
      </c>
      <c r="G57" s="256"/>
      <c r="H57" s="10"/>
      <c r="I57" s="11"/>
      <c r="J57" s="11"/>
      <c r="K57" s="11"/>
      <c r="L57" s="11"/>
      <c r="M57" s="11"/>
      <c r="N57" s="11"/>
      <c r="O57" s="12"/>
      <c r="P57" s="11"/>
      <c r="Q57" s="13"/>
      <c r="R57" s="14"/>
    </row>
    <row r="58" spans="1:18" ht="15" customHeight="1" x14ac:dyDescent="0.3">
      <c r="A58" s="15" t="s">
        <v>56</v>
      </c>
      <c r="B58" s="15" t="s">
        <v>472</v>
      </c>
      <c r="C58" s="16">
        <v>0.71180555555555547</v>
      </c>
      <c r="D58" s="15" t="s">
        <v>58</v>
      </c>
      <c r="E58" s="15" t="s">
        <v>101</v>
      </c>
      <c r="F58" s="15" t="s">
        <v>512</v>
      </c>
      <c r="G58" s="256"/>
      <c r="H58" s="10"/>
      <c r="I58" s="11"/>
      <c r="J58" s="11"/>
      <c r="K58" s="11"/>
      <c r="L58" s="11"/>
      <c r="M58" s="11"/>
      <c r="N58" s="11"/>
      <c r="O58" s="12"/>
      <c r="P58" s="11"/>
      <c r="Q58" s="13"/>
      <c r="R58" s="14"/>
    </row>
    <row r="59" spans="1:18" ht="18" x14ac:dyDescent="0.3">
      <c r="A59" s="267" t="s">
        <v>477</v>
      </c>
      <c r="B59" s="268"/>
      <c r="C59" s="268"/>
      <c r="D59" s="268"/>
      <c r="E59" s="268"/>
      <c r="F59" s="269"/>
      <c r="G59" s="256"/>
      <c r="H59" s="79"/>
      <c r="I59" s="79"/>
      <c r="J59" s="79"/>
      <c r="K59" s="79"/>
      <c r="L59" s="79"/>
      <c r="M59" s="79"/>
      <c r="N59" s="79"/>
      <c r="O59" s="80"/>
      <c r="P59" s="79"/>
      <c r="Q59" s="56"/>
      <c r="R59" s="56"/>
    </row>
    <row r="60" spans="1:18" ht="15" customHeight="1" x14ac:dyDescent="0.3">
      <c r="A60" s="19" t="s">
        <v>36</v>
      </c>
      <c r="B60" s="19" t="s">
        <v>215</v>
      </c>
      <c r="C60" s="20" t="s">
        <v>458</v>
      </c>
      <c r="D60" s="19" t="s">
        <v>340</v>
      </c>
      <c r="E60" s="19" t="s">
        <v>503</v>
      </c>
      <c r="F60" s="19" t="s">
        <v>342</v>
      </c>
      <c r="G60" s="256"/>
      <c r="H60" s="79"/>
      <c r="I60" s="79"/>
      <c r="J60" s="79"/>
      <c r="K60" s="79"/>
      <c r="L60" s="79"/>
      <c r="M60" s="79"/>
      <c r="N60" s="79"/>
      <c r="O60" s="80"/>
      <c r="P60" s="79"/>
      <c r="Q60" s="56"/>
      <c r="R60" s="56"/>
    </row>
    <row r="61" spans="1:18" ht="15" customHeight="1" x14ac:dyDescent="0.3">
      <c r="A61" s="19" t="s">
        <v>36</v>
      </c>
      <c r="B61" s="19" t="s">
        <v>204</v>
      </c>
      <c r="C61" s="20" t="s">
        <v>455</v>
      </c>
      <c r="D61" s="19" t="s">
        <v>340</v>
      </c>
      <c r="E61" s="19" t="s">
        <v>482</v>
      </c>
      <c r="F61" s="19" t="s">
        <v>342</v>
      </c>
      <c r="G61" s="256"/>
      <c r="H61" s="79"/>
      <c r="I61" s="79"/>
      <c r="J61" s="79"/>
      <c r="K61" s="79"/>
      <c r="L61" s="79"/>
      <c r="M61" s="79"/>
      <c r="N61" s="79"/>
      <c r="O61" s="80"/>
      <c r="P61" s="79"/>
      <c r="Q61" s="56"/>
      <c r="R61" s="56"/>
    </row>
    <row r="62" spans="1:18" ht="15" customHeight="1" x14ac:dyDescent="0.3">
      <c r="A62" s="19" t="s">
        <v>36</v>
      </c>
      <c r="B62" s="19" t="s">
        <v>208</v>
      </c>
      <c r="C62" s="20" t="s">
        <v>456</v>
      </c>
      <c r="D62" s="19" t="s">
        <v>340</v>
      </c>
      <c r="E62" s="19" t="s">
        <v>194</v>
      </c>
      <c r="F62" s="19" t="s">
        <v>343</v>
      </c>
      <c r="G62" s="256"/>
      <c r="H62" s="79"/>
      <c r="I62" s="79"/>
      <c r="J62" s="79"/>
      <c r="K62" s="79"/>
      <c r="L62" s="79"/>
      <c r="M62" s="79"/>
      <c r="N62" s="79"/>
      <c r="O62" s="80"/>
      <c r="P62" s="79"/>
      <c r="Q62" s="56"/>
      <c r="R62" s="56"/>
    </row>
    <row r="63" spans="1:18" ht="15" customHeight="1" x14ac:dyDescent="0.3">
      <c r="A63" s="19" t="s">
        <v>36</v>
      </c>
      <c r="B63" s="19" t="s">
        <v>212</v>
      </c>
      <c r="C63" s="20" t="s">
        <v>457</v>
      </c>
      <c r="D63" s="19" t="s">
        <v>340</v>
      </c>
      <c r="E63" s="19" t="s">
        <v>479</v>
      </c>
      <c r="F63" s="19" t="s">
        <v>343</v>
      </c>
      <c r="G63" s="256"/>
      <c r="H63" s="79"/>
      <c r="I63" s="79"/>
      <c r="J63" s="79"/>
      <c r="K63" s="79"/>
      <c r="L63" s="79"/>
      <c r="M63" s="79"/>
      <c r="N63" s="79"/>
      <c r="O63" s="80"/>
      <c r="P63" s="79"/>
      <c r="Q63" s="56"/>
      <c r="R63" s="56"/>
    </row>
    <row r="64" spans="1:18" ht="15" customHeight="1" x14ac:dyDescent="0.3">
      <c r="A64" s="19" t="s">
        <v>26</v>
      </c>
      <c r="B64" s="19" t="s">
        <v>224</v>
      </c>
      <c r="C64" s="20" t="s">
        <v>146</v>
      </c>
      <c r="D64" s="19" t="s">
        <v>344</v>
      </c>
      <c r="E64" s="19" t="s">
        <v>174</v>
      </c>
      <c r="F64" s="19" t="s">
        <v>343</v>
      </c>
      <c r="G64" s="256"/>
      <c r="H64" s="79"/>
      <c r="I64" s="79"/>
      <c r="J64" s="79"/>
      <c r="K64" s="79"/>
      <c r="L64" s="79"/>
      <c r="M64" s="79"/>
      <c r="N64" s="79"/>
      <c r="O64" s="80"/>
      <c r="P64" s="79"/>
      <c r="Q64" s="56"/>
      <c r="R64" s="56"/>
    </row>
    <row r="65" spans="1:18" ht="15" customHeight="1" x14ac:dyDescent="0.3">
      <c r="A65" s="19" t="s">
        <v>26</v>
      </c>
      <c r="B65" s="19" t="s">
        <v>226</v>
      </c>
      <c r="C65" s="20" t="s">
        <v>460</v>
      </c>
      <c r="D65" s="19" t="s">
        <v>344</v>
      </c>
      <c r="E65" s="19" t="s">
        <v>503</v>
      </c>
      <c r="F65" s="19" t="s">
        <v>343</v>
      </c>
      <c r="G65" s="256"/>
      <c r="H65" s="79"/>
      <c r="I65" s="79"/>
      <c r="J65" s="79"/>
      <c r="K65" s="79"/>
      <c r="L65" s="79"/>
      <c r="M65" s="79"/>
      <c r="N65" s="79"/>
      <c r="O65" s="80"/>
      <c r="P65" s="79"/>
      <c r="Q65" s="56"/>
      <c r="R65" s="56"/>
    </row>
    <row r="66" spans="1:18" ht="15" customHeight="1" x14ac:dyDescent="0.3">
      <c r="A66" s="19" t="s">
        <v>26</v>
      </c>
      <c r="B66" s="19" t="s">
        <v>227</v>
      </c>
      <c r="C66" s="20" t="s">
        <v>461</v>
      </c>
      <c r="D66" s="19" t="s">
        <v>344</v>
      </c>
      <c r="E66" s="19" t="s">
        <v>174</v>
      </c>
      <c r="F66" s="19" t="s">
        <v>343</v>
      </c>
      <c r="G66" s="256"/>
      <c r="H66" s="79"/>
      <c r="I66" s="79"/>
      <c r="J66" s="79"/>
      <c r="K66" s="79"/>
      <c r="L66" s="79"/>
      <c r="M66" s="79"/>
      <c r="N66" s="79"/>
      <c r="O66" s="80"/>
      <c r="P66" s="79"/>
      <c r="Q66" s="56"/>
      <c r="R66" s="56"/>
    </row>
    <row r="67" spans="1:18" ht="15" customHeight="1" x14ac:dyDescent="0.3">
      <c r="A67" s="19" t="s">
        <v>26</v>
      </c>
      <c r="B67" s="19" t="s">
        <v>345</v>
      </c>
      <c r="C67" s="20" t="s">
        <v>456</v>
      </c>
      <c r="D67" s="19" t="s">
        <v>344</v>
      </c>
      <c r="E67" s="19" t="s">
        <v>503</v>
      </c>
      <c r="F67" s="19" t="s">
        <v>343</v>
      </c>
      <c r="G67" s="256"/>
      <c r="H67" s="79"/>
      <c r="I67" s="79"/>
      <c r="J67" s="79"/>
      <c r="K67" s="79"/>
      <c r="L67" s="79"/>
      <c r="M67" s="79"/>
      <c r="N67" s="79"/>
      <c r="O67" s="80"/>
      <c r="P67" s="79"/>
      <c r="Q67" s="56"/>
      <c r="R67" s="56"/>
    </row>
    <row r="68" spans="1:18" ht="15" customHeight="1" x14ac:dyDescent="0.3">
      <c r="A68" s="19" t="s">
        <v>26</v>
      </c>
      <c r="B68" s="19" t="s">
        <v>232</v>
      </c>
      <c r="C68" s="20" t="s">
        <v>462</v>
      </c>
      <c r="D68" s="19" t="s">
        <v>344</v>
      </c>
      <c r="E68" s="19" t="s">
        <v>174</v>
      </c>
      <c r="F68" s="19" t="s">
        <v>343</v>
      </c>
      <c r="G68" s="256"/>
      <c r="H68" s="79"/>
      <c r="I68" s="79"/>
      <c r="J68" s="79"/>
      <c r="K68" s="79"/>
      <c r="L68" s="79"/>
      <c r="M68" s="79"/>
      <c r="N68" s="79"/>
      <c r="O68" s="80"/>
      <c r="P68" s="79"/>
      <c r="Q68" s="56"/>
      <c r="R68" s="56"/>
    </row>
    <row r="69" spans="1:18" ht="15" customHeight="1" x14ac:dyDescent="0.3">
      <c r="A69" s="81" t="s">
        <v>243</v>
      </c>
      <c r="B69" s="81" t="s">
        <v>246</v>
      </c>
      <c r="C69" s="82" t="s">
        <v>513</v>
      </c>
      <c r="D69" s="81" t="s">
        <v>245</v>
      </c>
      <c r="E69" s="81" t="s">
        <v>182</v>
      </c>
      <c r="F69" s="81" t="s">
        <v>346</v>
      </c>
      <c r="G69" s="257"/>
      <c r="H69" s="83"/>
      <c r="I69" s="83"/>
      <c r="J69" s="83"/>
      <c r="K69" s="83"/>
      <c r="L69" s="83"/>
      <c r="M69" s="83"/>
      <c r="N69" s="83"/>
      <c r="O69" s="84"/>
      <c r="P69" s="83"/>
      <c r="Q69" s="85"/>
      <c r="R69" s="85"/>
    </row>
  </sheetData>
  <mergeCells count="21">
    <mergeCell ref="A59:F59"/>
    <mergeCell ref="A24:F24"/>
    <mergeCell ref="G52:G69"/>
    <mergeCell ref="A49:R49"/>
    <mergeCell ref="H24:R24"/>
    <mergeCell ref="G26:G48"/>
    <mergeCell ref="H1:L1"/>
    <mergeCell ref="A1:E1"/>
    <mergeCell ref="A12:F12"/>
    <mergeCell ref="A50:F50"/>
    <mergeCell ref="H4:R4"/>
    <mergeCell ref="H50:R50"/>
    <mergeCell ref="A2:F2"/>
    <mergeCell ref="A3:R3"/>
    <mergeCell ref="G2:J2"/>
    <mergeCell ref="A4:F4"/>
    <mergeCell ref="A23:R23"/>
    <mergeCell ref="G6:G22"/>
    <mergeCell ref="N1:R1"/>
    <mergeCell ref="A38:F38"/>
    <mergeCell ref="K2:R2"/>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J7"/>
  <sheetViews>
    <sheetView workbookViewId="0"/>
  </sheetViews>
  <sheetFormatPr defaultRowHeight="15.6" outlineLevelCol="1" x14ac:dyDescent="0.3"/>
  <cols>
    <col min="1" max="1" width="11.6640625" style="271" bestFit="1" customWidth="1"/>
    <col min="2" max="2" width="11.109375" style="271" bestFit="1" customWidth="1"/>
    <col min="3" max="3" width="7.88671875" style="271" bestFit="1" customWidth="1"/>
    <col min="4" max="4" width="6.77734375" style="271" bestFit="1" customWidth="1"/>
    <col min="5" max="5" width="9.44140625" style="271" bestFit="1" customWidth="1"/>
    <col min="6" max="6" width="5.21875" style="271" bestFit="1" customWidth="1"/>
    <col min="7" max="7" width="10" style="271" bestFit="1" customWidth="1"/>
    <col min="8" max="8" width="7" style="271" bestFit="1" customWidth="1"/>
    <col min="9" max="10" width="8" style="271" bestFit="1" customWidth="1"/>
    <col min="11" max="11" width="12.21875" style="271" bestFit="1" customWidth="1"/>
    <col min="12" max="12" width="21.21875" style="271" bestFit="1" customWidth="1"/>
    <col min="13" max="13" width="8.77734375" style="271" bestFit="1" customWidth="1" outlineLevel="1"/>
    <col min="14" max="14" width="7.33203125" style="271" bestFit="1" customWidth="1" outlineLevel="1"/>
    <col min="15" max="15" width="9.109375" style="271" bestFit="1" customWidth="1" outlineLevel="1"/>
    <col min="16" max="16" width="15.33203125" style="271" bestFit="1" customWidth="1"/>
    <col min="17" max="19" width="3.88671875" style="271" bestFit="1" customWidth="1"/>
    <col min="20" max="20" width="4.21875" style="271" bestFit="1" customWidth="1"/>
    <col min="21" max="21" width="4.33203125" style="271" bestFit="1" customWidth="1"/>
    <col min="22" max="22" width="4" style="271" bestFit="1" customWidth="1"/>
    <col min="23" max="23" width="5.21875" style="271" bestFit="1" customWidth="1"/>
    <col min="24" max="24" width="4.77734375" style="271" bestFit="1" customWidth="1"/>
    <col min="25" max="25" width="5.33203125" style="271" bestFit="1" customWidth="1"/>
    <col min="26" max="26" width="4.88671875" style="271" bestFit="1" customWidth="1"/>
    <col min="27" max="27" width="5.88671875" style="271" bestFit="1" customWidth="1"/>
    <col min="28" max="28" width="5" style="271" bestFit="1" customWidth="1"/>
    <col min="29" max="29" width="5.109375" style="271" bestFit="1" customWidth="1"/>
    <col min="30" max="34" width="3.88671875" style="271" bestFit="1" customWidth="1"/>
    <col min="35" max="35" width="6.21875" style="271" bestFit="1" customWidth="1"/>
    <col min="36" max="36" width="3.88671875" style="271" bestFit="1" customWidth="1"/>
    <col min="37" max="16384" width="8.88671875" style="271"/>
  </cols>
  <sheetData>
    <row r="1" spans="1:36" x14ac:dyDescent="0.3">
      <c r="A1" s="270" t="s">
        <v>104</v>
      </c>
      <c r="B1" s="270" t="s">
        <v>105</v>
      </c>
      <c r="C1" s="270" t="s">
        <v>106</v>
      </c>
      <c r="D1" s="270" t="s">
        <v>23</v>
      </c>
      <c r="E1" s="270" t="s">
        <v>107</v>
      </c>
      <c r="F1" s="270" t="s">
        <v>108</v>
      </c>
      <c r="G1" s="270" t="s">
        <v>16</v>
      </c>
      <c r="H1" s="270" t="s">
        <v>109</v>
      </c>
      <c r="I1" s="270" t="s">
        <v>110</v>
      </c>
      <c r="J1" s="270" t="s">
        <v>111</v>
      </c>
      <c r="K1" s="270" t="s">
        <v>112</v>
      </c>
      <c r="L1" s="270" t="s">
        <v>18</v>
      </c>
      <c r="M1" s="270" t="s">
        <v>20</v>
      </c>
      <c r="N1" s="270" t="s">
        <v>21</v>
      </c>
      <c r="O1" s="270" t="s">
        <v>19</v>
      </c>
      <c r="P1" s="270" t="s">
        <v>22</v>
      </c>
      <c r="Q1" s="270" t="s">
        <v>113</v>
      </c>
      <c r="R1" s="270" t="s">
        <v>114</v>
      </c>
      <c r="S1" s="270" t="s">
        <v>115</v>
      </c>
      <c r="T1" s="270" t="s">
        <v>116</v>
      </c>
      <c r="U1" s="270" t="s">
        <v>117</v>
      </c>
      <c r="V1" s="270" t="s">
        <v>118</v>
      </c>
      <c r="W1" s="270" t="s">
        <v>119</v>
      </c>
      <c r="X1" s="270" t="s">
        <v>120</v>
      </c>
      <c r="Y1" s="270" t="s">
        <v>121</v>
      </c>
      <c r="Z1" s="270" t="s">
        <v>122</v>
      </c>
      <c r="AA1" s="270" t="s">
        <v>123</v>
      </c>
      <c r="AB1" s="270" t="s">
        <v>124</v>
      </c>
      <c r="AC1" s="270" t="s">
        <v>125</v>
      </c>
      <c r="AD1" s="270" t="s">
        <v>126</v>
      </c>
      <c r="AE1" s="270" t="s">
        <v>127</v>
      </c>
      <c r="AF1" s="270" t="s">
        <v>128</v>
      </c>
      <c r="AG1" s="270" t="s">
        <v>129</v>
      </c>
      <c r="AH1" s="270" t="s">
        <v>130</v>
      </c>
      <c r="AI1" s="270" t="s">
        <v>131</v>
      </c>
      <c r="AJ1" s="270" t="s">
        <v>132</v>
      </c>
    </row>
    <row r="2" spans="1:36" x14ac:dyDescent="0.3">
      <c r="A2" s="272" t="s">
        <v>369</v>
      </c>
      <c r="B2" s="273">
        <v>45982</v>
      </c>
      <c r="C2" s="274" t="s">
        <v>475</v>
      </c>
      <c r="D2" s="275" t="s">
        <v>464</v>
      </c>
      <c r="E2" s="274" t="s">
        <v>465</v>
      </c>
      <c r="F2" s="274" t="s">
        <v>135</v>
      </c>
      <c r="G2" s="276">
        <v>1</v>
      </c>
      <c r="H2" s="277">
        <v>179</v>
      </c>
      <c r="I2" s="277">
        <v>179</v>
      </c>
      <c r="J2" s="277">
        <v>83</v>
      </c>
      <c r="K2" s="274" t="s">
        <v>136</v>
      </c>
      <c r="L2" s="278" t="s">
        <v>180</v>
      </c>
      <c r="M2" s="277">
        <v>0</v>
      </c>
      <c r="N2" s="277">
        <v>2</v>
      </c>
      <c r="O2" s="277">
        <v>8</v>
      </c>
      <c r="P2" s="274" t="s">
        <v>98</v>
      </c>
      <c r="Q2" s="270"/>
      <c r="R2" s="270"/>
      <c r="S2" s="270"/>
      <c r="T2" s="277" t="s">
        <v>514</v>
      </c>
      <c r="U2" s="277" t="s">
        <v>515</v>
      </c>
      <c r="V2" s="277" t="s">
        <v>516</v>
      </c>
      <c r="W2" s="270"/>
      <c r="X2" s="277" t="s">
        <v>517</v>
      </c>
      <c r="Y2" s="277" t="s">
        <v>518</v>
      </c>
      <c r="Z2" s="277" t="s">
        <v>395</v>
      </c>
      <c r="AA2" s="277" t="s">
        <v>519</v>
      </c>
      <c r="AB2" s="277" t="s">
        <v>520</v>
      </c>
      <c r="AC2" s="277" t="s">
        <v>521</v>
      </c>
      <c r="AD2" s="270"/>
      <c r="AE2" s="270"/>
      <c r="AF2" s="270"/>
      <c r="AG2" s="270"/>
      <c r="AH2" s="270"/>
      <c r="AI2" s="277" t="s">
        <v>202</v>
      </c>
      <c r="AJ2" s="270"/>
    </row>
    <row r="3" spans="1:36" x14ac:dyDescent="0.3">
      <c r="A3" s="272" t="s">
        <v>133</v>
      </c>
      <c r="B3" s="273">
        <v>45983</v>
      </c>
      <c r="C3" s="274" t="s">
        <v>497</v>
      </c>
      <c r="D3" s="275" t="s">
        <v>387</v>
      </c>
      <c r="E3" s="274" t="s">
        <v>465</v>
      </c>
      <c r="F3" s="274" t="s">
        <v>135</v>
      </c>
      <c r="G3" s="276">
        <v>1</v>
      </c>
      <c r="H3" s="277">
        <v>179</v>
      </c>
      <c r="I3" s="277">
        <v>179</v>
      </c>
      <c r="J3" s="277">
        <v>118</v>
      </c>
      <c r="K3" s="274" t="s">
        <v>136</v>
      </c>
      <c r="L3" s="278" t="s">
        <v>180</v>
      </c>
      <c r="M3" s="277">
        <v>0</v>
      </c>
      <c r="N3" s="277">
        <v>2</v>
      </c>
      <c r="O3" s="277">
        <v>12</v>
      </c>
      <c r="P3" s="274" t="s">
        <v>98</v>
      </c>
      <c r="Q3" s="270"/>
      <c r="R3" s="270"/>
      <c r="S3" s="270"/>
      <c r="T3" s="270"/>
      <c r="U3" s="270"/>
      <c r="V3" s="270"/>
      <c r="W3" s="270"/>
      <c r="X3" s="277" t="s">
        <v>522</v>
      </c>
      <c r="Y3" s="270"/>
      <c r="Z3" s="277" t="s">
        <v>375</v>
      </c>
      <c r="AA3" s="277" t="s">
        <v>523</v>
      </c>
      <c r="AB3" s="277" t="s">
        <v>524</v>
      </c>
      <c r="AC3" s="277" t="s">
        <v>521</v>
      </c>
      <c r="AD3" s="270"/>
      <c r="AE3" s="270"/>
      <c r="AF3" s="270"/>
      <c r="AG3" s="270"/>
      <c r="AH3" s="270"/>
      <c r="AI3" s="277" t="s">
        <v>525</v>
      </c>
      <c r="AJ3" s="270"/>
    </row>
    <row r="4" spans="1:36" x14ac:dyDescent="0.3">
      <c r="A4" s="272" t="s">
        <v>133</v>
      </c>
      <c r="B4" s="273">
        <v>45983</v>
      </c>
      <c r="C4" s="274" t="s">
        <v>475</v>
      </c>
      <c r="D4" s="275" t="s">
        <v>526</v>
      </c>
      <c r="E4" s="274" t="s">
        <v>465</v>
      </c>
      <c r="F4" s="274" t="s">
        <v>135</v>
      </c>
      <c r="G4" s="276">
        <v>1</v>
      </c>
      <c r="H4" s="277">
        <v>179</v>
      </c>
      <c r="I4" s="277">
        <v>179</v>
      </c>
      <c r="J4" s="277">
        <v>136</v>
      </c>
      <c r="K4" s="274" t="s">
        <v>136</v>
      </c>
      <c r="L4" s="278" t="s">
        <v>180</v>
      </c>
      <c r="M4" s="277">
        <v>0</v>
      </c>
      <c r="N4" s="277">
        <v>2</v>
      </c>
      <c r="O4" s="277">
        <v>8</v>
      </c>
      <c r="P4" s="274" t="s">
        <v>98</v>
      </c>
      <c r="Q4" s="270"/>
      <c r="R4" s="270"/>
      <c r="S4" s="270"/>
      <c r="T4" s="270"/>
      <c r="U4" s="270"/>
      <c r="V4" s="277" t="s">
        <v>371</v>
      </c>
      <c r="W4" s="277" t="s">
        <v>527</v>
      </c>
      <c r="X4" s="277" t="s">
        <v>528</v>
      </c>
      <c r="Y4" s="270"/>
      <c r="Z4" s="277" t="s">
        <v>529</v>
      </c>
      <c r="AA4" s="270"/>
      <c r="AB4" s="270"/>
      <c r="AC4" s="277" t="s">
        <v>530</v>
      </c>
      <c r="AD4" s="270"/>
      <c r="AE4" s="270"/>
      <c r="AF4" s="270"/>
      <c r="AG4" s="270"/>
      <c r="AH4" s="270"/>
      <c r="AI4" s="277" t="s">
        <v>531</v>
      </c>
      <c r="AJ4" s="270"/>
    </row>
    <row r="5" spans="1:36" x14ac:dyDescent="0.3">
      <c r="A5" s="272" t="s">
        <v>145</v>
      </c>
      <c r="B5" s="273">
        <v>45984</v>
      </c>
      <c r="C5" s="274" t="s">
        <v>497</v>
      </c>
      <c r="D5" s="275" t="s">
        <v>532</v>
      </c>
      <c r="E5" s="274" t="s">
        <v>465</v>
      </c>
      <c r="F5" s="274" t="s">
        <v>135</v>
      </c>
      <c r="G5" s="276">
        <v>0.98880000000000001</v>
      </c>
      <c r="H5" s="277">
        <v>179</v>
      </c>
      <c r="I5" s="277">
        <v>177</v>
      </c>
      <c r="J5" s="277">
        <v>134</v>
      </c>
      <c r="K5" s="274" t="s">
        <v>136</v>
      </c>
      <c r="L5" s="278" t="s">
        <v>180</v>
      </c>
      <c r="M5" s="277">
        <v>0</v>
      </c>
      <c r="N5" s="277">
        <v>7</v>
      </c>
      <c r="O5" s="277">
        <v>29</v>
      </c>
      <c r="P5" s="274" t="s">
        <v>508</v>
      </c>
      <c r="Q5" s="270"/>
      <c r="R5" s="270"/>
      <c r="S5" s="270"/>
      <c r="T5" s="270"/>
      <c r="U5" s="270"/>
      <c r="V5" s="270"/>
      <c r="W5" s="277" t="s">
        <v>533</v>
      </c>
      <c r="X5" s="277" t="s">
        <v>534</v>
      </c>
      <c r="Y5" s="277" t="s">
        <v>361</v>
      </c>
      <c r="Z5" s="277" t="s">
        <v>535</v>
      </c>
      <c r="AA5" s="270"/>
      <c r="AB5" s="270"/>
      <c r="AC5" s="277" t="s">
        <v>442</v>
      </c>
      <c r="AD5" s="270"/>
      <c r="AE5" s="270"/>
      <c r="AF5" s="270"/>
      <c r="AG5" s="270"/>
      <c r="AH5" s="270"/>
      <c r="AI5" s="277" t="s">
        <v>536</v>
      </c>
      <c r="AJ5" s="270"/>
    </row>
    <row r="6" spans="1:36" x14ac:dyDescent="0.3">
      <c r="A6" s="272" t="s">
        <v>145</v>
      </c>
      <c r="B6" s="273">
        <v>45984</v>
      </c>
      <c r="C6" s="274" t="s">
        <v>475</v>
      </c>
      <c r="D6" s="275" t="s">
        <v>537</v>
      </c>
      <c r="E6" s="274" t="s">
        <v>465</v>
      </c>
      <c r="F6" s="274" t="s">
        <v>135</v>
      </c>
      <c r="G6" s="276">
        <v>1</v>
      </c>
      <c r="H6" s="277">
        <v>179</v>
      </c>
      <c r="I6" s="277">
        <v>179</v>
      </c>
      <c r="J6" s="277">
        <v>136</v>
      </c>
      <c r="K6" s="274" t="s">
        <v>136</v>
      </c>
      <c r="L6" s="278" t="s">
        <v>180</v>
      </c>
      <c r="M6" s="277">
        <v>0</v>
      </c>
      <c r="N6" s="277">
        <v>2</v>
      </c>
      <c r="O6" s="277">
        <v>15</v>
      </c>
      <c r="P6" s="274" t="s">
        <v>98</v>
      </c>
      <c r="Q6" s="270"/>
      <c r="R6" s="270"/>
      <c r="S6" s="270"/>
      <c r="T6" s="270"/>
      <c r="U6" s="270"/>
      <c r="V6" s="277" t="s">
        <v>327</v>
      </c>
      <c r="W6" s="277" t="s">
        <v>538</v>
      </c>
      <c r="X6" s="277" t="s">
        <v>517</v>
      </c>
      <c r="Y6" s="277" t="s">
        <v>361</v>
      </c>
      <c r="Z6" s="277" t="s">
        <v>444</v>
      </c>
      <c r="AA6" s="277" t="s">
        <v>539</v>
      </c>
      <c r="AB6" s="277" t="s">
        <v>138</v>
      </c>
      <c r="AC6" s="277" t="s">
        <v>139</v>
      </c>
      <c r="AD6" s="270"/>
      <c r="AE6" s="270"/>
      <c r="AF6" s="270"/>
      <c r="AG6" s="270"/>
      <c r="AH6" s="270"/>
      <c r="AI6" s="277" t="s">
        <v>531</v>
      </c>
      <c r="AJ6" s="270"/>
    </row>
    <row r="7" spans="1:36" ht="21" x14ac:dyDescent="0.3">
      <c r="A7" s="279" t="s">
        <v>946</v>
      </c>
      <c r="B7" s="280"/>
      <c r="C7" s="279">
        <f>SUBTOTAL(103,JED_HBE_LF_LEGACY[Flt])</f>
        <v>5</v>
      </c>
      <c r="D7" s="279"/>
      <c r="E7" s="279">
        <f>SUBTOTAL(103,JED_HBE_LF_LEGACY[Brd-Off])</f>
        <v>5</v>
      </c>
      <c r="F7" s="279"/>
      <c r="G7" s="281">
        <f>SUBTOTAL(101,JED_HBE_LF_LEGACY[LF%])</f>
        <v>0.99775999999999987</v>
      </c>
      <c r="H7" s="282">
        <f>SUBTOTAL(109,JED_HBE_LF_LEGACY[CAP])</f>
        <v>895</v>
      </c>
      <c r="I7" s="282">
        <f>SUBTOTAL(109,JED_HBE_LF_LEGACY[BKG(Y)])</f>
        <v>893</v>
      </c>
      <c r="J7" s="282">
        <f>SUBTOTAL(109,JED_HBE_LF_LEGACY[GRP(Y)])</f>
        <v>607</v>
      </c>
      <c r="K7" s="279"/>
      <c r="L7" s="280"/>
      <c r="M7" s="282">
        <f>SUBTOTAL(109,JED_HBE_LF_LEGACY[TO-DAY])</f>
        <v>0</v>
      </c>
      <c r="N7" s="282">
        <f>SUBTOTAL(109,JED_HBE_LF_LEGACY[Y-DAY])</f>
        <v>15</v>
      </c>
      <c r="O7" s="282">
        <f>SUBTOTAL(109,JED_HBE_LF_LEGACY[WEEKLY])</f>
        <v>72</v>
      </c>
      <c r="P7" s="283"/>
      <c r="Q7" s="279">
        <f>SUBTOTAL(109,JED_HBE_LF_LEGACY[Y])</f>
        <v>0</v>
      </c>
      <c r="R7" s="279">
        <f>SUBTOTAL(109,JED_HBE_LF_LEGACY[B])</f>
        <v>0</v>
      </c>
      <c r="S7" s="279">
        <f>SUBTOTAL(109,JED_HBE_LF_LEGACY[M])</f>
        <v>0</v>
      </c>
      <c r="T7" s="279">
        <f>SUBTOTAL(109,JED_HBE_LF_LEGACY[H])</f>
        <v>0</v>
      </c>
      <c r="U7" s="279">
        <f>SUBTOTAL(109,JED_HBE_LF_LEGACY[Q])</f>
        <v>0</v>
      </c>
      <c r="V7" s="282">
        <f>SUBTOTAL(109,JED_HBE_LF_LEGACY[K])</f>
        <v>0</v>
      </c>
      <c r="W7" s="282">
        <f>SUBTOTAL(109,JED_HBE_LF_LEGACY[V])</f>
        <v>0</v>
      </c>
      <c r="X7" s="282">
        <f>SUBTOTAL(109,JED_HBE_LF_LEGACY[L])</f>
        <v>0</v>
      </c>
      <c r="Y7" s="282">
        <f>SUBTOTAL(109,JED_HBE_LF_LEGACY[G])</f>
        <v>0</v>
      </c>
      <c r="Z7" s="282">
        <f>SUBTOTAL(109,JED_HBE_LF_LEGACY[S])</f>
        <v>0</v>
      </c>
      <c r="AA7" s="282">
        <f>SUBTOTAL(109,JED_HBE_LF_LEGACY[W])</f>
        <v>0</v>
      </c>
      <c r="AB7" s="282">
        <f>SUBTOTAL(109,JED_HBE_LF_LEGACY[T])</f>
        <v>0</v>
      </c>
      <c r="AC7" s="282">
        <f>SUBTOTAL(109,JED_HBE_LF_LEGACY[X])</f>
        <v>0</v>
      </c>
      <c r="AD7" s="279">
        <f>SUBTOTAL(109,JED_HBE_LF_LEGACY[U])</f>
        <v>0</v>
      </c>
      <c r="AE7" s="279">
        <f>SUBTOTAL(109,JED_HBE_LF_LEGACY[O])</f>
        <v>0</v>
      </c>
      <c r="AF7" s="279">
        <f>SUBTOTAL(109,JED_HBE_LF_LEGACY[I])</f>
        <v>0</v>
      </c>
      <c r="AG7" s="279">
        <f>SUBTOTAL(109,JED_HBE_LF_LEGACY[E])</f>
        <v>0</v>
      </c>
      <c r="AH7" s="279">
        <f>SUBTOTAL(109,JED_HBE_LF_LEGACY[A])</f>
        <v>0</v>
      </c>
      <c r="AI7" s="282">
        <f>SUBTOTAL(109,JED_HBE_LF_LEGACY[P])</f>
        <v>0</v>
      </c>
      <c r="AJ7" s="279">
        <f>SUBTOTAL(103,JED_HBE_LF_LEGACY[N])</f>
        <v>0</v>
      </c>
    </row>
  </sheetData>
  <pageMargins left="0.75" right="0.75" top="1" bottom="1" header="0.5" footer="0.5"/>
  <tableParts count="1">
    <tablePart r:id="rId1"/>
  </tablePart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59"/>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0" hidden="1" customWidth="1"/>
  </cols>
  <sheetData>
    <row r="1" spans="1:8" ht="18" x14ac:dyDescent="0.3">
      <c r="A1" s="57" t="s">
        <v>156</v>
      </c>
      <c r="B1" s="58" t="s">
        <v>8</v>
      </c>
      <c r="C1" s="58" t="s">
        <v>9</v>
      </c>
      <c r="D1" s="58" t="s">
        <v>157</v>
      </c>
      <c r="E1" s="58" t="s">
        <v>10</v>
      </c>
      <c r="F1" s="58" t="s">
        <v>11</v>
      </c>
      <c r="G1" s="58" t="s">
        <v>12</v>
      </c>
      <c r="H1" s="59" t="s">
        <v>13</v>
      </c>
    </row>
    <row r="2" spans="1:8" ht="19.8" customHeight="1" x14ac:dyDescent="0.3">
      <c r="A2" s="60" t="s">
        <v>158</v>
      </c>
      <c r="B2" s="61" t="s">
        <v>237</v>
      </c>
      <c r="C2" s="62" t="s">
        <v>466</v>
      </c>
      <c r="D2" s="61" t="s">
        <v>465</v>
      </c>
      <c r="E2" s="61" t="s">
        <v>540</v>
      </c>
      <c r="F2" s="61" t="s">
        <v>467</v>
      </c>
      <c r="G2" s="63">
        <v>9</v>
      </c>
      <c r="H2" s="64">
        <v>990</v>
      </c>
    </row>
    <row r="3" spans="1:8" ht="19.8" customHeight="1" x14ac:dyDescent="0.3">
      <c r="A3" s="60" t="s">
        <v>158</v>
      </c>
      <c r="B3" s="61" t="s">
        <v>237</v>
      </c>
      <c r="C3" s="62" t="s">
        <v>466</v>
      </c>
      <c r="D3" s="61" t="s">
        <v>465</v>
      </c>
      <c r="E3" s="61" t="s">
        <v>540</v>
      </c>
      <c r="F3" s="61" t="s">
        <v>469</v>
      </c>
      <c r="G3" s="63">
        <v>9</v>
      </c>
      <c r="H3" s="65" t="s">
        <v>470</v>
      </c>
    </row>
    <row r="4" spans="1:8" ht="19.8" customHeight="1" x14ac:dyDescent="0.3">
      <c r="A4" s="60" t="s">
        <v>158</v>
      </c>
      <c r="B4" s="61" t="s">
        <v>237</v>
      </c>
      <c r="C4" s="62" t="s">
        <v>466</v>
      </c>
      <c r="D4" s="61" t="s">
        <v>465</v>
      </c>
      <c r="E4" s="61" t="s">
        <v>540</v>
      </c>
      <c r="F4" s="61" t="s">
        <v>44</v>
      </c>
      <c r="G4" s="63">
        <v>9</v>
      </c>
      <c r="H4" s="65" t="s">
        <v>471</v>
      </c>
    </row>
    <row r="5" spans="1:8" ht="19.8" customHeight="1" x14ac:dyDescent="0.3">
      <c r="A5" s="60" t="s">
        <v>158</v>
      </c>
      <c r="B5" s="61" t="s">
        <v>56</v>
      </c>
      <c r="C5" s="62" t="s">
        <v>472</v>
      </c>
      <c r="D5" s="61" t="s">
        <v>465</v>
      </c>
      <c r="E5" s="61" t="s">
        <v>541</v>
      </c>
      <c r="F5" s="61" t="s">
        <v>62</v>
      </c>
      <c r="G5" s="63">
        <v>9</v>
      </c>
      <c r="H5" s="65" t="s">
        <v>473</v>
      </c>
    </row>
    <row r="6" spans="1:8" ht="19.8" customHeight="1" x14ac:dyDescent="0.3">
      <c r="A6" s="60" t="s">
        <v>158</v>
      </c>
      <c r="B6" s="61" t="s">
        <v>56</v>
      </c>
      <c r="C6" s="62" t="s">
        <v>472</v>
      </c>
      <c r="D6" s="61" t="s">
        <v>465</v>
      </c>
      <c r="E6" s="61" t="s">
        <v>541</v>
      </c>
      <c r="F6" s="61" t="s">
        <v>58</v>
      </c>
      <c r="G6" s="63">
        <v>9</v>
      </c>
      <c r="H6" s="65" t="s">
        <v>474</v>
      </c>
    </row>
    <row r="7" spans="1:8" ht="19.8" customHeight="1" x14ac:dyDescent="0.3">
      <c r="A7" s="100" t="s">
        <v>158</v>
      </c>
      <c r="B7" s="101" t="s">
        <v>93</v>
      </c>
      <c r="C7" s="102" t="s">
        <v>475</v>
      </c>
      <c r="D7" s="101" t="s">
        <v>465</v>
      </c>
      <c r="E7" s="101" t="s">
        <v>464</v>
      </c>
      <c r="F7" s="101" t="s">
        <v>95</v>
      </c>
      <c r="G7" s="101"/>
      <c r="H7" s="103" t="s">
        <v>96</v>
      </c>
    </row>
    <row r="8" spans="1:8" ht="19.8" customHeight="1" x14ac:dyDescent="0.3">
      <c r="A8" s="96"/>
      <c r="B8" s="97"/>
      <c r="C8" s="97"/>
      <c r="D8" s="97"/>
      <c r="E8" s="97"/>
      <c r="F8" s="98" t="s">
        <v>542</v>
      </c>
      <c r="G8" s="97"/>
      <c r="H8" s="99"/>
    </row>
    <row r="9" spans="1:8" ht="19.8" customHeight="1" x14ac:dyDescent="0.3">
      <c r="A9" s="75">
        <v>45982</v>
      </c>
      <c r="B9" s="61" t="s">
        <v>36</v>
      </c>
      <c r="C9" s="62" t="s">
        <v>204</v>
      </c>
      <c r="D9" s="61" t="s">
        <v>203</v>
      </c>
      <c r="E9" s="76">
        <v>1.8888888888888891</v>
      </c>
      <c r="F9" s="61" t="s">
        <v>38</v>
      </c>
      <c r="G9" s="63">
        <v>5</v>
      </c>
      <c r="H9" s="64">
        <v>639</v>
      </c>
    </row>
    <row r="10" spans="1:8" ht="19.8" customHeight="1" x14ac:dyDescent="0.3">
      <c r="A10" s="75">
        <v>45982</v>
      </c>
      <c r="B10" s="61" t="s">
        <v>36</v>
      </c>
      <c r="C10" s="62" t="s">
        <v>208</v>
      </c>
      <c r="D10" s="61" t="s">
        <v>203</v>
      </c>
      <c r="E10" s="76">
        <v>1.302083333333333</v>
      </c>
      <c r="F10" s="61" t="s">
        <v>38</v>
      </c>
      <c r="G10" s="63">
        <v>10</v>
      </c>
      <c r="H10" s="64">
        <v>689</v>
      </c>
    </row>
    <row r="11" spans="1:8" ht="19.8" customHeight="1" x14ac:dyDescent="0.3">
      <c r="A11" s="75">
        <v>45982</v>
      </c>
      <c r="B11" s="61" t="s">
        <v>36</v>
      </c>
      <c r="C11" s="62" t="s">
        <v>212</v>
      </c>
      <c r="D11" s="61" t="s">
        <v>203</v>
      </c>
      <c r="E11" s="76">
        <v>1.1284722222222221</v>
      </c>
      <c r="F11" s="61" t="s">
        <v>38</v>
      </c>
      <c r="G11" s="63">
        <v>12</v>
      </c>
      <c r="H11" s="64">
        <v>689</v>
      </c>
    </row>
    <row r="12" spans="1:8" ht="19.8" customHeight="1" x14ac:dyDescent="0.3">
      <c r="A12" s="75">
        <v>45982</v>
      </c>
      <c r="B12" s="61" t="s">
        <v>36</v>
      </c>
      <c r="C12" s="62" t="s">
        <v>215</v>
      </c>
      <c r="D12" s="61" t="s">
        <v>203</v>
      </c>
      <c r="E12" s="76">
        <v>1.788194444444444</v>
      </c>
      <c r="F12" s="61" t="s">
        <v>38</v>
      </c>
      <c r="G12" s="63">
        <v>19</v>
      </c>
      <c r="H12" s="64">
        <v>689</v>
      </c>
    </row>
    <row r="13" spans="1:8" ht="19.8" customHeight="1" x14ac:dyDescent="0.3">
      <c r="A13" s="75">
        <v>45982</v>
      </c>
      <c r="B13" s="61" t="s">
        <v>26</v>
      </c>
      <c r="C13" s="62" t="s">
        <v>218</v>
      </c>
      <c r="D13" s="61" t="s">
        <v>203</v>
      </c>
      <c r="E13" s="76">
        <v>1.256944444444444</v>
      </c>
      <c r="F13" s="61" t="s">
        <v>28</v>
      </c>
      <c r="G13" s="63">
        <v>7</v>
      </c>
      <c r="H13" s="64">
        <v>719</v>
      </c>
    </row>
    <row r="14" spans="1:8" ht="19.8" customHeight="1" x14ac:dyDescent="0.3">
      <c r="A14" s="75">
        <v>45982</v>
      </c>
      <c r="B14" s="61" t="s">
        <v>26</v>
      </c>
      <c r="C14" s="62" t="s">
        <v>224</v>
      </c>
      <c r="D14" s="61" t="s">
        <v>203</v>
      </c>
      <c r="E14" s="76">
        <v>1.9027777777777779</v>
      </c>
      <c r="F14" s="61" t="s">
        <v>28</v>
      </c>
      <c r="G14" s="63">
        <v>9</v>
      </c>
      <c r="H14" s="64">
        <v>719</v>
      </c>
    </row>
    <row r="15" spans="1:8" ht="19.8" customHeight="1" x14ac:dyDescent="0.3">
      <c r="A15" s="75">
        <v>45982</v>
      </c>
      <c r="B15" s="61" t="s">
        <v>26</v>
      </c>
      <c r="C15" s="62" t="s">
        <v>226</v>
      </c>
      <c r="D15" s="61" t="s">
        <v>203</v>
      </c>
      <c r="E15" s="76">
        <v>1.645833333333333</v>
      </c>
      <c r="F15" s="61" t="s">
        <v>28</v>
      </c>
      <c r="G15" s="63">
        <v>3</v>
      </c>
      <c r="H15" s="64">
        <v>719</v>
      </c>
    </row>
    <row r="16" spans="1:8" ht="19.8" customHeight="1" x14ac:dyDescent="0.3">
      <c r="A16" s="75">
        <v>45982</v>
      </c>
      <c r="B16" s="61" t="s">
        <v>26</v>
      </c>
      <c r="C16" s="62" t="s">
        <v>227</v>
      </c>
      <c r="D16" s="61" t="s">
        <v>203</v>
      </c>
      <c r="E16" s="76">
        <v>1.854166666666667</v>
      </c>
      <c r="F16" s="61" t="s">
        <v>28</v>
      </c>
      <c r="G16" s="63">
        <v>8</v>
      </c>
      <c r="H16" s="64">
        <v>719</v>
      </c>
    </row>
    <row r="17" spans="1:8" ht="19.8" customHeight="1" x14ac:dyDescent="0.3">
      <c r="A17" s="75">
        <v>45982</v>
      </c>
      <c r="B17" s="61" t="s">
        <v>26</v>
      </c>
      <c r="C17" s="62" t="s">
        <v>230</v>
      </c>
      <c r="D17" s="61" t="s">
        <v>203</v>
      </c>
      <c r="E17" s="76">
        <v>1.395833333333333</v>
      </c>
      <c r="F17" s="61" t="s">
        <v>28</v>
      </c>
      <c r="G17" s="63">
        <v>5</v>
      </c>
      <c r="H17" s="64">
        <v>719</v>
      </c>
    </row>
    <row r="18" spans="1:8" ht="19.8" customHeight="1" x14ac:dyDescent="0.3">
      <c r="A18" s="104">
        <v>45982</v>
      </c>
      <c r="B18" s="67" t="s">
        <v>26</v>
      </c>
      <c r="C18" s="68" t="s">
        <v>232</v>
      </c>
      <c r="D18" s="67" t="s">
        <v>203</v>
      </c>
      <c r="E18" s="105">
        <v>1.7986111111111109</v>
      </c>
      <c r="F18" s="67" t="s">
        <v>28</v>
      </c>
      <c r="G18" s="69">
        <v>9</v>
      </c>
      <c r="H18" s="176">
        <v>719</v>
      </c>
    </row>
    <row r="19" spans="1:8" ht="19.8" customHeight="1" x14ac:dyDescent="0.3">
      <c r="A19" s="75">
        <v>45983</v>
      </c>
      <c r="B19" s="61" t="s">
        <v>36</v>
      </c>
      <c r="C19" s="62" t="s">
        <v>484</v>
      </c>
      <c r="D19" s="61" t="s">
        <v>465</v>
      </c>
      <c r="E19" s="76">
        <v>1.256944444444444</v>
      </c>
      <c r="F19" s="61" t="s">
        <v>485</v>
      </c>
      <c r="G19" s="63">
        <v>1</v>
      </c>
      <c r="H19" s="64">
        <v>849</v>
      </c>
    </row>
    <row r="20" spans="1:8" ht="19.8" customHeight="1" x14ac:dyDescent="0.3">
      <c r="A20" s="75">
        <v>45983</v>
      </c>
      <c r="B20" s="61" t="s">
        <v>237</v>
      </c>
      <c r="C20" s="62" t="s">
        <v>490</v>
      </c>
      <c r="D20" s="61" t="s">
        <v>465</v>
      </c>
      <c r="E20" s="76">
        <v>1.5277777777777779</v>
      </c>
      <c r="F20" s="61" t="s">
        <v>467</v>
      </c>
      <c r="G20" s="63">
        <v>2</v>
      </c>
      <c r="H20" s="64">
        <v>873</v>
      </c>
    </row>
    <row r="21" spans="1:8" ht="19.8" customHeight="1" x14ac:dyDescent="0.3">
      <c r="A21" s="75">
        <v>45983</v>
      </c>
      <c r="B21" s="61" t="s">
        <v>36</v>
      </c>
      <c r="C21" s="62" t="s">
        <v>484</v>
      </c>
      <c r="D21" s="61" t="s">
        <v>465</v>
      </c>
      <c r="E21" s="76">
        <v>1.256944444444444</v>
      </c>
      <c r="F21" s="61" t="s">
        <v>467</v>
      </c>
      <c r="G21" s="63">
        <v>1</v>
      </c>
      <c r="H21" s="64">
        <v>908</v>
      </c>
    </row>
    <row r="22" spans="1:8" ht="19.8" customHeight="1" x14ac:dyDescent="0.3">
      <c r="A22" s="75">
        <v>45983</v>
      </c>
      <c r="B22" s="61" t="s">
        <v>36</v>
      </c>
      <c r="C22" s="62" t="s">
        <v>484</v>
      </c>
      <c r="D22" s="61" t="s">
        <v>465</v>
      </c>
      <c r="E22" s="76">
        <v>1.256944444444444</v>
      </c>
      <c r="F22" s="61" t="s">
        <v>469</v>
      </c>
      <c r="G22" s="63">
        <v>1</v>
      </c>
      <c r="H22" s="64">
        <v>932</v>
      </c>
    </row>
    <row r="23" spans="1:8" ht="19.8" customHeight="1" x14ac:dyDescent="0.3">
      <c r="A23" s="75">
        <v>45983</v>
      </c>
      <c r="B23" s="61" t="s">
        <v>237</v>
      </c>
      <c r="C23" s="62" t="s">
        <v>490</v>
      </c>
      <c r="D23" s="61" t="s">
        <v>465</v>
      </c>
      <c r="E23" s="76">
        <v>1.5277777777777779</v>
      </c>
      <c r="F23" s="61" t="s">
        <v>469</v>
      </c>
      <c r="G23" s="63">
        <v>2</v>
      </c>
      <c r="H23" s="64">
        <v>938</v>
      </c>
    </row>
    <row r="24" spans="1:8" ht="19.8" customHeight="1" x14ac:dyDescent="0.3">
      <c r="A24" s="75">
        <v>45983</v>
      </c>
      <c r="B24" s="61" t="s">
        <v>36</v>
      </c>
      <c r="C24" s="62" t="s">
        <v>484</v>
      </c>
      <c r="D24" s="61" t="s">
        <v>465</v>
      </c>
      <c r="E24" s="76">
        <v>1.256944444444444</v>
      </c>
      <c r="F24" s="61" t="s">
        <v>489</v>
      </c>
      <c r="G24" s="63">
        <v>1</v>
      </c>
      <c r="H24" s="65" t="s">
        <v>85</v>
      </c>
    </row>
    <row r="25" spans="1:8" ht="19.8" customHeight="1" x14ac:dyDescent="0.3">
      <c r="A25" s="75">
        <v>45983</v>
      </c>
      <c r="B25" s="61" t="s">
        <v>237</v>
      </c>
      <c r="C25" s="62" t="s">
        <v>490</v>
      </c>
      <c r="D25" s="61" t="s">
        <v>465</v>
      </c>
      <c r="E25" s="76">
        <v>1.5277777777777779</v>
      </c>
      <c r="F25" s="61" t="s">
        <v>44</v>
      </c>
      <c r="G25" s="63">
        <v>2</v>
      </c>
      <c r="H25" s="65" t="s">
        <v>277</v>
      </c>
    </row>
    <row r="26" spans="1:8" ht="19.8" customHeight="1" x14ac:dyDescent="0.3">
      <c r="A26" s="75">
        <v>45983</v>
      </c>
      <c r="B26" s="61" t="s">
        <v>46</v>
      </c>
      <c r="C26" s="62" t="s">
        <v>493</v>
      </c>
      <c r="D26" s="61" t="s">
        <v>465</v>
      </c>
      <c r="E26" s="76">
        <v>1.604166666666667</v>
      </c>
      <c r="F26" s="61" t="s">
        <v>48</v>
      </c>
      <c r="G26" s="63">
        <v>5</v>
      </c>
      <c r="H26" s="65" t="s">
        <v>494</v>
      </c>
    </row>
    <row r="27" spans="1:8" ht="19.8" customHeight="1" x14ac:dyDescent="0.3">
      <c r="A27" s="75">
        <v>45983</v>
      </c>
      <c r="B27" s="61" t="s">
        <v>56</v>
      </c>
      <c r="C27" s="62" t="s">
        <v>472</v>
      </c>
      <c r="D27" s="61" t="s">
        <v>465</v>
      </c>
      <c r="E27" s="76">
        <v>1.711805555555556</v>
      </c>
      <c r="F27" s="61" t="s">
        <v>62</v>
      </c>
      <c r="G27" s="63">
        <v>1</v>
      </c>
      <c r="H27" s="65" t="s">
        <v>495</v>
      </c>
    </row>
    <row r="28" spans="1:8" ht="19.8" customHeight="1" x14ac:dyDescent="0.3">
      <c r="A28" s="75">
        <v>45983</v>
      </c>
      <c r="B28" s="61" t="s">
        <v>56</v>
      </c>
      <c r="C28" s="62" t="s">
        <v>472</v>
      </c>
      <c r="D28" s="61" t="s">
        <v>465</v>
      </c>
      <c r="E28" s="76">
        <v>1.711805555555556</v>
      </c>
      <c r="F28" s="61" t="s">
        <v>58</v>
      </c>
      <c r="G28" s="63">
        <v>1</v>
      </c>
      <c r="H28" s="65" t="s">
        <v>496</v>
      </c>
    </row>
    <row r="29" spans="1:8" ht="19.8" customHeight="1" x14ac:dyDescent="0.3">
      <c r="A29" s="168">
        <v>45983</v>
      </c>
      <c r="B29" s="101" t="s">
        <v>93</v>
      </c>
      <c r="C29" s="102" t="s">
        <v>497</v>
      </c>
      <c r="D29" s="101" t="s">
        <v>465</v>
      </c>
      <c r="E29" s="169">
        <v>1.458333333333333</v>
      </c>
      <c r="F29" s="101" t="s">
        <v>95</v>
      </c>
      <c r="G29" s="101"/>
      <c r="H29" s="103" t="s">
        <v>96</v>
      </c>
    </row>
    <row r="30" spans="1:8" ht="19.8" customHeight="1" x14ac:dyDescent="0.3">
      <c r="A30" s="168">
        <v>45983</v>
      </c>
      <c r="B30" s="101" t="s">
        <v>93</v>
      </c>
      <c r="C30" s="102" t="s">
        <v>475</v>
      </c>
      <c r="D30" s="101" t="s">
        <v>465</v>
      </c>
      <c r="E30" s="169">
        <v>1.791666666666667</v>
      </c>
      <c r="F30" s="101" t="s">
        <v>95</v>
      </c>
      <c r="G30" s="101"/>
      <c r="H30" s="103" t="s">
        <v>96</v>
      </c>
    </row>
    <row r="31" spans="1:8" ht="19.8" customHeight="1" x14ac:dyDescent="0.3">
      <c r="A31" s="96"/>
      <c r="B31" s="97"/>
      <c r="C31" s="97"/>
      <c r="D31" s="97"/>
      <c r="E31" s="97"/>
      <c r="F31" s="98" t="s">
        <v>542</v>
      </c>
      <c r="G31" s="97"/>
      <c r="H31" s="99"/>
    </row>
    <row r="32" spans="1:8" ht="19.8" customHeight="1" x14ac:dyDescent="0.3">
      <c r="A32" s="75">
        <v>45983</v>
      </c>
      <c r="B32" s="61" t="s">
        <v>36</v>
      </c>
      <c r="C32" s="62" t="s">
        <v>208</v>
      </c>
      <c r="D32" s="61" t="s">
        <v>203</v>
      </c>
      <c r="E32" s="76">
        <v>1.302083333333333</v>
      </c>
      <c r="F32" s="61" t="s">
        <v>38</v>
      </c>
      <c r="G32" s="63">
        <v>8</v>
      </c>
      <c r="H32" s="64">
        <v>639</v>
      </c>
    </row>
    <row r="33" spans="1:8" ht="19.8" customHeight="1" x14ac:dyDescent="0.3">
      <c r="A33" s="75">
        <v>45983</v>
      </c>
      <c r="B33" s="61" t="s">
        <v>36</v>
      </c>
      <c r="C33" s="62" t="s">
        <v>212</v>
      </c>
      <c r="D33" s="61" t="s">
        <v>203</v>
      </c>
      <c r="E33" s="76">
        <v>1.1284722222222221</v>
      </c>
      <c r="F33" s="61" t="s">
        <v>38</v>
      </c>
      <c r="G33" s="63">
        <v>17</v>
      </c>
      <c r="H33" s="64">
        <v>639</v>
      </c>
    </row>
    <row r="34" spans="1:8" ht="19.8" customHeight="1" x14ac:dyDescent="0.3">
      <c r="A34" s="75">
        <v>45983</v>
      </c>
      <c r="B34" s="61" t="s">
        <v>36</v>
      </c>
      <c r="C34" s="62" t="s">
        <v>204</v>
      </c>
      <c r="D34" s="61" t="s">
        <v>203</v>
      </c>
      <c r="E34" s="76">
        <v>1.8888888888888891</v>
      </c>
      <c r="F34" s="61" t="s">
        <v>38</v>
      </c>
      <c r="G34" s="63">
        <v>11</v>
      </c>
      <c r="H34" s="64">
        <v>639</v>
      </c>
    </row>
    <row r="35" spans="1:8" ht="19.8" customHeight="1" x14ac:dyDescent="0.3">
      <c r="A35" s="75">
        <v>45983</v>
      </c>
      <c r="B35" s="61" t="s">
        <v>26</v>
      </c>
      <c r="C35" s="62" t="s">
        <v>218</v>
      </c>
      <c r="D35" s="61" t="s">
        <v>203</v>
      </c>
      <c r="E35" s="76">
        <v>1.256944444444444</v>
      </c>
      <c r="F35" s="61" t="s">
        <v>28</v>
      </c>
      <c r="G35" s="63">
        <v>5</v>
      </c>
      <c r="H35" s="64">
        <v>669</v>
      </c>
    </row>
    <row r="36" spans="1:8" ht="19.8" customHeight="1" x14ac:dyDescent="0.3">
      <c r="A36" s="75">
        <v>45983</v>
      </c>
      <c r="B36" s="61" t="s">
        <v>26</v>
      </c>
      <c r="C36" s="62" t="s">
        <v>224</v>
      </c>
      <c r="D36" s="61" t="s">
        <v>203</v>
      </c>
      <c r="E36" s="76">
        <v>1.9027777777777779</v>
      </c>
      <c r="F36" s="61" t="s">
        <v>28</v>
      </c>
      <c r="G36" s="63">
        <v>9</v>
      </c>
      <c r="H36" s="64">
        <v>669</v>
      </c>
    </row>
    <row r="37" spans="1:8" ht="19.8" customHeight="1" x14ac:dyDescent="0.3">
      <c r="A37" s="75">
        <v>45983</v>
      </c>
      <c r="B37" s="61" t="s">
        <v>26</v>
      </c>
      <c r="C37" s="62" t="s">
        <v>226</v>
      </c>
      <c r="D37" s="61" t="s">
        <v>203</v>
      </c>
      <c r="E37" s="76">
        <v>1.6597222222222221</v>
      </c>
      <c r="F37" s="61" t="s">
        <v>28</v>
      </c>
      <c r="G37" s="63">
        <v>2</v>
      </c>
      <c r="H37" s="64">
        <v>669</v>
      </c>
    </row>
    <row r="38" spans="1:8" ht="19.8" customHeight="1" x14ac:dyDescent="0.3">
      <c r="A38" s="75">
        <v>45983</v>
      </c>
      <c r="B38" s="61" t="s">
        <v>26</v>
      </c>
      <c r="C38" s="62" t="s">
        <v>233</v>
      </c>
      <c r="D38" s="61" t="s">
        <v>203</v>
      </c>
      <c r="E38" s="76">
        <v>1.5173611111111109</v>
      </c>
      <c r="F38" s="61" t="s">
        <v>28</v>
      </c>
      <c r="G38" s="63">
        <v>2</v>
      </c>
      <c r="H38" s="64">
        <v>669</v>
      </c>
    </row>
    <row r="39" spans="1:8" ht="19.8" customHeight="1" x14ac:dyDescent="0.3">
      <c r="A39" s="75">
        <v>45983</v>
      </c>
      <c r="B39" s="61" t="s">
        <v>26</v>
      </c>
      <c r="C39" s="62" t="s">
        <v>227</v>
      </c>
      <c r="D39" s="61" t="s">
        <v>203</v>
      </c>
      <c r="E39" s="76">
        <v>1.854166666666667</v>
      </c>
      <c r="F39" s="61" t="s">
        <v>28</v>
      </c>
      <c r="G39" s="63">
        <v>5</v>
      </c>
      <c r="H39" s="64">
        <v>669</v>
      </c>
    </row>
    <row r="40" spans="1:8" ht="19.8" customHeight="1" x14ac:dyDescent="0.3">
      <c r="A40" s="75">
        <v>45983</v>
      </c>
      <c r="B40" s="61" t="s">
        <v>26</v>
      </c>
      <c r="C40" s="62" t="s">
        <v>230</v>
      </c>
      <c r="D40" s="61" t="s">
        <v>203</v>
      </c>
      <c r="E40" s="76">
        <v>1.395833333333333</v>
      </c>
      <c r="F40" s="61" t="s">
        <v>28</v>
      </c>
      <c r="G40" s="63">
        <v>8</v>
      </c>
      <c r="H40" s="64">
        <v>669</v>
      </c>
    </row>
    <row r="41" spans="1:8" ht="19.8" customHeight="1" x14ac:dyDescent="0.3">
      <c r="A41" s="104">
        <v>45983</v>
      </c>
      <c r="B41" s="67" t="s">
        <v>26</v>
      </c>
      <c r="C41" s="68" t="s">
        <v>232</v>
      </c>
      <c r="D41" s="67" t="s">
        <v>203</v>
      </c>
      <c r="E41" s="105">
        <v>1.7986111111111109</v>
      </c>
      <c r="F41" s="67" t="s">
        <v>28</v>
      </c>
      <c r="G41" s="69">
        <v>5</v>
      </c>
      <c r="H41" s="176">
        <v>669</v>
      </c>
    </row>
    <row r="42" spans="1:8" ht="19.8" customHeight="1" x14ac:dyDescent="0.3">
      <c r="A42" s="75">
        <v>45984</v>
      </c>
      <c r="B42" s="61" t="s">
        <v>237</v>
      </c>
      <c r="C42" s="62" t="s">
        <v>490</v>
      </c>
      <c r="D42" s="61" t="s">
        <v>465</v>
      </c>
      <c r="E42" s="76">
        <v>1.5277777777777779</v>
      </c>
      <c r="F42" s="61" t="s">
        <v>467</v>
      </c>
      <c r="G42" s="63">
        <v>8</v>
      </c>
      <c r="H42" s="64">
        <v>814</v>
      </c>
    </row>
    <row r="43" spans="1:8" ht="19.8" customHeight="1" x14ac:dyDescent="0.3">
      <c r="A43" s="75">
        <v>45984</v>
      </c>
      <c r="B43" s="61" t="s">
        <v>237</v>
      </c>
      <c r="C43" s="62" t="s">
        <v>490</v>
      </c>
      <c r="D43" s="61" t="s">
        <v>465</v>
      </c>
      <c r="E43" s="76">
        <v>1.5277777777777779</v>
      </c>
      <c r="F43" s="61" t="s">
        <v>469</v>
      </c>
      <c r="G43" s="63">
        <v>8</v>
      </c>
      <c r="H43" s="64">
        <v>879</v>
      </c>
    </row>
    <row r="44" spans="1:8" ht="19.8" customHeight="1" x14ac:dyDescent="0.3">
      <c r="A44" s="168">
        <v>45984</v>
      </c>
      <c r="B44" s="101" t="s">
        <v>93</v>
      </c>
      <c r="C44" s="102" t="s">
        <v>507</v>
      </c>
      <c r="D44" s="101" t="s">
        <v>465</v>
      </c>
      <c r="E44" s="169">
        <v>1.489583333333333</v>
      </c>
      <c r="F44" s="101" t="s">
        <v>249</v>
      </c>
      <c r="G44" s="166">
        <v>2</v>
      </c>
      <c r="H44" s="167">
        <v>952</v>
      </c>
    </row>
    <row r="45" spans="1:8" ht="19.8" customHeight="1" x14ac:dyDescent="0.3">
      <c r="A45" s="75">
        <v>45984</v>
      </c>
      <c r="B45" s="61" t="s">
        <v>237</v>
      </c>
      <c r="C45" s="62" t="s">
        <v>490</v>
      </c>
      <c r="D45" s="61" t="s">
        <v>465</v>
      </c>
      <c r="E45" s="76">
        <v>1.5277777777777779</v>
      </c>
      <c r="F45" s="61" t="s">
        <v>44</v>
      </c>
      <c r="G45" s="63">
        <v>8</v>
      </c>
      <c r="H45" s="65" t="s">
        <v>506</v>
      </c>
    </row>
    <row r="46" spans="1:8" ht="19.8" customHeight="1" x14ac:dyDescent="0.3">
      <c r="A46" s="75">
        <v>45984</v>
      </c>
      <c r="B46" s="61" t="s">
        <v>56</v>
      </c>
      <c r="C46" s="62" t="s">
        <v>472</v>
      </c>
      <c r="D46" s="61" t="s">
        <v>465</v>
      </c>
      <c r="E46" s="76">
        <v>1.711805555555556</v>
      </c>
      <c r="F46" s="61" t="s">
        <v>62</v>
      </c>
      <c r="G46" s="63">
        <v>9</v>
      </c>
      <c r="H46" s="65" t="s">
        <v>511</v>
      </c>
    </row>
    <row r="47" spans="1:8" ht="19.8" customHeight="1" x14ac:dyDescent="0.3">
      <c r="A47" s="75">
        <v>45984</v>
      </c>
      <c r="B47" s="61" t="s">
        <v>56</v>
      </c>
      <c r="C47" s="62" t="s">
        <v>472</v>
      </c>
      <c r="D47" s="61" t="s">
        <v>465</v>
      </c>
      <c r="E47" s="76">
        <v>1.711805555555556</v>
      </c>
      <c r="F47" s="61" t="s">
        <v>58</v>
      </c>
      <c r="G47" s="63">
        <v>9</v>
      </c>
      <c r="H47" s="65" t="s">
        <v>512</v>
      </c>
    </row>
    <row r="48" spans="1:8" ht="19.8" customHeight="1" x14ac:dyDescent="0.3">
      <c r="A48" s="168">
        <v>45984</v>
      </c>
      <c r="B48" s="101" t="s">
        <v>93</v>
      </c>
      <c r="C48" s="102" t="s">
        <v>475</v>
      </c>
      <c r="D48" s="101" t="s">
        <v>465</v>
      </c>
      <c r="E48" s="169">
        <v>1.6875</v>
      </c>
      <c r="F48" s="101" t="s">
        <v>95</v>
      </c>
      <c r="G48" s="101"/>
      <c r="H48" s="103" t="s">
        <v>96</v>
      </c>
    </row>
    <row r="49" spans="1:8" ht="19.8" customHeight="1" x14ac:dyDescent="0.3">
      <c r="A49" s="96"/>
      <c r="B49" s="97"/>
      <c r="C49" s="97"/>
      <c r="D49" s="97"/>
      <c r="E49" s="97"/>
      <c r="F49" s="98" t="s">
        <v>542</v>
      </c>
      <c r="G49" s="97"/>
      <c r="H49" s="99"/>
    </row>
    <row r="50" spans="1:8" ht="19.8" customHeight="1" x14ac:dyDescent="0.3">
      <c r="A50" s="75">
        <v>45984</v>
      </c>
      <c r="B50" s="61" t="s">
        <v>36</v>
      </c>
      <c r="C50" s="62" t="s">
        <v>215</v>
      </c>
      <c r="D50" s="61" t="s">
        <v>203</v>
      </c>
      <c r="E50" s="76">
        <v>1.788194444444444</v>
      </c>
      <c r="F50" s="61" t="s">
        <v>340</v>
      </c>
      <c r="G50" s="63">
        <v>2</v>
      </c>
      <c r="H50" s="64">
        <v>539</v>
      </c>
    </row>
    <row r="51" spans="1:8" ht="19.8" customHeight="1" x14ac:dyDescent="0.3">
      <c r="A51" s="75">
        <v>45984</v>
      </c>
      <c r="B51" s="61" t="s">
        <v>36</v>
      </c>
      <c r="C51" s="62" t="s">
        <v>204</v>
      </c>
      <c r="D51" s="61" t="s">
        <v>203</v>
      </c>
      <c r="E51" s="76">
        <v>1.8888888888888891</v>
      </c>
      <c r="F51" s="61" t="s">
        <v>340</v>
      </c>
      <c r="G51" s="63">
        <v>7</v>
      </c>
      <c r="H51" s="64">
        <v>539</v>
      </c>
    </row>
    <row r="52" spans="1:8" ht="19.8" customHeight="1" x14ac:dyDescent="0.3">
      <c r="A52" s="75">
        <v>45984</v>
      </c>
      <c r="B52" s="61" t="s">
        <v>36</v>
      </c>
      <c r="C52" s="62" t="s">
        <v>208</v>
      </c>
      <c r="D52" s="61" t="s">
        <v>203</v>
      </c>
      <c r="E52" s="76">
        <v>1.302083333333333</v>
      </c>
      <c r="F52" s="61" t="s">
        <v>340</v>
      </c>
      <c r="G52" s="63">
        <v>3</v>
      </c>
      <c r="H52" s="64">
        <v>589</v>
      </c>
    </row>
    <row r="53" spans="1:8" ht="19.8" customHeight="1" x14ac:dyDescent="0.3">
      <c r="A53" s="75">
        <v>45984</v>
      </c>
      <c r="B53" s="61" t="s">
        <v>36</v>
      </c>
      <c r="C53" s="62" t="s">
        <v>212</v>
      </c>
      <c r="D53" s="61" t="s">
        <v>203</v>
      </c>
      <c r="E53" s="76">
        <v>1.1284722222222221</v>
      </c>
      <c r="F53" s="61" t="s">
        <v>340</v>
      </c>
      <c r="G53" s="63">
        <v>10</v>
      </c>
      <c r="H53" s="64">
        <v>589</v>
      </c>
    </row>
    <row r="54" spans="1:8" ht="19.8" customHeight="1" x14ac:dyDescent="0.3">
      <c r="A54" s="75">
        <v>45984</v>
      </c>
      <c r="B54" s="61" t="s">
        <v>26</v>
      </c>
      <c r="C54" s="62" t="s">
        <v>224</v>
      </c>
      <c r="D54" s="61" t="s">
        <v>203</v>
      </c>
      <c r="E54" s="76">
        <v>1.9027777777777779</v>
      </c>
      <c r="F54" s="61" t="s">
        <v>344</v>
      </c>
      <c r="G54" s="63">
        <v>9</v>
      </c>
      <c r="H54" s="64">
        <v>589</v>
      </c>
    </row>
    <row r="55" spans="1:8" ht="19.8" customHeight="1" x14ac:dyDescent="0.3">
      <c r="A55" s="75">
        <v>45984</v>
      </c>
      <c r="B55" s="61" t="s">
        <v>26</v>
      </c>
      <c r="C55" s="62" t="s">
        <v>226</v>
      </c>
      <c r="D55" s="61" t="s">
        <v>203</v>
      </c>
      <c r="E55" s="76">
        <v>1.645833333333333</v>
      </c>
      <c r="F55" s="61" t="s">
        <v>344</v>
      </c>
      <c r="G55" s="63">
        <v>2</v>
      </c>
      <c r="H55" s="64">
        <v>589</v>
      </c>
    </row>
    <row r="56" spans="1:8" ht="19.8" customHeight="1" x14ac:dyDescent="0.3">
      <c r="A56" s="75">
        <v>45984</v>
      </c>
      <c r="B56" s="61" t="s">
        <v>26</v>
      </c>
      <c r="C56" s="62" t="s">
        <v>227</v>
      </c>
      <c r="D56" s="61" t="s">
        <v>203</v>
      </c>
      <c r="E56" s="76">
        <v>1.854166666666667</v>
      </c>
      <c r="F56" s="61" t="s">
        <v>344</v>
      </c>
      <c r="G56" s="63">
        <v>9</v>
      </c>
      <c r="H56" s="64">
        <v>589</v>
      </c>
    </row>
    <row r="57" spans="1:8" ht="19.8" customHeight="1" x14ac:dyDescent="0.3">
      <c r="A57" s="75">
        <v>45984</v>
      </c>
      <c r="B57" s="61" t="s">
        <v>26</v>
      </c>
      <c r="C57" s="62" t="s">
        <v>345</v>
      </c>
      <c r="D57" s="61" t="s">
        <v>203</v>
      </c>
      <c r="E57" s="76">
        <v>1.302083333333333</v>
      </c>
      <c r="F57" s="61" t="s">
        <v>344</v>
      </c>
      <c r="G57" s="63">
        <v>2</v>
      </c>
      <c r="H57" s="64">
        <v>589</v>
      </c>
    </row>
    <row r="58" spans="1:8" ht="19.8" customHeight="1" x14ac:dyDescent="0.3">
      <c r="A58" s="75">
        <v>45984</v>
      </c>
      <c r="B58" s="61" t="s">
        <v>26</v>
      </c>
      <c r="C58" s="62" t="s">
        <v>232</v>
      </c>
      <c r="D58" s="61" t="s">
        <v>203</v>
      </c>
      <c r="E58" s="76">
        <v>1.7986111111111109</v>
      </c>
      <c r="F58" s="61" t="s">
        <v>344</v>
      </c>
      <c r="G58" s="63">
        <v>9</v>
      </c>
      <c r="H58" s="64">
        <v>589</v>
      </c>
    </row>
    <row r="59" spans="1:8" ht="19.8" customHeight="1" x14ac:dyDescent="0.3">
      <c r="A59" s="104">
        <v>45984</v>
      </c>
      <c r="B59" s="67" t="s">
        <v>243</v>
      </c>
      <c r="C59" s="68" t="s">
        <v>246</v>
      </c>
      <c r="D59" s="67" t="s">
        <v>203</v>
      </c>
      <c r="E59" s="105">
        <v>1.666666666666667</v>
      </c>
      <c r="F59" s="67" t="s">
        <v>245</v>
      </c>
      <c r="G59" s="69">
        <v>6</v>
      </c>
      <c r="H59" s="176">
        <v>599</v>
      </c>
    </row>
  </sheetData>
  <pageMargins left="0.75" right="0.75" top="1" bottom="1" header="0.5" footer="0.5"/>
  <legacyDrawing r:id="rId1"/>
  <tableParts count="1">
    <tablePart r:id="rId2"/>
  </tablePart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39"/>
  <sheetViews>
    <sheetView workbookViewId="0"/>
  </sheetViews>
  <sheetFormatPr defaultRowHeight="14.4" x14ac:dyDescent="0.3"/>
  <cols>
    <col min="1" max="1" width="11.21875" bestFit="1" customWidth="1"/>
    <col min="2" max="2" width="13.77734375" bestFit="1" customWidth="1"/>
    <col min="3" max="3" width="19.21875" bestFit="1" customWidth="1"/>
    <col min="4" max="4" width="12.77734375" bestFit="1" customWidth="1"/>
    <col min="5" max="5" width="18.33203125" bestFit="1" customWidth="1"/>
    <col min="6" max="6" width="32.109375" bestFit="1" customWidth="1"/>
    <col min="7" max="7" width="20" bestFit="1" customWidth="1"/>
    <col min="8" max="8" width="23.6640625" bestFit="1" customWidth="1"/>
    <col min="9" max="9" width="0" hidden="1" customWidth="1"/>
  </cols>
  <sheetData>
    <row r="1" spans="1:8" ht="18" x14ac:dyDescent="0.3">
      <c r="A1" s="57" t="s">
        <v>156</v>
      </c>
      <c r="B1" s="58" t="s">
        <v>8</v>
      </c>
      <c r="C1" s="58" t="s">
        <v>9</v>
      </c>
      <c r="D1" s="58" t="s">
        <v>157</v>
      </c>
      <c r="E1" s="58" t="s">
        <v>10</v>
      </c>
      <c r="F1" s="58" t="s">
        <v>11</v>
      </c>
      <c r="G1" s="58" t="s">
        <v>12</v>
      </c>
      <c r="H1" s="59" t="s">
        <v>13</v>
      </c>
    </row>
    <row r="2" spans="1:8" ht="19.8" customHeight="1" x14ac:dyDescent="0.3">
      <c r="A2" s="100" t="s">
        <v>158</v>
      </c>
      <c r="B2" s="101" t="s">
        <v>93</v>
      </c>
      <c r="C2" s="102" t="s">
        <v>475</v>
      </c>
      <c r="D2" s="101" t="s">
        <v>465</v>
      </c>
      <c r="E2" s="101" t="s">
        <v>464</v>
      </c>
      <c r="F2" s="101" t="s">
        <v>95</v>
      </c>
      <c r="G2" s="101"/>
      <c r="H2" s="103" t="s">
        <v>96</v>
      </c>
    </row>
    <row r="3" spans="1:8" ht="19.8" customHeight="1" x14ac:dyDescent="0.3">
      <c r="A3" s="96"/>
      <c r="B3" s="97"/>
      <c r="C3" s="97"/>
      <c r="D3" s="97"/>
      <c r="E3" s="97"/>
      <c r="F3" s="98" t="s">
        <v>542</v>
      </c>
      <c r="G3" s="97"/>
      <c r="H3" s="99"/>
    </row>
    <row r="4" spans="1:8" ht="19.8" customHeight="1" x14ac:dyDescent="0.3">
      <c r="A4" s="75">
        <v>45982</v>
      </c>
      <c r="B4" s="61" t="s">
        <v>36</v>
      </c>
      <c r="C4" s="62" t="s">
        <v>204</v>
      </c>
      <c r="D4" s="61" t="s">
        <v>203</v>
      </c>
      <c r="E4" s="76">
        <v>1.8888888888888891</v>
      </c>
      <c r="F4" s="61" t="s">
        <v>38</v>
      </c>
      <c r="G4" s="63">
        <v>5</v>
      </c>
      <c r="H4" s="64">
        <v>639</v>
      </c>
    </row>
    <row r="5" spans="1:8" ht="19.8" customHeight="1" x14ac:dyDescent="0.3">
      <c r="A5" s="75">
        <v>45982</v>
      </c>
      <c r="B5" s="61" t="s">
        <v>36</v>
      </c>
      <c r="C5" s="62" t="s">
        <v>208</v>
      </c>
      <c r="D5" s="61" t="s">
        <v>203</v>
      </c>
      <c r="E5" s="76">
        <v>1.302083333333333</v>
      </c>
      <c r="F5" s="61" t="s">
        <v>38</v>
      </c>
      <c r="G5" s="63">
        <v>10</v>
      </c>
      <c r="H5" s="64">
        <v>689</v>
      </c>
    </row>
    <row r="6" spans="1:8" ht="19.8" customHeight="1" x14ac:dyDescent="0.3">
      <c r="A6" s="75">
        <v>45982</v>
      </c>
      <c r="B6" s="61" t="s">
        <v>36</v>
      </c>
      <c r="C6" s="62" t="s">
        <v>212</v>
      </c>
      <c r="D6" s="61" t="s">
        <v>203</v>
      </c>
      <c r="E6" s="76">
        <v>1.1284722222222221</v>
      </c>
      <c r="F6" s="61" t="s">
        <v>38</v>
      </c>
      <c r="G6" s="63">
        <v>12</v>
      </c>
      <c r="H6" s="64">
        <v>689</v>
      </c>
    </row>
    <row r="7" spans="1:8" ht="19.8" customHeight="1" x14ac:dyDescent="0.3">
      <c r="A7" s="75">
        <v>45982</v>
      </c>
      <c r="B7" s="61" t="s">
        <v>36</v>
      </c>
      <c r="C7" s="62" t="s">
        <v>215</v>
      </c>
      <c r="D7" s="61" t="s">
        <v>203</v>
      </c>
      <c r="E7" s="76">
        <v>1.788194444444444</v>
      </c>
      <c r="F7" s="61" t="s">
        <v>38</v>
      </c>
      <c r="G7" s="63">
        <v>19</v>
      </c>
      <c r="H7" s="64">
        <v>689</v>
      </c>
    </row>
    <row r="8" spans="1:8" ht="19.8" customHeight="1" x14ac:dyDescent="0.3">
      <c r="A8" s="75">
        <v>45982</v>
      </c>
      <c r="B8" s="61" t="s">
        <v>26</v>
      </c>
      <c r="C8" s="62" t="s">
        <v>218</v>
      </c>
      <c r="D8" s="61" t="s">
        <v>203</v>
      </c>
      <c r="E8" s="76">
        <v>1.256944444444444</v>
      </c>
      <c r="F8" s="61" t="s">
        <v>28</v>
      </c>
      <c r="G8" s="63">
        <v>7</v>
      </c>
      <c r="H8" s="64">
        <v>719</v>
      </c>
    </row>
    <row r="9" spans="1:8" ht="19.8" customHeight="1" x14ac:dyDescent="0.3">
      <c r="A9" s="75">
        <v>45982</v>
      </c>
      <c r="B9" s="61" t="s">
        <v>26</v>
      </c>
      <c r="C9" s="62" t="s">
        <v>224</v>
      </c>
      <c r="D9" s="61" t="s">
        <v>203</v>
      </c>
      <c r="E9" s="76">
        <v>1.9027777777777779</v>
      </c>
      <c r="F9" s="61" t="s">
        <v>28</v>
      </c>
      <c r="G9" s="63">
        <v>9</v>
      </c>
      <c r="H9" s="64">
        <v>719</v>
      </c>
    </row>
    <row r="10" spans="1:8" ht="19.8" customHeight="1" x14ac:dyDescent="0.3">
      <c r="A10" s="75">
        <v>45982</v>
      </c>
      <c r="B10" s="61" t="s">
        <v>26</v>
      </c>
      <c r="C10" s="62" t="s">
        <v>226</v>
      </c>
      <c r="D10" s="61" t="s">
        <v>203</v>
      </c>
      <c r="E10" s="76">
        <v>1.645833333333333</v>
      </c>
      <c r="F10" s="61" t="s">
        <v>28</v>
      </c>
      <c r="G10" s="63">
        <v>3</v>
      </c>
      <c r="H10" s="64">
        <v>719</v>
      </c>
    </row>
    <row r="11" spans="1:8" ht="19.8" customHeight="1" x14ac:dyDescent="0.3">
      <c r="A11" s="75">
        <v>45982</v>
      </c>
      <c r="B11" s="61" t="s">
        <v>26</v>
      </c>
      <c r="C11" s="62" t="s">
        <v>227</v>
      </c>
      <c r="D11" s="61" t="s">
        <v>203</v>
      </c>
      <c r="E11" s="76">
        <v>1.854166666666667</v>
      </c>
      <c r="F11" s="61" t="s">
        <v>28</v>
      </c>
      <c r="G11" s="63">
        <v>8</v>
      </c>
      <c r="H11" s="64">
        <v>719</v>
      </c>
    </row>
    <row r="12" spans="1:8" ht="19.8" customHeight="1" x14ac:dyDescent="0.3">
      <c r="A12" s="75">
        <v>45982</v>
      </c>
      <c r="B12" s="61" t="s">
        <v>26</v>
      </c>
      <c r="C12" s="62" t="s">
        <v>230</v>
      </c>
      <c r="D12" s="61" t="s">
        <v>203</v>
      </c>
      <c r="E12" s="76">
        <v>1.395833333333333</v>
      </c>
      <c r="F12" s="61" t="s">
        <v>28</v>
      </c>
      <c r="G12" s="63">
        <v>5</v>
      </c>
      <c r="H12" s="64">
        <v>719</v>
      </c>
    </row>
    <row r="13" spans="1:8" ht="19.8" customHeight="1" x14ac:dyDescent="0.3">
      <c r="A13" s="104">
        <v>45982</v>
      </c>
      <c r="B13" s="67" t="s">
        <v>26</v>
      </c>
      <c r="C13" s="68" t="s">
        <v>232</v>
      </c>
      <c r="D13" s="67" t="s">
        <v>203</v>
      </c>
      <c r="E13" s="105">
        <v>1.7986111111111109</v>
      </c>
      <c r="F13" s="67" t="s">
        <v>28</v>
      </c>
      <c r="G13" s="69">
        <v>9</v>
      </c>
      <c r="H13" s="176">
        <v>719</v>
      </c>
    </row>
    <row r="14" spans="1:8" ht="19.8" customHeight="1" x14ac:dyDescent="0.3">
      <c r="A14" s="168">
        <v>45983</v>
      </c>
      <c r="B14" s="101" t="s">
        <v>93</v>
      </c>
      <c r="C14" s="102" t="s">
        <v>497</v>
      </c>
      <c r="D14" s="101" t="s">
        <v>465</v>
      </c>
      <c r="E14" s="169">
        <v>1.458333333333333</v>
      </c>
      <c r="F14" s="101" t="s">
        <v>95</v>
      </c>
      <c r="G14" s="101"/>
      <c r="H14" s="103" t="s">
        <v>96</v>
      </c>
    </row>
    <row r="15" spans="1:8" ht="19.8" customHeight="1" x14ac:dyDescent="0.3">
      <c r="A15" s="168">
        <v>45983</v>
      </c>
      <c r="B15" s="101" t="s">
        <v>93</v>
      </c>
      <c r="C15" s="102" t="s">
        <v>475</v>
      </c>
      <c r="D15" s="101" t="s">
        <v>465</v>
      </c>
      <c r="E15" s="169">
        <v>1.791666666666667</v>
      </c>
      <c r="F15" s="101" t="s">
        <v>95</v>
      </c>
      <c r="G15" s="101"/>
      <c r="H15" s="103" t="s">
        <v>96</v>
      </c>
    </row>
    <row r="16" spans="1:8" ht="19.8" customHeight="1" x14ac:dyDescent="0.3">
      <c r="A16" s="96"/>
      <c r="B16" s="97"/>
      <c r="C16" s="97"/>
      <c r="D16" s="97"/>
      <c r="E16" s="97"/>
      <c r="F16" s="98" t="s">
        <v>542</v>
      </c>
      <c r="G16" s="97"/>
      <c r="H16" s="99"/>
    </row>
    <row r="17" spans="1:8" ht="19.8" customHeight="1" x14ac:dyDescent="0.3">
      <c r="A17" s="75">
        <v>45983</v>
      </c>
      <c r="B17" s="61" t="s">
        <v>36</v>
      </c>
      <c r="C17" s="62" t="s">
        <v>208</v>
      </c>
      <c r="D17" s="61" t="s">
        <v>203</v>
      </c>
      <c r="E17" s="76">
        <v>1.302083333333333</v>
      </c>
      <c r="F17" s="61" t="s">
        <v>38</v>
      </c>
      <c r="G17" s="63">
        <v>8</v>
      </c>
      <c r="H17" s="64">
        <v>639</v>
      </c>
    </row>
    <row r="18" spans="1:8" ht="19.8" customHeight="1" x14ac:dyDescent="0.3">
      <c r="A18" s="75">
        <v>45983</v>
      </c>
      <c r="B18" s="61" t="s">
        <v>36</v>
      </c>
      <c r="C18" s="62" t="s">
        <v>212</v>
      </c>
      <c r="D18" s="61" t="s">
        <v>203</v>
      </c>
      <c r="E18" s="76">
        <v>1.1284722222222221</v>
      </c>
      <c r="F18" s="61" t="s">
        <v>38</v>
      </c>
      <c r="G18" s="63">
        <v>17</v>
      </c>
      <c r="H18" s="64">
        <v>639</v>
      </c>
    </row>
    <row r="19" spans="1:8" ht="19.8" customHeight="1" x14ac:dyDescent="0.3">
      <c r="A19" s="75">
        <v>45983</v>
      </c>
      <c r="B19" s="61" t="s">
        <v>36</v>
      </c>
      <c r="C19" s="62" t="s">
        <v>204</v>
      </c>
      <c r="D19" s="61" t="s">
        <v>203</v>
      </c>
      <c r="E19" s="76">
        <v>1.8888888888888891</v>
      </c>
      <c r="F19" s="61" t="s">
        <v>38</v>
      </c>
      <c r="G19" s="63">
        <v>11</v>
      </c>
      <c r="H19" s="64">
        <v>639</v>
      </c>
    </row>
    <row r="20" spans="1:8" ht="19.8" customHeight="1" x14ac:dyDescent="0.3">
      <c r="A20" s="75">
        <v>45983</v>
      </c>
      <c r="B20" s="61" t="s">
        <v>26</v>
      </c>
      <c r="C20" s="62" t="s">
        <v>218</v>
      </c>
      <c r="D20" s="61" t="s">
        <v>203</v>
      </c>
      <c r="E20" s="76">
        <v>1.256944444444444</v>
      </c>
      <c r="F20" s="61" t="s">
        <v>28</v>
      </c>
      <c r="G20" s="63">
        <v>5</v>
      </c>
      <c r="H20" s="64">
        <v>669</v>
      </c>
    </row>
    <row r="21" spans="1:8" ht="19.8" customHeight="1" x14ac:dyDescent="0.3">
      <c r="A21" s="75">
        <v>45983</v>
      </c>
      <c r="B21" s="61" t="s">
        <v>26</v>
      </c>
      <c r="C21" s="62" t="s">
        <v>224</v>
      </c>
      <c r="D21" s="61" t="s">
        <v>203</v>
      </c>
      <c r="E21" s="76">
        <v>1.9027777777777779</v>
      </c>
      <c r="F21" s="61" t="s">
        <v>28</v>
      </c>
      <c r="G21" s="63">
        <v>9</v>
      </c>
      <c r="H21" s="64">
        <v>669</v>
      </c>
    </row>
    <row r="22" spans="1:8" ht="19.8" customHeight="1" x14ac:dyDescent="0.3">
      <c r="A22" s="75">
        <v>45983</v>
      </c>
      <c r="B22" s="61" t="s">
        <v>26</v>
      </c>
      <c r="C22" s="62" t="s">
        <v>226</v>
      </c>
      <c r="D22" s="61" t="s">
        <v>203</v>
      </c>
      <c r="E22" s="76">
        <v>1.6597222222222221</v>
      </c>
      <c r="F22" s="61" t="s">
        <v>28</v>
      </c>
      <c r="G22" s="63">
        <v>2</v>
      </c>
      <c r="H22" s="64">
        <v>669</v>
      </c>
    </row>
    <row r="23" spans="1:8" ht="19.8" customHeight="1" x14ac:dyDescent="0.3">
      <c r="A23" s="75">
        <v>45983</v>
      </c>
      <c r="B23" s="61" t="s">
        <v>26</v>
      </c>
      <c r="C23" s="62" t="s">
        <v>233</v>
      </c>
      <c r="D23" s="61" t="s">
        <v>203</v>
      </c>
      <c r="E23" s="76">
        <v>1.5173611111111109</v>
      </c>
      <c r="F23" s="61" t="s">
        <v>28</v>
      </c>
      <c r="G23" s="63">
        <v>2</v>
      </c>
      <c r="H23" s="64">
        <v>669</v>
      </c>
    </row>
    <row r="24" spans="1:8" ht="19.8" customHeight="1" x14ac:dyDescent="0.3">
      <c r="A24" s="75">
        <v>45983</v>
      </c>
      <c r="B24" s="61" t="s">
        <v>26</v>
      </c>
      <c r="C24" s="62" t="s">
        <v>227</v>
      </c>
      <c r="D24" s="61" t="s">
        <v>203</v>
      </c>
      <c r="E24" s="76">
        <v>1.854166666666667</v>
      </c>
      <c r="F24" s="61" t="s">
        <v>28</v>
      </c>
      <c r="G24" s="63">
        <v>5</v>
      </c>
      <c r="H24" s="64">
        <v>669</v>
      </c>
    </row>
    <row r="25" spans="1:8" ht="19.8" customHeight="1" x14ac:dyDescent="0.3">
      <c r="A25" s="75">
        <v>45983</v>
      </c>
      <c r="B25" s="61" t="s">
        <v>26</v>
      </c>
      <c r="C25" s="62" t="s">
        <v>230</v>
      </c>
      <c r="D25" s="61" t="s">
        <v>203</v>
      </c>
      <c r="E25" s="76">
        <v>1.395833333333333</v>
      </c>
      <c r="F25" s="61" t="s">
        <v>28</v>
      </c>
      <c r="G25" s="63">
        <v>8</v>
      </c>
      <c r="H25" s="64">
        <v>669</v>
      </c>
    </row>
    <row r="26" spans="1:8" ht="19.8" customHeight="1" x14ac:dyDescent="0.3">
      <c r="A26" s="104">
        <v>45983</v>
      </c>
      <c r="B26" s="67" t="s">
        <v>26</v>
      </c>
      <c r="C26" s="68" t="s">
        <v>232</v>
      </c>
      <c r="D26" s="67" t="s">
        <v>203</v>
      </c>
      <c r="E26" s="105">
        <v>1.7986111111111109</v>
      </c>
      <c r="F26" s="67" t="s">
        <v>28</v>
      </c>
      <c r="G26" s="69">
        <v>5</v>
      </c>
      <c r="H26" s="176">
        <v>669</v>
      </c>
    </row>
    <row r="27" spans="1:8" ht="19.8" customHeight="1" x14ac:dyDescent="0.3">
      <c r="A27" s="168">
        <v>45984</v>
      </c>
      <c r="B27" s="101" t="s">
        <v>93</v>
      </c>
      <c r="C27" s="102" t="s">
        <v>507</v>
      </c>
      <c r="D27" s="101" t="s">
        <v>465</v>
      </c>
      <c r="E27" s="169">
        <v>1.489583333333333</v>
      </c>
      <c r="F27" s="101" t="s">
        <v>249</v>
      </c>
      <c r="G27" s="166">
        <v>2</v>
      </c>
      <c r="H27" s="167">
        <v>952</v>
      </c>
    </row>
    <row r="28" spans="1:8" ht="19.8" customHeight="1" x14ac:dyDescent="0.3">
      <c r="A28" s="168">
        <v>45984</v>
      </c>
      <c r="B28" s="101" t="s">
        <v>93</v>
      </c>
      <c r="C28" s="102" t="s">
        <v>475</v>
      </c>
      <c r="D28" s="101" t="s">
        <v>465</v>
      </c>
      <c r="E28" s="169">
        <v>1.6875</v>
      </c>
      <c r="F28" s="101" t="s">
        <v>95</v>
      </c>
      <c r="G28" s="101"/>
      <c r="H28" s="103" t="s">
        <v>96</v>
      </c>
    </row>
    <row r="29" spans="1:8" ht="19.8" customHeight="1" x14ac:dyDescent="0.3">
      <c r="A29" s="96"/>
      <c r="B29" s="97"/>
      <c r="C29" s="97"/>
      <c r="D29" s="97"/>
      <c r="E29" s="97"/>
      <c r="F29" s="98" t="s">
        <v>542</v>
      </c>
      <c r="G29" s="97"/>
      <c r="H29" s="99"/>
    </row>
    <row r="30" spans="1:8" ht="19.8" customHeight="1" x14ac:dyDescent="0.3">
      <c r="A30" s="75">
        <v>45984</v>
      </c>
      <c r="B30" s="61" t="s">
        <v>36</v>
      </c>
      <c r="C30" s="62" t="s">
        <v>215</v>
      </c>
      <c r="D30" s="61" t="s">
        <v>203</v>
      </c>
      <c r="E30" s="76">
        <v>1.788194444444444</v>
      </c>
      <c r="F30" s="61" t="s">
        <v>340</v>
      </c>
      <c r="G30" s="63">
        <v>2</v>
      </c>
      <c r="H30" s="64">
        <v>539</v>
      </c>
    </row>
    <row r="31" spans="1:8" ht="19.8" customHeight="1" x14ac:dyDescent="0.3">
      <c r="A31" s="75">
        <v>45984</v>
      </c>
      <c r="B31" s="61" t="s">
        <v>36</v>
      </c>
      <c r="C31" s="62" t="s">
        <v>204</v>
      </c>
      <c r="D31" s="61" t="s">
        <v>203</v>
      </c>
      <c r="E31" s="76">
        <v>1.8888888888888891</v>
      </c>
      <c r="F31" s="61" t="s">
        <v>340</v>
      </c>
      <c r="G31" s="63">
        <v>7</v>
      </c>
      <c r="H31" s="64">
        <v>539</v>
      </c>
    </row>
    <row r="32" spans="1:8" ht="19.8" customHeight="1" x14ac:dyDescent="0.3">
      <c r="A32" s="75">
        <v>45984</v>
      </c>
      <c r="B32" s="61" t="s">
        <v>36</v>
      </c>
      <c r="C32" s="62" t="s">
        <v>208</v>
      </c>
      <c r="D32" s="61" t="s">
        <v>203</v>
      </c>
      <c r="E32" s="76">
        <v>1.302083333333333</v>
      </c>
      <c r="F32" s="61" t="s">
        <v>340</v>
      </c>
      <c r="G32" s="63">
        <v>3</v>
      </c>
      <c r="H32" s="64">
        <v>589</v>
      </c>
    </row>
    <row r="33" spans="1:8" ht="19.8" customHeight="1" x14ac:dyDescent="0.3">
      <c r="A33" s="75">
        <v>45984</v>
      </c>
      <c r="B33" s="61" t="s">
        <v>36</v>
      </c>
      <c r="C33" s="62" t="s">
        <v>212</v>
      </c>
      <c r="D33" s="61" t="s">
        <v>203</v>
      </c>
      <c r="E33" s="76">
        <v>1.1284722222222221</v>
      </c>
      <c r="F33" s="61" t="s">
        <v>340</v>
      </c>
      <c r="G33" s="63">
        <v>10</v>
      </c>
      <c r="H33" s="64">
        <v>589</v>
      </c>
    </row>
    <row r="34" spans="1:8" ht="19.8" customHeight="1" x14ac:dyDescent="0.3">
      <c r="A34" s="75">
        <v>45984</v>
      </c>
      <c r="B34" s="61" t="s">
        <v>26</v>
      </c>
      <c r="C34" s="62" t="s">
        <v>224</v>
      </c>
      <c r="D34" s="61" t="s">
        <v>203</v>
      </c>
      <c r="E34" s="76">
        <v>1.9027777777777779</v>
      </c>
      <c r="F34" s="61" t="s">
        <v>344</v>
      </c>
      <c r="G34" s="63">
        <v>9</v>
      </c>
      <c r="H34" s="64">
        <v>589</v>
      </c>
    </row>
    <row r="35" spans="1:8" ht="19.8" customHeight="1" x14ac:dyDescent="0.3">
      <c r="A35" s="75">
        <v>45984</v>
      </c>
      <c r="B35" s="61" t="s">
        <v>26</v>
      </c>
      <c r="C35" s="62" t="s">
        <v>226</v>
      </c>
      <c r="D35" s="61" t="s">
        <v>203</v>
      </c>
      <c r="E35" s="76">
        <v>1.645833333333333</v>
      </c>
      <c r="F35" s="61" t="s">
        <v>344</v>
      </c>
      <c r="G35" s="63">
        <v>2</v>
      </c>
      <c r="H35" s="64">
        <v>589</v>
      </c>
    </row>
    <row r="36" spans="1:8" ht="19.8" customHeight="1" x14ac:dyDescent="0.3">
      <c r="A36" s="75">
        <v>45984</v>
      </c>
      <c r="B36" s="61" t="s">
        <v>26</v>
      </c>
      <c r="C36" s="62" t="s">
        <v>227</v>
      </c>
      <c r="D36" s="61" t="s">
        <v>203</v>
      </c>
      <c r="E36" s="76">
        <v>1.854166666666667</v>
      </c>
      <c r="F36" s="61" t="s">
        <v>344</v>
      </c>
      <c r="G36" s="63">
        <v>9</v>
      </c>
      <c r="H36" s="64">
        <v>589</v>
      </c>
    </row>
    <row r="37" spans="1:8" ht="19.8" customHeight="1" x14ac:dyDescent="0.3">
      <c r="A37" s="75">
        <v>45984</v>
      </c>
      <c r="B37" s="61" t="s">
        <v>26</v>
      </c>
      <c r="C37" s="62" t="s">
        <v>345</v>
      </c>
      <c r="D37" s="61" t="s">
        <v>203</v>
      </c>
      <c r="E37" s="76">
        <v>1.302083333333333</v>
      </c>
      <c r="F37" s="61" t="s">
        <v>344</v>
      </c>
      <c r="G37" s="63">
        <v>2</v>
      </c>
      <c r="H37" s="64">
        <v>589</v>
      </c>
    </row>
    <row r="38" spans="1:8" ht="19.8" customHeight="1" x14ac:dyDescent="0.3">
      <c r="A38" s="75">
        <v>45984</v>
      </c>
      <c r="B38" s="61" t="s">
        <v>26</v>
      </c>
      <c r="C38" s="62" t="s">
        <v>232</v>
      </c>
      <c r="D38" s="61" t="s">
        <v>203</v>
      </c>
      <c r="E38" s="76">
        <v>1.7986111111111109</v>
      </c>
      <c r="F38" s="61" t="s">
        <v>344</v>
      </c>
      <c r="G38" s="63">
        <v>9</v>
      </c>
      <c r="H38" s="64">
        <v>589</v>
      </c>
    </row>
    <row r="39" spans="1:8" ht="19.8" customHeight="1" x14ac:dyDescent="0.3">
      <c r="A39" s="104">
        <v>45984</v>
      </c>
      <c r="B39" s="67" t="s">
        <v>243</v>
      </c>
      <c r="C39" s="68" t="s">
        <v>246</v>
      </c>
      <c r="D39" s="67" t="s">
        <v>203</v>
      </c>
      <c r="E39" s="105">
        <v>1.666666666666667</v>
      </c>
      <c r="F39" s="67" t="s">
        <v>245</v>
      </c>
      <c r="G39" s="69">
        <v>6</v>
      </c>
      <c r="H39" s="176">
        <v>599</v>
      </c>
    </row>
  </sheetData>
  <pageMargins left="0.75" right="0.75" top="1" bottom="1" header="0.5" footer="0.5"/>
  <legacyDrawing r:id="rId1"/>
  <tableParts count="1">
    <tablePart r:id="rId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CN54"/>
  <sheetViews>
    <sheetView workbookViewId="0"/>
  </sheetViews>
  <sheetFormatPr defaultRowHeight="14.4" x14ac:dyDescent="0.3"/>
  <cols>
    <col min="1" max="1" width="10.21875" bestFit="1" customWidth="1"/>
    <col min="2" max="2" width="15.6640625" bestFit="1" customWidth="1"/>
    <col min="3" max="3" width="14.77734375" bestFit="1" customWidth="1"/>
    <col min="4" max="4" width="31.21875" bestFit="1" customWidth="1"/>
    <col min="5" max="5" width="20.109375" bestFit="1" customWidth="1"/>
    <col min="6" max="6" width="23.44140625" bestFit="1" customWidth="1"/>
    <col min="7" max="7" width="44.5546875" bestFit="1" customWidth="1"/>
    <col min="8" max="8" width="9.44140625" bestFit="1" customWidth="1"/>
    <col min="9" max="9" width="8" bestFit="1" customWidth="1"/>
    <col min="10" max="10" width="7.5546875" bestFit="1" customWidth="1"/>
    <col min="11" max="11" width="23.4414062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48.88671875" bestFit="1" customWidth="1"/>
  </cols>
  <sheetData>
    <row r="1" spans="1:92" ht="28.8" customHeight="1" x14ac:dyDescent="0.3">
      <c r="A1" s="260" t="s">
        <v>0</v>
      </c>
      <c r="B1" s="253"/>
      <c r="C1" s="253"/>
      <c r="D1" s="253"/>
      <c r="E1" s="253"/>
      <c r="F1" s="1" t="s">
        <v>543</v>
      </c>
      <c r="G1" s="2" t="s">
        <v>2</v>
      </c>
      <c r="H1" s="259">
        <v>45982</v>
      </c>
      <c r="I1" s="253"/>
      <c r="J1" s="253"/>
      <c r="K1" s="253"/>
      <c r="L1" s="253"/>
      <c r="M1" s="1" t="s">
        <v>3</v>
      </c>
      <c r="N1" s="266">
        <v>45984</v>
      </c>
      <c r="O1" s="253"/>
      <c r="P1" s="253"/>
      <c r="Q1" s="253"/>
      <c r="R1" s="253"/>
      <c r="CA1" s="3"/>
      <c r="CB1" s="3"/>
      <c r="CC1" s="3"/>
      <c r="CD1" s="3"/>
      <c r="CE1" s="3"/>
      <c r="CF1" s="3"/>
      <c r="CG1" s="3"/>
      <c r="CH1" s="3"/>
      <c r="CI1" s="3"/>
      <c r="CJ1" s="3"/>
      <c r="CK1" s="3"/>
      <c r="CL1" s="3"/>
      <c r="CM1" s="3"/>
      <c r="CN1" s="3"/>
    </row>
    <row r="2" spans="1:92" ht="23.4" customHeight="1" x14ac:dyDescent="0.3">
      <c r="A2" s="252" t="s">
        <v>4</v>
      </c>
      <c r="B2" s="253"/>
      <c r="C2" s="253"/>
      <c r="D2" s="253"/>
      <c r="E2" s="253"/>
      <c r="F2" s="253"/>
      <c r="G2" s="261">
        <v>45981.017766639823</v>
      </c>
      <c r="H2" s="253"/>
      <c r="I2" s="253"/>
      <c r="J2" s="253"/>
      <c r="K2" s="262">
        <v>45981.017766640311</v>
      </c>
      <c r="L2" s="253"/>
      <c r="M2" s="253"/>
      <c r="N2" s="253"/>
      <c r="O2" s="253"/>
      <c r="P2" s="253"/>
      <c r="Q2" s="253"/>
      <c r="R2" s="253"/>
      <c r="CA2" s="3"/>
      <c r="CB2" s="3"/>
      <c r="CC2" s="3"/>
      <c r="CD2" s="3"/>
      <c r="CE2" s="3"/>
      <c r="CF2" s="3"/>
      <c r="CG2" s="3"/>
      <c r="CH2" s="3"/>
      <c r="CI2" s="3"/>
      <c r="CJ2" s="3"/>
      <c r="CK2" s="3"/>
      <c r="CL2" s="3"/>
      <c r="CM2" s="3"/>
      <c r="CN2" s="3"/>
    </row>
    <row r="3" spans="1:92" ht="24" customHeight="1" x14ac:dyDescent="0.3">
      <c r="A3" s="254" t="s">
        <v>5</v>
      </c>
      <c r="B3" s="253"/>
      <c r="C3" s="253"/>
      <c r="D3" s="253"/>
      <c r="E3" s="253"/>
      <c r="F3" s="253"/>
      <c r="G3" s="253"/>
      <c r="H3" s="253"/>
      <c r="I3" s="253"/>
      <c r="J3" s="253"/>
      <c r="K3" s="253"/>
      <c r="L3" s="253"/>
      <c r="M3" s="253"/>
      <c r="N3" s="253"/>
      <c r="O3" s="253"/>
      <c r="P3" s="253"/>
      <c r="Q3" s="253"/>
      <c r="R3" s="253"/>
      <c r="CA3" s="3"/>
      <c r="CB3" s="3"/>
      <c r="CC3" s="3"/>
      <c r="CD3" s="3"/>
      <c r="CE3" s="3"/>
      <c r="CF3" s="3"/>
      <c r="CG3" s="3"/>
      <c r="CH3" s="3"/>
      <c r="CI3" s="3"/>
      <c r="CJ3" s="3"/>
      <c r="CK3" s="3"/>
      <c r="CL3" s="3"/>
      <c r="CM3" s="3"/>
      <c r="CN3" s="3"/>
    </row>
    <row r="4" spans="1:92" ht="22.05" customHeight="1" x14ac:dyDescent="0.3">
      <c r="A4" s="263" t="s">
        <v>6</v>
      </c>
      <c r="B4" s="250"/>
      <c r="C4" s="250"/>
      <c r="D4" s="250"/>
      <c r="E4" s="250"/>
      <c r="F4" s="251"/>
      <c r="G4" s="4">
        <v>45982</v>
      </c>
      <c r="H4" s="264" t="s">
        <v>7</v>
      </c>
      <c r="I4" s="250"/>
      <c r="J4" s="250"/>
      <c r="K4" s="250"/>
      <c r="L4" s="250"/>
      <c r="M4" s="250"/>
      <c r="N4" s="250"/>
      <c r="O4" s="250"/>
      <c r="P4" s="250"/>
      <c r="Q4" s="250"/>
      <c r="R4" s="251"/>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177" t="s">
        <v>93</v>
      </c>
      <c r="B6" s="177" t="s">
        <v>544</v>
      </c>
      <c r="C6" s="178">
        <v>0.29166666666666669</v>
      </c>
      <c r="D6" s="177" t="s">
        <v>249</v>
      </c>
      <c r="E6" s="177" t="s">
        <v>49</v>
      </c>
      <c r="F6" s="177" t="s">
        <v>545</v>
      </c>
      <c r="G6" s="255"/>
      <c r="H6" s="179" t="s">
        <v>546</v>
      </c>
      <c r="I6" s="180">
        <v>0.70240000000000002</v>
      </c>
      <c r="J6" s="181">
        <v>118</v>
      </c>
      <c r="K6" s="182" t="s">
        <v>180</v>
      </c>
      <c r="L6" s="181">
        <v>66</v>
      </c>
      <c r="M6" s="181">
        <v>0</v>
      </c>
      <c r="N6" s="181">
        <v>8</v>
      </c>
      <c r="O6" s="183" t="s">
        <v>547</v>
      </c>
      <c r="P6" s="184">
        <v>0.29166666666666669</v>
      </c>
      <c r="Q6" s="181">
        <v>168</v>
      </c>
      <c r="R6" s="185" t="s">
        <v>548</v>
      </c>
    </row>
    <row r="7" spans="1:92" ht="18" x14ac:dyDescent="0.3">
      <c r="A7" s="267" t="s">
        <v>477</v>
      </c>
      <c r="B7" s="268"/>
      <c r="C7" s="268"/>
      <c r="D7" s="268"/>
      <c r="E7" s="268"/>
      <c r="F7" s="269"/>
      <c r="G7" s="256"/>
      <c r="H7" s="79"/>
      <c r="I7" s="79"/>
      <c r="J7" s="79"/>
      <c r="K7" s="79"/>
      <c r="L7" s="79"/>
      <c r="M7" s="79"/>
      <c r="N7" s="79"/>
      <c r="O7" s="80"/>
      <c r="P7" s="79"/>
      <c r="Q7" s="56"/>
      <c r="R7" s="56"/>
    </row>
    <row r="8" spans="1:92" ht="15" customHeight="1" x14ac:dyDescent="0.3">
      <c r="A8" s="19" t="s">
        <v>36</v>
      </c>
      <c r="B8" s="19" t="s">
        <v>204</v>
      </c>
      <c r="C8" s="20" t="s">
        <v>455</v>
      </c>
      <c r="D8" s="19" t="s">
        <v>38</v>
      </c>
      <c r="E8" s="19" t="s">
        <v>478</v>
      </c>
      <c r="F8" s="19" t="s">
        <v>206</v>
      </c>
      <c r="G8" s="256"/>
      <c r="H8" s="79"/>
      <c r="I8" s="79"/>
      <c r="J8" s="79"/>
      <c r="K8" s="79"/>
      <c r="L8" s="79"/>
      <c r="M8" s="79"/>
      <c r="N8" s="79"/>
      <c r="O8" s="80"/>
      <c r="P8" s="79"/>
      <c r="Q8" s="56"/>
      <c r="R8" s="56"/>
    </row>
    <row r="9" spans="1:92" ht="15" customHeight="1" x14ac:dyDescent="0.3">
      <c r="A9" s="19" t="s">
        <v>36</v>
      </c>
      <c r="B9" s="19" t="s">
        <v>208</v>
      </c>
      <c r="C9" s="20" t="s">
        <v>456</v>
      </c>
      <c r="D9" s="19" t="s">
        <v>38</v>
      </c>
      <c r="E9" s="19" t="s">
        <v>479</v>
      </c>
      <c r="F9" s="19" t="s">
        <v>79</v>
      </c>
      <c r="G9" s="256"/>
      <c r="H9" s="79"/>
      <c r="I9" s="79"/>
      <c r="J9" s="79"/>
      <c r="K9" s="79"/>
      <c r="L9" s="79"/>
      <c r="M9" s="79"/>
      <c r="N9" s="79"/>
      <c r="O9" s="80"/>
      <c r="P9" s="79"/>
      <c r="Q9" s="56"/>
      <c r="R9" s="56"/>
    </row>
    <row r="10" spans="1:92" ht="15" customHeight="1" x14ac:dyDescent="0.3">
      <c r="A10" s="19" t="s">
        <v>36</v>
      </c>
      <c r="B10" s="19" t="s">
        <v>212</v>
      </c>
      <c r="C10" s="20" t="s">
        <v>457</v>
      </c>
      <c r="D10" s="19" t="s">
        <v>38</v>
      </c>
      <c r="E10" s="19" t="s">
        <v>480</v>
      </c>
      <c r="F10" s="19" t="s">
        <v>79</v>
      </c>
      <c r="G10" s="256"/>
      <c r="H10" s="79"/>
      <c r="I10" s="79"/>
      <c r="J10" s="79"/>
      <c r="K10" s="79"/>
      <c r="L10" s="79"/>
      <c r="M10" s="79"/>
      <c r="N10" s="79"/>
      <c r="O10" s="80"/>
      <c r="P10" s="79"/>
      <c r="Q10" s="56"/>
      <c r="R10" s="56"/>
    </row>
    <row r="11" spans="1:92" ht="15" customHeight="1" x14ac:dyDescent="0.3">
      <c r="A11" s="19" t="s">
        <v>36</v>
      </c>
      <c r="B11" s="19" t="s">
        <v>215</v>
      </c>
      <c r="C11" s="20" t="s">
        <v>458</v>
      </c>
      <c r="D11" s="19" t="s">
        <v>38</v>
      </c>
      <c r="E11" s="19" t="s">
        <v>481</v>
      </c>
      <c r="F11" s="19" t="s">
        <v>79</v>
      </c>
      <c r="G11" s="256"/>
      <c r="H11" s="79"/>
      <c r="I11" s="79"/>
      <c r="J11" s="79"/>
      <c r="K11" s="79"/>
      <c r="L11" s="79"/>
      <c r="M11" s="79"/>
      <c r="N11" s="79"/>
      <c r="O11" s="80"/>
      <c r="P11" s="79"/>
      <c r="Q11" s="56"/>
      <c r="R11" s="56"/>
    </row>
    <row r="12" spans="1:92" ht="15" customHeight="1" x14ac:dyDescent="0.3">
      <c r="A12" s="19" t="s">
        <v>26</v>
      </c>
      <c r="B12" s="19" t="s">
        <v>218</v>
      </c>
      <c r="C12" s="20" t="s">
        <v>459</v>
      </c>
      <c r="D12" s="19" t="s">
        <v>28</v>
      </c>
      <c r="E12" s="19" t="s">
        <v>482</v>
      </c>
      <c r="F12" s="19" t="s">
        <v>220</v>
      </c>
      <c r="G12" s="256"/>
      <c r="H12" s="79"/>
      <c r="I12" s="79"/>
      <c r="J12" s="79"/>
      <c r="K12" s="79"/>
      <c r="L12" s="79"/>
      <c r="M12" s="79"/>
      <c r="N12" s="79"/>
      <c r="O12" s="80"/>
      <c r="P12" s="79"/>
      <c r="Q12" s="56"/>
      <c r="R12" s="56"/>
    </row>
    <row r="13" spans="1:92" ht="15" customHeight="1" x14ac:dyDescent="0.3">
      <c r="A13" s="19" t="s">
        <v>26</v>
      </c>
      <c r="B13" s="19" t="s">
        <v>224</v>
      </c>
      <c r="C13" s="20" t="s">
        <v>146</v>
      </c>
      <c r="D13" s="19" t="s">
        <v>28</v>
      </c>
      <c r="E13" s="19" t="s">
        <v>174</v>
      </c>
      <c r="F13" s="19" t="s">
        <v>220</v>
      </c>
      <c r="G13" s="256"/>
      <c r="H13" s="79"/>
      <c r="I13" s="79"/>
      <c r="J13" s="79"/>
      <c r="K13" s="79"/>
      <c r="L13" s="79"/>
      <c r="M13" s="79"/>
      <c r="N13" s="79"/>
      <c r="O13" s="80"/>
      <c r="P13" s="79"/>
      <c r="Q13" s="56"/>
      <c r="R13" s="56"/>
    </row>
    <row r="14" spans="1:92" ht="15" customHeight="1" x14ac:dyDescent="0.3">
      <c r="A14" s="19" t="s">
        <v>26</v>
      </c>
      <c r="B14" s="19" t="s">
        <v>226</v>
      </c>
      <c r="C14" s="20" t="s">
        <v>460</v>
      </c>
      <c r="D14" s="19" t="s">
        <v>28</v>
      </c>
      <c r="E14" s="19" t="s">
        <v>194</v>
      </c>
      <c r="F14" s="19" t="s">
        <v>220</v>
      </c>
      <c r="G14" s="256"/>
      <c r="H14" s="79"/>
      <c r="I14" s="79"/>
      <c r="J14" s="79"/>
      <c r="K14" s="79"/>
      <c r="L14" s="79"/>
      <c r="M14" s="79"/>
      <c r="N14" s="79"/>
      <c r="O14" s="80"/>
      <c r="P14" s="79"/>
      <c r="Q14" s="56"/>
      <c r="R14" s="56"/>
    </row>
    <row r="15" spans="1:92" ht="15" customHeight="1" x14ac:dyDescent="0.3">
      <c r="A15" s="19" t="s">
        <v>26</v>
      </c>
      <c r="B15" s="19" t="s">
        <v>227</v>
      </c>
      <c r="C15" s="20" t="s">
        <v>461</v>
      </c>
      <c r="D15" s="19" t="s">
        <v>28</v>
      </c>
      <c r="E15" s="19" t="s">
        <v>483</v>
      </c>
      <c r="F15" s="19" t="s">
        <v>220</v>
      </c>
      <c r="G15" s="256"/>
      <c r="H15" s="79"/>
      <c r="I15" s="79"/>
      <c r="J15" s="79"/>
      <c r="K15" s="79"/>
      <c r="L15" s="79"/>
      <c r="M15" s="79"/>
      <c r="N15" s="79"/>
      <c r="O15" s="80"/>
      <c r="P15" s="79"/>
      <c r="Q15" s="56"/>
      <c r="R15" s="56"/>
    </row>
    <row r="16" spans="1:92" ht="15" customHeight="1" x14ac:dyDescent="0.3">
      <c r="A16" s="19" t="s">
        <v>26</v>
      </c>
      <c r="B16" s="19" t="s">
        <v>230</v>
      </c>
      <c r="C16" s="20" t="s">
        <v>134</v>
      </c>
      <c r="D16" s="19" t="s">
        <v>28</v>
      </c>
      <c r="E16" s="19" t="s">
        <v>478</v>
      </c>
      <c r="F16" s="19" t="s">
        <v>220</v>
      </c>
      <c r="G16" s="256"/>
      <c r="H16" s="79"/>
      <c r="I16" s="79"/>
      <c r="J16" s="79"/>
      <c r="K16" s="79"/>
      <c r="L16" s="79"/>
      <c r="M16" s="79"/>
      <c r="N16" s="79"/>
      <c r="O16" s="80"/>
      <c r="P16" s="79"/>
      <c r="Q16" s="56"/>
      <c r="R16" s="56"/>
    </row>
    <row r="17" spans="1:18" ht="15" customHeight="1" thickBot="1" x14ac:dyDescent="0.35">
      <c r="A17" s="81" t="s">
        <v>26</v>
      </c>
      <c r="B17" s="81" t="s">
        <v>232</v>
      </c>
      <c r="C17" s="82" t="s">
        <v>462</v>
      </c>
      <c r="D17" s="81" t="s">
        <v>28</v>
      </c>
      <c r="E17" s="81" t="s">
        <v>174</v>
      </c>
      <c r="F17" s="81" t="s">
        <v>220</v>
      </c>
      <c r="G17" s="257"/>
      <c r="H17" s="83"/>
      <c r="I17" s="83"/>
      <c r="J17" s="83"/>
      <c r="K17" s="83"/>
      <c r="L17" s="83"/>
      <c r="M17" s="83"/>
      <c r="N17" s="83"/>
      <c r="O17" s="84"/>
      <c r="P17" s="83"/>
      <c r="Q17" s="85"/>
      <c r="R17" s="85"/>
    </row>
    <row r="18" spans="1:18" ht="17.399999999999999" customHeight="1" thickBot="1" x14ac:dyDescent="0.35">
      <c r="A18" s="284"/>
      <c r="B18" s="285"/>
      <c r="C18" s="285"/>
      <c r="D18" s="285"/>
      <c r="E18" s="285"/>
      <c r="F18" s="285"/>
      <c r="G18" s="285"/>
      <c r="H18" s="285"/>
      <c r="I18" s="285"/>
      <c r="J18" s="285"/>
      <c r="K18" s="285"/>
      <c r="L18" s="285"/>
      <c r="M18" s="285"/>
      <c r="N18" s="285"/>
      <c r="O18" s="285"/>
      <c r="P18" s="285"/>
      <c r="Q18" s="285"/>
      <c r="R18" s="286"/>
    </row>
    <row r="19" spans="1:18" ht="22.05" customHeight="1" thickTop="1" thickBot="1" x14ac:dyDescent="0.35">
      <c r="A19" s="249" t="s">
        <v>6</v>
      </c>
      <c r="B19" s="250"/>
      <c r="C19" s="250"/>
      <c r="D19" s="250"/>
      <c r="E19" s="250"/>
      <c r="F19" s="251"/>
      <c r="G19" s="28">
        <v>45983</v>
      </c>
      <c r="H19" s="258" t="s">
        <v>7</v>
      </c>
      <c r="I19" s="250"/>
      <c r="J19" s="250"/>
      <c r="K19" s="250"/>
      <c r="L19" s="250"/>
      <c r="M19" s="250"/>
      <c r="N19" s="250"/>
      <c r="O19" s="250"/>
      <c r="P19" s="250"/>
      <c r="Q19" s="250"/>
      <c r="R19" s="251"/>
    </row>
    <row r="20" spans="1:18" ht="24" customHeight="1" x14ac:dyDescent="0.3">
      <c r="A20" s="29" t="s">
        <v>8</v>
      </c>
      <c r="B20" s="29" t="s">
        <v>9</v>
      </c>
      <c r="C20" s="30" t="s">
        <v>10</v>
      </c>
      <c r="D20" s="29" t="s">
        <v>11</v>
      </c>
      <c r="E20" s="29" t="s">
        <v>12</v>
      </c>
      <c r="F20" s="31" t="s">
        <v>13</v>
      </c>
      <c r="G20" s="32" t="s">
        <v>14</v>
      </c>
      <c r="H20" s="29" t="s">
        <v>15</v>
      </c>
      <c r="I20" s="33" t="s">
        <v>16</v>
      </c>
      <c r="J20" s="34" t="s">
        <v>17</v>
      </c>
      <c r="K20" s="35" t="s">
        <v>18</v>
      </c>
      <c r="L20" s="34" t="s">
        <v>19</v>
      </c>
      <c r="M20" s="34" t="s">
        <v>20</v>
      </c>
      <c r="N20" s="34" t="s">
        <v>21</v>
      </c>
      <c r="O20" s="29" t="s">
        <v>22</v>
      </c>
      <c r="P20" s="30" t="s">
        <v>23</v>
      </c>
      <c r="Q20" s="34" t="s">
        <v>24</v>
      </c>
      <c r="R20" s="29" t="s">
        <v>25</v>
      </c>
    </row>
    <row r="21" spans="1:18" ht="15" customHeight="1" x14ac:dyDescent="0.3">
      <c r="A21" s="150" t="s">
        <v>93</v>
      </c>
      <c r="B21" s="150" t="s">
        <v>549</v>
      </c>
      <c r="C21" s="151">
        <v>0.46180555555555558</v>
      </c>
      <c r="D21" s="150" t="s">
        <v>249</v>
      </c>
      <c r="E21" s="150" t="s">
        <v>219</v>
      </c>
      <c r="F21" s="150" t="s">
        <v>550</v>
      </c>
      <c r="G21" s="255"/>
      <c r="H21" s="152" t="s">
        <v>551</v>
      </c>
      <c r="I21" s="186">
        <v>0.77380000000000004</v>
      </c>
      <c r="J21" s="154">
        <v>130</v>
      </c>
      <c r="K21" s="155" t="s">
        <v>180</v>
      </c>
      <c r="L21" s="154">
        <v>53</v>
      </c>
      <c r="M21" s="154">
        <v>0</v>
      </c>
      <c r="N21" s="154">
        <v>7</v>
      </c>
      <c r="O21" s="156" t="s">
        <v>552</v>
      </c>
      <c r="P21" s="157">
        <v>0.46180555555555558</v>
      </c>
      <c r="Q21" s="154">
        <v>168</v>
      </c>
      <c r="R21" s="158" t="s">
        <v>553</v>
      </c>
    </row>
    <row r="22" spans="1:18" ht="15" customHeight="1" x14ac:dyDescent="0.3">
      <c r="A22" s="134" t="s">
        <v>93</v>
      </c>
      <c r="B22" s="134" t="s">
        <v>554</v>
      </c>
      <c r="C22" s="135">
        <v>0.6875</v>
      </c>
      <c r="D22" s="134" t="s">
        <v>249</v>
      </c>
      <c r="E22" s="134" t="s">
        <v>87</v>
      </c>
      <c r="F22" s="134" t="s">
        <v>550</v>
      </c>
      <c r="G22" s="256"/>
      <c r="H22" s="118" t="s">
        <v>555</v>
      </c>
      <c r="I22" s="136">
        <v>0.70830000000000004</v>
      </c>
      <c r="J22" s="120">
        <v>119</v>
      </c>
      <c r="K22" s="121" t="s">
        <v>180</v>
      </c>
      <c r="L22" s="120">
        <v>8</v>
      </c>
      <c r="M22" s="120">
        <v>0</v>
      </c>
      <c r="N22" s="120">
        <v>1</v>
      </c>
      <c r="O22" s="122" t="s">
        <v>556</v>
      </c>
      <c r="P22" s="123">
        <v>0.6875</v>
      </c>
      <c r="Q22" s="120">
        <v>168</v>
      </c>
      <c r="R22" s="124" t="s">
        <v>557</v>
      </c>
    </row>
    <row r="23" spans="1:18" ht="15" customHeight="1" x14ac:dyDescent="0.3">
      <c r="A23" s="17" t="s">
        <v>46</v>
      </c>
      <c r="B23" s="17" t="s">
        <v>558</v>
      </c>
      <c r="C23" s="18">
        <v>0.46180555555555558</v>
      </c>
      <c r="D23" s="17" t="s">
        <v>559</v>
      </c>
      <c r="E23" s="17" t="s">
        <v>59</v>
      </c>
      <c r="F23" s="17" t="s">
        <v>560</v>
      </c>
      <c r="G23" s="256"/>
      <c r="H23" s="10"/>
      <c r="I23" s="11"/>
      <c r="J23" s="11"/>
      <c r="K23" s="11"/>
      <c r="L23" s="11"/>
      <c r="M23" s="11"/>
      <c r="N23" s="11"/>
      <c r="O23" s="12"/>
      <c r="P23" s="11"/>
      <c r="Q23" s="13"/>
      <c r="R23" s="14"/>
    </row>
    <row r="24" spans="1:18" ht="18" x14ac:dyDescent="0.3">
      <c r="A24" s="267" t="s">
        <v>477</v>
      </c>
      <c r="B24" s="268"/>
      <c r="C24" s="268"/>
      <c r="D24" s="268"/>
      <c r="E24" s="268"/>
      <c r="F24" s="269"/>
      <c r="G24" s="256"/>
      <c r="H24" s="79"/>
      <c r="I24" s="79"/>
      <c r="J24" s="79"/>
      <c r="K24" s="79"/>
      <c r="L24" s="79"/>
      <c r="M24" s="79"/>
      <c r="N24" s="79"/>
      <c r="O24" s="80"/>
      <c r="P24" s="79"/>
      <c r="Q24" s="56"/>
      <c r="R24" s="56"/>
    </row>
    <row r="25" spans="1:18" ht="15" customHeight="1" x14ac:dyDescent="0.3">
      <c r="A25" s="19" t="s">
        <v>36</v>
      </c>
      <c r="B25" s="19" t="s">
        <v>208</v>
      </c>
      <c r="C25" s="20" t="s">
        <v>456</v>
      </c>
      <c r="D25" s="19" t="s">
        <v>38</v>
      </c>
      <c r="E25" s="19" t="s">
        <v>483</v>
      </c>
      <c r="F25" s="19" t="s">
        <v>206</v>
      </c>
      <c r="G25" s="256"/>
      <c r="H25" s="79"/>
      <c r="I25" s="79"/>
      <c r="J25" s="79"/>
      <c r="K25" s="79"/>
      <c r="L25" s="79"/>
      <c r="M25" s="79"/>
      <c r="N25" s="79"/>
      <c r="O25" s="80"/>
      <c r="P25" s="79"/>
      <c r="Q25" s="56"/>
      <c r="R25" s="56"/>
    </row>
    <row r="26" spans="1:18" ht="15" customHeight="1" x14ac:dyDescent="0.3">
      <c r="A26" s="19" t="s">
        <v>36</v>
      </c>
      <c r="B26" s="19" t="s">
        <v>212</v>
      </c>
      <c r="C26" s="20" t="s">
        <v>457</v>
      </c>
      <c r="D26" s="19" t="s">
        <v>38</v>
      </c>
      <c r="E26" s="19" t="s">
        <v>500</v>
      </c>
      <c r="F26" s="19" t="s">
        <v>206</v>
      </c>
      <c r="G26" s="256"/>
      <c r="H26" s="79"/>
      <c r="I26" s="79"/>
      <c r="J26" s="79"/>
      <c r="K26" s="79"/>
      <c r="L26" s="79"/>
      <c r="M26" s="79"/>
      <c r="N26" s="79"/>
      <c r="O26" s="80"/>
      <c r="P26" s="79"/>
      <c r="Q26" s="56"/>
      <c r="R26" s="56"/>
    </row>
    <row r="27" spans="1:18" ht="15" customHeight="1" x14ac:dyDescent="0.3">
      <c r="A27" s="19" t="s">
        <v>36</v>
      </c>
      <c r="B27" s="19" t="s">
        <v>204</v>
      </c>
      <c r="C27" s="20" t="s">
        <v>455</v>
      </c>
      <c r="D27" s="19" t="s">
        <v>38</v>
      </c>
      <c r="E27" s="19" t="s">
        <v>501</v>
      </c>
      <c r="F27" s="19" t="s">
        <v>206</v>
      </c>
      <c r="G27" s="256"/>
      <c r="H27" s="79"/>
      <c r="I27" s="79"/>
      <c r="J27" s="79"/>
      <c r="K27" s="79"/>
      <c r="L27" s="79"/>
      <c r="M27" s="79"/>
      <c r="N27" s="79"/>
      <c r="O27" s="80"/>
      <c r="P27" s="79"/>
      <c r="Q27" s="56"/>
      <c r="R27" s="56"/>
    </row>
    <row r="28" spans="1:18" ht="15" customHeight="1" x14ac:dyDescent="0.3">
      <c r="A28" s="19" t="s">
        <v>26</v>
      </c>
      <c r="B28" s="19" t="s">
        <v>218</v>
      </c>
      <c r="C28" s="20" t="s">
        <v>459</v>
      </c>
      <c r="D28" s="19" t="s">
        <v>28</v>
      </c>
      <c r="E28" s="19" t="s">
        <v>478</v>
      </c>
      <c r="F28" s="19" t="s">
        <v>316</v>
      </c>
      <c r="G28" s="256"/>
      <c r="H28" s="79"/>
      <c r="I28" s="79"/>
      <c r="J28" s="79"/>
      <c r="K28" s="79"/>
      <c r="L28" s="79"/>
      <c r="M28" s="79"/>
      <c r="N28" s="79"/>
      <c r="O28" s="80"/>
      <c r="P28" s="79"/>
      <c r="Q28" s="56"/>
      <c r="R28" s="56"/>
    </row>
    <row r="29" spans="1:18" ht="15" customHeight="1" x14ac:dyDescent="0.3">
      <c r="A29" s="19" t="s">
        <v>26</v>
      </c>
      <c r="B29" s="19" t="s">
        <v>224</v>
      </c>
      <c r="C29" s="20" t="s">
        <v>146</v>
      </c>
      <c r="D29" s="19" t="s">
        <v>28</v>
      </c>
      <c r="E29" s="19" t="s">
        <v>174</v>
      </c>
      <c r="F29" s="19" t="s">
        <v>316</v>
      </c>
      <c r="G29" s="256"/>
      <c r="H29" s="79"/>
      <c r="I29" s="79"/>
      <c r="J29" s="79"/>
      <c r="K29" s="79"/>
      <c r="L29" s="79"/>
      <c r="M29" s="79"/>
      <c r="N29" s="79"/>
      <c r="O29" s="80"/>
      <c r="P29" s="79"/>
      <c r="Q29" s="56"/>
      <c r="R29" s="56"/>
    </row>
    <row r="30" spans="1:18" ht="15" customHeight="1" x14ac:dyDescent="0.3">
      <c r="A30" s="19" t="s">
        <v>26</v>
      </c>
      <c r="B30" s="19" t="s">
        <v>226</v>
      </c>
      <c r="C30" s="20" t="s">
        <v>502</v>
      </c>
      <c r="D30" s="19" t="s">
        <v>28</v>
      </c>
      <c r="E30" s="19" t="s">
        <v>503</v>
      </c>
      <c r="F30" s="19" t="s">
        <v>316</v>
      </c>
      <c r="G30" s="256"/>
      <c r="H30" s="79"/>
      <c r="I30" s="79"/>
      <c r="J30" s="79"/>
      <c r="K30" s="79"/>
      <c r="L30" s="79"/>
      <c r="M30" s="79"/>
      <c r="N30" s="79"/>
      <c r="O30" s="80"/>
      <c r="P30" s="79"/>
      <c r="Q30" s="56"/>
      <c r="R30" s="56"/>
    </row>
    <row r="31" spans="1:18" ht="15" customHeight="1" x14ac:dyDescent="0.3">
      <c r="A31" s="19" t="s">
        <v>26</v>
      </c>
      <c r="B31" s="19" t="s">
        <v>233</v>
      </c>
      <c r="C31" s="20" t="s">
        <v>504</v>
      </c>
      <c r="D31" s="19" t="s">
        <v>28</v>
      </c>
      <c r="E31" s="19" t="s">
        <v>503</v>
      </c>
      <c r="F31" s="19" t="s">
        <v>316</v>
      </c>
      <c r="G31" s="256"/>
      <c r="H31" s="79"/>
      <c r="I31" s="79"/>
      <c r="J31" s="79"/>
      <c r="K31" s="79"/>
      <c r="L31" s="79"/>
      <c r="M31" s="79"/>
      <c r="N31" s="79"/>
      <c r="O31" s="80"/>
      <c r="P31" s="79"/>
      <c r="Q31" s="56"/>
      <c r="R31" s="56"/>
    </row>
    <row r="32" spans="1:18" ht="15" customHeight="1" x14ac:dyDescent="0.3">
      <c r="A32" s="19" t="s">
        <v>26</v>
      </c>
      <c r="B32" s="19" t="s">
        <v>227</v>
      </c>
      <c r="C32" s="20" t="s">
        <v>461</v>
      </c>
      <c r="D32" s="19" t="s">
        <v>28</v>
      </c>
      <c r="E32" s="19" t="s">
        <v>478</v>
      </c>
      <c r="F32" s="19" t="s">
        <v>316</v>
      </c>
      <c r="G32" s="256"/>
      <c r="H32" s="79"/>
      <c r="I32" s="79"/>
      <c r="J32" s="79"/>
      <c r="K32" s="79"/>
      <c r="L32" s="79"/>
      <c r="M32" s="79"/>
      <c r="N32" s="79"/>
      <c r="O32" s="80"/>
      <c r="P32" s="79"/>
      <c r="Q32" s="56"/>
      <c r="R32" s="56"/>
    </row>
    <row r="33" spans="1:18" ht="15" customHeight="1" x14ac:dyDescent="0.3">
      <c r="A33" s="19" t="s">
        <v>26</v>
      </c>
      <c r="B33" s="19" t="s">
        <v>230</v>
      </c>
      <c r="C33" s="20" t="s">
        <v>134</v>
      </c>
      <c r="D33" s="19" t="s">
        <v>28</v>
      </c>
      <c r="E33" s="19" t="s">
        <v>483</v>
      </c>
      <c r="F33" s="19" t="s">
        <v>316</v>
      </c>
      <c r="G33" s="256"/>
      <c r="H33" s="79"/>
      <c r="I33" s="79"/>
      <c r="J33" s="79"/>
      <c r="K33" s="79"/>
      <c r="L33" s="79"/>
      <c r="M33" s="79"/>
      <c r="N33" s="79"/>
      <c r="O33" s="80"/>
      <c r="P33" s="79"/>
      <c r="Q33" s="56"/>
      <c r="R33" s="56"/>
    </row>
    <row r="34" spans="1:18" ht="15" customHeight="1" thickBot="1" x14ac:dyDescent="0.35">
      <c r="A34" s="81" t="s">
        <v>26</v>
      </c>
      <c r="B34" s="81" t="s">
        <v>232</v>
      </c>
      <c r="C34" s="82" t="s">
        <v>462</v>
      </c>
      <c r="D34" s="81" t="s">
        <v>28</v>
      </c>
      <c r="E34" s="81" t="s">
        <v>478</v>
      </c>
      <c r="F34" s="81" t="s">
        <v>316</v>
      </c>
      <c r="G34" s="257"/>
      <c r="H34" s="83"/>
      <c r="I34" s="83"/>
      <c r="J34" s="83"/>
      <c r="K34" s="83"/>
      <c r="L34" s="83"/>
      <c r="M34" s="83"/>
      <c r="N34" s="83"/>
      <c r="O34" s="84"/>
      <c r="P34" s="83"/>
      <c r="Q34" s="85"/>
      <c r="R34" s="85"/>
    </row>
    <row r="35" spans="1:18" ht="17.399999999999999" customHeight="1" thickBot="1" x14ac:dyDescent="0.35">
      <c r="A35" s="284"/>
      <c r="B35" s="285"/>
      <c r="C35" s="285"/>
      <c r="D35" s="285"/>
      <c r="E35" s="285"/>
      <c r="F35" s="285"/>
      <c r="G35" s="285"/>
      <c r="H35" s="285"/>
      <c r="I35" s="285"/>
      <c r="J35" s="285"/>
      <c r="K35" s="285"/>
      <c r="L35" s="285"/>
      <c r="M35" s="285"/>
      <c r="N35" s="285"/>
      <c r="O35" s="285"/>
      <c r="P35" s="285"/>
      <c r="Q35" s="285"/>
      <c r="R35" s="286"/>
    </row>
    <row r="36" spans="1:18" ht="22.05" customHeight="1" thickTop="1" thickBot="1" x14ac:dyDescent="0.35">
      <c r="A36" s="249" t="s">
        <v>6</v>
      </c>
      <c r="B36" s="250"/>
      <c r="C36" s="250"/>
      <c r="D36" s="250"/>
      <c r="E36" s="250"/>
      <c r="F36" s="251"/>
      <c r="G36" s="28">
        <v>45984</v>
      </c>
      <c r="H36" s="258" t="s">
        <v>7</v>
      </c>
      <c r="I36" s="250"/>
      <c r="J36" s="250"/>
      <c r="K36" s="250"/>
      <c r="L36" s="250"/>
      <c r="M36" s="250"/>
      <c r="N36" s="250"/>
      <c r="O36" s="250"/>
      <c r="P36" s="250"/>
      <c r="Q36" s="250"/>
      <c r="R36" s="251"/>
    </row>
    <row r="37" spans="1:18" ht="24" customHeight="1" x14ac:dyDescent="0.3">
      <c r="A37" s="29" t="s">
        <v>8</v>
      </c>
      <c r="B37" s="29" t="s">
        <v>9</v>
      </c>
      <c r="C37" s="30" t="s">
        <v>10</v>
      </c>
      <c r="D37" s="29" t="s">
        <v>11</v>
      </c>
      <c r="E37" s="29" t="s">
        <v>12</v>
      </c>
      <c r="F37" s="31" t="s">
        <v>13</v>
      </c>
      <c r="G37" s="32" t="s">
        <v>14</v>
      </c>
      <c r="H37" s="29" t="s">
        <v>15</v>
      </c>
      <c r="I37" s="33" t="s">
        <v>16</v>
      </c>
      <c r="J37" s="34" t="s">
        <v>17</v>
      </c>
      <c r="K37" s="35" t="s">
        <v>18</v>
      </c>
      <c r="L37" s="34" t="s">
        <v>19</v>
      </c>
      <c r="M37" s="34" t="s">
        <v>20</v>
      </c>
      <c r="N37" s="34" t="s">
        <v>21</v>
      </c>
      <c r="O37" s="29" t="s">
        <v>22</v>
      </c>
      <c r="P37" s="30" t="s">
        <v>23</v>
      </c>
      <c r="Q37" s="34" t="s">
        <v>24</v>
      </c>
      <c r="R37" s="29" t="s">
        <v>25</v>
      </c>
    </row>
    <row r="38" spans="1:18" ht="15" customHeight="1" x14ac:dyDescent="0.3">
      <c r="A38" s="8" t="s">
        <v>36</v>
      </c>
      <c r="B38" s="8" t="s">
        <v>561</v>
      </c>
      <c r="C38" s="9">
        <v>0.28472222222222221</v>
      </c>
      <c r="D38" s="8" t="s">
        <v>485</v>
      </c>
      <c r="E38" s="8" t="s">
        <v>341</v>
      </c>
      <c r="F38" s="8" t="s">
        <v>562</v>
      </c>
      <c r="G38" s="255"/>
      <c r="H38" s="10"/>
      <c r="I38" s="11"/>
      <c r="J38" s="11"/>
      <c r="K38" s="11"/>
      <c r="L38" s="11"/>
      <c r="M38" s="11"/>
      <c r="N38" s="11"/>
      <c r="O38" s="12"/>
      <c r="P38" s="11"/>
      <c r="Q38" s="13"/>
      <c r="R38" s="14"/>
    </row>
    <row r="39" spans="1:18" ht="15" customHeight="1" x14ac:dyDescent="0.3">
      <c r="A39" s="15" t="s">
        <v>36</v>
      </c>
      <c r="B39" s="15" t="s">
        <v>561</v>
      </c>
      <c r="C39" s="16">
        <v>0.28472222222222221</v>
      </c>
      <c r="D39" s="15" t="s">
        <v>467</v>
      </c>
      <c r="E39" s="15" t="s">
        <v>318</v>
      </c>
      <c r="F39" s="15" t="s">
        <v>563</v>
      </c>
      <c r="G39" s="256"/>
      <c r="H39" s="10"/>
      <c r="I39" s="11"/>
      <c r="J39" s="11"/>
      <c r="K39" s="11"/>
      <c r="L39" s="11"/>
      <c r="M39" s="11"/>
      <c r="N39" s="11"/>
      <c r="O39" s="12"/>
      <c r="P39" s="11"/>
      <c r="Q39" s="13"/>
      <c r="R39" s="14"/>
    </row>
    <row r="40" spans="1:18" ht="15" customHeight="1" x14ac:dyDescent="0.3">
      <c r="A40" s="15" t="s">
        <v>36</v>
      </c>
      <c r="B40" s="15" t="s">
        <v>561</v>
      </c>
      <c r="C40" s="16">
        <v>0.28472222222222221</v>
      </c>
      <c r="D40" s="15" t="s">
        <v>469</v>
      </c>
      <c r="E40" s="15" t="s">
        <v>318</v>
      </c>
      <c r="F40" s="15" t="s">
        <v>564</v>
      </c>
      <c r="G40" s="256"/>
      <c r="H40" s="10"/>
      <c r="I40" s="11"/>
      <c r="J40" s="11"/>
      <c r="K40" s="11"/>
      <c r="L40" s="11"/>
      <c r="M40" s="11"/>
      <c r="N40" s="11"/>
      <c r="O40" s="12"/>
      <c r="P40" s="11"/>
      <c r="Q40" s="13"/>
      <c r="R40" s="14"/>
    </row>
    <row r="41" spans="1:18" ht="15" customHeight="1" x14ac:dyDescent="0.3">
      <c r="A41" s="15" t="s">
        <v>36</v>
      </c>
      <c r="B41" s="15" t="s">
        <v>561</v>
      </c>
      <c r="C41" s="16">
        <v>0.28472222222222221</v>
      </c>
      <c r="D41" s="15" t="s">
        <v>489</v>
      </c>
      <c r="E41" s="15" t="s">
        <v>318</v>
      </c>
      <c r="F41" s="15" t="s">
        <v>565</v>
      </c>
      <c r="G41" s="256"/>
      <c r="H41" s="10"/>
      <c r="I41" s="11"/>
      <c r="J41" s="11"/>
      <c r="K41" s="11"/>
      <c r="L41" s="11"/>
      <c r="M41" s="11"/>
      <c r="N41" s="11"/>
      <c r="O41" s="12"/>
      <c r="P41" s="11"/>
      <c r="Q41" s="13"/>
      <c r="R41" s="14"/>
    </row>
    <row r="42" spans="1:18" ht="15" customHeight="1" x14ac:dyDescent="0.3">
      <c r="A42" s="187" t="s">
        <v>93</v>
      </c>
      <c r="B42" s="187" t="s">
        <v>554</v>
      </c>
      <c r="C42" s="188">
        <v>0.85069444444444453</v>
      </c>
      <c r="D42" s="187" t="s">
        <v>249</v>
      </c>
      <c r="E42" s="187" t="s">
        <v>219</v>
      </c>
      <c r="F42" s="187" t="s">
        <v>566</v>
      </c>
      <c r="G42" s="256"/>
      <c r="H42" s="139" t="s">
        <v>555</v>
      </c>
      <c r="I42" s="175">
        <v>0.92259999999999998</v>
      </c>
      <c r="J42" s="141">
        <v>155</v>
      </c>
      <c r="K42" s="142" t="s">
        <v>180</v>
      </c>
      <c r="L42" s="141">
        <v>5</v>
      </c>
      <c r="M42" s="141">
        <v>0</v>
      </c>
      <c r="N42" s="141">
        <v>1</v>
      </c>
      <c r="O42" s="143" t="s">
        <v>141</v>
      </c>
      <c r="P42" s="144">
        <v>0.85069444444444453</v>
      </c>
      <c r="Q42" s="141">
        <v>168</v>
      </c>
      <c r="R42" s="145" t="s">
        <v>567</v>
      </c>
    </row>
    <row r="43" spans="1:18" ht="15" customHeight="1" x14ac:dyDescent="0.3">
      <c r="A43" s="134" t="s">
        <v>93</v>
      </c>
      <c r="B43" s="134" t="s">
        <v>544</v>
      </c>
      <c r="C43" s="135">
        <v>0.76736111111111116</v>
      </c>
      <c r="D43" s="134" t="s">
        <v>249</v>
      </c>
      <c r="E43" s="134" t="s">
        <v>69</v>
      </c>
      <c r="F43" s="134" t="s">
        <v>566</v>
      </c>
      <c r="G43" s="256"/>
      <c r="H43" s="118" t="s">
        <v>546</v>
      </c>
      <c r="I43" s="136">
        <v>0.67259999999999998</v>
      </c>
      <c r="J43" s="120">
        <v>113</v>
      </c>
      <c r="K43" s="121" t="s">
        <v>180</v>
      </c>
      <c r="L43" s="120">
        <v>23</v>
      </c>
      <c r="M43" s="120">
        <v>0</v>
      </c>
      <c r="N43" s="120">
        <v>2</v>
      </c>
      <c r="O43" s="122" t="s">
        <v>568</v>
      </c>
      <c r="P43" s="123">
        <v>0.76736111111111116</v>
      </c>
      <c r="Q43" s="120">
        <v>168</v>
      </c>
      <c r="R43" s="124" t="s">
        <v>569</v>
      </c>
    </row>
    <row r="44" spans="1:18" ht="18" x14ac:dyDescent="0.3">
      <c r="A44" s="267" t="s">
        <v>477</v>
      </c>
      <c r="B44" s="268"/>
      <c r="C44" s="268"/>
      <c r="D44" s="268"/>
      <c r="E44" s="268"/>
      <c r="F44" s="269"/>
      <c r="G44" s="256"/>
      <c r="H44" s="79"/>
      <c r="I44" s="79"/>
      <c r="J44" s="79"/>
      <c r="K44" s="79"/>
      <c r="L44" s="79"/>
      <c r="M44" s="79"/>
      <c r="N44" s="79"/>
      <c r="O44" s="80"/>
      <c r="P44" s="79"/>
      <c r="Q44" s="56"/>
      <c r="R44" s="56"/>
    </row>
    <row r="45" spans="1:18" ht="15" customHeight="1" x14ac:dyDescent="0.3">
      <c r="A45" s="19" t="s">
        <v>36</v>
      </c>
      <c r="B45" s="19" t="s">
        <v>215</v>
      </c>
      <c r="C45" s="20" t="s">
        <v>458</v>
      </c>
      <c r="D45" s="19" t="s">
        <v>340</v>
      </c>
      <c r="E45" s="19" t="s">
        <v>503</v>
      </c>
      <c r="F45" s="19" t="s">
        <v>342</v>
      </c>
      <c r="G45" s="256"/>
      <c r="H45" s="79"/>
      <c r="I45" s="79"/>
      <c r="J45" s="79"/>
      <c r="K45" s="79"/>
      <c r="L45" s="79"/>
      <c r="M45" s="79"/>
      <c r="N45" s="79"/>
      <c r="O45" s="80"/>
      <c r="P45" s="79"/>
      <c r="Q45" s="56"/>
      <c r="R45" s="56"/>
    </row>
    <row r="46" spans="1:18" ht="15" customHeight="1" x14ac:dyDescent="0.3">
      <c r="A46" s="19" t="s">
        <v>36</v>
      </c>
      <c r="B46" s="19" t="s">
        <v>204</v>
      </c>
      <c r="C46" s="20" t="s">
        <v>455</v>
      </c>
      <c r="D46" s="19" t="s">
        <v>340</v>
      </c>
      <c r="E46" s="19" t="s">
        <v>482</v>
      </c>
      <c r="F46" s="19" t="s">
        <v>342</v>
      </c>
      <c r="G46" s="256"/>
      <c r="H46" s="79"/>
      <c r="I46" s="79"/>
      <c r="J46" s="79"/>
      <c r="K46" s="79"/>
      <c r="L46" s="79"/>
      <c r="M46" s="79"/>
      <c r="N46" s="79"/>
      <c r="O46" s="80"/>
      <c r="P46" s="79"/>
      <c r="Q46" s="56"/>
      <c r="R46" s="56"/>
    </row>
    <row r="47" spans="1:18" ht="15" customHeight="1" x14ac:dyDescent="0.3">
      <c r="A47" s="19" t="s">
        <v>36</v>
      </c>
      <c r="B47" s="19" t="s">
        <v>208</v>
      </c>
      <c r="C47" s="20" t="s">
        <v>456</v>
      </c>
      <c r="D47" s="19" t="s">
        <v>340</v>
      </c>
      <c r="E47" s="19" t="s">
        <v>194</v>
      </c>
      <c r="F47" s="19" t="s">
        <v>343</v>
      </c>
      <c r="G47" s="256"/>
      <c r="H47" s="79"/>
      <c r="I47" s="79"/>
      <c r="J47" s="79"/>
      <c r="K47" s="79"/>
      <c r="L47" s="79"/>
      <c r="M47" s="79"/>
      <c r="N47" s="79"/>
      <c r="O47" s="80"/>
      <c r="P47" s="79"/>
      <c r="Q47" s="56"/>
      <c r="R47" s="56"/>
    </row>
    <row r="48" spans="1:18" ht="15" customHeight="1" x14ac:dyDescent="0.3">
      <c r="A48" s="19" t="s">
        <v>36</v>
      </c>
      <c r="B48" s="19" t="s">
        <v>212</v>
      </c>
      <c r="C48" s="20" t="s">
        <v>457</v>
      </c>
      <c r="D48" s="19" t="s">
        <v>340</v>
      </c>
      <c r="E48" s="19" t="s">
        <v>479</v>
      </c>
      <c r="F48" s="19" t="s">
        <v>343</v>
      </c>
      <c r="G48" s="256"/>
      <c r="H48" s="79"/>
      <c r="I48" s="79"/>
      <c r="J48" s="79"/>
      <c r="K48" s="79"/>
      <c r="L48" s="79"/>
      <c r="M48" s="79"/>
      <c r="N48" s="79"/>
      <c r="O48" s="80"/>
      <c r="P48" s="79"/>
      <c r="Q48" s="56"/>
      <c r="R48" s="56"/>
    </row>
    <row r="49" spans="1:18" ht="15" customHeight="1" x14ac:dyDescent="0.3">
      <c r="A49" s="19" t="s">
        <v>26</v>
      </c>
      <c r="B49" s="19" t="s">
        <v>224</v>
      </c>
      <c r="C49" s="20" t="s">
        <v>146</v>
      </c>
      <c r="D49" s="19" t="s">
        <v>344</v>
      </c>
      <c r="E49" s="19" t="s">
        <v>174</v>
      </c>
      <c r="F49" s="19" t="s">
        <v>343</v>
      </c>
      <c r="G49" s="256"/>
      <c r="H49" s="79"/>
      <c r="I49" s="79"/>
      <c r="J49" s="79"/>
      <c r="K49" s="79"/>
      <c r="L49" s="79"/>
      <c r="M49" s="79"/>
      <c r="N49" s="79"/>
      <c r="O49" s="80"/>
      <c r="P49" s="79"/>
      <c r="Q49" s="56"/>
      <c r="R49" s="56"/>
    </row>
    <row r="50" spans="1:18" ht="15" customHeight="1" x14ac:dyDescent="0.3">
      <c r="A50" s="19" t="s">
        <v>26</v>
      </c>
      <c r="B50" s="19" t="s">
        <v>226</v>
      </c>
      <c r="C50" s="20" t="s">
        <v>460</v>
      </c>
      <c r="D50" s="19" t="s">
        <v>344</v>
      </c>
      <c r="E50" s="19" t="s">
        <v>503</v>
      </c>
      <c r="F50" s="19" t="s">
        <v>343</v>
      </c>
      <c r="G50" s="256"/>
      <c r="H50" s="79"/>
      <c r="I50" s="79"/>
      <c r="J50" s="79"/>
      <c r="K50" s="79"/>
      <c r="L50" s="79"/>
      <c r="M50" s="79"/>
      <c r="N50" s="79"/>
      <c r="O50" s="80"/>
      <c r="P50" s="79"/>
      <c r="Q50" s="56"/>
      <c r="R50" s="56"/>
    </row>
    <row r="51" spans="1:18" ht="15" customHeight="1" x14ac:dyDescent="0.3">
      <c r="A51" s="19" t="s">
        <v>26</v>
      </c>
      <c r="B51" s="19" t="s">
        <v>227</v>
      </c>
      <c r="C51" s="20" t="s">
        <v>461</v>
      </c>
      <c r="D51" s="19" t="s">
        <v>344</v>
      </c>
      <c r="E51" s="19" t="s">
        <v>174</v>
      </c>
      <c r="F51" s="19" t="s">
        <v>343</v>
      </c>
      <c r="G51" s="256"/>
      <c r="H51" s="79"/>
      <c r="I51" s="79"/>
      <c r="J51" s="79"/>
      <c r="K51" s="79"/>
      <c r="L51" s="79"/>
      <c r="M51" s="79"/>
      <c r="N51" s="79"/>
      <c r="O51" s="80"/>
      <c r="P51" s="79"/>
      <c r="Q51" s="56"/>
      <c r="R51" s="56"/>
    </row>
    <row r="52" spans="1:18" ht="15" customHeight="1" x14ac:dyDescent="0.3">
      <c r="A52" s="19" t="s">
        <v>26</v>
      </c>
      <c r="B52" s="19" t="s">
        <v>345</v>
      </c>
      <c r="C52" s="20" t="s">
        <v>456</v>
      </c>
      <c r="D52" s="19" t="s">
        <v>344</v>
      </c>
      <c r="E52" s="19" t="s">
        <v>503</v>
      </c>
      <c r="F52" s="19" t="s">
        <v>343</v>
      </c>
      <c r="G52" s="256"/>
      <c r="H52" s="79"/>
      <c r="I52" s="79"/>
      <c r="J52" s="79"/>
      <c r="K52" s="79"/>
      <c r="L52" s="79"/>
      <c r="M52" s="79"/>
      <c r="N52" s="79"/>
      <c r="O52" s="80"/>
      <c r="P52" s="79"/>
      <c r="Q52" s="56"/>
      <c r="R52" s="56"/>
    </row>
    <row r="53" spans="1:18" ht="15" customHeight="1" x14ac:dyDescent="0.3">
      <c r="A53" s="19" t="s">
        <v>26</v>
      </c>
      <c r="B53" s="19" t="s">
        <v>232</v>
      </c>
      <c r="C53" s="20" t="s">
        <v>462</v>
      </c>
      <c r="D53" s="19" t="s">
        <v>344</v>
      </c>
      <c r="E53" s="19" t="s">
        <v>174</v>
      </c>
      <c r="F53" s="19" t="s">
        <v>343</v>
      </c>
      <c r="G53" s="256"/>
      <c r="H53" s="79"/>
      <c r="I53" s="79"/>
      <c r="J53" s="79"/>
      <c r="K53" s="79"/>
      <c r="L53" s="79"/>
      <c r="M53" s="79"/>
      <c r="N53" s="79"/>
      <c r="O53" s="80"/>
      <c r="P53" s="79"/>
      <c r="Q53" s="56"/>
      <c r="R53" s="56"/>
    </row>
    <row r="54" spans="1:18" ht="15" customHeight="1" x14ac:dyDescent="0.3">
      <c r="A54" s="81" t="s">
        <v>243</v>
      </c>
      <c r="B54" s="81" t="s">
        <v>246</v>
      </c>
      <c r="C54" s="82" t="s">
        <v>513</v>
      </c>
      <c r="D54" s="81" t="s">
        <v>245</v>
      </c>
      <c r="E54" s="81" t="s">
        <v>182</v>
      </c>
      <c r="F54" s="81" t="s">
        <v>346</v>
      </c>
      <c r="G54" s="257"/>
      <c r="H54" s="83"/>
      <c r="I54" s="83"/>
      <c r="J54" s="83"/>
      <c r="K54" s="83"/>
      <c r="L54" s="83"/>
      <c r="M54" s="83"/>
      <c r="N54" s="83"/>
      <c r="O54" s="84"/>
      <c r="P54" s="83"/>
      <c r="Q54" s="85"/>
      <c r="R54" s="85"/>
    </row>
  </sheetData>
  <mergeCells count="21">
    <mergeCell ref="G21:G34"/>
    <mergeCell ref="A4:F4"/>
    <mergeCell ref="G38:G54"/>
    <mergeCell ref="H36:R36"/>
    <mergeCell ref="A35:R35"/>
    <mergeCell ref="A19:F19"/>
    <mergeCell ref="A44:F44"/>
    <mergeCell ref="H19:R19"/>
    <mergeCell ref="G6:G17"/>
    <mergeCell ref="A24:F24"/>
    <mergeCell ref="A36:F36"/>
    <mergeCell ref="A7:F7"/>
    <mergeCell ref="H1:L1"/>
    <mergeCell ref="A1:E1"/>
    <mergeCell ref="H4:R4"/>
    <mergeCell ref="A18:R18"/>
    <mergeCell ref="A2:F2"/>
    <mergeCell ref="A3:R3"/>
    <mergeCell ref="G2:J2"/>
    <mergeCell ref="N1:R1"/>
    <mergeCell ref="K2:R2"/>
  </mergeCell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J7"/>
  <sheetViews>
    <sheetView workbookViewId="0"/>
  </sheetViews>
  <sheetFormatPr defaultRowHeight="15.6" outlineLevelCol="1" x14ac:dyDescent="0.3"/>
  <cols>
    <col min="1" max="1" width="11.6640625" style="271" bestFit="1" customWidth="1"/>
    <col min="2" max="2" width="11.109375" style="271" bestFit="1" customWidth="1"/>
    <col min="3" max="3" width="7.88671875" style="271" bestFit="1" customWidth="1"/>
    <col min="4" max="4" width="6.77734375" style="271" bestFit="1" customWidth="1"/>
    <col min="5" max="5" width="9.21875" style="271" bestFit="1" customWidth="1"/>
    <col min="6" max="6" width="5.21875" style="271" bestFit="1" customWidth="1"/>
    <col min="7" max="7" width="10" style="271" bestFit="1" customWidth="1"/>
    <col min="8" max="8" width="7" style="271" bestFit="1" customWidth="1"/>
    <col min="9" max="10" width="8" style="271" bestFit="1" customWidth="1"/>
    <col min="11" max="11" width="12.21875" style="271" bestFit="1" customWidth="1"/>
    <col min="12" max="12" width="21.21875" style="271" bestFit="1" customWidth="1"/>
    <col min="13" max="13" width="8.77734375" style="271" bestFit="1" customWidth="1" outlineLevel="1"/>
    <col min="14" max="14" width="7.33203125" style="271" bestFit="1" customWidth="1" outlineLevel="1"/>
    <col min="15" max="15" width="9.109375" style="271" bestFit="1" customWidth="1" outlineLevel="1"/>
    <col min="16" max="16" width="15.33203125" style="271" bestFit="1" customWidth="1"/>
    <col min="17" max="24" width="3.88671875" style="271" bestFit="1" customWidth="1"/>
    <col min="25" max="25" width="4.21875" style="271" bestFit="1" customWidth="1"/>
    <col min="26" max="26" width="3.88671875" style="271" bestFit="1" customWidth="1"/>
    <col min="27" max="27" width="4.77734375" style="271" bestFit="1" customWidth="1"/>
    <col min="28" max="28" width="3.88671875" style="271" bestFit="1" customWidth="1"/>
    <col min="29" max="29" width="5.109375" style="271" bestFit="1" customWidth="1"/>
    <col min="30" max="31" width="5.33203125" style="271" bestFit="1" customWidth="1"/>
    <col min="32" max="32" width="4.44140625" style="271" bestFit="1" customWidth="1"/>
    <col min="33" max="33" width="5" style="271" bestFit="1" customWidth="1"/>
    <col min="34" max="34" width="3.88671875" style="271" bestFit="1" customWidth="1"/>
    <col min="35" max="35" width="6.21875" style="271" bestFit="1" customWidth="1"/>
    <col min="36" max="36" width="3.88671875" style="271" bestFit="1" customWidth="1"/>
    <col min="37" max="16384" width="8.88671875" style="271"/>
  </cols>
  <sheetData>
    <row r="1" spans="1:36" x14ac:dyDescent="0.3">
      <c r="A1" s="270" t="s">
        <v>104</v>
      </c>
      <c r="B1" s="270" t="s">
        <v>105</v>
      </c>
      <c r="C1" s="270" t="s">
        <v>106</v>
      </c>
      <c r="D1" s="270" t="s">
        <v>23</v>
      </c>
      <c r="E1" s="270" t="s">
        <v>107</v>
      </c>
      <c r="F1" s="270" t="s">
        <v>108</v>
      </c>
      <c r="G1" s="270" t="s">
        <v>16</v>
      </c>
      <c r="H1" s="270" t="s">
        <v>109</v>
      </c>
      <c r="I1" s="270" t="s">
        <v>110</v>
      </c>
      <c r="J1" s="270" t="s">
        <v>111</v>
      </c>
      <c r="K1" s="270" t="s">
        <v>112</v>
      </c>
      <c r="L1" s="270" t="s">
        <v>18</v>
      </c>
      <c r="M1" s="270" t="s">
        <v>20</v>
      </c>
      <c r="N1" s="270" t="s">
        <v>21</v>
      </c>
      <c r="O1" s="270" t="s">
        <v>19</v>
      </c>
      <c r="P1" s="270" t="s">
        <v>22</v>
      </c>
      <c r="Q1" s="270" t="s">
        <v>113</v>
      </c>
      <c r="R1" s="270" t="s">
        <v>114</v>
      </c>
      <c r="S1" s="270" t="s">
        <v>115</v>
      </c>
      <c r="T1" s="270" t="s">
        <v>116</v>
      </c>
      <c r="U1" s="270" t="s">
        <v>117</v>
      </c>
      <c r="V1" s="270" t="s">
        <v>118</v>
      </c>
      <c r="W1" s="270" t="s">
        <v>119</v>
      </c>
      <c r="X1" s="270" t="s">
        <v>120</v>
      </c>
      <c r="Y1" s="270" t="s">
        <v>121</v>
      </c>
      <c r="Z1" s="270" t="s">
        <v>122</v>
      </c>
      <c r="AA1" s="270" t="s">
        <v>123</v>
      </c>
      <c r="AB1" s="270" t="s">
        <v>124</v>
      </c>
      <c r="AC1" s="270" t="s">
        <v>125</v>
      </c>
      <c r="AD1" s="270" t="s">
        <v>126</v>
      </c>
      <c r="AE1" s="270" t="s">
        <v>127</v>
      </c>
      <c r="AF1" s="270" t="s">
        <v>128</v>
      </c>
      <c r="AG1" s="270" t="s">
        <v>129</v>
      </c>
      <c r="AH1" s="270" t="s">
        <v>130</v>
      </c>
      <c r="AI1" s="270" t="s">
        <v>131</v>
      </c>
      <c r="AJ1" s="270" t="s">
        <v>132</v>
      </c>
    </row>
    <row r="2" spans="1:36" x14ac:dyDescent="0.3">
      <c r="A2" s="272" t="s">
        <v>369</v>
      </c>
      <c r="B2" s="273">
        <v>45982</v>
      </c>
      <c r="C2" s="274" t="s">
        <v>546</v>
      </c>
      <c r="D2" s="275" t="s">
        <v>570</v>
      </c>
      <c r="E2" s="274" t="s">
        <v>543</v>
      </c>
      <c r="F2" s="274" t="s">
        <v>135</v>
      </c>
      <c r="G2" s="276">
        <v>0.70240000000000002</v>
      </c>
      <c r="H2" s="277">
        <v>168</v>
      </c>
      <c r="I2" s="277">
        <v>118</v>
      </c>
      <c r="J2" s="277">
        <v>3</v>
      </c>
      <c r="K2" s="274" t="s">
        <v>136</v>
      </c>
      <c r="L2" s="278" t="s">
        <v>180</v>
      </c>
      <c r="M2" s="277">
        <v>0</v>
      </c>
      <c r="N2" s="277">
        <v>8</v>
      </c>
      <c r="O2" s="277">
        <v>66</v>
      </c>
      <c r="P2" s="274" t="s">
        <v>547</v>
      </c>
      <c r="Q2" s="270"/>
      <c r="R2" s="270"/>
      <c r="S2" s="270"/>
      <c r="T2" s="270"/>
      <c r="U2" s="270"/>
      <c r="V2" s="270"/>
      <c r="W2" s="270"/>
      <c r="X2" s="270"/>
      <c r="Y2" s="270"/>
      <c r="Z2" s="277" t="s">
        <v>354</v>
      </c>
      <c r="AA2" s="277" t="s">
        <v>571</v>
      </c>
      <c r="AB2" s="277" t="s">
        <v>150</v>
      </c>
      <c r="AC2" s="277" t="s">
        <v>572</v>
      </c>
      <c r="AD2" s="277" t="s">
        <v>573</v>
      </c>
      <c r="AE2" s="277" t="s">
        <v>574</v>
      </c>
      <c r="AF2" s="277" t="s">
        <v>575</v>
      </c>
      <c r="AG2" s="270"/>
      <c r="AH2" s="270"/>
      <c r="AI2" s="277" t="s">
        <v>576</v>
      </c>
      <c r="AJ2" s="270"/>
    </row>
    <row r="3" spans="1:36" x14ac:dyDescent="0.3">
      <c r="A3" s="272" t="s">
        <v>133</v>
      </c>
      <c r="B3" s="273">
        <v>45983</v>
      </c>
      <c r="C3" s="274" t="s">
        <v>551</v>
      </c>
      <c r="D3" s="275" t="s">
        <v>577</v>
      </c>
      <c r="E3" s="274" t="s">
        <v>543</v>
      </c>
      <c r="F3" s="274" t="s">
        <v>135</v>
      </c>
      <c r="G3" s="276">
        <v>0.77380000000000004</v>
      </c>
      <c r="H3" s="277">
        <v>168</v>
      </c>
      <c r="I3" s="277">
        <v>130</v>
      </c>
      <c r="J3" s="277">
        <v>34</v>
      </c>
      <c r="K3" s="274" t="s">
        <v>136</v>
      </c>
      <c r="L3" s="278" t="s">
        <v>180</v>
      </c>
      <c r="M3" s="277">
        <v>0</v>
      </c>
      <c r="N3" s="277">
        <v>7</v>
      </c>
      <c r="O3" s="277">
        <v>53</v>
      </c>
      <c r="P3" s="274" t="s">
        <v>552</v>
      </c>
      <c r="Q3" s="270"/>
      <c r="R3" s="270"/>
      <c r="S3" s="270"/>
      <c r="T3" s="270"/>
      <c r="U3" s="270"/>
      <c r="V3" s="270"/>
      <c r="W3" s="270"/>
      <c r="X3" s="270"/>
      <c r="Y3" s="270"/>
      <c r="Z3" s="277" t="s">
        <v>352</v>
      </c>
      <c r="AA3" s="277" t="s">
        <v>358</v>
      </c>
      <c r="AB3" s="270"/>
      <c r="AC3" s="277" t="s">
        <v>578</v>
      </c>
      <c r="AD3" s="277" t="s">
        <v>199</v>
      </c>
      <c r="AE3" s="277" t="s">
        <v>579</v>
      </c>
      <c r="AF3" s="277" t="s">
        <v>201</v>
      </c>
      <c r="AG3" s="270"/>
      <c r="AH3" s="270"/>
      <c r="AI3" s="277" t="s">
        <v>580</v>
      </c>
      <c r="AJ3" s="270"/>
    </row>
    <row r="4" spans="1:36" x14ac:dyDescent="0.3">
      <c r="A4" s="272" t="s">
        <v>133</v>
      </c>
      <c r="B4" s="273">
        <v>45983</v>
      </c>
      <c r="C4" s="274" t="s">
        <v>555</v>
      </c>
      <c r="D4" s="275" t="s">
        <v>537</v>
      </c>
      <c r="E4" s="274" t="s">
        <v>543</v>
      </c>
      <c r="F4" s="274" t="s">
        <v>135</v>
      </c>
      <c r="G4" s="276">
        <v>0.70830000000000004</v>
      </c>
      <c r="H4" s="277">
        <v>168</v>
      </c>
      <c r="I4" s="277">
        <v>119</v>
      </c>
      <c r="J4" s="277">
        <v>89</v>
      </c>
      <c r="K4" s="274" t="s">
        <v>136</v>
      </c>
      <c r="L4" s="278" t="s">
        <v>180</v>
      </c>
      <c r="M4" s="277">
        <v>0</v>
      </c>
      <c r="N4" s="277">
        <v>1</v>
      </c>
      <c r="O4" s="277">
        <v>8</v>
      </c>
      <c r="P4" s="274" t="s">
        <v>556</v>
      </c>
      <c r="Q4" s="270"/>
      <c r="R4" s="270"/>
      <c r="S4" s="270"/>
      <c r="T4" s="270"/>
      <c r="U4" s="270"/>
      <c r="V4" s="270"/>
      <c r="W4" s="270"/>
      <c r="X4" s="270"/>
      <c r="Y4" s="277" t="s">
        <v>252</v>
      </c>
      <c r="Z4" s="277" t="s">
        <v>352</v>
      </c>
      <c r="AA4" s="270"/>
      <c r="AB4" s="270"/>
      <c r="AC4" s="277" t="s">
        <v>581</v>
      </c>
      <c r="AD4" s="277" t="s">
        <v>582</v>
      </c>
      <c r="AE4" s="270"/>
      <c r="AF4" s="270"/>
      <c r="AG4" s="270"/>
      <c r="AH4" s="270"/>
      <c r="AI4" s="277" t="s">
        <v>583</v>
      </c>
      <c r="AJ4" s="270"/>
    </row>
    <row r="5" spans="1:36" x14ac:dyDescent="0.3">
      <c r="A5" s="272" t="s">
        <v>145</v>
      </c>
      <c r="B5" s="273">
        <v>45984</v>
      </c>
      <c r="C5" s="274" t="s">
        <v>546</v>
      </c>
      <c r="D5" s="275" t="s">
        <v>584</v>
      </c>
      <c r="E5" s="274" t="s">
        <v>543</v>
      </c>
      <c r="F5" s="274" t="s">
        <v>135</v>
      </c>
      <c r="G5" s="276">
        <v>0.67259999999999998</v>
      </c>
      <c r="H5" s="277">
        <v>168</v>
      </c>
      <c r="I5" s="277">
        <v>113</v>
      </c>
      <c r="J5" s="277">
        <v>81</v>
      </c>
      <c r="K5" s="274" t="s">
        <v>136</v>
      </c>
      <c r="L5" s="278" t="s">
        <v>180</v>
      </c>
      <c r="M5" s="277">
        <v>0</v>
      </c>
      <c r="N5" s="277">
        <v>2</v>
      </c>
      <c r="O5" s="277">
        <v>23</v>
      </c>
      <c r="P5" s="274" t="s">
        <v>568</v>
      </c>
      <c r="Q5" s="270"/>
      <c r="R5" s="270"/>
      <c r="S5" s="270"/>
      <c r="T5" s="270"/>
      <c r="U5" s="270"/>
      <c r="V5" s="270"/>
      <c r="W5" s="270"/>
      <c r="X5" s="270"/>
      <c r="Y5" s="270"/>
      <c r="Z5" s="270"/>
      <c r="AA5" s="270"/>
      <c r="AB5" s="270"/>
      <c r="AC5" s="270"/>
      <c r="AD5" s="277" t="s">
        <v>140</v>
      </c>
      <c r="AE5" s="277" t="s">
        <v>153</v>
      </c>
      <c r="AF5" s="277" t="s">
        <v>585</v>
      </c>
      <c r="AG5" s="277" t="s">
        <v>586</v>
      </c>
      <c r="AH5" s="270"/>
      <c r="AI5" s="277" t="s">
        <v>386</v>
      </c>
      <c r="AJ5" s="270"/>
    </row>
    <row r="6" spans="1:36" x14ac:dyDescent="0.3">
      <c r="A6" s="272" t="s">
        <v>145</v>
      </c>
      <c r="B6" s="273">
        <v>45984</v>
      </c>
      <c r="C6" s="274" t="s">
        <v>555</v>
      </c>
      <c r="D6" s="275" t="s">
        <v>587</v>
      </c>
      <c r="E6" s="274" t="s">
        <v>543</v>
      </c>
      <c r="F6" s="274" t="s">
        <v>135</v>
      </c>
      <c r="G6" s="276">
        <v>0.92259999999999998</v>
      </c>
      <c r="H6" s="277">
        <v>168</v>
      </c>
      <c r="I6" s="277">
        <v>155</v>
      </c>
      <c r="J6" s="277">
        <v>144</v>
      </c>
      <c r="K6" s="274" t="s">
        <v>136</v>
      </c>
      <c r="L6" s="278" t="s">
        <v>180</v>
      </c>
      <c r="M6" s="277">
        <v>0</v>
      </c>
      <c r="N6" s="277">
        <v>1</v>
      </c>
      <c r="O6" s="277">
        <v>5</v>
      </c>
      <c r="P6" s="274" t="s">
        <v>141</v>
      </c>
      <c r="Q6" s="270"/>
      <c r="R6" s="270"/>
      <c r="S6" s="270"/>
      <c r="T6" s="270"/>
      <c r="U6" s="270"/>
      <c r="V6" s="270"/>
      <c r="W6" s="270"/>
      <c r="X6" s="270"/>
      <c r="Y6" s="270"/>
      <c r="Z6" s="270"/>
      <c r="AA6" s="270"/>
      <c r="AB6" s="270"/>
      <c r="AC6" s="270"/>
      <c r="AD6" s="277" t="s">
        <v>428</v>
      </c>
      <c r="AE6" s="277" t="s">
        <v>568</v>
      </c>
      <c r="AF6" s="277" t="s">
        <v>588</v>
      </c>
      <c r="AG6" s="270"/>
      <c r="AH6" s="270"/>
      <c r="AI6" s="277" t="s">
        <v>589</v>
      </c>
      <c r="AJ6" s="270"/>
    </row>
    <row r="7" spans="1:36" ht="21" x14ac:dyDescent="0.3">
      <c r="A7" s="279" t="s">
        <v>946</v>
      </c>
      <c r="B7" s="280"/>
      <c r="C7" s="279">
        <f>SUBTOTAL(103,JED_ATZ_LF_LEGACY[Flt])</f>
        <v>5</v>
      </c>
      <c r="D7" s="279"/>
      <c r="E7" s="279">
        <f>SUBTOTAL(103,JED_ATZ_LF_LEGACY[Brd-Off])</f>
        <v>5</v>
      </c>
      <c r="F7" s="279"/>
      <c r="G7" s="281">
        <f>SUBTOTAL(101,JED_ATZ_LF_LEGACY[LF%])</f>
        <v>0.75594000000000006</v>
      </c>
      <c r="H7" s="282">
        <f>SUBTOTAL(109,JED_ATZ_LF_LEGACY[CAP])</f>
        <v>840</v>
      </c>
      <c r="I7" s="282">
        <f>SUBTOTAL(109,JED_ATZ_LF_LEGACY[BKG(Y)])</f>
        <v>635</v>
      </c>
      <c r="J7" s="282">
        <f>SUBTOTAL(109,JED_ATZ_LF_LEGACY[GRP(Y)])</f>
        <v>351</v>
      </c>
      <c r="K7" s="279"/>
      <c r="L7" s="280"/>
      <c r="M7" s="282">
        <f>SUBTOTAL(109,JED_ATZ_LF_LEGACY[TO-DAY])</f>
        <v>0</v>
      </c>
      <c r="N7" s="282">
        <f>SUBTOTAL(109,JED_ATZ_LF_LEGACY[Y-DAY])</f>
        <v>19</v>
      </c>
      <c r="O7" s="282">
        <f>SUBTOTAL(109,JED_ATZ_LF_LEGACY[WEEKLY])</f>
        <v>155</v>
      </c>
      <c r="P7" s="283"/>
      <c r="Q7" s="279">
        <f>SUBTOTAL(109,JED_ATZ_LF_LEGACY[Y])</f>
        <v>0</v>
      </c>
      <c r="R7" s="279">
        <f>SUBTOTAL(109,JED_ATZ_LF_LEGACY[B])</f>
        <v>0</v>
      </c>
      <c r="S7" s="279">
        <f>SUBTOTAL(109,JED_ATZ_LF_LEGACY[M])</f>
        <v>0</v>
      </c>
      <c r="T7" s="279">
        <f>SUBTOTAL(109,JED_ATZ_LF_LEGACY[H])</f>
        <v>0</v>
      </c>
      <c r="U7" s="279">
        <f>SUBTOTAL(109,JED_ATZ_LF_LEGACY[Q])</f>
        <v>0</v>
      </c>
      <c r="V7" s="279">
        <f>SUBTOTAL(109,JED_ATZ_LF_LEGACY[K])</f>
        <v>0</v>
      </c>
      <c r="W7" s="279">
        <f>SUBTOTAL(109,JED_ATZ_LF_LEGACY[V])</f>
        <v>0</v>
      </c>
      <c r="X7" s="279">
        <f>SUBTOTAL(109,JED_ATZ_LF_LEGACY[L])</f>
        <v>0</v>
      </c>
      <c r="Y7" s="279">
        <f>SUBTOTAL(109,JED_ATZ_LF_LEGACY[G])</f>
        <v>0</v>
      </c>
      <c r="Z7" s="282">
        <f>SUBTOTAL(109,JED_ATZ_LF_LEGACY[S])</f>
        <v>0</v>
      </c>
      <c r="AA7" s="279">
        <f>SUBTOTAL(109,JED_ATZ_LF_LEGACY[W])</f>
        <v>0</v>
      </c>
      <c r="AB7" s="279">
        <f>SUBTOTAL(109,JED_ATZ_LF_LEGACY[T])</f>
        <v>0</v>
      </c>
      <c r="AC7" s="282">
        <f>SUBTOTAL(109,JED_ATZ_LF_LEGACY[X])</f>
        <v>0</v>
      </c>
      <c r="AD7" s="282">
        <f>SUBTOTAL(109,JED_ATZ_LF_LEGACY[U])</f>
        <v>0</v>
      </c>
      <c r="AE7" s="282">
        <f>SUBTOTAL(109,JED_ATZ_LF_LEGACY[O])</f>
        <v>0</v>
      </c>
      <c r="AF7" s="282">
        <f>SUBTOTAL(109,JED_ATZ_LF_LEGACY[I])</f>
        <v>0</v>
      </c>
      <c r="AG7" s="279">
        <f>SUBTOTAL(109,JED_ATZ_LF_LEGACY[E])</f>
        <v>0</v>
      </c>
      <c r="AH7" s="279">
        <f>SUBTOTAL(109,JED_ATZ_LF_LEGACY[A])</f>
        <v>0</v>
      </c>
      <c r="AI7" s="282">
        <f>SUBTOTAL(109,JED_ATZ_LF_LEGACY[P])</f>
        <v>0</v>
      </c>
      <c r="AJ7" s="279">
        <f>SUBTOTAL(103,JED_ATZ_LF_LEGACY[N])</f>
        <v>0</v>
      </c>
    </row>
  </sheetData>
  <pageMargins left="0.75" right="0.75" top="1" bottom="1" header="0.5" footer="0.5"/>
  <tableParts count="1">
    <tablePart r:id="rId1"/>
  </tableParts>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44"/>
  <sheetViews>
    <sheetView workbookViewId="0"/>
  </sheetViews>
  <sheetFormatPr defaultRowHeight="14.4" x14ac:dyDescent="0.3"/>
  <cols>
    <col min="1" max="1" width="11.21875" bestFit="1" customWidth="1"/>
    <col min="2" max="2" width="13.77734375" bestFit="1" customWidth="1"/>
    <col min="3" max="3" width="19.21875" bestFit="1" customWidth="1"/>
    <col min="4" max="4" width="12.77734375" bestFit="1" customWidth="1"/>
    <col min="5" max="5" width="18.33203125" bestFit="1" customWidth="1"/>
    <col min="6" max="6" width="32.109375" bestFit="1" customWidth="1"/>
    <col min="7" max="7" width="20" bestFit="1" customWidth="1"/>
    <col min="8" max="8" width="23.6640625" bestFit="1" customWidth="1"/>
    <col min="9" max="9" width="0" hidden="1" customWidth="1"/>
  </cols>
  <sheetData>
    <row r="1" spans="1:8" ht="18" x14ac:dyDescent="0.3">
      <c r="A1" s="57" t="s">
        <v>156</v>
      </c>
      <c r="B1" s="58" t="s">
        <v>8</v>
      </c>
      <c r="C1" s="58" t="s">
        <v>9</v>
      </c>
      <c r="D1" s="58" t="s">
        <v>157</v>
      </c>
      <c r="E1" s="58" t="s">
        <v>10</v>
      </c>
      <c r="F1" s="58" t="s">
        <v>11</v>
      </c>
      <c r="G1" s="58" t="s">
        <v>12</v>
      </c>
      <c r="H1" s="59" t="s">
        <v>13</v>
      </c>
    </row>
    <row r="2" spans="1:8" ht="19.8" customHeight="1" x14ac:dyDescent="0.3">
      <c r="A2" s="100" t="s">
        <v>158</v>
      </c>
      <c r="B2" s="101" t="s">
        <v>93</v>
      </c>
      <c r="C2" s="102" t="s">
        <v>544</v>
      </c>
      <c r="D2" s="101" t="s">
        <v>543</v>
      </c>
      <c r="E2" s="101" t="s">
        <v>570</v>
      </c>
      <c r="F2" s="101" t="s">
        <v>249</v>
      </c>
      <c r="G2" s="166">
        <v>9</v>
      </c>
      <c r="H2" s="167">
        <v>586</v>
      </c>
    </row>
    <row r="3" spans="1:8" ht="19.8" customHeight="1" x14ac:dyDescent="0.3">
      <c r="A3" s="96"/>
      <c r="B3" s="97"/>
      <c r="C3" s="97"/>
      <c r="D3" s="97"/>
      <c r="E3" s="97"/>
      <c r="F3" s="98" t="s">
        <v>542</v>
      </c>
      <c r="G3" s="97"/>
      <c r="H3" s="99"/>
    </row>
    <row r="4" spans="1:8" ht="19.8" customHeight="1" x14ac:dyDescent="0.3">
      <c r="A4" s="75">
        <v>45982</v>
      </c>
      <c r="B4" s="61" t="s">
        <v>36</v>
      </c>
      <c r="C4" s="62" t="s">
        <v>204</v>
      </c>
      <c r="D4" s="61" t="s">
        <v>203</v>
      </c>
      <c r="E4" s="76">
        <v>1.8888888888888891</v>
      </c>
      <c r="F4" s="61" t="s">
        <v>38</v>
      </c>
      <c r="G4" s="63">
        <v>5</v>
      </c>
      <c r="H4" s="64">
        <v>639</v>
      </c>
    </row>
    <row r="5" spans="1:8" ht="19.8" customHeight="1" x14ac:dyDescent="0.3">
      <c r="A5" s="75">
        <v>45982</v>
      </c>
      <c r="B5" s="61" t="s">
        <v>36</v>
      </c>
      <c r="C5" s="62" t="s">
        <v>208</v>
      </c>
      <c r="D5" s="61" t="s">
        <v>203</v>
      </c>
      <c r="E5" s="76">
        <v>1.302083333333333</v>
      </c>
      <c r="F5" s="61" t="s">
        <v>38</v>
      </c>
      <c r="G5" s="63">
        <v>10</v>
      </c>
      <c r="H5" s="64">
        <v>689</v>
      </c>
    </row>
    <row r="6" spans="1:8" ht="19.8" customHeight="1" x14ac:dyDescent="0.3">
      <c r="A6" s="75">
        <v>45982</v>
      </c>
      <c r="B6" s="61" t="s">
        <v>36</v>
      </c>
      <c r="C6" s="62" t="s">
        <v>212</v>
      </c>
      <c r="D6" s="61" t="s">
        <v>203</v>
      </c>
      <c r="E6" s="76">
        <v>1.1284722222222221</v>
      </c>
      <c r="F6" s="61" t="s">
        <v>38</v>
      </c>
      <c r="G6" s="63">
        <v>12</v>
      </c>
      <c r="H6" s="64">
        <v>689</v>
      </c>
    </row>
    <row r="7" spans="1:8" ht="19.8" customHeight="1" x14ac:dyDescent="0.3">
      <c r="A7" s="75">
        <v>45982</v>
      </c>
      <c r="B7" s="61" t="s">
        <v>36</v>
      </c>
      <c r="C7" s="62" t="s">
        <v>215</v>
      </c>
      <c r="D7" s="61" t="s">
        <v>203</v>
      </c>
      <c r="E7" s="76">
        <v>1.788194444444444</v>
      </c>
      <c r="F7" s="61" t="s">
        <v>38</v>
      </c>
      <c r="G7" s="63">
        <v>19</v>
      </c>
      <c r="H7" s="64">
        <v>689</v>
      </c>
    </row>
    <row r="8" spans="1:8" ht="19.8" customHeight="1" x14ac:dyDescent="0.3">
      <c r="A8" s="75">
        <v>45982</v>
      </c>
      <c r="B8" s="61" t="s">
        <v>26</v>
      </c>
      <c r="C8" s="62" t="s">
        <v>218</v>
      </c>
      <c r="D8" s="61" t="s">
        <v>203</v>
      </c>
      <c r="E8" s="76">
        <v>1.256944444444444</v>
      </c>
      <c r="F8" s="61" t="s">
        <v>28</v>
      </c>
      <c r="G8" s="63">
        <v>7</v>
      </c>
      <c r="H8" s="64">
        <v>719</v>
      </c>
    </row>
    <row r="9" spans="1:8" ht="19.8" customHeight="1" x14ac:dyDescent="0.3">
      <c r="A9" s="75">
        <v>45982</v>
      </c>
      <c r="B9" s="61" t="s">
        <v>26</v>
      </c>
      <c r="C9" s="62" t="s">
        <v>224</v>
      </c>
      <c r="D9" s="61" t="s">
        <v>203</v>
      </c>
      <c r="E9" s="76">
        <v>1.9027777777777779</v>
      </c>
      <c r="F9" s="61" t="s">
        <v>28</v>
      </c>
      <c r="G9" s="63">
        <v>9</v>
      </c>
      <c r="H9" s="64">
        <v>719</v>
      </c>
    </row>
    <row r="10" spans="1:8" ht="19.8" customHeight="1" x14ac:dyDescent="0.3">
      <c r="A10" s="75">
        <v>45982</v>
      </c>
      <c r="B10" s="61" t="s">
        <v>26</v>
      </c>
      <c r="C10" s="62" t="s">
        <v>226</v>
      </c>
      <c r="D10" s="61" t="s">
        <v>203</v>
      </c>
      <c r="E10" s="76">
        <v>1.645833333333333</v>
      </c>
      <c r="F10" s="61" t="s">
        <v>28</v>
      </c>
      <c r="G10" s="63">
        <v>3</v>
      </c>
      <c r="H10" s="64">
        <v>719</v>
      </c>
    </row>
    <row r="11" spans="1:8" ht="19.8" customHeight="1" x14ac:dyDescent="0.3">
      <c r="A11" s="75">
        <v>45982</v>
      </c>
      <c r="B11" s="61" t="s">
        <v>26</v>
      </c>
      <c r="C11" s="62" t="s">
        <v>227</v>
      </c>
      <c r="D11" s="61" t="s">
        <v>203</v>
      </c>
      <c r="E11" s="76">
        <v>1.854166666666667</v>
      </c>
      <c r="F11" s="61" t="s">
        <v>28</v>
      </c>
      <c r="G11" s="63">
        <v>8</v>
      </c>
      <c r="H11" s="64">
        <v>719</v>
      </c>
    </row>
    <row r="12" spans="1:8" ht="19.8" customHeight="1" x14ac:dyDescent="0.3">
      <c r="A12" s="75">
        <v>45982</v>
      </c>
      <c r="B12" s="61" t="s">
        <v>26</v>
      </c>
      <c r="C12" s="62" t="s">
        <v>230</v>
      </c>
      <c r="D12" s="61" t="s">
        <v>203</v>
      </c>
      <c r="E12" s="76">
        <v>1.395833333333333</v>
      </c>
      <c r="F12" s="61" t="s">
        <v>28</v>
      </c>
      <c r="G12" s="63">
        <v>5</v>
      </c>
      <c r="H12" s="64">
        <v>719</v>
      </c>
    </row>
    <row r="13" spans="1:8" ht="19.8" customHeight="1" x14ac:dyDescent="0.3">
      <c r="A13" s="104">
        <v>45982</v>
      </c>
      <c r="B13" s="67" t="s">
        <v>26</v>
      </c>
      <c r="C13" s="68" t="s">
        <v>232</v>
      </c>
      <c r="D13" s="67" t="s">
        <v>203</v>
      </c>
      <c r="E13" s="105">
        <v>1.7986111111111109</v>
      </c>
      <c r="F13" s="67" t="s">
        <v>28</v>
      </c>
      <c r="G13" s="69">
        <v>9</v>
      </c>
      <c r="H13" s="176">
        <v>719</v>
      </c>
    </row>
    <row r="14" spans="1:8" ht="19.8" customHeight="1" x14ac:dyDescent="0.3">
      <c r="A14" s="168">
        <v>45983</v>
      </c>
      <c r="B14" s="101" t="s">
        <v>93</v>
      </c>
      <c r="C14" s="102" t="s">
        <v>549</v>
      </c>
      <c r="D14" s="101" t="s">
        <v>543</v>
      </c>
      <c r="E14" s="169">
        <v>1.461805555555556</v>
      </c>
      <c r="F14" s="101" t="s">
        <v>249</v>
      </c>
      <c r="G14" s="166">
        <v>7</v>
      </c>
      <c r="H14" s="167">
        <v>526</v>
      </c>
    </row>
    <row r="15" spans="1:8" ht="19.8" customHeight="1" x14ac:dyDescent="0.3">
      <c r="A15" s="168">
        <v>45983</v>
      </c>
      <c r="B15" s="101" t="s">
        <v>93</v>
      </c>
      <c r="C15" s="102" t="s">
        <v>554</v>
      </c>
      <c r="D15" s="101" t="s">
        <v>543</v>
      </c>
      <c r="E15" s="169">
        <v>1.6875</v>
      </c>
      <c r="F15" s="101" t="s">
        <v>249</v>
      </c>
      <c r="G15" s="166">
        <v>2</v>
      </c>
      <c r="H15" s="167">
        <v>526</v>
      </c>
    </row>
    <row r="16" spans="1:8" ht="19.8" customHeight="1" x14ac:dyDescent="0.3">
      <c r="A16" s="75">
        <v>45983</v>
      </c>
      <c r="B16" s="61" t="s">
        <v>46</v>
      </c>
      <c r="C16" s="62" t="s">
        <v>558</v>
      </c>
      <c r="D16" s="61" t="s">
        <v>543</v>
      </c>
      <c r="E16" s="76">
        <v>1.461805555555556</v>
      </c>
      <c r="F16" s="61" t="s">
        <v>559</v>
      </c>
      <c r="G16" s="63">
        <v>4</v>
      </c>
      <c r="H16" s="64">
        <v>640</v>
      </c>
    </row>
    <row r="17" spans="1:8" ht="19.8" customHeight="1" x14ac:dyDescent="0.3">
      <c r="A17" s="96"/>
      <c r="B17" s="97"/>
      <c r="C17" s="97"/>
      <c r="D17" s="97"/>
      <c r="E17" s="97"/>
      <c r="F17" s="98" t="s">
        <v>542</v>
      </c>
      <c r="G17" s="97"/>
      <c r="H17" s="99"/>
    </row>
    <row r="18" spans="1:8" ht="19.8" customHeight="1" x14ac:dyDescent="0.3">
      <c r="A18" s="75">
        <v>45983</v>
      </c>
      <c r="B18" s="61" t="s">
        <v>36</v>
      </c>
      <c r="C18" s="62" t="s">
        <v>208</v>
      </c>
      <c r="D18" s="61" t="s">
        <v>203</v>
      </c>
      <c r="E18" s="76">
        <v>1.302083333333333</v>
      </c>
      <c r="F18" s="61" t="s">
        <v>38</v>
      </c>
      <c r="G18" s="63">
        <v>8</v>
      </c>
      <c r="H18" s="64">
        <v>639</v>
      </c>
    </row>
    <row r="19" spans="1:8" ht="19.8" customHeight="1" x14ac:dyDescent="0.3">
      <c r="A19" s="75">
        <v>45983</v>
      </c>
      <c r="B19" s="61" t="s">
        <v>36</v>
      </c>
      <c r="C19" s="62" t="s">
        <v>212</v>
      </c>
      <c r="D19" s="61" t="s">
        <v>203</v>
      </c>
      <c r="E19" s="76">
        <v>1.1284722222222221</v>
      </c>
      <c r="F19" s="61" t="s">
        <v>38</v>
      </c>
      <c r="G19" s="63">
        <v>17</v>
      </c>
      <c r="H19" s="64">
        <v>639</v>
      </c>
    </row>
    <row r="20" spans="1:8" ht="19.8" customHeight="1" x14ac:dyDescent="0.3">
      <c r="A20" s="75">
        <v>45983</v>
      </c>
      <c r="B20" s="61" t="s">
        <v>36</v>
      </c>
      <c r="C20" s="62" t="s">
        <v>204</v>
      </c>
      <c r="D20" s="61" t="s">
        <v>203</v>
      </c>
      <c r="E20" s="76">
        <v>1.8888888888888891</v>
      </c>
      <c r="F20" s="61" t="s">
        <v>38</v>
      </c>
      <c r="G20" s="63">
        <v>11</v>
      </c>
      <c r="H20" s="64">
        <v>639</v>
      </c>
    </row>
    <row r="21" spans="1:8" ht="19.8" customHeight="1" x14ac:dyDescent="0.3">
      <c r="A21" s="75">
        <v>45983</v>
      </c>
      <c r="B21" s="61" t="s">
        <v>26</v>
      </c>
      <c r="C21" s="62" t="s">
        <v>218</v>
      </c>
      <c r="D21" s="61" t="s">
        <v>203</v>
      </c>
      <c r="E21" s="76">
        <v>1.256944444444444</v>
      </c>
      <c r="F21" s="61" t="s">
        <v>28</v>
      </c>
      <c r="G21" s="63">
        <v>5</v>
      </c>
      <c r="H21" s="64">
        <v>669</v>
      </c>
    </row>
    <row r="22" spans="1:8" ht="19.8" customHeight="1" x14ac:dyDescent="0.3">
      <c r="A22" s="75">
        <v>45983</v>
      </c>
      <c r="B22" s="61" t="s">
        <v>26</v>
      </c>
      <c r="C22" s="62" t="s">
        <v>224</v>
      </c>
      <c r="D22" s="61" t="s">
        <v>203</v>
      </c>
      <c r="E22" s="76">
        <v>1.9027777777777779</v>
      </c>
      <c r="F22" s="61" t="s">
        <v>28</v>
      </c>
      <c r="G22" s="63">
        <v>9</v>
      </c>
      <c r="H22" s="64">
        <v>669</v>
      </c>
    </row>
    <row r="23" spans="1:8" ht="19.8" customHeight="1" x14ac:dyDescent="0.3">
      <c r="A23" s="75">
        <v>45983</v>
      </c>
      <c r="B23" s="61" t="s">
        <v>26</v>
      </c>
      <c r="C23" s="62" t="s">
        <v>226</v>
      </c>
      <c r="D23" s="61" t="s">
        <v>203</v>
      </c>
      <c r="E23" s="76">
        <v>1.6597222222222221</v>
      </c>
      <c r="F23" s="61" t="s">
        <v>28</v>
      </c>
      <c r="G23" s="63">
        <v>2</v>
      </c>
      <c r="H23" s="64">
        <v>669</v>
      </c>
    </row>
    <row r="24" spans="1:8" ht="19.8" customHeight="1" x14ac:dyDescent="0.3">
      <c r="A24" s="75">
        <v>45983</v>
      </c>
      <c r="B24" s="61" t="s">
        <v>26</v>
      </c>
      <c r="C24" s="62" t="s">
        <v>233</v>
      </c>
      <c r="D24" s="61" t="s">
        <v>203</v>
      </c>
      <c r="E24" s="76">
        <v>1.5173611111111109</v>
      </c>
      <c r="F24" s="61" t="s">
        <v>28</v>
      </c>
      <c r="G24" s="63">
        <v>2</v>
      </c>
      <c r="H24" s="64">
        <v>669</v>
      </c>
    </row>
    <row r="25" spans="1:8" ht="19.8" customHeight="1" x14ac:dyDescent="0.3">
      <c r="A25" s="75">
        <v>45983</v>
      </c>
      <c r="B25" s="61" t="s">
        <v>26</v>
      </c>
      <c r="C25" s="62" t="s">
        <v>227</v>
      </c>
      <c r="D25" s="61" t="s">
        <v>203</v>
      </c>
      <c r="E25" s="76">
        <v>1.854166666666667</v>
      </c>
      <c r="F25" s="61" t="s">
        <v>28</v>
      </c>
      <c r="G25" s="63">
        <v>5</v>
      </c>
      <c r="H25" s="64">
        <v>669</v>
      </c>
    </row>
    <row r="26" spans="1:8" ht="19.8" customHeight="1" x14ac:dyDescent="0.3">
      <c r="A26" s="75">
        <v>45983</v>
      </c>
      <c r="B26" s="61" t="s">
        <v>26</v>
      </c>
      <c r="C26" s="62" t="s">
        <v>230</v>
      </c>
      <c r="D26" s="61" t="s">
        <v>203</v>
      </c>
      <c r="E26" s="76">
        <v>1.395833333333333</v>
      </c>
      <c r="F26" s="61" t="s">
        <v>28</v>
      </c>
      <c r="G26" s="63">
        <v>8</v>
      </c>
      <c r="H26" s="64">
        <v>669</v>
      </c>
    </row>
    <row r="27" spans="1:8" ht="19.8" customHeight="1" x14ac:dyDescent="0.3">
      <c r="A27" s="104">
        <v>45983</v>
      </c>
      <c r="B27" s="67" t="s">
        <v>26</v>
      </c>
      <c r="C27" s="68" t="s">
        <v>232</v>
      </c>
      <c r="D27" s="67" t="s">
        <v>203</v>
      </c>
      <c r="E27" s="105">
        <v>1.7986111111111109</v>
      </c>
      <c r="F27" s="67" t="s">
        <v>28</v>
      </c>
      <c r="G27" s="69">
        <v>5</v>
      </c>
      <c r="H27" s="176">
        <v>669</v>
      </c>
    </row>
    <row r="28" spans="1:8" ht="19.8" customHeight="1" x14ac:dyDescent="0.3">
      <c r="A28" s="75">
        <v>45984</v>
      </c>
      <c r="B28" s="61" t="s">
        <v>36</v>
      </c>
      <c r="C28" s="62" t="s">
        <v>561</v>
      </c>
      <c r="D28" s="61" t="s">
        <v>543</v>
      </c>
      <c r="E28" s="76">
        <v>1.2847222222222221</v>
      </c>
      <c r="F28" s="61" t="s">
        <v>485</v>
      </c>
      <c r="G28" s="63">
        <v>2</v>
      </c>
      <c r="H28" s="64">
        <v>329</v>
      </c>
    </row>
    <row r="29" spans="1:8" ht="19.8" customHeight="1" x14ac:dyDescent="0.3">
      <c r="A29" s="75">
        <v>45984</v>
      </c>
      <c r="B29" s="61" t="s">
        <v>36</v>
      </c>
      <c r="C29" s="62" t="s">
        <v>561</v>
      </c>
      <c r="D29" s="61" t="s">
        <v>543</v>
      </c>
      <c r="E29" s="76">
        <v>1.2847222222222221</v>
      </c>
      <c r="F29" s="61" t="s">
        <v>467</v>
      </c>
      <c r="G29" s="63">
        <v>2</v>
      </c>
      <c r="H29" s="64">
        <v>388</v>
      </c>
    </row>
    <row r="30" spans="1:8" ht="19.8" customHeight="1" x14ac:dyDescent="0.3">
      <c r="A30" s="75">
        <v>45984</v>
      </c>
      <c r="B30" s="61" t="s">
        <v>36</v>
      </c>
      <c r="C30" s="62" t="s">
        <v>561</v>
      </c>
      <c r="D30" s="61" t="s">
        <v>543</v>
      </c>
      <c r="E30" s="76">
        <v>1.2847222222222221</v>
      </c>
      <c r="F30" s="61" t="s">
        <v>469</v>
      </c>
      <c r="G30" s="63">
        <v>2</v>
      </c>
      <c r="H30" s="64">
        <v>412</v>
      </c>
    </row>
    <row r="31" spans="1:8" ht="19.8" customHeight="1" x14ac:dyDescent="0.3">
      <c r="A31" s="168">
        <v>45984</v>
      </c>
      <c r="B31" s="101" t="s">
        <v>93</v>
      </c>
      <c r="C31" s="102" t="s">
        <v>554</v>
      </c>
      <c r="D31" s="101" t="s">
        <v>543</v>
      </c>
      <c r="E31" s="169">
        <v>1.850694444444444</v>
      </c>
      <c r="F31" s="101" t="s">
        <v>249</v>
      </c>
      <c r="G31" s="166">
        <v>7</v>
      </c>
      <c r="H31" s="167">
        <v>436</v>
      </c>
    </row>
    <row r="32" spans="1:8" ht="19.8" customHeight="1" x14ac:dyDescent="0.3">
      <c r="A32" s="168">
        <v>45984</v>
      </c>
      <c r="B32" s="101" t="s">
        <v>93</v>
      </c>
      <c r="C32" s="102" t="s">
        <v>544</v>
      </c>
      <c r="D32" s="101" t="s">
        <v>543</v>
      </c>
      <c r="E32" s="169">
        <v>1.7673611111111109</v>
      </c>
      <c r="F32" s="101" t="s">
        <v>249</v>
      </c>
      <c r="G32" s="166">
        <v>3</v>
      </c>
      <c r="H32" s="167">
        <v>436</v>
      </c>
    </row>
    <row r="33" spans="1:8" ht="19.8" customHeight="1" x14ac:dyDescent="0.3">
      <c r="A33" s="75">
        <v>45984</v>
      </c>
      <c r="B33" s="61" t="s">
        <v>36</v>
      </c>
      <c r="C33" s="62" t="s">
        <v>561</v>
      </c>
      <c r="D33" s="61" t="s">
        <v>543</v>
      </c>
      <c r="E33" s="76">
        <v>1.2847222222222221</v>
      </c>
      <c r="F33" s="61" t="s">
        <v>489</v>
      </c>
      <c r="G33" s="63">
        <v>2</v>
      </c>
      <c r="H33" s="64">
        <v>579</v>
      </c>
    </row>
    <row r="34" spans="1:8" ht="19.8" customHeight="1" x14ac:dyDescent="0.3">
      <c r="A34" s="96"/>
      <c r="B34" s="97"/>
      <c r="C34" s="97"/>
      <c r="D34" s="97"/>
      <c r="E34" s="97"/>
      <c r="F34" s="98" t="s">
        <v>542</v>
      </c>
      <c r="G34" s="97"/>
      <c r="H34" s="99"/>
    </row>
    <row r="35" spans="1:8" ht="19.8" customHeight="1" x14ac:dyDescent="0.3">
      <c r="A35" s="75">
        <v>45984</v>
      </c>
      <c r="B35" s="61" t="s">
        <v>36</v>
      </c>
      <c r="C35" s="62" t="s">
        <v>215</v>
      </c>
      <c r="D35" s="61" t="s">
        <v>203</v>
      </c>
      <c r="E35" s="76">
        <v>1.788194444444444</v>
      </c>
      <c r="F35" s="61" t="s">
        <v>340</v>
      </c>
      <c r="G35" s="63">
        <v>2</v>
      </c>
      <c r="H35" s="64">
        <v>539</v>
      </c>
    </row>
    <row r="36" spans="1:8" ht="19.8" customHeight="1" x14ac:dyDescent="0.3">
      <c r="A36" s="75">
        <v>45984</v>
      </c>
      <c r="B36" s="61" t="s">
        <v>36</v>
      </c>
      <c r="C36" s="62" t="s">
        <v>204</v>
      </c>
      <c r="D36" s="61" t="s">
        <v>203</v>
      </c>
      <c r="E36" s="76">
        <v>1.8888888888888891</v>
      </c>
      <c r="F36" s="61" t="s">
        <v>340</v>
      </c>
      <c r="G36" s="63">
        <v>7</v>
      </c>
      <c r="H36" s="64">
        <v>539</v>
      </c>
    </row>
    <row r="37" spans="1:8" ht="19.8" customHeight="1" x14ac:dyDescent="0.3">
      <c r="A37" s="75">
        <v>45984</v>
      </c>
      <c r="B37" s="61" t="s">
        <v>36</v>
      </c>
      <c r="C37" s="62" t="s">
        <v>208</v>
      </c>
      <c r="D37" s="61" t="s">
        <v>203</v>
      </c>
      <c r="E37" s="76">
        <v>1.302083333333333</v>
      </c>
      <c r="F37" s="61" t="s">
        <v>340</v>
      </c>
      <c r="G37" s="63">
        <v>3</v>
      </c>
      <c r="H37" s="64">
        <v>589</v>
      </c>
    </row>
    <row r="38" spans="1:8" ht="19.8" customHeight="1" x14ac:dyDescent="0.3">
      <c r="A38" s="75">
        <v>45984</v>
      </c>
      <c r="B38" s="61" t="s">
        <v>36</v>
      </c>
      <c r="C38" s="62" t="s">
        <v>212</v>
      </c>
      <c r="D38" s="61" t="s">
        <v>203</v>
      </c>
      <c r="E38" s="76">
        <v>1.1284722222222221</v>
      </c>
      <c r="F38" s="61" t="s">
        <v>340</v>
      </c>
      <c r="G38" s="63">
        <v>10</v>
      </c>
      <c r="H38" s="64">
        <v>589</v>
      </c>
    </row>
    <row r="39" spans="1:8" ht="19.8" customHeight="1" x14ac:dyDescent="0.3">
      <c r="A39" s="75">
        <v>45984</v>
      </c>
      <c r="B39" s="61" t="s">
        <v>26</v>
      </c>
      <c r="C39" s="62" t="s">
        <v>224</v>
      </c>
      <c r="D39" s="61" t="s">
        <v>203</v>
      </c>
      <c r="E39" s="76">
        <v>1.9027777777777779</v>
      </c>
      <c r="F39" s="61" t="s">
        <v>344</v>
      </c>
      <c r="G39" s="63">
        <v>9</v>
      </c>
      <c r="H39" s="64">
        <v>589</v>
      </c>
    </row>
    <row r="40" spans="1:8" ht="19.8" customHeight="1" x14ac:dyDescent="0.3">
      <c r="A40" s="75">
        <v>45984</v>
      </c>
      <c r="B40" s="61" t="s">
        <v>26</v>
      </c>
      <c r="C40" s="62" t="s">
        <v>226</v>
      </c>
      <c r="D40" s="61" t="s">
        <v>203</v>
      </c>
      <c r="E40" s="76">
        <v>1.645833333333333</v>
      </c>
      <c r="F40" s="61" t="s">
        <v>344</v>
      </c>
      <c r="G40" s="63">
        <v>2</v>
      </c>
      <c r="H40" s="64">
        <v>589</v>
      </c>
    </row>
    <row r="41" spans="1:8" ht="19.8" customHeight="1" x14ac:dyDescent="0.3">
      <c r="A41" s="75">
        <v>45984</v>
      </c>
      <c r="B41" s="61" t="s">
        <v>26</v>
      </c>
      <c r="C41" s="62" t="s">
        <v>227</v>
      </c>
      <c r="D41" s="61" t="s">
        <v>203</v>
      </c>
      <c r="E41" s="76">
        <v>1.854166666666667</v>
      </c>
      <c r="F41" s="61" t="s">
        <v>344</v>
      </c>
      <c r="G41" s="63">
        <v>9</v>
      </c>
      <c r="H41" s="64">
        <v>589</v>
      </c>
    </row>
    <row r="42" spans="1:8" ht="19.8" customHeight="1" x14ac:dyDescent="0.3">
      <c r="A42" s="75">
        <v>45984</v>
      </c>
      <c r="B42" s="61" t="s">
        <v>26</v>
      </c>
      <c r="C42" s="62" t="s">
        <v>345</v>
      </c>
      <c r="D42" s="61" t="s">
        <v>203</v>
      </c>
      <c r="E42" s="76">
        <v>1.302083333333333</v>
      </c>
      <c r="F42" s="61" t="s">
        <v>344</v>
      </c>
      <c r="G42" s="63">
        <v>2</v>
      </c>
      <c r="H42" s="64">
        <v>589</v>
      </c>
    </row>
    <row r="43" spans="1:8" ht="19.8" customHeight="1" x14ac:dyDescent="0.3">
      <c r="A43" s="75">
        <v>45984</v>
      </c>
      <c r="B43" s="61" t="s">
        <v>26</v>
      </c>
      <c r="C43" s="62" t="s">
        <v>232</v>
      </c>
      <c r="D43" s="61" t="s">
        <v>203</v>
      </c>
      <c r="E43" s="76">
        <v>1.7986111111111109</v>
      </c>
      <c r="F43" s="61" t="s">
        <v>344</v>
      </c>
      <c r="G43" s="63">
        <v>9</v>
      </c>
      <c r="H43" s="64">
        <v>589</v>
      </c>
    </row>
    <row r="44" spans="1:8" ht="19.8" customHeight="1" x14ac:dyDescent="0.3">
      <c r="A44" s="104">
        <v>45984</v>
      </c>
      <c r="B44" s="67" t="s">
        <v>243</v>
      </c>
      <c r="C44" s="68" t="s">
        <v>246</v>
      </c>
      <c r="D44" s="67" t="s">
        <v>203</v>
      </c>
      <c r="E44" s="105">
        <v>1.666666666666667</v>
      </c>
      <c r="F44" s="67" t="s">
        <v>245</v>
      </c>
      <c r="G44" s="69">
        <v>6</v>
      </c>
      <c r="H44" s="176">
        <v>599</v>
      </c>
    </row>
  </sheetData>
  <pageMargins left="0.75" right="0.75" top="1" bottom="1" header="0.5" footer="0.5"/>
  <legacyDrawing r:id="rId1"/>
  <tableParts count="1">
    <tablePart r:id="rId2"/>
  </tableParts>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H39"/>
  <sheetViews>
    <sheetView workbookViewId="0"/>
  </sheetViews>
  <sheetFormatPr defaultRowHeight="14.4" x14ac:dyDescent="0.3"/>
  <cols>
    <col min="1" max="1" width="11.21875" bestFit="1" customWidth="1"/>
    <col min="2" max="2" width="13.77734375" bestFit="1" customWidth="1"/>
    <col min="3" max="3" width="19.21875" bestFit="1" customWidth="1"/>
    <col min="4" max="4" width="12.77734375" bestFit="1" customWidth="1"/>
    <col min="5" max="5" width="18.33203125" bestFit="1" customWidth="1"/>
    <col min="6" max="6" width="32.109375" bestFit="1" customWidth="1"/>
    <col min="7" max="7" width="20" bestFit="1" customWidth="1"/>
    <col min="8" max="8" width="23.6640625" bestFit="1" customWidth="1"/>
    <col min="9" max="9" width="0" hidden="1" customWidth="1"/>
  </cols>
  <sheetData>
    <row r="1" spans="1:8" ht="18" x14ac:dyDescent="0.3">
      <c r="A1" s="57" t="s">
        <v>156</v>
      </c>
      <c r="B1" s="58" t="s">
        <v>8</v>
      </c>
      <c r="C1" s="58" t="s">
        <v>9</v>
      </c>
      <c r="D1" s="58" t="s">
        <v>157</v>
      </c>
      <c r="E1" s="58" t="s">
        <v>10</v>
      </c>
      <c r="F1" s="58" t="s">
        <v>11</v>
      </c>
      <c r="G1" s="58" t="s">
        <v>12</v>
      </c>
      <c r="H1" s="59" t="s">
        <v>13</v>
      </c>
    </row>
    <row r="2" spans="1:8" ht="19.8" customHeight="1" x14ac:dyDescent="0.3">
      <c r="A2" s="100" t="s">
        <v>158</v>
      </c>
      <c r="B2" s="101" t="s">
        <v>93</v>
      </c>
      <c r="C2" s="102" t="s">
        <v>544</v>
      </c>
      <c r="D2" s="101" t="s">
        <v>543</v>
      </c>
      <c r="E2" s="101" t="s">
        <v>570</v>
      </c>
      <c r="F2" s="101" t="s">
        <v>249</v>
      </c>
      <c r="G2" s="166">
        <v>9</v>
      </c>
      <c r="H2" s="167">
        <v>586</v>
      </c>
    </row>
    <row r="3" spans="1:8" ht="19.8" customHeight="1" x14ac:dyDescent="0.3">
      <c r="A3" s="96"/>
      <c r="B3" s="97"/>
      <c r="C3" s="97"/>
      <c r="D3" s="97"/>
      <c r="E3" s="97"/>
      <c r="F3" s="98" t="s">
        <v>542</v>
      </c>
      <c r="G3" s="97"/>
      <c r="H3" s="99"/>
    </row>
    <row r="4" spans="1:8" ht="19.8" customHeight="1" x14ac:dyDescent="0.3">
      <c r="A4" s="75">
        <v>45982</v>
      </c>
      <c r="B4" s="61" t="s">
        <v>36</v>
      </c>
      <c r="C4" s="62" t="s">
        <v>204</v>
      </c>
      <c r="D4" s="61" t="s">
        <v>203</v>
      </c>
      <c r="E4" s="76">
        <v>1.8888888888888891</v>
      </c>
      <c r="F4" s="61" t="s">
        <v>38</v>
      </c>
      <c r="G4" s="63">
        <v>5</v>
      </c>
      <c r="H4" s="64">
        <v>639</v>
      </c>
    </row>
    <row r="5" spans="1:8" ht="19.8" customHeight="1" x14ac:dyDescent="0.3">
      <c r="A5" s="75">
        <v>45982</v>
      </c>
      <c r="B5" s="61" t="s">
        <v>36</v>
      </c>
      <c r="C5" s="62" t="s">
        <v>208</v>
      </c>
      <c r="D5" s="61" t="s">
        <v>203</v>
      </c>
      <c r="E5" s="76">
        <v>1.302083333333333</v>
      </c>
      <c r="F5" s="61" t="s">
        <v>38</v>
      </c>
      <c r="G5" s="63">
        <v>10</v>
      </c>
      <c r="H5" s="64">
        <v>689</v>
      </c>
    </row>
    <row r="6" spans="1:8" ht="19.8" customHeight="1" x14ac:dyDescent="0.3">
      <c r="A6" s="75">
        <v>45982</v>
      </c>
      <c r="B6" s="61" t="s">
        <v>36</v>
      </c>
      <c r="C6" s="62" t="s">
        <v>212</v>
      </c>
      <c r="D6" s="61" t="s">
        <v>203</v>
      </c>
      <c r="E6" s="76">
        <v>1.1284722222222221</v>
      </c>
      <c r="F6" s="61" t="s">
        <v>38</v>
      </c>
      <c r="G6" s="63">
        <v>12</v>
      </c>
      <c r="H6" s="64">
        <v>689</v>
      </c>
    </row>
    <row r="7" spans="1:8" ht="19.8" customHeight="1" x14ac:dyDescent="0.3">
      <c r="A7" s="75">
        <v>45982</v>
      </c>
      <c r="B7" s="61" t="s">
        <v>36</v>
      </c>
      <c r="C7" s="62" t="s">
        <v>215</v>
      </c>
      <c r="D7" s="61" t="s">
        <v>203</v>
      </c>
      <c r="E7" s="76">
        <v>1.788194444444444</v>
      </c>
      <c r="F7" s="61" t="s">
        <v>38</v>
      </c>
      <c r="G7" s="63">
        <v>19</v>
      </c>
      <c r="H7" s="64">
        <v>689</v>
      </c>
    </row>
    <row r="8" spans="1:8" ht="19.8" customHeight="1" x14ac:dyDescent="0.3">
      <c r="A8" s="75">
        <v>45982</v>
      </c>
      <c r="B8" s="61" t="s">
        <v>26</v>
      </c>
      <c r="C8" s="62" t="s">
        <v>218</v>
      </c>
      <c r="D8" s="61" t="s">
        <v>203</v>
      </c>
      <c r="E8" s="76">
        <v>1.256944444444444</v>
      </c>
      <c r="F8" s="61" t="s">
        <v>28</v>
      </c>
      <c r="G8" s="63">
        <v>7</v>
      </c>
      <c r="H8" s="64">
        <v>719</v>
      </c>
    </row>
    <row r="9" spans="1:8" ht="19.8" customHeight="1" x14ac:dyDescent="0.3">
      <c r="A9" s="75">
        <v>45982</v>
      </c>
      <c r="B9" s="61" t="s">
        <v>26</v>
      </c>
      <c r="C9" s="62" t="s">
        <v>224</v>
      </c>
      <c r="D9" s="61" t="s">
        <v>203</v>
      </c>
      <c r="E9" s="76">
        <v>1.9027777777777779</v>
      </c>
      <c r="F9" s="61" t="s">
        <v>28</v>
      </c>
      <c r="G9" s="63">
        <v>9</v>
      </c>
      <c r="H9" s="64">
        <v>719</v>
      </c>
    </row>
    <row r="10" spans="1:8" ht="19.8" customHeight="1" x14ac:dyDescent="0.3">
      <c r="A10" s="75">
        <v>45982</v>
      </c>
      <c r="B10" s="61" t="s">
        <v>26</v>
      </c>
      <c r="C10" s="62" t="s">
        <v>226</v>
      </c>
      <c r="D10" s="61" t="s">
        <v>203</v>
      </c>
      <c r="E10" s="76">
        <v>1.645833333333333</v>
      </c>
      <c r="F10" s="61" t="s">
        <v>28</v>
      </c>
      <c r="G10" s="63">
        <v>3</v>
      </c>
      <c r="H10" s="64">
        <v>719</v>
      </c>
    </row>
    <row r="11" spans="1:8" ht="19.8" customHeight="1" x14ac:dyDescent="0.3">
      <c r="A11" s="75">
        <v>45982</v>
      </c>
      <c r="B11" s="61" t="s">
        <v>26</v>
      </c>
      <c r="C11" s="62" t="s">
        <v>227</v>
      </c>
      <c r="D11" s="61" t="s">
        <v>203</v>
      </c>
      <c r="E11" s="76">
        <v>1.854166666666667</v>
      </c>
      <c r="F11" s="61" t="s">
        <v>28</v>
      </c>
      <c r="G11" s="63">
        <v>8</v>
      </c>
      <c r="H11" s="64">
        <v>719</v>
      </c>
    </row>
    <row r="12" spans="1:8" ht="19.8" customHeight="1" x14ac:dyDescent="0.3">
      <c r="A12" s="75">
        <v>45982</v>
      </c>
      <c r="B12" s="61" t="s">
        <v>26</v>
      </c>
      <c r="C12" s="62" t="s">
        <v>230</v>
      </c>
      <c r="D12" s="61" t="s">
        <v>203</v>
      </c>
      <c r="E12" s="76">
        <v>1.395833333333333</v>
      </c>
      <c r="F12" s="61" t="s">
        <v>28</v>
      </c>
      <c r="G12" s="63">
        <v>5</v>
      </c>
      <c r="H12" s="64">
        <v>719</v>
      </c>
    </row>
    <row r="13" spans="1:8" ht="19.8" customHeight="1" x14ac:dyDescent="0.3">
      <c r="A13" s="104">
        <v>45982</v>
      </c>
      <c r="B13" s="67" t="s">
        <v>26</v>
      </c>
      <c r="C13" s="68" t="s">
        <v>232</v>
      </c>
      <c r="D13" s="67" t="s">
        <v>203</v>
      </c>
      <c r="E13" s="105">
        <v>1.7986111111111109</v>
      </c>
      <c r="F13" s="67" t="s">
        <v>28</v>
      </c>
      <c r="G13" s="69">
        <v>9</v>
      </c>
      <c r="H13" s="176">
        <v>719</v>
      </c>
    </row>
    <row r="14" spans="1:8" ht="19.8" customHeight="1" x14ac:dyDescent="0.3">
      <c r="A14" s="168">
        <v>45983</v>
      </c>
      <c r="B14" s="101" t="s">
        <v>93</v>
      </c>
      <c r="C14" s="102" t="s">
        <v>549</v>
      </c>
      <c r="D14" s="101" t="s">
        <v>543</v>
      </c>
      <c r="E14" s="169">
        <v>1.461805555555556</v>
      </c>
      <c r="F14" s="101" t="s">
        <v>249</v>
      </c>
      <c r="G14" s="166">
        <v>7</v>
      </c>
      <c r="H14" s="167">
        <v>526</v>
      </c>
    </row>
    <row r="15" spans="1:8" ht="19.8" customHeight="1" x14ac:dyDescent="0.3">
      <c r="A15" s="168">
        <v>45983</v>
      </c>
      <c r="B15" s="101" t="s">
        <v>93</v>
      </c>
      <c r="C15" s="102" t="s">
        <v>554</v>
      </c>
      <c r="D15" s="101" t="s">
        <v>543</v>
      </c>
      <c r="E15" s="169">
        <v>1.6875</v>
      </c>
      <c r="F15" s="101" t="s">
        <v>249</v>
      </c>
      <c r="G15" s="166">
        <v>2</v>
      </c>
      <c r="H15" s="167">
        <v>526</v>
      </c>
    </row>
    <row r="16" spans="1:8" ht="19.8" customHeight="1" x14ac:dyDescent="0.3">
      <c r="A16" s="96"/>
      <c r="B16" s="97"/>
      <c r="C16" s="97"/>
      <c r="D16" s="97"/>
      <c r="E16" s="97"/>
      <c r="F16" s="98" t="s">
        <v>542</v>
      </c>
      <c r="G16" s="97"/>
      <c r="H16" s="99"/>
    </row>
    <row r="17" spans="1:8" ht="19.8" customHeight="1" x14ac:dyDescent="0.3">
      <c r="A17" s="75">
        <v>45983</v>
      </c>
      <c r="B17" s="61" t="s">
        <v>36</v>
      </c>
      <c r="C17" s="62" t="s">
        <v>208</v>
      </c>
      <c r="D17" s="61" t="s">
        <v>203</v>
      </c>
      <c r="E17" s="76">
        <v>1.302083333333333</v>
      </c>
      <c r="F17" s="61" t="s">
        <v>38</v>
      </c>
      <c r="G17" s="63">
        <v>8</v>
      </c>
      <c r="H17" s="64">
        <v>639</v>
      </c>
    </row>
    <row r="18" spans="1:8" ht="19.8" customHeight="1" x14ac:dyDescent="0.3">
      <c r="A18" s="75">
        <v>45983</v>
      </c>
      <c r="B18" s="61" t="s">
        <v>36</v>
      </c>
      <c r="C18" s="62" t="s">
        <v>212</v>
      </c>
      <c r="D18" s="61" t="s">
        <v>203</v>
      </c>
      <c r="E18" s="76">
        <v>1.1284722222222221</v>
      </c>
      <c r="F18" s="61" t="s">
        <v>38</v>
      </c>
      <c r="G18" s="63">
        <v>17</v>
      </c>
      <c r="H18" s="64">
        <v>639</v>
      </c>
    </row>
    <row r="19" spans="1:8" ht="19.8" customHeight="1" x14ac:dyDescent="0.3">
      <c r="A19" s="75">
        <v>45983</v>
      </c>
      <c r="B19" s="61" t="s">
        <v>36</v>
      </c>
      <c r="C19" s="62" t="s">
        <v>204</v>
      </c>
      <c r="D19" s="61" t="s">
        <v>203</v>
      </c>
      <c r="E19" s="76">
        <v>1.8888888888888891</v>
      </c>
      <c r="F19" s="61" t="s">
        <v>38</v>
      </c>
      <c r="G19" s="63">
        <v>11</v>
      </c>
      <c r="H19" s="64">
        <v>639</v>
      </c>
    </row>
    <row r="20" spans="1:8" ht="19.8" customHeight="1" x14ac:dyDescent="0.3">
      <c r="A20" s="75">
        <v>45983</v>
      </c>
      <c r="B20" s="61" t="s">
        <v>26</v>
      </c>
      <c r="C20" s="62" t="s">
        <v>218</v>
      </c>
      <c r="D20" s="61" t="s">
        <v>203</v>
      </c>
      <c r="E20" s="76">
        <v>1.256944444444444</v>
      </c>
      <c r="F20" s="61" t="s">
        <v>28</v>
      </c>
      <c r="G20" s="63">
        <v>5</v>
      </c>
      <c r="H20" s="64">
        <v>669</v>
      </c>
    </row>
    <row r="21" spans="1:8" ht="19.8" customHeight="1" x14ac:dyDescent="0.3">
      <c r="A21" s="75">
        <v>45983</v>
      </c>
      <c r="B21" s="61" t="s">
        <v>26</v>
      </c>
      <c r="C21" s="62" t="s">
        <v>224</v>
      </c>
      <c r="D21" s="61" t="s">
        <v>203</v>
      </c>
      <c r="E21" s="76">
        <v>1.9027777777777779</v>
      </c>
      <c r="F21" s="61" t="s">
        <v>28</v>
      </c>
      <c r="G21" s="63">
        <v>9</v>
      </c>
      <c r="H21" s="64">
        <v>669</v>
      </c>
    </row>
    <row r="22" spans="1:8" ht="19.8" customHeight="1" x14ac:dyDescent="0.3">
      <c r="A22" s="75">
        <v>45983</v>
      </c>
      <c r="B22" s="61" t="s">
        <v>26</v>
      </c>
      <c r="C22" s="62" t="s">
        <v>226</v>
      </c>
      <c r="D22" s="61" t="s">
        <v>203</v>
      </c>
      <c r="E22" s="76">
        <v>1.6597222222222221</v>
      </c>
      <c r="F22" s="61" t="s">
        <v>28</v>
      </c>
      <c r="G22" s="63">
        <v>2</v>
      </c>
      <c r="H22" s="64">
        <v>669</v>
      </c>
    </row>
    <row r="23" spans="1:8" ht="19.8" customHeight="1" x14ac:dyDescent="0.3">
      <c r="A23" s="75">
        <v>45983</v>
      </c>
      <c r="B23" s="61" t="s">
        <v>26</v>
      </c>
      <c r="C23" s="62" t="s">
        <v>233</v>
      </c>
      <c r="D23" s="61" t="s">
        <v>203</v>
      </c>
      <c r="E23" s="76">
        <v>1.5173611111111109</v>
      </c>
      <c r="F23" s="61" t="s">
        <v>28</v>
      </c>
      <c r="G23" s="63">
        <v>2</v>
      </c>
      <c r="H23" s="64">
        <v>669</v>
      </c>
    </row>
    <row r="24" spans="1:8" ht="19.8" customHeight="1" x14ac:dyDescent="0.3">
      <c r="A24" s="75">
        <v>45983</v>
      </c>
      <c r="B24" s="61" t="s">
        <v>26</v>
      </c>
      <c r="C24" s="62" t="s">
        <v>227</v>
      </c>
      <c r="D24" s="61" t="s">
        <v>203</v>
      </c>
      <c r="E24" s="76">
        <v>1.854166666666667</v>
      </c>
      <c r="F24" s="61" t="s">
        <v>28</v>
      </c>
      <c r="G24" s="63">
        <v>5</v>
      </c>
      <c r="H24" s="64">
        <v>669</v>
      </c>
    </row>
    <row r="25" spans="1:8" ht="19.8" customHeight="1" x14ac:dyDescent="0.3">
      <c r="A25" s="75">
        <v>45983</v>
      </c>
      <c r="B25" s="61" t="s">
        <v>26</v>
      </c>
      <c r="C25" s="62" t="s">
        <v>230</v>
      </c>
      <c r="D25" s="61" t="s">
        <v>203</v>
      </c>
      <c r="E25" s="76">
        <v>1.395833333333333</v>
      </c>
      <c r="F25" s="61" t="s">
        <v>28</v>
      </c>
      <c r="G25" s="63">
        <v>8</v>
      </c>
      <c r="H25" s="64">
        <v>669</v>
      </c>
    </row>
    <row r="26" spans="1:8" ht="19.8" customHeight="1" x14ac:dyDescent="0.3">
      <c r="A26" s="104">
        <v>45983</v>
      </c>
      <c r="B26" s="67" t="s">
        <v>26</v>
      </c>
      <c r="C26" s="68" t="s">
        <v>232</v>
      </c>
      <c r="D26" s="67" t="s">
        <v>203</v>
      </c>
      <c r="E26" s="105">
        <v>1.7986111111111109</v>
      </c>
      <c r="F26" s="67" t="s">
        <v>28</v>
      </c>
      <c r="G26" s="69">
        <v>5</v>
      </c>
      <c r="H26" s="176">
        <v>669</v>
      </c>
    </row>
    <row r="27" spans="1:8" ht="19.8" customHeight="1" x14ac:dyDescent="0.3">
      <c r="A27" s="168">
        <v>45984</v>
      </c>
      <c r="B27" s="101" t="s">
        <v>93</v>
      </c>
      <c r="C27" s="102" t="s">
        <v>554</v>
      </c>
      <c r="D27" s="101" t="s">
        <v>543</v>
      </c>
      <c r="E27" s="169">
        <v>1.850694444444444</v>
      </c>
      <c r="F27" s="101" t="s">
        <v>249</v>
      </c>
      <c r="G27" s="166">
        <v>7</v>
      </c>
      <c r="H27" s="167">
        <v>436</v>
      </c>
    </row>
    <row r="28" spans="1:8" ht="19.8" customHeight="1" x14ac:dyDescent="0.3">
      <c r="A28" s="168">
        <v>45984</v>
      </c>
      <c r="B28" s="101" t="s">
        <v>93</v>
      </c>
      <c r="C28" s="102" t="s">
        <v>544</v>
      </c>
      <c r="D28" s="101" t="s">
        <v>543</v>
      </c>
      <c r="E28" s="169">
        <v>1.7673611111111109</v>
      </c>
      <c r="F28" s="101" t="s">
        <v>249</v>
      </c>
      <c r="G28" s="166">
        <v>3</v>
      </c>
      <c r="H28" s="167">
        <v>436</v>
      </c>
    </row>
    <row r="29" spans="1:8" ht="19.8" customHeight="1" x14ac:dyDescent="0.3">
      <c r="A29" s="96"/>
      <c r="B29" s="97"/>
      <c r="C29" s="97"/>
      <c r="D29" s="97"/>
      <c r="E29" s="97"/>
      <c r="F29" s="98" t="s">
        <v>542</v>
      </c>
      <c r="G29" s="97"/>
      <c r="H29" s="99"/>
    </row>
    <row r="30" spans="1:8" ht="19.8" customHeight="1" x14ac:dyDescent="0.3">
      <c r="A30" s="75">
        <v>45984</v>
      </c>
      <c r="B30" s="61" t="s">
        <v>36</v>
      </c>
      <c r="C30" s="62" t="s">
        <v>215</v>
      </c>
      <c r="D30" s="61" t="s">
        <v>203</v>
      </c>
      <c r="E30" s="76">
        <v>1.788194444444444</v>
      </c>
      <c r="F30" s="61" t="s">
        <v>340</v>
      </c>
      <c r="G30" s="63">
        <v>2</v>
      </c>
      <c r="H30" s="64">
        <v>539</v>
      </c>
    </row>
    <row r="31" spans="1:8" ht="19.8" customHeight="1" x14ac:dyDescent="0.3">
      <c r="A31" s="75">
        <v>45984</v>
      </c>
      <c r="B31" s="61" t="s">
        <v>36</v>
      </c>
      <c r="C31" s="62" t="s">
        <v>204</v>
      </c>
      <c r="D31" s="61" t="s">
        <v>203</v>
      </c>
      <c r="E31" s="76">
        <v>1.8888888888888891</v>
      </c>
      <c r="F31" s="61" t="s">
        <v>340</v>
      </c>
      <c r="G31" s="63">
        <v>7</v>
      </c>
      <c r="H31" s="64">
        <v>539</v>
      </c>
    </row>
    <row r="32" spans="1:8" ht="19.8" customHeight="1" x14ac:dyDescent="0.3">
      <c r="A32" s="75">
        <v>45984</v>
      </c>
      <c r="B32" s="61" t="s">
        <v>36</v>
      </c>
      <c r="C32" s="62" t="s">
        <v>208</v>
      </c>
      <c r="D32" s="61" t="s">
        <v>203</v>
      </c>
      <c r="E32" s="76">
        <v>1.302083333333333</v>
      </c>
      <c r="F32" s="61" t="s">
        <v>340</v>
      </c>
      <c r="G32" s="63">
        <v>3</v>
      </c>
      <c r="H32" s="64">
        <v>589</v>
      </c>
    </row>
    <row r="33" spans="1:8" ht="19.8" customHeight="1" x14ac:dyDescent="0.3">
      <c r="A33" s="75">
        <v>45984</v>
      </c>
      <c r="B33" s="61" t="s">
        <v>36</v>
      </c>
      <c r="C33" s="62" t="s">
        <v>212</v>
      </c>
      <c r="D33" s="61" t="s">
        <v>203</v>
      </c>
      <c r="E33" s="76">
        <v>1.1284722222222221</v>
      </c>
      <c r="F33" s="61" t="s">
        <v>340</v>
      </c>
      <c r="G33" s="63">
        <v>10</v>
      </c>
      <c r="H33" s="64">
        <v>589</v>
      </c>
    </row>
    <row r="34" spans="1:8" ht="19.8" customHeight="1" x14ac:dyDescent="0.3">
      <c r="A34" s="75">
        <v>45984</v>
      </c>
      <c r="B34" s="61" t="s">
        <v>26</v>
      </c>
      <c r="C34" s="62" t="s">
        <v>224</v>
      </c>
      <c r="D34" s="61" t="s">
        <v>203</v>
      </c>
      <c r="E34" s="76">
        <v>1.9027777777777779</v>
      </c>
      <c r="F34" s="61" t="s">
        <v>344</v>
      </c>
      <c r="G34" s="63">
        <v>9</v>
      </c>
      <c r="H34" s="64">
        <v>589</v>
      </c>
    </row>
    <row r="35" spans="1:8" ht="19.8" customHeight="1" x14ac:dyDescent="0.3">
      <c r="A35" s="75">
        <v>45984</v>
      </c>
      <c r="B35" s="61" t="s">
        <v>26</v>
      </c>
      <c r="C35" s="62" t="s">
        <v>226</v>
      </c>
      <c r="D35" s="61" t="s">
        <v>203</v>
      </c>
      <c r="E35" s="76">
        <v>1.645833333333333</v>
      </c>
      <c r="F35" s="61" t="s">
        <v>344</v>
      </c>
      <c r="G35" s="63">
        <v>2</v>
      </c>
      <c r="H35" s="64">
        <v>589</v>
      </c>
    </row>
    <row r="36" spans="1:8" ht="19.8" customHeight="1" x14ac:dyDescent="0.3">
      <c r="A36" s="75">
        <v>45984</v>
      </c>
      <c r="B36" s="61" t="s">
        <v>26</v>
      </c>
      <c r="C36" s="62" t="s">
        <v>227</v>
      </c>
      <c r="D36" s="61" t="s">
        <v>203</v>
      </c>
      <c r="E36" s="76">
        <v>1.854166666666667</v>
      </c>
      <c r="F36" s="61" t="s">
        <v>344</v>
      </c>
      <c r="G36" s="63">
        <v>9</v>
      </c>
      <c r="H36" s="64">
        <v>589</v>
      </c>
    </row>
    <row r="37" spans="1:8" ht="19.8" customHeight="1" x14ac:dyDescent="0.3">
      <c r="A37" s="75">
        <v>45984</v>
      </c>
      <c r="B37" s="61" t="s">
        <v>26</v>
      </c>
      <c r="C37" s="62" t="s">
        <v>345</v>
      </c>
      <c r="D37" s="61" t="s">
        <v>203</v>
      </c>
      <c r="E37" s="76">
        <v>1.302083333333333</v>
      </c>
      <c r="F37" s="61" t="s">
        <v>344</v>
      </c>
      <c r="G37" s="63">
        <v>2</v>
      </c>
      <c r="H37" s="64">
        <v>589</v>
      </c>
    </row>
    <row r="38" spans="1:8" ht="19.8" customHeight="1" x14ac:dyDescent="0.3">
      <c r="A38" s="75">
        <v>45984</v>
      </c>
      <c r="B38" s="61" t="s">
        <v>26</v>
      </c>
      <c r="C38" s="62" t="s">
        <v>232</v>
      </c>
      <c r="D38" s="61" t="s">
        <v>203</v>
      </c>
      <c r="E38" s="76">
        <v>1.7986111111111109</v>
      </c>
      <c r="F38" s="61" t="s">
        <v>344</v>
      </c>
      <c r="G38" s="63">
        <v>9</v>
      </c>
      <c r="H38" s="64">
        <v>589</v>
      </c>
    </row>
    <row r="39" spans="1:8" ht="19.8" customHeight="1" x14ac:dyDescent="0.3">
      <c r="A39" s="104">
        <v>45984</v>
      </c>
      <c r="B39" s="67" t="s">
        <v>243</v>
      </c>
      <c r="C39" s="68" t="s">
        <v>246</v>
      </c>
      <c r="D39" s="67" t="s">
        <v>203</v>
      </c>
      <c r="E39" s="105">
        <v>1.666666666666667</v>
      </c>
      <c r="F39" s="67" t="s">
        <v>245</v>
      </c>
      <c r="G39" s="69">
        <v>6</v>
      </c>
      <c r="H39" s="176">
        <v>599</v>
      </c>
    </row>
  </sheetData>
  <pageMargins left="0.75" right="0.75" top="1" bottom="1" header="0.5" footer="0.5"/>
  <legacyDrawing r:id="rId1"/>
  <tableParts count="1">
    <tablePart r:id="rId2"/>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CN5"/>
  <sheetViews>
    <sheetView workbookViewId="0"/>
  </sheetViews>
  <sheetFormatPr defaultRowHeight="14.4" x14ac:dyDescent="0.3"/>
  <cols>
    <col min="6" max="6" width="16.5546875" bestFit="1" customWidth="1"/>
    <col min="7" max="7" width="13.5546875" bestFit="1" customWidth="1"/>
    <col min="13" max="13" width="7.77734375" bestFit="1" customWidth="1"/>
  </cols>
  <sheetData>
    <row r="1" spans="1:92" ht="28.8" customHeight="1" x14ac:dyDescent="0.3">
      <c r="A1" s="260" t="s">
        <v>0</v>
      </c>
      <c r="B1" s="253"/>
      <c r="C1" s="253"/>
      <c r="D1" s="253"/>
      <c r="E1" s="253"/>
      <c r="F1" s="1" t="s">
        <v>590</v>
      </c>
      <c r="G1" s="2" t="s">
        <v>2</v>
      </c>
      <c r="H1" s="259">
        <v>45982</v>
      </c>
      <c r="I1" s="253"/>
      <c r="J1" s="253"/>
      <c r="K1" s="253"/>
      <c r="L1" s="253"/>
      <c r="M1" s="1" t="s">
        <v>3</v>
      </c>
      <c r="N1" s="266">
        <v>45984</v>
      </c>
      <c r="O1" s="253"/>
      <c r="P1" s="253"/>
      <c r="Q1" s="253"/>
      <c r="R1" s="253"/>
      <c r="CA1" s="3"/>
      <c r="CB1" s="3"/>
      <c r="CC1" s="3"/>
      <c r="CD1" s="3"/>
      <c r="CE1" s="3"/>
      <c r="CF1" s="3"/>
      <c r="CG1" s="3"/>
      <c r="CH1" s="3"/>
      <c r="CI1" s="3"/>
      <c r="CJ1" s="3"/>
      <c r="CK1" s="3"/>
      <c r="CL1" s="3"/>
      <c r="CM1" s="3"/>
      <c r="CN1" s="3"/>
    </row>
    <row r="2" spans="1:92" ht="23.4" customHeight="1" x14ac:dyDescent="0.3">
      <c r="A2" s="252" t="s">
        <v>4</v>
      </c>
      <c r="B2" s="253"/>
      <c r="C2" s="253"/>
      <c r="D2" s="253"/>
      <c r="E2" s="253"/>
      <c r="F2" s="253"/>
      <c r="G2" s="261">
        <v>45981.017783264491</v>
      </c>
      <c r="H2" s="253"/>
      <c r="I2" s="253"/>
      <c r="J2" s="253"/>
      <c r="K2" s="262">
        <v>45981.017783265073</v>
      </c>
      <c r="L2" s="253"/>
      <c r="M2" s="253"/>
      <c r="N2" s="253"/>
      <c r="O2" s="253"/>
      <c r="P2" s="253"/>
      <c r="Q2" s="253"/>
      <c r="R2" s="253"/>
      <c r="CA2" s="3"/>
      <c r="CB2" s="3"/>
      <c r="CC2" s="3"/>
      <c r="CD2" s="3"/>
      <c r="CE2" s="3"/>
      <c r="CF2" s="3"/>
      <c r="CG2" s="3"/>
      <c r="CH2" s="3"/>
      <c r="CI2" s="3"/>
      <c r="CJ2" s="3"/>
      <c r="CK2" s="3"/>
      <c r="CL2" s="3"/>
      <c r="CM2" s="3"/>
      <c r="CN2" s="3"/>
    </row>
    <row r="3" spans="1:92" ht="24" customHeight="1" x14ac:dyDescent="0.3">
      <c r="A3" s="254" t="s">
        <v>5</v>
      </c>
      <c r="B3" s="253"/>
      <c r="C3" s="253"/>
      <c r="D3" s="253"/>
      <c r="E3" s="253"/>
      <c r="F3" s="253"/>
      <c r="G3" s="253"/>
      <c r="H3" s="253"/>
      <c r="I3" s="253"/>
      <c r="J3" s="253"/>
      <c r="K3" s="253"/>
      <c r="L3" s="253"/>
      <c r="M3" s="253"/>
      <c r="N3" s="253"/>
      <c r="O3" s="253"/>
      <c r="P3" s="253"/>
      <c r="Q3" s="253"/>
      <c r="R3" s="253"/>
      <c r="CA3" s="3"/>
      <c r="CB3" s="3"/>
      <c r="CC3" s="3"/>
      <c r="CD3" s="3"/>
      <c r="CE3" s="3"/>
      <c r="CF3" s="3"/>
      <c r="CG3" s="3"/>
      <c r="CH3" s="3"/>
      <c r="CI3" s="3"/>
      <c r="CJ3" s="3"/>
      <c r="CK3" s="3"/>
      <c r="CL3" s="3"/>
      <c r="CM3" s="3"/>
      <c r="CN3" s="3"/>
    </row>
    <row r="4" spans="1:92" ht="21.6" customHeight="1" x14ac:dyDescent="0.5">
      <c r="A4" s="189"/>
      <c r="B4" s="189"/>
      <c r="C4" s="189"/>
      <c r="D4" s="189"/>
      <c r="E4" s="189"/>
      <c r="F4" s="189"/>
      <c r="G4" s="189"/>
      <c r="H4" s="190"/>
      <c r="I4" s="191"/>
      <c r="J4" s="191"/>
      <c r="K4" s="191"/>
      <c r="L4" s="191"/>
      <c r="M4" s="191"/>
      <c r="N4" s="191"/>
      <c r="O4" s="191"/>
      <c r="P4" s="191"/>
      <c r="Q4" s="191"/>
      <c r="R4" s="191"/>
      <c r="CA4" s="3"/>
      <c r="CB4" s="3"/>
      <c r="CC4" s="3"/>
      <c r="CD4" s="3"/>
      <c r="CE4" s="3"/>
      <c r="CF4" s="3"/>
      <c r="CG4" s="3"/>
      <c r="CH4" s="3"/>
      <c r="CI4" s="3"/>
      <c r="CJ4" s="3"/>
      <c r="CK4" s="3"/>
      <c r="CL4" s="3"/>
      <c r="CM4" s="3"/>
      <c r="CN4" s="3"/>
    </row>
    <row r="5" spans="1:92" ht="18.600000000000001" customHeight="1" x14ac:dyDescent="0.3">
      <c r="A5" s="191"/>
      <c r="B5" s="191"/>
      <c r="C5" s="191"/>
      <c r="D5" s="191"/>
      <c r="E5" s="191"/>
      <c r="F5" s="191"/>
      <c r="G5" s="191"/>
      <c r="H5" s="191"/>
      <c r="I5" s="191"/>
      <c r="J5" s="191"/>
      <c r="K5" s="191"/>
      <c r="L5" s="191"/>
      <c r="M5" s="191"/>
      <c r="N5" s="191"/>
      <c r="O5" s="191"/>
      <c r="P5" s="191"/>
      <c r="Q5" s="191"/>
      <c r="R5" s="191"/>
      <c r="CA5" s="3"/>
      <c r="CB5" s="3"/>
      <c r="CC5" s="3"/>
      <c r="CD5" s="3"/>
      <c r="CE5" s="3"/>
      <c r="CF5" s="3"/>
      <c r="CG5" s="3"/>
      <c r="CH5" s="3"/>
      <c r="CI5" s="3"/>
      <c r="CJ5" s="3"/>
      <c r="CK5" s="3"/>
      <c r="CL5" s="3"/>
      <c r="CM5" s="3"/>
      <c r="CN5" s="3"/>
    </row>
  </sheetData>
  <mergeCells count="7">
    <mergeCell ref="A2:F2"/>
    <mergeCell ref="A3:R3"/>
    <mergeCell ref="H1:L1"/>
    <mergeCell ref="A1:E1"/>
    <mergeCell ref="G2:J2"/>
    <mergeCell ref="K2:R2"/>
    <mergeCell ref="N1:R1"/>
  </mergeCell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J1"/>
  <sheetViews>
    <sheetView workbookViewId="0"/>
  </sheetViews>
  <sheetFormatPr defaultRowHeight="15.6" outlineLevelCol="1" x14ac:dyDescent="0.3"/>
  <cols>
    <col min="1" max="1" width="5.33203125" style="271" bestFit="1" customWidth="1"/>
    <col min="2" max="2" width="6.77734375" style="271" bestFit="1" customWidth="1"/>
    <col min="3" max="3" width="4" style="271" bestFit="1" customWidth="1"/>
    <col min="4" max="4" width="5.44140625" style="271" bestFit="1" customWidth="1"/>
    <col min="5" max="5" width="8.33203125" style="271" bestFit="1" customWidth="1"/>
    <col min="6" max="7" width="5.21875" style="271" bestFit="1" customWidth="1"/>
    <col min="8" max="8" width="5.33203125" style="271" bestFit="1" customWidth="1"/>
    <col min="9" max="10" width="8" style="271" bestFit="1" customWidth="1"/>
    <col min="11" max="11" width="7.33203125" style="271" bestFit="1" customWidth="1"/>
    <col min="12" max="12" width="10.109375" style="271" bestFit="1" customWidth="1"/>
    <col min="13" max="13" width="8.77734375" style="271" bestFit="1" customWidth="1" outlineLevel="1"/>
    <col min="14" max="14" width="7.33203125" style="271" bestFit="1" customWidth="1" outlineLevel="1"/>
    <col min="15" max="15" width="9.109375" style="271" bestFit="1" customWidth="1" outlineLevel="1"/>
    <col min="16" max="16" width="15.33203125" style="271" bestFit="1" customWidth="1"/>
    <col min="17" max="17" width="2.77734375" style="271" bestFit="1" customWidth="1"/>
    <col min="18" max="18" width="2.88671875" style="271" bestFit="1" customWidth="1"/>
    <col min="19" max="19" width="3.5546875" style="271" bestFit="1" customWidth="1"/>
    <col min="20" max="20" width="3.109375" style="271" bestFit="1" customWidth="1"/>
    <col min="21" max="21" width="3.21875" style="271" bestFit="1" customWidth="1"/>
    <col min="22" max="22" width="2.88671875" style="271" bestFit="1" customWidth="1"/>
    <col min="23" max="23" width="3" style="271" bestFit="1" customWidth="1"/>
    <col min="24" max="24" width="2.5546875" style="271" bestFit="1" customWidth="1"/>
    <col min="25" max="25" width="3.109375" style="271" bestFit="1" customWidth="1"/>
    <col min="26" max="26" width="2.6640625" style="271" bestFit="1" customWidth="1"/>
    <col min="27" max="27" width="3.6640625" style="271" bestFit="1" customWidth="1"/>
    <col min="28" max="28" width="2.77734375" style="271" bestFit="1" customWidth="1"/>
    <col min="29" max="29" width="2.88671875" style="271" bestFit="1" customWidth="1"/>
    <col min="30" max="31" width="3.109375" style="271" bestFit="1" customWidth="1"/>
    <col min="32" max="32" width="2.21875" style="271" bestFit="1" customWidth="1"/>
    <col min="33" max="33" width="2.77734375" style="271" bestFit="1" customWidth="1"/>
    <col min="34" max="34" width="3" style="271" bestFit="1" customWidth="1"/>
    <col min="35" max="35" width="2.88671875" style="271" bestFit="1" customWidth="1"/>
    <col min="36" max="36" width="3.109375" style="271" bestFit="1" customWidth="1"/>
    <col min="37" max="16384" width="8.88671875" style="271"/>
  </cols>
  <sheetData>
    <row r="1" spans="1:36" x14ac:dyDescent="0.3">
      <c r="A1" s="270" t="s">
        <v>104</v>
      </c>
      <c r="B1" s="270" t="s">
        <v>105</v>
      </c>
      <c r="C1" s="270" t="s">
        <v>106</v>
      </c>
      <c r="D1" s="270" t="s">
        <v>23</v>
      </c>
      <c r="E1" s="270" t="s">
        <v>107</v>
      </c>
      <c r="F1" s="270" t="s">
        <v>108</v>
      </c>
      <c r="G1" s="270" t="s">
        <v>16</v>
      </c>
      <c r="H1" s="270" t="s">
        <v>109</v>
      </c>
      <c r="I1" s="270" t="s">
        <v>110</v>
      </c>
      <c r="J1" s="270" t="s">
        <v>111</v>
      </c>
      <c r="K1" s="270" t="s">
        <v>112</v>
      </c>
      <c r="L1" s="270" t="s">
        <v>18</v>
      </c>
      <c r="M1" s="270" t="s">
        <v>20</v>
      </c>
      <c r="N1" s="270" t="s">
        <v>21</v>
      </c>
      <c r="O1" s="270" t="s">
        <v>19</v>
      </c>
      <c r="P1" s="270" t="s">
        <v>22</v>
      </c>
      <c r="Q1" s="270" t="s">
        <v>113</v>
      </c>
      <c r="R1" s="270" t="s">
        <v>114</v>
      </c>
      <c r="S1" s="270" t="s">
        <v>115</v>
      </c>
      <c r="T1" s="270" t="s">
        <v>116</v>
      </c>
      <c r="U1" s="270" t="s">
        <v>117</v>
      </c>
      <c r="V1" s="270" t="s">
        <v>118</v>
      </c>
      <c r="W1" s="270" t="s">
        <v>119</v>
      </c>
      <c r="X1" s="270" t="s">
        <v>120</v>
      </c>
      <c r="Y1" s="270" t="s">
        <v>121</v>
      </c>
      <c r="Z1" s="270" t="s">
        <v>122</v>
      </c>
      <c r="AA1" s="270" t="s">
        <v>123</v>
      </c>
      <c r="AB1" s="270" t="s">
        <v>124</v>
      </c>
      <c r="AC1" s="270" t="s">
        <v>125</v>
      </c>
      <c r="AD1" s="270" t="s">
        <v>126</v>
      </c>
      <c r="AE1" s="270" t="s">
        <v>127</v>
      </c>
      <c r="AF1" s="270" t="s">
        <v>128</v>
      </c>
      <c r="AG1" s="270" t="s">
        <v>129</v>
      </c>
      <c r="AH1" s="270" t="s">
        <v>130</v>
      </c>
      <c r="AI1" s="270" t="s">
        <v>131</v>
      </c>
      <c r="AJ1" s="270" t="s">
        <v>132</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H1"/>
  <sheetViews>
    <sheetView workbookViewId="0"/>
  </sheetViews>
  <sheetFormatPr defaultRowHeight="14.4" x14ac:dyDescent="0.3"/>
  <cols>
    <col min="1" max="1" width="6.6640625" bestFit="1" customWidth="1"/>
    <col min="2" max="2" width="9.33203125" bestFit="1" customWidth="1"/>
    <col min="3" max="3" width="14.77734375" bestFit="1" customWidth="1"/>
    <col min="4" max="4" width="8.33203125" bestFit="1" customWidth="1"/>
    <col min="5" max="5" width="13.88671875" bestFit="1" customWidth="1"/>
    <col min="6" max="6" width="11.77734375" bestFit="1" customWidth="1"/>
    <col min="7" max="7" width="15.5546875" bestFit="1" customWidth="1"/>
    <col min="8" max="8" width="19.21875" bestFit="1" customWidth="1"/>
    <col min="9" max="9" width="0" hidden="1" customWidth="1"/>
  </cols>
  <sheetData>
    <row r="1" spans="1:8" ht="18" x14ac:dyDescent="0.3">
      <c r="A1" s="192" t="s">
        <v>156</v>
      </c>
      <c r="B1" s="192" t="s">
        <v>8</v>
      </c>
      <c r="C1" s="192" t="s">
        <v>9</v>
      </c>
      <c r="D1" s="192" t="s">
        <v>157</v>
      </c>
      <c r="E1" s="192" t="s">
        <v>10</v>
      </c>
      <c r="F1" s="192" t="s">
        <v>11</v>
      </c>
      <c r="G1" s="192" t="s">
        <v>12</v>
      </c>
      <c r="H1" s="192" t="s">
        <v>13</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H1"/>
  <sheetViews>
    <sheetView workbookViewId="0"/>
  </sheetViews>
  <sheetFormatPr defaultRowHeight="14.4" x14ac:dyDescent="0.3"/>
  <cols>
    <col min="1" max="1" width="6.6640625" bestFit="1" customWidth="1"/>
    <col min="2" max="2" width="9.33203125" bestFit="1" customWidth="1"/>
    <col min="3" max="3" width="14.77734375" bestFit="1" customWidth="1"/>
    <col min="4" max="4" width="8.33203125" bestFit="1" customWidth="1"/>
    <col min="5" max="5" width="13.88671875" bestFit="1" customWidth="1"/>
    <col min="6" max="6" width="11.77734375" bestFit="1" customWidth="1"/>
    <col min="7" max="7" width="15.5546875" bestFit="1" customWidth="1"/>
    <col min="8" max="8" width="19.21875" bestFit="1" customWidth="1"/>
    <col min="9" max="9" width="0" hidden="1" customWidth="1"/>
  </cols>
  <sheetData>
    <row r="1" spans="1:8" ht="18" x14ac:dyDescent="0.3">
      <c r="A1" s="192" t="s">
        <v>156</v>
      </c>
      <c r="B1" s="192" t="s">
        <v>8</v>
      </c>
      <c r="C1" s="192" t="s">
        <v>9</v>
      </c>
      <c r="D1" s="192" t="s">
        <v>157</v>
      </c>
      <c r="E1" s="192" t="s">
        <v>10</v>
      </c>
      <c r="F1" s="192" t="s">
        <v>11</v>
      </c>
      <c r="G1" s="192" t="s">
        <v>12</v>
      </c>
      <c r="H1" s="192" t="s">
        <v>13</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CN5"/>
  <sheetViews>
    <sheetView workbookViewId="0"/>
  </sheetViews>
  <sheetFormatPr defaultRowHeight="14.4" x14ac:dyDescent="0.3"/>
  <cols>
    <col min="6" max="6" width="18.44140625" bestFit="1" customWidth="1"/>
    <col min="7" max="7" width="13.5546875" bestFit="1" customWidth="1"/>
    <col min="13" max="13" width="7.77734375" bestFit="1" customWidth="1"/>
  </cols>
  <sheetData>
    <row r="1" spans="1:92" ht="28.8" customHeight="1" x14ac:dyDescent="0.3">
      <c r="A1" s="260" t="s">
        <v>0</v>
      </c>
      <c r="B1" s="253"/>
      <c r="C1" s="253"/>
      <c r="D1" s="253"/>
      <c r="E1" s="253"/>
      <c r="F1" s="1" t="s">
        <v>591</v>
      </c>
      <c r="G1" s="2" t="s">
        <v>2</v>
      </c>
      <c r="H1" s="259">
        <v>45982</v>
      </c>
      <c r="I1" s="253"/>
      <c r="J1" s="253"/>
      <c r="K1" s="253"/>
      <c r="L1" s="253"/>
      <c r="M1" s="1" t="s">
        <v>3</v>
      </c>
      <c r="N1" s="266">
        <v>45984</v>
      </c>
      <c r="O1" s="253"/>
      <c r="P1" s="253"/>
      <c r="Q1" s="253"/>
      <c r="R1" s="253"/>
      <c r="CA1" s="3"/>
      <c r="CB1" s="3"/>
      <c r="CC1" s="3"/>
      <c r="CD1" s="3"/>
      <c r="CE1" s="3"/>
      <c r="CF1" s="3"/>
      <c r="CG1" s="3"/>
      <c r="CH1" s="3"/>
      <c r="CI1" s="3"/>
      <c r="CJ1" s="3"/>
      <c r="CK1" s="3"/>
      <c r="CL1" s="3"/>
      <c r="CM1" s="3"/>
      <c r="CN1" s="3"/>
    </row>
    <row r="2" spans="1:92" ht="23.4" customHeight="1" x14ac:dyDescent="0.3">
      <c r="A2" s="252" t="s">
        <v>4</v>
      </c>
      <c r="B2" s="253"/>
      <c r="C2" s="253"/>
      <c r="D2" s="253"/>
      <c r="E2" s="253"/>
      <c r="F2" s="253"/>
      <c r="G2" s="261">
        <v>45981.01778475524</v>
      </c>
      <c r="H2" s="253"/>
      <c r="I2" s="253"/>
      <c r="J2" s="253"/>
      <c r="K2" s="262">
        <v>45981.017784755721</v>
      </c>
      <c r="L2" s="253"/>
      <c r="M2" s="253"/>
      <c r="N2" s="253"/>
      <c r="O2" s="253"/>
      <c r="P2" s="253"/>
      <c r="Q2" s="253"/>
      <c r="R2" s="253"/>
      <c r="CA2" s="3"/>
      <c r="CB2" s="3"/>
      <c r="CC2" s="3"/>
      <c r="CD2" s="3"/>
      <c r="CE2" s="3"/>
      <c r="CF2" s="3"/>
      <c r="CG2" s="3"/>
      <c r="CH2" s="3"/>
      <c r="CI2" s="3"/>
      <c r="CJ2" s="3"/>
      <c r="CK2" s="3"/>
      <c r="CL2" s="3"/>
      <c r="CM2" s="3"/>
      <c r="CN2" s="3"/>
    </row>
    <row r="3" spans="1:92" ht="24" customHeight="1" x14ac:dyDescent="0.3">
      <c r="A3" s="254" t="s">
        <v>5</v>
      </c>
      <c r="B3" s="253"/>
      <c r="C3" s="253"/>
      <c r="D3" s="253"/>
      <c r="E3" s="253"/>
      <c r="F3" s="253"/>
      <c r="G3" s="253"/>
      <c r="H3" s="253"/>
      <c r="I3" s="253"/>
      <c r="J3" s="253"/>
      <c r="K3" s="253"/>
      <c r="L3" s="253"/>
      <c r="M3" s="253"/>
      <c r="N3" s="253"/>
      <c r="O3" s="253"/>
      <c r="P3" s="253"/>
      <c r="Q3" s="253"/>
      <c r="R3" s="253"/>
      <c r="CA3" s="3"/>
      <c r="CB3" s="3"/>
      <c r="CC3" s="3"/>
      <c r="CD3" s="3"/>
      <c r="CE3" s="3"/>
      <c r="CF3" s="3"/>
      <c r="CG3" s="3"/>
      <c r="CH3" s="3"/>
      <c r="CI3" s="3"/>
      <c r="CJ3" s="3"/>
      <c r="CK3" s="3"/>
      <c r="CL3" s="3"/>
      <c r="CM3" s="3"/>
      <c r="CN3" s="3"/>
    </row>
    <row r="4" spans="1:92" ht="21.6" customHeight="1" x14ac:dyDescent="0.5">
      <c r="A4" s="189"/>
      <c r="B4" s="189"/>
      <c r="C4" s="189"/>
      <c r="D4" s="189"/>
      <c r="E4" s="189"/>
      <c r="F4" s="189"/>
      <c r="G4" s="189"/>
      <c r="H4" s="190"/>
      <c r="I4" s="191"/>
      <c r="J4" s="191"/>
      <c r="K4" s="191"/>
      <c r="L4" s="191"/>
      <c r="M4" s="191"/>
      <c r="N4" s="191"/>
      <c r="O4" s="191"/>
      <c r="P4" s="191"/>
      <c r="Q4" s="191"/>
      <c r="R4" s="191"/>
      <c r="CA4" s="3"/>
      <c r="CB4" s="3"/>
      <c r="CC4" s="3"/>
      <c r="CD4" s="3"/>
      <c r="CE4" s="3"/>
      <c r="CF4" s="3"/>
      <c r="CG4" s="3"/>
      <c r="CH4" s="3"/>
      <c r="CI4" s="3"/>
      <c r="CJ4" s="3"/>
      <c r="CK4" s="3"/>
      <c r="CL4" s="3"/>
      <c r="CM4" s="3"/>
      <c r="CN4" s="3"/>
    </row>
    <row r="5" spans="1:92" ht="18.600000000000001" customHeight="1" x14ac:dyDescent="0.3">
      <c r="A5" s="191"/>
      <c r="B5" s="191"/>
      <c r="C5" s="191"/>
      <c r="D5" s="191"/>
      <c r="E5" s="191"/>
      <c r="F5" s="191"/>
      <c r="G5" s="191"/>
      <c r="H5" s="191"/>
      <c r="I5" s="191"/>
      <c r="J5" s="191"/>
      <c r="K5" s="191"/>
      <c r="L5" s="191"/>
      <c r="M5" s="191"/>
      <c r="N5" s="191"/>
      <c r="O5" s="191"/>
      <c r="P5" s="191"/>
      <c r="Q5" s="191"/>
      <c r="R5" s="191"/>
      <c r="CA5" s="3"/>
      <c r="CB5" s="3"/>
      <c r="CC5" s="3"/>
      <c r="CD5" s="3"/>
      <c r="CE5" s="3"/>
      <c r="CF5" s="3"/>
      <c r="CG5" s="3"/>
      <c r="CH5" s="3"/>
      <c r="CI5" s="3"/>
      <c r="CJ5" s="3"/>
      <c r="CK5" s="3"/>
      <c r="CL5" s="3"/>
      <c r="CM5" s="3"/>
      <c r="CN5" s="3"/>
    </row>
  </sheetData>
  <mergeCells count="7">
    <mergeCell ref="A2:F2"/>
    <mergeCell ref="A3:R3"/>
    <mergeCell ref="H1:L1"/>
    <mergeCell ref="A1:E1"/>
    <mergeCell ref="G2:J2"/>
    <mergeCell ref="K2:R2"/>
    <mergeCell ref="N1:R1"/>
  </mergeCells>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J1"/>
  <sheetViews>
    <sheetView workbookViewId="0"/>
  </sheetViews>
  <sheetFormatPr defaultRowHeight="15.6" outlineLevelCol="1" x14ac:dyDescent="0.3"/>
  <cols>
    <col min="1" max="1" width="5.33203125" style="271" bestFit="1" customWidth="1"/>
    <col min="2" max="2" width="6.77734375" style="271" bestFit="1" customWidth="1"/>
    <col min="3" max="3" width="4" style="271" bestFit="1" customWidth="1"/>
    <col min="4" max="4" width="5.44140625" style="271" bestFit="1" customWidth="1"/>
    <col min="5" max="5" width="8.33203125" style="271" bestFit="1" customWidth="1"/>
    <col min="6" max="7" width="5.21875" style="271" bestFit="1" customWidth="1"/>
    <col min="8" max="8" width="5.33203125" style="271" bestFit="1" customWidth="1"/>
    <col min="9" max="10" width="8" style="271" bestFit="1" customWidth="1"/>
    <col min="11" max="11" width="7.33203125" style="271" bestFit="1" customWidth="1"/>
    <col min="12" max="12" width="10.109375" style="271" bestFit="1" customWidth="1"/>
    <col min="13" max="13" width="8.77734375" style="271" bestFit="1" customWidth="1" outlineLevel="1"/>
    <col min="14" max="14" width="7.33203125" style="271" bestFit="1" customWidth="1" outlineLevel="1"/>
    <col min="15" max="15" width="9.109375" style="271" bestFit="1" customWidth="1" outlineLevel="1"/>
    <col min="16" max="16" width="15.33203125" style="271" bestFit="1" customWidth="1"/>
    <col min="17" max="17" width="2.77734375" style="271" bestFit="1" customWidth="1"/>
    <col min="18" max="18" width="2.88671875" style="271" bestFit="1" customWidth="1"/>
    <col min="19" max="19" width="3.5546875" style="271" bestFit="1" customWidth="1"/>
    <col min="20" max="20" width="3.109375" style="271" bestFit="1" customWidth="1"/>
    <col min="21" max="21" width="3.21875" style="271" bestFit="1" customWidth="1"/>
    <col min="22" max="22" width="2.88671875" style="271" bestFit="1" customWidth="1"/>
    <col min="23" max="23" width="3" style="271" bestFit="1" customWidth="1"/>
    <col min="24" max="24" width="2.5546875" style="271" bestFit="1" customWidth="1"/>
    <col min="25" max="25" width="3.109375" style="271" bestFit="1" customWidth="1"/>
    <col min="26" max="26" width="2.6640625" style="271" bestFit="1" customWidth="1"/>
    <col min="27" max="27" width="3.6640625" style="271" bestFit="1" customWidth="1"/>
    <col min="28" max="28" width="2.77734375" style="271" bestFit="1" customWidth="1"/>
    <col min="29" max="29" width="2.88671875" style="271" bestFit="1" customWidth="1"/>
    <col min="30" max="31" width="3.109375" style="271" bestFit="1" customWidth="1"/>
    <col min="32" max="32" width="2.21875" style="271" bestFit="1" customWidth="1"/>
    <col min="33" max="33" width="2.77734375" style="271" bestFit="1" customWidth="1"/>
    <col min="34" max="34" width="3" style="271" bestFit="1" customWidth="1"/>
    <col min="35" max="35" width="2.88671875" style="271" bestFit="1" customWidth="1"/>
    <col min="36" max="36" width="3.109375" style="271" bestFit="1" customWidth="1"/>
    <col min="37" max="16384" width="8.88671875" style="271"/>
  </cols>
  <sheetData>
    <row r="1" spans="1:36" x14ac:dyDescent="0.3">
      <c r="A1" s="270" t="s">
        <v>104</v>
      </c>
      <c r="B1" s="270" t="s">
        <v>105</v>
      </c>
      <c r="C1" s="270" t="s">
        <v>106</v>
      </c>
      <c r="D1" s="270" t="s">
        <v>23</v>
      </c>
      <c r="E1" s="270" t="s">
        <v>107</v>
      </c>
      <c r="F1" s="270" t="s">
        <v>108</v>
      </c>
      <c r="G1" s="270" t="s">
        <v>16</v>
      </c>
      <c r="H1" s="270" t="s">
        <v>109</v>
      </c>
      <c r="I1" s="270" t="s">
        <v>110</v>
      </c>
      <c r="J1" s="270" t="s">
        <v>111</v>
      </c>
      <c r="K1" s="270" t="s">
        <v>112</v>
      </c>
      <c r="L1" s="270" t="s">
        <v>18</v>
      </c>
      <c r="M1" s="270" t="s">
        <v>20</v>
      </c>
      <c r="N1" s="270" t="s">
        <v>21</v>
      </c>
      <c r="O1" s="270" t="s">
        <v>19</v>
      </c>
      <c r="P1" s="270" t="s">
        <v>22</v>
      </c>
      <c r="Q1" s="270" t="s">
        <v>113</v>
      </c>
      <c r="R1" s="270" t="s">
        <v>114</v>
      </c>
      <c r="S1" s="270" t="s">
        <v>115</v>
      </c>
      <c r="T1" s="270" t="s">
        <v>116</v>
      </c>
      <c r="U1" s="270" t="s">
        <v>117</v>
      </c>
      <c r="V1" s="270" t="s">
        <v>118</v>
      </c>
      <c r="W1" s="270" t="s">
        <v>119</v>
      </c>
      <c r="X1" s="270" t="s">
        <v>120</v>
      </c>
      <c r="Y1" s="270" t="s">
        <v>121</v>
      </c>
      <c r="Z1" s="270" t="s">
        <v>122</v>
      </c>
      <c r="AA1" s="270" t="s">
        <v>123</v>
      </c>
      <c r="AB1" s="270" t="s">
        <v>124</v>
      </c>
      <c r="AC1" s="270" t="s">
        <v>125</v>
      </c>
      <c r="AD1" s="270" t="s">
        <v>126</v>
      </c>
      <c r="AE1" s="270" t="s">
        <v>127</v>
      </c>
      <c r="AF1" s="270" t="s">
        <v>128</v>
      </c>
      <c r="AG1" s="270" t="s">
        <v>129</v>
      </c>
      <c r="AH1" s="270" t="s">
        <v>130</v>
      </c>
      <c r="AI1" s="270" t="s">
        <v>131</v>
      </c>
      <c r="AJ1" s="270" t="s">
        <v>132</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H1"/>
  <sheetViews>
    <sheetView workbookViewId="0"/>
  </sheetViews>
  <sheetFormatPr defaultRowHeight="14.4" x14ac:dyDescent="0.3"/>
  <cols>
    <col min="1" max="1" width="6.6640625" bestFit="1" customWidth="1"/>
    <col min="2" max="2" width="9.33203125" bestFit="1" customWidth="1"/>
    <col min="3" max="3" width="14.77734375" bestFit="1" customWidth="1"/>
    <col min="4" max="4" width="8.33203125" bestFit="1" customWidth="1"/>
    <col min="5" max="5" width="13.88671875" bestFit="1" customWidth="1"/>
    <col min="6" max="6" width="11.77734375" bestFit="1" customWidth="1"/>
    <col min="7" max="7" width="15.5546875" bestFit="1" customWidth="1"/>
    <col min="8" max="8" width="19.21875" bestFit="1" customWidth="1"/>
    <col min="9" max="9" width="0" hidden="1" customWidth="1"/>
  </cols>
  <sheetData>
    <row r="1" spans="1:8" ht="18" x14ac:dyDescent="0.3">
      <c r="A1" s="192" t="s">
        <v>156</v>
      </c>
      <c r="B1" s="192" t="s">
        <v>8</v>
      </c>
      <c r="C1" s="192" t="s">
        <v>9</v>
      </c>
      <c r="D1" s="192" t="s">
        <v>157</v>
      </c>
      <c r="E1" s="192" t="s">
        <v>10</v>
      </c>
      <c r="F1" s="192" t="s">
        <v>11</v>
      </c>
      <c r="G1" s="192" t="s">
        <v>12</v>
      </c>
      <c r="H1" s="192" t="s">
        <v>13</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H1"/>
  <sheetViews>
    <sheetView workbookViewId="0"/>
  </sheetViews>
  <sheetFormatPr defaultRowHeight="14.4" x14ac:dyDescent="0.3"/>
  <cols>
    <col min="1" max="1" width="6.6640625" bestFit="1" customWidth="1"/>
    <col min="2" max="2" width="9.33203125" bestFit="1" customWidth="1"/>
    <col min="3" max="3" width="14.77734375" bestFit="1" customWidth="1"/>
    <col min="4" max="4" width="8.33203125" bestFit="1" customWidth="1"/>
    <col min="5" max="5" width="13.88671875" bestFit="1" customWidth="1"/>
    <col min="6" max="6" width="11.77734375" bestFit="1" customWidth="1"/>
    <col min="7" max="7" width="15.5546875" bestFit="1" customWidth="1"/>
    <col min="8" max="8" width="19.21875" bestFit="1" customWidth="1"/>
    <col min="9" max="9" width="0" hidden="1" customWidth="1"/>
  </cols>
  <sheetData>
    <row r="1" spans="1:8" ht="18" x14ac:dyDescent="0.3">
      <c r="A1" s="192" t="s">
        <v>156</v>
      </c>
      <c r="B1" s="192" t="s">
        <v>8</v>
      </c>
      <c r="C1" s="192" t="s">
        <v>9</v>
      </c>
      <c r="D1" s="192" t="s">
        <v>157</v>
      </c>
      <c r="E1" s="192" t="s">
        <v>10</v>
      </c>
      <c r="F1" s="192" t="s">
        <v>11</v>
      </c>
      <c r="G1" s="192" t="s">
        <v>12</v>
      </c>
      <c r="H1" s="192" t="s">
        <v>13</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CN5"/>
  <sheetViews>
    <sheetView workbookViewId="0"/>
  </sheetViews>
  <sheetFormatPr defaultRowHeight="14.4" x14ac:dyDescent="0.3"/>
  <cols>
    <col min="6" max="6" width="16.5546875" bestFit="1" customWidth="1"/>
    <col min="7" max="7" width="13.5546875" bestFit="1" customWidth="1"/>
    <col min="13" max="13" width="7.77734375" bestFit="1" customWidth="1"/>
  </cols>
  <sheetData>
    <row r="1" spans="1:92" ht="28.8" customHeight="1" x14ac:dyDescent="0.3">
      <c r="A1" s="260" t="s">
        <v>0</v>
      </c>
      <c r="B1" s="253"/>
      <c r="C1" s="253"/>
      <c r="D1" s="253"/>
      <c r="E1" s="253"/>
      <c r="F1" s="1" t="s">
        <v>592</v>
      </c>
      <c r="G1" s="2" t="s">
        <v>2</v>
      </c>
      <c r="H1" s="259">
        <v>45982</v>
      </c>
      <c r="I1" s="253"/>
      <c r="J1" s="253"/>
      <c r="K1" s="253"/>
      <c r="L1" s="253"/>
      <c r="M1" s="1" t="s">
        <v>3</v>
      </c>
      <c r="N1" s="266">
        <v>45984</v>
      </c>
      <c r="O1" s="253"/>
      <c r="P1" s="253"/>
      <c r="Q1" s="253"/>
      <c r="R1" s="253"/>
      <c r="CA1" s="3"/>
      <c r="CB1" s="3"/>
      <c r="CC1" s="3"/>
      <c r="CD1" s="3"/>
      <c r="CE1" s="3"/>
      <c r="CF1" s="3"/>
      <c r="CG1" s="3"/>
      <c r="CH1" s="3"/>
      <c r="CI1" s="3"/>
      <c r="CJ1" s="3"/>
      <c r="CK1" s="3"/>
      <c r="CL1" s="3"/>
      <c r="CM1" s="3"/>
      <c r="CN1" s="3"/>
    </row>
    <row r="2" spans="1:92" ht="23.4" customHeight="1" x14ac:dyDescent="0.3">
      <c r="A2" s="252" t="s">
        <v>4</v>
      </c>
      <c r="B2" s="253"/>
      <c r="C2" s="253"/>
      <c r="D2" s="253"/>
      <c r="E2" s="253"/>
      <c r="F2" s="253"/>
      <c r="G2" s="261">
        <v>45981.017787540222</v>
      </c>
      <c r="H2" s="253"/>
      <c r="I2" s="253"/>
      <c r="J2" s="253"/>
      <c r="K2" s="262">
        <v>45981.017787541197</v>
      </c>
      <c r="L2" s="253"/>
      <c r="M2" s="253"/>
      <c r="N2" s="253"/>
      <c r="O2" s="253"/>
      <c r="P2" s="253"/>
      <c r="Q2" s="253"/>
      <c r="R2" s="253"/>
      <c r="CA2" s="3"/>
      <c r="CB2" s="3"/>
      <c r="CC2" s="3"/>
      <c r="CD2" s="3"/>
      <c r="CE2" s="3"/>
      <c r="CF2" s="3"/>
      <c r="CG2" s="3"/>
      <c r="CH2" s="3"/>
      <c r="CI2" s="3"/>
      <c r="CJ2" s="3"/>
      <c r="CK2" s="3"/>
      <c r="CL2" s="3"/>
      <c r="CM2" s="3"/>
      <c r="CN2" s="3"/>
    </row>
    <row r="3" spans="1:92" ht="24" customHeight="1" x14ac:dyDescent="0.3">
      <c r="A3" s="254" t="s">
        <v>5</v>
      </c>
      <c r="B3" s="253"/>
      <c r="C3" s="253"/>
      <c r="D3" s="253"/>
      <c r="E3" s="253"/>
      <c r="F3" s="253"/>
      <c r="G3" s="253"/>
      <c r="H3" s="253"/>
      <c r="I3" s="253"/>
      <c r="J3" s="253"/>
      <c r="K3" s="253"/>
      <c r="L3" s="253"/>
      <c r="M3" s="253"/>
      <c r="N3" s="253"/>
      <c r="O3" s="253"/>
      <c r="P3" s="253"/>
      <c r="Q3" s="253"/>
      <c r="R3" s="253"/>
      <c r="CA3" s="3"/>
      <c r="CB3" s="3"/>
      <c r="CC3" s="3"/>
      <c r="CD3" s="3"/>
      <c r="CE3" s="3"/>
      <c r="CF3" s="3"/>
      <c r="CG3" s="3"/>
      <c r="CH3" s="3"/>
      <c r="CI3" s="3"/>
      <c r="CJ3" s="3"/>
      <c r="CK3" s="3"/>
      <c r="CL3" s="3"/>
      <c r="CM3" s="3"/>
      <c r="CN3" s="3"/>
    </row>
    <row r="4" spans="1:92" ht="21.6" customHeight="1" x14ac:dyDescent="0.5">
      <c r="A4" s="189"/>
      <c r="B4" s="189"/>
      <c r="C4" s="189"/>
      <c r="D4" s="189"/>
      <c r="E4" s="189"/>
      <c r="F4" s="189"/>
      <c r="G4" s="189"/>
      <c r="H4" s="190"/>
      <c r="I4" s="191"/>
      <c r="J4" s="191"/>
      <c r="K4" s="191"/>
      <c r="L4" s="191"/>
      <c r="M4" s="191"/>
      <c r="N4" s="191"/>
      <c r="O4" s="191"/>
      <c r="P4" s="191"/>
      <c r="Q4" s="191"/>
      <c r="R4" s="191"/>
      <c r="CA4" s="3"/>
      <c r="CB4" s="3"/>
      <c r="CC4" s="3"/>
      <c r="CD4" s="3"/>
      <c r="CE4" s="3"/>
      <c r="CF4" s="3"/>
      <c r="CG4" s="3"/>
      <c r="CH4" s="3"/>
      <c r="CI4" s="3"/>
      <c r="CJ4" s="3"/>
      <c r="CK4" s="3"/>
      <c r="CL4" s="3"/>
      <c r="CM4" s="3"/>
      <c r="CN4" s="3"/>
    </row>
    <row r="5" spans="1:92" ht="18.600000000000001" customHeight="1" x14ac:dyDescent="0.3">
      <c r="A5" s="191"/>
      <c r="B5" s="191"/>
      <c r="C5" s="191"/>
      <c r="D5" s="191"/>
      <c r="E5" s="191"/>
      <c r="F5" s="191"/>
      <c r="G5" s="191"/>
      <c r="H5" s="191"/>
      <c r="I5" s="191"/>
      <c r="J5" s="191"/>
      <c r="K5" s="191"/>
      <c r="L5" s="191"/>
      <c r="M5" s="191"/>
      <c r="N5" s="191"/>
      <c r="O5" s="191"/>
      <c r="P5" s="191"/>
      <c r="Q5" s="191"/>
      <c r="R5" s="191"/>
      <c r="CA5" s="3"/>
      <c r="CB5" s="3"/>
      <c r="CC5" s="3"/>
      <c r="CD5" s="3"/>
      <c r="CE5" s="3"/>
      <c r="CF5" s="3"/>
      <c r="CG5" s="3"/>
      <c r="CH5" s="3"/>
      <c r="CI5" s="3"/>
      <c r="CJ5" s="3"/>
      <c r="CK5" s="3"/>
      <c r="CL5" s="3"/>
      <c r="CM5" s="3"/>
      <c r="CN5" s="3"/>
    </row>
  </sheetData>
  <mergeCells count="7">
    <mergeCell ref="A2:F2"/>
    <mergeCell ref="A3:R3"/>
    <mergeCell ref="H1:L1"/>
    <mergeCell ref="A1:E1"/>
    <mergeCell ref="G2:J2"/>
    <mergeCell ref="K2:R2"/>
    <mergeCell ref="N1:R1"/>
  </mergeCells>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J1"/>
  <sheetViews>
    <sheetView workbookViewId="0"/>
  </sheetViews>
  <sheetFormatPr defaultRowHeight="15.6" outlineLevelCol="1" x14ac:dyDescent="0.3"/>
  <cols>
    <col min="1" max="1" width="5.33203125" style="271" bestFit="1" customWidth="1"/>
    <col min="2" max="2" width="6.77734375" style="271" bestFit="1" customWidth="1"/>
    <col min="3" max="3" width="4" style="271" bestFit="1" customWidth="1"/>
    <col min="4" max="4" width="5.44140625" style="271" bestFit="1" customWidth="1"/>
    <col min="5" max="5" width="8.33203125" style="271" bestFit="1" customWidth="1"/>
    <col min="6" max="7" width="5.21875" style="271" bestFit="1" customWidth="1"/>
    <col min="8" max="8" width="5.33203125" style="271" bestFit="1" customWidth="1"/>
    <col min="9" max="10" width="8" style="271" bestFit="1" customWidth="1"/>
    <col min="11" max="11" width="7.33203125" style="271" bestFit="1" customWidth="1"/>
    <col min="12" max="12" width="10.109375" style="271" bestFit="1" customWidth="1"/>
    <col min="13" max="13" width="8.77734375" style="271" bestFit="1" customWidth="1" outlineLevel="1"/>
    <col min="14" max="14" width="7.33203125" style="271" bestFit="1" customWidth="1" outlineLevel="1"/>
    <col min="15" max="15" width="9.109375" style="271" bestFit="1" customWidth="1" outlineLevel="1"/>
    <col min="16" max="16" width="15.33203125" style="271" bestFit="1" customWidth="1"/>
    <col min="17" max="17" width="2.77734375" style="271" bestFit="1" customWidth="1"/>
    <col min="18" max="18" width="2.88671875" style="271" bestFit="1" customWidth="1"/>
    <col min="19" max="19" width="3.5546875" style="271" bestFit="1" customWidth="1"/>
    <col min="20" max="20" width="3.109375" style="271" bestFit="1" customWidth="1"/>
    <col min="21" max="21" width="3.21875" style="271" bestFit="1" customWidth="1"/>
    <col min="22" max="22" width="2.88671875" style="271" bestFit="1" customWidth="1"/>
    <col min="23" max="23" width="3" style="271" bestFit="1" customWidth="1"/>
    <col min="24" max="24" width="2.5546875" style="271" bestFit="1" customWidth="1"/>
    <col min="25" max="25" width="3.109375" style="271" bestFit="1" customWidth="1"/>
    <col min="26" max="26" width="2.6640625" style="271" bestFit="1" customWidth="1"/>
    <col min="27" max="27" width="3.6640625" style="271" bestFit="1" customWidth="1"/>
    <col min="28" max="28" width="2.77734375" style="271" bestFit="1" customWidth="1"/>
    <col min="29" max="29" width="2.88671875" style="271" bestFit="1" customWidth="1"/>
    <col min="30" max="31" width="3.109375" style="271" bestFit="1" customWidth="1"/>
    <col min="32" max="32" width="2.21875" style="271" bestFit="1" customWidth="1"/>
    <col min="33" max="33" width="2.77734375" style="271" bestFit="1" customWidth="1"/>
    <col min="34" max="34" width="3" style="271" bestFit="1" customWidth="1"/>
    <col min="35" max="35" width="2.88671875" style="271" bestFit="1" customWidth="1"/>
    <col min="36" max="36" width="3.109375" style="271" bestFit="1" customWidth="1"/>
    <col min="37" max="16384" width="8.88671875" style="271"/>
  </cols>
  <sheetData>
    <row r="1" spans="1:36" x14ac:dyDescent="0.3">
      <c r="A1" s="270" t="s">
        <v>104</v>
      </c>
      <c r="B1" s="270" t="s">
        <v>105</v>
      </c>
      <c r="C1" s="270" t="s">
        <v>106</v>
      </c>
      <c r="D1" s="270" t="s">
        <v>23</v>
      </c>
      <c r="E1" s="270" t="s">
        <v>107</v>
      </c>
      <c r="F1" s="270" t="s">
        <v>108</v>
      </c>
      <c r="G1" s="270" t="s">
        <v>16</v>
      </c>
      <c r="H1" s="270" t="s">
        <v>109</v>
      </c>
      <c r="I1" s="270" t="s">
        <v>110</v>
      </c>
      <c r="J1" s="270" t="s">
        <v>111</v>
      </c>
      <c r="K1" s="270" t="s">
        <v>112</v>
      </c>
      <c r="L1" s="270" t="s">
        <v>18</v>
      </c>
      <c r="M1" s="270" t="s">
        <v>20</v>
      </c>
      <c r="N1" s="270" t="s">
        <v>21</v>
      </c>
      <c r="O1" s="270" t="s">
        <v>19</v>
      </c>
      <c r="P1" s="270" t="s">
        <v>22</v>
      </c>
      <c r="Q1" s="270" t="s">
        <v>113</v>
      </c>
      <c r="R1" s="270" t="s">
        <v>114</v>
      </c>
      <c r="S1" s="270" t="s">
        <v>115</v>
      </c>
      <c r="T1" s="270" t="s">
        <v>116</v>
      </c>
      <c r="U1" s="270" t="s">
        <v>117</v>
      </c>
      <c r="V1" s="270" t="s">
        <v>118</v>
      </c>
      <c r="W1" s="270" t="s">
        <v>119</v>
      </c>
      <c r="X1" s="270" t="s">
        <v>120</v>
      </c>
      <c r="Y1" s="270" t="s">
        <v>121</v>
      </c>
      <c r="Z1" s="270" t="s">
        <v>122</v>
      </c>
      <c r="AA1" s="270" t="s">
        <v>123</v>
      </c>
      <c r="AB1" s="270" t="s">
        <v>124</v>
      </c>
      <c r="AC1" s="270" t="s">
        <v>125</v>
      </c>
      <c r="AD1" s="270" t="s">
        <v>126</v>
      </c>
      <c r="AE1" s="270" t="s">
        <v>127</v>
      </c>
      <c r="AF1" s="270" t="s">
        <v>128</v>
      </c>
      <c r="AG1" s="270" t="s">
        <v>129</v>
      </c>
      <c r="AH1" s="270" t="s">
        <v>130</v>
      </c>
      <c r="AI1" s="270" t="s">
        <v>131</v>
      </c>
      <c r="AJ1" s="270" t="s">
        <v>132</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H1"/>
  <sheetViews>
    <sheetView workbookViewId="0"/>
  </sheetViews>
  <sheetFormatPr defaultRowHeight="14.4" x14ac:dyDescent="0.3"/>
  <cols>
    <col min="1" max="1" width="6.6640625" bestFit="1" customWidth="1"/>
    <col min="2" max="2" width="9.33203125" bestFit="1" customWidth="1"/>
    <col min="3" max="3" width="14.77734375" bestFit="1" customWidth="1"/>
    <col min="4" max="4" width="8.33203125" bestFit="1" customWidth="1"/>
    <col min="5" max="5" width="13.88671875" bestFit="1" customWidth="1"/>
    <col min="6" max="6" width="11.77734375" bestFit="1" customWidth="1"/>
    <col min="7" max="7" width="15.5546875" bestFit="1" customWidth="1"/>
    <col min="8" max="8" width="19.21875" bestFit="1" customWidth="1"/>
    <col min="9" max="9" width="0" hidden="1" customWidth="1"/>
  </cols>
  <sheetData>
    <row r="1" spans="1:8" ht="18" x14ac:dyDescent="0.3">
      <c r="A1" s="192" t="s">
        <v>156</v>
      </c>
      <c r="B1" s="192" t="s">
        <v>8</v>
      </c>
      <c r="C1" s="192" t="s">
        <v>9</v>
      </c>
      <c r="D1" s="192" t="s">
        <v>157</v>
      </c>
      <c r="E1" s="192" t="s">
        <v>10</v>
      </c>
      <c r="F1" s="192" t="s">
        <v>11</v>
      </c>
      <c r="G1" s="192" t="s">
        <v>12</v>
      </c>
      <c r="H1" s="192" t="s">
        <v>13</v>
      </c>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H1"/>
  <sheetViews>
    <sheetView workbookViewId="0"/>
  </sheetViews>
  <sheetFormatPr defaultRowHeight="14.4" x14ac:dyDescent="0.3"/>
  <cols>
    <col min="1" max="1" width="6.6640625" bestFit="1" customWidth="1"/>
    <col min="2" max="2" width="9.33203125" bestFit="1" customWidth="1"/>
    <col min="3" max="3" width="14.77734375" bestFit="1" customWidth="1"/>
    <col min="4" max="4" width="8.33203125" bestFit="1" customWidth="1"/>
    <col min="5" max="5" width="13.88671875" bestFit="1" customWidth="1"/>
    <col min="6" max="6" width="11.77734375" bestFit="1" customWidth="1"/>
    <col min="7" max="7" width="15.5546875" bestFit="1" customWidth="1"/>
    <col min="8" max="8" width="19.21875" bestFit="1" customWidth="1"/>
    <col min="9" max="9" width="0" hidden="1" customWidth="1"/>
  </cols>
  <sheetData>
    <row r="1" spans="1:8" ht="18" x14ac:dyDescent="0.3">
      <c r="A1" s="192" t="s">
        <v>156</v>
      </c>
      <c r="B1" s="192" t="s">
        <v>8</v>
      </c>
      <c r="C1" s="192" t="s">
        <v>9</v>
      </c>
      <c r="D1" s="192" t="s">
        <v>157</v>
      </c>
      <c r="E1" s="192" t="s">
        <v>10</v>
      </c>
      <c r="F1" s="192" t="s">
        <v>11</v>
      </c>
      <c r="G1" s="192" t="s">
        <v>12</v>
      </c>
      <c r="H1" s="192" t="s">
        <v>13</v>
      </c>
    </row>
  </sheetData>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CN5"/>
  <sheetViews>
    <sheetView workbookViewId="0"/>
  </sheetViews>
  <sheetFormatPr defaultRowHeight="14.4" x14ac:dyDescent="0.3"/>
  <cols>
    <col min="6" max="6" width="17.77734375" bestFit="1" customWidth="1"/>
    <col min="7" max="7" width="13.5546875" bestFit="1" customWidth="1"/>
    <col min="13" max="13" width="7.77734375" bestFit="1" customWidth="1"/>
  </cols>
  <sheetData>
    <row r="1" spans="1:92" ht="28.8" customHeight="1" x14ac:dyDescent="0.3">
      <c r="A1" s="260" t="s">
        <v>0</v>
      </c>
      <c r="B1" s="253"/>
      <c r="C1" s="253"/>
      <c r="D1" s="253"/>
      <c r="E1" s="253"/>
      <c r="F1" s="1" t="s">
        <v>593</v>
      </c>
      <c r="G1" s="2" t="s">
        <v>2</v>
      </c>
      <c r="H1" s="259">
        <v>45982</v>
      </c>
      <c r="I1" s="253"/>
      <c r="J1" s="253"/>
      <c r="K1" s="253"/>
      <c r="L1" s="253"/>
      <c r="M1" s="1" t="s">
        <v>3</v>
      </c>
      <c r="N1" s="266">
        <v>45984</v>
      </c>
      <c r="O1" s="253"/>
      <c r="P1" s="253"/>
      <c r="Q1" s="253"/>
      <c r="R1" s="253"/>
      <c r="CA1" s="3"/>
      <c r="CB1" s="3"/>
      <c r="CC1" s="3"/>
      <c r="CD1" s="3"/>
      <c r="CE1" s="3"/>
      <c r="CF1" s="3"/>
      <c r="CG1" s="3"/>
      <c r="CH1" s="3"/>
      <c r="CI1" s="3"/>
      <c r="CJ1" s="3"/>
      <c r="CK1" s="3"/>
      <c r="CL1" s="3"/>
      <c r="CM1" s="3"/>
      <c r="CN1" s="3"/>
    </row>
    <row r="2" spans="1:92" ht="23.4" customHeight="1" x14ac:dyDescent="0.3">
      <c r="A2" s="252" t="s">
        <v>4</v>
      </c>
      <c r="B2" s="253"/>
      <c r="C2" s="253"/>
      <c r="D2" s="253"/>
      <c r="E2" s="253"/>
      <c r="F2" s="253"/>
      <c r="G2" s="261">
        <v>45981.017789754827</v>
      </c>
      <c r="H2" s="253"/>
      <c r="I2" s="253"/>
      <c r="J2" s="253"/>
      <c r="K2" s="262">
        <v>45981.017789755577</v>
      </c>
      <c r="L2" s="253"/>
      <c r="M2" s="253"/>
      <c r="N2" s="253"/>
      <c r="O2" s="253"/>
      <c r="P2" s="253"/>
      <c r="Q2" s="253"/>
      <c r="R2" s="253"/>
      <c r="CA2" s="3"/>
      <c r="CB2" s="3"/>
      <c r="CC2" s="3"/>
      <c r="CD2" s="3"/>
      <c r="CE2" s="3"/>
      <c r="CF2" s="3"/>
      <c r="CG2" s="3"/>
      <c r="CH2" s="3"/>
      <c r="CI2" s="3"/>
      <c r="CJ2" s="3"/>
      <c r="CK2" s="3"/>
      <c r="CL2" s="3"/>
      <c r="CM2" s="3"/>
      <c r="CN2" s="3"/>
    </row>
    <row r="3" spans="1:92" ht="24" customHeight="1" x14ac:dyDescent="0.3">
      <c r="A3" s="254" t="s">
        <v>5</v>
      </c>
      <c r="B3" s="253"/>
      <c r="C3" s="253"/>
      <c r="D3" s="253"/>
      <c r="E3" s="253"/>
      <c r="F3" s="253"/>
      <c r="G3" s="253"/>
      <c r="H3" s="253"/>
      <c r="I3" s="253"/>
      <c r="J3" s="253"/>
      <c r="K3" s="253"/>
      <c r="L3" s="253"/>
      <c r="M3" s="253"/>
      <c r="N3" s="253"/>
      <c r="O3" s="253"/>
      <c r="P3" s="253"/>
      <c r="Q3" s="253"/>
      <c r="R3" s="253"/>
      <c r="CA3" s="3"/>
      <c r="CB3" s="3"/>
      <c r="CC3" s="3"/>
      <c r="CD3" s="3"/>
      <c r="CE3" s="3"/>
      <c r="CF3" s="3"/>
      <c r="CG3" s="3"/>
      <c r="CH3" s="3"/>
      <c r="CI3" s="3"/>
      <c r="CJ3" s="3"/>
      <c r="CK3" s="3"/>
      <c r="CL3" s="3"/>
      <c r="CM3" s="3"/>
      <c r="CN3" s="3"/>
    </row>
    <row r="4" spans="1:92" ht="21.6" customHeight="1" x14ac:dyDescent="0.5">
      <c r="A4" s="189"/>
      <c r="B4" s="189"/>
      <c r="C4" s="189"/>
      <c r="D4" s="189"/>
      <c r="E4" s="189"/>
      <c r="F4" s="189"/>
      <c r="G4" s="189"/>
      <c r="H4" s="190"/>
      <c r="I4" s="191"/>
      <c r="J4" s="191"/>
      <c r="K4" s="191"/>
      <c r="L4" s="191"/>
      <c r="M4" s="191"/>
      <c r="N4" s="191"/>
      <c r="O4" s="191"/>
      <c r="P4" s="191"/>
      <c r="Q4" s="191"/>
      <c r="R4" s="191"/>
      <c r="CA4" s="3"/>
      <c r="CB4" s="3"/>
      <c r="CC4" s="3"/>
      <c r="CD4" s="3"/>
      <c r="CE4" s="3"/>
      <c r="CF4" s="3"/>
      <c r="CG4" s="3"/>
      <c r="CH4" s="3"/>
      <c r="CI4" s="3"/>
      <c r="CJ4" s="3"/>
      <c r="CK4" s="3"/>
      <c r="CL4" s="3"/>
      <c r="CM4" s="3"/>
      <c r="CN4" s="3"/>
    </row>
    <row r="5" spans="1:92" ht="18.600000000000001" customHeight="1" x14ac:dyDescent="0.3">
      <c r="A5" s="191"/>
      <c r="B5" s="191"/>
      <c r="C5" s="191"/>
      <c r="D5" s="191"/>
      <c r="E5" s="191"/>
      <c r="F5" s="191"/>
      <c r="G5" s="191"/>
      <c r="H5" s="191"/>
      <c r="I5" s="191"/>
      <c r="J5" s="191"/>
      <c r="K5" s="191"/>
      <c r="L5" s="191"/>
      <c r="M5" s="191"/>
      <c r="N5" s="191"/>
      <c r="O5" s="191"/>
      <c r="P5" s="191"/>
      <c r="Q5" s="191"/>
      <c r="R5" s="191"/>
      <c r="CA5" s="3"/>
      <c r="CB5" s="3"/>
      <c r="CC5" s="3"/>
      <c r="CD5" s="3"/>
      <c r="CE5" s="3"/>
      <c r="CF5" s="3"/>
      <c r="CG5" s="3"/>
      <c r="CH5" s="3"/>
      <c r="CI5" s="3"/>
      <c r="CJ5" s="3"/>
      <c r="CK5" s="3"/>
      <c r="CL5" s="3"/>
      <c r="CM5" s="3"/>
      <c r="CN5" s="3"/>
    </row>
  </sheetData>
  <mergeCells count="7">
    <mergeCell ref="A2:F2"/>
    <mergeCell ref="A3:R3"/>
    <mergeCell ref="H1:L1"/>
    <mergeCell ref="A1:E1"/>
    <mergeCell ref="G2:J2"/>
    <mergeCell ref="K2:R2"/>
    <mergeCell ref="N1:R1"/>
  </mergeCells>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J1"/>
  <sheetViews>
    <sheetView workbookViewId="0"/>
  </sheetViews>
  <sheetFormatPr defaultRowHeight="15.6" outlineLevelCol="1" x14ac:dyDescent="0.3"/>
  <cols>
    <col min="1" max="1" width="5.33203125" style="271" bestFit="1" customWidth="1"/>
    <col min="2" max="2" width="6.77734375" style="271" bestFit="1" customWidth="1"/>
    <col min="3" max="3" width="4" style="271" bestFit="1" customWidth="1"/>
    <col min="4" max="4" width="5.44140625" style="271" bestFit="1" customWidth="1"/>
    <col min="5" max="5" width="8.33203125" style="271" bestFit="1" customWidth="1"/>
    <col min="6" max="7" width="5.21875" style="271" bestFit="1" customWidth="1"/>
    <col min="8" max="8" width="5.33203125" style="271" bestFit="1" customWidth="1"/>
    <col min="9" max="10" width="8" style="271" bestFit="1" customWidth="1"/>
    <col min="11" max="11" width="7.33203125" style="271" bestFit="1" customWidth="1"/>
    <col min="12" max="12" width="10.109375" style="271" bestFit="1" customWidth="1"/>
    <col min="13" max="13" width="8.77734375" style="271" bestFit="1" customWidth="1" outlineLevel="1"/>
    <col min="14" max="14" width="7.33203125" style="271" bestFit="1" customWidth="1" outlineLevel="1"/>
    <col min="15" max="15" width="9.109375" style="271" bestFit="1" customWidth="1" outlineLevel="1"/>
    <col min="16" max="16" width="15.33203125" style="271" bestFit="1" customWidth="1"/>
    <col min="17" max="17" width="2.77734375" style="271" bestFit="1" customWidth="1"/>
    <col min="18" max="18" width="2.88671875" style="271" bestFit="1" customWidth="1"/>
    <col min="19" max="19" width="3.5546875" style="271" bestFit="1" customWidth="1"/>
    <col min="20" max="20" width="3.109375" style="271" bestFit="1" customWidth="1"/>
    <col min="21" max="21" width="3.21875" style="271" bestFit="1" customWidth="1"/>
    <col min="22" max="22" width="2.88671875" style="271" bestFit="1" customWidth="1"/>
    <col min="23" max="23" width="3" style="271" bestFit="1" customWidth="1"/>
    <col min="24" max="24" width="2.5546875" style="271" bestFit="1" customWidth="1"/>
    <col min="25" max="25" width="3.109375" style="271" bestFit="1" customWidth="1"/>
    <col min="26" max="26" width="2.6640625" style="271" bestFit="1" customWidth="1"/>
    <col min="27" max="27" width="3.6640625" style="271" bestFit="1" customWidth="1"/>
    <col min="28" max="28" width="2.77734375" style="271" bestFit="1" customWidth="1"/>
    <col min="29" max="29" width="2.88671875" style="271" bestFit="1" customWidth="1"/>
    <col min="30" max="31" width="3.109375" style="271" bestFit="1" customWidth="1"/>
    <col min="32" max="32" width="2.21875" style="271" bestFit="1" customWidth="1"/>
    <col min="33" max="33" width="2.77734375" style="271" bestFit="1" customWidth="1"/>
    <col min="34" max="34" width="3" style="271" bestFit="1" customWidth="1"/>
    <col min="35" max="35" width="2.88671875" style="271" bestFit="1" customWidth="1"/>
    <col min="36" max="36" width="3.109375" style="271" bestFit="1" customWidth="1"/>
    <col min="37" max="16384" width="8.88671875" style="271"/>
  </cols>
  <sheetData>
    <row r="1" spans="1:36" x14ac:dyDescent="0.3">
      <c r="A1" s="270" t="s">
        <v>104</v>
      </c>
      <c r="B1" s="270" t="s">
        <v>105</v>
      </c>
      <c r="C1" s="270" t="s">
        <v>106</v>
      </c>
      <c r="D1" s="270" t="s">
        <v>23</v>
      </c>
      <c r="E1" s="270" t="s">
        <v>107</v>
      </c>
      <c r="F1" s="270" t="s">
        <v>108</v>
      </c>
      <c r="G1" s="270" t="s">
        <v>16</v>
      </c>
      <c r="H1" s="270" t="s">
        <v>109</v>
      </c>
      <c r="I1" s="270" t="s">
        <v>110</v>
      </c>
      <c r="J1" s="270" t="s">
        <v>111</v>
      </c>
      <c r="K1" s="270" t="s">
        <v>112</v>
      </c>
      <c r="L1" s="270" t="s">
        <v>18</v>
      </c>
      <c r="M1" s="270" t="s">
        <v>20</v>
      </c>
      <c r="N1" s="270" t="s">
        <v>21</v>
      </c>
      <c r="O1" s="270" t="s">
        <v>19</v>
      </c>
      <c r="P1" s="270" t="s">
        <v>22</v>
      </c>
      <c r="Q1" s="270" t="s">
        <v>113</v>
      </c>
      <c r="R1" s="270" t="s">
        <v>114</v>
      </c>
      <c r="S1" s="270" t="s">
        <v>115</v>
      </c>
      <c r="T1" s="270" t="s">
        <v>116</v>
      </c>
      <c r="U1" s="270" t="s">
        <v>117</v>
      </c>
      <c r="V1" s="270" t="s">
        <v>118</v>
      </c>
      <c r="W1" s="270" t="s">
        <v>119</v>
      </c>
      <c r="X1" s="270" t="s">
        <v>120</v>
      </c>
      <c r="Y1" s="270" t="s">
        <v>121</v>
      </c>
      <c r="Z1" s="270" t="s">
        <v>122</v>
      </c>
      <c r="AA1" s="270" t="s">
        <v>123</v>
      </c>
      <c r="AB1" s="270" t="s">
        <v>124</v>
      </c>
      <c r="AC1" s="270" t="s">
        <v>125</v>
      </c>
      <c r="AD1" s="270" t="s">
        <v>126</v>
      </c>
      <c r="AE1" s="270" t="s">
        <v>127</v>
      </c>
      <c r="AF1" s="270" t="s">
        <v>128</v>
      </c>
      <c r="AG1" s="270" t="s">
        <v>129</v>
      </c>
      <c r="AH1" s="270" t="s">
        <v>130</v>
      </c>
      <c r="AI1" s="270" t="s">
        <v>131</v>
      </c>
      <c r="AJ1" s="270" t="s">
        <v>132</v>
      </c>
    </row>
  </sheetData>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H1"/>
  <sheetViews>
    <sheetView workbookViewId="0"/>
  </sheetViews>
  <sheetFormatPr defaultRowHeight="14.4" x14ac:dyDescent="0.3"/>
  <cols>
    <col min="1" max="1" width="6.6640625" bestFit="1" customWidth="1"/>
    <col min="2" max="2" width="9.33203125" bestFit="1" customWidth="1"/>
    <col min="3" max="3" width="14.77734375" bestFit="1" customWidth="1"/>
    <col min="4" max="4" width="8.33203125" bestFit="1" customWidth="1"/>
    <col min="5" max="5" width="13.88671875" bestFit="1" customWidth="1"/>
    <col min="6" max="6" width="11.77734375" bestFit="1" customWidth="1"/>
    <col min="7" max="7" width="15.5546875" bestFit="1" customWidth="1"/>
    <col min="8" max="8" width="19.21875" bestFit="1" customWidth="1"/>
    <col min="9" max="9" width="0" hidden="1" customWidth="1"/>
  </cols>
  <sheetData>
    <row r="1" spans="1:8" ht="18" x14ac:dyDescent="0.3">
      <c r="A1" s="192" t="s">
        <v>156</v>
      </c>
      <c r="B1" s="192" t="s">
        <v>8</v>
      </c>
      <c r="C1" s="192" t="s">
        <v>9</v>
      </c>
      <c r="D1" s="192" t="s">
        <v>157</v>
      </c>
      <c r="E1" s="192" t="s">
        <v>10</v>
      </c>
      <c r="F1" s="192" t="s">
        <v>11</v>
      </c>
      <c r="G1" s="192" t="s">
        <v>12</v>
      </c>
      <c r="H1" s="192" t="s">
        <v>13</v>
      </c>
    </row>
  </sheetData>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1"/>
  <sheetViews>
    <sheetView workbookViewId="0"/>
  </sheetViews>
  <sheetFormatPr defaultRowHeight="14.4" x14ac:dyDescent="0.3"/>
  <cols>
    <col min="1" max="1" width="6.6640625" bestFit="1" customWidth="1"/>
    <col min="2" max="2" width="9.33203125" bestFit="1" customWidth="1"/>
    <col min="3" max="3" width="14.77734375" bestFit="1" customWidth="1"/>
    <col min="4" max="4" width="8.33203125" bestFit="1" customWidth="1"/>
    <col min="5" max="5" width="13.88671875" bestFit="1" customWidth="1"/>
    <col min="6" max="6" width="11.77734375" bestFit="1" customWidth="1"/>
    <col min="7" max="7" width="15.5546875" bestFit="1" customWidth="1"/>
    <col min="8" max="8" width="19.21875" bestFit="1" customWidth="1"/>
    <col min="9" max="9" width="0" hidden="1" customWidth="1"/>
  </cols>
  <sheetData>
    <row r="1" spans="1:8" ht="18" x14ac:dyDescent="0.3">
      <c r="A1" s="192" t="s">
        <v>156</v>
      </c>
      <c r="B1" s="192" t="s">
        <v>8</v>
      </c>
      <c r="C1" s="192" t="s">
        <v>9</v>
      </c>
      <c r="D1" s="192" t="s">
        <v>157</v>
      </c>
      <c r="E1" s="192" t="s">
        <v>10</v>
      </c>
      <c r="F1" s="192" t="s">
        <v>11</v>
      </c>
      <c r="G1" s="192" t="s">
        <v>12</v>
      </c>
      <c r="H1" s="192" t="s">
        <v>13</v>
      </c>
    </row>
  </sheetData>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CN161"/>
  <sheetViews>
    <sheetView workbookViewId="0"/>
  </sheetViews>
  <sheetFormatPr defaultRowHeight="14.4" x14ac:dyDescent="0.3"/>
  <cols>
    <col min="1" max="1" width="15.77734375" bestFit="1" customWidth="1"/>
    <col min="2" max="2" width="15.6640625" bestFit="1" customWidth="1"/>
    <col min="3" max="3" width="14.77734375" bestFit="1" customWidth="1"/>
    <col min="4" max="4" width="33" bestFit="1" customWidth="1"/>
    <col min="5" max="5" width="18.5546875" bestFit="1" customWidth="1"/>
    <col min="6" max="6" width="23.44140625" bestFit="1" customWidth="1"/>
    <col min="7" max="7" width="44.5546875" bestFit="1" customWidth="1"/>
    <col min="8" max="8" width="9.44140625" bestFit="1" customWidth="1"/>
    <col min="9" max="9" width="8" bestFit="1" customWidth="1"/>
    <col min="10" max="10" width="7.5546875" bestFit="1" customWidth="1"/>
    <col min="11" max="11" width="23.4414062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57.21875" bestFit="1" customWidth="1"/>
  </cols>
  <sheetData>
    <row r="1" spans="1:92" ht="28.8" customHeight="1" x14ac:dyDescent="0.3">
      <c r="A1" s="260" t="s">
        <v>0</v>
      </c>
      <c r="B1" s="253"/>
      <c r="C1" s="253"/>
      <c r="D1" s="253"/>
      <c r="E1" s="253"/>
      <c r="F1" s="1" t="s">
        <v>594</v>
      </c>
      <c r="G1" s="2" t="s">
        <v>2</v>
      </c>
      <c r="H1" s="259">
        <v>45982</v>
      </c>
      <c r="I1" s="253"/>
      <c r="J1" s="253"/>
      <c r="K1" s="253"/>
      <c r="L1" s="253"/>
      <c r="M1" s="1" t="s">
        <v>3</v>
      </c>
      <c r="N1" s="266">
        <v>45984</v>
      </c>
      <c r="O1" s="253"/>
      <c r="P1" s="253"/>
      <c r="Q1" s="253"/>
      <c r="R1" s="253"/>
      <c r="CA1" s="3"/>
      <c r="CB1" s="3"/>
      <c r="CC1" s="3"/>
      <c r="CD1" s="3"/>
      <c r="CE1" s="3"/>
      <c r="CF1" s="3"/>
      <c r="CG1" s="3"/>
      <c r="CH1" s="3"/>
      <c r="CI1" s="3"/>
      <c r="CJ1" s="3"/>
      <c r="CK1" s="3"/>
      <c r="CL1" s="3"/>
      <c r="CM1" s="3"/>
      <c r="CN1" s="3"/>
    </row>
    <row r="2" spans="1:92" ht="23.4" customHeight="1" x14ac:dyDescent="0.3">
      <c r="A2" s="252" t="s">
        <v>4</v>
      </c>
      <c r="B2" s="253"/>
      <c r="C2" s="253"/>
      <c r="D2" s="253"/>
      <c r="E2" s="253"/>
      <c r="F2" s="253"/>
      <c r="G2" s="261">
        <v>45981.017791175203</v>
      </c>
      <c r="H2" s="253"/>
      <c r="I2" s="253"/>
      <c r="J2" s="253"/>
      <c r="K2" s="262">
        <v>45981.017791175662</v>
      </c>
      <c r="L2" s="253"/>
      <c r="M2" s="253"/>
      <c r="N2" s="253"/>
      <c r="O2" s="253"/>
      <c r="P2" s="253"/>
      <c r="Q2" s="253"/>
      <c r="R2" s="253"/>
      <c r="CA2" s="3"/>
      <c r="CB2" s="3"/>
      <c r="CC2" s="3"/>
      <c r="CD2" s="3"/>
      <c r="CE2" s="3"/>
      <c r="CF2" s="3"/>
      <c r="CG2" s="3"/>
      <c r="CH2" s="3"/>
      <c r="CI2" s="3"/>
      <c r="CJ2" s="3"/>
      <c r="CK2" s="3"/>
      <c r="CL2" s="3"/>
      <c r="CM2" s="3"/>
      <c r="CN2" s="3"/>
    </row>
    <row r="3" spans="1:92" ht="24" customHeight="1" x14ac:dyDescent="0.3">
      <c r="A3" s="254" t="s">
        <v>5</v>
      </c>
      <c r="B3" s="253"/>
      <c r="C3" s="253"/>
      <c r="D3" s="253"/>
      <c r="E3" s="253"/>
      <c r="F3" s="253"/>
      <c r="G3" s="253"/>
      <c r="H3" s="253"/>
      <c r="I3" s="253"/>
      <c r="J3" s="253"/>
      <c r="K3" s="253"/>
      <c r="L3" s="253"/>
      <c r="M3" s="253"/>
      <c r="N3" s="253"/>
      <c r="O3" s="253"/>
      <c r="P3" s="253"/>
      <c r="Q3" s="253"/>
      <c r="R3" s="253"/>
      <c r="CA3" s="3"/>
      <c r="CB3" s="3"/>
      <c r="CC3" s="3"/>
      <c r="CD3" s="3"/>
      <c r="CE3" s="3"/>
      <c r="CF3" s="3"/>
      <c r="CG3" s="3"/>
      <c r="CH3" s="3"/>
      <c r="CI3" s="3"/>
      <c r="CJ3" s="3"/>
      <c r="CK3" s="3"/>
      <c r="CL3" s="3"/>
      <c r="CM3" s="3"/>
      <c r="CN3" s="3"/>
    </row>
    <row r="4" spans="1:92" ht="22.05" customHeight="1" x14ac:dyDescent="0.3">
      <c r="A4" s="263" t="s">
        <v>6</v>
      </c>
      <c r="B4" s="250"/>
      <c r="C4" s="250"/>
      <c r="D4" s="250"/>
      <c r="E4" s="250"/>
      <c r="F4" s="251"/>
      <c r="G4" s="4">
        <v>45982</v>
      </c>
      <c r="H4" s="264" t="s">
        <v>7</v>
      </c>
      <c r="I4" s="250"/>
      <c r="J4" s="250"/>
      <c r="K4" s="250"/>
      <c r="L4" s="250"/>
      <c r="M4" s="250"/>
      <c r="N4" s="250"/>
      <c r="O4" s="250"/>
      <c r="P4" s="250"/>
      <c r="Q4" s="250"/>
      <c r="R4" s="251"/>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8" t="s">
        <v>36</v>
      </c>
      <c r="B6" s="8" t="s">
        <v>595</v>
      </c>
      <c r="C6" s="9">
        <v>0.76041666666666663</v>
      </c>
      <c r="D6" s="8" t="s">
        <v>38</v>
      </c>
      <c r="E6" s="8" t="s">
        <v>29</v>
      </c>
      <c r="F6" s="8" t="s">
        <v>346</v>
      </c>
      <c r="G6" s="255"/>
      <c r="H6" s="10"/>
      <c r="I6" s="11"/>
      <c r="J6" s="11"/>
      <c r="K6" s="11"/>
      <c r="L6" s="11"/>
      <c r="M6" s="11"/>
      <c r="N6" s="11"/>
      <c r="O6" s="12"/>
      <c r="P6" s="11"/>
      <c r="Q6" s="13"/>
      <c r="R6" s="14"/>
    </row>
    <row r="7" spans="1:92" ht="15" customHeight="1" x14ac:dyDescent="0.3">
      <c r="A7" s="15" t="s">
        <v>36</v>
      </c>
      <c r="B7" s="15" t="s">
        <v>595</v>
      </c>
      <c r="C7" s="16">
        <v>0.76041666666666663</v>
      </c>
      <c r="D7" s="15" t="s">
        <v>41</v>
      </c>
      <c r="E7" s="15" t="s">
        <v>32</v>
      </c>
      <c r="F7" s="15" t="s">
        <v>35</v>
      </c>
      <c r="G7" s="256"/>
      <c r="H7" s="10"/>
      <c r="I7" s="11"/>
      <c r="J7" s="11"/>
      <c r="K7" s="11"/>
      <c r="L7" s="11"/>
      <c r="M7" s="11"/>
      <c r="N7" s="11"/>
      <c r="O7" s="12"/>
      <c r="P7" s="11"/>
      <c r="Q7" s="13"/>
      <c r="R7" s="14"/>
    </row>
    <row r="8" spans="1:92" ht="15" customHeight="1" x14ac:dyDescent="0.3">
      <c r="A8" s="15" t="s">
        <v>36</v>
      </c>
      <c r="B8" s="15" t="s">
        <v>595</v>
      </c>
      <c r="C8" s="16">
        <v>0.76041666666666663</v>
      </c>
      <c r="D8" s="15" t="s">
        <v>44</v>
      </c>
      <c r="E8" s="15" t="s">
        <v>32</v>
      </c>
      <c r="F8" s="15" t="s">
        <v>596</v>
      </c>
      <c r="G8" s="256"/>
      <c r="H8" s="10"/>
      <c r="I8" s="11"/>
      <c r="J8" s="11"/>
      <c r="K8" s="11"/>
      <c r="L8" s="11"/>
      <c r="M8" s="11"/>
      <c r="N8" s="11"/>
      <c r="O8" s="12"/>
      <c r="P8" s="11"/>
      <c r="Q8" s="13"/>
      <c r="R8" s="14"/>
    </row>
    <row r="9" spans="1:92" ht="15" customHeight="1" x14ac:dyDescent="0.3">
      <c r="A9" s="19" t="s">
        <v>36</v>
      </c>
      <c r="B9" s="19" t="s">
        <v>597</v>
      </c>
      <c r="C9" s="20">
        <v>0.81597222222222221</v>
      </c>
      <c r="D9" s="19" t="s">
        <v>38</v>
      </c>
      <c r="E9" s="19" t="s">
        <v>598</v>
      </c>
      <c r="F9" s="19" t="s">
        <v>346</v>
      </c>
      <c r="G9" s="256"/>
      <c r="H9" s="10"/>
      <c r="I9" s="11"/>
      <c r="J9" s="11"/>
      <c r="K9" s="11"/>
      <c r="L9" s="11"/>
      <c r="M9" s="11"/>
      <c r="N9" s="11"/>
      <c r="O9" s="12"/>
      <c r="P9" s="11"/>
      <c r="Q9" s="13"/>
      <c r="R9" s="14"/>
    </row>
    <row r="10" spans="1:92" ht="15" customHeight="1" x14ac:dyDescent="0.3">
      <c r="A10" s="15" t="s">
        <v>36</v>
      </c>
      <c r="B10" s="15" t="s">
        <v>597</v>
      </c>
      <c r="C10" s="16">
        <v>0.81597222222222221</v>
      </c>
      <c r="D10" s="15" t="s">
        <v>41</v>
      </c>
      <c r="E10" s="15" t="s">
        <v>599</v>
      </c>
      <c r="F10" s="15" t="s">
        <v>35</v>
      </c>
      <c r="G10" s="256"/>
      <c r="H10" s="10"/>
      <c r="I10" s="11"/>
      <c r="J10" s="11"/>
      <c r="K10" s="11"/>
      <c r="L10" s="11"/>
      <c r="M10" s="11"/>
      <c r="N10" s="11"/>
      <c r="O10" s="12"/>
      <c r="P10" s="11"/>
      <c r="Q10" s="13"/>
      <c r="R10" s="14"/>
    </row>
    <row r="11" spans="1:92" ht="15" customHeight="1" x14ac:dyDescent="0.3">
      <c r="A11" s="15" t="s">
        <v>36</v>
      </c>
      <c r="B11" s="15" t="s">
        <v>597</v>
      </c>
      <c r="C11" s="16">
        <v>0.81597222222222221</v>
      </c>
      <c r="D11" s="15" t="s">
        <v>44</v>
      </c>
      <c r="E11" s="15" t="s">
        <v>599</v>
      </c>
      <c r="F11" s="15" t="s">
        <v>600</v>
      </c>
      <c r="G11" s="256"/>
      <c r="H11" s="10"/>
      <c r="I11" s="11"/>
      <c r="J11" s="11"/>
      <c r="K11" s="11"/>
      <c r="L11" s="11"/>
      <c r="M11" s="11"/>
      <c r="N11" s="11"/>
      <c r="O11" s="12"/>
      <c r="P11" s="11"/>
      <c r="Q11" s="13"/>
      <c r="R11" s="14"/>
    </row>
    <row r="12" spans="1:92" ht="15" customHeight="1" x14ac:dyDescent="0.3">
      <c r="A12" s="19" t="s">
        <v>36</v>
      </c>
      <c r="B12" s="19" t="s">
        <v>601</v>
      </c>
      <c r="C12" s="20">
        <v>0.44791666666666669</v>
      </c>
      <c r="D12" s="19" t="s">
        <v>38</v>
      </c>
      <c r="E12" s="19" t="s">
        <v>231</v>
      </c>
      <c r="F12" s="19" t="s">
        <v>602</v>
      </c>
      <c r="G12" s="256"/>
      <c r="H12" s="10"/>
      <c r="I12" s="11"/>
      <c r="J12" s="11"/>
      <c r="K12" s="11"/>
      <c r="L12" s="11"/>
      <c r="M12" s="11"/>
      <c r="N12" s="11"/>
      <c r="O12" s="12"/>
      <c r="P12" s="11"/>
      <c r="Q12" s="13"/>
      <c r="R12" s="14"/>
    </row>
    <row r="13" spans="1:92" ht="15" customHeight="1" x14ac:dyDescent="0.3">
      <c r="A13" s="15" t="s">
        <v>36</v>
      </c>
      <c r="B13" s="15" t="s">
        <v>601</v>
      </c>
      <c r="C13" s="16">
        <v>0.44791666666666669</v>
      </c>
      <c r="D13" s="15" t="s">
        <v>41</v>
      </c>
      <c r="E13" s="15" t="s">
        <v>207</v>
      </c>
      <c r="F13" s="15" t="s">
        <v>77</v>
      </c>
      <c r="G13" s="256"/>
      <c r="H13" s="10"/>
      <c r="I13" s="11"/>
      <c r="J13" s="11"/>
      <c r="K13" s="11"/>
      <c r="L13" s="11"/>
      <c r="M13" s="11"/>
      <c r="N13" s="11"/>
      <c r="O13" s="12"/>
      <c r="P13" s="11"/>
      <c r="Q13" s="13"/>
      <c r="R13" s="14"/>
    </row>
    <row r="14" spans="1:92" ht="15" customHeight="1" x14ac:dyDescent="0.3">
      <c r="A14" s="15" t="s">
        <v>36</v>
      </c>
      <c r="B14" s="15" t="s">
        <v>601</v>
      </c>
      <c r="C14" s="16">
        <v>0.44791666666666669</v>
      </c>
      <c r="D14" s="15" t="s">
        <v>44</v>
      </c>
      <c r="E14" s="15" t="s">
        <v>207</v>
      </c>
      <c r="F14" s="15" t="s">
        <v>600</v>
      </c>
      <c r="G14" s="256"/>
      <c r="H14" s="10"/>
      <c r="I14" s="11"/>
      <c r="J14" s="11"/>
      <c r="K14" s="11"/>
      <c r="L14" s="11"/>
      <c r="M14" s="11"/>
      <c r="N14" s="11"/>
      <c r="O14" s="12"/>
      <c r="P14" s="11"/>
      <c r="Q14" s="13"/>
      <c r="R14" s="14"/>
    </row>
    <row r="15" spans="1:92" ht="15" customHeight="1" x14ac:dyDescent="0.3">
      <c r="A15" s="19" t="s">
        <v>36</v>
      </c>
      <c r="B15" s="19" t="s">
        <v>603</v>
      </c>
      <c r="C15" s="20">
        <v>0.5</v>
      </c>
      <c r="D15" s="19" t="s">
        <v>38</v>
      </c>
      <c r="E15" s="19" t="s">
        <v>604</v>
      </c>
      <c r="F15" s="19" t="s">
        <v>602</v>
      </c>
      <c r="G15" s="256"/>
      <c r="H15" s="10"/>
      <c r="I15" s="11"/>
      <c r="J15" s="11"/>
      <c r="K15" s="11"/>
      <c r="L15" s="11"/>
      <c r="M15" s="11"/>
      <c r="N15" s="11"/>
      <c r="O15" s="12"/>
      <c r="P15" s="11"/>
      <c r="Q15" s="13"/>
      <c r="R15" s="14"/>
    </row>
    <row r="16" spans="1:92" ht="15" customHeight="1" x14ac:dyDescent="0.3">
      <c r="A16" s="15" t="s">
        <v>36</v>
      </c>
      <c r="B16" s="15" t="s">
        <v>603</v>
      </c>
      <c r="C16" s="16">
        <v>0.5</v>
      </c>
      <c r="D16" s="15" t="s">
        <v>41</v>
      </c>
      <c r="E16" s="15" t="s">
        <v>605</v>
      </c>
      <c r="F16" s="15" t="s">
        <v>77</v>
      </c>
      <c r="G16" s="256"/>
      <c r="H16" s="10"/>
      <c r="I16" s="11"/>
      <c r="J16" s="11"/>
      <c r="K16" s="11"/>
      <c r="L16" s="11"/>
      <c r="M16" s="11"/>
      <c r="N16" s="11"/>
      <c r="O16" s="12"/>
      <c r="P16" s="11"/>
      <c r="Q16" s="13"/>
      <c r="R16" s="14"/>
    </row>
    <row r="17" spans="1:18" ht="15" customHeight="1" x14ac:dyDescent="0.3">
      <c r="A17" s="15" t="s">
        <v>36</v>
      </c>
      <c r="B17" s="15" t="s">
        <v>603</v>
      </c>
      <c r="C17" s="16">
        <v>0.5</v>
      </c>
      <c r="D17" s="15" t="s">
        <v>44</v>
      </c>
      <c r="E17" s="15" t="s">
        <v>605</v>
      </c>
      <c r="F17" s="15" t="s">
        <v>600</v>
      </c>
      <c r="G17" s="256"/>
      <c r="H17" s="10"/>
      <c r="I17" s="11"/>
      <c r="J17" s="11"/>
      <c r="K17" s="11"/>
      <c r="L17" s="11"/>
      <c r="M17" s="11"/>
      <c r="N17" s="11"/>
      <c r="O17" s="12"/>
      <c r="P17" s="11"/>
      <c r="Q17" s="13"/>
      <c r="R17" s="14"/>
    </row>
    <row r="18" spans="1:18" ht="15" customHeight="1" x14ac:dyDescent="0.3">
      <c r="A18" s="17" t="s">
        <v>26</v>
      </c>
      <c r="B18" s="17" t="s">
        <v>606</v>
      </c>
      <c r="C18" s="18">
        <v>0.30555555555555552</v>
      </c>
      <c r="D18" s="17" t="s">
        <v>28</v>
      </c>
      <c r="E18" s="17" t="s">
        <v>219</v>
      </c>
      <c r="F18" s="17" t="s">
        <v>607</v>
      </c>
      <c r="G18" s="256"/>
      <c r="H18" s="10"/>
      <c r="I18" s="11"/>
      <c r="J18" s="11"/>
      <c r="K18" s="11"/>
      <c r="L18" s="11"/>
      <c r="M18" s="11"/>
      <c r="N18" s="11"/>
      <c r="O18" s="12"/>
      <c r="P18" s="11"/>
      <c r="Q18" s="13"/>
      <c r="R18" s="14"/>
    </row>
    <row r="19" spans="1:18" ht="15" customHeight="1" x14ac:dyDescent="0.3">
      <c r="A19" s="15" t="s">
        <v>26</v>
      </c>
      <c r="B19" s="15" t="s">
        <v>606</v>
      </c>
      <c r="C19" s="16">
        <v>0.30555555555555552</v>
      </c>
      <c r="D19" s="15" t="s">
        <v>31</v>
      </c>
      <c r="E19" s="15" t="s">
        <v>221</v>
      </c>
      <c r="F19" s="15" t="s">
        <v>211</v>
      </c>
      <c r="G19" s="256"/>
      <c r="H19" s="10"/>
      <c r="I19" s="11"/>
      <c r="J19" s="11"/>
      <c r="K19" s="11"/>
      <c r="L19" s="11"/>
      <c r="M19" s="11"/>
      <c r="N19" s="11"/>
      <c r="O19" s="12"/>
      <c r="P19" s="11"/>
      <c r="Q19" s="13"/>
      <c r="R19" s="14"/>
    </row>
    <row r="20" spans="1:18" ht="15" customHeight="1" x14ac:dyDescent="0.3">
      <c r="A20" s="15" t="s">
        <v>26</v>
      </c>
      <c r="B20" s="15" t="s">
        <v>606</v>
      </c>
      <c r="C20" s="16">
        <v>0.30555555555555552</v>
      </c>
      <c r="D20" s="15" t="s">
        <v>34</v>
      </c>
      <c r="E20" s="15" t="s">
        <v>221</v>
      </c>
      <c r="F20" s="15" t="s">
        <v>235</v>
      </c>
      <c r="G20" s="256"/>
      <c r="H20" s="10"/>
      <c r="I20" s="11"/>
      <c r="J20" s="11"/>
      <c r="K20" s="11"/>
      <c r="L20" s="11"/>
      <c r="M20" s="11"/>
      <c r="N20" s="11"/>
      <c r="O20" s="12"/>
      <c r="P20" s="11"/>
      <c r="Q20" s="13"/>
      <c r="R20" s="14"/>
    </row>
    <row r="21" spans="1:18" ht="15" customHeight="1" x14ac:dyDescent="0.3">
      <c r="A21" s="19" t="s">
        <v>26</v>
      </c>
      <c r="B21" s="19" t="s">
        <v>608</v>
      </c>
      <c r="C21" s="20">
        <v>0.82638888888888884</v>
      </c>
      <c r="D21" s="19" t="s">
        <v>28</v>
      </c>
      <c r="E21" s="19" t="s">
        <v>225</v>
      </c>
      <c r="F21" s="19" t="s">
        <v>607</v>
      </c>
      <c r="G21" s="256"/>
      <c r="H21" s="10"/>
      <c r="I21" s="11"/>
      <c r="J21" s="11"/>
      <c r="K21" s="11"/>
      <c r="L21" s="11"/>
      <c r="M21" s="11"/>
      <c r="N21" s="11"/>
      <c r="O21" s="12"/>
      <c r="P21" s="11"/>
      <c r="Q21" s="13"/>
      <c r="R21" s="14"/>
    </row>
    <row r="22" spans="1:18" ht="15" customHeight="1" x14ac:dyDescent="0.3">
      <c r="A22" s="15" t="s">
        <v>26</v>
      </c>
      <c r="B22" s="15" t="s">
        <v>608</v>
      </c>
      <c r="C22" s="16">
        <v>0.82638888888888884</v>
      </c>
      <c r="D22" s="15" t="s">
        <v>31</v>
      </c>
      <c r="E22" s="15" t="s">
        <v>32</v>
      </c>
      <c r="F22" s="15" t="s">
        <v>211</v>
      </c>
      <c r="G22" s="256"/>
      <c r="H22" s="10"/>
      <c r="I22" s="11"/>
      <c r="J22" s="11"/>
      <c r="K22" s="11"/>
      <c r="L22" s="11"/>
      <c r="M22" s="11"/>
      <c r="N22" s="11"/>
      <c r="O22" s="12"/>
      <c r="P22" s="11"/>
      <c r="Q22" s="13"/>
      <c r="R22" s="14"/>
    </row>
    <row r="23" spans="1:18" ht="15" customHeight="1" x14ac:dyDescent="0.3">
      <c r="A23" s="15" t="s">
        <v>26</v>
      </c>
      <c r="B23" s="15" t="s">
        <v>608</v>
      </c>
      <c r="C23" s="16">
        <v>0.82638888888888884</v>
      </c>
      <c r="D23" s="15" t="s">
        <v>34</v>
      </c>
      <c r="E23" s="15" t="s">
        <v>32</v>
      </c>
      <c r="F23" s="15" t="s">
        <v>235</v>
      </c>
      <c r="G23" s="256"/>
      <c r="H23" s="10"/>
      <c r="I23" s="11"/>
      <c r="J23" s="11"/>
      <c r="K23" s="11"/>
      <c r="L23" s="11"/>
      <c r="M23" s="11"/>
      <c r="N23" s="11"/>
      <c r="O23" s="12"/>
      <c r="P23" s="11"/>
      <c r="Q23" s="13"/>
      <c r="R23" s="14"/>
    </row>
    <row r="24" spans="1:18" ht="15" customHeight="1" x14ac:dyDescent="0.3">
      <c r="A24" s="19" t="s">
        <v>26</v>
      </c>
      <c r="B24" s="19" t="s">
        <v>609</v>
      </c>
      <c r="C24" s="20">
        <v>0.5</v>
      </c>
      <c r="D24" s="19" t="s">
        <v>28</v>
      </c>
      <c r="E24" s="19" t="s">
        <v>267</v>
      </c>
      <c r="F24" s="19" t="s">
        <v>607</v>
      </c>
      <c r="G24" s="256"/>
      <c r="H24" s="10"/>
      <c r="I24" s="11"/>
      <c r="J24" s="11"/>
      <c r="K24" s="11"/>
      <c r="L24" s="11"/>
      <c r="M24" s="11"/>
      <c r="N24" s="11"/>
      <c r="O24" s="12"/>
      <c r="P24" s="11"/>
      <c r="Q24" s="13"/>
      <c r="R24" s="14"/>
    </row>
    <row r="25" spans="1:18" ht="15" customHeight="1" x14ac:dyDescent="0.3">
      <c r="A25" s="15" t="s">
        <v>26</v>
      </c>
      <c r="B25" s="15" t="s">
        <v>609</v>
      </c>
      <c r="C25" s="16">
        <v>0.5</v>
      </c>
      <c r="D25" s="15" t="s">
        <v>31</v>
      </c>
      <c r="E25" s="15" t="s">
        <v>221</v>
      </c>
      <c r="F25" s="15" t="s">
        <v>211</v>
      </c>
      <c r="G25" s="256"/>
      <c r="H25" s="10"/>
      <c r="I25" s="11"/>
      <c r="J25" s="11"/>
      <c r="K25" s="11"/>
      <c r="L25" s="11"/>
      <c r="M25" s="11"/>
      <c r="N25" s="11"/>
      <c r="O25" s="12"/>
      <c r="P25" s="11"/>
      <c r="Q25" s="13"/>
      <c r="R25" s="14"/>
    </row>
    <row r="26" spans="1:18" ht="15" customHeight="1" x14ac:dyDescent="0.3">
      <c r="A26" s="15" t="s">
        <v>26</v>
      </c>
      <c r="B26" s="15" t="s">
        <v>609</v>
      </c>
      <c r="C26" s="16">
        <v>0.5</v>
      </c>
      <c r="D26" s="15" t="s">
        <v>34</v>
      </c>
      <c r="E26" s="15" t="s">
        <v>221</v>
      </c>
      <c r="F26" s="15" t="s">
        <v>235</v>
      </c>
      <c r="G26" s="256"/>
      <c r="H26" s="10"/>
      <c r="I26" s="11"/>
      <c r="J26" s="11"/>
      <c r="K26" s="11"/>
      <c r="L26" s="11"/>
      <c r="M26" s="11"/>
      <c r="N26" s="11"/>
      <c r="O26" s="12"/>
      <c r="P26" s="11"/>
      <c r="Q26" s="13"/>
      <c r="R26" s="14"/>
    </row>
    <row r="27" spans="1:18" ht="15" customHeight="1" x14ac:dyDescent="0.3">
      <c r="A27" s="19" t="s">
        <v>26</v>
      </c>
      <c r="B27" s="19" t="s">
        <v>610</v>
      </c>
      <c r="C27" s="20">
        <v>0.42708333333333331</v>
      </c>
      <c r="D27" s="19" t="s">
        <v>28</v>
      </c>
      <c r="E27" s="19" t="s">
        <v>225</v>
      </c>
      <c r="F27" s="19" t="s">
        <v>607</v>
      </c>
      <c r="G27" s="256"/>
      <c r="H27" s="10"/>
      <c r="I27" s="11"/>
      <c r="J27" s="11"/>
      <c r="K27" s="11"/>
      <c r="L27" s="11"/>
      <c r="M27" s="11"/>
      <c r="N27" s="11"/>
      <c r="O27" s="12"/>
      <c r="P27" s="11"/>
      <c r="Q27" s="13"/>
      <c r="R27" s="14"/>
    </row>
    <row r="28" spans="1:18" ht="15" customHeight="1" x14ac:dyDescent="0.3">
      <c r="A28" s="15" t="s">
        <v>26</v>
      </c>
      <c r="B28" s="15" t="s">
        <v>610</v>
      </c>
      <c r="C28" s="16">
        <v>0.42708333333333331</v>
      </c>
      <c r="D28" s="15" t="s">
        <v>31</v>
      </c>
      <c r="E28" s="15" t="s">
        <v>32</v>
      </c>
      <c r="F28" s="15" t="s">
        <v>211</v>
      </c>
      <c r="G28" s="256"/>
      <c r="H28" s="10"/>
      <c r="I28" s="11"/>
      <c r="J28" s="11"/>
      <c r="K28" s="11"/>
      <c r="L28" s="11"/>
      <c r="M28" s="11"/>
      <c r="N28" s="11"/>
      <c r="O28" s="12"/>
      <c r="P28" s="11"/>
      <c r="Q28" s="13"/>
      <c r="R28" s="14"/>
    </row>
    <row r="29" spans="1:18" ht="15" customHeight="1" x14ac:dyDescent="0.3">
      <c r="A29" s="15" t="s">
        <v>26</v>
      </c>
      <c r="B29" s="15" t="s">
        <v>610</v>
      </c>
      <c r="C29" s="16">
        <v>0.42708333333333331</v>
      </c>
      <c r="D29" s="15" t="s">
        <v>34</v>
      </c>
      <c r="E29" s="15" t="s">
        <v>32</v>
      </c>
      <c r="F29" s="15" t="s">
        <v>235</v>
      </c>
      <c r="G29" s="256"/>
      <c r="H29" s="10"/>
      <c r="I29" s="11"/>
      <c r="J29" s="11"/>
      <c r="K29" s="11"/>
      <c r="L29" s="11"/>
      <c r="M29" s="11"/>
      <c r="N29" s="11"/>
      <c r="O29" s="12"/>
      <c r="P29" s="11"/>
      <c r="Q29" s="13"/>
      <c r="R29" s="14"/>
    </row>
    <row r="30" spans="1:18" ht="15" customHeight="1" x14ac:dyDescent="0.3">
      <c r="A30" s="19" t="s">
        <v>26</v>
      </c>
      <c r="B30" s="19" t="s">
        <v>611</v>
      </c>
      <c r="C30" s="20">
        <v>0.6875</v>
      </c>
      <c r="D30" s="19" t="s">
        <v>28</v>
      </c>
      <c r="E30" s="19" t="s">
        <v>92</v>
      </c>
      <c r="F30" s="19" t="s">
        <v>607</v>
      </c>
      <c r="G30" s="256"/>
      <c r="H30" s="10"/>
      <c r="I30" s="11"/>
      <c r="J30" s="11"/>
      <c r="K30" s="11"/>
      <c r="L30" s="11"/>
      <c r="M30" s="11"/>
      <c r="N30" s="11"/>
      <c r="O30" s="12"/>
      <c r="P30" s="11"/>
      <c r="Q30" s="13"/>
      <c r="R30" s="14"/>
    </row>
    <row r="31" spans="1:18" ht="15" customHeight="1" x14ac:dyDescent="0.3">
      <c r="A31" s="15" t="s">
        <v>26</v>
      </c>
      <c r="B31" s="15" t="s">
        <v>611</v>
      </c>
      <c r="C31" s="16">
        <v>0.6875</v>
      </c>
      <c r="D31" s="15" t="s">
        <v>31</v>
      </c>
      <c r="E31" s="15" t="s">
        <v>612</v>
      </c>
      <c r="F31" s="15" t="s">
        <v>211</v>
      </c>
      <c r="G31" s="256"/>
      <c r="H31" s="10"/>
      <c r="I31" s="11"/>
      <c r="J31" s="11"/>
      <c r="K31" s="11"/>
      <c r="L31" s="11"/>
      <c r="M31" s="11"/>
      <c r="N31" s="11"/>
      <c r="O31" s="12"/>
      <c r="P31" s="11"/>
      <c r="Q31" s="13"/>
      <c r="R31" s="14"/>
    </row>
    <row r="32" spans="1:18" ht="15" customHeight="1" x14ac:dyDescent="0.3">
      <c r="A32" s="15" t="s">
        <v>26</v>
      </c>
      <c r="B32" s="15" t="s">
        <v>611</v>
      </c>
      <c r="C32" s="16">
        <v>0.6875</v>
      </c>
      <c r="D32" s="15" t="s">
        <v>34</v>
      </c>
      <c r="E32" s="15" t="s">
        <v>612</v>
      </c>
      <c r="F32" s="15" t="s">
        <v>235</v>
      </c>
      <c r="G32" s="256"/>
      <c r="H32" s="10"/>
      <c r="I32" s="11"/>
      <c r="J32" s="11"/>
      <c r="K32" s="11"/>
      <c r="L32" s="11"/>
      <c r="M32" s="11"/>
      <c r="N32" s="11"/>
      <c r="O32" s="12"/>
      <c r="P32" s="11"/>
      <c r="Q32" s="13"/>
      <c r="R32" s="14"/>
    </row>
    <row r="33" spans="1:18" ht="15" customHeight="1" x14ac:dyDescent="0.3">
      <c r="A33" s="19" t="s">
        <v>26</v>
      </c>
      <c r="B33" s="19" t="s">
        <v>613</v>
      </c>
      <c r="C33" s="20">
        <v>0.375</v>
      </c>
      <c r="D33" s="19" t="s">
        <v>28</v>
      </c>
      <c r="E33" s="19" t="s">
        <v>231</v>
      </c>
      <c r="F33" s="19" t="s">
        <v>607</v>
      </c>
      <c r="G33" s="256"/>
      <c r="H33" s="10"/>
      <c r="I33" s="11"/>
      <c r="J33" s="11"/>
      <c r="K33" s="11"/>
      <c r="L33" s="11"/>
      <c r="M33" s="11"/>
      <c r="N33" s="11"/>
      <c r="O33" s="12"/>
      <c r="P33" s="11"/>
      <c r="Q33" s="13"/>
      <c r="R33" s="14"/>
    </row>
    <row r="34" spans="1:18" ht="15" customHeight="1" x14ac:dyDescent="0.3">
      <c r="A34" s="15" t="s">
        <v>26</v>
      </c>
      <c r="B34" s="15" t="s">
        <v>613</v>
      </c>
      <c r="C34" s="16">
        <v>0.375</v>
      </c>
      <c r="D34" s="15" t="s">
        <v>31</v>
      </c>
      <c r="E34" s="15" t="s">
        <v>207</v>
      </c>
      <c r="F34" s="15" t="s">
        <v>211</v>
      </c>
      <c r="G34" s="256"/>
      <c r="H34" s="10"/>
      <c r="I34" s="11"/>
      <c r="J34" s="11"/>
      <c r="K34" s="11"/>
      <c r="L34" s="11"/>
      <c r="M34" s="11"/>
      <c r="N34" s="11"/>
      <c r="O34" s="12"/>
      <c r="P34" s="11"/>
      <c r="Q34" s="13"/>
      <c r="R34" s="14"/>
    </row>
    <row r="35" spans="1:18" ht="15" customHeight="1" x14ac:dyDescent="0.3">
      <c r="A35" s="15" t="s">
        <v>26</v>
      </c>
      <c r="B35" s="15" t="s">
        <v>613</v>
      </c>
      <c r="C35" s="16">
        <v>0.375</v>
      </c>
      <c r="D35" s="15" t="s">
        <v>34</v>
      </c>
      <c r="E35" s="15" t="s">
        <v>207</v>
      </c>
      <c r="F35" s="15" t="s">
        <v>235</v>
      </c>
      <c r="G35" s="256"/>
      <c r="H35" s="10"/>
      <c r="I35" s="11"/>
      <c r="J35" s="11"/>
      <c r="K35" s="11"/>
      <c r="L35" s="11"/>
      <c r="M35" s="11"/>
      <c r="N35" s="11"/>
      <c r="O35" s="12"/>
      <c r="P35" s="11"/>
      <c r="Q35" s="13"/>
      <c r="R35" s="14"/>
    </row>
    <row r="36" spans="1:18" ht="15" customHeight="1" x14ac:dyDescent="0.3">
      <c r="A36" s="19" t="s">
        <v>26</v>
      </c>
      <c r="B36" s="19" t="s">
        <v>614</v>
      </c>
      <c r="C36" s="20">
        <v>0.56597222222222221</v>
      </c>
      <c r="D36" s="19" t="s">
        <v>28</v>
      </c>
      <c r="E36" s="19" t="s">
        <v>231</v>
      </c>
      <c r="F36" s="19" t="s">
        <v>607</v>
      </c>
      <c r="G36" s="256"/>
      <c r="H36" s="10"/>
      <c r="I36" s="11"/>
      <c r="J36" s="11"/>
      <c r="K36" s="11"/>
      <c r="L36" s="11"/>
      <c r="M36" s="11"/>
      <c r="N36" s="11"/>
      <c r="O36" s="12"/>
      <c r="P36" s="11"/>
      <c r="Q36" s="13"/>
      <c r="R36" s="14"/>
    </row>
    <row r="37" spans="1:18" ht="15" customHeight="1" x14ac:dyDescent="0.3">
      <c r="A37" s="15" t="s">
        <v>26</v>
      </c>
      <c r="B37" s="15" t="s">
        <v>614</v>
      </c>
      <c r="C37" s="16">
        <v>0.56597222222222221</v>
      </c>
      <c r="D37" s="15" t="s">
        <v>31</v>
      </c>
      <c r="E37" s="15" t="s">
        <v>207</v>
      </c>
      <c r="F37" s="15" t="s">
        <v>211</v>
      </c>
      <c r="G37" s="256"/>
      <c r="H37" s="10"/>
      <c r="I37" s="11"/>
      <c r="J37" s="11"/>
      <c r="K37" s="11"/>
      <c r="L37" s="11"/>
      <c r="M37" s="11"/>
      <c r="N37" s="11"/>
      <c r="O37" s="12"/>
      <c r="P37" s="11"/>
      <c r="Q37" s="13"/>
      <c r="R37" s="14"/>
    </row>
    <row r="38" spans="1:18" ht="15" customHeight="1" x14ac:dyDescent="0.3">
      <c r="A38" s="15" t="s">
        <v>26</v>
      </c>
      <c r="B38" s="15" t="s">
        <v>614</v>
      </c>
      <c r="C38" s="16">
        <v>0.56597222222222221</v>
      </c>
      <c r="D38" s="15" t="s">
        <v>34</v>
      </c>
      <c r="E38" s="15" t="s">
        <v>207</v>
      </c>
      <c r="F38" s="15" t="s">
        <v>235</v>
      </c>
      <c r="G38" s="256"/>
      <c r="H38" s="10"/>
      <c r="I38" s="11"/>
      <c r="J38" s="11"/>
      <c r="K38" s="11"/>
      <c r="L38" s="11"/>
      <c r="M38" s="11"/>
      <c r="N38" s="11"/>
      <c r="O38" s="12"/>
      <c r="P38" s="11"/>
      <c r="Q38" s="13"/>
      <c r="R38" s="14"/>
    </row>
    <row r="39" spans="1:18" ht="15" customHeight="1" x14ac:dyDescent="0.3">
      <c r="A39" s="17" t="s">
        <v>323</v>
      </c>
      <c r="B39" s="17" t="s">
        <v>615</v>
      </c>
      <c r="C39" s="18">
        <v>0.27777777777777779</v>
      </c>
      <c r="D39" s="17" t="s">
        <v>245</v>
      </c>
      <c r="E39" s="17" t="s">
        <v>205</v>
      </c>
      <c r="F39" s="17" t="s">
        <v>616</v>
      </c>
      <c r="G39" s="256"/>
      <c r="H39" s="10"/>
      <c r="I39" s="11"/>
      <c r="J39" s="11"/>
      <c r="K39" s="11"/>
      <c r="L39" s="11"/>
      <c r="M39" s="11"/>
      <c r="N39" s="11"/>
      <c r="O39" s="12"/>
      <c r="P39" s="11"/>
      <c r="Q39" s="13"/>
      <c r="R39" s="14"/>
    </row>
    <row r="40" spans="1:18" ht="15" customHeight="1" x14ac:dyDescent="0.3">
      <c r="A40" s="170" t="s">
        <v>93</v>
      </c>
      <c r="B40" s="170" t="s">
        <v>617</v>
      </c>
      <c r="C40" s="171">
        <v>0.60416666666666663</v>
      </c>
      <c r="D40" s="170" t="s">
        <v>249</v>
      </c>
      <c r="E40" s="170" t="s">
        <v>49</v>
      </c>
      <c r="F40" s="170" t="s">
        <v>618</v>
      </c>
      <c r="G40" s="256"/>
      <c r="H40" s="127" t="s">
        <v>619</v>
      </c>
      <c r="I40" s="146">
        <v>0.8155</v>
      </c>
      <c r="J40" s="129">
        <v>137</v>
      </c>
      <c r="K40" s="130" t="s">
        <v>180</v>
      </c>
      <c r="L40" s="129">
        <v>29</v>
      </c>
      <c r="M40" s="129">
        <v>0</v>
      </c>
      <c r="N40" s="129">
        <v>1</v>
      </c>
      <c r="O40" s="131" t="s">
        <v>620</v>
      </c>
      <c r="P40" s="132">
        <v>0.60416666666666663</v>
      </c>
      <c r="Q40" s="129">
        <v>168</v>
      </c>
      <c r="R40" s="133" t="s">
        <v>621</v>
      </c>
    </row>
    <row r="41" spans="1:18" ht="15" customHeight="1" x14ac:dyDescent="0.3">
      <c r="A41" s="193" t="s">
        <v>93</v>
      </c>
      <c r="B41" s="193" t="s">
        <v>622</v>
      </c>
      <c r="C41" s="194">
        <v>0.92361111111111116</v>
      </c>
      <c r="D41" s="193" t="s">
        <v>249</v>
      </c>
      <c r="E41" s="193" t="s">
        <v>52</v>
      </c>
      <c r="F41" s="193" t="s">
        <v>618</v>
      </c>
      <c r="G41" s="256"/>
      <c r="H41" s="89" t="s">
        <v>623</v>
      </c>
      <c r="I41" s="164">
        <v>0.77980000000000005</v>
      </c>
      <c r="J41" s="91">
        <v>131</v>
      </c>
      <c r="K41" s="92" t="s">
        <v>180</v>
      </c>
      <c r="L41" s="91">
        <v>49</v>
      </c>
      <c r="M41" s="91">
        <v>0</v>
      </c>
      <c r="N41" s="91">
        <v>5</v>
      </c>
      <c r="O41" s="93" t="s">
        <v>620</v>
      </c>
      <c r="P41" s="94">
        <v>0.92361111111111116</v>
      </c>
      <c r="Q41" s="91">
        <v>168</v>
      </c>
      <c r="R41" s="95" t="s">
        <v>624</v>
      </c>
    </row>
    <row r="42" spans="1:18" ht="15" customHeight="1" x14ac:dyDescent="0.3">
      <c r="A42" s="17" t="s">
        <v>46</v>
      </c>
      <c r="B42" s="17" t="s">
        <v>625</v>
      </c>
      <c r="C42" s="18">
        <v>0.91666666666666663</v>
      </c>
      <c r="D42" s="17" t="s">
        <v>48</v>
      </c>
      <c r="E42" s="17" t="s">
        <v>49</v>
      </c>
      <c r="F42" s="17" t="s">
        <v>626</v>
      </c>
      <c r="G42" s="256"/>
      <c r="H42" s="10"/>
      <c r="I42" s="11"/>
      <c r="J42" s="11"/>
      <c r="K42" s="11"/>
      <c r="L42" s="11"/>
      <c r="M42" s="11"/>
      <c r="N42" s="11"/>
      <c r="O42" s="12"/>
      <c r="P42" s="11"/>
      <c r="Q42" s="13"/>
      <c r="R42" s="14"/>
    </row>
    <row r="43" spans="1:18" ht="15" customHeight="1" x14ac:dyDescent="0.3">
      <c r="A43" s="19" t="s">
        <v>46</v>
      </c>
      <c r="B43" s="19" t="s">
        <v>627</v>
      </c>
      <c r="C43" s="20">
        <v>0.54166666666666663</v>
      </c>
      <c r="D43" s="19" t="s">
        <v>48</v>
      </c>
      <c r="E43" s="19" t="s">
        <v>267</v>
      </c>
      <c r="F43" s="19" t="s">
        <v>628</v>
      </c>
      <c r="G43" s="256"/>
      <c r="H43" s="10"/>
      <c r="I43" s="11"/>
      <c r="J43" s="11"/>
      <c r="K43" s="11"/>
      <c r="L43" s="11"/>
      <c r="M43" s="11"/>
      <c r="N43" s="11"/>
      <c r="O43" s="12"/>
      <c r="P43" s="11"/>
      <c r="Q43" s="13"/>
      <c r="R43" s="14"/>
    </row>
    <row r="44" spans="1:18" ht="15" customHeight="1" x14ac:dyDescent="0.3">
      <c r="A44" s="17" t="s">
        <v>243</v>
      </c>
      <c r="B44" s="17" t="s">
        <v>629</v>
      </c>
      <c r="C44" s="18">
        <v>0.39583333333333331</v>
      </c>
      <c r="D44" s="17" t="s">
        <v>245</v>
      </c>
      <c r="E44" s="17" t="s">
        <v>219</v>
      </c>
      <c r="F44" s="17" t="s">
        <v>630</v>
      </c>
      <c r="G44" s="256"/>
      <c r="H44" s="10"/>
      <c r="I44" s="11"/>
      <c r="J44" s="11"/>
      <c r="K44" s="11"/>
      <c r="L44" s="11"/>
      <c r="M44" s="11"/>
      <c r="N44" s="11"/>
      <c r="O44" s="12"/>
      <c r="P44" s="11"/>
      <c r="Q44" s="13"/>
      <c r="R44" s="14"/>
    </row>
    <row r="45" spans="1:18" ht="15" customHeight="1" x14ac:dyDescent="0.3">
      <c r="A45" s="17" t="s">
        <v>56</v>
      </c>
      <c r="B45" s="17" t="s">
        <v>631</v>
      </c>
      <c r="C45" s="18">
        <v>0.83680555555555547</v>
      </c>
      <c r="D45" s="17" t="s">
        <v>62</v>
      </c>
      <c r="E45" s="17" t="s">
        <v>49</v>
      </c>
      <c r="F45" s="17" t="s">
        <v>632</v>
      </c>
      <c r="G45" s="256"/>
      <c r="H45" s="10"/>
      <c r="I45" s="11"/>
      <c r="J45" s="11"/>
      <c r="K45" s="11"/>
      <c r="L45" s="11"/>
      <c r="M45" s="11"/>
      <c r="N45" s="11"/>
      <c r="O45" s="12"/>
      <c r="P45" s="11"/>
      <c r="Q45" s="13"/>
      <c r="R45" s="14"/>
    </row>
    <row r="46" spans="1:18" ht="15" customHeight="1" x14ac:dyDescent="0.3">
      <c r="A46" s="15" t="s">
        <v>56</v>
      </c>
      <c r="B46" s="15" t="s">
        <v>631</v>
      </c>
      <c r="C46" s="16">
        <v>0.83680555555555547</v>
      </c>
      <c r="D46" s="15" t="s">
        <v>58</v>
      </c>
      <c r="E46" s="15" t="s">
        <v>101</v>
      </c>
      <c r="F46" s="15" t="s">
        <v>633</v>
      </c>
      <c r="G46" s="256"/>
      <c r="H46" s="10"/>
      <c r="I46" s="11"/>
      <c r="J46" s="11"/>
      <c r="K46" s="11"/>
      <c r="L46" s="11"/>
      <c r="M46" s="11"/>
      <c r="N46" s="11"/>
      <c r="O46" s="12"/>
      <c r="P46" s="11"/>
      <c r="Q46" s="13"/>
      <c r="R46" s="14"/>
    </row>
    <row r="47" spans="1:18" ht="15" customHeight="1" x14ac:dyDescent="0.3">
      <c r="A47" s="19" t="s">
        <v>56</v>
      </c>
      <c r="B47" s="19" t="s">
        <v>634</v>
      </c>
      <c r="C47" s="20">
        <v>0.76041666666666663</v>
      </c>
      <c r="D47" s="19" t="s">
        <v>58</v>
      </c>
      <c r="E47" s="19" t="s">
        <v>92</v>
      </c>
      <c r="F47" s="19" t="s">
        <v>635</v>
      </c>
      <c r="G47" s="256"/>
      <c r="H47" s="10"/>
      <c r="I47" s="11"/>
      <c r="J47" s="11"/>
      <c r="K47" s="11"/>
      <c r="L47" s="11"/>
      <c r="M47" s="11"/>
      <c r="N47" s="11"/>
      <c r="O47" s="12"/>
      <c r="P47" s="11"/>
      <c r="Q47" s="13"/>
      <c r="R47" s="14"/>
    </row>
    <row r="48" spans="1:18" ht="15" customHeight="1" x14ac:dyDescent="0.3">
      <c r="A48" s="19" t="s">
        <v>56</v>
      </c>
      <c r="B48" s="19" t="s">
        <v>636</v>
      </c>
      <c r="C48" s="20">
        <v>0.81597222222222221</v>
      </c>
      <c r="D48" s="19" t="s">
        <v>58</v>
      </c>
      <c r="E48" s="19" t="s">
        <v>92</v>
      </c>
      <c r="F48" s="19" t="s">
        <v>635</v>
      </c>
      <c r="G48" s="256"/>
      <c r="H48" s="10"/>
      <c r="I48" s="11"/>
      <c r="J48" s="11"/>
      <c r="K48" s="11"/>
      <c r="L48" s="11"/>
      <c r="M48" s="11"/>
      <c r="N48" s="11"/>
      <c r="O48" s="12"/>
      <c r="P48" s="11"/>
      <c r="Q48" s="13"/>
      <c r="R48" s="14"/>
    </row>
    <row r="49" spans="1:18" ht="15" customHeight="1" x14ac:dyDescent="0.3">
      <c r="A49" s="19" t="s">
        <v>56</v>
      </c>
      <c r="B49" s="19" t="s">
        <v>637</v>
      </c>
      <c r="C49" s="20">
        <v>0.2986111111111111</v>
      </c>
      <c r="D49" s="19" t="s">
        <v>62</v>
      </c>
      <c r="E49" s="19" t="s">
        <v>52</v>
      </c>
      <c r="F49" s="19" t="s">
        <v>638</v>
      </c>
      <c r="G49" s="256"/>
      <c r="H49" s="10"/>
      <c r="I49" s="11"/>
      <c r="J49" s="11"/>
      <c r="K49" s="11"/>
      <c r="L49" s="11"/>
      <c r="M49" s="11"/>
      <c r="N49" s="11"/>
      <c r="O49" s="12"/>
      <c r="P49" s="11"/>
      <c r="Q49" s="13"/>
      <c r="R49" s="14"/>
    </row>
    <row r="50" spans="1:18" ht="15" customHeight="1" x14ac:dyDescent="0.3">
      <c r="A50" s="15" t="s">
        <v>56</v>
      </c>
      <c r="B50" s="15" t="s">
        <v>637</v>
      </c>
      <c r="C50" s="16">
        <v>0.2986111111111111</v>
      </c>
      <c r="D50" s="15" t="s">
        <v>58</v>
      </c>
      <c r="E50" s="15" t="s">
        <v>101</v>
      </c>
      <c r="F50" s="15" t="s">
        <v>639</v>
      </c>
      <c r="G50" s="256"/>
      <c r="H50" s="10"/>
      <c r="I50" s="11"/>
      <c r="J50" s="11"/>
      <c r="K50" s="11"/>
      <c r="L50" s="11"/>
      <c r="M50" s="11"/>
      <c r="N50" s="11"/>
      <c r="O50" s="12"/>
      <c r="P50" s="11"/>
      <c r="Q50" s="13"/>
      <c r="R50" s="14"/>
    </row>
    <row r="51" spans="1:18" ht="15" customHeight="1" x14ac:dyDescent="0.3">
      <c r="A51" s="19" t="s">
        <v>56</v>
      </c>
      <c r="B51" s="19" t="s">
        <v>640</v>
      </c>
      <c r="C51" s="20">
        <v>0.68402777777777779</v>
      </c>
      <c r="D51" s="19" t="s">
        <v>62</v>
      </c>
      <c r="E51" s="19" t="s">
        <v>52</v>
      </c>
      <c r="F51" s="19" t="s">
        <v>638</v>
      </c>
      <c r="G51" s="256"/>
      <c r="H51" s="10"/>
      <c r="I51" s="11"/>
      <c r="J51" s="11"/>
      <c r="K51" s="11"/>
      <c r="L51" s="11"/>
      <c r="M51" s="11"/>
      <c r="N51" s="11"/>
      <c r="O51" s="12"/>
      <c r="P51" s="11"/>
      <c r="Q51" s="13"/>
      <c r="R51" s="14"/>
    </row>
    <row r="52" spans="1:18" ht="15" customHeight="1" x14ac:dyDescent="0.3">
      <c r="A52" s="15" t="s">
        <v>56</v>
      </c>
      <c r="B52" s="15" t="s">
        <v>640</v>
      </c>
      <c r="C52" s="16">
        <v>0.68402777777777779</v>
      </c>
      <c r="D52" s="15" t="s">
        <v>58</v>
      </c>
      <c r="E52" s="15" t="s">
        <v>101</v>
      </c>
      <c r="F52" s="15" t="s">
        <v>639</v>
      </c>
      <c r="G52" s="256"/>
      <c r="H52" s="10"/>
      <c r="I52" s="11"/>
      <c r="J52" s="11"/>
      <c r="K52" s="11"/>
      <c r="L52" s="11"/>
      <c r="M52" s="11"/>
      <c r="N52" s="11"/>
      <c r="O52" s="12"/>
      <c r="P52" s="11"/>
      <c r="Q52" s="13"/>
      <c r="R52" s="14"/>
    </row>
    <row r="53" spans="1:18" ht="15" customHeight="1" x14ac:dyDescent="0.3">
      <c r="A53" s="19" t="s">
        <v>56</v>
      </c>
      <c r="B53" s="19" t="s">
        <v>641</v>
      </c>
      <c r="C53" s="20">
        <v>0.4826388888888889</v>
      </c>
      <c r="D53" s="19" t="s">
        <v>62</v>
      </c>
      <c r="E53" s="19" t="s">
        <v>52</v>
      </c>
      <c r="F53" s="19" t="s">
        <v>638</v>
      </c>
      <c r="G53" s="256"/>
      <c r="H53" s="10"/>
      <c r="I53" s="11"/>
      <c r="J53" s="11"/>
      <c r="K53" s="11"/>
      <c r="L53" s="11"/>
      <c r="M53" s="11"/>
      <c r="N53" s="11"/>
      <c r="O53" s="12"/>
      <c r="P53" s="11"/>
      <c r="Q53" s="13"/>
      <c r="R53" s="14"/>
    </row>
    <row r="54" spans="1:18" ht="15" customHeight="1" thickBot="1" x14ac:dyDescent="0.35">
      <c r="A54" s="21" t="s">
        <v>56</v>
      </c>
      <c r="B54" s="21" t="s">
        <v>641</v>
      </c>
      <c r="C54" s="22">
        <v>0.4826388888888889</v>
      </c>
      <c r="D54" s="21" t="s">
        <v>58</v>
      </c>
      <c r="E54" s="21" t="s">
        <v>101</v>
      </c>
      <c r="F54" s="21" t="s">
        <v>639</v>
      </c>
      <c r="G54" s="257"/>
      <c r="H54" s="23"/>
      <c r="I54" s="24"/>
      <c r="J54" s="24"/>
      <c r="K54" s="24"/>
      <c r="L54" s="24"/>
      <c r="M54" s="24"/>
      <c r="N54" s="24"/>
      <c r="O54" s="25"/>
      <c r="P54" s="24"/>
      <c r="Q54" s="26"/>
      <c r="R54" s="27"/>
    </row>
    <row r="55" spans="1:18" ht="17.399999999999999" customHeight="1" thickBot="1" x14ac:dyDescent="0.35">
      <c r="A55" s="284"/>
      <c r="B55" s="285"/>
      <c r="C55" s="285"/>
      <c r="D55" s="285"/>
      <c r="E55" s="285"/>
      <c r="F55" s="285"/>
      <c r="G55" s="285"/>
      <c r="H55" s="285"/>
      <c r="I55" s="285"/>
      <c r="J55" s="285"/>
      <c r="K55" s="285"/>
      <c r="L55" s="285"/>
      <c r="M55" s="285"/>
      <c r="N55" s="285"/>
      <c r="O55" s="285"/>
      <c r="P55" s="285"/>
      <c r="Q55" s="285"/>
      <c r="R55" s="286"/>
    </row>
    <row r="56" spans="1:18" ht="22.05" customHeight="1" thickTop="1" thickBot="1" x14ac:dyDescent="0.35">
      <c r="A56" s="249" t="s">
        <v>6</v>
      </c>
      <c r="B56" s="250"/>
      <c r="C56" s="250"/>
      <c r="D56" s="250"/>
      <c r="E56" s="250"/>
      <c r="F56" s="251"/>
      <c r="G56" s="28">
        <v>45983</v>
      </c>
      <c r="H56" s="258" t="s">
        <v>7</v>
      </c>
      <c r="I56" s="250"/>
      <c r="J56" s="250"/>
      <c r="K56" s="250"/>
      <c r="L56" s="250"/>
      <c r="M56" s="250"/>
      <c r="N56" s="250"/>
      <c r="O56" s="250"/>
      <c r="P56" s="250"/>
      <c r="Q56" s="250"/>
      <c r="R56" s="251"/>
    </row>
    <row r="57" spans="1:18" ht="24" customHeight="1" x14ac:dyDescent="0.3">
      <c r="A57" s="29" t="s">
        <v>8</v>
      </c>
      <c r="B57" s="29" t="s">
        <v>9</v>
      </c>
      <c r="C57" s="30" t="s">
        <v>10</v>
      </c>
      <c r="D57" s="29" t="s">
        <v>11</v>
      </c>
      <c r="E57" s="29" t="s">
        <v>12</v>
      </c>
      <c r="F57" s="31" t="s">
        <v>13</v>
      </c>
      <c r="G57" s="32" t="s">
        <v>14</v>
      </c>
      <c r="H57" s="29" t="s">
        <v>15</v>
      </c>
      <c r="I57" s="33" t="s">
        <v>16</v>
      </c>
      <c r="J57" s="34" t="s">
        <v>17</v>
      </c>
      <c r="K57" s="35" t="s">
        <v>18</v>
      </c>
      <c r="L57" s="34" t="s">
        <v>19</v>
      </c>
      <c r="M57" s="34" t="s">
        <v>20</v>
      </c>
      <c r="N57" s="34" t="s">
        <v>21</v>
      </c>
      <c r="O57" s="29" t="s">
        <v>22</v>
      </c>
      <c r="P57" s="30" t="s">
        <v>23</v>
      </c>
      <c r="Q57" s="34" t="s">
        <v>24</v>
      </c>
      <c r="R57" s="29" t="s">
        <v>25</v>
      </c>
    </row>
    <row r="58" spans="1:18" ht="15" customHeight="1" x14ac:dyDescent="0.3">
      <c r="A58" s="8" t="s">
        <v>36</v>
      </c>
      <c r="B58" s="8" t="s">
        <v>601</v>
      </c>
      <c r="C58" s="9">
        <v>0.44791666666666669</v>
      </c>
      <c r="D58" s="8" t="s">
        <v>38</v>
      </c>
      <c r="E58" s="8" t="s">
        <v>642</v>
      </c>
      <c r="F58" s="8" t="s">
        <v>643</v>
      </c>
      <c r="G58" s="255"/>
      <c r="H58" s="10"/>
      <c r="I58" s="11"/>
      <c r="J58" s="11"/>
      <c r="K58" s="11"/>
      <c r="L58" s="11"/>
      <c r="M58" s="11"/>
      <c r="N58" s="11"/>
      <c r="O58" s="12"/>
      <c r="P58" s="11"/>
      <c r="Q58" s="13"/>
      <c r="R58" s="14"/>
    </row>
    <row r="59" spans="1:18" ht="15" customHeight="1" x14ac:dyDescent="0.3">
      <c r="A59" s="15" t="s">
        <v>36</v>
      </c>
      <c r="B59" s="15" t="s">
        <v>601</v>
      </c>
      <c r="C59" s="16">
        <v>0.44791666666666669</v>
      </c>
      <c r="D59" s="15" t="s">
        <v>41</v>
      </c>
      <c r="E59" s="15" t="s">
        <v>210</v>
      </c>
      <c r="F59" s="15" t="s">
        <v>33</v>
      </c>
      <c r="G59" s="256"/>
      <c r="H59" s="10"/>
      <c r="I59" s="11"/>
      <c r="J59" s="11"/>
      <c r="K59" s="11"/>
      <c r="L59" s="11"/>
      <c r="M59" s="11"/>
      <c r="N59" s="11"/>
      <c r="O59" s="12"/>
      <c r="P59" s="11"/>
      <c r="Q59" s="13"/>
      <c r="R59" s="14"/>
    </row>
    <row r="60" spans="1:18" ht="15" customHeight="1" x14ac:dyDescent="0.3">
      <c r="A60" s="15" t="s">
        <v>36</v>
      </c>
      <c r="B60" s="15" t="s">
        <v>601</v>
      </c>
      <c r="C60" s="16">
        <v>0.44791666666666669</v>
      </c>
      <c r="D60" s="15" t="s">
        <v>44</v>
      </c>
      <c r="E60" s="15" t="s">
        <v>210</v>
      </c>
      <c r="F60" s="15" t="s">
        <v>600</v>
      </c>
      <c r="G60" s="256"/>
      <c r="H60" s="10"/>
      <c r="I60" s="11"/>
      <c r="J60" s="11"/>
      <c r="K60" s="11"/>
      <c r="L60" s="11"/>
      <c r="M60" s="11"/>
      <c r="N60" s="11"/>
      <c r="O60" s="12"/>
      <c r="P60" s="11"/>
      <c r="Q60" s="13"/>
      <c r="R60" s="14"/>
    </row>
    <row r="61" spans="1:18" ht="15" customHeight="1" x14ac:dyDescent="0.3">
      <c r="A61" s="19" t="s">
        <v>36</v>
      </c>
      <c r="B61" s="19" t="s">
        <v>603</v>
      </c>
      <c r="C61" s="20">
        <v>0.5</v>
      </c>
      <c r="D61" s="19" t="s">
        <v>38</v>
      </c>
      <c r="E61" s="19" t="s">
        <v>228</v>
      </c>
      <c r="F61" s="19" t="s">
        <v>643</v>
      </c>
      <c r="G61" s="256"/>
      <c r="H61" s="10"/>
      <c r="I61" s="11"/>
      <c r="J61" s="11"/>
      <c r="K61" s="11"/>
      <c r="L61" s="11"/>
      <c r="M61" s="11"/>
      <c r="N61" s="11"/>
      <c r="O61" s="12"/>
      <c r="P61" s="11"/>
      <c r="Q61" s="13"/>
      <c r="R61" s="14"/>
    </row>
    <row r="62" spans="1:18" ht="15" customHeight="1" x14ac:dyDescent="0.3">
      <c r="A62" s="15" t="s">
        <v>36</v>
      </c>
      <c r="B62" s="15" t="s">
        <v>603</v>
      </c>
      <c r="C62" s="16">
        <v>0.5</v>
      </c>
      <c r="D62" s="15" t="s">
        <v>41</v>
      </c>
      <c r="E62" s="15" t="s">
        <v>229</v>
      </c>
      <c r="F62" s="15" t="s">
        <v>33</v>
      </c>
      <c r="G62" s="256"/>
      <c r="H62" s="10"/>
      <c r="I62" s="11"/>
      <c r="J62" s="11"/>
      <c r="K62" s="11"/>
      <c r="L62" s="11"/>
      <c r="M62" s="11"/>
      <c r="N62" s="11"/>
      <c r="O62" s="12"/>
      <c r="P62" s="11"/>
      <c r="Q62" s="13"/>
      <c r="R62" s="14"/>
    </row>
    <row r="63" spans="1:18" ht="15" customHeight="1" x14ac:dyDescent="0.3">
      <c r="A63" s="15" t="s">
        <v>36</v>
      </c>
      <c r="B63" s="15" t="s">
        <v>603</v>
      </c>
      <c r="C63" s="16">
        <v>0.5</v>
      </c>
      <c r="D63" s="15" t="s">
        <v>44</v>
      </c>
      <c r="E63" s="15" t="s">
        <v>229</v>
      </c>
      <c r="F63" s="15" t="s">
        <v>596</v>
      </c>
      <c r="G63" s="256"/>
      <c r="H63" s="10"/>
      <c r="I63" s="11"/>
      <c r="J63" s="11"/>
      <c r="K63" s="11"/>
      <c r="L63" s="11"/>
      <c r="M63" s="11"/>
      <c r="N63" s="11"/>
      <c r="O63" s="12"/>
      <c r="P63" s="11"/>
      <c r="Q63" s="13"/>
      <c r="R63" s="14"/>
    </row>
    <row r="64" spans="1:18" ht="15" customHeight="1" x14ac:dyDescent="0.3">
      <c r="A64" s="19" t="s">
        <v>36</v>
      </c>
      <c r="B64" s="19" t="s">
        <v>595</v>
      </c>
      <c r="C64" s="20">
        <v>0.76041666666666663</v>
      </c>
      <c r="D64" s="19" t="s">
        <v>38</v>
      </c>
      <c r="E64" s="19" t="s">
        <v>63</v>
      </c>
      <c r="F64" s="19" t="s">
        <v>643</v>
      </c>
      <c r="G64" s="256"/>
      <c r="H64" s="10"/>
      <c r="I64" s="11"/>
      <c r="J64" s="11"/>
      <c r="K64" s="11"/>
      <c r="L64" s="11"/>
      <c r="M64" s="11"/>
      <c r="N64" s="11"/>
      <c r="O64" s="12"/>
      <c r="P64" s="11"/>
      <c r="Q64" s="13"/>
      <c r="R64" s="14"/>
    </row>
    <row r="65" spans="1:18" ht="15" customHeight="1" x14ac:dyDescent="0.3">
      <c r="A65" s="15" t="s">
        <v>36</v>
      </c>
      <c r="B65" s="15" t="s">
        <v>595</v>
      </c>
      <c r="C65" s="16">
        <v>0.76041666666666663</v>
      </c>
      <c r="D65" s="15" t="s">
        <v>41</v>
      </c>
      <c r="E65" s="15" t="s">
        <v>65</v>
      </c>
      <c r="F65" s="15" t="s">
        <v>33</v>
      </c>
      <c r="G65" s="256"/>
      <c r="H65" s="10"/>
      <c r="I65" s="11"/>
      <c r="J65" s="11"/>
      <c r="K65" s="11"/>
      <c r="L65" s="11"/>
      <c r="M65" s="11"/>
      <c r="N65" s="11"/>
      <c r="O65" s="12"/>
      <c r="P65" s="11"/>
      <c r="Q65" s="13"/>
      <c r="R65" s="14"/>
    </row>
    <row r="66" spans="1:18" ht="15" customHeight="1" x14ac:dyDescent="0.3">
      <c r="A66" s="15" t="s">
        <v>36</v>
      </c>
      <c r="B66" s="15" t="s">
        <v>595</v>
      </c>
      <c r="C66" s="16">
        <v>0.76041666666666663</v>
      </c>
      <c r="D66" s="15" t="s">
        <v>44</v>
      </c>
      <c r="E66" s="15" t="s">
        <v>65</v>
      </c>
      <c r="F66" s="15" t="s">
        <v>596</v>
      </c>
      <c r="G66" s="256"/>
      <c r="H66" s="10"/>
      <c r="I66" s="11"/>
      <c r="J66" s="11"/>
      <c r="K66" s="11"/>
      <c r="L66" s="11"/>
      <c r="M66" s="11"/>
      <c r="N66" s="11"/>
      <c r="O66" s="12"/>
      <c r="P66" s="11"/>
      <c r="Q66" s="13"/>
      <c r="R66" s="14"/>
    </row>
    <row r="67" spans="1:18" ht="15" customHeight="1" x14ac:dyDescent="0.3">
      <c r="A67" s="19" t="s">
        <v>36</v>
      </c>
      <c r="B67" s="19" t="s">
        <v>597</v>
      </c>
      <c r="C67" s="20">
        <v>0.81597222222222221</v>
      </c>
      <c r="D67" s="19" t="s">
        <v>38</v>
      </c>
      <c r="E67" s="19" t="s">
        <v>209</v>
      </c>
      <c r="F67" s="19" t="s">
        <v>643</v>
      </c>
      <c r="G67" s="256"/>
      <c r="H67" s="10"/>
      <c r="I67" s="11"/>
      <c r="J67" s="11"/>
      <c r="K67" s="11"/>
      <c r="L67" s="11"/>
      <c r="M67" s="11"/>
      <c r="N67" s="11"/>
      <c r="O67" s="12"/>
      <c r="P67" s="11"/>
      <c r="Q67" s="13"/>
      <c r="R67" s="14"/>
    </row>
    <row r="68" spans="1:18" ht="15" customHeight="1" x14ac:dyDescent="0.3">
      <c r="A68" s="15" t="s">
        <v>36</v>
      </c>
      <c r="B68" s="15" t="s">
        <v>597</v>
      </c>
      <c r="C68" s="16">
        <v>0.81597222222222221</v>
      </c>
      <c r="D68" s="15" t="s">
        <v>41</v>
      </c>
      <c r="E68" s="15" t="s">
        <v>210</v>
      </c>
      <c r="F68" s="15" t="s">
        <v>33</v>
      </c>
      <c r="G68" s="256"/>
      <c r="H68" s="10"/>
      <c r="I68" s="11"/>
      <c r="J68" s="11"/>
      <c r="K68" s="11"/>
      <c r="L68" s="11"/>
      <c r="M68" s="11"/>
      <c r="N68" s="11"/>
      <c r="O68" s="12"/>
      <c r="P68" s="11"/>
      <c r="Q68" s="13"/>
      <c r="R68" s="14"/>
    </row>
    <row r="69" spans="1:18" ht="15" customHeight="1" x14ac:dyDescent="0.3">
      <c r="A69" s="15" t="s">
        <v>36</v>
      </c>
      <c r="B69" s="15" t="s">
        <v>597</v>
      </c>
      <c r="C69" s="16">
        <v>0.81597222222222221</v>
      </c>
      <c r="D69" s="15" t="s">
        <v>44</v>
      </c>
      <c r="E69" s="15" t="s">
        <v>210</v>
      </c>
      <c r="F69" s="15" t="s">
        <v>596</v>
      </c>
      <c r="G69" s="256"/>
      <c r="H69" s="10"/>
      <c r="I69" s="11"/>
      <c r="J69" s="11"/>
      <c r="K69" s="11"/>
      <c r="L69" s="11"/>
      <c r="M69" s="11"/>
      <c r="N69" s="11"/>
      <c r="O69" s="12"/>
      <c r="P69" s="11"/>
      <c r="Q69" s="13"/>
      <c r="R69" s="14"/>
    </row>
    <row r="70" spans="1:18" ht="15" customHeight="1" x14ac:dyDescent="0.3">
      <c r="A70" s="17" t="s">
        <v>26</v>
      </c>
      <c r="B70" s="17" t="s">
        <v>609</v>
      </c>
      <c r="C70" s="18">
        <v>0.5</v>
      </c>
      <c r="D70" s="17" t="s">
        <v>28</v>
      </c>
      <c r="E70" s="17" t="s">
        <v>89</v>
      </c>
      <c r="F70" s="17" t="s">
        <v>342</v>
      </c>
      <c r="G70" s="256"/>
      <c r="H70" s="10"/>
      <c r="I70" s="11"/>
      <c r="J70" s="11"/>
      <c r="K70" s="11"/>
      <c r="L70" s="11"/>
      <c r="M70" s="11"/>
      <c r="N70" s="11"/>
      <c r="O70" s="12"/>
      <c r="P70" s="11"/>
      <c r="Q70" s="13"/>
      <c r="R70" s="14"/>
    </row>
    <row r="71" spans="1:18" ht="15" customHeight="1" x14ac:dyDescent="0.3">
      <c r="A71" s="15" t="s">
        <v>26</v>
      </c>
      <c r="B71" s="15" t="s">
        <v>609</v>
      </c>
      <c r="C71" s="16">
        <v>0.5</v>
      </c>
      <c r="D71" s="15" t="s">
        <v>31</v>
      </c>
      <c r="E71" s="15" t="s">
        <v>80</v>
      </c>
      <c r="F71" s="15" t="s">
        <v>206</v>
      </c>
      <c r="G71" s="256"/>
      <c r="H71" s="10"/>
      <c r="I71" s="11"/>
      <c r="J71" s="11"/>
      <c r="K71" s="11"/>
      <c r="L71" s="11"/>
      <c r="M71" s="11"/>
      <c r="N71" s="11"/>
      <c r="O71" s="12"/>
      <c r="P71" s="11"/>
      <c r="Q71" s="13"/>
      <c r="R71" s="14"/>
    </row>
    <row r="72" spans="1:18" ht="15" customHeight="1" x14ac:dyDescent="0.3">
      <c r="A72" s="15" t="s">
        <v>26</v>
      </c>
      <c r="B72" s="15" t="s">
        <v>609</v>
      </c>
      <c r="C72" s="16">
        <v>0.5</v>
      </c>
      <c r="D72" s="15" t="s">
        <v>34</v>
      </c>
      <c r="E72" s="15" t="s">
        <v>80</v>
      </c>
      <c r="F72" s="15" t="s">
        <v>644</v>
      </c>
      <c r="G72" s="256"/>
      <c r="H72" s="10"/>
      <c r="I72" s="11"/>
      <c r="J72" s="11"/>
      <c r="K72" s="11"/>
      <c r="L72" s="11"/>
      <c r="M72" s="11"/>
      <c r="N72" s="11"/>
      <c r="O72" s="12"/>
      <c r="P72" s="11"/>
      <c r="Q72" s="13"/>
      <c r="R72" s="14"/>
    </row>
    <row r="73" spans="1:18" ht="15" customHeight="1" x14ac:dyDescent="0.3">
      <c r="A73" s="19" t="s">
        <v>26</v>
      </c>
      <c r="B73" s="19" t="s">
        <v>606</v>
      </c>
      <c r="C73" s="20">
        <v>0.30555555555555552</v>
      </c>
      <c r="D73" s="19" t="s">
        <v>28</v>
      </c>
      <c r="E73" s="19" t="s">
        <v>92</v>
      </c>
      <c r="F73" s="19" t="s">
        <v>343</v>
      </c>
      <c r="G73" s="256"/>
      <c r="H73" s="10"/>
      <c r="I73" s="11"/>
      <c r="J73" s="11"/>
      <c r="K73" s="11"/>
      <c r="L73" s="11"/>
      <c r="M73" s="11"/>
      <c r="N73" s="11"/>
      <c r="O73" s="12"/>
      <c r="P73" s="11"/>
      <c r="Q73" s="13"/>
      <c r="R73" s="14"/>
    </row>
    <row r="74" spans="1:18" ht="15" customHeight="1" x14ac:dyDescent="0.3">
      <c r="A74" s="15" t="s">
        <v>26</v>
      </c>
      <c r="B74" s="15" t="s">
        <v>606</v>
      </c>
      <c r="C74" s="16">
        <v>0.30555555555555552</v>
      </c>
      <c r="D74" s="15" t="s">
        <v>31</v>
      </c>
      <c r="E74" s="15" t="s">
        <v>612</v>
      </c>
      <c r="F74" s="15" t="s">
        <v>79</v>
      </c>
      <c r="G74" s="256"/>
      <c r="H74" s="10"/>
      <c r="I74" s="11"/>
      <c r="J74" s="11"/>
      <c r="K74" s="11"/>
      <c r="L74" s="11"/>
      <c r="M74" s="11"/>
      <c r="N74" s="11"/>
      <c r="O74" s="12"/>
      <c r="P74" s="11"/>
      <c r="Q74" s="13"/>
      <c r="R74" s="14"/>
    </row>
    <row r="75" spans="1:18" ht="15" customHeight="1" x14ac:dyDescent="0.3">
      <c r="A75" s="15" t="s">
        <v>26</v>
      </c>
      <c r="B75" s="15" t="s">
        <v>606</v>
      </c>
      <c r="C75" s="16">
        <v>0.30555555555555552</v>
      </c>
      <c r="D75" s="15" t="s">
        <v>34</v>
      </c>
      <c r="E75" s="15" t="s">
        <v>612</v>
      </c>
      <c r="F75" s="15" t="s">
        <v>645</v>
      </c>
      <c r="G75" s="256"/>
      <c r="H75" s="10"/>
      <c r="I75" s="11"/>
      <c r="J75" s="11"/>
      <c r="K75" s="11"/>
      <c r="L75" s="11"/>
      <c r="M75" s="11"/>
      <c r="N75" s="11"/>
      <c r="O75" s="12"/>
      <c r="P75" s="11"/>
      <c r="Q75" s="13"/>
      <c r="R75" s="14"/>
    </row>
    <row r="76" spans="1:18" ht="15" customHeight="1" x14ac:dyDescent="0.3">
      <c r="A76" s="19" t="s">
        <v>26</v>
      </c>
      <c r="B76" s="19" t="s">
        <v>608</v>
      </c>
      <c r="C76" s="20">
        <v>0.82638888888888884</v>
      </c>
      <c r="D76" s="19" t="s">
        <v>28</v>
      </c>
      <c r="E76" s="19" t="s">
        <v>231</v>
      </c>
      <c r="F76" s="19" t="s">
        <v>343</v>
      </c>
      <c r="G76" s="256"/>
      <c r="H76" s="10"/>
      <c r="I76" s="11"/>
      <c r="J76" s="11"/>
      <c r="K76" s="11"/>
      <c r="L76" s="11"/>
      <c r="M76" s="11"/>
      <c r="N76" s="11"/>
      <c r="O76" s="12"/>
      <c r="P76" s="11"/>
      <c r="Q76" s="13"/>
      <c r="R76" s="14"/>
    </row>
    <row r="77" spans="1:18" ht="15" customHeight="1" x14ac:dyDescent="0.3">
      <c r="A77" s="15" t="s">
        <v>26</v>
      </c>
      <c r="B77" s="15" t="s">
        <v>608</v>
      </c>
      <c r="C77" s="16">
        <v>0.82638888888888884</v>
      </c>
      <c r="D77" s="15" t="s">
        <v>31</v>
      </c>
      <c r="E77" s="15" t="s">
        <v>207</v>
      </c>
      <c r="F77" s="15" t="s">
        <v>79</v>
      </c>
      <c r="G77" s="256"/>
      <c r="H77" s="10"/>
      <c r="I77" s="11"/>
      <c r="J77" s="11"/>
      <c r="K77" s="11"/>
      <c r="L77" s="11"/>
      <c r="M77" s="11"/>
      <c r="N77" s="11"/>
      <c r="O77" s="12"/>
      <c r="P77" s="11"/>
      <c r="Q77" s="13"/>
      <c r="R77" s="14"/>
    </row>
    <row r="78" spans="1:18" ht="15" customHeight="1" x14ac:dyDescent="0.3">
      <c r="A78" s="15" t="s">
        <v>26</v>
      </c>
      <c r="B78" s="15" t="s">
        <v>608</v>
      </c>
      <c r="C78" s="16">
        <v>0.82638888888888884</v>
      </c>
      <c r="D78" s="15" t="s">
        <v>34</v>
      </c>
      <c r="E78" s="15" t="s">
        <v>207</v>
      </c>
      <c r="F78" s="15" t="s">
        <v>645</v>
      </c>
      <c r="G78" s="256"/>
      <c r="H78" s="10"/>
      <c r="I78" s="11"/>
      <c r="J78" s="11"/>
      <c r="K78" s="11"/>
      <c r="L78" s="11"/>
      <c r="M78" s="11"/>
      <c r="N78" s="11"/>
      <c r="O78" s="12"/>
      <c r="P78" s="11"/>
      <c r="Q78" s="13"/>
      <c r="R78" s="14"/>
    </row>
    <row r="79" spans="1:18" ht="15" customHeight="1" x14ac:dyDescent="0.3">
      <c r="A79" s="19" t="s">
        <v>26</v>
      </c>
      <c r="B79" s="19" t="s">
        <v>610</v>
      </c>
      <c r="C79" s="20">
        <v>0.42708333333333331</v>
      </c>
      <c r="D79" s="19" t="s">
        <v>28</v>
      </c>
      <c r="E79" s="19" t="s">
        <v>63</v>
      </c>
      <c r="F79" s="19" t="s">
        <v>343</v>
      </c>
      <c r="G79" s="256"/>
      <c r="H79" s="10"/>
      <c r="I79" s="11"/>
      <c r="J79" s="11"/>
      <c r="K79" s="11"/>
      <c r="L79" s="11"/>
      <c r="M79" s="11"/>
      <c r="N79" s="11"/>
      <c r="O79" s="12"/>
      <c r="P79" s="11"/>
      <c r="Q79" s="13"/>
      <c r="R79" s="14"/>
    </row>
    <row r="80" spans="1:18" ht="15" customHeight="1" x14ac:dyDescent="0.3">
      <c r="A80" s="15" t="s">
        <v>26</v>
      </c>
      <c r="B80" s="15" t="s">
        <v>610</v>
      </c>
      <c r="C80" s="16">
        <v>0.42708333333333331</v>
      </c>
      <c r="D80" s="15" t="s">
        <v>31</v>
      </c>
      <c r="E80" s="15" t="s">
        <v>65</v>
      </c>
      <c r="F80" s="15" t="s">
        <v>79</v>
      </c>
      <c r="G80" s="256"/>
      <c r="H80" s="10"/>
      <c r="I80" s="11"/>
      <c r="J80" s="11"/>
      <c r="K80" s="11"/>
      <c r="L80" s="11"/>
      <c r="M80" s="11"/>
      <c r="N80" s="11"/>
      <c r="O80" s="12"/>
      <c r="P80" s="11"/>
      <c r="Q80" s="13"/>
      <c r="R80" s="14"/>
    </row>
    <row r="81" spans="1:18" ht="15" customHeight="1" x14ac:dyDescent="0.3">
      <c r="A81" s="15" t="s">
        <v>26</v>
      </c>
      <c r="B81" s="15" t="s">
        <v>610</v>
      </c>
      <c r="C81" s="16">
        <v>0.42708333333333331</v>
      </c>
      <c r="D81" s="15" t="s">
        <v>34</v>
      </c>
      <c r="E81" s="15" t="s">
        <v>65</v>
      </c>
      <c r="F81" s="15" t="s">
        <v>645</v>
      </c>
      <c r="G81" s="256"/>
      <c r="H81" s="10"/>
      <c r="I81" s="11"/>
      <c r="J81" s="11"/>
      <c r="K81" s="11"/>
      <c r="L81" s="11"/>
      <c r="M81" s="11"/>
      <c r="N81" s="11"/>
      <c r="O81" s="12"/>
      <c r="P81" s="11"/>
      <c r="Q81" s="13"/>
      <c r="R81" s="14"/>
    </row>
    <row r="82" spans="1:18" ht="15" customHeight="1" x14ac:dyDescent="0.3">
      <c r="A82" s="19" t="s">
        <v>26</v>
      </c>
      <c r="B82" s="19" t="s">
        <v>611</v>
      </c>
      <c r="C82" s="20">
        <v>0.6875</v>
      </c>
      <c r="D82" s="19" t="s">
        <v>28</v>
      </c>
      <c r="E82" s="19" t="s">
        <v>78</v>
      </c>
      <c r="F82" s="19" t="s">
        <v>343</v>
      </c>
      <c r="G82" s="256"/>
      <c r="H82" s="10"/>
      <c r="I82" s="11"/>
      <c r="J82" s="11"/>
      <c r="K82" s="11"/>
      <c r="L82" s="11"/>
      <c r="M82" s="11"/>
      <c r="N82" s="11"/>
      <c r="O82" s="12"/>
      <c r="P82" s="11"/>
      <c r="Q82" s="13"/>
      <c r="R82" s="14"/>
    </row>
    <row r="83" spans="1:18" ht="15" customHeight="1" x14ac:dyDescent="0.3">
      <c r="A83" s="15" t="s">
        <v>26</v>
      </c>
      <c r="B83" s="15" t="s">
        <v>611</v>
      </c>
      <c r="C83" s="16">
        <v>0.6875</v>
      </c>
      <c r="D83" s="15" t="s">
        <v>31</v>
      </c>
      <c r="E83" s="15" t="s">
        <v>80</v>
      </c>
      <c r="F83" s="15" t="s">
        <v>79</v>
      </c>
      <c r="G83" s="256"/>
      <c r="H83" s="10"/>
      <c r="I83" s="11"/>
      <c r="J83" s="11"/>
      <c r="K83" s="11"/>
      <c r="L83" s="11"/>
      <c r="M83" s="11"/>
      <c r="N83" s="11"/>
      <c r="O83" s="12"/>
      <c r="P83" s="11"/>
      <c r="Q83" s="13"/>
      <c r="R83" s="14"/>
    </row>
    <row r="84" spans="1:18" ht="15" customHeight="1" x14ac:dyDescent="0.3">
      <c r="A84" s="15" t="s">
        <v>26</v>
      </c>
      <c r="B84" s="15" t="s">
        <v>611</v>
      </c>
      <c r="C84" s="16">
        <v>0.6875</v>
      </c>
      <c r="D84" s="15" t="s">
        <v>34</v>
      </c>
      <c r="E84" s="15" t="s">
        <v>80</v>
      </c>
      <c r="F84" s="15" t="s">
        <v>645</v>
      </c>
      <c r="G84" s="256"/>
      <c r="H84" s="10"/>
      <c r="I84" s="11"/>
      <c r="J84" s="11"/>
      <c r="K84" s="11"/>
      <c r="L84" s="11"/>
      <c r="M84" s="11"/>
      <c r="N84" s="11"/>
      <c r="O84" s="12"/>
      <c r="P84" s="11"/>
      <c r="Q84" s="13"/>
      <c r="R84" s="14"/>
    </row>
    <row r="85" spans="1:18" ht="15" customHeight="1" x14ac:dyDescent="0.3">
      <c r="A85" s="19" t="s">
        <v>26</v>
      </c>
      <c r="B85" s="19" t="s">
        <v>614</v>
      </c>
      <c r="C85" s="20">
        <v>0.56597222222222221</v>
      </c>
      <c r="D85" s="19" t="s">
        <v>28</v>
      </c>
      <c r="E85" s="19" t="s">
        <v>228</v>
      </c>
      <c r="F85" s="19" t="s">
        <v>343</v>
      </c>
      <c r="G85" s="256"/>
      <c r="H85" s="10"/>
      <c r="I85" s="11"/>
      <c r="J85" s="11"/>
      <c r="K85" s="11"/>
      <c r="L85" s="11"/>
      <c r="M85" s="11"/>
      <c r="N85" s="11"/>
      <c r="O85" s="12"/>
      <c r="P85" s="11"/>
      <c r="Q85" s="13"/>
      <c r="R85" s="14"/>
    </row>
    <row r="86" spans="1:18" ht="15" customHeight="1" x14ac:dyDescent="0.3">
      <c r="A86" s="15" t="s">
        <v>26</v>
      </c>
      <c r="B86" s="15" t="s">
        <v>614</v>
      </c>
      <c r="C86" s="16">
        <v>0.56597222222222221</v>
      </c>
      <c r="D86" s="15" t="s">
        <v>31</v>
      </c>
      <c r="E86" s="15" t="s">
        <v>229</v>
      </c>
      <c r="F86" s="15" t="s">
        <v>79</v>
      </c>
      <c r="G86" s="256"/>
      <c r="H86" s="10"/>
      <c r="I86" s="11"/>
      <c r="J86" s="11"/>
      <c r="K86" s="11"/>
      <c r="L86" s="11"/>
      <c r="M86" s="11"/>
      <c r="N86" s="11"/>
      <c r="O86" s="12"/>
      <c r="P86" s="11"/>
      <c r="Q86" s="13"/>
      <c r="R86" s="14"/>
    </row>
    <row r="87" spans="1:18" ht="15" customHeight="1" x14ac:dyDescent="0.3">
      <c r="A87" s="15" t="s">
        <v>26</v>
      </c>
      <c r="B87" s="15" t="s">
        <v>614</v>
      </c>
      <c r="C87" s="16">
        <v>0.56597222222222221</v>
      </c>
      <c r="D87" s="15" t="s">
        <v>34</v>
      </c>
      <c r="E87" s="15" t="s">
        <v>229</v>
      </c>
      <c r="F87" s="15" t="s">
        <v>645</v>
      </c>
      <c r="G87" s="256"/>
      <c r="H87" s="10"/>
      <c r="I87" s="11"/>
      <c r="J87" s="11"/>
      <c r="K87" s="11"/>
      <c r="L87" s="11"/>
      <c r="M87" s="11"/>
      <c r="N87" s="11"/>
      <c r="O87" s="12"/>
      <c r="P87" s="11"/>
      <c r="Q87" s="13"/>
      <c r="R87" s="14"/>
    </row>
    <row r="88" spans="1:18" ht="15" customHeight="1" x14ac:dyDescent="0.3">
      <c r="A88" s="19" t="s">
        <v>26</v>
      </c>
      <c r="B88" s="19" t="s">
        <v>613</v>
      </c>
      <c r="C88" s="20">
        <v>0.375</v>
      </c>
      <c r="D88" s="19" t="s">
        <v>28</v>
      </c>
      <c r="E88" s="19" t="s">
        <v>228</v>
      </c>
      <c r="F88" s="19" t="s">
        <v>206</v>
      </c>
      <c r="G88" s="256"/>
      <c r="H88" s="10"/>
      <c r="I88" s="11"/>
      <c r="J88" s="11"/>
      <c r="K88" s="11"/>
      <c r="L88" s="11"/>
      <c r="M88" s="11"/>
      <c r="N88" s="11"/>
      <c r="O88" s="12"/>
      <c r="P88" s="11"/>
      <c r="Q88" s="13"/>
      <c r="R88" s="14"/>
    </row>
    <row r="89" spans="1:18" ht="15" customHeight="1" x14ac:dyDescent="0.3">
      <c r="A89" s="15" t="s">
        <v>26</v>
      </c>
      <c r="B89" s="15" t="s">
        <v>613</v>
      </c>
      <c r="C89" s="16">
        <v>0.375</v>
      </c>
      <c r="D89" s="15" t="s">
        <v>31</v>
      </c>
      <c r="E89" s="15" t="s">
        <v>229</v>
      </c>
      <c r="F89" s="15" t="s">
        <v>607</v>
      </c>
      <c r="G89" s="256"/>
      <c r="H89" s="10"/>
      <c r="I89" s="11"/>
      <c r="J89" s="11"/>
      <c r="K89" s="11"/>
      <c r="L89" s="11"/>
      <c r="M89" s="11"/>
      <c r="N89" s="11"/>
      <c r="O89" s="12"/>
      <c r="P89" s="11"/>
      <c r="Q89" s="13"/>
      <c r="R89" s="14"/>
    </row>
    <row r="90" spans="1:18" ht="15" customHeight="1" x14ac:dyDescent="0.3">
      <c r="A90" s="15" t="s">
        <v>26</v>
      </c>
      <c r="B90" s="15" t="s">
        <v>613</v>
      </c>
      <c r="C90" s="16">
        <v>0.375</v>
      </c>
      <c r="D90" s="15" t="s">
        <v>34</v>
      </c>
      <c r="E90" s="15" t="s">
        <v>229</v>
      </c>
      <c r="F90" s="15" t="s">
        <v>234</v>
      </c>
      <c r="G90" s="256"/>
      <c r="H90" s="10"/>
      <c r="I90" s="11"/>
      <c r="J90" s="11"/>
      <c r="K90" s="11"/>
      <c r="L90" s="11"/>
      <c r="M90" s="11"/>
      <c r="N90" s="11"/>
      <c r="O90" s="12"/>
      <c r="P90" s="11"/>
      <c r="Q90" s="13"/>
      <c r="R90" s="14"/>
    </row>
    <row r="91" spans="1:18" ht="15" customHeight="1" x14ac:dyDescent="0.3">
      <c r="A91" s="17" t="s">
        <v>243</v>
      </c>
      <c r="B91" s="17" t="s">
        <v>646</v>
      </c>
      <c r="C91" s="18">
        <v>0.66319444444444442</v>
      </c>
      <c r="D91" s="17" t="s">
        <v>245</v>
      </c>
      <c r="E91" s="17" t="s">
        <v>49</v>
      </c>
      <c r="F91" s="17" t="s">
        <v>647</v>
      </c>
      <c r="G91" s="256"/>
      <c r="H91" s="10"/>
      <c r="I91" s="11"/>
      <c r="J91" s="11"/>
      <c r="K91" s="11"/>
      <c r="L91" s="11"/>
      <c r="M91" s="11"/>
      <c r="N91" s="11"/>
      <c r="O91" s="12"/>
      <c r="P91" s="11"/>
      <c r="Q91" s="13"/>
      <c r="R91" s="14"/>
    </row>
    <row r="92" spans="1:18" ht="15" customHeight="1" x14ac:dyDescent="0.3">
      <c r="A92" s="106" t="s">
        <v>93</v>
      </c>
      <c r="B92" s="106" t="s">
        <v>617</v>
      </c>
      <c r="C92" s="107">
        <v>0.61111111111111105</v>
      </c>
      <c r="D92" s="106" t="s">
        <v>249</v>
      </c>
      <c r="E92" s="106" t="s">
        <v>49</v>
      </c>
      <c r="F92" s="106" t="s">
        <v>648</v>
      </c>
      <c r="G92" s="256"/>
      <c r="H92" s="109" t="s">
        <v>619</v>
      </c>
      <c r="I92" s="195">
        <v>0.70830000000000004</v>
      </c>
      <c r="J92" s="111">
        <v>119</v>
      </c>
      <c r="K92" s="112" t="s">
        <v>180</v>
      </c>
      <c r="L92" s="111">
        <v>30</v>
      </c>
      <c r="M92" s="111">
        <v>0</v>
      </c>
      <c r="N92" s="111">
        <v>25</v>
      </c>
      <c r="O92" s="113" t="s">
        <v>547</v>
      </c>
      <c r="P92" s="114">
        <v>0.61111111111111105</v>
      </c>
      <c r="Q92" s="111">
        <v>168</v>
      </c>
      <c r="R92" s="115" t="s">
        <v>649</v>
      </c>
    </row>
    <row r="93" spans="1:18" ht="15" customHeight="1" x14ac:dyDescent="0.3">
      <c r="A93" s="17" t="s">
        <v>323</v>
      </c>
      <c r="B93" s="17" t="s">
        <v>615</v>
      </c>
      <c r="C93" s="18">
        <v>0.27430555555555552</v>
      </c>
      <c r="D93" s="17" t="s">
        <v>245</v>
      </c>
      <c r="E93" s="17" t="s">
        <v>59</v>
      </c>
      <c r="F93" s="17" t="s">
        <v>325</v>
      </c>
      <c r="G93" s="256"/>
      <c r="H93" s="10"/>
      <c r="I93" s="11"/>
      <c r="J93" s="11"/>
      <c r="K93" s="11"/>
      <c r="L93" s="11"/>
      <c r="M93" s="11"/>
      <c r="N93" s="11"/>
      <c r="O93" s="12"/>
      <c r="P93" s="11"/>
      <c r="Q93" s="13"/>
      <c r="R93" s="14"/>
    </row>
    <row r="94" spans="1:18" ht="15" customHeight="1" x14ac:dyDescent="0.3">
      <c r="A94" s="17" t="s">
        <v>46</v>
      </c>
      <c r="B94" s="17" t="s">
        <v>625</v>
      </c>
      <c r="C94" s="18">
        <v>0.92013888888888884</v>
      </c>
      <c r="D94" s="17" t="s">
        <v>48</v>
      </c>
      <c r="E94" s="17" t="s">
        <v>49</v>
      </c>
      <c r="F94" s="17" t="s">
        <v>626</v>
      </c>
      <c r="G94" s="256"/>
      <c r="H94" s="10"/>
      <c r="I94" s="11"/>
      <c r="J94" s="11"/>
      <c r="K94" s="11"/>
      <c r="L94" s="11"/>
      <c r="M94" s="11"/>
      <c r="N94" s="11"/>
      <c r="O94" s="12"/>
      <c r="P94" s="11"/>
      <c r="Q94" s="13"/>
      <c r="R94" s="14"/>
    </row>
    <row r="95" spans="1:18" ht="15" customHeight="1" x14ac:dyDescent="0.3">
      <c r="A95" s="19" t="s">
        <v>46</v>
      </c>
      <c r="B95" s="19" t="s">
        <v>627</v>
      </c>
      <c r="C95" s="20">
        <v>0.54166666666666663</v>
      </c>
      <c r="D95" s="19" t="s">
        <v>48</v>
      </c>
      <c r="E95" s="19" t="s">
        <v>52</v>
      </c>
      <c r="F95" s="19" t="s">
        <v>626</v>
      </c>
      <c r="G95" s="256"/>
      <c r="H95" s="10"/>
      <c r="I95" s="11"/>
      <c r="J95" s="11"/>
      <c r="K95" s="11"/>
      <c r="L95" s="11"/>
      <c r="M95" s="11"/>
      <c r="N95" s="11"/>
      <c r="O95" s="12"/>
      <c r="P95" s="11"/>
      <c r="Q95" s="13"/>
      <c r="R95" s="14"/>
    </row>
    <row r="96" spans="1:18" ht="15" customHeight="1" x14ac:dyDescent="0.3">
      <c r="A96" s="19" t="s">
        <v>46</v>
      </c>
      <c r="B96" s="19" t="s">
        <v>650</v>
      </c>
      <c r="C96" s="20">
        <v>0.16666666666666671</v>
      </c>
      <c r="D96" s="19" t="s">
        <v>48</v>
      </c>
      <c r="E96" s="19" t="s">
        <v>52</v>
      </c>
      <c r="F96" s="19" t="s">
        <v>651</v>
      </c>
      <c r="G96" s="256"/>
      <c r="H96" s="10"/>
      <c r="I96" s="11"/>
      <c r="J96" s="11"/>
      <c r="K96" s="11"/>
      <c r="L96" s="11"/>
      <c r="M96" s="11"/>
      <c r="N96" s="11"/>
      <c r="O96" s="12"/>
      <c r="P96" s="11"/>
      <c r="Q96" s="13"/>
      <c r="R96" s="14"/>
    </row>
    <row r="97" spans="1:18" ht="15" customHeight="1" x14ac:dyDescent="0.3">
      <c r="A97" s="17" t="s">
        <v>56</v>
      </c>
      <c r="B97" s="17" t="s">
        <v>652</v>
      </c>
      <c r="C97" s="18">
        <v>0.5</v>
      </c>
      <c r="D97" s="17" t="s">
        <v>58</v>
      </c>
      <c r="E97" s="17" t="s">
        <v>59</v>
      </c>
      <c r="F97" s="17" t="s">
        <v>653</v>
      </c>
      <c r="G97" s="256"/>
      <c r="H97" s="10"/>
      <c r="I97" s="11"/>
      <c r="J97" s="11"/>
      <c r="K97" s="11"/>
      <c r="L97" s="11"/>
      <c r="M97" s="11"/>
      <c r="N97" s="11"/>
      <c r="O97" s="12"/>
      <c r="P97" s="11"/>
      <c r="Q97" s="13"/>
      <c r="R97" s="14"/>
    </row>
    <row r="98" spans="1:18" ht="15" customHeight="1" x14ac:dyDescent="0.3">
      <c r="A98" s="19" t="s">
        <v>56</v>
      </c>
      <c r="B98" s="19" t="s">
        <v>636</v>
      </c>
      <c r="C98" s="20">
        <v>0.81597222222222221</v>
      </c>
      <c r="D98" s="19" t="s">
        <v>58</v>
      </c>
      <c r="E98" s="19" t="s">
        <v>92</v>
      </c>
      <c r="F98" s="19" t="s">
        <v>653</v>
      </c>
      <c r="G98" s="256"/>
      <c r="H98" s="10"/>
      <c r="I98" s="11"/>
      <c r="J98" s="11"/>
      <c r="K98" s="11"/>
      <c r="L98" s="11"/>
      <c r="M98" s="11"/>
      <c r="N98" s="11"/>
      <c r="O98" s="12"/>
      <c r="P98" s="11"/>
      <c r="Q98" s="13"/>
      <c r="R98" s="14"/>
    </row>
    <row r="99" spans="1:18" ht="15" customHeight="1" x14ac:dyDescent="0.3">
      <c r="A99" s="19" t="s">
        <v>56</v>
      </c>
      <c r="B99" s="19" t="s">
        <v>637</v>
      </c>
      <c r="C99" s="20">
        <v>0.2986111111111111</v>
      </c>
      <c r="D99" s="19" t="s">
        <v>62</v>
      </c>
      <c r="E99" s="19" t="s">
        <v>52</v>
      </c>
      <c r="F99" s="19" t="s">
        <v>632</v>
      </c>
      <c r="G99" s="256"/>
      <c r="H99" s="10"/>
      <c r="I99" s="11"/>
      <c r="J99" s="11"/>
      <c r="K99" s="11"/>
      <c r="L99" s="11"/>
      <c r="M99" s="11"/>
      <c r="N99" s="11"/>
      <c r="O99" s="12"/>
      <c r="P99" s="11"/>
      <c r="Q99" s="13"/>
      <c r="R99" s="14"/>
    </row>
    <row r="100" spans="1:18" ht="15" customHeight="1" x14ac:dyDescent="0.3">
      <c r="A100" s="15" t="s">
        <v>56</v>
      </c>
      <c r="B100" s="15" t="s">
        <v>637</v>
      </c>
      <c r="C100" s="16">
        <v>0.2986111111111111</v>
      </c>
      <c r="D100" s="15" t="s">
        <v>58</v>
      </c>
      <c r="E100" s="15" t="s">
        <v>101</v>
      </c>
      <c r="F100" s="15" t="s">
        <v>633</v>
      </c>
      <c r="G100" s="256"/>
      <c r="H100" s="10"/>
      <c r="I100" s="11"/>
      <c r="J100" s="11"/>
      <c r="K100" s="11"/>
      <c r="L100" s="11"/>
      <c r="M100" s="11"/>
      <c r="N100" s="11"/>
      <c r="O100" s="12"/>
      <c r="P100" s="11"/>
      <c r="Q100" s="13"/>
      <c r="R100" s="14"/>
    </row>
    <row r="101" spans="1:18" ht="15" customHeight="1" x14ac:dyDescent="0.3">
      <c r="A101" s="19" t="s">
        <v>56</v>
      </c>
      <c r="B101" s="19" t="s">
        <v>640</v>
      </c>
      <c r="C101" s="20">
        <v>0.68402777777777779</v>
      </c>
      <c r="D101" s="19" t="s">
        <v>62</v>
      </c>
      <c r="E101" s="19" t="s">
        <v>52</v>
      </c>
      <c r="F101" s="19" t="s">
        <v>632</v>
      </c>
      <c r="G101" s="256"/>
      <c r="H101" s="10"/>
      <c r="I101" s="11"/>
      <c r="J101" s="11"/>
      <c r="K101" s="11"/>
      <c r="L101" s="11"/>
      <c r="M101" s="11"/>
      <c r="N101" s="11"/>
      <c r="O101" s="12"/>
      <c r="P101" s="11"/>
      <c r="Q101" s="13"/>
      <c r="R101" s="14"/>
    </row>
    <row r="102" spans="1:18" ht="15" customHeight="1" x14ac:dyDescent="0.3">
      <c r="A102" s="15" t="s">
        <v>56</v>
      </c>
      <c r="B102" s="15" t="s">
        <v>640</v>
      </c>
      <c r="C102" s="16">
        <v>0.68402777777777779</v>
      </c>
      <c r="D102" s="15" t="s">
        <v>58</v>
      </c>
      <c r="E102" s="15" t="s">
        <v>101</v>
      </c>
      <c r="F102" s="15" t="s">
        <v>633</v>
      </c>
      <c r="G102" s="256"/>
      <c r="H102" s="10"/>
      <c r="I102" s="11"/>
      <c r="J102" s="11"/>
      <c r="K102" s="11"/>
      <c r="L102" s="11"/>
      <c r="M102" s="11"/>
      <c r="N102" s="11"/>
      <c r="O102" s="12"/>
      <c r="P102" s="11"/>
      <c r="Q102" s="13"/>
      <c r="R102" s="14"/>
    </row>
    <row r="103" spans="1:18" ht="15" customHeight="1" x14ac:dyDescent="0.3">
      <c r="A103" s="19" t="s">
        <v>56</v>
      </c>
      <c r="B103" s="19" t="s">
        <v>631</v>
      </c>
      <c r="C103" s="20">
        <v>0.83680555555555547</v>
      </c>
      <c r="D103" s="19" t="s">
        <v>62</v>
      </c>
      <c r="E103" s="19" t="s">
        <v>52</v>
      </c>
      <c r="F103" s="19" t="s">
        <v>632</v>
      </c>
      <c r="G103" s="256"/>
      <c r="H103" s="10"/>
      <c r="I103" s="11"/>
      <c r="J103" s="11"/>
      <c r="K103" s="11"/>
      <c r="L103" s="11"/>
      <c r="M103" s="11"/>
      <c r="N103" s="11"/>
      <c r="O103" s="12"/>
      <c r="P103" s="11"/>
      <c r="Q103" s="13"/>
      <c r="R103" s="14"/>
    </row>
    <row r="104" spans="1:18" ht="15" customHeight="1" x14ac:dyDescent="0.3">
      <c r="A104" s="15" t="s">
        <v>56</v>
      </c>
      <c r="B104" s="15" t="s">
        <v>631</v>
      </c>
      <c r="C104" s="16">
        <v>0.83680555555555547</v>
      </c>
      <c r="D104" s="15" t="s">
        <v>58</v>
      </c>
      <c r="E104" s="15" t="s">
        <v>101</v>
      </c>
      <c r="F104" s="15" t="s">
        <v>633</v>
      </c>
      <c r="G104" s="256"/>
      <c r="H104" s="10"/>
      <c r="I104" s="11"/>
      <c r="J104" s="11"/>
      <c r="K104" s="11"/>
      <c r="L104" s="11"/>
      <c r="M104" s="11"/>
      <c r="N104" s="11"/>
      <c r="O104" s="12"/>
      <c r="P104" s="11"/>
      <c r="Q104" s="13"/>
      <c r="R104" s="14"/>
    </row>
    <row r="105" spans="1:18" ht="15" customHeight="1" x14ac:dyDescent="0.3">
      <c r="A105" s="19" t="s">
        <v>56</v>
      </c>
      <c r="B105" s="19" t="s">
        <v>641</v>
      </c>
      <c r="C105" s="20">
        <v>0.4826388888888889</v>
      </c>
      <c r="D105" s="19" t="s">
        <v>62</v>
      </c>
      <c r="E105" s="19" t="s">
        <v>52</v>
      </c>
      <c r="F105" s="19" t="s">
        <v>632</v>
      </c>
      <c r="G105" s="256"/>
      <c r="H105" s="10"/>
      <c r="I105" s="11"/>
      <c r="J105" s="11"/>
      <c r="K105" s="11"/>
      <c r="L105" s="11"/>
      <c r="M105" s="11"/>
      <c r="N105" s="11"/>
      <c r="O105" s="12"/>
      <c r="P105" s="11"/>
      <c r="Q105" s="13"/>
      <c r="R105" s="14"/>
    </row>
    <row r="106" spans="1:18" ht="15" customHeight="1" x14ac:dyDescent="0.3">
      <c r="A106" s="15" t="s">
        <v>56</v>
      </c>
      <c r="B106" s="15" t="s">
        <v>641</v>
      </c>
      <c r="C106" s="16">
        <v>0.4826388888888889</v>
      </c>
      <c r="D106" s="15" t="s">
        <v>58</v>
      </c>
      <c r="E106" s="15" t="s">
        <v>101</v>
      </c>
      <c r="F106" s="15" t="s">
        <v>633</v>
      </c>
      <c r="G106" s="256"/>
      <c r="H106" s="10"/>
      <c r="I106" s="11"/>
      <c r="J106" s="11"/>
      <c r="K106" s="11"/>
      <c r="L106" s="11"/>
      <c r="M106" s="11"/>
      <c r="N106" s="11"/>
      <c r="O106" s="12"/>
      <c r="P106" s="11"/>
      <c r="Q106" s="13"/>
      <c r="R106" s="14"/>
    </row>
    <row r="107" spans="1:18" ht="15" customHeight="1" thickBot="1" x14ac:dyDescent="0.35">
      <c r="A107" s="81" t="s">
        <v>56</v>
      </c>
      <c r="B107" s="81" t="s">
        <v>634</v>
      </c>
      <c r="C107" s="82">
        <v>0.76041666666666663</v>
      </c>
      <c r="D107" s="81" t="s">
        <v>58</v>
      </c>
      <c r="E107" s="81" t="s">
        <v>92</v>
      </c>
      <c r="F107" s="81" t="s">
        <v>635</v>
      </c>
      <c r="G107" s="257"/>
      <c r="H107" s="23"/>
      <c r="I107" s="24"/>
      <c r="J107" s="24"/>
      <c r="K107" s="24"/>
      <c r="L107" s="24"/>
      <c r="M107" s="24"/>
      <c r="N107" s="24"/>
      <c r="O107" s="25"/>
      <c r="P107" s="24"/>
      <c r="Q107" s="26"/>
      <c r="R107" s="27"/>
    </row>
    <row r="108" spans="1:18" ht="17.399999999999999" customHeight="1" thickBot="1" x14ac:dyDescent="0.35">
      <c r="A108" s="284"/>
      <c r="B108" s="285"/>
      <c r="C108" s="285"/>
      <c r="D108" s="285"/>
      <c r="E108" s="285"/>
      <c r="F108" s="285"/>
      <c r="G108" s="285"/>
      <c r="H108" s="285"/>
      <c r="I108" s="285"/>
      <c r="J108" s="285"/>
      <c r="K108" s="285"/>
      <c r="L108" s="285"/>
      <c r="M108" s="285"/>
      <c r="N108" s="285"/>
      <c r="O108" s="285"/>
      <c r="P108" s="285"/>
      <c r="Q108" s="285"/>
      <c r="R108" s="286"/>
    </row>
    <row r="109" spans="1:18" ht="22.05" customHeight="1" thickTop="1" thickBot="1" x14ac:dyDescent="0.35">
      <c r="A109" s="249" t="s">
        <v>6</v>
      </c>
      <c r="B109" s="250"/>
      <c r="C109" s="250"/>
      <c r="D109" s="250"/>
      <c r="E109" s="250"/>
      <c r="F109" s="251"/>
      <c r="G109" s="28">
        <v>45984</v>
      </c>
      <c r="H109" s="258" t="s">
        <v>7</v>
      </c>
      <c r="I109" s="250"/>
      <c r="J109" s="250"/>
      <c r="K109" s="250"/>
      <c r="L109" s="250"/>
      <c r="M109" s="250"/>
      <c r="N109" s="250"/>
      <c r="O109" s="250"/>
      <c r="P109" s="250"/>
      <c r="Q109" s="250"/>
      <c r="R109" s="251"/>
    </row>
    <row r="110" spans="1:18" ht="24" customHeight="1" x14ac:dyDescent="0.3">
      <c r="A110" s="29" t="s">
        <v>8</v>
      </c>
      <c r="B110" s="29" t="s">
        <v>9</v>
      </c>
      <c r="C110" s="30" t="s">
        <v>10</v>
      </c>
      <c r="D110" s="29" t="s">
        <v>11</v>
      </c>
      <c r="E110" s="29" t="s">
        <v>12</v>
      </c>
      <c r="F110" s="31" t="s">
        <v>13</v>
      </c>
      <c r="G110" s="32" t="s">
        <v>14</v>
      </c>
      <c r="H110" s="29" t="s">
        <v>15</v>
      </c>
      <c r="I110" s="33" t="s">
        <v>16</v>
      </c>
      <c r="J110" s="34" t="s">
        <v>17</v>
      </c>
      <c r="K110" s="35" t="s">
        <v>18</v>
      </c>
      <c r="L110" s="34" t="s">
        <v>19</v>
      </c>
      <c r="M110" s="34" t="s">
        <v>20</v>
      </c>
      <c r="N110" s="34" t="s">
        <v>21</v>
      </c>
      <c r="O110" s="29" t="s">
        <v>22</v>
      </c>
      <c r="P110" s="30" t="s">
        <v>23</v>
      </c>
      <c r="Q110" s="34" t="s">
        <v>24</v>
      </c>
      <c r="R110" s="29" t="s">
        <v>25</v>
      </c>
    </row>
    <row r="111" spans="1:18" ht="15" customHeight="1" x14ac:dyDescent="0.3">
      <c r="A111" s="8" t="s">
        <v>36</v>
      </c>
      <c r="B111" s="8" t="s">
        <v>601</v>
      </c>
      <c r="C111" s="9">
        <v>0.44791666666666669</v>
      </c>
      <c r="D111" s="8" t="s">
        <v>38</v>
      </c>
      <c r="E111" s="8" t="s">
        <v>205</v>
      </c>
      <c r="F111" s="8" t="s">
        <v>654</v>
      </c>
      <c r="G111" s="255"/>
      <c r="H111" s="10"/>
      <c r="I111" s="11"/>
      <c r="J111" s="11"/>
      <c r="K111" s="11"/>
      <c r="L111" s="11"/>
      <c r="M111" s="11"/>
      <c r="N111" s="11"/>
      <c r="O111" s="12"/>
      <c r="P111" s="11"/>
      <c r="Q111" s="13"/>
      <c r="R111" s="14"/>
    </row>
    <row r="112" spans="1:18" ht="15" customHeight="1" x14ac:dyDescent="0.3">
      <c r="A112" s="15" t="s">
        <v>36</v>
      </c>
      <c r="B112" s="15" t="s">
        <v>601</v>
      </c>
      <c r="C112" s="16">
        <v>0.44791666666666669</v>
      </c>
      <c r="D112" s="15" t="s">
        <v>41</v>
      </c>
      <c r="E112" s="15" t="s">
        <v>207</v>
      </c>
      <c r="F112" s="15" t="s">
        <v>655</v>
      </c>
      <c r="G112" s="256"/>
      <c r="H112" s="10"/>
      <c r="I112" s="11"/>
      <c r="J112" s="11"/>
      <c r="K112" s="11"/>
      <c r="L112" s="11"/>
      <c r="M112" s="11"/>
      <c r="N112" s="11"/>
      <c r="O112" s="12"/>
      <c r="P112" s="11"/>
      <c r="Q112" s="13"/>
      <c r="R112" s="14"/>
    </row>
    <row r="113" spans="1:18" ht="15" customHeight="1" x14ac:dyDescent="0.3">
      <c r="A113" s="15" t="s">
        <v>36</v>
      </c>
      <c r="B113" s="15" t="s">
        <v>601</v>
      </c>
      <c r="C113" s="16">
        <v>0.44791666666666669</v>
      </c>
      <c r="D113" s="15" t="s">
        <v>44</v>
      </c>
      <c r="E113" s="15" t="s">
        <v>207</v>
      </c>
      <c r="F113" s="15" t="s">
        <v>596</v>
      </c>
      <c r="G113" s="256"/>
      <c r="H113" s="10"/>
      <c r="I113" s="11"/>
      <c r="J113" s="11"/>
      <c r="K113" s="11"/>
      <c r="L113" s="11"/>
      <c r="M113" s="11"/>
      <c r="N113" s="11"/>
      <c r="O113" s="12"/>
      <c r="P113" s="11"/>
      <c r="Q113" s="13"/>
      <c r="R113" s="14"/>
    </row>
    <row r="114" spans="1:18" ht="15" customHeight="1" x14ac:dyDescent="0.3">
      <c r="A114" s="19" t="s">
        <v>36</v>
      </c>
      <c r="B114" s="19" t="s">
        <v>595</v>
      </c>
      <c r="C114" s="20">
        <v>0.76041666666666663</v>
      </c>
      <c r="D114" s="19" t="s">
        <v>38</v>
      </c>
      <c r="E114" s="19" t="s">
        <v>69</v>
      </c>
      <c r="F114" s="19" t="s">
        <v>654</v>
      </c>
      <c r="G114" s="256"/>
      <c r="H114" s="10"/>
      <c r="I114" s="11"/>
      <c r="J114" s="11"/>
      <c r="K114" s="11"/>
      <c r="L114" s="11"/>
      <c r="M114" s="11"/>
      <c r="N114" s="11"/>
      <c r="O114" s="12"/>
      <c r="P114" s="11"/>
      <c r="Q114" s="13"/>
      <c r="R114" s="14"/>
    </row>
    <row r="115" spans="1:18" ht="15" customHeight="1" x14ac:dyDescent="0.3">
      <c r="A115" s="15" t="s">
        <v>36</v>
      </c>
      <c r="B115" s="15" t="s">
        <v>595</v>
      </c>
      <c r="C115" s="16">
        <v>0.76041666666666663</v>
      </c>
      <c r="D115" s="15" t="s">
        <v>41</v>
      </c>
      <c r="E115" s="15" t="s">
        <v>71</v>
      </c>
      <c r="F115" s="15" t="s">
        <v>655</v>
      </c>
      <c r="G115" s="256"/>
      <c r="H115" s="10"/>
      <c r="I115" s="11"/>
      <c r="J115" s="11"/>
      <c r="K115" s="11"/>
      <c r="L115" s="11"/>
      <c r="M115" s="11"/>
      <c r="N115" s="11"/>
      <c r="O115" s="12"/>
      <c r="P115" s="11"/>
      <c r="Q115" s="13"/>
      <c r="R115" s="14"/>
    </row>
    <row r="116" spans="1:18" ht="15" customHeight="1" x14ac:dyDescent="0.3">
      <c r="A116" s="15" t="s">
        <v>36</v>
      </c>
      <c r="B116" s="15" t="s">
        <v>595</v>
      </c>
      <c r="C116" s="16">
        <v>0.76041666666666663</v>
      </c>
      <c r="D116" s="15" t="s">
        <v>44</v>
      </c>
      <c r="E116" s="15" t="s">
        <v>71</v>
      </c>
      <c r="F116" s="15" t="s">
        <v>596</v>
      </c>
      <c r="G116" s="256"/>
      <c r="H116" s="10"/>
      <c r="I116" s="11"/>
      <c r="J116" s="11"/>
      <c r="K116" s="11"/>
      <c r="L116" s="11"/>
      <c r="M116" s="11"/>
      <c r="N116" s="11"/>
      <c r="O116" s="12"/>
      <c r="P116" s="11"/>
      <c r="Q116" s="13"/>
      <c r="R116" s="14"/>
    </row>
    <row r="117" spans="1:18" ht="15" customHeight="1" x14ac:dyDescent="0.3">
      <c r="A117" s="19" t="s">
        <v>36</v>
      </c>
      <c r="B117" s="19" t="s">
        <v>597</v>
      </c>
      <c r="C117" s="20">
        <v>0.81597222222222221</v>
      </c>
      <c r="D117" s="19" t="s">
        <v>38</v>
      </c>
      <c r="E117" s="19" t="s">
        <v>267</v>
      </c>
      <c r="F117" s="19" t="s">
        <v>654</v>
      </c>
      <c r="G117" s="256"/>
      <c r="H117" s="10"/>
      <c r="I117" s="11"/>
      <c r="J117" s="11"/>
      <c r="K117" s="11"/>
      <c r="L117" s="11"/>
      <c r="M117" s="11"/>
      <c r="N117" s="11"/>
      <c r="O117" s="12"/>
      <c r="P117" s="11"/>
      <c r="Q117" s="13"/>
      <c r="R117" s="14"/>
    </row>
    <row r="118" spans="1:18" ht="15" customHeight="1" x14ac:dyDescent="0.3">
      <c r="A118" s="15" t="s">
        <v>36</v>
      </c>
      <c r="B118" s="15" t="s">
        <v>597</v>
      </c>
      <c r="C118" s="16">
        <v>0.81597222222222221</v>
      </c>
      <c r="D118" s="15" t="s">
        <v>41</v>
      </c>
      <c r="E118" s="15" t="s">
        <v>221</v>
      </c>
      <c r="F118" s="15" t="s">
        <v>655</v>
      </c>
      <c r="G118" s="256"/>
      <c r="H118" s="10"/>
      <c r="I118" s="11"/>
      <c r="J118" s="11"/>
      <c r="K118" s="11"/>
      <c r="L118" s="11"/>
      <c r="M118" s="11"/>
      <c r="N118" s="11"/>
      <c r="O118" s="12"/>
      <c r="P118" s="11"/>
      <c r="Q118" s="13"/>
      <c r="R118" s="14"/>
    </row>
    <row r="119" spans="1:18" ht="15" customHeight="1" x14ac:dyDescent="0.3">
      <c r="A119" s="15" t="s">
        <v>36</v>
      </c>
      <c r="B119" s="15" t="s">
        <v>597</v>
      </c>
      <c r="C119" s="16">
        <v>0.81597222222222221</v>
      </c>
      <c r="D119" s="15" t="s">
        <v>44</v>
      </c>
      <c r="E119" s="15" t="s">
        <v>221</v>
      </c>
      <c r="F119" s="15" t="s">
        <v>596</v>
      </c>
      <c r="G119" s="256"/>
      <c r="H119" s="10"/>
      <c r="I119" s="11"/>
      <c r="J119" s="11"/>
      <c r="K119" s="11"/>
      <c r="L119" s="11"/>
      <c r="M119" s="11"/>
      <c r="N119" s="11"/>
      <c r="O119" s="12"/>
      <c r="P119" s="11"/>
      <c r="Q119" s="13"/>
      <c r="R119" s="14"/>
    </row>
    <row r="120" spans="1:18" ht="15" customHeight="1" x14ac:dyDescent="0.3">
      <c r="A120" s="19" t="s">
        <v>36</v>
      </c>
      <c r="B120" s="19" t="s">
        <v>603</v>
      </c>
      <c r="C120" s="20">
        <v>0.5</v>
      </c>
      <c r="D120" s="19" t="s">
        <v>38</v>
      </c>
      <c r="E120" s="19" t="s">
        <v>267</v>
      </c>
      <c r="F120" s="19" t="s">
        <v>656</v>
      </c>
      <c r="G120" s="256"/>
      <c r="H120" s="10"/>
      <c r="I120" s="11"/>
      <c r="J120" s="11"/>
      <c r="K120" s="11"/>
      <c r="L120" s="11"/>
      <c r="M120" s="11"/>
      <c r="N120" s="11"/>
      <c r="O120" s="12"/>
      <c r="P120" s="11"/>
      <c r="Q120" s="13"/>
      <c r="R120" s="14"/>
    </row>
    <row r="121" spans="1:18" ht="15" customHeight="1" x14ac:dyDescent="0.3">
      <c r="A121" s="15" t="s">
        <v>36</v>
      </c>
      <c r="B121" s="15" t="s">
        <v>603</v>
      </c>
      <c r="C121" s="16">
        <v>0.5</v>
      </c>
      <c r="D121" s="15" t="s">
        <v>41</v>
      </c>
      <c r="E121" s="15" t="s">
        <v>221</v>
      </c>
      <c r="F121" s="15" t="s">
        <v>657</v>
      </c>
      <c r="G121" s="256"/>
      <c r="H121" s="10"/>
      <c r="I121" s="11"/>
      <c r="J121" s="11"/>
      <c r="K121" s="11"/>
      <c r="L121" s="11"/>
      <c r="M121" s="11"/>
      <c r="N121" s="11"/>
      <c r="O121" s="12"/>
      <c r="P121" s="11"/>
      <c r="Q121" s="13"/>
      <c r="R121" s="14"/>
    </row>
    <row r="122" spans="1:18" ht="15" customHeight="1" x14ac:dyDescent="0.3">
      <c r="A122" s="15" t="s">
        <v>36</v>
      </c>
      <c r="B122" s="15" t="s">
        <v>603</v>
      </c>
      <c r="C122" s="16">
        <v>0.5</v>
      </c>
      <c r="D122" s="15" t="s">
        <v>44</v>
      </c>
      <c r="E122" s="15" t="s">
        <v>221</v>
      </c>
      <c r="F122" s="15" t="s">
        <v>596</v>
      </c>
      <c r="G122" s="256"/>
      <c r="H122" s="10"/>
      <c r="I122" s="11"/>
      <c r="J122" s="11"/>
      <c r="K122" s="11"/>
      <c r="L122" s="11"/>
      <c r="M122" s="11"/>
      <c r="N122" s="11"/>
      <c r="O122" s="12"/>
      <c r="P122" s="11"/>
      <c r="Q122" s="13"/>
      <c r="R122" s="14"/>
    </row>
    <row r="123" spans="1:18" ht="15" customHeight="1" x14ac:dyDescent="0.3">
      <c r="A123" s="17" t="s">
        <v>26</v>
      </c>
      <c r="B123" s="17" t="s">
        <v>608</v>
      </c>
      <c r="C123" s="18">
        <v>0.82638888888888884</v>
      </c>
      <c r="D123" s="17" t="s">
        <v>28</v>
      </c>
      <c r="E123" s="17" t="s">
        <v>205</v>
      </c>
      <c r="F123" s="17" t="s">
        <v>658</v>
      </c>
      <c r="G123" s="256"/>
      <c r="H123" s="10"/>
      <c r="I123" s="11"/>
      <c r="J123" s="11"/>
      <c r="K123" s="11"/>
      <c r="L123" s="11"/>
      <c r="M123" s="11"/>
      <c r="N123" s="11"/>
      <c r="O123" s="12"/>
      <c r="P123" s="11"/>
      <c r="Q123" s="13"/>
      <c r="R123" s="14"/>
    </row>
    <row r="124" spans="1:18" ht="15" customHeight="1" x14ac:dyDescent="0.3">
      <c r="A124" s="15" t="s">
        <v>26</v>
      </c>
      <c r="B124" s="15" t="s">
        <v>608</v>
      </c>
      <c r="C124" s="16">
        <v>0.82638888888888884</v>
      </c>
      <c r="D124" s="15" t="s">
        <v>31</v>
      </c>
      <c r="E124" s="15" t="s">
        <v>207</v>
      </c>
      <c r="F124" s="15" t="s">
        <v>657</v>
      </c>
      <c r="G124" s="256"/>
      <c r="H124" s="10"/>
      <c r="I124" s="11"/>
      <c r="J124" s="11"/>
      <c r="K124" s="11"/>
      <c r="L124" s="11"/>
      <c r="M124" s="11"/>
      <c r="N124" s="11"/>
      <c r="O124" s="12"/>
      <c r="P124" s="11"/>
      <c r="Q124" s="13"/>
      <c r="R124" s="14"/>
    </row>
    <row r="125" spans="1:18" ht="15" customHeight="1" x14ac:dyDescent="0.3">
      <c r="A125" s="15" t="s">
        <v>26</v>
      </c>
      <c r="B125" s="15" t="s">
        <v>608</v>
      </c>
      <c r="C125" s="16">
        <v>0.82638888888888884</v>
      </c>
      <c r="D125" s="15" t="s">
        <v>34</v>
      </c>
      <c r="E125" s="15" t="s">
        <v>207</v>
      </c>
      <c r="F125" s="15" t="s">
        <v>206</v>
      </c>
      <c r="G125" s="256"/>
      <c r="H125" s="10"/>
      <c r="I125" s="11"/>
      <c r="J125" s="11"/>
      <c r="K125" s="11"/>
      <c r="L125" s="11"/>
      <c r="M125" s="11"/>
      <c r="N125" s="11"/>
      <c r="O125" s="12"/>
      <c r="P125" s="11"/>
      <c r="Q125" s="13"/>
      <c r="R125" s="14"/>
    </row>
    <row r="126" spans="1:18" ht="15" customHeight="1" x14ac:dyDescent="0.3">
      <c r="A126" s="19" t="s">
        <v>26</v>
      </c>
      <c r="B126" s="19" t="s">
        <v>609</v>
      </c>
      <c r="C126" s="20">
        <v>0.5</v>
      </c>
      <c r="D126" s="19" t="s">
        <v>28</v>
      </c>
      <c r="E126" s="19" t="s">
        <v>63</v>
      </c>
      <c r="F126" s="19" t="s">
        <v>658</v>
      </c>
      <c r="G126" s="256"/>
      <c r="H126" s="10"/>
      <c r="I126" s="11"/>
      <c r="J126" s="11"/>
      <c r="K126" s="11"/>
      <c r="L126" s="11"/>
      <c r="M126" s="11"/>
      <c r="N126" s="11"/>
      <c r="O126" s="12"/>
      <c r="P126" s="11"/>
      <c r="Q126" s="13"/>
      <c r="R126" s="14"/>
    </row>
    <row r="127" spans="1:18" ht="15" customHeight="1" x14ac:dyDescent="0.3">
      <c r="A127" s="15" t="s">
        <v>26</v>
      </c>
      <c r="B127" s="15" t="s">
        <v>609</v>
      </c>
      <c r="C127" s="16">
        <v>0.5</v>
      </c>
      <c r="D127" s="15" t="s">
        <v>31</v>
      </c>
      <c r="E127" s="15" t="s">
        <v>65</v>
      </c>
      <c r="F127" s="15" t="s">
        <v>657</v>
      </c>
      <c r="G127" s="256"/>
      <c r="H127" s="10"/>
      <c r="I127" s="11"/>
      <c r="J127" s="11"/>
      <c r="K127" s="11"/>
      <c r="L127" s="11"/>
      <c r="M127" s="11"/>
      <c r="N127" s="11"/>
      <c r="O127" s="12"/>
      <c r="P127" s="11"/>
      <c r="Q127" s="13"/>
      <c r="R127" s="14"/>
    </row>
    <row r="128" spans="1:18" ht="15" customHeight="1" x14ac:dyDescent="0.3">
      <c r="A128" s="15" t="s">
        <v>26</v>
      </c>
      <c r="B128" s="15" t="s">
        <v>609</v>
      </c>
      <c r="C128" s="16">
        <v>0.5</v>
      </c>
      <c r="D128" s="15" t="s">
        <v>34</v>
      </c>
      <c r="E128" s="15" t="s">
        <v>65</v>
      </c>
      <c r="F128" s="15" t="s">
        <v>206</v>
      </c>
      <c r="G128" s="256"/>
      <c r="H128" s="10"/>
      <c r="I128" s="11"/>
      <c r="J128" s="11"/>
      <c r="K128" s="11"/>
      <c r="L128" s="11"/>
      <c r="M128" s="11"/>
      <c r="N128" s="11"/>
      <c r="O128" s="12"/>
      <c r="P128" s="11"/>
      <c r="Q128" s="13"/>
      <c r="R128" s="14"/>
    </row>
    <row r="129" spans="1:18" ht="15" customHeight="1" x14ac:dyDescent="0.3">
      <c r="A129" s="19" t="s">
        <v>26</v>
      </c>
      <c r="B129" s="19" t="s">
        <v>611</v>
      </c>
      <c r="C129" s="20">
        <v>0.6875</v>
      </c>
      <c r="D129" s="19" t="s">
        <v>28</v>
      </c>
      <c r="E129" s="19" t="s">
        <v>225</v>
      </c>
      <c r="F129" s="19" t="s">
        <v>658</v>
      </c>
      <c r="G129" s="256"/>
      <c r="H129" s="10"/>
      <c r="I129" s="11"/>
      <c r="J129" s="11"/>
      <c r="K129" s="11"/>
      <c r="L129" s="11"/>
      <c r="M129" s="11"/>
      <c r="N129" s="11"/>
      <c r="O129" s="12"/>
      <c r="P129" s="11"/>
      <c r="Q129" s="13"/>
      <c r="R129" s="14"/>
    </row>
    <row r="130" spans="1:18" ht="15" customHeight="1" x14ac:dyDescent="0.3">
      <c r="A130" s="15" t="s">
        <v>26</v>
      </c>
      <c r="B130" s="15" t="s">
        <v>611</v>
      </c>
      <c r="C130" s="16">
        <v>0.6875</v>
      </c>
      <c r="D130" s="15" t="s">
        <v>31</v>
      </c>
      <c r="E130" s="15" t="s">
        <v>32</v>
      </c>
      <c r="F130" s="15" t="s">
        <v>657</v>
      </c>
      <c r="G130" s="256"/>
      <c r="H130" s="10"/>
      <c r="I130" s="11"/>
      <c r="J130" s="11"/>
      <c r="K130" s="11"/>
      <c r="L130" s="11"/>
      <c r="M130" s="11"/>
      <c r="N130" s="11"/>
      <c r="O130" s="12"/>
      <c r="P130" s="11"/>
      <c r="Q130" s="13"/>
      <c r="R130" s="14"/>
    </row>
    <row r="131" spans="1:18" ht="15" customHeight="1" x14ac:dyDescent="0.3">
      <c r="A131" s="15" t="s">
        <v>26</v>
      </c>
      <c r="B131" s="15" t="s">
        <v>611</v>
      </c>
      <c r="C131" s="16">
        <v>0.6875</v>
      </c>
      <c r="D131" s="15" t="s">
        <v>34</v>
      </c>
      <c r="E131" s="15" t="s">
        <v>32</v>
      </c>
      <c r="F131" s="15" t="s">
        <v>206</v>
      </c>
      <c r="G131" s="256"/>
      <c r="H131" s="10"/>
      <c r="I131" s="11"/>
      <c r="J131" s="11"/>
      <c r="K131" s="11"/>
      <c r="L131" s="11"/>
      <c r="M131" s="11"/>
      <c r="N131" s="11"/>
      <c r="O131" s="12"/>
      <c r="P131" s="11"/>
      <c r="Q131" s="13"/>
      <c r="R131" s="14"/>
    </row>
    <row r="132" spans="1:18" ht="15" customHeight="1" x14ac:dyDescent="0.3">
      <c r="A132" s="19" t="s">
        <v>26</v>
      </c>
      <c r="B132" s="19" t="s">
        <v>614</v>
      </c>
      <c r="C132" s="20">
        <v>0.56597222222222221</v>
      </c>
      <c r="D132" s="19" t="s">
        <v>28</v>
      </c>
      <c r="E132" s="19" t="s">
        <v>63</v>
      </c>
      <c r="F132" s="19" t="s">
        <v>658</v>
      </c>
      <c r="G132" s="256"/>
      <c r="H132" s="10"/>
      <c r="I132" s="11"/>
      <c r="J132" s="11"/>
      <c r="K132" s="11"/>
      <c r="L132" s="11"/>
      <c r="M132" s="11"/>
      <c r="N132" s="11"/>
      <c r="O132" s="12"/>
      <c r="P132" s="11"/>
      <c r="Q132" s="13"/>
      <c r="R132" s="14"/>
    </row>
    <row r="133" spans="1:18" ht="15" customHeight="1" x14ac:dyDescent="0.3">
      <c r="A133" s="15" t="s">
        <v>26</v>
      </c>
      <c r="B133" s="15" t="s">
        <v>614</v>
      </c>
      <c r="C133" s="16">
        <v>0.56597222222222221</v>
      </c>
      <c r="D133" s="15" t="s">
        <v>31</v>
      </c>
      <c r="E133" s="15" t="s">
        <v>65</v>
      </c>
      <c r="F133" s="15" t="s">
        <v>657</v>
      </c>
      <c r="G133" s="256"/>
      <c r="H133" s="10"/>
      <c r="I133" s="11"/>
      <c r="J133" s="11"/>
      <c r="K133" s="11"/>
      <c r="L133" s="11"/>
      <c r="M133" s="11"/>
      <c r="N133" s="11"/>
      <c r="O133" s="12"/>
      <c r="P133" s="11"/>
      <c r="Q133" s="13"/>
      <c r="R133" s="14"/>
    </row>
    <row r="134" spans="1:18" ht="15" customHeight="1" x14ac:dyDescent="0.3">
      <c r="A134" s="15" t="s">
        <v>26</v>
      </c>
      <c r="B134" s="15" t="s">
        <v>614</v>
      </c>
      <c r="C134" s="16">
        <v>0.56597222222222221</v>
      </c>
      <c r="D134" s="15" t="s">
        <v>34</v>
      </c>
      <c r="E134" s="15" t="s">
        <v>65</v>
      </c>
      <c r="F134" s="15" t="s">
        <v>206</v>
      </c>
      <c r="G134" s="256"/>
      <c r="H134" s="10"/>
      <c r="I134" s="11"/>
      <c r="J134" s="11"/>
      <c r="K134" s="11"/>
      <c r="L134" s="11"/>
      <c r="M134" s="11"/>
      <c r="N134" s="11"/>
      <c r="O134" s="12"/>
      <c r="P134" s="11"/>
      <c r="Q134" s="13"/>
      <c r="R134" s="14"/>
    </row>
    <row r="135" spans="1:18" ht="15" customHeight="1" x14ac:dyDescent="0.3">
      <c r="A135" s="19" t="s">
        <v>26</v>
      </c>
      <c r="B135" s="19" t="s">
        <v>613</v>
      </c>
      <c r="C135" s="20">
        <v>0.375</v>
      </c>
      <c r="D135" s="19" t="s">
        <v>28</v>
      </c>
      <c r="E135" s="19" t="s">
        <v>63</v>
      </c>
      <c r="F135" s="19" t="s">
        <v>659</v>
      </c>
      <c r="G135" s="256"/>
      <c r="H135" s="10"/>
      <c r="I135" s="11"/>
      <c r="J135" s="11"/>
      <c r="K135" s="11"/>
      <c r="L135" s="11"/>
      <c r="M135" s="11"/>
      <c r="N135" s="11"/>
      <c r="O135" s="12"/>
      <c r="P135" s="11"/>
      <c r="Q135" s="13"/>
      <c r="R135" s="14"/>
    </row>
    <row r="136" spans="1:18" ht="15" customHeight="1" x14ac:dyDescent="0.3">
      <c r="A136" s="15" t="s">
        <v>26</v>
      </c>
      <c r="B136" s="15" t="s">
        <v>613</v>
      </c>
      <c r="C136" s="16">
        <v>0.375</v>
      </c>
      <c r="D136" s="15" t="s">
        <v>31</v>
      </c>
      <c r="E136" s="15" t="s">
        <v>65</v>
      </c>
      <c r="F136" s="15" t="s">
        <v>343</v>
      </c>
      <c r="G136" s="256"/>
      <c r="H136" s="10"/>
      <c r="I136" s="11"/>
      <c r="J136" s="11"/>
      <c r="K136" s="11"/>
      <c r="L136" s="11"/>
      <c r="M136" s="11"/>
      <c r="N136" s="11"/>
      <c r="O136" s="12"/>
      <c r="P136" s="11"/>
      <c r="Q136" s="13"/>
      <c r="R136" s="14"/>
    </row>
    <row r="137" spans="1:18" ht="15" customHeight="1" x14ac:dyDescent="0.3">
      <c r="A137" s="15" t="s">
        <v>26</v>
      </c>
      <c r="B137" s="15" t="s">
        <v>613</v>
      </c>
      <c r="C137" s="16">
        <v>0.375</v>
      </c>
      <c r="D137" s="15" t="s">
        <v>34</v>
      </c>
      <c r="E137" s="15" t="s">
        <v>65</v>
      </c>
      <c r="F137" s="15" t="s">
        <v>660</v>
      </c>
      <c r="G137" s="256"/>
      <c r="H137" s="10"/>
      <c r="I137" s="11"/>
      <c r="J137" s="11"/>
      <c r="K137" s="11"/>
      <c r="L137" s="11"/>
      <c r="M137" s="11"/>
      <c r="N137" s="11"/>
      <c r="O137" s="12"/>
      <c r="P137" s="11"/>
      <c r="Q137" s="13"/>
      <c r="R137" s="14"/>
    </row>
    <row r="138" spans="1:18" ht="15" customHeight="1" x14ac:dyDescent="0.3">
      <c r="A138" s="19" t="s">
        <v>26</v>
      </c>
      <c r="B138" s="19" t="s">
        <v>606</v>
      </c>
      <c r="C138" s="20">
        <v>0.30555555555555552</v>
      </c>
      <c r="D138" s="19" t="s">
        <v>28</v>
      </c>
      <c r="E138" s="19" t="s">
        <v>92</v>
      </c>
      <c r="F138" s="19" t="s">
        <v>342</v>
      </c>
      <c r="G138" s="256"/>
      <c r="H138" s="10"/>
      <c r="I138" s="11"/>
      <c r="J138" s="11"/>
      <c r="K138" s="11"/>
      <c r="L138" s="11"/>
      <c r="M138" s="11"/>
      <c r="N138" s="11"/>
      <c r="O138" s="12"/>
      <c r="P138" s="11"/>
      <c r="Q138" s="13"/>
      <c r="R138" s="14"/>
    </row>
    <row r="139" spans="1:18" ht="15" customHeight="1" x14ac:dyDescent="0.3">
      <c r="A139" s="15" t="s">
        <v>26</v>
      </c>
      <c r="B139" s="15" t="s">
        <v>606</v>
      </c>
      <c r="C139" s="16">
        <v>0.30555555555555552</v>
      </c>
      <c r="D139" s="15" t="s">
        <v>31</v>
      </c>
      <c r="E139" s="15" t="s">
        <v>612</v>
      </c>
      <c r="F139" s="15" t="s">
        <v>206</v>
      </c>
      <c r="G139" s="256"/>
      <c r="H139" s="10"/>
      <c r="I139" s="11"/>
      <c r="J139" s="11"/>
      <c r="K139" s="11"/>
      <c r="L139" s="11"/>
      <c r="M139" s="11"/>
      <c r="N139" s="11"/>
      <c r="O139" s="12"/>
      <c r="P139" s="11"/>
      <c r="Q139" s="13"/>
      <c r="R139" s="14"/>
    </row>
    <row r="140" spans="1:18" ht="15" customHeight="1" x14ac:dyDescent="0.3">
      <c r="A140" s="15" t="s">
        <v>26</v>
      </c>
      <c r="B140" s="15" t="s">
        <v>606</v>
      </c>
      <c r="C140" s="16">
        <v>0.30555555555555552</v>
      </c>
      <c r="D140" s="15" t="s">
        <v>34</v>
      </c>
      <c r="E140" s="15" t="s">
        <v>612</v>
      </c>
      <c r="F140" s="15" t="s">
        <v>644</v>
      </c>
      <c r="G140" s="256"/>
      <c r="H140" s="10"/>
      <c r="I140" s="11"/>
      <c r="J140" s="11"/>
      <c r="K140" s="11"/>
      <c r="L140" s="11"/>
      <c r="M140" s="11"/>
      <c r="N140" s="11"/>
      <c r="O140" s="12"/>
      <c r="P140" s="11"/>
      <c r="Q140" s="13"/>
      <c r="R140" s="14"/>
    </row>
    <row r="141" spans="1:18" ht="15" customHeight="1" x14ac:dyDescent="0.3">
      <c r="A141" s="19" t="s">
        <v>26</v>
      </c>
      <c r="B141" s="19" t="s">
        <v>610</v>
      </c>
      <c r="C141" s="20">
        <v>0.42708333333333331</v>
      </c>
      <c r="D141" s="19" t="s">
        <v>28</v>
      </c>
      <c r="E141" s="19" t="s">
        <v>231</v>
      </c>
      <c r="F141" s="19" t="s">
        <v>342</v>
      </c>
      <c r="G141" s="256"/>
      <c r="H141" s="10"/>
      <c r="I141" s="11"/>
      <c r="J141" s="11"/>
      <c r="K141" s="11"/>
      <c r="L141" s="11"/>
      <c r="M141" s="11"/>
      <c r="N141" s="11"/>
      <c r="O141" s="12"/>
      <c r="P141" s="11"/>
      <c r="Q141" s="13"/>
      <c r="R141" s="14"/>
    </row>
    <row r="142" spans="1:18" ht="15" customHeight="1" x14ac:dyDescent="0.3">
      <c r="A142" s="15" t="s">
        <v>26</v>
      </c>
      <c r="B142" s="15" t="s">
        <v>610</v>
      </c>
      <c r="C142" s="16">
        <v>0.42708333333333331</v>
      </c>
      <c r="D142" s="15" t="s">
        <v>31</v>
      </c>
      <c r="E142" s="15" t="s">
        <v>207</v>
      </c>
      <c r="F142" s="15" t="s">
        <v>206</v>
      </c>
      <c r="G142" s="256"/>
      <c r="H142" s="10"/>
      <c r="I142" s="11"/>
      <c r="J142" s="11"/>
      <c r="K142" s="11"/>
      <c r="L142" s="11"/>
      <c r="M142" s="11"/>
      <c r="N142" s="11"/>
      <c r="O142" s="12"/>
      <c r="P142" s="11"/>
      <c r="Q142" s="13"/>
      <c r="R142" s="14"/>
    </row>
    <row r="143" spans="1:18" ht="15" customHeight="1" x14ac:dyDescent="0.3">
      <c r="A143" s="15" t="s">
        <v>26</v>
      </c>
      <c r="B143" s="15" t="s">
        <v>610</v>
      </c>
      <c r="C143" s="16">
        <v>0.42708333333333331</v>
      </c>
      <c r="D143" s="15" t="s">
        <v>34</v>
      </c>
      <c r="E143" s="15" t="s">
        <v>207</v>
      </c>
      <c r="F143" s="15" t="s">
        <v>644</v>
      </c>
      <c r="G143" s="256"/>
      <c r="H143" s="10"/>
      <c r="I143" s="11"/>
      <c r="J143" s="11"/>
      <c r="K143" s="11"/>
      <c r="L143" s="11"/>
      <c r="M143" s="11"/>
      <c r="N143" s="11"/>
      <c r="O143" s="12"/>
      <c r="P143" s="11"/>
      <c r="Q143" s="13"/>
      <c r="R143" s="14"/>
    </row>
    <row r="144" spans="1:18" ht="15" customHeight="1" x14ac:dyDescent="0.3">
      <c r="A144" s="17" t="s">
        <v>323</v>
      </c>
      <c r="B144" s="17" t="s">
        <v>661</v>
      </c>
      <c r="C144" s="18">
        <v>0.58680555555555558</v>
      </c>
      <c r="D144" s="17" t="s">
        <v>249</v>
      </c>
      <c r="E144" s="17" t="s">
        <v>49</v>
      </c>
      <c r="F144" s="17" t="s">
        <v>662</v>
      </c>
      <c r="G144" s="256"/>
      <c r="H144" s="10"/>
      <c r="I144" s="11"/>
      <c r="J144" s="11"/>
      <c r="K144" s="11"/>
      <c r="L144" s="11"/>
      <c r="M144" s="11"/>
      <c r="N144" s="11"/>
      <c r="O144" s="12"/>
      <c r="P144" s="11"/>
      <c r="Q144" s="13"/>
      <c r="R144" s="14"/>
    </row>
    <row r="145" spans="1:18" ht="15" customHeight="1" x14ac:dyDescent="0.3">
      <c r="A145" s="17" t="s">
        <v>243</v>
      </c>
      <c r="B145" s="17" t="s">
        <v>629</v>
      </c>
      <c r="C145" s="18">
        <v>0.3576388888888889</v>
      </c>
      <c r="D145" s="17" t="s">
        <v>249</v>
      </c>
      <c r="E145" s="17" t="s">
        <v>59</v>
      </c>
      <c r="F145" s="17" t="s">
        <v>663</v>
      </c>
      <c r="G145" s="256"/>
      <c r="H145" s="10"/>
      <c r="I145" s="11"/>
      <c r="J145" s="11"/>
      <c r="K145" s="11"/>
      <c r="L145" s="11"/>
      <c r="M145" s="11"/>
      <c r="N145" s="11"/>
      <c r="O145" s="12"/>
      <c r="P145" s="11"/>
      <c r="Q145" s="13"/>
      <c r="R145" s="14"/>
    </row>
    <row r="146" spans="1:18" ht="15" customHeight="1" x14ac:dyDescent="0.3">
      <c r="A146" s="196" t="s">
        <v>93</v>
      </c>
      <c r="B146" s="196" t="s">
        <v>617</v>
      </c>
      <c r="C146" s="197">
        <v>0.625</v>
      </c>
      <c r="D146" s="196" t="s">
        <v>249</v>
      </c>
      <c r="E146" s="196" t="s">
        <v>205</v>
      </c>
      <c r="F146" s="196" t="s">
        <v>648</v>
      </c>
      <c r="G146" s="256"/>
      <c r="H146" s="198" t="s">
        <v>619</v>
      </c>
      <c r="I146" s="199">
        <v>0.75600000000000001</v>
      </c>
      <c r="J146" s="200">
        <v>127</v>
      </c>
      <c r="K146" s="201" t="s">
        <v>180</v>
      </c>
      <c r="L146" s="200">
        <v>49</v>
      </c>
      <c r="M146" s="200">
        <v>0</v>
      </c>
      <c r="N146" s="200">
        <v>5</v>
      </c>
      <c r="O146" s="202" t="s">
        <v>150</v>
      </c>
      <c r="P146" s="203">
        <v>0.625</v>
      </c>
      <c r="Q146" s="200">
        <v>168</v>
      </c>
      <c r="R146" s="204" t="s">
        <v>664</v>
      </c>
    </row>
    <row r="147" spans="1:18" ht="15" customHeight="1" x14ac:dyDescent="0.3">
      <c r="A147" s="17" t="s">
        <v>56</v>
      </c>
      <c r="B147" s="17" t="s">
        <v>640</v>
      </c>
      <c r="C147" s="18">
        <v>0.68402777777777779</v>
      </c>
      <c r="D147" s="17" t="s">
        <v>62</v>
      </c>
      <c r="E147" s="17" t="s">
        <v>49</v>
      </c>
      <c r="F147" s="17" t="s">
        <v>665</v>
      </c>
      <c r="G147" s="256"/>
      <c r="H147" s="10"/>
      <c r="I147" s="11"/>
      <c r="J147" s="11"/>
      <c r="K147" s="11"/>
      <c r="L147" s="11"/>
      <c r="M147" s="11"/>
      <c r="N147" s="11"/>
      <c r="O147" s="12"/>
      <c r="P147" s="11"/>
      <c r="Q147" s="13"/>
      <c r="R147" s="14"/>
    </row>
    <row r="148" spans="1:18" ht="15" customHeight="1" x14ac:dyDescent="0.3">
      <c r="A148" s="15" t="s">
        <v>56</v>
      </c>
      <c r="B148" s="15" t="s">
        <v>640</v>
      </c>
      <c r="C148" s="16">
        <v>0.68402777777777779</v>
      </c>
      <c r="D148" s="15" t="s">
        <v>58</v>
      </c>
      <c r="E148" s="15" t="s">
        <v>101</v>
      </c>
      <c r="F148" s="15" t="s">
        <v>666</v>
      </c>
      <c r="G148" s="256"/>
      <c r="H148" s="10"/>
      <c r="I148" s="11"/>
      <c r="J148" s="11"/>
      <c r="K148" s="11"/>
      <c r="L148" s="11"/>
      <c r="M148" s="11"/>
      <c r="N148" s="11"/>
      <c r="O148" s="12"/>
      <c r="P148" s="11"/>
      <c r="Q148" s="13"/>
      <c r="R148" s="14"/>
    </row>
    <row r="149" spans="1:18" ht="15" customHeight="1" x14ac:dyDescent="0.3">
      <c r="A149" s="19" t="s">
        <v>56</v>
      </c>
      <c r="B149" s="19" t="s">
        <v>631</v>
      </c>
      <c r="C149" s="20">
        <v>0.83680555555555547</v>
      </c>
      <c r="D149" s="19" t="s">
        <v>62</v>
      </c>
      <c r="E149" s="19" t="s">
        <v>52</v>
      </c>
      <c r="F149" s="19" t="s">
        <v>665</v>
      </c>
      <c r="G149" s="256"/>
      <c r="H149" s="10"/>
      <c r="I149" s="11"/>
      <c r="J149" s="11"/>
      <c r="K149" s="11"/>
      <c r="L149" s="11"/>
      <c r="M149" s="11"/>
      <c r="N149" s="11"/>
      <c r="O149" s="12"/>
      <c r="P149" s="11"/>
      <c r="Q149" s="13"/>
      <c r="R149" s="14"/>
    </row>
    <row r="150" spans="1:18" ht="15" customHeight="1" x14ac:dyDescent="0.3">
      <c r="A150" s="15" t="s">
        <v>56</v>
      </c>
      <c r="B150" s="15" t="s">
        <v>631</v>
      </c>
      <c r="C150" s="16">
        <v>0.83680555555555547</v>
      </c>
      <c r="D150" s="15" t="s">
        <v>58</v>
      </c>
      <c r="E150" s="15" t="s">
        <v>101</v>
      </c>
      <c r="F150" s="15" t="s">
        <v>666</v>
      </c>
      <c r="G150" s="256"/>
      <c r="H150" s="10"/>
      <c r="I150" s="11"/>
      <c r="J150" s="11"/>
      <c r="K150" s="11"/>
      <c r="L150" s="11"/>
      <c r="M150" s="11"/>
      <c r="N150" s="11"/>
      <c r="O150" s="12"/>
      <c r="P150" s="11"/>
      <c r="Q150" s="13"/>
      <c r="R150" s="14"/>
    </row>
    <row r="151" spans="1:18" ht="15" customHeight="1" x14ac:dyDescent="0.3">
      <c r="A151" s="19" t="s">
        <v>56</v>
      </c>
      <c r="B151" s="19" t="s">
        <v>636</v>
      </c>
      <c r="C151" s="20">
        <v>0.81597222222222221</v>
      </c>
      <c r="D151" s="19" t="s">
        <v>58</v>
      </c>
      <c r="E151" s="19" t="s">
        <v>92</v>
      </c>
      <c r="F151" s="19" t="s">
        <v>667</v>
      </c>
      <c r="G151" s="256"/>
      <c r="H151" s="10"/>
      <c r="I151" s="11"/>
      <c r="J151" s="11"/>
      <c r="K151" s="11"/>
      <c r="L151" s="11"/>
      <c r="M151" s="11"/>
      <c r="N151" s="11"/>
      <c r="O151" s="12"/>
      <c r="P151" s="11"/>
      <c r="Q151" s="13"/>
      <c r="R151" s="14"/>
    </row>
    <row r="152" spans="1:18" ht="15" customHeight="1" x14ac:dyDescent="0.3">
      <c r="A152" s="19" t="s">
        <v>56</v>
      </c>
      <c r="B152" s="19" t="s">
        <v>637</v>
      </c>
      <c r="C152" s="20">
        <v>0.2986111111111111</v>
      </c>
      <c r="D152" s="19" t="s">
        <v>62</v>
      </c>
      <c r="E152" s="19" t="s">
        <v>52</v>
      </c>
      <c r="F152" s="19" t="s">
        <v>668</v>
      </c>
      <c r="G152" s="256"/>
      <c r="H152" s="10"/>
      <c r="I152" s="11"/>
      <c r="J152" s="11"/>
      <c r="K152" s="11"/>
      <c r="L152" s="11"/>
      <c r="M152" s="11"/>
      <c r="N152" s="11"/>
      <c r="O152" s="12"/>
      <c r="P152" s="11"/>
      <c r="Q152" s="13"/>
      <c r="R152" s="14"/>
    </row>
    <row r="153" spans="1:18" ht="15" customHeight="1" x14ac:dyDescent="0.3">
      <c r="A153" s="15" t="s">
        <v>56</v>
      </c>
      <c r="B153" s="15" t="s">
        <v>637</v>
      </c>
      <c r="C153" s="16">
        <v>0.2986111111111111</v>
      </c>
      <c r="D153" s="15" t="s">
        <v>58</v>
      </c>
      <c r="E153" s="15" t="s">
        <v>101</v>
      </c>
      <c r="F153" s="15" t="s">
        <v>669</v>
      </c>
      <c r="G153" s="256"/>
      <c r="H153" s="10"/>
      <c r="I153" s="11"/>
      <c r="J153" s="11"/>
      <c r="K153" s="11"/>
      <c r="L153" s="11"/>
      <c r="M153" s="11"/>
      <c r="N153" s="11"/>
      <c r="O153" s="12"/>
      <c r="P153" s="11"/>
      <c r="Q153" s="13"/>
      <c r="R153" s="14"/>
    </row>
    <row r="154" spans="1:18" ht="15" customHeight="1" x14ac:dyDescent="0.3">
      <c r="A154" s="19" t="s">
        <v>56</v>
      </c>
      <c r="B154" s="19" t="s">
        <v>670</v>
      </c>
      <c r="C154" s="20">
        <v>0.55208333333333337</v>
      </c>
      <c r="D154" s="19" t="s">
        <v>62</v>
      </c>
      <c r="E154" s="19" t="s">
        <v>52</v>
      </c>
      <c r="F154" s="19" t="s">
        <v>668</v>
      </c>
      <c r="G154" s="256"/>
      <c r="H154" s="10"/>
      <c r="I154" s="11"/>
      <c r="J154" s="11"/>
      <c r="K154" s="11"/>
      <c r="L154" s="11"/>
      <c r="M154" s="11"/>
      <c r="N154" s="11"/>
      <c r="O154" s="12"/>
      <c r="P154" s="11"/>
      <c r="Q154" s="13"/>
      <c r="R154" s="14"/>
    </row>
    <row r="155" spans="1:18" ht="15" customHeight="1" x14ac:dyDescent="0.3">
      <c r="A155" s="15" t="s">
        <v>56</v>
      </c>
      <c r="B155" s="15" t="s">
        <v>670</v>
      </c>
      <c r="C155" s="16">
        <v>0.55208333333333337</v>
      </c>
      <c r="D155" s="15" t="s">
        <v>58</v>
      </c>
      <c r="E155" s="15" t="s">
        <v>101</v>
      </c>
      <c r="F155" s="15" t="s">
        <v>669</v>
      </c>
      <c r="G155" s="256"/>
      <c r="H155" s="10"/>
      <c r="I155" s="11"/>
      <c r="J155" s="11"/>
      <c r="K155" s="11"/>
      <c r="L155" s="11"/>
      <c r="M155" s="11"/>
      <c r="N155" s="11"/>
      <c r="O155" s="12"/>
      <c r="P155" s="11"/>
      <c r="Q155" s="13"/>
      <c r="R155" s="14"/>
    </row>
    <row r="156" spans="1:18" ht="15" customHeight="1" x14ac:dyDescent="0.3">
      <c r="A156" s="19" t="s">
        <v>56</v>
      </c>
      <c r="B156" s="19" t="s">
        <v>641</v>
      </c>
      <c r="C156" s="20">
        <v>0.4826388888888889</v>
      </c>
      <c r="D156" s="19" t="s">
        <v>62</v>
      </c>
      <c r="E156" s="19" t="s">
        <v>52</v>
      </c>
      <c r="F156" s="19" t="s">
        <v>668</v>
      </c>
      <c r="G156" s="256"/>
      <c r="H156" s="10"/>
      <c r="I156" s="11"/>
      <c r="J156" s="11"/>
      <c r="K156" s="11"/>
      <c r="L156" s="11"/>
      <c r="M156" s="11"/>
      <c r="N156" s="11"/>
      <c r="O156" s="12"/>
      <c r="P156" s="11"/>
      <c r="Q156" s="13"/>
      <c r="R156" s="14"/>
    </row>
    <row r="157" spans="1:18" ht="15" customHeight="1" x14ac:dyDescent="0.3">
      <c r="A157" s="15" t="s">
        <v>56</v>
      </c>
      <c r="B157" s="15" t="s">
        <v>641</v>
      </c>
      <c r="C157" s="16">
        <v>0.4826388888888889</v>
      </c>
      <c r="D157" s="15" t="s">
        <v>58</v>
      </c>
      <c r="E157" s="15" t="s">
        <v>101</v>
      </c>
      <c r="F157" s="15" t="s">
        <v>669</v>
      </c>
      <c r="G157" s="256"/>
      <c r="H157" s="10"/>
      <c r="I157" s="11"/>
      <c r="J157" s="11"/>
      <c r="K157" s="11"/>
      <c r="L157" s="11"/>
      <c r="M157" s="11"/>
      <c r="N157" s="11"/>
      <c r="O157" s="12"/>
      <c r="P157" s="11"/>
      <c r="Q157" s="13"/>
      <c r="R157" s="14"/>
    </row>
    <row r="158" spans="1:18" ht="15" customHeight="1" x14ac:dyDescent="0.3">
      <c r="A158" s="19" t="s">
        <v>56</v>
      </c>
      <c r="B158" s="19" t="s">
        <v>634</v>
      </c>
      <c r="C158" s="20">
        <v>0.76041666666666663</v>
      </c>
      <c r="D158" s="19" t="s">
        <v>58</v>
      </c>
      <c r="E158" s="19" t="s">
        <v>92</v>
      </c>
      <c r="F158" s="19" t="s">
        <v>671</v>
      </c>
      <c r="G158" s="256"/>
      <c r="H158" s="10"/>
      <c r="I158" s="11"/>
      <c r="J158" s="11"/>
      <c r="K158" s="11"/>
      <c r="L158" s="11"/>
      <c r="M158" s="11"/>
      <c r="N158" s="11"/>
      <c r="O158" s="12"/>
      <c r="P158" s="11"/>
      <c r="Q158" s="13"/>
      <c r="R158" s="14"/>
    </row>
    <row r="159" spans="1:18" ht="15" customHeight="1" x14ac:dyDescent="0.3">
      <c r="A159" s="19" t="s">
        <v>56</v>
      </c>
      <c r="B159" s="19" t="s">
        <v>652</v>
      </c>
      <c r="C159" s="20">
        <v>0.5</v>
      </c>
      <c r="D159" s="19" t="s">
        <v>58</v>
      </c>
      <c r="E159" s="19" t="s">
        <v>92</v>
      </c>
      <c r="F159" s="19" t="s">
        <v>671</v>
      </c>
      <c r="G159" s="256"/>
      <c r="H159" s="10"/>
      <c r="I159" s="11"/>
      <c r="J159" s="11"/>
      <c r="K159" s="11"/>
      <c r="L159" s="11"/>
      <c r="M159" s="11"/>
      <c r="N159" s="11"/>
      <c r="O159" s="12"/>
      <c r="P159" s="11"/>
      <c r="Q159" s="13"/>
      <c r="R159" s="14"/>
    </row>
    <row r="160" spans="1:18" ht="15" customHeight="1" x14ac:dyDescent="0.3">
      <c r="A160" s="17" t="s">
        <v>46</v>
      </c>
      <c r="B160" s="17" t="s">
        <v>650</v>
      </c>
      <c r="C160" s="18">
        <v>0.16666666666666671</v>
      </c>
      <c r="D160" s="17" t="s">
        <v>48</v>
      </c>
      <c r="E160" s="17" t="s">
        <v>49</v>
      </c>
      <c r="F160" s="17" t="s">
        <v>672</v>
      </c>
      <c r="G160" s="256"/>
      <c r="H160" s="10"/>
      <c r="I160" s="11"/>
      <c r="J160" s="11"/>
      <c r="K160" s="11"/>
      <c r="L160" s="11"/>
      <c r="M160" s="11"/>
      <c r="N160" s="11"/>
      <c r="O160" s="12"/>
      <c r="P160" s="11"/>
      <c r="Q160" s="13"/>
      <c r="R160" s="14"/>
    </row>
    <row r="161" spans="1:18" ht="15" customHeight="1" x14ac:dyDescent="0.3">
      <c r="A161" s="81" t="s">
        <v>46</v>
      </c>
      <c r="B161" s="81" t="s">
        <v>625</v>
      </c>
      <c r="C161" s="82">
        <v>0.92013888888888884</v>
      </c>
      <c r="D161" s="81" t="s">
        <v>48</v>
      </c>
      <c r="E161" s="81" t="s">
        <v>52</v>
      </c>
      <c r="F161" s="81" t="s">
        <v>673</v>
      </c>
      <c r="G161" s="257"/>
      <c r="H161" s="23"/>
      <c r="I161" s="24"/>
      <c r="J161" s="24"/>
      <c r="K161" s="24"/>
      <c r="L161" s="24"/>
      <c r="M161" s="24"/>
      <c r="N161" s="24"/>
      <c r="O161" s="25"/>
      <c r="P161" s="24"/>
      <c r="Q161" s="26"/>
      <c r="R161" s="27"/>
    </row>
  </sheetData>
  <mergeCells count="18">
    <mergeCell ref="G111:G161"/>
    <mergeCell ref="N1:R1"/>
    <mergeCell ref="H109:R109"/>
    <mergeCell ref="A108:R108"/>
    <mergeCell ref="H1:L1"/>
    <mergeCell ref="A1:E1"/>
    <mergeCell ref="G2:J2"/>
    <mergeCell ref="K2:R2"/>
    <mergeCell ref="A4:F4"/>
    <mergeCell ref="A56:F56"/>
    <mergeCell ref="G58:G107"/>
    <mergeCell ref="G6:G54"/>
    <mergeCell ref="A109:F109"/>
    <mergeCell ref="A2:F2"/>
    <mergeCell ref="A3:R3"/>
    <mergeCell ref="A55:R55"/>
    <mergeCell ref="H56:R56"/>
    <mergeCell ref="H4:R4"/>
  </mergeCells>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J6"/>
  <sheetViews>
    <sheetView workbookViewId="0"/>
  </sheetViews>
  <sheetFormatPr defaultRowHeight="15.6" outlineLevelCol="1" x14ac:dyDescent="0.3"/>
  <cols>
    <col min="1" max="1" width="11.6640625" style="271" bestFit="1" customWidth="1"/>
    <col min="2" max="2" width="11.109375" style="271" bestFit="1" customWidth="1"/>
    <col min="3" max="3" width="7.88671875" style="271" bestFit="1" customWidth="1"/>
    <col min="4" max="4" width="6.77734375" style="271" bestFit="1" customWidth="1"/>
    <col min="5" max="5" width="9.44140625" style="271" bestFit="1" customWidth="1"/>
    <col min="6" max="6" width="5.21875" style="271" bestFit="1" customWidth="1"/>
    <col min="7" max="7" width="10" style="271" bestFit="1" customWidth="1"/>
    <col min="8" max="8" width="7" style="271" bestFit="1" customWidth="1"/>
    <col min="9" max="10" width="8" style="271" bestFit="1" customWidth="1"/>
    <col min="11" max="11" width="12.21875" style="271" bestFit="1" customWidth="1"/>
    <col min="12" max="12" width="21.21875" style="271" bestFit="1" customWidth="1"/>
    <col min="13" max="13" width="8.77734375" style="271" bestFit="1" customWidth="1" outlineLevel="1"/>
    <col min="14" max="14" width="7.33203125" style="271" bestFit="1" customWidth="1" outlineLevel="1"/>
    <col min="15" max="15" width="9.109375" style="271" bestFit="1" customWidth="1" outlineLevel="1"/>
    <col min="16" max="16" width="15.33203125" style="271" bestFit="1" customWidth="1"/>
    <col min="17" max="21" width="3.88671875" style="271" bestFit="1" customWidth="1"/>
    <col min="22" max="22" width="4" style="271" bestFit="1" customWidth="1"/>
    <col min="23" max="24" width="3.88671875" style="271" bestFit="1" customWidth="1"/>
    <col min="25" max="25" width="4.21875" style="271" bestFit="1" customWidth="1"/>
    <col min="26" max="26" width="4.88671875" style="271" bestFit="1" customWidth="1"/>
    <col min="27" max="27" width="5.88671875" style="271" bestFit="1" customWidth="1"/>
    <col min="28" max="28" width="5" style="271" bestFit="1" customWidth="1"/>
    <col min="29" max="29" width="5.109375" style="271" bestFit="1" customWidth="1"/>
    <col min="30" max="31" width="5.33203125" style="271" bestFit="1" customWidth="1"/>
    <col min="32" max="32" width="4.44140625" style="271" bestFit="1" customWidth="1"/>
    <col min="33" max="35" width="3.88671875" style="271" bestFit="1" customWidth="1"/>
    <col min="36" max="36" width="4.21875" style="271" bestFit="1" customWidth="1"/>
    <col min="37" max="16384" width="8.88671875" style="271"/>
  </cols>
  <sheetData>
    <row r="1" spans="1:36" x14ac:dyDescent="0.3">
      <c r="A1" s="270" t="s">
        <v>104</v>
      </c>
      <c r="B1" s="270" t="s">
        <v>105</v>
      </c>
      <c r="C1" s="270" t="s">
        <v>106</v>
      </c>
      <c r="D1" s="270" t="s">
        <v>23</v>
      </c>
      <c r="E1" s="270" t="s">
        <v>107</v>
      </c>
      <c r="F1" s="270" t="s">
        <v>108</v>
      </c>
      <c r="G1" s="270" t="s">
        <v>16</v>
      </c>
      <c r="H1" s="270" t="s">
        <v>109</v>
      </c>
      <c r="I1" s="270" t="s">
        <v>110</v>
      </c>
      <c r="J1" s="270" t="s">
        <v>111</v>
      </c>
      <c r="K1" s="270" t="s">
        <v>112</v>
      </c>
      <c r="L1" s="270" t="s">
        <v>18</v>
      </c>
      <c r="M1" s="270" t="s">
        <v>20</v>
      </c>
      <c r="N1" s="270" t="s">
        <v>21</v>
      </c>
      <c r="O1" s="270" t="s">
        <v>19</v>
      </c>
      <c r="P1" s="270" t="s">
        <v>22</v>
      </c>
      <c r="Q1" s="270" t="s">
        <v>113</v>
      </c>
      <c r="R1" s="270" t="s">
        <v>114</v>
      </c>
      <c r="S1" s="270" t="s">
        <v>115</v>
      </c>
      <c r="T1" s="270" t="s">
        <v>116</v>
      </c>
      <c r="U1" s="270" t="s">
        <v>117</v>
      </c>
      <c r="V1" s="270" t="s">
        <v>118</v>
      </c>
      <c r="W1" s="270" t="s">
        <v>119</v>
      </c>
      <c r="X1" s="270" t="s">
        <v>120</v>
      </c>
      <c r="Y1" s="270" t="s">
        <v>121</v>
      </c>
      <c r="Z1" s="270" t="s">
        <v>122</v>
      </c>
      <c r="AA1" s="270" t="s">
        <v>123</v>
      </c>
      <c r="AB1" s="270" t="s">
        <v>124</v>
      </c>
      <c r="AC1" s="270" t="s">
        <v>125</v>
      </c>
      <c r="AD1" s="270" t="s">
        <v>126</v>
      </c>
      <c r="AE1" s="270" t="s">
        <v>127</v>
      </c>
      <c r="AF1" s="270" t="s">
        <v>128</v>
      </c>
      <c r="AG1" s="270" t="s">
        <v>129</v>
      </c>
      <c r="AH1" s="270" t="s">
        <v>130</v>
      </c>
      <c r="AI1" s="270" t="s">
        <v>131</v>
      </c>
      <c r="AJ1" s="270" t="s">
        <v>132</v>
      </c>
    </row>
    <row r="2" spans="1:36" x14ac:dyDescent="0.3">
      <c r="A2" s="272" t="s">
        <v>369</v>
      </c>
      <c r="B2" s="273">
        <v>45982</v>
      </c>
      <c r="C2" s="274" t="s">
        <v>619</v>
      </c>
      <c r="D2" s="275" t="s">
        <v>167</v>
      </c>
      <c r="E2" s="274" t="s">
        <v>594</v>
      </c>
      <c r="F2" s="274" t="s">
        <v>135</v>
      </c>
      <c r="G2" s="276">
        <v>0.8155</v>
      </c>
      <c r="H2" s="277">
        <v>168</v>
      </c>
      <c r="I2" s="277">
        <v>137</v>
      </c>
      <c r="J2" s="277">
        <v>0</v>
      </c>
      <c r="K2" s="274" t="s">
        <v>136</v>
      </c>
      <c r="L2" s="278" t="s">
        <v>180</v>
      </c>
      <c r="M2" s="277">
        <v>0</v>
      </c>
      <c r="N2" s="277">
        <v>1</v>
      </c>
      <c r="O2" s="277">
        <v>29</v>
      </c>
      <c r="P2" s="274" t="s">
        <v>620</v>
      </c>
      <c r="Q2" s="270"/>
      <c r="R2" s="270"/>
      <c r="S2" s="270"/>
      <c r="T2" s="270"/>
      <c r="U2" s="270"/>
      <c r="V2" s="277" t="s">
        <v>674</v>
      </c>
      <c r="W2" s="270"/>
      <c r="X2" s="270"/>
      <c r="Y2" s="277" t="s">
        <v>361</v>
      </c>
      <c r="Z2" s="277" t="s">
        <v>675</v>
      </c>
      <c r="AA2" s="277" t="s">
        <v>676</v>
      </c>
      <c r="AB2" s="277" t="s">
        <v>403</v>
      </c>
      <c r="AC2" s="277" t="s">
        <v>404</v>
      </c>
      <c r="AD2" s="277" t="s">
        <v>140</v>
      </c>
      <c r="AE2" s="277" t="s">
        <v>406</v>
      </c>
      <c r="AF2" s="277" t="s">
        <v>677</v>
      </c>
      <c r="AG2" s="270"/>
      <c r="AH2" s="270"/>
      <c r="AI2" s="270"/>
      <c r="AJ2" s="270"/>
    </row>
    <row r="3" spans="1:36" x14ac:dyDescent="0.3">
      <c r="A3" s="272" t="s">
        <v>369</v>
      </c>
      <c r="B3" s="273">
        <v>45982</v>
      </c>
      <c r="C3" s="274" t="s">
        <v>623</v>
      </c>
      <c r="D3" s="275" t="s">
        <v>678</v>
      </c>
      <c r="E3" s="274" t="s">
        <v>594</v>
      </c>
      <c r="F3" s="274" t="s">
        <v>135</v>
      </c>
      <c r="G3" s="276">
        <v>0.77980000000000005</v>
      </c>
      <c r="H3" s="277">
        <v>168</v>
      </c>
      <c r="I3" s="277">
        <v>131</v>
      </c>
      <c r="J3" s="277">
        <v>0</v>
      </c>
      <c r="K3" s="274" t="s">
        <v>136</v>
      </c>
      <c r="L3" s="278" t="s">
        <v>180</v>
      </c>
      <c r="M3" s="277">
        <v>0</v>
      </c>
      <c r="N3" s="277">
        <v>5</v>
      </c>
      <c r="O3" s="277">
        <v>49</v>
      </c>
      <c r="P3" s="274" t="s">
        <v>620</v>
      </c>
      <c r="Q3" s="270"/>
      <c r="R3" s="270"/>
      <c r="S3" s="270"/>
      <c r="T3" s="270"/>
      <c r="U3" s="270"/>
      <c r="V3" s="270"/>
      <c r="W3" s="270"/>
      <c r="X3" s="270"/>
      <c r="Y3" s="277" t="s">
        <v>252</v>
      </c>
      <c r="Z3" s="277" t="s">
        <v>675</v>
      </c>
      <c r="AA3" s="277" t="s">
        <v>679</v>
      </c>
      <c r="AB3" s="277" t="s">
        <v>680</v>
      </c>
      <c r="AC3" s="277" t="s">
        <v>681</v>
      </c>
      <c r="AD3" s="270"/>
      <c r="AE3" s="270"/>
      <c r="AF3" s="270"/>
      <c r="AG3" s="270"/>
      <c r="AH3" s="270"/>
      <c r="AI3" s="270"/>
      <c r="AJ3" s="270"/>
    </row>
    <row r="4" spans="1:36" x14ac:dyDescent="0.3">
      <c r="A4" s="272" t="s">
        <v>133</v>
      </c>
      <c r="B4" s="273">
        <v>45983</v>
      </c>
      <c r="C4" s="274" t="s">
        <v>619</v>
      </c>
      <c r="D4" s="275" t="s">
        <v>682</v>
      </c>
      <c r="E4" s="274" t="s">
        <v>594</v>
      </c>
      <c r="F4" s="274" t="s">
        <v>135</v>
      </c>
      <c r="G4" s="276">
        <v>0.70830000000000004</v>
      </c>
      <c r="H4" s="277">
        <v>168</v>
      </c>
      <c r="I4" s="277">
        <v>119</v>
      </c>
      <c r="J4" s="277">
        <v>0</v>
      </c>
      <c r="K4" s="274" t="s">
        <v>136</v>
      </c>
      <c r="L4" s="278" t="s">
        <v>180</v>
      </c>
      <c r="M4" s="277">
        <v>0</v>
      </c>
      <c r="N4" s="277">
        <v>25</v>
      </c>
      <c r="O4" s="277">
        <v>30</v>
      </c>
      <c r="P4" s="274" t="s">
        <v>547</v>
      </c>
      <c r="Q4" s="270"/>
      <c r="R4" s="270"/>
      <c r="S4" s="270"/>
      <c r="T4" s="270"/>
      <c r="U4" s="270"/>
      <c r="V4" s="277" t="s">
        <v>423</v>
      </c>
      <c r="W4" s="270"/>
      <c r="X4" s="270"/>
      <c r="Y4" s="270"/>
      <c r="Z4" s="270"/>
      <c r="AA4" s="277" t="s">
        <v>523</v>
      </c>
      <c r="AB4" s="277" t="s">
        <v>683</v>
      </c>
      <c r="AC4" s="277" t="s">
        <v>684</v>
      </c>
      <c r="AD4" s="277" t="s">
        <v>428</v>
      </c>
      <c r="AE4" s="277" t="s">
        <v>685</v>
      </c>
      <c r="AF4" s="277" t="s">
        <v>385</v>
      </c>
      <c r="AG4" s="270"/>
      <c r="AH4" s="270"/>
      <c r="AI4" s="270"/>
      <c r="AJ4" s="270"/>
    </row>
    <row r="5" spans="1:36" x14ac:dyDescent="0.3">
      <c r="A5" s="272" t="s">
        <v>145</v>
      </c>
      <c r="B5" s="273">
        <v>45984</v>
      </c>
      <c r="C5" s="274" t="s">
        <v>619</v>
      </c>
      <c r="D5" s="275" t="s">
        <v>686</v>
      </c>
      <c r="E5" s="274" t="s">
        <v>594</v>
      </c>
      <c r="F5" s="274" t="s">
        <v>135</v>
      </c>
      <c r="G5" s="276">
        <v>0.75600000000000001</v>
      </c>
      <c r="H5" s="277">
        <v>168</v>
      </c>
      <c r="I5" s="277">
        <v>127</v>
      </c>
      <c r="J5" s="277">
        <v>0</v>
      </c>
      <c r="K5" s="274" t="s">
        <v>136</v>
      </c>
      <c r="L5" s="278" t="s">
        <v>180</v>
      </c>
      <c r="M5" s="277">
        <v>0</v>
      </c>
      <c r="N5" s="277">
        <v>5</v>
      </c>
      <c r="O5" s="277">
        <v>49</v>
      </c>
      <c r="P5" s="274" t="s">
        <v>150</v>
      </c>
      <c r="Q5" s="270"/>
      <c r="R5" s="270"/>
      <c r="S5" s="270"/>
      <c r="T5" s="270"/>
      <c r="U5" s="270"/>
      <c r="V5" s="277" t="s">
        <v>327</v>
      </c>
      <c r="W5" s="270"/>
      <c r="X5" s="270"/>
      <c r="Y5" s="270"/>
      <c r="Z5" s="270"/>
      <c r="AA5" s="270"/>
      <c r="AB5" s="277" t="s">
        <v>150</v>
      </c>
      <c r="AC5" s="277" t="s">
        <v>404</v>
      </c>
      <c r="AD5" s="277" t="s">
        <v>687</v>
      </c>
      <c r="AE5" s="277" t="s">
        <v>200</v>
      </c>
      <c r="AF5" s="277" t="s">
        <v>688</v>
      </c>
      <c r="AG5" s="270"/>
      <c r="AH5" s="270"/>
      <c r="AI5" s="270"/>
      <c r="AJ5" s="277" t="s">
        <v>433</v>
      </c>
    </row>
    <row r="6" spans="1:36" ht="21" x14ac:dyDescent="0.3">
      <c r="A6" s="279" t="s">
        <v>946</v>
      </c>
      <c r="B6" s="280"/>
      <c r="C6" s="279">
        <f>SUBTOTAL(103,RUH_CAI_LF_LEGACY[Flt])</f>
        <v>4</v>
      </c>
      <c r="D6" s="279"/>
      <c r="E6" s="279">
        <f>SUBTOTAL(103,RUH_CAI_LF_LEGACY[Brd-Off])</f>
        <v>4</v>
      </c>
      <c r="F6" s="279"/>
      <c r="G6" s="281">
        <f>SUBTOTAL(101,RUH_CAI_LF_LEGACY[LF%])</f>
        <v>0.76489999999999991</v>
      </c>
      <c r="H6" s="282">
        <f>SUBTOTAL(109,RUH_CAI_LF_LEGACY[CAP])</f>
        <v>672</v>
      </c>
      <c r="I6" s="282">
        <f>SUBTOTAL(109,RUH_CAI_LF_LEGACY[BKG(Y)])</f>
        <v>514</v>
      </c>
      <c r="J6" s="282">
        <f>SUBTOTAL(109,RUH_CAI_LF_LEGACY[GRP(Y)])</f>
        <v>0</v>
      </c>
      <c r="K6" s="279"/>
      <c r="L6" s="280"/>
      <c r="M6" s="282">
        <f>SUBTOTAL(109,RUH_CAI_LF_LEGACY[TO-DAY])</f>
        <v>0</v>
      </c>
      <c r="N6" s="282">
        <f>SUBTOTAL(109,RUH_CAI_LF_LEGACY[Y-DAY])</f>
        <v>36</v>
      </c>
      <c r="O6" s="282">
        <f>SUBTOTAL(109,RUH_CAI_LF_LEGACY[WEEKLY])</f>
        <v>157</v>
      </c>
      <c r="P6" s="283"/>
      <c r="Q6" s="279">
        <f>SUBTOTAL(109,RUH_CAI_LF_LEGACY[Y])</f>
        <v>0</v>
      </c>
      <c r="R6" s="279">
        <f>SUBTOTAL(109,RUH_CAI_LF_LEGACY[B])</f>
        <v>0</v>
      </c>
      <c r="S6" s="279">
        <f>SUBTOTAL(109,RUH_CAI_LF_LEGACY[M])</f>
        <v>0</v>
      </c>
      <c r="T6" s="279">
        <f>SUBTOTAL(109,RUH_CAI_LF_LEGACY[H])</f>
        <v>0</v>
      </c>
      <c r="U6" s="279">
        <f>SUBTOTAL(109,RUH_CAI_LF_LEGACY[Q])</f>
        <v>0</v>
      </c>
      <c r="V6" s="282">
        <f>SUBTOTAL(109,RUH_CAI_LF_LEGACY[K])</f>
        <v>0</v>
      </c>
      <c r="W6" s="279">
        <f>SUBTOTAL(109,RUH_CAI_LF_LEGACY[V])</f>
        <v>0</v>
      </c>
      <c r="X6" s="279">
        <f>SUBTOTAL(109,RUH_CAI_LF_LEGACY[L])</f>
        <v>0</v>
      </c>
      <c r="Y6" s="279">
        <f>SUBTOTAL(109,RUH_CAI_LF_LEGACY[G])</f>
        <v>0</v>
      </c>
      <c r="Z6" s="279">
        <f>SUBTOTAL(109,RUH_CAI_LF_LEGACY[S])</f>
        <v>0</v>
      </c>
      <c r="AA6" s="282">
        <f>SUBTOTAL(109,RUH_CAI_LF_LEGACY[W])</f>
        <v>0</v>
      </c>
      <c r="AB6" s="282">
        <f>SUBTOTAL(109,RUH_CAI_LF_LEGACY[T])</f>
        <v>0</v>
      </c>
      <c r="AC6" s="282">
        <f>SUBTOTAL(109,RUH_CAI_LF_LEGACY[X])</f>
        <v>0</v>
      </c>
      <c r="AD6" s="282">
        <f>SUBTOTAL(109,RUH_CAI_LF_LEGACY[U])</f>
        <v>0</v>
      </c>
      <c r="AE6" s="282">
        <f>SUBTOTAL(109,RUH_CAI_LF_LEGACY[O])</f>
        <v>0</v>
      </c>
      <c r="AF6" s="282">
        <f>SUBTOTAL(109,RUH_CAI_LF_LEGACY[I])</f>
        <v>0</v>
      </c>
      <c r="AG6" s="279">
        <f>SUBTOTAL(109,RUH_CAI_LF_LEGACY[E])</f>
        <v>0</v>
      </c>
      <c r="AH6" s="279">
        <f>SUBTOTAL(109,RUH_CAI_LF_LEGACY[A])</f>
        <v>0</v>
      </c>
      <c r="AI6" s="279">
        <f>SUBTOTAL(109,RUH_CAI_LF_LEGACY[P])</f>
        <v>0</v>
      </c>
      <c r="AJ6" s="279">
        <f>SUBTOTAL(103,RUH_CAI_LF_LEGACY[N])</f>
        <v>1</v>
      </c>
    </row>
  </sheetData>
  <pageMargins left="0.75" right="0.75" top="1" bottom="1" header="0.5" footer="0.5"/>
  <tableParts count="1">
    <tablePart r:id="rId1"/>
  </tableParts>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H151"/>
  <sheetViews>
    <sheetView workbookViewId="0"/>
  </sheetViews>
  <sheetFormatPr defaultRowHeight="14.4" x14ac:dyDescent="0.3"/>
  <cols>
    <col min="1" max="1" width="11.88671875" bestFit="1" customWidth="1"/>
    <col min="2" max="2" width="15.554687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0" hidden="1" customWidth="1"/>
  </cols>
  <sheetData>
    <row r="1" spans="1:8" ht="18" x14ac:dyDescent="0.3">
      <c r="A1" s="57" t="s">
        <v>156</v>
      </c>
      <c r="B1" s="58" t="s">
        <v>8</v>
      </c>
      <c r="C1" s="58" t="s">
        <v>9</v>
      </c>
      <c r="D1" s="58" t="s">
        <v>157</v>
      </c>
      <c r="E1" s="58" t="s">
        <v>10</v>
      </c>
      <c r="F1" s="58" t="s">
        <v>11</v>
      </c>
      <c r="G1" s="58" t="s">
        <v>12</v>
      </c>
      <c r="H1" s="59" t="s">
        <v>13</v>
      </c>
    </row>
    <row r="2" spans="1:8" ht="19.8" customHeight="1" x14ac:dyDescent="0.3">
      <c r="A2" s="60" t="s">
        <v>158</v>
      </c>
      <c r="B2" s="61" t="s">
        <v>36</v>
      </c>
      <c r="C2" s="62" t="s">
        <v>595</v>
      </c>
      <c r="D2" s="61" t="s">
        <v>594</v>
      </c>
      <c r="E2" s="61" t="s">
        <v>689</v>
      </c>
      <c r="F2" s="61" t="s">
        <v>38</v>
      </c>
      <c r="G2" s="63">
        <v>9</v>
      </c>
      <c r="H2" s="64">
        <v>599</v>
      </c>
    </row>
    <row r="3" spans="1:8" ht="19.8" customHeight="1" x14ac:dyDescent="0.3">
      <c r="A3" s="60" t="s">
        <v>158</v>
      </c>
      <c r="B3" s="61" t="s">
        <v>36</v>
      </c>
      <c r="C3" s="62" t="s">
        <v>597</v>
      </c>
      <c r="D3" s="61" t="s">
        <v>594</v>
      </c>
      <c r="E3" s="61" t="s">
        <v>690</v>
      </c>
      <c r="F3" s="61" t="s">
        <v>38</v>
      </c>
      <c r="G3" s="63">
        <v>24</v>
      </c>
      <c r="H3" s="64">
        <v>599</v>
      </c>
    </row>
    <row r="4" spans="1:8" ht="19.8" customHeight="1" x14ac:dyDescent="0.3">
      <c r="A4" s="60" t="s">
        <v>158</v>
      </c>
      <c r="B4" s="61" t="s">
        <v>36</v>
      </c>
      <c r="C4" s="62" t="s">
        <v>601</v>
      </c>
      <c r="D4" s="61" t="s">
        <v>594</v>
      </c>
      <c r="E4" s="61" t="s">
        <v>691</v>
      </c>
      <c r="F4" s="61" t="s">
        <v>38</v>
      </c>
      <c r="G4" s="63">
        <v>5</v>
      </c>
      <c r="H4" s="64">
        <v>649</v>
      </c>
    </row>
    <row r="5" spans="1:8" ht="19.8" customHeight="1" x14ac:dyDescent="0.3">
      <c r="A5" s="60" t="s">
        <v>158</v>
      </c>
      <c r="B5" s="61" t="s">
        <v>36</v>
      </c>
      <c r="C5" s="62" t="s">
        <v>603</v>
      </c>
      <c r="D5" s="61" t="s">
        <v>594</v>
      </c>
      <c r="E5" s="61" t="s">
        <v>692</v>
      </c>
      <c r="F5" s="61" t="s">
        <v>38</v>
      </c>
      <c r="G5" s="63">
        <v>25</v>
      </c>
      <c r="H5" s="64">
        <v>649</v>
      </c>
    </row>
    <row r="6" spans="1:8" ht="19.8" customHeight="1" x14ac:dyDescent="0.3">
      <c r="A6" s="60" t="s">
        <v>158</v>
      </c>
      <c r="B6" s="61" t="s">
        <v>26</v>
      </c>
      <c r="C6" s="62" t="s">
        <v>606</v>
      </c>
      <c r="D6" s="61" t="s">
        <v>594</v>
      </c>
      <c r="E6" s="61" t="s">
        <v>693</v>
      </c>
      <c r="F6" s="61" t="s">
        <v>28</v>
      </c>
      <c r="G6" s="63">
        <v>7</v>
      </c>
      <c r="H6" s="64">
        <v>739</v>
      </c>
    </row>
    <row r="7" spans="1:8" ht="19.8" customHeight="1" x14ac:dyDescent="0.3">
      <c r="A7" s="60" t="s">
        <v>158</v>
      </c>
      <c r="B7" s="61" t="s">
        <v>26</v>
      </c>
      <c r="C7" s="62" t="s">
        <v>608</v>
      </c>
      <c r="D7" s="61" t="s">
        <v>594</v>
      </c>
      <c r="E7" s="61" t="s">
        <v>694</v>
      </c>
      <c r="F7" s="61" t="s">
        <v>28</v>
      </c>
      <c r="G7" s="63">
        <v>9</v>
      </c>
      <c r="H7" s="64">
        <v>739</v>
      </c>
    </row>
    <row r="8" spans="1:8" ht="19.8" customHeight="1" x14ac:dyDescent="0.3">
      <c r="A8" s="60" t="s">
        <v>158</v>
      </c>
      <c r="B8" s="61" t="s">
        <v>26</v>
      </c>
      <c r="C8" s="62" t="s">
        <v>609</v>
      </c>
      <c r="D8" s="61" t="s">
        <v>594</v>
      </c>
      <c r="E8" s="61" t="s">
        <v>692</v>
      </c>
      <c r="F8" s="61" t="s">
        <v>28</v>
      </c>
      <c r="G8" s="63">
        <v>7</v>
      </c>
      <c r="H8" s="64">
        <v>739</v>
      </c>
    </row>
    <row r="9" spans="1:8" ht="19.8" customHeight="1" x14ac:dyDescent="0.3">
      <c r="A9" s="60" t="s">
        <v>158</v>
      </c>
      <c r="B9" s="61" t="s">
        <v>26</v>
      </c>
      <c r="C9" s="62" t="s">
        <v>610</v>
      </c>
      <c r="D9" s="61" t="s">
        <v>594</v>
      </c>
      <c r="E9" s="61" t="s">
        <v>695</v>
      </c>
      <c r="F9" s="61" t="s">
        <v>28</v>
      </c>
      <c r="G9" s="63">
        <v>9</v>
      </c>
      <c r="H9" s="64">
        <v>739</v>
      </c>
    </row>
    <row r="10" spans="1:8" ht="19.8" customHeight="1" x14ac:dyDescent="0.3">
      <c r="A10" s="60" t="s">
        <v>158</v>
      </c>
      <c r="B10" s="61" t="s">
        <v>26</v>
      </c>
      <c r="C10" s="62" t="s">
        <v>611</v>
      </c>
      <c r="D10" s="61" t="s">
        <v>594</v>
      </c>
      <c r="E10" s="61" t="s">
        <v>537</v>
      </c>
      <c r="F10" s="61" t="s">
        <v>28</v>
      </c>
      <c r="G10" s="63">
        <v>4</v>
      </c>
      <c r="H10" s="64">
        <v>739</v>
      </c>
    </row>
    <row r="11" spans="1:8" ht="19.8" customHeight="1" x14ac:dyDescent="0.3">
      <c r="A11" s="60" t="s">
        <v>158</v>
      </c>
      <c r="B11" s="61" t="s">
        <v>26</v>
      </c>
      <c r="C11" s="62" t="s">
        <v>613</v>
      </c>
      <c r="D11" s="61" t="s">
        <v>594</v>
      </c>
      <c r="E11" s="61" t="s">
        <v>696</v>
      </c>
      <c r="F11" s="61" t="s">
        <v>28</v>
      </c>
      <c r="G11" s="63">
        <v>5</v>
      </c>
      <c r="H11" s="64">
        <v>739</v>
      </c>
    </row>
    <row r="12" spans="1:8" ht="19.8" customHeight="1" x14ac:dyDescent="0.3">
      <c r="A12" s="60" t="s">
        <v>158</v>
      </c>
      <c r="B12" s="61" t="s">
        <v>26</v>
      </c>
      <c r="C12" s="62" t="s">
        <v>614</v>
      </c>
      <c r="D12" s="61" t="s">
        <v>594</v>
      </c>
      <c r="E12" s="61" t="s">
        <v>697</v>
      </c>
      <c r="F12" s="61" t="s">
        <v>28</v>
      </c>
      <c r="G12" s="63">
        <v>5</v>
      </c>
      <c r="H12" s="64">
        <v>739</v>
      </c>
    </row>
    <row r="13" spans="1:8" ht="19.8" customHeight="1" x14ac:dyDescent="0.3">
      <c r="A13" s="60" t="s">
        <v>158</v>
      </c>
      <c r="B13" s="61" t="s">
        <v>36</v>
      </c>
      <c r="C13" s="62" t="s">
        <v>595</v>
      </c>
      <c r="D13" s="61" t="s">
        <v>594</v>
      </c>
      <c r="E13" s="61" t="s">
        <v>689</v>
      </c>
      <c r="F13" s="61" t="s">
        <v>41</v>
      </c>
      <c r="G13" s="63">
        <v>9</v>
      </c>
      <c r="H13" s="64">
        <v>749</v>
      </c>
    </row>
    <row r="14" spans="1:8" ht="19.8" customHeight="1" x14ac:dyDescent="0.3">
      <c r="A14" s="60" t="s">
        <v>158</v>
      </c>
      <c r="B14" s="61" t="s">
        <v>36</v>
      </c>
      <c r="C14" s="62" t="s">
        <v>597</v>
      </c>
      <c r="D14" s="61" t="s">
        <v>594</v>
      </c>
      <c r="E14" s="61" t="s">
        <v>690</v>
      </c>
      <c r="F14" s="61" t="s">
        <v>41</v>
      </c>
      <c r="G14" s="63">
        <v>24</v>
      </c>
      <c r="H14" s="64">
        <v>749</v>
      </c>
    </row>
    <row r="15" spans="1:8" ht="19.8" customHeight="1" x14ac:dyDescent="0.3">
      <c r="A15" s="60" t="s">
        <v>158</v>
      </c>
      <c r="B15" s="61" t="s">
        <v>36</v>
      </c>
      <c r="C15" s="62" t="s">
        <v>601</v>
      </c>
      <c r="D15" s="61" t="s">
        <v>594</v>
      </c>
      <c r="E15" s="61" t="s">
        <v>691</v>
      </c>
      <c r="F15" s="61" t="s">
        <v>41</v>
      </c>
      <c r="G15" s="63">
        <v>5</v>
      </c>
      <c r="H15" s="64">
        <v>799</v>
      </c>
    </row>
    <row r="16" spans="1:8" ht="19.8" customHeight="1" x14ac:dyDescent="0.3">
      <c r="A16" s="60" t="s">
        <v>158</v>
      </c>
      <c r="B16" s="61" t="s">
        <v>36</v>
      </c>
      <c r="C16" s="62" t="s">
        <v>603</v>
      </c>
      <c r="D16" s="61" t="s">
        <v>594</v>
      </c>
      <c r="E16" s="61" t="s">
        <v>692</v>
      </c>
      <c r="F16" s="61" t="s">
        <v>41</v>
      </c>
      <c r="G16" s="63">
        <v>25</v>
      </c>
      <c r="H16" s="64">
        <v>799</v>
      </c>
    </row>
    <row r="17" spans="1:8" ht="19.8" customHeight="1" x14ac:dyDescent="0.3">
      <c r="A17" s="60" t="s">
        <v>158</v>
      </c>
      <c r="B17" s="61" t="s">
        <v>26</v>
      </c>
      <c r="C17" s="62" t="s">
        <v>606</v>
      </c>
      <c r="D17" s="61" t="s">
        <v>594</v>
      </c>
      <c r="E17" s="61" t="s">
        <v>693</v>
      </c>
      <c r="F17" s="61" t="s">
        <v>31</v>
      </c>
      <c r="G17" s="63">
        <v>7</v>
      </c>
      <c r="H17" s="64">
        <v>839</v>
      </c>
    </row>
    <row r="18" spans="1:8" ht="19.8" customHeight="1" x14ac:dyDescent="0.3">
      <c r="A18" s="60" t="s">
        <v>158</v>
      </c>
      <c r="B18" s="61" t="s">
        <v>26</v>
      </c>
      <c r="C18" s="62" t="s">
        <v>608</v>
      </c>
      <c r="D18" s="61" t="s">
        <v>594</v>
      </c>
      <c r="E18" s="61" t="s">
        <v>694</v>
      </c>
      <c r="F18" s="61" t="s">
        <v>31</v>
      </c>
      <c r="G18" s="63">
        <v>9</v>
      </c>
      <c r="H18" s="64">
        <v>839</v>
      </c>
    </row>
    <row r="19" spans="1:8" ht="19.8" customHeight="1" x14ac:dyDescent="0.3">
      <c r="A19" s="60" t="s">
        <v>158</v>
      </c>
      <c r="B19" s="61" t="s">
        <v>26</v>
      </c>
      <c r="C19" s="62" t="s">
        <v>609</v>
      </c>
      <c r="D19" s="61" t="s">
        <v>594</v>
      </c>
      <c r="E19" s="61" t="s">
        <v>692</v>
      </c>
      <c r="F19" s="61" t="s">
        <v>31</v>
      </c>
      <c r="G19" s="63">
        <v>7</v>
      </c>
      <c r="H19" s="64">
        <v>839</v>
      </c>
    </row>
    <row r="20" spans="1:8" ht="19.8" customHeight="1" x14ac:dyDescent="0.3">
      <c r="A20" s="60" t="s">
        <v>158</v>
      </c>
      <c r="B20" s="61" t="s">
        <v>26</v>
      </c>
      <c r="C20" s="62" t="s">
        <v>610</v>
      </c>
      <c r="D20" s="61" t="s">
        <v>594</v>
      </c>
      <c r="E20" s="61" t="s">
        <v>695</v>
      </c>
      <c r="F20" s="61" t="s">
        <v>31</v>
      </c>
      <c r="G20" s="63">
        <v>9</v>
      </c>
      <c r="H20" s="64">
        <v>839</v>
      </c>
    </row>
    <row r="21" spans="1:8" ht="19.8" customHeight="1" x14ac:dyDescent="0.3">
      <c r="A21" s="60" t="s">
        <v>158</v>
      </c>
      <c r="B21" s="61" t="s">
        <v>26</v>
      </c>
      <c r="C21" s="62" t="s">
        <v>611</v>
      </c>
      <c r="D21" s="61" t="s">
        <v>594</v>
      </c>
      <c r="E21" s="61" t="s">
        <v>537</v>
      </c>
      <c r="F21" s="61" t="s">
        <v>31</v>
      </c>
      <c r="G21" s="63">
        <v>4</v>
      </c>
      <c r="H21" s="64">
        <v>839</v>
      </c>
    </row>
    <row r="22" spans="1:8" ht="19.8" customHeight="1" x14ac:dyDescent="0.3">
      <c r="A22" s="60" t="s">
        <v>158</v>
      </c>
      <c r="B22" s="61" t="s">
        <v>26</v>
      </c>
      <c r="C22" s="62" t="s">
        <v>613</v>
      </c>
      <c r="D22" s="61" t="s">
        <v>594</v>
      </c>
      <c r="E22" s="61" t="s">
        <v>696</v>
      </c>
      <c r="F22" s="61" t="s">
        <v>31</v>
      </c>
      <c r="G22" s="63">
        <v>5</v>
      </c>
      <c r="H22" s="64">
        <v>839</v>
      </c>
    </row>
    <row r="23" spans="1:8" ht="19.8" customHeight="1" x14ac:dyDescent="0.3">
      <c r="A23" s="60" t="s">
        <v>158</v>
      </c>
      <c r="B23" s="61" t="s">
        <v>26</v>
      </c>
      <c r="C23" s="62" t="s">
        <v>614</v>
      </c>
      <c r="D23" s="61" t="s">
        <v>594</v>
      </c>
      <c r="E23" s="61" t="s">
        <v>697</v>
      </c>
      <c r="F23" s="61" t="s">
        <v>31</v>
      </c>
      <c r="G23" s="63">
        <v>5</v>
      </c>
      <c r="H23" s="64">
        <v>839</v>
      </c>
    </row>
    <row r="24" spans="1:8" ht="19.8" customHeight="1" x14ac:dyDescent="0.3">
      <c r="A24" s="60" t="s">
        <v>158</v>
      </c>
      <c r="B24" s="61" t="s">
        <v>36</v>
      </c>
      <c r="C24" s="62" t="s">
        <v>595</v>
      </c>
      <c r="D24" s="61" t="s">
        <v>594</v>
      </c>
      <c r="E24" s="61" t="s">
        <v>689</v>
      </c>
      <c r="F24" s="61" t="s">
        <v>44</v>
      </c>
      <c r="G24" s="63">
        <v>9</v>
      </c>
      <c r="H24" s="64">
        <v>899</v>
      </c>
    </row>
    <row r="25" spans="1:8" ht="19.8" customHeight="1" x14ac:dyDescent="0.3">
      <c r="A25" s="60" t="s">
        <v>158</v>
      </c>
      <c r="B25" s="61" t="s">
        <v>26</v>
      </c>
      <c r="C25" s="62" t="s">
        <v>606</v>
      </c>
      <c r="D25" s="61" t="s">
        <v>594</v>
      </c>
      <c r="E25" s="61" t="s">
        <v>693</v>
      </c>
      <c r="F25" s="61" t="s">
        <v>34</v>
      </c>
      <c r="G25" s="63">
        <v>7</v>
      </c>
      <c r="H25" s="64">
        <v>929</v>
      </c>
    </row>
    <row r="26" spans="1:8" ht="19.8" customHeight="1" x14ac:dyDescent="0.3">
      <c r="A26" s="60" t="s">
        <v>158</v>
      </c>
      <c r="B26" s="61" t="s">
        <v>26</v>
      </c>
      <c r="C26" s="62" t="s">
        <v>608</v>
      </c>
      <c r="D26" s="61" t="s">
        <v>594</v>
      </c>
      <c r="E26" s="61" t="s">
        <v>694</v>
      </c>
      <c r="F26" s="61" t="s">
        <v>34</v>
      </c>
      <c r="G26" s="63">
        <v>9</v>
      </c>
      <c r="H26" s="64">
        <v>929</v>
      </c>
    </row>
    <row r="27" spans="1:8" ht="19.8" customHeight="1" x14ac:dyDescent="0.3">
      <c r="A27" s="60" t="s">
        <v>158</v>
      </c>
      <c r="B27" s="61" t="s">
        <v>26</v>
      </c>
      <c r="C27" s="62" t="s">
        <v>609</v>
      </c>
      <c r="D27" s="61" t="s">
        <v>594</v>
      </c>
      <c r="E27" s="61" t="s">
        <v>692</v>
      </c>
      <c r="F27" s="61" t="s">
        <v>34</v>
      </c>
      <c r="G27" s="63">
        <v>7</v>
      </c>
      <c r="H27" s="64">
        <v>929</v>
      </c>
    </row>
    <row r="28" spans="1:8" ht="19.8" customHeight="1" x14ac:dyDescent="0.3">
      <c r="A28" s="60" t="s">
        <v>158</v>
      </c>
      <c r="B28" s="61" t="s">
        <v>26</v>
      </c>
      <c r="C28" s="62" t="s">
        <v>610</v>
      </c>
      <c r="D28" s="61" t="s">
        <v>594</v>
      </c>
      <c r="E28" s="61" t="s">
        <v>695</v>
      </c>
      <c r="F28" s="61" t="s">
        <v>34</v>
      </c>
      <c r="G28" s="63">
        <v>9</v>
      </c>
      <c r="H28" s="64">
        <v>929</v>
      </c>
    </row>
    <row r="29" spans="1:8" ht="19.8" customHeight="1" x14ac:dyDescent="0.3">
      <c r="A29" s="60" t="s">
        <v>158</v>
      </c>
      <c r="B29" s="61" t="s">
        <v>26</v>
      </c>
      <c r="C29" s="62" t="s">
        <v>611</v>
      </c>
      <c r="D29" s="61" t="s">
        <v>594</v>
      </c>
      <c r="E29" s="61" t="s">
        <v>537</v>
      </c>
      <c r="F29" s="61" t="s">
        <v>34</v>
      </c>
      <c r="G29" s="63">
        <v>4</v>
      </c>
      <c r="H29" s="64">
        <v>929</v>
      </c>
    </row>
    <row r="30" spans="1:8" ht="19.8" customHeight="1" x14ac:dyDescent="0.3">
      <c r="A30" s="60" t="s">
        <v>158</v>
      </c>
      <c r="B30" s="61" t="s">
        <v>26</v>
      </c>
      <c r="C30" s="62" t="s">
        <v>613</v>
      </c>
      <c r="D30" s="61" t="s">
        <v>594</v>
      </c>
      <c r="E30" s="61" t="s">
        <v>696</v>
      </c>
      <c r="F30" s="61" t="s">
        <v>34</v>
      </c>
      <c r="G30" s="63">
        <v>5</v>
      </c>
      <c r="H30" s="64">
        <v>929</v>
      </c>
    </row>
    <row r="31" spans="1:8" ht="19.8" customHeight="1" x14ac:dyDescent="0.3">
      <c r="A31" s="60" t="s">
        <v>158</v>
      </c>
      <c r="B31" s="61" t="s">
        <v>26</v>
      </c>
      <c r="C31" s="62" t="s">
        <v>614</v>
      </c>
      <c r="D31" s="61" t="s">
        <v>594</v>
      </c>
      <c r="E31" s="61" t="s">
        <v>697</v>
      </c>
      <c r="F31" s="61" t="s">
        <v>34</v>
      </c>
      <c r="G31" s="63">
        <v>5</v>
      </c>
      <c r="H31" s="64">
        <v>929</v>
      </c>
    </row>
    <row r="32" spans="1:8" ht="19.8" customHeight="1" x14ac:dyDescent="0.3">
      <c r="A32" s="60" t="s">
        <v>158</v>
      </c>
      <c r="B32" s="61" t="s">
        <v>323</v>
      </c>
      <c r="C32" s="62" t="s">
        <v>615</v>
      </c>
      <c r="D32" s="61" t="s">
        <v>594</v>
      </c>
      <c r="E32" s="61" t="s">
        <v>698</v>
      </c>
      <c r="F32" s="61" t="s">
        <v>245</v>
      </c>
      <c r="G32" s="63">
        <v>5</v>
      </c>
      <c r="H32" s="64">
        <v>935</v>
      </c>
    </row>
    <row r="33" spans="1:8" ht="19.8" customHeight="1" x14ac:dyDescent="0.3">
      <c r="A33" s="100" t="s">
        <v>158</v>
      </c>
      <c r="B33" s="101" t="s">
        <v>93</v>
      </c>
      <c r="C33" s="102" t="s">
        <v>617</v>
      </c>
      <c r="D33" s="101" t="s">
        <v>594</v>
      </c>
      <c r="E33" s="101" t="s">
        <v>167</v>
      </c>
      <c r="F33" s="101" t="s">
        <v>249</v>
      </c>
      <c r="G33" s="166">
        <v>9</v>
      </c>
      <c r="H33" s="167">
        <v>976</v>
      </c>
    </row>
    <row r="34" spans="1:8" ht="19.8" customHeight="1" x14ac:dyDescent="0.3">
      <c r="A34" s="168">
        <v>45982</v>
      </c>
      <c r="B34" s="101" t="s">
        <v>93</v>
      </c>
      <c r="C34" s="102" t="s">
        <v>622</v>
      </c>
      <c r="D34" s="101" t="s">
        <v>594</v>
      </c>
      <c r="E34" s="169">
        <v>1.9236111111111109</v>
      </c>
      <c r="F34" s="101" t="s">
        <v>249</v>
      </c>
      <c r="G34" s="166">
        <v>9</v>
      </c>
      <c r="H34" s="167">
        <v>976</v>
      </c>
    </row>
    <row r="35" spans="1:8" ht="19.8" customHeight="1" x14ac:dyDescent="0.3">
      <c r="A35" s="75">
        <v>45982</v>
      </c>
      <c r="B35" s="61" t="s">
        <v>46</v>
      </c>
      <c r="C35" s="62" t="s">
        <v>625</v>
      </c>
      <c r="D35" s="61" t="s">
        <v>594</v>
      </c>
      <c r="E35" s="76">
        <v>1.916666666666667</v>
      </c>
      <c r="F35" s="61" t="s">
        <v>48</v>
      </c>
      <c r="G35" s="63">
        <v>9</v>
      </c>
      <c r="H35" s="65" t="s">
        <v>626</v>
      </c>
    </row>
    <row r="36" spans="1:8" ht="19.8" customHeight="1" x14ac:dyDescent="0.3">
      <c r="A36" s="75">
        <v>45982</v>
      </c>
      <c r="B36" s="61" t="s">
        <v>243</v>
      </c>
      <c r="C36" s="62" t="s">
        <v>629</v>
      </c>
      <c r="D36" s="61" t="s">
        <v>594</v>
      </c>
      <c r="E36" s="76">
        <v>1.395833333333333</v>
      </c>
      <c r="F36" s="61" t="s">
        <v>245</v>
      </c>
      <c r="G36" s="63">
        <v>7</v>
      </c>
      <c r="H36" s="65" t="s">
        <v>630</v>
      </c>
    </row>
    <row r="37" spans="1:8" ht="19.8" customHeight="1" x14ac:dyDescent="0.3">
      <c r="A37" s="75">
        <v>45982</v>
      </c>
      <c r="B37" s="61" t="s">
        <v>36</v>
      </c>
      <c r="C37" s="62" t="s">
        <v>601</v>
      </c>
      <c r="D37" s="61" t="s">
        <v>594</v>
      </c>
      <c r="E37" s="76">
        <v>1.447916666666667</v>
      </c>
      <c r="F37" s="61" t="s">
        <v>44</v>
      </c>
      <c r="G37" s="63">
        <v>5</v>
      </c>
      <c r="H37" s="65" t="s">
        <v>600</v>
      </c>
    </row>
    <row r="38" spans="1:8" ht="19.8" customHeight="1" x14ac:dyDescent="0.3">
      <c r="A38" s="75">
        <v>45982</v>
      </c>
      <c r="B38" s="61" t="s">
        <v>36</v>
      </c>
      <c r="C38" s="62" t="s">
        <v>603</v>
      </c>
      <c r="D38" s="61" t="s">
        <v>594</v>
      </c>
      <c r="E38" s="76">
        <v>1.5</v>
      </c>
      <c r="F38" s="61" t="s">
        <v>44</v>
      </c>
      <c r="G38" s="63">
        <v>25</v>
      </c>
      <c r="H38" s="65" t="s">
        <v>600</v>
      </c>
    </row>
    <row r="39" spans="1:8" ht="19.8" customHeight="1" x14ac:dyDescent="0.3">
      <c r="A39" s="75">
        <v>45982</v>
      </c>
      <c r="B39" s="61" t="s">
        <v>36</v>
      </c>
      <c r="C39" s="62" t="s">
        <v>597</v>
      </c>
      <c r="D39" s="61" t="s">
        <v>594</v>
      </c>
      <c r="E39" s="76">
        <v>1.8159722222222221</v>
      </c>
      <c r="F39" s="61" t="s">
        <v>44</v>
      </c>
      <c r="G39" s="63">
        <v>24</v>
      </c>
      <c r="H39" s="65" t="s">
        <v>600</v>
      </c>
    </row>
    <row r="40" spans="1:8" ht="19.8" customHeight="1" x14ac:dyDescent="0.3">
      <c r="A40" s="75">
        <v>45982</v>
      </c>
      <c r="B40" s="61" t="s">
        <v>46</v>
      </c>
      <c r="C40" s="62" t="s">
        <v>627</v>
      </c>
      <c r="D40" s="61" t="s">
        <v>594</v>
      </c>
      <c r="E40" s="76">
        <v>1.541666666666667</v>
      </c>
      <c r="F40" s="61" t="s">
        <v>48</v>
      </c>
      <c r="G40" s="63">
        <v>7</v>
      </c>
      <c r="H40" s="65" t="s">
        <v>628</v>
      </c>
    </row>
    <row r="41" spans="1:8" ht="19.8" customHeight="1" x14ac:dyDescent="0.3">
      <c r="A41" s="75">
        <v>45982</v>
      </c>
      <c r="B41" s="61" t="s">
        <v>56</v>
      </c>
      <c r="C41" s="62" t="s">
        <v>631</v>
      </c>
      <c r="D41" s="61" t="s">
        <v>594</v>
      </c>
      <c r="E41" s="76">
        <v>1.836805555555556</v>
      </c>
      <c r="F41" s="61" t="s">
        <v>62</v>
      </c>
      <c r="G41" s="63">
        <v>9</v>
      </c>
      <c r="H41" s="65" t="s">
        <v>632</v>
      </c>
    </row>
    <row r="42" spans="1:8" ht="19.8" customHeight="1" x14ac:dyDescent="0.3">
      <c r="A42" s="75">
        <v>45982</v>
      </c>
      <c r="B42" s="61" t="s">
        <v>56</v>
      </c>
      <c r="C42" s="62" t="s">
        <v>631</v>
      </c>
      <c r="D42" s="61" t="s">
        <v>594</v>
      </c>
      <c r="E42" s="76">
        <v>1.836805555555556</v>
      </c>
      <c r="F42" s="61" t="s">
        <v>58</v>
      </c>
      <c r="G42" s="63">
        <v>9</v>
      </c>
      <c r="H42" s="65" t="s">
        <v>633</v>
      </c>
    </row>
    <row r="43" spans="1:8" ht="19.8" customHeight="1" x14ac:dyDescent="0.3">
      <c r="A43" s="75">
        <v>45982</v>
      </c>
      <c r="B43" s="61" t="s">
        <v>56</v>
      </c>
      <c r="C43" s="62" t="s">
        <v>634</v>
      </c>
      <c r="D43" s="61" t="s">
        <v>594</v>
      </c>
      <c r="E43" s="76">
        <v>1.760416666666667</v>
      </c>
      <c r="F43" s="61" t="s">
        <v>58</v>
      </c>
      <c r="G43" s="63">
        <v>4</v>
      </c>
      <c r="H43" s="65" t="s">
        <v>635</v>
      </c>
    </row>
    <row r="44" spans="1:8" ht="19.8" customHeight="1" x14ac:dyDescent="0.3">
      <c r="A44" s="75">
        <v>45982</v>
      </c>
      <c r="B44" s="61" t="s">
        <v>56</v>
      </c>
      <c r="C44" s="62" t="s">
        <v>636</v>
      </c>
      <c r="D44" s="61" t="s">
        <v>594</v>
      </c>
      <c r="E44" s="76">
        <v>1.8159722222222221</v>
      </c>
      <c r="F44" s="61" t="s">
        <v>58</v>
      </c>
      <c r="G44" s="63">
        <v>4</v>
      </c>
      <c r="H44" s="65" t="s">
        <v>635</v>
      </c>
    </row>
    <row r="45" spans="1:8" ht="19.8" customHeight="1" x14ac:dyDescent="0.3">
      <c r="A45" s="75">
        <v>45982</v>
      </c>
      <c r="B45" s="61" t="s">
        <v>56</v>
      </c>
      <c r="C45" s="62" t="s">
        <v>637</v>
      </c>
      <c r="D45" s="61" t="s">
        <v>594</v>
      </c>
      <c r="E45" s="76">
        <v>1.2986111111111109</v>
      </c>
      <c r="F45" s="61" t="s">
        <v>62</v>
      </c>
      <c r="G45" s="63">
        <v>9</v>
      </c>
      <c r="H45" s="65" t="s">
        <v>638</v>
      </c>
    </row>
    <row r="46" spans="1:8" ht="19.8" customHeight="1" x14ac:dyDescent="0.3">
      <c r="A46" s="75">
        <v>45982</v>
      </c>
      <c r="B46" s="61" t="s">
        <v>56</v>
      </c>
      <c r="C46" s="62" t="s">
        <v>640</v>
      </c>
      <c r="D46" s="61" t="s">
        <v>594</v>
      </c>
      <c r="E46" s="76">
        <v>1.6840277777777779</v>
      </c>
      <c r="F46" s="61" t="s">
        <v>62</v>
      </c>
      <c r="G46" s="63">
        <v>9</v>
      </c>
      <c r="H46" s="65" t="s">
        <v>638</v>
      </c>
    </row>
    <row r="47" spans="1:8" ht="19.8" customHeight="1" x14ac:dyDescent="0.3">
      <c r="A47" s="75">
        <v>45982</v>
      </c>
      <c r="B47" s="61" t="s">
        <v>56</v>
      </c>
      <c r="C47" s="62" t="s">
        <v>641</v>
      </c>
      <c r="D47" s="61" t="s">
        <v>594</v>
      </c>
      <c r="E47" s="76">
        <v>1.4826388888888891</v>
      </c>
      <c r="F47" s="61" t="s">
        <v>62</v>
      </c>
      <c r="G47" s="63">
        <v>9</v>
      </c>
      <c r="H47" s="65" t="s">
        <v>638</v>
      </c>
    </row>
    <row r="48" spans="1:8" ht="19.8" customHeight="1" x14ac:dyDescent="0.3">
      <c r="A48" s="75">
        <v>45982</v>
      </c>
      <c r="B48" s="61" t="s">
        <v>56</v>
      </c>
      <c r="C48" s="62" t="s">
        <v>637</v>
      </c>
      <c r="D48" s="61" t="s">
        <v>594</v>
      </c>
      <c r="E48" s="76">
        <v>1.2986111111111109</v>
      </c>
      <c r="F48" s="61" t="s">
        <v>58</v>
      </c>
      <c r="G48" s="63">
        <v>9</v>
      </c>
      <c r="H48" s="65" t="s">
        <v>639</v>
      </c>
    </row>
    <row r="49" spans="1:8" ht="19.8" customHeight="1" x14ac:dyDescent="0.3">
      <c r="A49" s="75">
        <v>45982</v>
      </c>
      <c r="B49" s="61" t="s">
        <v>56</v>
      </c>
      <c r="C49" s="62" t="s">
        <v>640</v>
      </c>
      <c r="D49" s="61" t="s">
        <v>594</v>
      </c>
      <c r="E49" s="76">
        <v>1.6840277777777779</v>
      </c>
      <c r="F49" s="61" t="s">
        <v>58</v>
      </c>
      <c r="G49" s="63">
        <v>9</v>
      </c>
      <c r="H49" s="65" t="s">
        <v>639</v>
      </c>
    </row>
    <row r="50" spans="1:8" ht="19.8" customHeight="1" x14ac:dyDescent="0.3">
      <c r="A50" s="104">
        <v>45982</v>
      </c>
      <c r="B50" s="67" t="s">
        <v>56</v>
      </c>
      <c r="C50" s="68" t="s">
        <v>641</v>
      </c>
      <c r="D50" s="67" t="s">
        <v>594</v>
      </c>
      <c r="E50" s="105">
        <v>1.4826388888888891</v>
      </c>
      <c r="F50" s="67" t="s">
        <v>58</v>
      </c>
      <c r="G50" s="69">
        <v>9</v>
      </c>
      <c r="H50" s="70" t="s">
        <v>639</v>
      </c>
    </row>
    <row r="51" spans="1:8" ht="19.8" customHeight="1" x14ac:dyDescent="0.3">
      <c r="A51" s="75">
        <v>45983</v>
      </c>
      <c r="B51" s="61" t="s">
        <v>36</v>
      </c>
      <c r="C51" s="62" t="s">
        <v>601</v>
      </c>
      <c r="D51" s="61" t="s">
        <v>594</v>
      </c>
      <c r="E51" s="76">
        <v>1.447916666666667</v>
      </c>
      <c r="F51" s="61" t="s">
        <v>38</v>
      </c>
      <c r="G51" s="63">
        <v>10</v>
      </c>
      <c r="H51" s="64">
        <v>509</v>
      </c>
    </row>
    <row r="52" spans="1:8" ht="19.8" customHeight="1" x14ac:dyDescent="0.3">
      <c r="A52" s="75">
        <v>45983</v>
      </c>
      <c r="B52" s="61" t="s">
        <v>36</v>
      </c>
      <c r="C52" s="62" t="s">
        <v>603</v>
      </c>
      <c r="D52" s="61" t="s">
        <v>594</v>
      </c>
      <c r="E52" s="76">
        <v>1.5</v>
      </c>
      <c r="F52" s="61" t="s">
        <v>38</v>
      </c>
      <c r="G52" s="63">
        <v>8</v>
      </c>
      <c r="H52" s="64">
        <v>509</v>
      </c>
    </row>
    <row r="53" spans="1:8" ht="19.8" customHeight="1" x14ac:dyDescent="0.3">
      <c r="A53" s="75">
        <v>45983</v>
      </c>
      <c r="B53" s="61" t="s">
        <v>36</v>
      </c>
      <c r="C53" s="62" t="s">
        <v>595</v>
      </c>
      <c r="D53" s="61" t="s">
        <v>594</v>
      </c>
      <c r="E53" s="76">
        <v>1.760416666666667</v>
      </c>
      <c r="F53" s="61" t="s">
        <v>38</v>
      </c>
      <c r="G53" s="63">
        <v>6</v>
      </c>
      <c r="H53" s="64">
        <v>509</v>
      </c>
    </row>
    <row r="54" spans="1:8" ht="19.8" customHeight="1" x14ac:dyDescent="0.3">
      <c r="A54" s="75">
        <v>45983</v>
      </c>
      <c r="B54" s="61" t="s">
        <v>36</v>
      </c>
      <c r="C54" s="62" t="s">
        <v>597</v>
      </c>
      <c r="D54" s="61" t="s">
        <v>594</v>
      </c>
      <c r="E54" s="76">
        <v>1.8159722222222221</v>
      </c>
      <c r="F54" s="61" t="s">
        <v>38</v>
      </c>
      <c r="G54" s="63">
        <v>10</v>
      </c>
      <c r="H54" s="64">
        <v>509</v>
      </c>
    </row>
    <row r="55" spans="1:8" ht="19.8" customHeight="1" x14ac:dyDescent="0.3">
      <c r="A55" s="75">
        <v>45983</v>
      </c>
      <c r="B55" s="61" t="s">
        <v>26</v>
      </c>
      <c r="C55" s="62" t="s">
        <v>609</v>
      </c>
      <c r="D55" s="61" t="s">
        <v>594</v>
      </c>
      <c r="E55" s="76">
        <v>1.5</v>
      </c>
      <c r="F55" s="61" t="s">
        <v>28</v>
      </c>
      <c r="G55" s="63">
        <v>1</v>
      </c>
      <c r="H55" s="64">
        <v>539</v>
      </c>
    </row>
    <row r="56" spans="1:8" ht="19.8" customHeight="1" x14ac:dyDescent="0.3">
      <c r="A56" s="75">
        <v>45983</v>
      </c>
      <c r="B56" s="61" t="s">
        <v>26</v>
      </c>
      <c r="C56" s="62" t="s">
        <v>606</v>
      </c>
      <c r="D56" s="61" t="s">
        <v>594</v>
      </c>
      <c r="E56" s="76">
        <v>1.305555555555556</v>
      </c>
      <c r="F56" s="61" t="s">
        <v>28</v>
      </c>
      <c r="G56" s="63">
        <v>4</v>
      </c>
      <c r="H56" s="64">
        <v>589</v>
      </c>
    </row>
    <row r="57" spans="1:8" ht="19.8" customHeight="1" x14ac:dyDescent="0.3">
      <c r="A57" s="75">
        <v>45983</v>
      </c>
      <c r="B57" s="61" t="s">
        <v>26</v>
      </c>
      <c r="C57" s="62" t="s">
        <v>608</v>
      </c>
      <c r="D57" s="61" t="s">
        <v>594</v>
      </c>
      <c r="E57" s="76">
        <v>1.8263888888888891</v>
      </c>
      <c r="F57" s="61" t="s">
        <v>28</v>
      </c>
      <c r="G57" s="63">
        <v>5</v>
      </c>
      <c r="H57" s="64">
        <v>589</v>
      </c>
    </row>
    <row r="58" spans="1:8" ht="19.8" customHeight="1" x14ac:dyDescent="0.3">
      <c r="A58" s="75">
        <v>45983</v>
      </c>
      <c r="B58" s="61" t="s">
        <v>26</v>
      </c>
      <c r="C58" s="62" t="s">
        <v>610</v>
      </c>
      <c r="D58" s="61" t="s">
        <v>594</v>
      </c>
      <c r="E58" s="76">
        <v>1.427083333333333</v>
      </c>
      <c r="F58" s="61" t="s">
        <v>28</v>
      </c>
      <c r="G58" s="63">
        <v>6</v>
      </c>
      <c r="H58" s="64">
        <v>589</v>
      </c>
    </row>
    <row r="59" spans="1:8" ht="19.8" customHeight="1" x14ac:dyDescent="0.3">
      <c r="A59" s="75">
        <v>45983</v>
      </c>
      <c r="B59" s="61" t="s">
        <v>26</v>
      </c>
      <c r="C59" s="62" t="s">
        <v>611</v>
      </c>
      <c r="D59" s="61" t="s">
        <v>594</v>
      </c>
      <c r="E59" s="76">
        <v>1.6875</v>
      </c>
      <c r="F59" s="61" t="s">
        <v>28</v>
      </c>
      <c r="G59" s="63">
        <v>1</v>
      </c>
      <c r="H59" s="64">
        <v>589</v>
      </c>
    </row>
    <row r="60" spans="1:8" ht="19.8" customHeight="1" x14ac:dyDescent="0.3">
      <c r="A60" s="75">
        <v>45983</v>
      </c>
      <c r="B60" s="61" t="s">
        <v>26</v>
      </c>
      <c r="C60" s="62" t="s">
        <v>614</v>
      </c>
      <c r="D60" s="61" t="s">
        <v>594</v>
      </c>
      <c r="E60" s="76">
        <v>1.5659722222222221</v>
      </c>
      <c r="F60" s="61" t="s">
        <v>28</v>
      </c>
      <c r="G60" s="63">
        <v>8</v>
      </c>
      <c r="H60" s="64">
        <v>589</v>
      </c>
    </row>
    <row r="61" spans="1:8" ht="19.8" customHeight="1" x14ac:dyDescent="0.3">
      <c r="A61" s="75">
        <v>45983</v>
      </c>
      <c r="B61" s="61" t="s">
        <v>243</v>
      </c>
      <c r="C61" s="62" t="s">
        <v>646</v>
      </c>
      <c r="D61" s="61" t="s">
        <v>594</v>
      </c>
      <c r="E61" s="76">
        <v>1.663194444444444</v>
      </c>
      <c r="F61" s="61" t="s">
        <v>245</v>
      </c>
      <c r="G61" s="63">
        <v>9</v>
      </c>
      <c r="H61" s="64">
        <v>616</v>
      </c>
    </row>
    <row r="62" spans="1:8" ht="19.8" customHeight="1" x14ac:dyDescent="0.3">
      <c r="A62" s="75">
        <v>45983</v>
      </c>
      <c r="B62" s="61" t="s">
        <v>26</v>
      </c>
      <c r="C62" s="62" t="s">
        <v>609</v>
      </c>
      <c r="D62" s="61" t="s">
        <v>594</v>
      </c>
      <c r="E62" s="76">
        <v>1.5</v>
      </c>
      <c r="F62" s="61" t="s">
        <v>31</v>
      </c>
      <c r="G62" s="63">
        <v>1</v>
      </c>
      <c r="H62" s="64">
        <v>639</v>
      </c>
    </row>
    <row r="63" spans="1:8" ht="19.8" customHeight="1" x14ac:dyDescent="0.3">
      <c r="A63" s="75">
        <v>45983</v>
      </c>
      <c r="B63" s="61" t="s">
        <v>26</v>
      </c>
      <c r="C63" s="62" t="s">
        <v>613</v>
      </c>
      <c r="D63" s="61" t="s">
        <v>594</v>
      </c>
      <c r="E63" s="76">
        <v>1.375</v>
      </c>
      <c r="F63" s="61" t="s">
        <v>28</v>
      </c>
      <c r="G63" s="63">
        <v>8</v>
      </c>
      <c r="H63" s="64">
        <v>639</v>
      </c>
    </row>
    <row r="64" spans="1:8" ht="19.8" customHeight="1" x14ac:dyDescent="0.3">
      <c r="A64" s="75">
        <v>45983</v>
      </c>
      <c r="B64" s="61" t="s">
        <v>36</v>
      </c>
      <c r="C64" s="62" t="s">
        <v>601</v>
      </c>
      <c r="D64" s="61" t="s">
        <v>594</v>
      </c>
      <c r="E64" s="76">
        <v>1.447916666666667</v>
      </c>
      <c r="F64" s="61" t="s">
        <v>41</v>
      </c>
      <c r="G64" s="63">
        <v>10</v>
      </c>
      <c r="H64" s="64">
        <v>659</v>
      </c>
    </row>
    <row r="65" spans="1:8" ht="19.8" customHeight="1" x14ac:dyDescent="0.3">
      <c r="A65" s="75">
        <v>45983</v>
      </c>
      <c r="B65" s="61" t="s">
        <v>36</v>
      </c>
      <c r="C65" s="62" t="s">
        <v>603</v>
      </c>
      <c r="D65" s="61" t="s">
        <v>594</v>
      </c>
      <c r="E65" s="76">
        <v>1.5</v>
      </c>
      <c r="F65" s="61" t="s">
        <v>41</v>
      </c>
      <c r="G65" s="63">
        <v>8</v>
      </c>
      <c r="H65" s="64">
        <v>659</v>
      </c>
    </row>
    <row r="66" spans="1:8" ht="19.8" customHeight="1" x14ac:dyDescent="0.3">
      <c r="A66" s="75">
        <v>45983</v>
      </c>
      <c r="B66" s="61" t="s">
        <v>36</v>
      </c>
      <c r="C66" s="62" t="s">
        <v>595</v>
      </c>
      <c r="D66" s="61" t="s">
        <v>594</v>
      </c>
      <c r="E66" s="76">
        <v>1.760416666666667</v>
      </c>
      <c r="F66" s="61" t="s">
        <v>41</v>
      </c>
      <c r="G66" s="63">
        <v>6</v>
      </c>
      <c r="H66" s="64">
        <v>659</v>
      </c>
    </row>
    <row r="67" spans="1:8" ht="19.8" customHeight="1" x14ac:dyDescent="0.3">
      <c r="A67" s="75">
        <v>45983</v>
      </c>
      <c r="B67" s="61" t="s">
        <v>36</v>
      </c>
      <c r="C67" s="62" t="s">
        <v>597</v>
      </c>
      <c r="D67" s="61" t="s">
        <v>594</v>
      </c>
      <c r="E67" s="76">
        <v>1.8159722222222221</v>
      </c>
      <c r="F67" s="61" t="s">
        <v>41</v>
      </c>
      <c r="G67" s="63">
        <v>10</v>
      </c>
      <c r="H67" s="64">
        <v>659</v>
      </c>
    </row>
    <row r="68" spans="1:8" ht="19.8" customHeight="1" x14ac:dyDescent="0.3">
      <c r="A68" s="75">
        <v>45983</v>
      </c>
      <c r="B68" s="61" t="s">
        <v>26</v>
      </c>
      <c r="C68" s="62" t="s">
        <v>606</v>
      </c>
      <c r="D68" s="61" t="s">
        <v>594</v>
      </c>
      <c r="E68" s="76">
        <v>1.305555555555556</v>
      </c>
      <c r="F68" s="61" t="s">
        <v>31</v>
      </c>
      <c r="G68" s="63">
        <v>4</v>
      </c>
      <c r="H68" s="64">
        <v>689</v>
      </c>
    </row>
    <row r="69" spans="1:8" ht="19.8" customHeight="1" x14ac:dyDescent="0.3">
      <c r="A69" s="75">
        <v>45983</v>
      </c>
      <c r="B69" s="61" t="s">
        <v>26</v>
      </c>
      <c r="C69" s="62" t="s">
        <v>608</v>
      </c>
      <c r="D69" s="61" t="s">
        <v>594</v>
      </c>
      <c r="E69" s="76">
        <v>1.8263888888888891</v>
      </c>
      <c r="F69" s="61" t="s">
        <v>31</v>
      </c>
      <c r="G69" s="63">
        <v>5</v>
      </c>
      <c r="H69" s="64">
        <v>689</v>
      </c>
    </row>
    <row r="70" spans="1:8" ht="19.8" customHeight="1" x14ac:dyDescent="0.3">
      <c r="A70" s="75">
        <v>45983</v>
      </c>
      <c r="B70" s="61" t="s">
        <v>26</v>
      </c>
      <c r="C70" s="62" t="s">
        <v>610</v>
      </c>
      <c r="D70" s="61" t="s">
        <v>594</v>
      </c>
      <c r="E70" s="76">
        <v>1.427083333333333</v>
      </c>
      <c r="F70" s="61" t="s">
        <v>31</v>
      </c>
      <c r="G70" s="63">
        <v>6</v>
      </c>
      <c r="H70" s="64">
        <v>689</v>
      </c>
    </row>
    <row r="71" spans="1:8" ht="19.8" customHeight="1" x14ac:dyDescent="0.3">
      <c r="A71" s="75">
        <v>45983</v>
      </c>
      <c r="B71" s="61" t="s">
        <v>26</v>
      </c>
      <c r="C71" s="62" t="s">
        <v>611</v>
      </c>
      <c r="D71" s="61" t="s">
        <v>594</v>
      </c>
      <c r="E71" s="76">
        <v>1.6875</v>
      </c>
      <c r="F71" s="61" t="s">
        <v>31</v>
      </c>
      <c r="G71" s="63">
        <v>1</v>
      </c>
      <c r="H71" s="64">
        <v>689</v>
      </c>
    </row>
    <row r="72" spans="1:8" ht="19.8" customHeight="1" x14ac:dyDescent="0.3">
      <c r="A72" s="75">
        <v>45983</v>
      </c>
      <c r="B72" s="61" t="s">
        <v>26</v>
      </c>
      <c r="C72" s="62" t="s">
        <v>614</v>
      </c>
      <c r="D72" s="61" t="s">
        <v>594</v>
      </c>
      <c r="E72" s="76">
        <v>1.5659722222222221</v>
      </c>
      <c r="F72" s="61" t="s">
        <v>31</v>
      </c>
      <c r="G72" s="63">
        <v>8</v>
      </c>
      <c r="H72" s="64">
        <v>689</v>
      </c>
    </row>
    <row r="73" spans="1:8" ht="19.8" customHeight="1" x14ac:dyDescent="0.3">
      <c r="A73" s="168">
        <v>45983</v>
      </c>
      <c r="B73" s="101" t="s">
        <v>93</v>
      </c>
      <c r="C73" s="102" t="s">
        <v>617</v>
      </c>
      <c r="D73" s="101" t="s">
        <v>594</v>
      </c>
      <c r="E73" s="169">
        <v>1.6111111111111109</v>
      </c>
      <c r="F73" s="101" t="s">
        <v>249</v>
      </c>
      <c r="G73" s="166">
        <v>9</v>
      </c>
      <c r="H73" s="167">
        <v>728</v>
      </c>
    </row>
    <row r="74" spans="1:8" ht="19.8" customHeight="1" x14ac:dyDescent="0.3">
      <c r="A74" s="75">
        <v>45983</v>
      </c>
      <c r="B74" s="61" t="s">
        <v>26</v>
      </c>
      <c r="C74" s="62" t="s">
        <v>609</v>
      </c>
      <c r="D74" s="61" t="s">
        <v>594</v>
      </c>
      <c r="E74" s="76">
        <v>1.5</v>
      </c>
      <c r="F74" s="61" t="s">
        <v>34</v>
      </c>
      <c r="G74" s="63">
        <v>1</v>
      </c>
      <c r="H74" s="64">
        <v>729</v>
      </c>
    </row>
    <row r="75" spans="1:8" ht="19.8" customHeight="1" x14ac:dyDescent="0.3">
      <c r="A75" s="75">
        <v>45983</v>
      </c>
      <c r="B75" s="61" t="s">
        <v>26</v>
      </c>
      <c r="C75" s="62" t="s">
        <v>613</v>
      </c>
      <c r="D75" s="61" t="s">
        <v>594</v>
      </c>
      <c r="E75" s="76">
        <v>1.375</v>
      </c>
      <c r="F75" s="61" t="s">
        <v>31</v>
      </c>
      <c r="G75" s="63">
        <v>8</v>
      </c>
      <c r="H75" s="64">
        <v>739</v>
      </c>
    </row>
    <row r="76" spans="1:8" ht="19.8" customHeight="1" x14ac:dyDescent="0.3">
      <c r="A76" s="75">
        <v>45983</v>
      </c>
      <c r="B76" s="61" t="s">
        <v>26</v>
      </c>
      <c r="C76" s="62" t="s">
        <v>606</v>
      </c>
      <c r="D76" s="61" t="s">
        <v>594</v>
      </c>
      <c r="E76" s="76">
        <v>1.305555555555556</v>
      </c>
      <c r="F76" s="61" t="s">
        <v>34</v>
      </c>
      <c r="G76" s="63">
        <v>4</v>
      </c>
      <c r="H76" s="64">
        <v>779</v>
      </c>
    </row>
    <row r="77" spans="1:8" ht="19.8" customHeight="1" x14ac:dyDescent="0.3">
      <c r="A77" s="75">
        <v>45983</v>
      </c>
      <c r="B77" s="61" t="s">
        <v>26</v>
      </c>
      <c r="C77" s="62" t="s">
        <v>608</v>
      </c>
      <c r="D77" s="61" t="s">
        <v>594</v>
      </c>
      <c r="E77" s="76">
        <v>1.8263888888888891</v>
      </c>
      <c r="F77" s="61" t="s">
        <v>34</v>
      </c>
      <c r="G77" s="63">
        <v>5</v>
      </c>
      <c r="H77" s="64">
        <v>779</v>
      </c>
    </row>
    <row r="78" spans="1:8" ht="19.8" customHeight="1" x14ac:dyDescent="0.3">
      <c r="A78" s="75">
        <v>45983</v>
      </c>
      <c r="B78" s="61" t="s">
        <v>26</v>
      </c>
      <c r="C78" s="62" t="s">
        <v>610</v>
      </c>
      <c r="D78" s="61" t="s">
        <v>594</v>
      </c>
      <c r="E78" s="76">
        <v>1.427083333333333</v>
      </c>
      <c r="F78" s="61" t="s">
        <v>34</v>
      </c>
      <c r="G78" s="63">
        <v>6</v>
      </c>
      <c r="H78" s="64">
        <v>779</v>
      </c>
    </row>
    <row r="79" spans="1:8" ht="19.8" customHeight="1" x14ac:dyDescent="0.3">
      <c r="A79" s="75">
        <v>45983</v>
      </c>
      <c r="B79" s="61" t="s">
        <v>26</v>
      </c>
      <c r="C79" s="62" t="s">
        <v>611</v>
      </c>
      <c r="D79" s="61" t="s">
        <v>594</v>
      </c>
      <c r="E79" s="76">
        <v>1.6875</v>
      </c>
      <c r="F79" s="61" t="s">
        <v>34</v>
      </c>
      <c r="G79" s="63">
        <v>1</v>
      </c>
      <c r="H79" s="64">
        <v>779</v>
      </c>
    </row>
    <row r="80" spans="1:8" ht="19.8" customHeight="1" x14ac:dyDescent="0.3">
      <c r="A80" s="75">
        <v>45983</v>
      </c>
      <c r="B80" s="61" t="s">
        <v>26</v>
      </c>
      <c r="C80" s="62" t="s">
        <v>614</v>
      </c>
      <c r="D80" s="61" t="s">
        <v>594</v>
      </c>
      <c r="E80" s="76">
        <v>1.5659722222222221</v>
      </c>
      <c r="F80" s="61" t="s">
        <v>34</v>
      </c>
      <c r="G80" s="63">
        <v>8</v>
      </c>
      <c r="H80" s="64">
        <v>779</v>
      </c>
    </row>
    <row r="81" spans="1:8" ht="19.8" customHeight="1" x14ac:dyDescent="0.3">
      <c r="A81" s="75">
        <v>45983</v>
      </c>
      <c r="B81" s="61" t="s">
        <v>26</v>
      </c>
      <c r="C81" s="62" t="s">
        <v>613</v>
      </c>
      <c r="D81" s="61" t="s">
        <v>594</v>
      </c>
      <c r="E81" s="76">
        <v>1.375</v>
      </c>
      <c r="F81" s="61" t="s">
        <v>34</v>
      </c>
      <c r="G81" s="63">
        <v>8</v>
      </c>
      <c r="H81" s="64">
        <v>829</v>
      </c>
    </row>
    <row r="82" spans="1:8" ht="19.8" customHeight="1" x14ac:dyDescent="0.3">
      <c r="A82" s="75">
        <v>45983</v>
      </c>
      <c r="B82" s="61" t="s">
        <v>323</v>
      </c>
      <c r="C82" s="62" t="s">
        <v>615</v>
      </c>
      <c r="D82" s="61" t="s">
        <v>594</v>
      </c>
      <c r="E82" s="76">
        <v>1.274305555555556</v>
      </c>
      <c r="F82" s="61" t="s">
        <v>245</v>
      </c>
      <c r="G82" s="63">
        <v>4</v>
      </c>
      <c r="H82" s="64">
        <v>835</v>
      </c>
    </row>
    <row r="83" spans="1:8" ht="19.8" customHeight="1" x14ac:dyDescent="0.3">
      <c r="A83" s="75">
        <v>45983</v>
      </c>
      <c r="B83" s="61" t="s">
        <v>36</v>
      </c>
      <c r="C83" s="62" t="s">
        <v>603</v>
      </c>
      <c r="D83" s="61" t="s">
        <v>594</v>
      </c>
      <c r="E83" s="76">
        <v>1.5</v>
      </c>
      <c r="F83" s="61" t="s">
        <v>44</v>
      </c>
      <c r="G83" s="63">
        <v>8</v>
      </c>
      <c r="H83" s="64">
        <v>899</v>
      </c>
    </row>
    <row r="84" spans="1:8" ht="19.8" customHeight="1" x14ac:dyDescent="0.3">
      <c r="A84" s="75">
        <v>45983</v>
      </c>
      <c r="B84" s="61" t="s">
        <v>36</v>
      </c>
      <c r="C84" s="62" t="s">
        <v>595</v>
      </c>
      <c r="D84" s="61" t="s">
        <v>594</v>
      </c>
      <c r="E84" s="76">
        <v>1.760416666666667</v>
      </c>
      <c r="F84" s="61" t="s">
        <v>44</v>
      </c>
      <c r="G84" s="63">
        <v>6</v>
      </c>
      <c r="H84" s="64">
        <v>899</v>
      </c>
    </row>
    <row r="85" spans="1:8" ht="19.8" customHeight="1" x14ac:dyDescent="0.3">
      <c r="A85" s="75">
        <v>45983</v>
      </c>
      <c r="B85" s="61" t="s">
        <v>36</v>
      </c>
      <c r="C85" s="62" t="s">
        <v>597</v>
      </c>
      <c r="D85" s="61" t="s">
        <v>594</v>
      </c>
      <c r="E85" s="76">
        <v>1.8159722222222221</v>
      </c>
      <c r="F85" s="61" t="s">
        <v>44</v>
      </c>
      <c r="G85" s="63">
        <v>10</v>
      </c>
      <c r="H85" s="64">
        <v>899</v>
      </c>
    </row>
    <row r="86" spans="1:8" ht="19.8" customHeight="1" x14ac:dyDescent="0.3">
      <c r="A86" s="75">
        <v>45983</v>
      </c>
      <c r="B86" s="61" t="s">
        <v>46</v>
      </c>
      <c r="C86" s="62" t="s">
        <v>625</v>
      </c>
      <c r="D86" s="61" t="s">
        <v>594</v>
      </c>
      <c r="E86" s="76">
        <v>1.9201388888888891</v>
      </c>
      <c r="F86" s="61" t="s">
        <v>48</v>
      </c>
      <c r="G86" s="63">
        <v>9</v>
      </c>
      <c r="H86" s="65" t="s">
        <v>626</v>
      </c>
    </row>
    <row r="87" spans="1:8" ht="19.8" customHeight="1" x14ac:dyDescent="0.3">
      <c r="A87" s="75">
        <v>45983</v>
      </c>
      <c r="B87" s="61" t="s">
        <v>46</v>
      </c>
      <c r="C87" s="62" t="s">
        <v>627</v>
      </c>
      <c r="D87" s="61" t="s">
        <v>594</v>
      </c>
      <c r="E87" s="76">
        <v>1.541666666666667</v>
      </c>
      <c r="F87" s="61" t="s">
        <v>48</v>
      </c>
      <c r="G87" s="63">
        <v>9</v>
      </c>
      <c r="H87" s="65" t="s">
        <v>626</v>
      </c>
    </row>
    <row r="88" spans="1:8" ht="19.8" customHeight="1" x14ac:dyDescent="0.3">
      <c r="A88" s="75">
        <v>45983</v>
      </c>
      <c r="B88" s="61" t="s">
        <v>36</v>
      </c>
      <c r="C88" s="62" t="s">
        <v>601</v>
      </c>
      <c r="D88" s="61" t="s">
        <v>594</v>
      </c>
      <c r="E88" s="76">
        <v>1.447916666666667</v>
      </c>
      <c r="F88" s="61" t="s">
        <v>44</v>
      </c>
      <c r="G88" s="63">
        <v>10</v>
      </c>
      <c r="H88" s="65" t="s">
        <v>600</v>
      </c>
    </row>
    <row r="89" spans="1:8" ht="19.8" customHeight="1" x14ac:dyDescent="0.3">
      <c r="A89" s="75">
        <v>45983</v>
      </c>
      <c r="B89" s="61" t="s">
        <v>46</v>
      </c>
      <c r="C89" s="62" t="s">
        <v>650</v>
      </c>
      <c r="D89" s="61" t="s">
        <v>594</v>
      </c>
      <c r="E89" s="76">
        <v>1.166666666666667</v>
      </c>
      <c r="F89" s="61" t="s">
        <v>48</v>
      </c>
      <c r="G89" s="63">
        <v>9</v>
      </c>
      <c r="H89" s="65" t="s">
        <v>651</v>
      </c>
    </row>
    <row r="90" spans="1:8" ht="19.8" customHeight="1" x14ac:dyDescent="0.3">
      <c r="A90" s="75">
        <v>45983</v>
      </c>
      <c r="B90" s="61" t="s">
        <v>56</v>
      </c>
      <c r="C90" s="62" t="s">
        <v>652</v>
      </c>
      <c r="D90" s="61" t="s">
        <v>594</v>
      </c>
      <c r="E90" s="76">
        <v>1.5</v>
      </c>
      <c r="F90" s="61" t="s">
        <v>58</v>
      </c>
      <c r="G90" s="63">
        <v>4</v>
      </c>
      <c r="H90" s="65" t="s">
        <v>653</v>
      </c>
    </row>
    <row r="91" spans="1:8" ht="19.8" customHeight="1" x14ac:dyDescent="0.3">
      <c r="A91" s="75">
        <v>45983</v>
      </c>
      <c r="B91" s="61" t="s">
        <v>56</v>
      </c>
      <c r="C91" s="62" t="s">
        <v>636</v>
      </c>
      <c r="D91" s="61" t="s">
        <v>594</v>
      </c>
      <c r="E91" s="76">
        <v>1.8159722222222221</v>
      </c>
      <c r="F91" s="61" t="s">
        <v>58</v>
      </c>
      <c r="G91" s="63">
        <v>4</v>
      </c>
      <c r="H91" s="65" t="s">
        <v>653</v>
      </c>
    </row>
    <row r="92" spans="1:8" ht="19.8" customHeight="1" x14ac:dyDescent="0.3">
      <c r="A92" s="75">
        <v>45983</v>
      </c>
      <c r="B92" s="61" t="s">
        <v>56</v>
      </c>
      <c r="C92" s="62" t="s">
        <v>637</v>
      </c>
      <c r="D92" s="61" t="s">
        <v>594</v>
      </c>
      <c r="E92" s="76">
        <v>1.2986111111111109</v>
      </c>
      <c r="F92" s="61" t="s">
        <v>62</v>
      </c>
      <c r="G92" s="63">
        <v>9</v>
      </c>
      <c r="H92" s="65" t="s">
        <v>632</v>
      </c>
    </row>
    <row r="93" spans="1:8" ht="19.8" customHeight="1" x14ac:dyDescent="0.3">
      <c r="A93" s="75">
        <v>45983</v>
      </c>
      <c r="B93" s="61" t="s">
        <v>56</v>
      </c>
      <c r="C93" s="62" t="s">
        <v>640</v>
      </c>
      <c r="D93" s="61" t="s">
        <v>594</v>
      </c>
      <c r="E93" s="76">
        <v>1.6840277777777779</v>
      </c>
      <c r="F93" s="61" t="s">
        <v>62</v>
      </c>
      <c r="G93" s="63">
        <v>9</v>
      </c>
      <c r="H93" s="65" t="s">
        <v>632</v>
      </c>
    </row>
    <row r="94" spans="1:8" ht="19.8" customHeight="1" x14ac:dyDescent="0.3">
      <c r="A94" s="75">
        <v>45983</v>
      </c>
      <c r="B94" s="61" t="s">
        <v>56</v>
      </c>
      <c r="C94" s="62" t="s">
        <v>631</v>
      </c>
      <c r="D94" s="61" t="s">
        <v>594</v>
      </c>
      <c r="E94" s="76">
        <v>1.836805555555556</v>
      </c>
      <c r="F94" s="61" t="s">
        <v>62</v>
      </c>
      <c r="G94" s="63">
        <v>9</v>
      </c>
      <c r="H94" s="65" t="s">
        <v>632</v>
      </c>
    </row>
    <row r="95" spans="1:8" ht="19.8" customHeight="1" x14ac:dyDescent="0.3">
      <c r="A95" s="75">
        <v>45983</v>
      </c>
      <c r="B95" s="61" t="s">
        <v>56</v>
      </c>
      <c r="C95" s="62" t="s">
        <v>641</v>
      </c>
      <c r="D95" s="61" t="s">
        <v>594</v>
      </c>
      <c r="E95" s="76">
        <v>1.4826388888888891</v>
      </c>
      <c r="F95" s="61" t="s">
        <v>62</v>
      </c>
      <c r="G95" s="63">
        <v>9</v>
      </c>
      <c r="H95" s="65" t="s">
        <v>632</v>
      </c>
    </row>
    <row r="96" spans="1:8" ht="19.8" customHeight="1" x14ac:dyDescent="0.3">
      <c r="A96" s="75">
        <v>45983</v>
      </c>
      <c r="B96" s="61" t="s">
        <v>56</v>
      </c>
      <c r="C96" s="62" t="s">
        <v>637</v>
      </c>
      <c r="D96" s="61" t="s">
        <v>594</v>
      </c>
      <c r="E96" s="76">
        <v>1.2986111111111109</v>
      </c>
      <c r="F96" s="61" t="s">
        <v>58</v>
      </c>
      <c r="G96" s="63">
        <v>9</v>
      </c>
      <c r="H96" s="65" t="s">
        <v>633</v>
      </c>
    </row>
    <row r="97" spans="1:8" ht="19.8" customHeight="1" x14ac:dyDescent="0.3">
      <c r="A97" s="75">
        <v>45983</v>
      </c>
      <c r="B97" s="61" t="s">
        <v>56</v>
      </c>
      <c r="C97" s="62" t="s">
        <v>640</v>
      </c>
      <c r="D97" s="61" t="s">
        <v>594</v>
      </c>
      <c r="E97" s="76">
        <v>1.6840277777777779</v>
      </c>
      <c r="F97" s="61" t="s">
        <v>58</v>
      </c>
      <c r="G97" s="63">
        <v>9</v>
      </c>
      <c r="H97" s="65" t="s">
        <v>633</v>
      </c>
    </row>
    <row r="98" spans="1:8" ht="19.8" customHeight="1" x14ac:dyDescent="0.3">
      <c r="A98" s="75">
        <v>45983</v>
      </c>
      <c r="B98" s="61" t="s">
        <v>56</v>
      </c>
      <c r="C98" s="62" t="s">
        <v>631</v>
      </c>
      <c r="D98" s="61" t="s">
        <v>594</v>
      </c>
      <c r="E98" s="76">
        <v>1.836805555555556</v>
      </c>
      <c r="F98" s="61" t="s">
        <v>58</v>
      </c>
      <c r="G98" s="63">
        <v>9</v>
      </c>
      <c r="H98" s="65" t="s">
        <v>633</v>
      </c>
    </row>
    <row r="99" spans="1:8" ht="19.8" customHeight="1" x14ac:dyDescent="0.3">
      <c r="A99" s="75">
        <v>45983</v>
      </c>
      <c r="B99" s="61" t="s">
        <v>56</v>
      </c>
      <c r="C99" s="62" t="s">
        <v>641</v>
      </c>
      <c r="D99" s="61" t="s">
        <v>594</v>
      </c>
      <c r="E99" s="76">
        <v>1.4826388888888891</v>
      </c>
      <c r="F99" s="61" t="s">
        <v>58</v>
      </c>
      <c r="G99" s="63">
        <v>9</v>
      </c>
      <c r="H99" s="65" t="s">
        <v>633</v>
      </c>
    </row>
    <row r="100" spans="1:8" ht="19.8" customHeight="1" x14ac:dyDescent="0.3">
      <c r="A100" s="104">
        <v>45983</v>
      </c>
      <c r="B100" s="67" t="s">
        <v>56</v>
      </c>
      <c r="C100" s="68" t="s">
        <v>634</v>
      </c>
      <c r="D100" s="67" t="s">
        <v>594</v>
      </c>
      <c r="E100" s="105">
        <v>1.760416666666667</v>
      </c>
      <c r="F100" s="67" t="s">
        <v>58</v>
      </c>
      <c r="G100" s="69">
        <v>4</v>
      </c>
      <c r="H100" s="70" t="s">
        <v>635</v>
      </c>
    </row>
    <row r="101" spans="1:8" ht="19.8" customHeight="1" x14ac:dyDescent="0.3">
      <c r="A101" s="75">
        <v>45984</v>
      </c>
      <c r="B101" s="61" t="s">
        <v>36</v>
      </c>
      <c r="C101" s="62" t="s">
        <v>601</v>
      </c>
      <c r="D101" s="61" t="s">
        <v>594</v>
      </c>
      <c r="E101" s="76">
        <v>1.447916666666667</v>
      </c>
      <c r="F101" s="61" t="s">
        <v>38</v>
      </c>
      <c r="G101" s="63">
        <v>5</v>
      </c>
      <c r="H101" s="64">
        <v>369</v>
      </c>
    </row>
    <row r="102" spans="1:8" ht="19.8" customHeight="1" x14ac:dyDescent="0.3">
      <c r="A102" s="75">
        <v>45984</v>
      </c>
      <c r="B102" s="61" t="s">
        <v>36</v>
      </c>
      <c r="C102" s="62" t="s">
        <v>595</v>
      </c>
      <c r="D102" s="61" t="s">
        <v>594</v>
      </c>
      <c r="E102" s="76">
        <v>1.760416666666667</v>
      </c>
      <c r="F102" s="61" t="s">
        <v>38</v>
      </c>
      <c r="G102" s="63">
        <v>3</v>
      </c>
      <c r="H102" s="64">
        <v>369</v>
      </c>
    </row>
    <row r="103" spans="1:8" ht="19.8" customHeight="1" x14ac:dyDescent="0.3">
      <c r="A103" s="75">
        <v>45984</v>
      </c>
      <c r="B103" s="61" t="s">
        <v>36</v>
      </c>
      <c r="C103" s="62" t="s">
        <v>597</v>
      </c>
      <c r="D103" s="61" t="s">
        <v>594</v>
      </c>
      <c r="E103" s="76">
        <v>1.8159722222222221</v>
      </c>
      <c r="F103" s="61" t="s">
        <v>38</v>
      </c>
      <c r="G103" s="63">
        <v>7</v>
      </c>
      <c r="H103" s="64">
        <v>369</v>
      </c>
    </row>
    <row r="104" spans="1:8" ht="19.8" customHeight="1" x14ac:dyDescent="0.3">
      <c r="A104" s="75">
        <v>45984</v>
      </c>
      <c r="B104" s="61" t="s">
        <v>36</v>
      </c>
      <c r="C104" s="62" t="s">
        <v>603</v>
      </c>
      <c r="D104" s="61" t="s">
        <v>594</v>
      </c>
      <c r="E104" s="76">
        <v>1.5</v>
      </c>
      <c r="F104" s="61" t="s">
        <v>38</v>
      </c>
      <c r="G104" s="63">
        <v>7</v>
      </c>
      <c r="H104" s="64">
        <v>399</v>
      </c>
    </row>
    <row r="105" spans="1:8" ht="19.8" customHeight="1" x14ac:dyDescent="0.3">
      <c r="A105" s="75">
        <v>45984</v>
      </c>
      <c r="B105" s="61" t="s">
        <v>26</v>
      </c>
      <c r="C105" s="62" t="s">
        <v>608</v>
      </c>
      <c r="D105" s="61" t="s">
        <v>594</v>
      </c>
      <c r="E105" s="76">
        <v>1.8263888888888891</v>
      </c>
      <c r="F105" s="61" t="s">
        <v>28</v>
      </c>
      <c r="G105" s="63">
        <v>5</v>
      </c>
      <c r="H105" s="64">
        <v>449</v>
      </c>
    </row>
    <row r="106" spans="1:8" ht="19.8" customHeight="1" x14ac:dyDescent="0.3">
      <c r="A106" s="75">
        <v>45984</v>
      </c>
      <c r="B106" s="61" t="s">
        <v>26</v>
      </c>
      <c r="C106" s="62" t="s">
        <v>609</v>
      </c>
      <c r="D106" s="61" t="s">
        <v>594</v>
      </c>
      <c r="E106" s="76">
        <v>1.5</v>
      </c>
      <c r="F106" s="61" t="s">
        <v>28</v>
      </c>
      <c r="G106" s="63">
        <v>6</v>
      </c>
      <c r="H106" s="64">
        <v>449</v>
      </c>
    </row>
    <row r="107" spans="1:8" ht="19.8" customHeight="1" x14ac:dyDescent="0.3">
      <c r="A107" s="75">
        <v>45984</v>
      </c>
      <c r="B107" s="61" t="s">
        <v>26</v>
      </c>
      <c r="C107" s="62" t="s">
        <v>611</v>
      </c>
      <c r="D107" s="61" t="s">
        <v>594</v>
      </c>
      <c r="E107" s="76">
        <v>1.6875</v>
      </c>
      <c r="F107" s="61" t="s">
        <v>28</v>
      </c>
      <c r="G107" s="63">
        <v>9</v>
      </c>
      <c r="H107" s="64">
        <v>449</v>
      </c>
    </row>
    <row r="108" spans="1:8" ht="19.8" customHeight="1" x14ac:dyDescent="0.3">
      <c r="A108" s="75">
        <v>45984</v>
      </c>
      <c r="B108" s="61" t="s">
        <v>26</v>
      </c>
      <c r="C108" s="62" t="s">
        <v>614</v>
      </c>
      <c r="D108" s="61" t="s">
        <v>594</v>
      </c>
      <c r="E108" s="76">
        <v>1.5659722222222221</v>
      </c>
      <c r="F108" s="61" t="s">
        <v>28</v>
      </c>
      <c r="G108" s="63">
        <v>6</v>
      </c>
      <c r="H108" s="64">
        <v>449</v>
      </c>
    </row>
    <row r="109" spans="1:8" ht="19.8" customHeight="1" x14ac:dyDescent="0.3">
      <c r="A109" s="75">
        <v>45984</v>
      </c>
      <c r="B109" s="61" t="s">
        <v>26</v>
      </c>
      <c r="C109" s="62" t="s">
        <v>613</v>
      </c>
      <c r="D109" s="61" t="s">
        <v>594</v>
      </c>
      <c r="E109" s="76">
        <v>1.375</v>
      </c>
      <c r="F109" s="61" t="s">
        <v>28</v>
      </c>
      <c r="G109" s="63">
        <v>6</v>
      </c>
      <c r="H109" s="64">
        <v>489</v>
      </c>
    </row>
    <row r="110" spans="1:8" ht="19.8" customHeight="1" x14ac:dyDescent="0.3">
      <c r="A110" s="75">
        <v>45984</v>
      </c>
      <c r="B110" s="61" t="s">
        <v>323</v>
      </c>
      <c r="C110" s="62" t="s">
        <v>661</v>
      </c>
      <c r="D110" s="61" t="s">
        <v>594</v>
      </c>
      <c r="E110" s="76">
        <v>1.586805555555556</v>
      </c>
      <c r="F110" s="61" t="s">
        <v>249</v>
      </c>
      <c r="G110" s="63">
        <v>9</v>
      </c>
      <c r="H110" s="64">
        <v>500</v>
      </c>
    </row>
    <row r="111" spans="1:8" ht="19.8" customHeight="1" x14ac:dyDescent="0.3">
      <c r="A111" s="75">
        <v>45984</v>
      </c>
      <c r="B111" s="61" t="s">
        <v>243</v>
      </c>
      <c r="C111" s="62" t="s">
        <v>629</v>
      </c>
      <c r="D111" s="61" t="s">
        <v>594</v>
      </c>
      <c r="E111" s="76">
        <v>1.3576388888888891</v>
      </c>
      <c r="F111" s="61" t="s">
        <v>249</v>
      </c>
      <c r="G111" s="63">
        <v>4</v>
      </c>
      <c r="H111" s="64">
        <v>518</v>
      </c>
    </row>
    <row r="112" spans="1:8" ht="19.8" customHeight="1" x14ac:dyDescent="0.3">
      <c r="A112" s="75">
        <v>45984</v>
      </c>
      <c r="B112" s="61" t="s">
        <v>36</v>
      </c>
      <c r="C112" s="62" t="s">
        <v>601</v>
      </c>
      <c r="D112" s="61" t="s">
        <v>594</v>
      </c>
      <c r="E112" s="76">
        <v>1.447916666666667</v>
      </c>
      <c r="F112" s="61" t="s">
        <v>41</v>
      </c>
      <c r="G112" s="63">
        <v>5</v>
      </c>
      <c r="H112" s="64">
        <v>519</v>
      </c>
    </row>
    <row r="113" spans="1:8" ht="19.8" customHeight="1" x14ac:dyDescent="0.3">
      <c r="A113" s="75">
        <v>45984</v>
      </c>
      <c r="B113" s="61" t="s">
        <v>36</v>
      </c>
      <c r="C113" s="62" t="s">
        <v>595</v>
      </c>
      <c r="D113" s="61" t="s">
        <v>594</v>
      </c>
      <c r="E113" s="76">
        <v>1.760416666666667</v>
      </c>
      <c r="F113" s="61" t="s">
        <v>41</v>
      </c>
      <c r="G113" s="63">
        <v>3</v>
      </c>
      <c r="H113" s="64">
        <v>519</v>
      </c>
    </row>
    <row r="114" spans="1:8" ht="19.8" customHeight="1" x14ac:dyDescent="0.3">
      <c r="A114" s="75">
        <v>45984</v>
      </c>
      <c r="B114" s="61" t="s">
        <v>36</v>
      </c>
      <c r="C114" s="62" t="s">
        <v>597</v>
      </c>
      <c r="D114" s="61" t="s">
        <v>594</v>
      </c>
      <c r="E114" s="76">
        <v>1.8159722222222221</v>
      </c>
      <c r="F114" s="61" t="s">
        <v>41</v>
      </c>
      <c r="G114" s="63">
        <v>7</v>
      </c>
      <c r="H114" s="64">
        <v>519</v>
      </c>
    </row>
    <row r="115" spans="1:8" ht="19.8" customHeight="1" x14ac:dyDescent="0.3">
      <c r="A115" s="75">
        <v>45984</v>
      </c>
      <c r="B115" s="61" t="s">
        <v>26</v>
      </c>
      <c r="C115" s="62" t="s">
        <v>606</v>
      </c>
      <c r="D115" s="61" t="s">
        <v>594</v>
      </c>
      <c r="E115" s="76">
        <v>1.305555555555556</v>
      </c>
      <c r="F115" s="61" t="s">
        <v>28</v>
      </c>
      <c r="G115" s="63">
        <v>4</v>
      </c>
      <c r="H115" s="64">
        <v>539</v>
      </c>
    </row>
    <row r="116" spans="1:8" ht="19.8" customHeight="1" x14ac:dyDescent="0.3">
      <c r="A116" s="75">
        <v>45984</v>
      </c>
      <c r="B116" s="61" t="s">
        <v>26</v>
      </c>
      <c r="C116" s="62" t="s">
        <v>610</v>
      </c>
      <c r="D116" s="61" t="s">
        <v>594</v>
      </c>
      <c r="E116" s="76">
        <v>1.427083333333333</v>
      </c>
      <c r="F116" s="61" t="s">
        <v>28</v>
      </c>
      <c r="G116" s="63">
        <v>5</v>
      </c>
      <c r="H116" s="64">
        <v>539</v>
      </c>
    </row>
    <row r="117" spans="1:8" ht="19.8" customHeight="1" x14ac:dyDescent="0.3">
      <c r="A117" s="75">
        <v>45984</v>
      </c>
      <c r="B117" s="61" t="s">
        <v>36</v>
      </c>
      <c r="C117" s="62" t="s">
        <v>603</v>
      </c>
      <c r="D117" s="61" t="s">
        <v>594</v>
      </c>
      <c r="E117" s="76">
        <v>1.5</v>
      </c>
      <c r="F117" s="61" t="s">
        <v>41</v>
      </c>
      <c r="G117" s="63">
        <v>7</v>
      </c>
      <c r="H117" s="64">
        <v>549</v>
      </c>
    </row>
    <row r="118" spans="1:8" ht="19.8" customHeight="1" x14ac:dyDescent="0.3">
      <c r="A118" s="75">
        <v>45984</v>
      </c>
      <c r="B118" s="61" t="s">
        <v>26</v>
      </c>
      <c r="C118" s="62" t="s">
        <v>608</v>
      </c>
      <c r="D118" s="61" t="s">
        <v>594</v>
      </c>
      <c r="E118" s="76">
        <v>1.8263888888888891</v>
      </c>
      <c r="F118" s="61" t="s">
        <v>31</v>
      </c>
      <c r="G118" s="63">
        <v>5</v>
      </c>
      <c r="H118" s="64">
        <v>549</v>
      </c>
    </row>
    <row r="119" spans="1:8" ht="19.8" customHeight="1" x14ac:dyDescent="0.3">
      <c r="A119" s="75">
        <v>45984</v>
      </c>
      <c r="B119" s="61" t="s">
        <v>26</v>
      </c>
      <c r="C119" s="62" t="s">
        <v>609</v>
      </c>
      <c r="D119" s="61" t="s">
        <v>594</v>
      </c>
      <c r="E119" s="76">
        <v>1.5</v>
      </c>
      <c r="F119" s="61" t="s">
        <v>31</v>
      </c>
      <c r="G119" s="63">
        <v>6</v>
      </c>
      <c r="H119" s="64">
        <v>549</v>
      </c>
    </row>
    <row r="120" spans="1:8" ht="19.8" customHeight="1" x14ac:dyDescent="0.3">
      <c r="A120" s="75">
        <v>45984</v>
      </c>
      <c r="B120" s="61" t="s">
        <v>26</v>
      </c>
      <c r="C120" s="62" t="s">
        <v>611</v>
      </c>
      <c r="D120" s="61" t="s">
        <v>594</v>
      </c>
      <c r="E120" s="76">
        <v>1.6875</v>
      </c>
      <c r="F120" s="61" t="s">
        <v>31</v>
      </c>
      <c r="G120" s="63">
        <v>9</v>
      </c>
      <c r="H120" s="64">
        <v>549</v>
      </c>
    </row>
    <row r="121" spans="1:8" ht="19.8" customHeight="1" x14ac:dyDescent="0.3">
      <c r="A121" s="75">
        <v>45984</v>
      </c>
      <c r="B121" s="61" t="s">
        <v>26</v>
      </c>
      <c r="C121" s="62" t="s">
        <v>614</v>
      </c>
      <c r="D121" s="61" t="s">
        <v>594</v>
      </c>
      <c r="E121" s="76">
        <v>1.5659722222222221</v>
      </c>
      <c r="F121" s="61" t="s">
        <v>31</v>
      </c>
      <c r="G121" s="63">
        <v>6</v>
      </c>
      <c r="H121" s="64">
        <v>549</v>
      </c>
    </row>
    <row r="122" spans="1:8" ht="19.8" customHeight="1" x14ac:dyDescent="0.3">
      <c r="A122" s="75">
        <v>45984</v>
      </c>
      <c r="B122" s="61" t="s">
        <v>26</v>
      </c>
      <c r="C122" s="62" t="s">
        <v>613</v>
      </c>
      <c r="D122" s="61" t="s">
        <v>594</v>
      </c>
      <c r="E122" s="76">
        <v>1.375</v>
      </c>
      <c r="F122" s="61" t="s">
        <v>31</v>
      </c>
      <c r="G122" s="63">
        <v>6</v>
      </c>
      <c r="H122" s="64">
        <v>589</v>
      </c>
    </row>
    <row r="123" spans="1:8" ht="19.8" customHeight="1" x14ac:dyDescent="0.3">
      <c r="A123" s="75">
        <v>45984</v>
      </c>
      <c r="B123" s="61" t="s">
        <v>26</v>
      </c>
      <c r="C123" s="62" t="s">
        <v>606</v>
      </c>
      <c r="D123" s="61" t="s">
        <v>594</v>
      </c>
      <c r="E123" s="76">
        <v>1.305555555555556</v>
      </c>
      <c r="F123" s="61" t="s">
        <v>31</v>
      </c>
      <c r="G123" s="63">
        <v>4</v>
      </c>
      <c r="H123" s="64">
        <v>639</v>
      </c>
    </row>
    <row r="124" spans="1:8" ht="19.8" customHeight="1" x14ac:dyDescent="0.3">
      <c r="A124" s="75">
        <v>45984</v>
      </c>
      <c r="B124" s="61" t="s">
        <v>26</v>
      </c>
      <c r="C124" s="62" t="s">
        <v>608</v>
      </c>
      <c r="D124" s="61" t="s">
        <v>594</v>
      </c>
      <c r="E124" s="76">
        <v>1.8263888888888891</v>
      </c>
      <c r="F124" s="61" t="s">
        <v>34</v>
      </c>
      <c r="G124" s="63">
        <v>5</v>
      </c>
      <c r="H124" s="64">
        <v>639</v>
      </c>
    </row>
    <row r="125" spans="1:8" ht="19.8" customHeight="1" x14ac:dyDescent="0.3">
      <c r="A125" s="75">
        <v>45984</v>
      </c>
      <c r="B125" s="61" t="s">
        <v>26</v>
      </c>
      <c r="C125" s="62" t="s">
        <v>609</v>
      </c>
      <c r="D125" s="61" t="s">
        <v>594</v>
      </c>
      <c r="E125" s="76">
        <v>1.5</v>
      </c>
      <c r="F125" s="61" t="s">
        <v>34</v>
      </c>
      <c r="G125" s="63">
        <v>6</v>
      </c>
      <c r="H125" s="64">
        <v>639</v>
      </c>
    </row>
    <row r="126" spans="1:8" ht="19.8" customHeight="1" x14ac:dyDescent="0.3">
      <c r="A126" s="75">
        <v>45984</v>
      </c>
      <c r="B126" s="61" t="s">
        <v>26</v>
      </c>
      <c r="C126" s="62" t="s">
        <v>610</v>
      </c>
      <c r="D126" s="61" t="s">
        <v>594</v>
      </c>
      <c r="E126" s="76">
        <v>1.427083333333333</v>
      </c>
      <c r="F126" s="61" t="s">
        <v>31</v>
      </c>
      <c r="G126" s="63">
        <v>5</v>
      </c>
      <c r="H126" s="64">
        <v>639</v>
      </c>
    </row>
    <row r="127" spans="1:8" ht="19.8" customHeight="1" x14ac:dyDescent="0.3">
      <c r="A127" s="75">
        <v>45984</v>
      </c>
      <c r="B127" s="61" t="s">
        <v>26</v>
      </c>
      <c r="C127" s="62" t="s">
        <v>611</v>
      </c>
      <c r="D127" s="61" t="s">
        <v>594</v>
      </c>
      <c r="E127" s="76">
        <v>1.6875</v>
      </c>
      <c r="F127" s="61" t="s">
        <v>34</v>
      </c>
      <c r="G127" s="63">
        <v>9</v>
      </c>
      <c r="H127" s="64">
        <v>639</v>
      </c>
    </row>
    <row r="128" spans="1:8" ht="19.8" customHeight="1" x14ac:dyDescent="0.3">
      <c r="A128" s="75">
        <v>45984</v>
      </c>
      <c r="B128" s="61" t="s">
        <v>26</v>
      </c>
      <c r="C128" s="62" t="s">
        <v>614</v>
      </c>
      <c r="D128" s="61" t="s">
        <v>594</v>
      </c>
      <c r="E128" s="76">
        <v>1.5659722222222221</v>
      </c>
      <c r="F128" s="61" t="s">
        <v>34</v>
      </c>
      <c r="G128" s="63">
        <v>6</v>
      </c>
      <c r="H128" s="64">
        <v>639</v>
      </c>
    </row>
    <row r="129" spans="1:8" ht="19.8" customHeight="1" x14ac:dyDescent="0.3">
      <c r="A129" s="75">
        <v>45984</v>
      </c>
      <c r="B129" s="61" t="s">
        <v>26</v>
      </c>
      <c r="C129" s="62" t="s">
        <v>613</v>
      </c>
      <c r="D129" s="61" t="s">
        <v>594</v>
      </c>
      <c r="E129" s="76">
        <v>1.375</v>
      </c>
      <c r="F129" s="61" t="s">
        <v>34</v>
      </c>
      <c r="G129" s="63">
        <v>6</v>
      </c>
      <c r="H129" s="64">
        <v>679</v>
      </c>
    </row>
    <row r="130" spans="1:8" ht="19.8" customHeight="1" x14ac:dyDescent="0.3">
      <c r="A130" s="168">
        <v>45984</v>
      </c>
      <c r="B130" s="101" t="s">
        <v>93</v>
      </c>
      <c r="C130" s="102" t="s">
        <v>617</v>
      </c>
      <c r="D130" s="101" t="s">
        <v>594</v>
      </c>
      <c r="E130" s="169">
        <v>1.625</v>
      </c>
      <c r="F130" s="101" t="s">
        <v>249</v>
      </c>
      <c r="G130" s="166">
        <v>5</v>
      </c>
      <c r="H130" s="167">
        <v>728</v>
      </c>
    </row>
    <row r="131" spans="1:8" ht="19.8" customHeight="1" x14ac:dyDescent="0.3">
      <c r="A131" s="75">
        <v>45984</v>
      </c>
      <c r="B131" s="61" t="s">
        <v>26</v>
      </c>
      <c r="C131" s="62" t="s">
        <v>606</v>
      </c>
      <c r="D131" s="61" t="s">
        <v>594</v>
      </c>
      <c r="E131" s="76">
        <v>1.305555555555556</v>
      </c>
      <c r="F131" s="61" t="s">
        <v>34</v>
      </c>
      <c r="G131" s="63">
        <v>4</v>
      </c>
      <c r="H131" s="64">
        <v>729</v>
      </c>
    </row>
    <row r="132" spans="1:8" ht="19.8" customHeight="1" x14ac:dyDescent="0.3">
      <c r="A132" s="75">
        <v>45984</v>
      </c>
      <c r="B132" s="61" t="s">
        <v>26</v>
      </c>
      <c r="C132" s="62" t="s">
        <v>610</v>
      </c>
      <c r="D132" s="61" t="s">
        <v>594</v>
      </c>
      <c r="E132" s="76">
        <v>1.427083333333333</v>
      </c>
      <c r="F132" s="61" t="s">
        <v>34</v>
      </c>
      <c r="G132" s="63">
        <v>5</v>
      </c>
      <c r="H132" s="64">
        <v>729</v>
      </c>
    </row>
    <row r="133" spans="1:8" ht="19.8" customHeight="1" x14ac:dyDescent="0.3">
      <c r="A133" s="75">
        <v>45984</v>
      </c>
      <c r="B133" s="61" t="s">
        <v>56</v>
      </c>
      <c r="C133" s="62" t="s">
        <v>640</v>
      </c>
      <c r="D133" s="61" t="s">
        <v>594</v>
      </c>
      <c r="E133" s="76">
        <v>1.6840277777777779</v>
      </c>
      <c r="F133" s="61" t="s">
        <v>62</v>
      </c>
      <c r="G133" s="63">
        <v>9</v>
      </c>
      <c r="H133" s="64">
        <v>774</v>
      </c>
    </row>
    <row r="134" spans="1:8" ht="19.8" customHeight="1" x14ac:dyDescent="0.3">
      <c r="A134" s="75">
        <v>45984</v>
      </c>
      <c r="B134" s="61" t="s">
        <v>56</v>
      </c>
      <c r="C134" s="62" t="s">
        <v>631</v>
      </c>
      <c r="D134" s="61" t="s">
        <v>594</v>
      </c>
      <c r="E134" s="76">
        <v>1.836805555555556</v>
      </c>
      <c r="F134" s="61" t="s">
        <v>62</v>
      </c>
      <c r="G134" s="63">
        <v>9</v>
      </c>
      <c r="H134" s="64">
        <v>774</v>
      </c>
    </row>
    <row r="135" spans="1:8" ht="19.8" customHeight="1" x14ac:dyDescent="0.3">
      <c r="A135" s="75">
        <v>45984</v>
      </c>
      <c r="B135" s="61" t="s">
        <v>56</v>
      </c>
      <c r="C135" s="62" t="s">
        <v>640</v>
      </c>
      <c r="D135" s="61" t="s">
        <v>594</v>
      </c>
      <c r="E135" s="76">
        <v>1.6840277777777779</v>
      </c>
      <c r="F135" s="61" t="s">
        <v>58</v>
      </c>
      <c r="G135" s="63">
        <v>9</v>
      </c>
      <c r="H135" s="64">
        <v>824</v>
      </c>
    </row>
    <row r="136" spans="1:8" ht="19.8" customHeight="1" x14ac:dyDescent="0.3">
      <c r="A136" s="75">
        <v>45984</v>
      </c>
      <c r="B136" s="61" t="s">
        <v>56</v>
      </c>
      <c r="C136" s="62" t="s">
        <v>631</v>
      </c>
      <c r="D136" s="61" t="s">
        <v>594</v>
      </c>
      <c r="E136" s="76">
        <v>1.836805555555556</v>
      </c>
      <c r="F136" s="61" t="s">
        <v>58</v>
      </c>
      <c r="G136" s="63">
        <v>9</v>
      </c>
      <c r="H136" s="64">
        <v>824</v>
      </c>
    </row>
    <row r="137" spans="1:8" ht="19.8" customHeight="1" x14ac:dyDescent="0.3">
      <c r="A137" s="75">
        <v>45984</v>
      </c>
      <c r="B137" s="61" t="s">
        <v>36</v>
      </c>
      <c r="C137" s="62" t="s">
        <v>601</v>
      </c>
      <c r="D137" s="61" t="s">
        <v>594</v>
      </c>
      <c r="E137" s="76">
        <v>1.447916666666667</v>
      </c>
      <c r="F137" s="61" t="s">
        <v>44</v>
      </c>
      <c r="G137" s="63">
        <v>5</v>
      </c>
      <c r="H137" s="64">
        <v>899</v>
      </c>
    </row>
    <row r="138" spans="1:8" ht="19.8" customHeight="1" x14ac:dyDescent="0.3">
      <c r="A138" s="75">
        <v>45984</v>
      </c>
      <c r="B138" s="61" t="s">
        <v>36</v>
      </c>
      <c r="C138" s="62" t="s">
        <v>603</v>
      </c>
      <c r="D138" s="61" t="s">
        <v>594</v>
      </c>
      <c r="E138" s="76">
        <v>1.5</v>
      </c>
      <c r="F138" s="61" t="s">
        <v>44</v>
      </c>
      <c r="G138" s="63">
        <v>7</v>
      </c>
      <c r="H138" s="64">
        <v>899</v>
      </c>
    </row>
    <row r="139" spans="1:8" ht="19.8" customHeight="1" x14ac:dyDescent="0.3">
      <c r="A139" s="75">
        <v>45984</v>
      </c>
      <c r="B139" s="61" t="s">
        <v>36</v>
      </c>
      <c r="C139" s="62" t="s">
        <v>595</v>
      </c>
      <c r="D139" s="61" t="s">
        <v>594</v>
      </c>
      <c r="E139" s="76">
        <v>1.760416666666667</v>
      </c>
      <c r="F139" s="61" t="s">
        <v>44</v>
      </c>
      <c r="G139" s="63">
        <v>3</v>
      </c>
      <c r="H139" s="64">
        <v>899</v>
      </c>
    </row>
    <row r="140" spans="1:8" ht="19.8" customHeight="1" x14ac:dyDescent="0.3">
      <c r="A140" s="75">
        <v>45984</v>
      </c>
      <c r="B140" s="61" t="s">
        <v>36</v>
      </c>
      <c r="C140" s="62" t="s">
        <v>597</v>
      </c>
      <c r="D140" s="61" t="s">
        <v>594</v>
      </c>
      <c r="E140" s="76">
        <v>1.8159722222222221</v>
      </c>
      <c r="F140" s="61" t="s">
        <v>44</v>
      </c>
      <c r="G140" s="63">
        <v>7</v>
      </c>
      <c r="H140" s="64">
        <v>899</v>
      </c>
    </row>
    <row r="141" spans="1:8" ht="19.8" customHeight="1" x14ac:dyDescent="0.3">
      <c r="A141" s="75">
        <v>45984</v>
      </c>
      <c r="B141" s="61" t="s">
        <v>46</v>
      </c>
      <c r="C141" s="62" t="s">
        <v>650</v>
      </c>
      <c r="D141" s="61" t="s">
        <v>594</v>
      </c>
      <c r="E141" s="76">
        <v>1.166666666666667</v>
      </c>
      <c r="F141" s="61" t="s">
        <v>48</v>
      </c>
      <c r="G141" s="63">
        <v>9</v>
      </c>
      <c r="H141" s="64">
        <v>987</v>
      </c>
    </row>
    <row r="142" spans="1:8" ht="19.8" customHeight="1" x14ac:dyDescent="0.3">
      <c r="A142" s="75">
        <v>45984</v>
      </c>
      <c r="B142" s="61" t="s">
        <v>46</v>
      </c>
      <c r="C142" s="62" t="s">
        <v>625</v>
      </c>
      <c r="D142" s="61" t="s">
        <v>594</v>
      </c>
      <c r="E142" s="76">
        <v>1.9201388888888891</v>
      </c>
      <c r="F142" s="61" t="s">
        <v>48</v>
      </c>
      <c r="G142" s="63">
        <v>9</v>
      </c>
      <c r="H142" s="65" t="s">
        <v>673</v>
      </c>
    </row>
    <row r="143" spans="1:8" ht="19.8" customHeight="1" x14ac:dyDescent="0.3">
      <c r="A143" s="75">
        <v>45984</v>
      </c>
      <c r="B143" s="61" t="s">
        <v>56</v>
      </c>
      <c r="C143" s="62" t="s">
        <v>636</v>
      </c>
      <c r="D143" s="61" t="s">
        <v>594</v>
      </c>
      <c r="E143" s="76">
        <v>1.8159722222222221</v>
      </c>
      <c r="F143" s="61" t="s">
        <v>58</v>
      </c>
      <c r="G143" s="63">
        <v>4</v>
      </c>
      <c r="H143" s="65" t="s">
        <v>667</v>
      </c>
    </row>
    <row r="144" spans="1:8" ht="19.8" customHeight="1" x14ac:dyDescent="0.3">
      <c r="A144" s="75">
        <v>45984</v>
      </c>
      <c r="B144" s="61" t="s">
        <v>56</v>
      </c>
      <c r="C144" s="62" t="s">
        <v>637</v>
      </c>
      <c r="D144" s="61" t="s">
        <v>594</v>
      </c>
      <c r="E144" s="76">
        <v>1.2986111111111109</v>
      </c>
      <c r="F144" s="61" t="s">
        <v>62</v>
      </c>
      <c r="G144" s="63">
        <v>9</v>
      </c>
      <c r="H144" s="65" t="s">
        <v>668</v>
      </c>
    </row>
    <row r="145" spans="1:8" ht="19.8" customHeight="1" x14ac:dyDescent="0.3">
      <c r="A145" s="75">
        <v>45984</v>
      </c>
      <c r="B145" s="61" t="s">
        <v>56</v>
      </c>
      <c r="C145" s="62" t="s">
        <v>670</v>
      </c>
      <c r="D145" s="61" t="s">
        <v>594</v>
      </c>
      <c r="E145" s="76">
        <v>1.552083333333333</v>
      </c>
      <c r="F145" s="61" t="s">
        <v>62</v>
      </c>
      <c r="G145" s="63">
        <v>9</v>
      </c>
      <c r="H145" s="65" t="s">
        <v>668</v>
      </c>
    </row>
    <row r="146" spans="1:8" ht="19.8" customHeight="1" x14ac:dyDescent="0.3">
      <c r="A146" s="75">
        <v>45984</v>
      </c>
      <c r="B146" s="61" t="s">
        <v>56</v>
      </c>
      <c r="C146" s="62" t="s">
        <v>641</v>
      </c>
      <c r="D146" s="61" t="s">
        <v>594</v>
      </c>
      <c r="E146" s="76">
        <v>1.4826388888888891</v>
      </c>
      <c r="F146" s="61" t="s">
        <v>62</v>
      </c>
      <c r="G146" s="63">
        <v>9</v>
      </c>
      <c r="H146" s="65" t="s">
        <v>668</v>
      </c>
    </row>
    <row r="147" spans="1:8" ht="19.8" customHeight="1" x14ac:dyDescent="0.3">
      <c r="A147" s="75">
        <v>45984</v>
      </c>
      <c r="B147" s="61" t="s">
        <v>56</v>
      </c>
      <c r="C147" s="62" t="s">
        <v>634</v>
      </c>
      <c r="D147" s="61" t="s">
        <v>594</v>
      </c>
      <c r="E147" s="76">
        <v>1.760416666666667</v>
      </c>
      <c r="F147" s="61" t="s">
        <v>58</v>
      </c>
      <c r="G147" s="63">
        <v>4</v>
      </c>
      <c r="H147" s="65" t="s">
        <v>671</v>
      </c>
    </row>
    <row r="148" spans="1:8" ht="19.8" customHeight="1" x14ac:dyDescent="0.3">
      <c r="A148" s="75">
        <v>45984</v>
      </c>
      <c r="B148" s="61" t="s">
        <v>56</v>
      </c>
      <c r="C148" s="62" t="s">
        <v>652</v>
      </c>
      <c r="D148" s="61" t="s">
        <v>594</v>
      </c>
      <c r="E148" s="76">
        <v>1.5</v>
      </c>
      <c r="F148" s="61" t="s">
        <v>58</v>
      </c>
      <c r="G148" s="63">
        <v>4</v>
      </c>
      <c r="H148" s="65" t="s">
        <v>671</v>
      </c>
    </row>
    <row r="149" spans="1:8" ht="19.8" customHeight="1" x14ac:dyDescent="0.3">
      <c r="A149" s="75">
        <v>45984</v>
      </c>
      <c r="B149" s="61" t="s">
        <v>56</v>
      </c>
      <c r="C149" s="62" t="s">
        <v>637</v>
      </c>
      <c r="D149" s="61" t="s">
        <v>594</v>
      </c>
      <c r="E149" s="76">
        <v>1.2986111111111109</v>
      </c>
      <c r="F149" s="61" t="s">
        <v>58</v>
      </c>
      <c r="G149" s="63">
        <v>9</v>
      </c>
      <c r="H149" s="65" t="s">
        <v>669</v>
      </c>
    </row>
    <row r="150" spans="1:8" ht="19.8" customHeight="1" x14ac:dyDescent="0.3">
      <c r="A150" s="75">
        <v>45984</v>
      </c>
      <c r="B150" s="61" t="s">
        <v>56</v>
      </c>
      <c r="C150" s="62" t="s">
        <v>670</v>
      </c>
      <c r="D150" s="61" t="s">
        <v>594</v>
      </c>
      <c r="E150" s="76">
        <v>1.552083333333333</v>
      </c>
      <c r="F150" s="61" t="s">
        <v>58</v>
      </c>
      <c r="G150" s="63">
        <v>9</v>
      </c>
      <c r="H150" s="65" t="s">
        <v>669</v>
      </c>
    </row>
    <row r="151" spans="1:8" ht="19.8" customHeight="1" x14ac:dyDescent="0.3">
      <c r="A151" s="104">
        <v>45984</v>
      </c>
      <c r="B151" s="67" t="s">
        <v>56</v>
      </c>
      <c r="C151" s="68" t="s">
        <v>641</v>
      </c>
      <c r="D151" s="67" t="s">
        <v>594</v>
      </c>
      <c r="E151" s="105">
        <v>1.4826388888888891</v>
      </c>
      <c r="F151" s="67" t="s">
        <v>58</v>
      </c>
      <c r="G151" s="69">
        <v>9</v>
      </c>
      <c r="H151" s="70" t="s">
        <v>669</v>
      </c>
    </row>
  </sheetData>
  <pageMargins left="0.75" right="0.75" top="1" bottom="1" header="0.5" footer="0.5"/>
  <legacyDrawing r:id="rId1"/>
  <tableParts count="1">
    <tablePart r:id="rId2"/>
  </tableParts>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H15"/>
  <sheetViews>
    <sheetView workbookViewId="0"/>
  </sheetViews>
  <sheetFormatPr defaultRowHeight="14.4" x14ac:dyDescent="0.3"/>
  <cols>
    <col min="1" max="1" width="11.88671875" bestFit="1" customWidth="1"/>
    <col min="2" max="2" width="15.5546875" bestFit="1" customWidth="1"/>
    <col min="3" max="3" width="19.21875" bestFit="1" customWidth="1"/>
    <col min="4" max="4" width="12.77734375" bestFit="1" customWidth="1"/>
    <col min="5" max="5" width="18.33203125" bestFit="1" customWidth="1"/>
    <col min="6" max="6" width="30" bestFit="1" customWidth="1"/>
    <col min="7" max="7" width="20" bestFit="1" customWidth="1"/>
    <col min="8" max="8" width="23.6640625" bestFit="1" customWidth="1"/>
    <col min="9" max="9" width="0" hidden="1" customWidth="1"/>
  </cols>
  <sheetData>
    <row r="1" spans="1:8" ht="18" x14ac:dyDescent="0.3">
      <c r="A1" s="57" t="s">
        <v>156</v>
      </c>
      <c r="B1" s="58" t="s">
        <v>8</v>
      </c>
      <c r="C1" s="58" t="s">
        <v>9</v>
      </c>
      <c r="D1" s="58" t="s">
        <v>157</v>
      </c>
      <c r="E1" s="58" t="s">
        <v>10</v>
      </c>
      <c r="F1" s="58" t="s">
        <v>11</v>
      </c>
      <c r="G1" s="58" t="s">
        <v>12</v>
      </c>
      <c r="H1" s="59" t="s">
        <v>13</v>
      </c>
    </row>
    <row r="2" spans="1:8" ht="19.8" customHeight="1" x14ac:dyDescent="0.3">
      <c r="A2" s="60" t="s">
        <v>158</v>
      </c>
      <c r="B2" s="61" t="s">
        <v>323</v>
      </c>
      <c r="C2" s="62" t="s">
        <v>615</v>
      </c>
      <c r="D2" s="61" t="s">
        <v>594</v>
      </c>
      <c r="E2" s="61" t="s">
        <v>698</v>
      </c>
      <c r="F2" s="61" t="s">
        <v>245</v>
      </c>
      <c r="G2" s="63">
        <v>5</v>
      </c>
      <c r="H2" s="64">
        <v>935</v>
      </c>
    </row>
    <row r="3" spans="1:8" ht="19.8" customHeight="1" x14ac:dyDescent="0.3">
      <c r="A3" s="100" t="s">
        <v>158</v>
      </c>
      <c r="B3" s="101" t="s">
        <v>93</v>
      </c>
      <c r="C3" s="102" t="s">
        <v>617</v>
      </c>
      <c r="D3" s="101" t="s">
        <v>594</v>
      </c>
      <c r="E3" s="101" t="s">
        <v>167</v>
      </c>
      <c r="F3" s="101" t="s">
        <v>249</v>
      </c>
      <c r="G3" s="166">
        <v>9</v>
      </c>
      <c r="H3" s="167">
        <v>976</v>
      </c>
    </row>
    <row r="4" spans="1:8" ht="19.8" customHeight="1" x14ac:dyDescent="0.3">
      <c r="A4" s="168">
        <v>45982</v>
      </c>
      <c r="B4" s="101" t="s">
        <v>93</v>
      </c>
      <c r="C4" s="102" t="s">
        <v>622</v>
      </c>
      <c r="D4" s="101" t="s">
        <v>594</v>
      </c>
      <c r="E4" s="169">
        <v>1.9236111111111109</v>
      </c>
      <c r="F4" s="101" t="s">
        <v>249</v>
      </c>
      <c r="G4" s="166">
        <v>9</v>
      </c>
      <c r="H4" s="167">
        <v>976</v>
      </c>
    </row>
    <row r="5" spans="1:8" ht="19.8" customHeight="1" x14ac:dyDescent="0.3">
      <c r="A5" s="104">
        <v>45982</v>
      </c>
      <c r="B5" s="67" t="s">
        <v>46</v>
      </c>
      <c r="C5" s="68" t="s">
        <v>625</v>
      </c>
      <c r="D5" s="67" t="s">
        <v>594</v>
      </c>
      <c r="E5" s="105">
        <v>1.916666666666667</v>
      </c>
      <c r="F5" s="67" t="s">
        <v>48</v>
      </c>
      <c r="G5" s="69">
        <v>9</v>
      </c>
      <c r="H5" s="70" t="s">
        <v>626</v>
      </c>
    </row>
    <row r="6" spans="1:8" ht="19.8" customHeight="1" x14ac:dyDescent="0.3">
      <c r="A6" s="75">
        <v>45983</v>
      </c>
      <c r="B6" s="61" t="s">
        <v>26</v>
      </c>
      <c r="C6" s="62" t="s">
        <v>609</v>
      </c>
      <c r="D6" s="61" t="s">
        <v>594</v>
      </c>
      <c r="E6" s="76">
        <v>1.5</v>
      </c>
      <c r="F6" s="61" t="s">
        <v>31</v>
      </c>
      <c r="G6" s="63">
        <v>1</v>
      </c>
      <c r="H6" s="64">
        <v>639</v>
      </c>
    </row>
    <row r="7" spans="1:8" ht="19.8" customHeight="1" x14ac:dyDescent="0.3">
      <c r="A7" s="75">
        <v>45983</v>
      </c>
      <c r="B7" s="61" t="s">
        <v>26</v>
      </c>
      <c r="C7" s="62" t="s">
        <v>606</v>
      </c>
      <c r="D7" s="61" t="s">
        <v>594</v>
      </c>
      <c r="E7" s="76">
        <v>1.305555555555556</v>
      </c>
      <c r="F7" s="61" t="s">
        <v>31</v>
      </c>
      <c r="G7" s="63">
        <v>4</v>
      </c>
      <c r="H7" s="64">
        <v>689</v>
      </c>
    </row>
    <row r="8" spans="1:8" ht="19.8" customHeight="1" x14ac:dyDescent="0.3">
      <c r="A8" s="75">
        <v>45983</v>
      </c>
      <c r="B8" s="61" t="s">
        <v>26</v>
      </c>
      <c r="C8" s="62" t="s">
        <v>608</v>
      </c>
      <c r="D8" s="61" t="s">
        <v>594</v>
      </c>
      <c r="E8" s="76">
        <v>1.8263888888888891</v>
      </c>
      <c r="F8" s="61" t="s">
        <v>31</v>
      </c>
      <c r="G8" s="63">
        <v>5</v>
      </c>
      <c r="H8" s="64">
        <v>689</v>
      </c>
    </row>
    <row r="9" spans="1:8" ht="19.8" customHeight="1" x14ac:dyDescent="0.3">
      <c r="A9" s="75">
        <v>45983</v>
      </c>
      <c r="B9" s="61" t="s">
        <v>26</v>
      </c>
      <c r="C9" s="62" t="s">
        <v>610</v>
      </c>
      <c r="D9" s="61" t="s">
        <v>594</v>
      </c>
      <c r="E9" s="76">
        <v>1.427083333333333</v>
      </c>
      <c r="F9" s="61" t="s">
        <v>31</v>
      </c>
      <c r="G9" s="63">
        <v>6</v>
      </c>
      <c r="H9" s="64">
        <v>689</v>
      </c>
    </row>
    <row r="10" spans="1:8" ht="19.8" customHeight="1" x14ac:dyDescent="0.3">
      <c r="A10" s="75">
        <v>45983</v>
      </c>
      <c r="B10" s="61" t="s">
        <v>26</v>
      </c>
      <c r="C10" s="62" t="s">
        <v>611</v>
      </c>
      <c r="D10" s="61" t="s">
        <v>594</v>
      </c>
      <c r="E10" s="76">
        <v>1.6875</v>
      </c>
      <c r="F10" s="61" t="s">
        <v>31</v>
      </c>
      <c r="G10" s="63">
        <v>1</v>
      </c>
      <c r="H10" s="64">
        <v>689</v>
      </c>
    </row>
    <row r="11" spans="1:8" ht="19.8" customHeight="1" x14ac:dyDescent="0.3">
      <c r="A11" s="75">
        <v>45983</v>
      </c>
      <c r="B11" s="61" t="s">
        <v>26</v>
      </c>
      <c r="C11" s="62" t="s">
        <v>614</v>
      </c>
      <c r="D11" s="61" t="s">
        <v>594</v>
      </c>
      <c r="E11" s="76">
        <v>1.5659722222222221</v>
      </c>
      <c r="F11" s="61" t="s">
        <v>31</v>
      </c>
      <c r="G11" s="63">
        <v>8</v>
      </c>
      <c r="H11" s="64">
        <v>689</v>
      </c>
    </row>
    <row r="12" spans="1:8" ht="19.8" customHeight="1" x14ac:dyDescent="0.3">
      <c r="A12" s="77">
        <v>45983</v>
      </c>
      <c r="B12" s="72" t="s">
        <v>93</v>
      </c>
      <c r="C12" s="73" t="s">
        <v>617</v>
      </c>
      <c r="D12" s="72" t="s">
        <v>594</v>
      </c>
      <c r="E12" s="78">
        <v>1.6111111111111109</v>
      </c>
      <c r="F12" s="72" t="s">
        <v>249</v>
      </c>
      <c r="G12" s="205">
        <v>9</v>
      </c>
      <c r="H12" s="206">
        <v>728</v>
      </c>
    </row>
    <row r="13" spans="1:8" ht="19.8" customHeight="1" x14ac:dyDescent="0.3">
      <c r="A13" s="75">
        <v>45984</v>
      </c>
      <c r="B13" s="61" t="s">
        <v>26</v>
      </c>
      <c r="C13" s="62" t="s">
        <v>606</v>
      </c>
      <c r="D13" s="61" t="s">
        <v>594</v>
      </c>
      <c r="E13" s="76">
        <v>1.305555555555556</v>
      </c>
      <c r="F13" s="61" t="s">
        <v>31</v>
      </c>
      <c r="G13" s="63">
        <v>4</v>
      </c>
      <c r="H13" s="64">
        <v>639</v>
      </c>
    </row>
    <row r="14" spans="1:8" ht="19.8" customHeight="1" x14ac:dyDescent="0.3">
      <c r="A14" s="75">
        <v>45984</v>
      </c>
      <c r="B14" s="61" t="s">
        <v>26</v>
      </c>
      <c r="C14" s="62" t="s">
        <v>610</v>
      </c>
      <c r="D14" s="61" t="s">
        <v>594</v>
      </c>
      <c r="E14" s="76">
        <v>1.427083333333333</v>
      </c>
      <c r="F14" s="61" t="s">
        <v>31</v>
      </c>
      <c r="G14" s="63">
        <v>5</v>
      </c>
      <c r="H14" s="64">
        <v>639</v>
      </c>
    </row>
    <row r="15" spans="1:8" ht="19.8" customHeight="1" x14ac:dyDescent="0.3">
      <c r="A15" s="77">
        <v>45984</v>
      </c>
      <c r="B15" s="72" t="s">
        <v>93</v>
      </c>
      <c r="C15" s="73" t="s">
        <v>617</v>
      </c>
      <c r="D15" s="72" t="s">
        <v>594</v>
      </c>
      <c r="E15" s="78">
        <v>1.625</v>
      </c>
      <c r="F15" s="72" t="s">
        <v>249</v>
      </c>
      <c r="G15" s="205">
        <v>5</v>
      </c>
      <c r="H15" s="206">
        <v>728</v>
      </c>
    </row>
  </sheetData>
  <pageMargins left="0.75" right="0.75" top="1" bottom="1" header="0.5" footer="0.5"/>
  <legacyDrawing r:id="rId1"/>
  <tableParts count="1">
    <tablePart r:id="rId2"/>
  </tablePart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CN18"/>
  <sheetViews>
    <sheetView workbookViewId="0"/>
  </sheetViews>
  <sheetFormatPr defaultRowHeight="14.4" x14ac:dyDescent="0.3"/>
  <cols>
    <col min="1" max="1" width="15.77734375" bestFit="1" customWidth="1"/>
    <col min="2" max="2" width="15.6640625" bestFit="1" customWidth="1"/>
    <col min="3" max="3" width="14.77734375" bestFit="1" customWidth="1"/>
    <col min="4" max="4" width="31.21875" bestFit="1" customWidth="1"/>
    <col min="5" max="5" width="20.109375" bestFit="1" customWidth="1"/>
    <col min="6" max="6" width="23.44140625" bestFit="1" customWidth="1"/>
    <col min="7" max="7" width="46.109375" bestFit="1" customWidth="1"/>
    <col min="8" max="8" width="9.44140625" bestFit="1" customWidth="1"/>
    <col min="9" max="9" width="8" bestFit="1" customWidth="1"/>
    <col min="10" max="10" width="7.5546875" bestFit="1" customWidth="1"/>
    <col min="11" max="11" width="23.4414062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29.6640625" bestFit="1" customWidth="1"/>
  </cols>
  <sheetData>
    <row r="1" spans="1:92" ht="28.8" customHeight="1" x14ac:dyDescent="0.3">
      <c r="A1" s="260" t="s">
        <v>0</v>
      </c>
      <c r="B1" s="253"/>
      <c r="C1" s="253"/>
      <c r="D1" s="253"/>
      <c r="E1" s="253"/>
      <c r="F1" s="1" t="s">
        <v>699</v>
      </c>
      <c r="G1" s="2" t="s">
        <v>2</v>
      </c>
      <c r="H1" s="259">
        <v>45982</v>
      </c>
      <c r="I1" s="253"/>
      <c r="J1" s="253"/>
      <c r="K1" s="253"/>
      <c r="L1" s="253"/>
      <c r="M1" s="1" t="s">
        <v>3</v>
      </c>
      <c r="N1" s="266">
        <v>45984</v>
      </c>
      <c r="O1" s="253"/>
      <c r="P1" s="253"/>
      <c r="Q1" s="253"/>
      <c r="R1" s="253"/>
      <c r="CA1" s="3"/>
      <c r="CB1" s="3"/>
      <c r="CC1" s="3"/>
      <c r="CD1" s="3"/>
      <c r="CE1" s="3"/>
      <c r="CF1" s="3"/>
      <c r="CG1" s="3"/>
      <c r="CH1" s="3"/>
      <c r="CI1" s="3"/>
      <c r="CJ1" s="3"/>
      <c r="CK1" s="3"/>
      <c r="CL1" s="3"/>
      <c r="CM1" s="3"/>
      <c r="CN1" s="3"/>
    </row>
    <row r="2" spans="1:92" ht="23.4" customHeight="1" x14ac:dyDescent="0.3">
      <c r="A2" s="252" t="s">
        <v>4</v>
      </c>
      <c r="B2" s="253"/>
      <c r="C2" s="253"/>
      <c r="D2" s="253"/>
      <c r="E2" s="253"/>
      <c r="F2" s="253"/>
      <c r="G2" s="261">
        <v>45981.017828030243</v>
      </c>
      <c r="H2" s="253"/>
      <c r="I2" s="253"/>
      <c r="J2" s="253"/>
      <c r="K2" s="262">
        <v>45981.017828030912</v>
      </c>
      <c r="L2" s="253"/>
      <c r="M2" s="253"/>
      <c r="N2" s="253"/>
      <c r="O2" s="253"/>
      <c r="P2" s="253"/>
      <c r="Q2" s="253"/>
      <c r="R2" s="253"/>
      <c r="CA2" s="3"/>
      <c r="CB2" s="3"/>
      <c r="CC2" s="3"/>
      <c r="CD2" s="3"/>
      <c r="CE2" s="3"/>
      <c r="CF2" s="3"/>
      <c r="CG2" s="3"/>
      <c r="CH2" s="3"/>
      <c r="CI2" s="3"/>
      <c r="CJ2" s="3"/>
      <c r="CK2" s="3"/>
      <c r="CL2" s="3"/>
      <c r="CM2" s="3"/>
      <c r="CN2" s="3"/>
    </row>
    <row r="3" spans="1:92" ht="24" customHeight="1" x14ac:dyDescent="0.3">
      <c r="A3" s="254" t="s">
        <v>5</v>
      </c>
      <c r="B3" s="253"/>
      <c r="C3" s="253"/>
      <c r="D3" s="253"/>
      <c r="E3" s="253"/>
      <c r="F3" s="253"/>
      <c r="G3" s="253"/>
      <c r="H3" s="253"/>
      <c r="I3" s="253"/>
      <c r="J3" s="253"/>
      <c r="K3" s="253"/>
      <c r="L3" s="253"/>
      <c r="M3" s="253"/>
      <c r="N3" s="253"/>
      <c r="O3" s="253"/>
      <c r="P3" s="253"/>
      <c r="Q3" s="253"/>
      <c r="R3" s="253"/>
      <c r="CA3" s="3"/>
      <c r="CB3" s="3"/>
      <c r="CC3" s="3"/>
      <c r="CD3" s="3"/>
      <c r="CE3" s="3"/>
      <c r="CF3" s="3"/>
      <c r="CG3" s="3"/>
      <c r="CH3" s="3"/>
      <c r="CI3" s="3"/>
      <c r="CJ3" s="3"/>
      <c r="CK3" s="3"/>
      <c r="CL3" s="3"/>
      <c r="CM3" s="3"/>
      <c r="CN3" s="3"/>
    </row>
    <row r="4" spans="1:92" ht="22.05" customHeight="1" x14ac:dyDescent="0.3">
      <c r="A4" s="263" t="s">
        <v>6</v>
      </c>
      <c r="B4" s="250"/>
      <c r="C4" s="250"/>
      <c r="D4" s="250"/>
      <c r="E4" s="250"/>
      <c r="F4" s="251"/>
      <c r="G4" s="4">
        <v>45984</v>
      </c>
      <c r="H4" s="264" t="s">
        <v>7</v>
      </c>
      <c r="I4" s="250"/>
      <c r="J4" s="250"/>
      <c r="K4" s="250"/>
      <c r="L4" s="250"/>
      <c r="M4" s="250"/>
      <c r="N4" s="250"/>
      <c r="O4" s="250"/>
      <c r="P4" s="250"/>
      <c r="Q4" s="250"/>
      <c r="R4" s="251"/>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187" t="s">
        <v>93</v>
      </c>
      <c r="B6" s="187" t="s">
        <v>700</v>
      </c>
      <c r="C6" s="188">
        <v>0.61111111111111105</v>
      </c>
      <c r="D6" s="187" t="s">
        <v>249</v>
      </c>
      <c r="E6" s="187" t="s">
        <v>49</v>
      </c>
      <c r="F6" s="187" t="s">
        <v>701</v>
      </c>
      <c r="G6" s="255"/>
      <c r="H6" s="139" t="s">
        <v>702</v>
      </c>
      <c r="I6" s="140">
        <v>0.52380000000000004</v>
      </c>
      <c r="J6" s="141">
        <v>88</v>
      </c>
      <c r="K6" s="142" t="s">
        <v>180</v>
      </c>
      <c r="L6" s="141">
        <v>47</v>
      </c>
      <c r="M6" s="141">
        <v>0</v>
      </c>
      <c r="N6" s="141">
        <v>10</v>
      </c>
      <c r="O6" s="143" t="s">
        <v>153</v>
      </c>
      <c r="P6" s="144">
        <v>0.61111111111111105</v>
      </c>
      <c r="Q6" s="141">
        <v>168</v>
      </c>
      <c r="R6" s="145" t="s">
        <v>703</v>
      </c>
    </row>
    <row r="7" spans="1:92" ht="15" customHeight="1" x14ac:dyDescent="0.3">
      <c r="A7" s="17" t="s">
        <v>46</v>
      </c>
      <c r="B7" s="17" t="s">
        <v>704</v>
      </c>
      <c r="C7" s="18">
        <v>0.61111111111111105</v>
      </c>
      <c r="D7" s="17" t="s">
        <v>559</v>
      </c>
      <c r="E7" s="17" t="s">
        <v>59</v>
      </c>
      <c r="F7" s="17" t="s">
        <v>705</v>
      </c>
      <c r="G7" s="256"/>
      <c r="H7" s="10"/>
      <c r="I7" s="11"/>
      <c r="J7" s="11"/>
      <c r="K7" s="11"/>
      <c r="L7" s="11"/>
      <c r="M7" s="11"/>
      <c r="N7" s="11"/>
      <c r="O7" s="12"/>
      <c r="P7" s="11"/>
      <c r="Q7" s="13"/>
      <c r="R7" s="14"/>
    </row>
    <row r="8" spans="1:92" ht="18" x14ac:dyDescent="0.3">
      <c r="A8" s="267" t="s">
        <v>706</v>
      </c>
      <c r="B8" s="268"/>
      <c r="C8" s="268"/>
      <c r="D8" s="268"/>
      <c r="E8" s="268"/>
      <c r="F8" s="269"/>
      <c r="G8" s="256"/>
      <c r="H8" s="79"/>
      <c r="I8" s="79"/>
      <c r="J8" s="79"/>
      <c r="K8" s="79"/>
      <c r="L8" s="79"/>
      <c r="M8" s="79"/>
      <c r="N8" s="79"/>
      <c r="O8" s="80"/>
      <c r="P8" s="79"/>
      <c r="Q8" s="56"/>
      <c r="R8" s="56"/>
    </row>
    <row r="9" spans="1:92" ht="15" customHeight="1" x14ac:dyDescent="0.3">
      <c r="A9" s="19" t="s">
        <v>36</v>
      </c>
      <c r="B9" s="19" t="s">
        <v>601</v>
      </c>
      <c r="C9" s="20" t="s">
        <v>691</v>
      </c>
      <c r="D9" s="19" t="s">
        <v>38</v>
      </c>
      <c r="E9" s="19" t="s">
        <v>478</v>
      </c>
      <c r="F9" s="19" t="s">
        <v>654</v>
      </c>
      <c r="G9" s="256"/>
      <c r="H9" s="79"/>
      <c r="I9" s="79"/>
      <c r="J9" s="79"/>
      <c r="K9" s="79"/>
      <c r="L9" s="79"/>
      <c r="M9" s="79"/>
      <c r="N9" s="79"/>
      <c r="O9" s="80"/>
      <c r="P9" s="79"/>
      <c r="Q9" s="56"/>
      <c r="R9" s="56"/>
    </row>
    <row r="10" spans="1:92" ht="15" customHeight="1" x14ac:dyDescent="0.3">
      <c r="A10" s="19" t="s">
        <v>36</v>
      </c>
      <c r="B10" s="19" t="s">
        <v>595</v>
      </c>
      <c r="C10" s="20" t="s">
        <v>689</v>
      </c>
      <c r="D10" s="19" t="s">
        <v>38</v>
      </c>
      <c r="E10" s="19" t="s">
        <v>194</v>
      </c>
      <c r="F10" s="19" t="s">
        <v>654</v>
      </c>
      <c r="G10" s="256"/>
      <c r="H10" s="79"/>
      <c r="I10" s="79"/>
      <c r="J10" s="79"/>
      <c r="K10" s="79"/>
      <c r="L10" s="79"/>
      <c r="M10" s="79"/>
      <c r="N10" s="79"/>
      <c r="O10" s="80"/>
      <c r="P10" s="79"/>
      <c r="Q10" s="56"/>
      <c r="R10" s="56"/>
    </row>
    <row r="11" spans="1:92" ht="15" customHeight="1" x14ac:dyDescent="0.3">
      <c r="A11" s="19" t="s">
        <v>36</v>
      </c>
      <c r="B11" s="19" t="s">
        <v>597</v>
      </c>
      <c r="C11" s="20" t="s">
        <v>690</v>
      </c>
      <c r="D11" s="19" t="s">
        <v>38</v>
      </c>
      <c r="E11" s="19" t="s">
        <v>482</v>
      </c>
      <c r="F11" s="19" t="s">
        <v>654</v>
      </c>
      <c r="G11" s="256"/>
      <c r="H11" s="79"/>
      <c r="I11" s="79"/>
      <c r="J11" s="79"/>
      <c r="K11" s="79"/>
      <c r="L11" s="79"/>
      <c r="M11" s="79"/>
      <c r="N11" s="79"/>
      <c r="O11" s="80"/>
      <c r="P11" s="79"/>
      <c r="Q11" s="56"/>
      <c r="R11" s="56"/>
    </row>
    <row r="12" spans="1:92" ht="15" customHeight="1" x14ac:dyDescent="0.3">
      <c r="A12" s="19" t="s">
        <v>36</v>
      </c>
      <c r="B12" s="19" t="s">
        <v>603</v>
      </c>
      <c r="C12" s="20" t="s">
        <v>692</v>
      </c>
      <c r="D12" s="19" t="s">
        <v>38</v>
      </c>
      <c r="E12" s="19" t="s">
        <v>482</v>
      </c>
      <c r="F12" s="19" t="s">
        <v>656</v>
      </c>
      <c r="G12" s="256"/>
      <c r="H12" s="79"/>
      <c r="I12" s="79"/>
      <c r="J12" s="79"/>
      <c r="K12" s="79"/>
      <c r="L12" s="79"/>
      <c r="M12" s="79"/>
      <c r="N12" s="79"/>
      <c r="O12" s="80"/>
      <c r="P12" s="79"/>
      <c r="Q12" s="56"/>
      <c r="R12" s="56"/>
    </row>
    <row r="13" spans="1:92" ht="15" customHeight="1" x14ac:dyDescent="0.3">
      <c r="A13" s="19" t="s">
        <v>26</v>
      </c>
      <c r="B13" s="19" t="s">
        <v>608</v>
      </c>
      <c r="C13" s="20" t="s">
        <v>694</v>
      </c>
      <c r="D13" s="19" t="s">
        <v>28</v>
      </c>
      <c r="E13" s="19" t="s">
        <v>478</v>
      </c>
      <c r="F13" s="19" t="s">
        <v>658</v>
      </c>
      <c r="G13" s="256"/>
      <c r="H13" s="79"/>
      <c r="I13" s="79"/>
      <c r="J13" s="79"/>
      <c r="K13" s="79"/>
      <c r="L13" s="79"/>
      <c r="M13" s="79"/>
      <c r="N13" s="79"/>
      <c r="O13" s="80"/>
      <c r="P13" s="79"/>
      <c r="Q13" s="56"/>
      <c r="R13" s="56"/>
    </row>
    <row r="14" spans="1:92" ht="15" customHeight="1" x14ac:dyDescent="0.3">
      <c r="A14" s="19" t="s">
        <v>26</v>
      </c>
      <c r="B14" s="19" t="s">
        <v>609</v>
      </c>
      <c r="C14" s="20" t="s">
        <v>692</v>
      </c>
      <c r="D14" s="19" t="s">
        <v>28</v>
      </c>
      <c r="E14" s="19" t="s">
        <v>182</v>
      </c>
      <c r="F14" s="19" t="s">
        <v>658</v>
      </c>
      <c r="G14" s="256"/>
      <c r="H14" s="79"/>
      <c r="I14" s="79"/>
      <c r="J14" s="79"/>
      <c r="K14" s="79"/>
      <c r="L14" s="79"/>
      <c r="M14" s="79"/>
      <c r="N14" s="79"/>
      <c r="O14" s="80"/>
      <c r="P14" s="79"/>
      <c r="Q14" s="56"/>
      <c r="R14" s="56"/>
    </row>
    <row r="15" spans="1:92" ht="15" customHeight="1" x14ac:dyDescent="0.3">
      <c r="A15" s="19" t="s">
        <v>26</v>
      </c>
      <c r="B15" s="19" t="s">
        <v>611</v>
      </c>
      <c r="C15" s="20" t="s">
        <v>537</v>
      </c>
      <c r="D15" s="19" t="s">
        <v>28</v>
      </c>
      <c r="E15" s="19" t="s">
        <v>174</v>
      </c>
      <c r="F15" s="19" t="s">
        <v>658</v>
      </c>
      <c r="G15" s="256"/>
      <c r="H15" s="79"/>
      <c r="I15" s="79"/>
      <c r="J15" s="79"/>
      <c r="K15" s="79"/>
      <c r="L15" s="79"/>
      <c r="M15" s="79"/>
      <c r="N15" s="79"/>
      <c r="O15" s="80"/>
      <c r="P15" s="79"/>
      <c r="Q15" s="56"/>
      <c r="R15" s="56"/>
    </row>
    <row r="16" spans="1:92" ht="15" customHeight="1" x14ac:dyDescent="0.3">
      <c r="A16" s="19" t="s">
        <v>26</v>
      </c>
      <c r="B16" s="19" t="s">
        <v>614</v>
      </c>
      <c r="C16" s="20" t="s">
        <v>697</v>
      </c>
      <c r="D16" s="19" t="s">
        <v>28</v>
      </c>
      <c r="E16" s="19" t="s">
        <v>182</v>
      </c>
      <c r="F16" s="19" t="s">
        <v>658</v>
      </c>
      <c r="G16" s="256"/>
      <c r="H16" s="79"/>
      <c r="I16" s="79"/>
      <c r="J16" s="79"/>
      <c r="K16" s="79"/>
      <c r="L16" s="79"/>
      <c r="M16" s="79"/>
      <c r="N16" s="79"/>
      <c r="O16" s="80"/>
      <c r="P16" s="79"/>
      <c r="Q16" s="56"/>
      <c r="R16" s="56"/>
    </row>
    <row r="17" spans="1:18" ht="15" customHeight="1" x14ac:dyDescent="0.3">
      <c r="A17" s="19" t="s">
        <v>26</v>
      </c>
      <c r="B17" s="19" t="s">
        <v>613</v>
      </c>
      <c r="C17" s="20" t="s">
        <v>696</v>
      </c>
      <c r="D17" s="19" t="s">
        <v>28</v>
      </c>
      <c r="E17" s="19" t="s">
        <v>182</v>
      </c>
      <c r="F17" s="19" t="s">
        <v>659</v>
      </c>
      <c r="G17" s="256"/>
      <c r="H17" s="79"/>
      <c r="I17" s="79"/>
      <c r="J17" s="79"/>
      <c r="K17" s="79"/>
      <c r="L17" s="79"/>
      <c r="M17" s="79"/>
      <c r="N17" s="79"/>
      <c r="O17" s="80"/>
      <c r="P17" s="79"/>
      <c r="Q17" s="56"/>
      <c r="R17" s="56"/>
    </row>
    <row r="18" spans="1:18" ht="15" customHeight="1" x14ac:dyDescent="0.3">
      <c r="A18" s="81" t="s">
        <v>323</v>
      </c>
      <c r="B18" s="81" t="s">
        <v>661</v>
      </c>
      <c r="C18" s="82" t="s">
        <v>707</v>
      </c>
      <c r="D18" s="81" t="s">
        <v>249</v>
      </c>
      <c r="E18" s="81" t="s">
        <v>176</v>
      </c>
      <c r="F18" s="81" t="s">
        <v>662</v>
      </c>
      <c r="G18" s="257"/>
      <c r="H18" s="83"/>
      <c r="I18" s="83"/>
      <c r="J18" s="83"/>
      <c r="K18" s="83"/>
      <c r="L18" s="83"/>
      <c r="M18" s="83"/>
      <c r="N18" s="83"/>
      <c r="O18" s="84"/>
      <c r="P18" s="83"/>
      <c r="Q18" s="85"/>
      <c r="R18" s="85"/>
    </row>
  </sheetData>
  <mergeCells count="11">
    <mergeCell ref="A2:F2"/>
    <mergeCell ref="A3:R3"/>
    <mergeCell ref="A8:F8"/>
    <mergeCell ref="G6:G18"/>
    <mergeCell ref="H1:L1"/>
    <mergeCell ref="A1:E1"/>
    <mergeCell ref="G2:J2"/>
    <mergeCell ref="K2:R2"/>
    <mergeCell ref="A4:F4"/>
    <mergeCell ref="H4:R4"/>
    <mergeCell ref="N1:R1"/>
  </mergeCells>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J3"/>
  <sheetViews>
    <sheetView workbookViewId="0"/>
  </sheetViews>
  <sheetFormatPr defaultRowHeight="15.6" outlineLevelCol="1" x14ac:dyDescent="0.3"/>
  <cols>
    <col min="1" max="1" width="10.21875" style="271" bestFit="1" customWidth="1"/>
    <col min="2" max="2" width="11.109375" style="271" bestFit="1" customWidth="1"/>
    <col min="3" max="3" width="7.88671875" style="271" bestFit="1" customWidth="1"/>
    <col min="4" max="4" width="6.77734375" style="271" bestFit="1" customWidth="1"/>
    <col min="5" max="5" width="10" style="271" bestFit="1" customWidth="1"/>
    <col min="6" max="6" width="5.21875" style="271" bestFit="1" customWidth="1"/>
    <col min="7" max="7" width="10" style="271" bestFit="1" customWidth="1"/>
    <col min="8" max="8" width="7" style="271" bestFit="1" customWidth="1"/>
    <col min="9" max="10" width="8" style="271" bestFit="1" customWidth="1"/>
    <col min="11" max="11" width="12.21875" style="271" bestFit="1" customWidth="1"/>
    <col min="12" max="12" width="21.21875" style="271" bestFit="1" customWidth="1"/>
    <col min="13" max="13" width="8.77734375" style="271" bestFit="1" customWidth="1" outlineLevel="1"/>
    <col min="14" max="14" width="7.33203125" style="271" bestFit="1" customWidth="1" outlineLevel="1"/>
    <col min="15" max="15" width="9.109375" style="271" bestFit="1" customWidth="1" outlineLevel="1"/>
    <col min="16" max="16" width="15.33203125" style="271" bestFit="1" customWidth="1"/>
    <col min="17" max="26" width="3.88671875" style="271" bestFit="1" customWidth="1"/>
    <col min="27" max="27" width="4.77734375" style="271" bestFit="1" customWidth="1"/>
    <col min="28" max="29" width="3.88671875" style="271" bestFit="1" customWidth="1"/>
    <col min="30" max="30" width="4.21875" style="271" bestFit="1" customWidth="1"/>
    <col min="31" max="31" width="5.33203125" style="271" bestFit="1" customWidth="1"/>
    <col min="32" max="32" width="4.44140625" style="271" bestFit="1" customWidth="1"/>
    <col min="33" max="36" width="3.88671875" style="271" bestFit="1" customWidth="1"/>
    <col min="37" max="16384" width="8.88671875" style="271"/>
  </cols>
  <sheetData>
    <row r="1" spans="1:36" x14ac:dyDescent="0.3">
      <c r="A1" s="270" t="s">
        <v>104</v>
      </c>
      <c r="B1" s="270" t="s">
        <v>105</v>
      </c>
      <c r="C1" s="270" t="s">
        <v>106</v>
      </c>
      <c r="D1" s="270" t="s">
        <v>23</v>
      </c>
      <c r="E1" s="270" t="s">
        <v>107</v>
      </c>
      <c r="F1" s="270" t="s">
        <v>108</v>
      </c>
      <c r="G1" s="270" t="s">
        <v>16</v>
      </c>
      <c r="H1" s="270" t="s">
        <v>109</v>
      </c>
      <c r="I1" s="270" t="s">
        <v>110</v>
      </c>
      <c r="J1" s="270" t="s">
        <v>111</v>
      </c>
      <c r="K1" s="270" t="s">
        <v>112</v>
      </c>
      <c r="L1" s="270" t="s">
        <v>18</v>
      </c>
      <c r="M1" s="270" t="s">
        <v>20</v>
      </c>
      <c r="N1" s="270" t="s">
        <v>21</v>
      </c>
      <c r="O1" s="270" t="s">
        <v>19</v>
      </c>
      <c r="P1" s="270" t="s">
        <v>22</v>
      </c>
      <c r="Q1" s="270" t="s">
        <v>113</v>
      </c>
      <c r="R1" s="270" t="s">
        <v>114</v>
      </c>
      <c r="S1" s="270" t="s">
        <v>115</v>
      </c>
      <c r="T1" s="270" t="s">
        <v>116</v>
      </c>
      <c r="U1" s="270" t="s">
        <v>117</v>
      </c>
      <c r="V1" s="270" t="s">
        <v>118</v>
      </c>
      <c r="W1" s="270" t="s">
        <v>119</v>
      </c>
      <c r="X1" s="270" t="s">
        <v>120</v>
      </c>
      <c r="Y1" s="270" t="s">
        <v>121</v>
      </c>
      <c r="Z1" s="270" t="s">
        <v>122</v>
      </c>
      <c r="AA1" s="270" t="s">
        <v>123</v>
      </c>
      <c r="AB1" s="270" t="s">
        <v>124</v>
      </c>
      <c r="AC1" s="270" t="s">
        <v>125</v>
      </c>
      <c r="AD1" s="270" t="s">
        <v>126</v>
      </c>
      <c r="AE1" s="270" t="s">
        <v>127</v>
      </c>
      <c r="AF1" s="270" t="s">
        <v>128</v>
      </c>
      <c r="AG1" s="270" t="s">
        <v>129</v>
      </c>
      <c r="AH1" s="270" t="s">
        <v>130</v>
      </c>
      <c r="AI1" s="270" t="s">
        <v>131</v>
      </c>
      <c r="AJ1" s="270" t="s">
        <v>132</v>
      </c>
    </row>
    <row r="2" spans="1:36" x14ac:dyDescent="0.3">
      <c r="A2" s="272" t="s">
        <v>145</v>
      </c>
      <c r="B2" s="273">
        <v>45984</v>
      </c>
      <c r="C2" s="274" t="s">
        <v>702</v>
      </c>
      <c r="D2" s="275" t="s">
        <v>682</v>
      </c>
      <c r="E2" s="274" t="s">
        <v>699</v>
      </c>
      <c r="F2" s="274" t="s">
        <v>135</v>
      </c>
      <c r="G2" s="276">
        <v>0.52380000000000004</v>
      </c>
      <c r="H2" s="277">
        <v>168</v>
      </c>
      <c r="I2" s="277">
        <v>88</v>
      </c>
      <c r="J2" s="277">
        <v>0</v>
      </c>
      <c r="K2" s="274" t="s">
        <v>136</v>
      </c>
      <c r="L2" s="278" t="s">
        <v>180</v>
      </c>
      <c r="M2" s="277">
        <v>0</v>
      </c>
      <c r="N2" s="277">
        <v>10</v>
      </c>
      <c r="O2" s="277">
        <v>47</v>
      </c>
      <c r="P2" s="274" t="s">
        <v>153</v>
      </c>
      <c r="Q2" s="270"/>
      <c r="R2" s="270"/>
      <c r="S2" s="270"/>
      <c r="T2" s="270"/>
      <c r="U2" s="270"/>
      <c r="V2" s="270"/>
      <c r="W2" s="270"/>
      <c r="X2" s="270"/>
      <c r="Y2" s="270"/>
      <c r="Z2" s="277" t="s">
        <v>708</v>
      </c>
      <c r="AA2" s="277" t="s">
        <v>426</v>
      </c>
      <c r="AB2" s="270"/>
      <c r="AC2" s="270"/>
      <c r="AD2" s="277" t="s">
        <v>709</v>
      </c>
      <c r="AE2" s="277" t="s">
        <v>710</v>
      </c>
      <c r="AF2" s="277" t="s">
        <v>201</v>
      </c>
      <c r="AG2" s="270"/>
      <c r="AH2" s="270"/>
      <c r="AI2" s="270"/>
      <c r="AJ2" s="270"/>
    </row>
    <row r="3" spans="1:36" ht="21" x14ac:dyDescent="0.3">
      <c r="A3" s="279" t="s">
        <v>946</v>
      </c>
      <c r="B3" s="280"/>
      <c r="C3" s="279">
        <f>SUBTOTAL(103,RUH_ATZ_LF_LEGACY[Flt])</f>
        <v>1</v>
      </c>
      <c r="D3" s="279"/>
      <c r="E3" s="279">
        <f>SUBTOTAL(103,RUH_ATZ_LF_LEGACY[Brd-Off])</f>
        <v>1</v>
      </c>
      <c r="F3" s="279"/>
      <c r="G3" s="281">
        <f>SUBTOTAL(101,RUH_ATZ_LF_LEGACY[LF%])</f>
        <v>0.52380000000000004</v>
      </c>
      <c r="H3" s="282">
        <f>SUBTOTAL(109,RUH_ATZ_LF_LEGACY[CAP])</f>
        <v>168</v>
      </c>
      <c r="I3" s="282">
        <f>SUBTOTAL(109,RUH_ATZ_LF_LEGACY[BKG(Y)])</f>
        <v>88</v>
      </c>
      <c r="J3" s="282">
        <f>SUBTOTAL(109,RUH_ATZ_LF_LEGACY[GRP(Y)])</f>
        <v>0</v>
      </c>
      <c r="K3" s="279"/>
      <c r="L3" s="280"/>
      <c r="M3" s="282">
        <f>SUBTOTAL(109,RUH_ATZ_LF_LEGACY[TO-DAY])</f>
        <v>0</v>
      </c>
      <c r="N3" s="282">
        <f>SUBTOTAL(109,RUH_ATZ_LF_LEGACY[Y-DAY])</f>
        <v>10</v>
      </c>
      <c r="O3" s="282">
        <f>SUBTOTAL(109,RUH_ATZ_LF_LEGACY[WEEKLY])</f>
        <v>47</v>
      </c>
      <c r="P3" s="283"/>
      <c r="Q3" s="279">
        <f>SUBTOTAL(109,RUH_ATZ_LF_LEGACY[Y])</f>
        <v>0</v>
      </c>
      <c r="R3" s="279">
        <f>SUBTOTAL(109,RUH_ATZ_LF_LEGACY[B])</f>
        <v>0</v>
      </c>
      <c r="S3" s="279">
        <f>SUBTOTAL(109,RUH_ATZ_LF_LEGACY[M])</f>
        <v>0</v>
      </c>
      <c r="T3" s="279">
        <f>SUBTOTAL(109,RUH_ATZ_LF_LEGACY[H])</f>
        <v>0</v>
      </c>
      <c r="U3" s="279">
        <f>SUBTOTAL(109,RUH_ATZ_LF_LEGACY[Q])</f>
        <v>0</v>
      </c>
      <c r="V3" s="279">
        <f>SUBTOTAL(109,RUH_ATZ_LF_LEGACY[K])</f>
        <v>0</v>
      </c>
      <c r="W3" s="279">
        <f>SUBTOTAL(109,RUH_ATZ_LF_LEGACY[V])</f>
        <v>0</v>
      </c>
      <c r="X3" s="279">
        <f>SUBTOTAL(109,RUH_ATZ_LF_LEGACY[L])</f>
        <v>0</v>
      </c>
      <c r="Y3" s="279">
        <f>SUBTOTAL(109,RUH_ATZ_LF_LEGACY[G])</f>
        <v>0</v>
      </c>
      <c r="Z3" s="282">
        <f>SUBTOTAL(109,RUH_ATZ_LF_LEGACY[S])</f>
        <v>0</v>
      </c>
      <c r="AA3" s="282">
        <f>SUBTOTAL(109,RUH_ATZ_LF_LEGACY[W])</f>
        <v>0</v>
      </c>
      <c r="AB3" s="279">
        <f>SUBTOTAL(109,RUH_ATZ_LF_LEGACY[T])</f>
        <v>0</v>
      </c>
      <c r="AC3" s="279">
        <f>SUBTOTAL(109,RUH_ATZ_LF_LEGACY[X])</f>
        <v>0</v>
      </c>
      <c r="AD3" s="282">
        <f>SUBTOTAL(109,RUH_ATZ_LF_LEGACY[U])</f>
        <v>0</v>
      </c>
      <c r="AE3" s="282">
        <f>SUBTOTAL(109,RUH_ATZ_LF_LEGACY[O])</f>
        <v>0</v>
      </c>
      <c r="AF3" s="282">
        <f>SUBTOTAL(109,RUH_ATZ_LF_LEGACY[I])</f>
        <v>0</v>
      </c>
      <c r="AG3" s="279">
        <f>SUBTOTAL(109,RUH_ATZ_LF_LEGACY[E])</f>
        <v>0</v>
      </c>
      <c r="AH3" s="279">
        <f>SUBTOTAL(109,RUH_ATZ_LF_LEGACY[A])</f>
        <v>0</v>
      </c>
      <c r="AI3" s="279">
        <f>SUBTOTAL(109,RUH_ATZ_LF_LEGACY[P])</f>
        <v>0</v>
      </c>
      <c r="AJ3" s="279">
        <f>SUBTOTAL(103,RUH_ATZ_LF_LEGACY[N])</f>
        <v>0</v>
      </c>
    </row>
  </sheetData>
  <pageMargins left="0.75" right="0.75" top="1" bottom="1" header="0.5" footer="0.5"/>
  <tableParts count="1">
    <tablePart r:id="rId1"/>
  </tableParts>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H36"/>
  <sheetViews>
    <sheetView workbookViewId="0"/>
  </sheetViews>
  <sheetFormatPr defaultRowHeight="14.4" x14ac:dyDescent="0.3"/>
  <cols>
    <col min="1" max="1" width="11.88671875" bestFit="1" customWidth="1"/>
    <col min="2" max="2" width="15.554687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0" hidden="1" customWidth="1"/>
  </cols>
  <sheetData>
    <row r="1" spans="1:8" ht="18" x14ac:dyDescent="0.3">
      <c r="A1" s="57" t="s">
        <v>156</v>
      </c>
      <c r="B1" s="58" t="s">
        <v>8</v>
      </c>
      <c r="C1" s="58" t="s">
        <v>9</v>
      </c>
      <c r="D1" s="58" t="s">
        <v>157</v>
      </c>
      <c r="E1" s="58" t="s">
        <v>10</v>
      </c>
      <c r="F1" s="58" t="s">
        <v>11</v>
      </c>
      <c r="G1" s="58" t="s">
        <v>12</v>
      </c>
      <c r="H1" s="59" t="s">
        <v>13</v>
      </c>
    </row>
    <row r="2" spans="1:8" ht="19.8" customHeight="1" x14ac:dyDescent="0.3">
      <c r="A2" s="96"/>
      <c r="B2" s="97"/>
      <c r="C2" s="97"/>
      <c r="D2" s="97"/>
      <c r="E2" s="97"/>
      <c r="F2" s="98" t="s">
        <v>711</v>
      </c>
      <c r="G2" s="97"/>
      <c r="H2" s="99"/>
    </row>
    <row r="3" spans="1:8" ht="19.8" customHeight="1" x14ac:dyDescent="0.3">
      <c r="A3" s="60" t="s">
        <v>158</v>
      </c>
      <c r="B3" s="61" t="s">
        <v>36</v>
      </c>
      <c r="C3" s="62" t="s">
        <v>595</v>
      </c>
      <c r="D3" s="61" t="s">
        <v>594</v>
      </c>
      <c r="E3" s="61" t="s">
        <v>689</v>
      </c>
      <c r="F3" s="61" t="s">
        <v>38</v>
      </c>
      <c r="G3" s="63">
        <v>9</v>
      </c>
      <c r="H3" s="64">
        <v>599</v>
      </c>
    </row>
    <row r="4" spans="1:8" ht="19.8" customHeight="1" x14ac:dyDescent="0.3">
      <c r="A4" s="60" t="s">
        <v>158</v>
      </c>
      <c r="B4" s="61" t="s">
        <v>36</v>
      </c>
      <c r="C4" s="62" t="s">
        <v>597</v>
      </c>
      <c r="D4" s="61" t="s">
        <v>594</v>
      </c>
      <c r="E4" s="61" t="s">
        <v>690</v>
      </c>
      <c r="F4" s="61" t="s">
        <v>38</v>
      </c>
      <c r="G4" s="63">
        <v>24</v>
      </c>
      <c r="H4" s="64">
        <v>599</v>
      </c>
    </row>
    <row r="5" spans="1:8" ht="19.8" customHeight="1" x14ac:dyDescent="0.3">
      <c r="A5" s="60" t="s">
        <v>158</v>
      </c>
      <c r="B5" s="61" t="s">
        <v>36</v>
      </c>
      <c r="C5" s="62" t="s">
        <v>601</v>
      </c>
      <c r="D5" s="61" t="s">
        <v>594</v>
      </c>
      <c r="E5" s="61" t="s">
        <v>691</v>
      </c>
      <c r="F5" s="61" t="s">
        <v>38</v>
      </c>
      <c r="G5" s="63">
        <v>5</v>
      </c>
      <c r="H5" s="64">
        <v>649</v>
      </c>
    </row>
    <row r="6" spans="1:8" ht="19.8" customHeight="1" x14ac:dyDescent="0.3">
      <c r="A6" s="60" t="s">
        <v>158</v>
      </c>
      <c r="B6" s="61" t="s">
        <v>36</v>
      </c>
      <c r="C6" s="62" t="s">
        <v>603</v>
      </c>
      <c r="D6" s="61" t="s">
        <v>594</v>
      </c>
      <c r="E6" s="61" t="s">
        <v>692</v>
      </c>
      <c r="F6" s="61" t="s">
        <v>38</v>
      </c>
      <c r="G6" s="63">
        <v>25</v>
      </c>
      <c r="H6" s="64">
        <v>649</v>
      </c>
    </row>
    <row r="7" spans="1:8" ht="19.8" customHeight="1" x14ac:dyDescent="0.3">
      <c r="A7" s="60" t="s">
        <v>158</v>
      </c>
      <c r="B7" s="61" t="s">
        <v>26</v>
      </c>
      <c r="C7" s="62" t="s">
        <v>606</v>
      </c>
      <c r="D7" s="61" t="s">
        <v>594</v>
      </c>
      <c r="E7" s="61" t="s">
        <v>693</v>
      </c>
      <c r="F7" s="61" t="s">
        <v>28</v>
      </c>
      <c r="G7" s="63">
        <v>7</v>
      </c>
      <c r="H7" s="64">
        <v>739</v>
      </c>
    </row>
    <row r="8" spans="1:8" ht="19.8" customHeight="1" x14ac:dyDescent="0.3">
      <c r="A8" s="60" t="s">
        <v>158</v>
      </c>
      <c r="B8" s="61" t="s">
        <v>26</v>
      </c>
      <c r="C8" s="62" t="s">
        <v>608</v>
      </c>
      <c r="D8" s="61" t="s">
        <v>594</v>
      </c>
      <c r="E8" s="61" t="s">
        <v>694</v>
      </c>
      <c r="F8" s="61" t="s">
        <v>28</v>
      </c>
      <c r="G8" s="63">
        <v>9</v>
      </c>
      <c r="H8" s="64">
        <v>739</v>
      </c>
    </row>
    <row r="9" spans="1:8" ht="19.8" customHeight="1" x14ac:dyDescent="0.3">
      <c r="A9" s="60" t="s">
        <v>158</v>
      </c>
      <c r="B9" s="61" t="s">
        <v>26</v>
      </c>
      <c r="C9" s="62" t="s">
        <v>609</v>
      </c>
      <c r="D9" s="61" t="s">
        <v>594</v>
      </c>
      <c r="E9" s="61" t="s">
        <v>692</v>
      </c>
      <c r="F9" s="61" t="s">
        <v>28</v>
      </c>
      <c r="G9" s="63">
        <v>7</v>
      </c>
      <c r="H9" s="64">
        <v>739</v>
      </c>
    </row>
    <row r="10" spans="1:8" ht="19.8" customHeight="1" x14ac:dyDescent="0.3">
      <c r="A10" s="60" t="s">
        <v>158</v>
      </c>
      <c r="B10" s="61" t="s">
        <v>26</v>
      </c>
      <c r="C10" s="62" t="s">
        <v>610</v>
      </c>
      <c r="D10" s="61" t="s">
        <v>594</v>
      </c>
      <c r="E10" s="61" t="s">
        <v>695</v>
      </c>
      <c r="F10" s="61" t="s">
        <v>28</v>
      </c>
      <c r="G10" s="63">
        <v>9</v>
      </c>
      <c r="H10" s="64">
        <v>739</v>
      </c>
    </row>
    <row r="11" spans="1:8" ht="19.8" customHeight="1" x14ac:dyDescent="0.3">
      <c r="A11" s="60" t="s">
        <v>158</v>
      </c>
      <c r="B11" s="61" t="s">
        <v>26</v>
      </c>
      <c r="C11" s="62" t="s">
        <v>611</v>
      </c>
      <c r="D11" s="61" t="s">
        <v>594</v>
      </c>
      <c r="E11" s="61" t="s">
        <v>537</v>
      </c>
      <c r="F11" s="61" t="s">
        <v>28</v>
      </c>
      <c r="G11" s="63">
        <v>4</v>
      </c>
      <c r="H11" s="64">
        <v>739</v>
      </c>
    </row>
    <row r="12" spans="1:8" ht="19.8" customHeight="1" x14ac:dyDescent="0.3">
      <c r="A12" s="66" t="s">
        <v>158</v>
      </c>
      <c r="B12" s="67" t="s">
        <v>26</v>
      </c>
      <c r="C12" s="68" t="s">
        <v>613</v>
      </c>
      <c r="D12" s="67" t="s">
        <v>594</v>
      </c>
      <c r="E12" s="67" t="s">
        <v>696</v>
      </c>
      <c r="F12" s="67" t="s">
        <v>28</v>
      </c>
      <c r="G12" s="69">
        <v>5</v>
      </c>
      <c r="H12" s="176">
        <v>739</v>
      </c>
    </row>
    <row r="13" spans="1:8" ht="19.8" customHeight="1" x14ac:dyDescent="0.3">
      <c r="A13" s="96"/>
      <c r="B13" s="97"/>
      <c r="C13" s="97"/>
      <c r="D13" s="97"/>
      <c r="E13" s="97"/>
      <c r="F13" s="98" t="s">
        <v>711</v>
      </c>
      <c r="G13" s="97"/>
      <c r="H13" s="99"/>
    </row>
    <row r="14" spans="1:8" ht="19.8" customHeight="1" x14ac:dyDescent="0.3">
      <c r="A14" s="60" t="s">
        <v>168</v>
      </c>
      <c r="B14" s="61" t="s">
        <v>36</v>
      </c>
      <c r="C14" s="62" t="s">
        <v>601</v>
      </c>
      <c r="D14" s="61" t="s">
        <v>594</v>
      </c>
      <c r="E14" s="61" t="s">
        <v>691</v>
      </c>
      <c r="F14" s="61" t="s">
        <v>38</v>
      </c>
      <c r="G14" s="63">
        <v>10</v>
      </c>
      <c r="H14" s="64">
        <v>509</v>
      </c>
    </row>
    <row r="15" spans="1:8" ht="19.8" customHeight="1" x14ac:dyDescent="0.3">
      <c r="A15" s="60" t="s">
        <v>168</v>
      </c>
      <c r="B15" s="61" t="s">
        <v>36</v>
      </c>
      <c r="C15" s="62" t="s">
        <v>603</v>
      </c>
      <c r="D15" s="61" t="s">
        <v>594</v>
      </c>
      <c r="E15" s="61" t="s">
        <v>692</v>
      </c>
      <c r="F15" s="61" t="s">
        <v>38</v>
      </c>
      <c r="G15" s="63">
        <v>8</v>
      </c>
      <c r="H15" s="64">
        <v>509</v>
      </c>
    </row>
    <row r="16" spans="1:8" ht="19.8" customHeight="1" x14ac:dyDescent="0.3">
      <c r="A16" s="60" t="s">
        <v>168</v>
      </c>
      <c r="B16" s="61" t="s">
        <v>36</v>
      </c>
      <c r="C16" s="62" t="s">
        <v>595</v>
      </c>
      <c r="D16" s="61" t="s">
        <v>594</v>
      </c>
      <c r="E16" s="61" t="s">
        <v>689</v>
      </c>
      <c r="F16" s="61" t="s">
        <v>38</v>
      </c>
      <c r="G16" s="63">
        <v>6</v>
      </c>
      <c r="H16" s="64">
        <v>509</v>
      </c>
    </row>
    <row r="17" spans="1:8" ht="19.8" customHeight="1" x14ac:dyDescent="0.3">
      <c r="A17" s="60" t="s">
        <v>168</v>
      </c>
      <c r="B17" s="61" t="s">
        <v>36</v>
      </c>
      <c r="C17" s="62" t="s">
        <v>597</v>
      </c>
      <c r="D17" s="61" t="s">
        <v>594</v>
      </c>
      <c r="E17" s="61" t="s">
        <v>690</v>
      </c>
      <c r="F17" s="61" t="s">
        <v>38</v>
      </c>
      <c r="G17" s="63">
        <v>10</v>
      </c>
      <c r="H17" s="64">
        <v>509</v>
      </c>
    </row>
    <row r="18" spans="1:8" ht="19.8" customHeight="1" x14ac:dyDescent="0.3">
      <c r="A18" s="60" t="s">
        <v>168</v>
      </c>
      <c r="B18" s="61" t="s">
        <v>26</v>
      </c>
      <c r="C18" s="62" t="s">
        <v>609</v>
      </c>
      <c r="D18" s="61" t="s">
        <v>594</v>
      </c>
      <c r="E18" s="61" t="s">
        <v>692</v>
      </c>
      <c r="F18" s="61" t="s">
        <v>28</v>
      </c>
      <c r="G18" s="63">
        <v>1</v>
      </c>
      <c r="H18" s="64">
        <v>539</v>
      </c>
    </row>
    <row r="19" spans="1:8" ht="19.8" customHeight="1" x14ac:dyDescent="0.3">
      <c r="A19" s="60" t="s">
        <v>168</v>
      </c>
      <c r="B19" s="61" t="s">
        <v>26</v>
      </c>
      <c r="C19" s="62" t="s">
        <v>606</v>
      </c>
      <c r="D19" s="61" t="s">
        <v>594</v>
      </c>
      <c r="E19" s="61" t="s">
        <v>693</v>
      </c>
      <c r="F19" s="61" t="s">
        <v>28</v>
      </c>
      <c r="G19" s="63">
        <v>4</v>
      </c>
      <c r="H19" s="64">
        <v>589</v>
      </c>
    </row>
    <row r="20" spans="1:8" ht="19.8" customHeight="1" x14ac:dyDescent="0.3">
      <c r="A20" s="60" t="s">
        <v>168</v>
      </c>
      <c r="B20" s="61" t="s">
        <v>26</v>
      </c>
      <c r="C20" s="62" t="s">
        <v>608</v>
      </c>
      <c r="D20" s="61" t="s">
        <v>594</v>
      </c>
      <c r="E20" s="61" t="s">
        <v>694</v>
      </c>
      <c r="F20" s="61" t="s">
        <v>28</v>
      </c>
      <c r="G20" s="63">
        <v>5</v>
      </c>
      <c r="H20" s="64">
        <v>589</v>
      </c>
    </row>
    <row r="21" spans="1:8" ht="19.8" customHeight="1" x14ac:dyDescent="0.3">
      <c r="A21" s="60" t="s">
        <v>168</v>
      </c>
      <c r="B21" s="61" t="s">
        <v>26</v>
      </c>
      <c r="C21" s="62" t="s">
        <v>610</v>
      </c>
      <c r="D21" s="61" t="s">
        <v>594</v>
      </c>
      <c r="E21" s="61" t="s">
        <v>695</v>
      </c>
      <c r="F21" s="61" t="s">
        <v>28</v>
      </c>
      <c r="G21" s="63">
        <v>6</v>
      </c>
      <c r="H21" s="64">
        <v>589</v>
      </c>
    </row>
    <row r="22" spans="1:8" ht="19.8" customHeight="1" x14ac:dyDescent="0.3">
      <c r="A22" s="60" t="s">
        <v>168</v>
      </c>
      <c r="B22" s="61" t="s">
        <v>26</v>
      </c>
      <c r="C22" s="62" t="s">
        <v>611</v>
      </c>
      <c r="D22" s="61" t="s">
        <v>594</v>
      </c>
      <c r="E22" s="61" t="s">
        <v>537</v>
      </c>
      <c r="F22" s="61" t="s">
        <v>28</v>
      </c>
      <c r="G22" s="63">
        <v>1</v>
      </c>
      <c r="H22" s="64">
        <v>589</v>
      </c>
    </row>
    <row r="23" spans="1:8" ht="19.8" customHeight="1" x14ac:dyDescent="0.3">
      <c r="A23" s="66" t="s">
        <v>168</v>
      </c>
      <c r="B23" s="67" t="s">
        <v>26</v>
      </c>
      <c r="C23" s="68" t="s">
        <v>614</v>
      </c>
      <c r="D23" s="67" t="s">
        <v>594</v>
      </c>
      <c r="E23" s="67" t="s">
        <v>697</v>
      </c>
      <c r="F23" s="67" t="s">
        <v>28</v>
      </c>
      <c r="G23" s="69">
        <v>8</v>
      </c>
      <c r="H23" s="176">
        <v>589</v>
      </c>
    </row>
    <row r="24" spans="1:8" ht="19.8" customHeight="1" x14ac:dyDescent="0.3">
      <c r="A24" s="100" t="s">
        <v>189</v>
      </c>
      <c r="B24" s="101" t="s">
        <v>93</v>
      </c>
      <c r="C24" s="102" t="s">
        <v>700</v>
      </c>
      <c r="D24" s="101" t="s">
        <v>699</v>
      </c>
      <c r="E24" s="101" t="s">
        <v>682</v>
      </c>
      <c r="F24" s="101" t="s">
        <v>249</v>
      </c>
      <c r="G24" s="166">
        <v>9</v>
      </c>
      <c r="H24" s="167">
        <v>494</v>
      </c>
    </row>
    <row r="25" spans="1:8" ht="19.8" customHeight="1" x14ac:dyDescent="0.3">
      <c r="A25" s="75">
        <v>45984</v>
      </c>
      <c r="B25" s="61" t="s">
        <v>46</v>
      </c>
      <c r="C25" s="62" t="s">
        <v>704</v>
      </c>
      <c r="D25" s="61" t="s">
        <v>699</v>
      </c>
      <c r="E25" s="76">
        <v>1.6111111111111109</v>
      </c>
      <c r="F25" s="61" t="s">
        <v>559</v>
      </c>
      <c r="G25" s="63">
        <v>4</v>
      </c>
      <c r="H25" s="64">
        <v>778</v>
      </c>
    </row>
    <row r="26" spans="1:8" ht="19.8" customHeight="1" x14ac:dyDescent="0.3">
      <c r="A26" s="96"/>
      <c r="B26" s="97"/>
      <c r="C26" s="97"/>
      <c r="D26" s="97"/>
      <c r="E26" s="97"/>
      <c r="F26" s="98" t="s">
        <v>711</v>
      </c>
      <c r="G26" s="97"/>
      <c r="H26" s="99"/>
    </row>
    <row r="27" spans="1:8" ht="19.8" customHeight="1" x14ac:dyDescent="0.3">
      <c r="A27" s="75">
        <v>45984</v>
      </c>
      <c r="B27" s="61" t="s">
        <v>36</v>
      </c>
      <c r="C27" s="62" t="s">
        <v>601</v>
      </c>
      <c r="D27" s="61" t="s">
        <v>594</v>
      </c>
      <c r="E27" s="76">
        <v>1.447916666666667</v>
      </c>
      <c r="F27" s="61" t="s">
        <v>38</v>
      </c>
      <c r="G27" s="63">
        <v>5</v>
      </c>
      <c r="H27" s="64">
        <v>369</v>
      </c>
    </row>
    <row r="28" spans="1:8" ht="19.8" customHeight="1" x14ac:dyDescent="0.3">
      <c r="A28" s="75">
        <v>45984</v>
      </c>
      <c r="B28" s="61" t="s">
        <v>36</v>
      </c>
      <c r="C28" s="62" t="s">
        <v>595</v>
      </c>
      <c r="D28" s="61" t="s">
        <v>594</v>
      </c>
      <c r="E28" s="76">
        <v>1.760416666666667</v>
      </c>
      <c r="F28" s="61" t="s">
        <v>38</v>
      </c>
      <c r="G28" s="63">
        <v>3</v>
      </c>
      <c r="H28" s="64">
        <v>369</v>
      </c>
    </row>
    <row r="29" spans="1:8" ht="19.8" customHeight="1" x14ac:dyDescent="0.3">
      <c r="A29" s="75">
        <v>45984</v>
      </c>
      <c r="B29" s="61" t="s">
        <v>36</v>
      </c>
      <c r="C29" s="62" t="s">
        <v>597</v>
      </c>
      <c r="D29" s="61" t="s">
        <v>594</v>
      </c>
      <c r="E29" s="76">
        <v>1.8159722222222221</v>
      </c>
      <c r="F29" s="61" t="s">
        <v>38</v>
      </c>
      <c r="G29" s="63">
        <v>7</v>
      </c>
      <c r="H29" s="64">
        <v>369</v>
      </c>
    </row>
    <row r="30" spans="1:8" ht="19.8" customHeight="1" x14ac:dyDescent="0.3">
      <c r="A30" s="75">
        <v>45984</v>
      </c>
      <c r="B30" s="61" t="s">
        <v>36</v>
      </c>
      <c r="C30" s="62" t="s">
        <v>603</v>
      </c>
      <c r="D30" s="61" t="s">
        <v>594</v>
      </c>
      <c r="E30" s="76">
        <v>1.5</v>
      </c>
      <c r="F30" s="61" t="s">
        <v>38</v>
      </c>
      <c r="G30" s="63">
        <v>7</v>
      </c>
      <c r="H30" s="64">
        <v>399</v>
      </c>
    </row>
    <row r="31" spans="1:8" ht="19.8" customHeight="1" x14ac:dyDescent="0.3">
      <c r="A31" s="75">
        <v>45984</v>
      </c>
      <c r="B31" s="61" t="s">
        <v>26</v>
      </c>
      <c r="C31" s="62" t="s">
        <v>608</v>
      </c>
      <c r="D31" s="61" t="s">
        <v>594</v>
      </c>
      <c r="E31" s="76">
        <v>1.8263888888888891</v>
      </c>
      <c r="F31" s="61" t="s">
        <v>28</v>
      </c>
      <c r="G31" s="63">
        <v>5</v>
      </c>
      <c r="H31" s="64">
        <v>449</v>
      </c>
    </row>
    <row r="32" spans="1:8" ht="19.8" customHeight="1" x14ac:dyDescent="0.3">
      <c r="A32" s="75">
        <v>45984</v>
      </c>
      <c r="B32" s="61" t="s">
        <v>26</v>
      </c>
      <c r="C32" s="62" t="s">
        <v>609</v>
      </c>
      <c r="D32" s="61" t="s">
        <v>594</v>
      </c>
      <c r="E32" s="76">
        <v>1.5</v>
      </c>
      <c r="F32" s="61" t="s">
        <v>28</v>
      </c>
      <c r="G32" s="63">
        <v>6</v>
      </c>
      <c r="H32" s="64">
        <v>449</v>
      </c>
    </row>
    <row r="33" spans="1:8" ht="19.8" customHeight="1" x14ac:dyDescent="0.3">
      <c r="A33" s="75">
        <v>45984</v>
      </c>
      <c r="B33" s="61" t="s">
        <v>26</v>
      </c>
      <c r="C33" s="62" t="s">
        <v>611</v>
      </c>
      <c r="D33" s="61" t="s">
        <v>594</v>
      </c>
      <c r="E33" s="76">
        <v>1.6875</v>
      </c>
      <c r="F33" s="61" t="s">
        <v>28</v>
      </c>
      <c r="G33" s="63">
        <v>9</v>
      </c>
      <c r="H33" s="64">
        <v>449</v>
      </c>
    </row>
    <row r="34" spans="1:8" ht="19.8" customHeight="1" x14ac:dyDescent="0.3">
      <c r="A34" s="75">
        <v>45984</v>
      </c>
      <c r="B34" s="61" t="s">
        <v>26</v>
      </c>
      <c r="C34" s="62" t="s">
        <v>614</v>
      </c>
      <c r="D34" s="61" t="s">
        <v>594</v>
      </c>
      <c r="E34" s="76">
        <v>1.5659722222222221</v>
      </c>
      <c r="F34" s="61" t="s">
        <v>28</v>
      </c>
      <c r="G34" s="63">
        <v>6</v>
      </c>
      <c r="H34" s="64">
        <v>449</v>
      </c>
    </row>
    <row r="35" spans="1:8" ht="19.8" customHeight="1" x14ac:dyDescent="0.3">
      <c r="A35" s="75">
        <v>45984</v>
      </c>
      <c r="B35" s="61" t="s">
        <v>26</v>
      </c>
      <c r="C35" s="62" t="s">
        <v>613</v>
      </c>
      <c r="D35" s="61" t="s">
        <v>594</v>
      </c>
      <c r="E35" s="76">
        <v>1.375</v>
      </c>
      <c r="F35" s="61" t="s">
        <v>28</v>
      </c>
      <c r="G35" s="63">
        <v>6</v>
      </c>
      <c r="H35" s="64">
        <v>489</v>
      </c>
    </row>
    <row r="36" spans="1:8" ht="19.8" customHeight="1" x14ac:dyDescent="0.3">
      <c r="A36" s="104">
        <v>45984</v>
      </c>
      <c r="B36" s="67" t="s">
        <v>323</v>
      </c>
      <c r="C36" s="68" t="s">
        <v>661</v>
      </c>
      <c r="D36" s="67" t="s">
        <v>594</v>
      </c>
      <c r="E36" s="105">
        <v>1.586805555555556</v>
      </c>
      <c r="F36" s="67" t="s">
        <v>249</v>
      </c>
      <c r="G36" s="69">
        <v>9</v>
      </c>
      <c r="H36" s="176">
        <v>500</v>
      </c>
    </row>
  </sheetData>
  <pageMargins left="0.75" right="0.75" top="1" bottom="1" header="0.5" footer="0.5"/>
  <legacyDrawing r:id="rId1"/>
  <tableParts count="1">
    <tablePart r:id="rId2"/>
  </tableParts>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H35"/>
  <sheetViews>
    <sheetView workbookViewId="0"/>
  </sheetViews>
  <sheetFormatPr defaultRowHeight="14.4" x14ac:dyDescent="0.3"/>
  <cols>
    <col min="1" max="1" width="11.88671875" bestFit="1" customWidth="1"/>
    <col min="2" max="2" width="15.554687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0" hidden="1" customWidth="1"/>
  </cols>
  <sheetData>
    <row r="1" spans="1:8" ht="18" x14ac:dyDescent="0.3">
      <c r="A1" s="57" t="s">
        <v>156</v>
      </c>
      <c r="B1" s="58" t="s">
        <v>8</v>
      </c>
      <c r="C1" s="58" t="s">
        <v>9</v>
      </c>
      <c r="D1" s="58" t="s">
        <v>157</v>
      </c>
      <c r="E1" s="58" t="s">
        <v>10</v>
      </c>
      <c r="F1" s="58" t="s">
        <v>11</v>
      </c>
      <c r="G1" s="58" t="s">
        <v>12</v>
      </c>
      <c r="H1" s="59" t="s">
        <v>13</v>
      </c>
    </row>
    <row r="2" spans="1:8" ht="19.8" customHeight="1" x14ac:dyDescent="0.3">
      <c r="A2" s="96"/>
      <c r="B2" s="97"/>
      <c r="C2" s="97"/>
      <c r="D2" s="97"/>
      <c r="E2" s="97"/>
      <c r="F2" s="98" t="s">
        <v>711</v>
      </c>
      <c r="G2" s="97"/>
      <c r="H2" s="99"/>
    </row>
    <row r="3" spans="1:8" ht="19.8" customHeight="1" x14ac:dyDescent="0.3">
      <c r="A3" s="60" t="s">
        <v>158</v>
      </c>
      <c r="B3" s="61" t="s">
        <v>36</v>
      </c>
      <c r="C3" s="62" t="s">
        <v>595</v>
      </c>
      <c r="D3" s="61" t="s">
        <v>594</v>
      </c>
      <c r="E3" s="61" t="s">
        <v>689</v>
      </c>
      <c r="F3" s="61" t="s">
        <v>38</v>
      </c>
      <c r="G3" s="63">
        <v>9</v>
      </c>
      <c r="H3" s="64">
        <v>599</v>
      </c>
    </row>
    <row r="4" spans="1:8" ht="19.8" customHeight="1" x14ac:dyDescent="0.3">
      <c r="A4" s="60" t="s">
        <v>158</v>
      </c>
      <c r="B4" s="61" t="s">
        <v>36</v>
      </c>
      <c r="C4" s="62" t="s">
        <v>597</v>
      </c>
      <c r="D4" s="61" t="s">
        <v>594</v>
      </c>
      <c r="E4" s="61" t="s">
        <v>690</v>
      </c>
      <c r="F4" s="61" t="s">
        <v>38</v>
      </c>
      <c r="G4" s="63">
        <v>24</v>
      </c>
      <c r="H4" s="64">
        <v>599</v>
      </c>
    </row>
    <row r="5" spans="1:8" ht="19.8" customHeight="1" x14ac:dyDescent="0.3">
      <c r="A5" s="60" t="s">
        <v>158</v>
      </c>
      <c r="B5" s="61" t="s">
        <v>36</v>
      </c>
      <c r="C5" s="62" t="s">
        <v>601</v>
      </c>
      <c r="D5" s="61" t="s">
        <v>594</v>
      </c>
      <c r="E5" s="61" t="s">
        <v>691</v>
      </c>
      <c r="F5" s="61" t="s">
        <v>38</v>
      </c>
      <c r="G5" s="63">
        <v>5</v>
      </c>
      <c r="H5" s="64">
        <v>649</v>
      </c>
    </row>
    <row r="6" spans="1:8" ht="19.8" customHeight="1" x14ac:dyDescent="0.3">
      <c r="A6" s="60" t="s">
        <v>158</v>
      </c>
      <c r="B6" s="61" t="s">
        <v>36</v>
      </c>
      <c r="C6" s="62" t="s">
        <v>603</v>
      </c>
      <c r="D6" s="61" t="s">
        <v>594</v>
      </c>
      <c r="E6" s="61" t="s">
        <v>692</v>
      </c>
      <c r="F6" s="61" t="s">
        <v>38</v>
      </c>
      <c r="G6" s="63">
        <v>25</v>
      </c>
      <c r="H6" s="64">
        <v>649</v>
      </c>
    </row>
    <row r="7" spans="1:8" ht="19.8" customHeight="1" x14ac:dyDescent="0.3">
      <c r="A7" s="60" t="s">
        <v>158</v>
      </c>
      <c r="B7" s="61" t="s">
        <v>26</v>
      </c>
      <c r="C7" s="62" t="s">
        <v>606</v>
      </c>
      <c r="D7" s="61" t="s">
        <v>594</v>
      </c>
      <c r="E7" s="61" t="s">
        <v>693</v>
      </c>
      <c r="F7" s="61" t="s">
        <v>28</v>
      </c>
      <c r="G7" s="63">
        <v>7</v>
      </c>
      <c r="H7" s="64">
        <v>739</v>
      </c>
    </row>
    <row r="8" spans="1:8" ht="19.8" customHeight="1" x14ac:dyDescent="0.3">
      <c r="A8" s="60" t="s">
        <v>158</v>
      </c>
      <c r="B8" s="61" t="s">
        <v>26</v>
      </c>
      <c r="C8" s="62" t="s">
        <v>608</v>
      </c>
      <c r="D8" s="61" t="s">
        <v>594</v>
      </c>
      <c r="E8" s="61" t="s">
        <v>694</v>
      </c>
      <c r="F8" s="61" t="s">
        <v>28</v>
      </c>
      <c r="G8" s="63">
        <v>9</v>
      </c>
      <c r="H8" s="64">
        <v>739</v>
      </c>
    </row>
    <row r="9" spans="1:8" ht="19.8" customHeight="1" x14ac:dyDescent="0.3">
      <c r="A9" s="60" t="s">
        <v>158</v>
      </c>
      <c r="B9" s="61" t="s">
        <v>26</v>
      </c>
      <c r="C9" s="62" t="s">
        <v>609</v>
      </c>
      <c r="D9" s="61" t="s">
        <v>594</v>
      </c>
      <c r="E9" s="61" t="s">
        <v>692</v>
      </c>
      <c r="F9" s="61" t="s">
        <v>28</v>
      </c>
      <c r="G9" s="63">
        <v>7</v>
      </c>
      <c r="H9" s="64">
        <v>739</v>
      </c>
    </row>
    <row r="10" spans="1:8" ht="19.8" customHeight="1" x14ac:dyDescent="0.3">
      <c r="A10" s="60" t="s">
        <v>158</v>
      </c>
      <c r="B10" s="61" t="s">
        <v>26</v>
      </c>
      <c r="C10" s="62" t="s">
        <v>610</v>
      </c>
      <c r="D10" s="61" t="s">
        <v>594</v>
      </c>
      <c r="E10" s="61" t="s">
        <v>695</v>
      </c>
      <c r="F10" s="61" t="s">
        <v>28</v>
      </c>
      <c r="G10" s="63">
        <v>9</v>
      </c>
      <c r="H10" s="64">
        <v>739</v>
      </c>
    </row>
    <row r="11" spans="1:8" ht="19.8" customHeight="1" x14ac:dyDescent="0.3">
      <c r="A11" s="60" t="s">
        <v>158</v>
      </c>
      <c r="B11" s="61" t="s">
        <v>26</v>
      </c>
      <c r="C11" s="62" t="s">
        <v>611</v>
      </c>
      <c r="D11" s="61" t="s">
        <v>594</v>
      </c>
      <c r="E11" s="61" t="s">
        <v>537</v>
      </c>
      <c r="F11" s="61" t="s">
        <v>28</v>
      </c>
      <c r="G11" s="63">
        <v>4</v>
      </c>
      <c r="H11" s="64">
        <v>739</v>
      </c>
    </row>
    <row r="12" spans="1:8" ht="19.8" customHeight="1" x14ac:dyDescent="0.3">
      <c r="A12" s="66" t="s">
        <v>158</v>
      </c>
      <c r="B12" s="67" t="s">
        <v>26</v>
      </c>
      <c r="C12" s="68" t="s">
        <v>613</v>
      </c>
      <c r="D12" s="67" t="s">
        <v>594</v>
      </c>
      <c r="E12" s="67" t="s">
        <v>696</v>
      </c>
      <c r="F12" s="67" t="s">
        <v>28</v>
      </c>
      <c r="G12" s="69">
        <v>5</v>
      </c>
      <c r="H12" s="176">
        <v>739</v>
      </c>
    </row>
    <row r="13" spans="1:8" ht="19.8" customHeight="1" x14ac:dyDescent="0.3">
      <c r="A13" s="96"/>
      <c r="B13" s="97"/>
      <c r="C13" s="97"/>
      <c r="D13" s="97"/>
      <c r="E13" s="97"/>
      <c r="F13" s="98" t="s">
        <v>711</v>
      </c>
      <c r="G13" s="97"/>
      <c r="H13" s="99"/>
    </row>
    <row r="14" spans="1:8" ht="19.8" customHeight="1" x14ac:dyDescent="0.3">
      <c r="A14" s="60" t="s">
        <v>168</v>
      </c>
      <c r="B14" s="61" t="s">
        <v>36</v>
      </c>
      <c r="C14" s="62" t="s">
        <v>601</v>
      </c>
      <c r="D14" s="61" t="s">
        <v>594</v>
      </c>
      <c r="E14" s="61" t="s">
        <v>691</v>
      </c>
      <c r="F14" s="61" t="s">
        <v>38</v>
      </c>
      <c r="G14" s="63">
        <v>10</v>
      </c>
      <c r="H14" s="64">
        <v>509</v>
      </c>
    </row>
    <row r="15" spans="1:8" ht="19.8" customHeight="1" x14ac:dyDescent="0.3">
      <c r="A15" s="60" t="s">
        <v>168</v>
      </c>
      <c r="B15" s="61" t="s">
        <v>36</v>
      </c>
      <c r="C15" s="62" t="s">
        <v>603</v>
      </c>
      <c r="D15" s="61" t="s">
        <v>594</v>
      </c>
      <c r="E15" s="61" t="s">
        <v>692</v>
      </c>
      <c r="F15" s="61" t="s">
        <v>38</v>
      </c>
      <c r="G15" s="63">
        <v>8</v>
      </c>
      <c r="H15" s="64">
        <v>509</v>
      </c>
    </row>
    <row r="16" spans="1:8" ht="19.8" customHeight="1" x14ac:dyDescent="0.3">
      <c r="A16" s="60" t="s">
        <v>168</v>
      </c>
      <c r="B16" s="61" t="s">
        <v>36</v>
      </c>
      <c r="C16" s="62" t="s">
        <v>595</v>
      </c>
      <c r="D16" s="61" t="s">
        <v>594</v>
      </c>
      <c r="E16" s="61" t="s">
        <v>689</v>
      </c>
      <c r="F16" s="61" t="s">
        <v>38</v>
      </c>
      <c r="G16" s="63">
        <v>6</v>
      </c>
      <c r="H16" s="64">
        <v>509</v>
      </c>
    </row>
    <row r="17" spans="1:8" ht="19.8" customHeight="1" x14ac:dyDescent="0.3">
      <c r="A17" s="60" t="s">
        <v>168</v>
      </c>
      <c r="B17" s="61" t="s">
        <v>36</v>
      </c>
      <c r="C17" s="62" t="s">
        <v>597</v>
      </c>
      <c r="D17" s="61" t="s">
        <v>594</v>
      </c>
      <c r="E17" s="61" t="s">
        <v>690</v>
      </c>
      <c r="F17" s="61" t="s">
        <v>38</v>
      </c>
      <c r="G17" s="63">
        <v>10</v>
      </c>
      <c r="H17" s="64">
        <v>509</v>
      </c>
    </row>
    <row r="18" spans="1:8" ht="19.8" customHeight="1" x14ac:dyDescent="0.3">
      <c r="A18" s="60" t="s">
        <v>168</v>
      </c>
      <c r="B18" s="61" t="s">
        <v>26</v>
      </c>
      <c r="C18" s="62" t="s">
        <v>609</v>
      </c>
      <c r="D18" s="61" t="s">
        <v>594</v>
      </c>
      <c r="E18" s="61" t="s">
        <v>692</v>
      </c>
      <c r="F18" s="61" t="s">
        <v>28</v>
      </c>
      <c r="G18" s="63">
        <v>1</v>
      </c>
      <c r="H18" s="64">
        <v>539</v>
      </c>
    </row>
    <row r="19" spans="1:8" ht="19.8" customHeight="1" x14ac:dyDescent="0.3">
      <c r="A19" s="60" t="s">
        <v>168</v>
      </c>
      <c r="B19" s="61" t="s">
        <v>26</v>
      </c>
      <c r="C19" s="62" t="s">
        <v>606</v>
      </c>
      <c r="D19" s="61" t="s">
        <v>594</v>
      </c>
      <c r="E19" s="61" t="s">
        <v>693</v>
      </c>
      <c r="F19" s="61" t="s">
        <v>28</v>
      </c>
      <c r="G19" s="63">
        <v>4</v>
      </c>
      <c r="H19" s="64">
        <v>589</v>
      </c>
    </row>
    <row r="20" spans="1:8" ht="19.8" customHeight="1" x14ac:dyDescent="0.3">
      <c r="A20" s="60" t="s">
        <v>168</v>
      </c>
      <c r="B20" s="61" t="s">
        <v>26</v>
      </c>
      <c r="C20" s="62" t="s">
        <v>608</v>
      </c>
      <c r="D20" s="61" t="s">
        <v>594</v>
      </c>
      <c r="E20" s="61" t="s">
        <v>694</v>
      </c>
      <c r="F20" s="61" t="s">
        <v>28</v>
      </c>
      <c r="G20" s="63">
        <v>5</v>
      </c>
      <c r="H20" s="64">
        <v>589</v>
      </c>
    </row>
    <row r="21" spans="1:8" ht="19.8" customHeight="1" x14ac:dyDescent="0.3">
      <c r="A21" s="60" t="s">
        <v>168</v>
      </c>
      <c r="B21" s="61" t="s">
        <v>26</v>
      </c>
      <c r="C21" s="62" t="s">
        <v>610</v>
      </c>
      <c r="D21" s="61" t="s">
        <v>594</v>
      </c>
      <c r="E21" s="61" t="s">
        <v>695</v>
      </c>
      <c r="F21" s="61" t="s">
        <v>28</v>
      </c>
      <c r="G21" s="63">
        <v>6</v>
      </c>
      <c r="H21" s="64">
        <v>589</v>
      </c>
    </row>
    <row r="22" spans="1:8" ht="19.8" customHeight="1" x14ac:dyDescent="0.3">
      <c r="A22" s="60" t="s">
        <v>168</v>
      </c>
      <c r="B22" s="61" t="s">
        <v>26</v>
      </c>
      <c r="C22" s="62" t="s">
        <v>611</v>
      </c>
      <c r="D22" s="61" t="s">
        <v>594</v>
      </c>
      <c r="E22" s="61" t="s">
        <v>537</v>
      </c>
      <c r="F22" s="61" t="s">
        <v>28</v>
      </c>
      <c r="G22" s="63">
        <v>1</v>
      </c>
      <c r="H22" s="64">
        <v>589</v>
      </c>
    </row>
    <row r="23" spans="1:8" ht="19.8" customHeight="1" x14ac:dyDescent="0.3">
      <c r="A23" s="66" t="s">
        <v>168</v>
      </c>
      <c r="B23" s="67" t="s">
        <v>26</v>
      </c>
      <c r="C23" s="68" t="s">
        <v>614</v>
      </c>
      <c r="D23" s="67" t="s">
        <v>594</v>
      </c>
      <c r="E23" s="67" t="s">
        <v>697</v>
      </c>
      <c r="F23" s="67" t="s">
        <v>28</v>
      </c>
      <c r="G23" s="69">
        <v>8</v>
      </c>
      <c r="H23" s="176">
        <v>589</v>
      </c>
    </row>
    <row r="24" spans="1:8" ht="19.8" customHeight="1" x14ac:dyDescent="0.3">
      <c r="A24" s="100" t="s">
        <v>189</v>
      </c>
      <c r="B24" s="101" t="s">
        <v>93</v>
      </c>
      <c r="C24" s="102" t="s">
        <v>700</v>
      </c>
      <c r="D24" s="101" t="s">
        <v>699</v>
      </c>
      <c r="E24" s="101" t="s">
        <v>682</v>
      </c>
      <c r="F24" s="101" t="s">
        <v>249</v>
      </c>
      <c r="G24" s="166">
        <v>9</v>
      </c>
      <c r="H24" s="167">
        <v>494</v>
      </c>
    </row>
    <row r="25" spans="1:8" ht="19.8" customHeight="1" x14ac:dyDescent="0.3">
      <c r="A25" s="96"/>
      <c r="B25" s="97"/>
      <c r="C25" s="97"/>
      <c r="D25" s="97"/>
      <c r="E25" s="97"/>
      <c r="F25" s="98" t="s">
        <v>711</v>
      </c>
      <c r="G25" s="97"/>
      <c r="H25" s="99"/>
    </row>
    <row r="26" spans="1:8" ht="19.8" customHeight="1" x14ac:dyDescent="0.3">
      <c r="A26" s="75">
        <v>45984</v>
      </c>
      <c r="B26" s="61" t="s">
        <v>36</v>
      </c>
      <c r="C26" s="62" t="s">
        <v>601</v>
      </c>
      <c r="D26" s="61" t="s">
        <v>594</v>
      </c>
      <c r="E26" s="76">
        <v>1.447916666666667</v>
      </c>
      <c r="F26" s="61" t="s">
        <v>38</v>
      </c>
      <c r="G26" s="63">
        <v>5</v>
      </c>
      <c r="H26" s="64">
        <v>369</v>
      </c>
    </row>
    <row r="27" spans="1:8" ht="19.8" customHeight="1" x14ac:dyDescent="0.3">
      <c r="A27" s="75">
        <v>45984</v>
      </c>
      <c r="B27" s="61" t="s">
        <v>36</v>
      </c>
      <c r="C27" s="62" t="s">
        <v>595</v>
      </c>
      <c r="D27" s="61" t="s">
        <v>594</v>
      </c>
      <c r="E27" s="76">
        <v>1.760416666666667</v>
      </c>
      <c r="F27" s="61" t="s">
        <v>38</v>
      </c>
      <c r="G27" s="63">
        <v>3</v>
      </c>
      <c r="H27" s="64">
        <v>369</v>
      </c>
    </row>
    <row r="28" spans="1:8" ht="19.8" customHeight="1" x14ac:dyDescent="0.3">
      <c r="A28" s="75">
        <v>45984</v>
      </c>
      <c r="B28" s="61" t="s">
        <v>36</v>
      </c>
      <c r="C28" s="62" t="s">
        <v>597</v>
      </c>
      <c r="D28" s="61" t="s">
        <v>594</v>
      </c>
      <c r="E28" s="76">
        <v>1.8159722222222221</v>
      </c>
      <c r="F28" s="61" t="s">
        <v>38</v>
      </c>
      <c r="G28" s="63">
        <v>7</v>
      </c>
      <c r="H28" s="64">
        <v>369</v>
      </c>
    </row>
    <row r="29" spans="1:8" ht="19.8" customHeight="1" x14ac:dyDescent="0.3">
      <c r="A29" s="75">
        <v>45984</v>
      </c>
      <c r="B29" s="61" t="s">
        <v>36</v>
      </c>
      <c r="C29" s="62" t="s">
        <v>603</v>
      </c>
      <c r="D29" s="61" t="s">
        <v>594</v>
      </c>
      <c r="E29" s="76">
        <v>1.5</v>
      </c>
      <c r="F29" s="61" t="s">
        <v>38</v>
      </c>
      <c r="G29" s="63">
        <v>7</v>
      </c>
      <c r="H29" s="64">
        <v>399</v>
      </c>
    </row>
    <row r="30" spans="1:8" ht="19.8" customHeight="1" x14ac:dyDescent="0.3">
      <c r="A30" s="75">
        <v>45984</v>
      </c>
      <c r="B30" s="61" t="s">
        <v>26</v>
      </c>
      <c r="C30" s="62" t="s">
        <v>608</v>
      </c>
      <c r="D30" s="61" t="s">
        <v>594</v>
      </c>
      <c r="E30" s="76">
        <v>1.8263888888888891</v>
      </c>
      <c r="F30" s="61" t="s">
        <v>28</v>
      </c>
      <c r="G30" s="63">
        <v>5</v>
      </c>
      <c r="H30" s="64">
        <v>449</v>
      </c>
    </row>
    <row r="31" spans="1:8" ht="19.8" customHeight="1" x14ac:dyDescent="0.3">
      <c r="A31" s="75">
        <v>45984</v>
      </c>
      <c r="B31" s="61" t="s">
        <v>26</v>
      </c>
      <c r="C31" s="62" t="s">
        <v>609</v>
      </c>
      <c r="D31" s="61" t="s">
        <v>594</v>
      </c>
      <c r="E31" s="76">
        <v>1.5</v>
      </c>
      <c r="F31" s="61" t="s">
        <v>28</v>
      </c>
      <c r="G31" s="63">
        <v>6</v>
      </c>
      <c r="H31" s="64">
        <v>449</v>
      </c>
    </row>
    <row r="32" spans="1:8" ht="19.8" customHeight="1" x14ac:dyDescent="0.3">
      <c r="A32" s="75">
        <v>45984</v>
      </c>
      <c r="B32" s="61" t="s">
        <v>26</v>
      </c>
      <c r="C32" s="62" t="s">
        <v>611</v>
      </c>
      <c r="D32" s="61" t="s">
        <v>594</v>
      </c>
      <c r="E32" s="76">
        <v>1.6875</v>
      </c>
      <c r="F32" s="61" t="s">
        <v>28</v>
      </c>
      <c r="G32" s="63">
        <v>9</v>
      </c>
      <c r="H32" s="64">
        <v>449</v>
      </c>
    </row>
    <row r="33" spans="1:8" ht="19.8" customHeight="1" x14ac:dyDescent="0.3">
      <c r="A33" s="75">
        <v>45984</v>
      </c>
      <c r="B33" s="61" t="s">
        <v>26</v>
      </c>
      <c r="C33" s="62" t="s">
        <v>614</v>
      </c>
      <c r="D33" s="61" t="s">
        <v>594</v>
      </c>
      <c r="E33" s="76">
        <v>1.5659722222222221</v>
      </c>
      <c r="F33" s="61" t="s">
        <v>28</v>
      </c>
      <c r="G33" s="63">
        <v>6</v>
      </c>
      <c r="H33" s="64">
        <v>449</v>
      </c>
    </row>
    <row r="34" spans="1:8" ht="19.8" customHeight="1" x14ac:dyDescent="0.3">
      <c r="A34" s="75">
        <v>45984</v>
      </c>
      <c r="B34" s="61" t="s">
        <v>26</v>
      </c>
      <c r="C34" s="62" t="s">
        <v>613</v>
      </c>
      <c r="D34" s="61" t="s">
        <v>594</v>
      </c>
      <c r="E34" s="76">
        <v>1.375</v>
      </c>
      <c r="F34" s="61" t="s">
        <v>28</v>
      </c>
      <c r="G34" s="63">
        <v>6</v>
      </c>
      <c r="H34" s="64">
        <v>489</v>
      </c>
    </row>
    <row r="35" spans="1:8" ht="19.8" customHeight="1" x14ac:dyDescent="0.3">
      <c r="A35" s="104">
        <v>45984</v>
      </c>
      <c r="B35" s="67" t="s">
        <v>323</v>
      </c>
      <c r="C35" s="68" t="s">
        <v>661</v>
      </c>
      <c r="D35" s="67" t="s">
        <v>594</v>
      </c>
      <c r="E35" s="105">
        <v>1.586805555555556</v>
      </c>
      <c r="F35" s="67" t="s">
        <v>249</v>
      </c>
      <c r="G35" s="69">
        <v>9</v>
      </c>
      <c r="H35" s="176">
        <v>500</v>
      </c>
    </row>
  </sheetData>
  <pageMargins left="0.75" right="0.75" top="1" bottom="1" header="0.5" footer="0.5"/>
  <legacyDrawing r:id="rId1"/>
  <tableParts count="1">
    <tablePart r:id="rId2"/>
  </tablePart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CN53"/>
  <sheetViews>
    <sheetView workbookViewId="0"/>
  </sheetViews>
  <sheetFormatPr defaultRowHeight="14.4" x14ac:dyDescent="0.3"/>
  <cols>
    <col min="1" max="1" width="17.21875" bestFit="1" customWidth="1"/>
    <col min="2" max="2" width="15.6640625" bestFit="1" customWidth="1"/>
    <col min="3" max="3" width="14.77734375" bestFit="1" customWidth="1"/>
    <col min="4" max="4" width="33" bestFit="1" customWidth="1"/>
    <col min="5" max="5" width="18.5546875" bestFit="1" customWidth="1"/>
    <col min="6" max="6" width="23.44140625" bestFit="1" customWidth="1"/>
    <col min="7" max="7" width="44.5546875" bestFit="1" customWidth="1"/>
    <col min="8" max="8" width="9.44140625" bestFit="1" customWidth="1"/>
    <col min="9" max="9" width="8" bestFit="1" customWidth="1"/>
    <col min="10" max="10" width="7.5546875" bestFit="1" customWidth="1"/>
    <col min="11" max="11" width="23.4414062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51.109375" bestFit="1" customWidth="1"/>
  </cols>
  <sheetData>
    <row r="1" spans="1:92" ht="28.8" customHeight="1" x14ac:dyDescent="0.3">
      <c r="A1" s="260" t="s">
        <v>0</v>
      </c>
      <c r="B1" s="253"/>
      <c r="C1" s="253"/>
      <c r="D1" s="253"/>
      <c r="E1" s="253"/>
      <c r="F1" s="1" t="s">
        <v>712</v>
      </c>
      <c r="G1" s="2" t="s">
        <v>2</v>
      </c>
      <c r="H1" s="259">
        <v>45982</v>
      </c>
      <c r="I1" s="253"/>
      <c r="J1" s="253"/>
      <c r="K1" s="253"/>
      <c r="L1" s="253"/>
      <c r="M1" s="1" t="s">
        <v>3</v>
      </c>
      <c r="N1" s="266">
        <v>45984</v>
      </c>
      <c r="O1" s="253"/>
      <c r="P1" s="253"/>
      <c r="Q1" s="253"/>
      <c r="R1" s="253"/>
      <c r="CA1" s="3"/>
      <c r="CB1" s="3"/>
      <c r="CC1" s="3"/>
      <c r="CD1" s="3"/>
      <c r="CE1" s="3"/>
      <c r="CF1" s="3"/>
      <c r="CG1" s="3"/>
      <c r="CH1" s="3"/>
      <c r="CI1" s="3"/>
      <c r="CJ1" s="3"/>
      <c r="CK1" s="3"/>
      <c r="CL1" s="3"/>
      <c r="CM1" s="3"/>
      <c r="CN1" s="3"/>
    </row>
    <row r="2" spans="1:92" ht="23.4" customHeight="1" x14ac:dyDescent="0.3">
      <c r="A2" s="252" t="s">
        <v>4</v>
      </c>
      <c r="B2" s="253"/>
      <c r="C2" s="253"/>
      <c r="D2" s="253"/>
      <c r="E2" s="253"/>
      <c r="F2" s="253"/>
      <c r="G2" s="261">
        <v>45981.017835108403</v>
      </c>
      <c r="H2" s="253"/>
      <c r="I2" s="253"/>
      <c r="J2" s="253"/>
      <c r="K2" s="262">
        <v>45981.017835108927</v>
      </c>
      <c r="L2" s="253"/>
      <c r="M2" s="253"/>
      <c r="N2" s="253"/>
      <c r="O2" s="253"/>
      <c r="P2" s="253"/>
      <c r="Q2" s="253"/>
      <c r="R2" s="253"/>
      <c r="CA2" s="3"/>
      <c r="CB2" s="3"/>
      <c r="CC2" s="3"/>
      <c r="CD2" s="3"/>
      <c r="CE2" s="3"/>
      <c r="CF2" s="3"/>
      <c r="CG2" s="3"/>
      <c r="CH2" s="3"/>
      <c r="CI2" s="3"/>
      <c r="CJ2" s="3"/>
      <c r="CK2" s="3"/>
      <c r="CL2" s="3"/>
      <c r="CM2" s="3"/>
      <c r="CN2" s="3"/>
    </row>
    <row r="3" spans="1:92" ht="24" customHeight="1" x14ac:dyDescent="0.3">
      <c r="A3" s="254" t="s">
        <v>5</v>
      </c>
      <c r="B3" s="253"/>
      <c r="C3" s="253"/>
      <c r="D3" s="253"/>
      <c r="E3" s="253"/>
      <c r="F3" s="253"/>
      <c r="G3" s="253"/>
      <c r="H3" s="253"/>
      <c r="I3" s="253"/>
      <c r="J3" s="253"/>
      <c r="K3" s="253"/>
      <c r="L3" s="253"/>
      <c r="M3" s="253"/>
      <c r="N3" s="253"/>
      <c r="O3" s="253"/>
      <c r="P3" s="253"/>
      <c r="Q3" s="253"/>
      <c r="R3" s="253"/>
      <c r="CA3" s="3"/>
      <c r="CB3" s="3"/>
      <c r="CC3" s="3"/>
      <c r="CD3" s="3"/>
      <c r="CE3" s="3"/>
      <c r="CF3" s="3"/>
      <c r="CG3" s="3"/>
      <c r="CH3" s="3"/>
      <c r="CI3" s="3"/>
      <c r="CJ3" s="3"/>
      <c r="CK3" s="3"/>
      <c r="CL3" s="3"/>
      <c r="CM3" s="3"/>
      <c r="CN3" s="3"/>
    </row>
    <row r="4" spans="1:92" ht="22.05" customHeight="1" x14ac:dyDescent="0.3">
      <c r="A4" s="263" t="s">
        <v>6</v>
      </c>
      <c r="B4" s="250"/>
      <c r="C4" s="250"/>
      <c r="D4" s="250"/>
      <c r="E4" s="250"/>
      <c r="F4" s="251"/>
      <c r="G4" s="4">
        <v>45982</v>
      </c>
      <c r="H4" s="264" t="s">
        <v>7</v>
      </c>
      <c r="I4" s="250"/>
      <c r="J4" s="250"/>
      <c r="K4" s="250"/>
      <c r="L4" s="250"/>
      <c r="M4" s="250"/>
      <c r="N4" s="250"/>
      <c r="O4" s="250"/>
      <c r="P4" s="250"/>
      <c r="Q4" s="250"/>
      <c r="R4" s="251"/>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8" t="s">
        <v>26</v>
      </c>
      <c r="B6" s="8" t="s">
        <v>713</v>
      </c>
      <c r="C6" s="9">
        <v>0.83333333333333337</v>
      </c>
      <c r="D6" s="8" t="s">
        <v>28</v>
      </c>
      <c r="E6" s="8" t="s">
        <v>205</v>
      </c>
      <c r="F6" s="8" t="s">
        <v>76</v>
      </c>
      <c r="G6" s="265"/>
      <c r="H6" s="10"/>
      <c r="I6" s="11"/>
      <c r="J6" s="11"/>
      <c r="K6" s="11"/>
      <c r="L6" s="11"/>
      <c r="M6" s="11"/>
      <c r="N6" s="11"/>
      <c r="O6" s="12"/>
      <c r="P6" s="11"/>
      <c r="Q6" s="13"/>
      <c r="R6" s="14"/>
    </row>
    <row r="7" spans="1:92" ht="15" customHeight="1" x14ac:dyDescent="0.3">
      <c r="A7" s="15" t="s">
        <v>26</v>
      </c>
      <c r="B7" s="15" t="s">
        <v>713</v>
      </c>
      <c r="C7" s="16">
        <v>0.83333333333333337</v>
      </c>
      <c r="D7" s="15" t="s">
        <v>31</v>
      </c>
      <c r="E7" s="15" t="s">
        <v>207</v>
      </c>
      <c r="F7" s="15" t="s">
        <v>714</v>
      </c>
      <c r="G7" s="256"/>
      <c r="H7" s="10"/>
      <c r="I7" s="11"/>
      <c r="J7" s="11"/>
      <c r="K7" s="11"/>
      <c r="L7" s="11"/>
      <c r="M7" s="11"/>
      <c r="N7" s="11"/>
      <c r="O7" s="12"/>
      <c r="P7" s="11"/>
      <c r="Q7" s="13"/>
      <c r="R7" s="14"/>
    </row>
    <row r="8" spans="1:92" ht="15" customHeight="1" x14ac:dyDescent="0.3">
      <c r="A8" s="15" t="s">
        <v>26</v>
      </c>
      <c r="B8" s="15" t="s">
        <v>713</v>
      </c>
      <c r="C8" s="16">
        <v>0.83333333333333337</v>
      </c>
      <c r="D8" s="15" t="s">
        <v>34</v>
      </c>
      <c r="E8" s="15" t="s">
        <v>207</v>
      </c>
      <c r="F8" s="15" t="s">
        <v>596</v>
      </c>
      <c r="G8" s="256"/>
      <c r="H8" s="10"/>
      <c r="I8" s="11"/>
      <c r="J8" s="11"/>
      <c r="K8" s="11"/>
      <c r="L8" s="11"/>
      <c r="M8" s="11"/>
      <c r="N8" s="11"/>
      <c r="O8" s="12"/>
      <c r="P8" s="11"/>
      <c r="Q8" s="13"/>
      <c r="R8" s="14"/>
    </row>
    <row r="9" spans="1:92" ht="15" customHeight="1" x14ac:dyDescent="0.3">
      <c r="A9" s="17" t="s">
        <v>323</v>
      </c>
      <c r="B9" s="17" t="s">
        <v>715</v>
      </c>
      <c r="C9" s="18">
        <v>0.21527777777777779</v>
      </c>
      <c r="D9" s="17" t="s">
        <v>245</v>
      </c>
      <c r="E9" s="17" t="s">
        <v>59</v>
      </c>
      <c r="F9" s="17" t="s">
        <v>716</v>
      </c>
      <c r="G9" s="256"/>
      <c r="H9" s="10"/>
      <c r="I9" s="11"/>
      <c r="J9" s="11"/>
      <c r="K9" s="11"/>
      <c r="L9" s="11"/>
      <c r="M9" s="11"/>
      <c r="N9" s="11"/>
      <c r="O9" s="12"/>
      <c r="P9" s="11"/>
      <c r="Q9" s="13"/>
      <c r="R9" s="14"/>
    </row>
    <row r="10" spans="1:92" ht="15" customHeight="1" x14ac:dyDescent="0.3">
      <c r="A10" s="17" t="s">
        <v>36</v>
      </c>
      <c r="B10" s="17" t="s">
        <v>717</v>
      </c>
      <c r="C10" s="18">
        <v>0.30555555555555552</v>
      </c>
      <c r="D10" s="17" t="s">
        <v>38</v>
      </c>
      <c r="E10" s="17" t="s">
        <v>100</v>
      </c>
      <c r="F10" s="17" t="s">
        <v>35</v>
      </c>
      <c r="G10" s="256"/>
      <c r="H10" s="10"/>
      <c r="I10" s="11"/>
      <c r="J10" s="11"/>
      <c r="K10" s="11"/>
      <c r="L10" s="11"/>
      <c r="M10" s="11"/>
      <c r="N10" s="11"/>
      <c r="O10" s="12"/>
      <c r="P10" s="11"/>
      <c r="Q10" s="13"/>
      <c r="R10" s="14"/>
    </row>
    <row r="11" spans="1:92" ht="15" customHeight="1" x14ac:dyDescent="0.3">
      <c r="A11" s="15" t="s">
        <v>36</v>
      </c>
      <c r="B11" s="15" t="s">
        <v>717</v>
      </c>
      <c r="C11" s="16">
        <v>0.30555555555555552</v>
      </c>
      <c r="D11" s="15" t="s">
        <v>41</v>
      </c>
      <c r="E11" s="15" t="s">
        <v>65</v>
      </c>
      <c r="F11" s="15" t="s">
        <v>596</v>
      </c>
      <c r="G11" s="256"/>
      <c r="H11" s="10"/>
      <c r="I11" s="11"/>
      <c r="J11" s="11"/>
      <c r="K11" s="11"/>
      <c r="L11" s="11"/>
      <c r="M11" s="11"/>
      <c r="N11" s="11"/>
      <c r="O11" s="12"/>
      <c r="P11" s="11"/>
      <c r="Q11" s="13"/>
      <c r="R11" s="14"/>
    </row>
    <row r="12" spans="1:92" ht="15" customHeight="1" x14ac:dyDescent="0.3">
      <c r="A12" s="15" t="s">
        <v>36</v>
      </c>
      <c r="B12" s="15" t="s">
        <v>717</v>
      </c>
      <c r="C12" s="16">
        <v>0.30555555555555552</v>
      </c>
      <c r="D12" s="15" t="s">
        <v>44</v>
      </c>
      <c r="E12" s="15" t="s">
        <v>65</v>
      </c>
      <c r="F12" s="15" t="s">
        <v>718</v>
      </c>
      <c r="G12" s="256"/>
      <c r="H12" s="10"/>
      <c r="I12" s="11"/>
      <c r="J12" s="11"/>
      <c r="K12" s="11"/>
      <c r="L12" s="11"/>
      <c r="M12" s="11"/>
      <c r="N12" s="11"/>
      <c r="O12" s="12"/>
      <c r="P12" s="11"/>
      <c r="Q12" s="13"/>
      <c r="R12" s="14"/>
    </row>
    <row r="13" spans="1:92" ht="15" customHeight="1" x14ac:dyDescent="0.3">
      <c r="A13" s="196" t="s">
        <v>93</v>
      </c>
      <c r="B13" s="196" t="s">
        <v>719</v>
      </c>
      <c r="C13" s="197">
        <v>0.57986111111111105</v>
      </c>
      <c r="D13" s="196" t="s">
        <v>249</v>
      </c>
      <c r="E13" s="196" t="s">
        <v>89</v>
      </c>
      <c r="F13" s="196" t="s">
        <v>720</v>
      </c>
      <c r="G13" s="256"/>
      <c r="H13" s="198" t="s">
        <v>721</v>
      </c>
      <c r="I13" s="199">
        <v>0.61309999999999998</v>
      </c>
      <c r="J13" s="200">
        <v>103</v>
      </c>
      <c r="K13" s="201" t="s">
        <v>180</v>
      </c>
      <c r="L13" s="200">
        <v>14</v>
      </c>
      <c r="M13" s="200">
        <v>0</v>
      </c>
      <c r="N13" s="200">
        <v>6</v>
      </c>
      <c r="O13" s="202" t="s">
        <v>327</v>
      </c>
      <c r="P13" s="203">
        <v>0.57986111111111105</v>
      </c>
      <c r="Q13" s="200">
        <v>168</v>
      </c>
      <c r="R13" s="204" t="s">
        <v>722</v>
      </c>
    </row>
    <row r="14" spans="1:92" ht="15" customHeight="1" x14ac:dyDescent="0.3">
      <c r="A14" s="17" t="s">
        <v>56</v>
      </c>
      <c r="B14" s="17" t="s">
        <v>723</v>
      </c>
      <c r="C14" s="18">
        <v>0.30555555555555552</v>
      </c>
      <c r="D14" s="17" t="s">
        <v>58</v>
      </c>
      <c r="E14" s="17" t="s">
        <v>59</v>
      </c>
      <c r="F14" s="17" t="s">
        <v>724</v>
      </c>
      <c r="G14" s="256"/>
      <c r="H14" s="10"/>
      <c r="I14" s="11"/>
      <c r="J14" s="11"/>
      <c r="K14" s="11"/>
      <c r="L14" s="11"/>
      <c r="M14" s="11"/>
      <c r="N14" s="11"/>
      <c r="O14" s="12"/>
      <c r="P14" s="11"/>
      <c r="Q14" s="13"/>
      <c r="R14" s="14"/>
    </row>
    <row r="15" spans="1:92" ht="15" customHeight="1" x14ac:dyDescent="0.3">
      <c r="A15" s="17" t="s">
        <v>46</v>
      </c>
      <c r="B15" s="17" t="s">
        <v>725</v>
      </c>
      <c r="C15" s="18">
        <v>0.52777777777777779</v>
      </c>
      <c r="D15" s="17" t="s">
        <v>48</v>
      </c>
      <c r="E15" s="17" t="s">
        <v>341</v>
      </c>
      <c r="F15" s="17" t="s">
        <v>726</v>
      </c>
      <c r="G15" s="256"/>
      <c r="H15" s="10"/>
      <c r="I15" s="11"/>
      <c r="J15" s="11"/>
      <c r="K15" s="11"/>
      <c r="L15" s="11"/>
      <c r="M15" s="11"/>
      <c r="N15" s="11"/>
      <c r="O15" s="12"/>
      <c r="P15" s="11"/>
      <c r="Q15" s="13"/>
      <c r="R15" s="14"/>
    </row>
    <row r="16" spans="1:92" ht="15" customHeight="1" x14ac:dyDescent="0.3">
      <c r="A16" s="19" t="s">
        <v>46</v>
      </c>
      <c r="B16" s="19" t="s">
        <v>727</v>
      </c>
      <c r="C16" s="20">
        <v>0.1701388888888889</v>
      </c>
      <c r="D16" s="19" t="s">
        <v>48</v>
      </c>
      <c r="E16" s="19" t="s">
        <v>69</v>
      </c>
      <c r="F16" s="19" t="s">
        <v>726</v>
      </c>
      <c r="G16" s="256"/>
      <c r="H16" s="10"/>
      <c r="I16" s="11"/>
      <c r="J16" s="11"/>
      <c r="K16" s="11"/>
      <c r="L16" s="11"/>
      <c r="M16" s="11"/>
      <c r="N16" s="11"/>
      <c r="O16" s="12"/>
      <c r="P16" s="11"/>
      <c r="Q16" s="13"/>
      <c r="R16" s="14"/>
    </row>
    <row r="17" spans="1:18" ht="15" customHeight="1" thickBot="1" x14ac:dyDescent="0.35">
      <c r="A17" s="81" t="s">
        <v>46</v>
      </c>
      <c r="B17" s="81" t="s">
        <v>728</v>
      </c>
      <c r="C17" s="82">
        <v>0.86458333333333337</v>
      </c>
      <c r="D17" s="81" t="s">
        <v>48</v>
      </c>
      <c r="E17" s="81" t="s">
        <v>228</v>
      </c>
      <c r="F17" s="81" t="s">
        <v>726</v>
      </c>
      <c r="G17" s="257"/>
      <c r="H17" s="23"/>
      <c r="I17" s="24"/>
      <c r="J17" s="24"/>
      <c r="K17" s="24"/>
      <c r="L17" s="24"/>
      <c r="M17" s="24"/>
      <c r="N17" s="24"/>
      <c r="O17" s="25"/>
      <c r="P17" s="24"/>
      <c r="Q17" s="26"/>
      <c r="R17" s="27"/>
    </row>
    <row r="18" spans="1:18" ht="17.399999999999999" customHeight="1" thickBot="1" x14ac:dyDescent="0.35">
      <c r="A18" s="284"/>
      <c r="B18" s="285"/>
      <c r="C18" s="285"/>
      <c r="D18" s="285"/>
      <c r="E18" s="285"/>
      <c r="F18" s="285"/>
      <c r="G18" s="285"/>
      <c r="H18" s="285"/>
      <c r="I18" s="285"/>
      <c r="J18" s="285"/>
      <c r="K18" s="285"/>
      <c r="L18" s="285"/>
      <c r="M18" s="285"/>
      <c r="N18" s="285"/>
      <c r="O18" s="285"/>
      <c r="P18" s="285"/>
      <c r="Q18" s="285"/>
      <c r="R18" s="286"/>
    </row>
    <row r="19" spans="1:18" ht="22.05" customHeight="1" thickTop="1" thickBot="1" x14ac:dyDescent="0.35">
      <c r="A19" s="249" t="s">
        <v>6</v>
      </c>
      <c r="B19" s="250"/>
      <c r="C19" s="250"/>
      <c r="D19" s="250"/>
      <c r="E19" s="250"/>
      <c r="F19" s="251"/>
      <c r="G19" s="28">
        <v>45983</v>
      </c>
      <c r="H19" s="258" t="s">
        <v>7</v>
      </c>
      <c r="I19" s="250"/>
      <c r="J19" s="250"/>
      <c r="K19" s="250"/>
      <c r="L19" s="250"/>
      <c r="M19" s="250"/>
      <c r="N19" s="250"/>
      <c r="O19" s="250"/>
      <c r="P19" s="250"/>
      <c r="Q19" s="250"/>
      <c r="R19" s="251"/>
    </row>
    <row r="20" spans="1:18" ht="24" customHeight="1" x14ac:dyDescent="0.3">
      <c r="A20" s="29" t="s">
        <v>8</v>
      </c>
      <c r="B20" s="29" t="s">
        <v>9</v>
      </c>
      <c r="C20" s="30" t="s">
        <v>10</v>
      </c>
      <c r="D20" s="29" t="s">
        <v>11</v>
      </c>
      <c r="E20" s="29" t="s">
        <v>12</v>
      </c>
      <c r="F20" s="31" t="s">
        <v>13</v>
      </c>
      <c r="G20" s="32" t="s">
        <v>14</v>
      </c>
      <c r="H20" s="29" t="s">
        <v>15</v>
      </c>
      <c r="I20" s="33" t="s">
        <v>16</v>
      </c>
      <c r="J20" s="34" t="s">
        <v>17</v>
      </c>
      <c r="K20" s="35" t="s">
        <v>18</v>
      </c>
      <c r="L20" s="34" t="s">
        <v>19</v>
      </c>
      <c r="M20" s="34" t="s">
        <v>20</v>
      </c>
      <c r="N20" s="34" t="s">
        <v>21</v>
      </c>
      <c r="O20" s="29" t="s">
        <v>22</v>
      </c>
      <c r="P20" s="30" t="s">
        <v>23</v>
      </c>
      <c r="Q20" s="34" t="s">
        <v>24</v>
      </c>
      <c r="R20" s="29" t="s">
        <v>25</v>
      </c>
    </row>
    <row r="21" spans="1:18" ht="15" customHeight="1" x14ac:dyDescent="0.3">
      <c r="A21" s="8" t="s">
        <v>237</v>
      </c>
      <c r="B21" s="8" t="s">
        <v>729</v>
      </c>
      <c r="C21" s="9">
        <v>0.97222222222222221</v>
      </c>
      <c r="D21" s="8" t="s">
        <v>319</v>
      </c>
      <c r="E21" s="8" t="s">
        <v>29</v>
      </c>
      <c r="F21" s="8" t="s">
        <v>730</v>
      </c>
      <c r="G21" s="255"/>
      <c r="H21" s="10"/>
      <c r="I21" s="11"/>
      <c r="J21" s="11"/>
      <c r="K21" s="11"/>
      <c r="L21" s="11"/>
      <c r="M21" s="11"/>
      <c r="N21" s="11"/>
      <c r="O21" s="12"/>
      <c r="P21" s="11"/>
      <c r="Q21" s="13"/>
      <c r="R21" s="14"/>
    </row>
    <row r="22" spans="1:18" ht="15" customHeight="1" x14ac:dyDescent="0.3">
      <c r="A22" s="15" t="s">
        <v>237</v>
      </c>
      <c r="B22" s="15" t="s">
        <v>729</v>
      </c>
      <c r="C22" s="16">
        <v>0.97222222222222221</v>
      </c>
      <c r="D22" s="15" t="s">
        <v>44</v>
      </c>
      <c r="E22" s="15" t="s">
        <v>32</v>
      </c>
      <c r="F22" s="15" t="s">
        <v>731</v>
      </c>
      <c r="G22" s="256"/>
      <c r="H22" s="10"/>
      <c r="I22" s="11"/>
      <c r="J22" s="11"/>
      <c r="K22" s="11"/>
      <c r="L22" s="11"/>
      <c r="M22" s="11"/>
      <c r="N22" s="11"/>
      <c r="O22" s="12"/>
      <c r="P22" s="11"/>
      <c r="Q22" s="13"/>
      <c r="R22" s="14"/>
    </row>
    <row r="23" spans="1:18" ht="15" customHeight="1" x14ac:dyDescent="0.3">
      <c r="A23" s="17" t="s">
        <v>243</v>
      </c>
      <c r="B23" s="17" t="s">
        <v>732</v>
      </c>
      <c r="C23" s="18">
        <v>0.89583333333333337</v>
      </c>
      <c r="D23" s="17" t="s">
        <v>245</v>
      </c>
      <c r="E23" s="17" t="s">
        <v>89</v>
      </c>
      <c r="F23" s="17" t="s">
        <v>733</v>
      </c>
      <c r="G23" s="256"/>
      <c r="H23" s="10"/>
      <c r="I23" s="11"/>
      <c r="J23" s="11"/>
      <c r="K23" s="11"/>
      <c r="L23" s="11"/>
      <c r="M23" s="11"/>
      <c r="N23" s="11"/>
      <c r="O23" s="12"/>
      <c r="P23" s="11"/>
      <c r="Q23" s="13"/>
      <c r="R23" s="14"/>
    </row>
    <row r="24" spans="1:18" ht="15" customHeight="1" x14ac:dyDescent="0.3">
      <c r="A24" s="19" t="s">
        <v>243</v>
      </c>
      <c r="B24" s="19" t="s">
        <v>734</v>
      </c>
      <c r="C24" s="20">
        <v>6.9444444444444441E-3</v>
      </c>
      <c r="D24" s="19" t="s">
        <v>245</v>
      </c>
      <c r="E24" s="19" t="s">
        <v>78</v>
      </c>
      <c r="F24" s="19" t="s">
        <v>733</v>
      </c>
      <c r="G24" s="256"/>
      <c r="H24" s="10"/>
      <c r="I24" s="11"/>
      <c r="J24" s="11"/>
      <c r="K24" s="11"/>
      <c r="L24" s="11"/>
      <c r="M24" s="11"/>
      <c r="N24" s="11"/>
      <c r="O24" s="12"/>
      <c r="P24" s="11"/>
      <c r="Q24" s="13"/>
      <c r="R24" s="14"/>
    </row>
    <row r="25" spans="1:18" ht="15" customHeight="1" x14ac:dyDescent="0.3">
      <c r="A25" s="17" t="s">
        <v>26</v>
      </c>
      <c r="B25" s="17" t="s">
        <v>735</v>
      </c>
      <c r="C25" s="18">
        <v>0.19791666666666671</v>
      </c>
      <c r="D25" s="17" t="s">
        <v>28</v>
      </c>
      <c r="E25" s="17" t="s">
        <v>205</v>
      </c>
      <c r="F25" s="17" t="s">
        <v>733</v>
      </c>
      <c r="G25" s="256"/>
      <c r="H25" s="10"/>
      <c r="I25" s="11"/>
      <c r="J25" s="11"/>
      <c r="K25" s="11"/>
      <c r="L25" s="11"/>
      <c r="M25" s="11"/>
      <c r="N25" s="11"/>
      <c r="O25" s="12"/>
      <c r="P25" s="11"/>
      <c r="Q25" s="13"/>
      <c r="R25" s="14"/>
    </row>
    <row r="26" spans="1:18" ht="15" customHeight="1" x14ac:dyDescent="0.3">
      <c r="A26" s="15" t="s">
        <v>26</v>
      </c>
      <c r="B26" s="15" t="s">
        <v>735</v>
      </c>
      <c r="C26" s="16">
        <v>0.19791666666666671</v>
      </c>
      <c r="D26" s="15" t="s">
        <v>31</v>
      </c>
      <c r="E26" s="15" t="s">
        <v>207</v>
      </c>
      <c r="F26" s="15" t="s">
        <v>644</v>
      </c>
      <c r="G26" s="256"/>
      <c r="H26" s="10"/>
      <c r="I26" s="11"/>
      <c r="J26" s="11"/>
      <c r="K26" s="11"/>
      <c r="L26" s="11"/>
      <c r="M26" s="11"/>
      <c r="N26" s="11"/>
      <c r="O26" s="12"/>
      <c r="P26" s="11"/>
      <c r="Q26" s="13"/>
      <c r="R26" s="14"/>
    </row>
    <row r="27" spans="1:18" ht="15" customHeight="1" x14ac:dyDescent="0.3">
      <c r="A27" s="15" t="s">
        <v>26</v>
      </c>
      <c r="B27" s="15" t="s">
        <v>735</v>
      </c>
      <c r="C27" s="16">
        <v>0.19791666666666671</v>
      </c>
      <c r="D27" s="15" t="s">
        <v>34</v>
      </c>
      <c r="E27" s="15" t="s">
        <v>207</v>
      </c>
      <c r="F27" s="15" t="s">
        <v>222</v>
      </c>
      <c r="G27" s="256"/>
      <c r="H27" s="10"/>
      <c r="I27" s="11"/>
      <c r="J27" s="11"/>
      <c r="K27" s="11"/>
      <c r="L27" s="11"/>
      <c r="M27" s="11"/>
      <c r="N27" s="11"/>
      <c r="O27" s="12"/>
      <c r="P27" s="11"/>
      <c r="Q27" s="13"/>
      <c r="R27" s="14"/>
    </row>
    <row r="28" spans="1:18" ht="15" customHeight="1" x14ac:dyDescent="0.3">
      <c r="A28" s="19" t="s">
        <v>26</v>
      </c>
      <c r="B28" s="19" t="s">
        <v>713</v>
      </c>
      <c r="C28" s="20">
        <v>0.83333333333333337</v>
      </c>
      <c r="D28" s="19" t="s">
        <v>28</v>
      </c>
      <c r="E28" s="19" t="s">
        <v>63</v>
      </c>
      <c r="F28" s="19" t="s">
        <v>733</v>
      </c>
      <c r="G28" s="256"/>
      <c r="H28" s="10"/>
      <c r="I28" s="11"/>
      <c r="J28" s="11"/>
      <c r="K28" s="11"/>
      <c r="L28" s="11"/>
      <c r="M28" s="11"/>
      <c r="N28" s="11"/>
      <c r="O28" s="12"/>
      <c r="P28" s="11"/>
      <c r="Q28" s="13"/>
      <c r="R28" s="14"/>
    </row>
    <row r="29" spans="1:18" ht="15" customHeight="1" x14ac:dyDescent="0.3">
      <c r="A29" s="15" t="s">
        <v>26</v>
      </c>
      <c r="B29" s="15" t="s">
        <v>713</v>
      </c>
      <c r="C29" s="16">
        <v>0.83333333333333337</v>
      </c>
      <c r="D29" s="15" t="s">
        <v>31</v>
      </c>
      <c r="E29" s="15" t="s">
        <v>65</v>
      </c>
      <c r="F29" s="15" t="s">
        <v>644</v>
      </c>
      <c r="G29" s="256"/>
      <c r="H29" s="10"/>
      <c r="I29" s="11"/>
      <c r="J29" s="11"/>
      <c r="K29" s="11"/>
      <c r="L29" s="11"/>
      <c r="M29" s="11"/>
      <c r="N29" s="11"/>
      <c r="O29" s="12"/>
      <c r="P29" s="11"/>
      <c r="Q29" s="13"/>
      <c r="R29" s="14"/>
    </row>
    <row r="30" spans="1:18" ht="15" customHeight="1" x14ac:dyDescent="0.3">
      <c r="A30" s="15" t="s">
        <v>26</v>
      </c>
      <c r="B30" s="15" t="s">
        <v>713</v>
      </c>
      <c r="C30" s="16">
        <v>0.83333333333333337</v>
      </c>
      <c r="D30" s="15" t="s">
        <v>34</v>
      </c>
      <c r="E30" s="15" t="s">
        <v>65</v>
      </c>
      <c r="F30" s="15" t="s">
        <v>222</v>
      </c>
      <c r="G30" s="256"/>
      <c r="H30" s="10"/>
      <c r="I30" s="11"/>
      <c r="J30" s="11"/>
      <c r="K30" s="11"/>
      <c r="L30" s="11"/>
      <c r="M30" s="11"/>
      <c r="N30" s="11"/>
      <c r="O30" s="12"/>
      <c r="P30" s="11"/>
      <c r="Q30" s="13"/>
      <c r="R30" s="14"/>
    </row>
    <row r="31" spans="1:18" ht="15" customHeight="1" x14ac:dyDescent="0.3">
      <c r="A31" s="17" t="s">
        <v>36</v>
      </c>
      <c r="B31" s="17" t="s">
        <v>717</v>
      </c>
      <c r="C31" s="18">
        <v>0.30555555555555552</v>
      </c>
      <c r="D31" s="17" t="s">
        <v>38</v>
      </c>
      <c r="E31" s="17" t="s">
        <v>205</v>
      </c>
      <c r="F31" s="17" t="s">
        <v>602</v>
      </c>
      <c r="G31" s="256"/>
      <c r="H31" s="10"/>
      <c r="I31" s="11"/>
      <c r="J31" s="11"/>
      <c r="K31" s="11"/>
      <c r="L31" s="11"/>
      <c r="M31" s="11"/>
      <c r="N31" s="11"/>
      <c r="O31" s="12"/>
      <c r="P31" s="11"/>
      <c r="Q31" s="13"/>
      <c r="R31" s="14"/>
    </row>
    <row r="32" spans="1:18" ht="15" customHeight="1" x14ac:dyDescent="0.3">
      <c r="A32" s="15" t="s">
        <v>36</v>
      </c>
      <c r="B32" s="15" t="s">
        <v>717</v>
      </c>
      <c r="C32" s="16">
        <v>0.30555555555555552</v>
      </c>
      <c r="D32" s="15" t="s">
        <v>41</v>
      </c>
      <c r="E32" s="15" t="s">
        <v>207</v>
      </c>
      <c r="F32" s="15" t="s">
        <v>77</v>
      </c>
      <c r="G32" s="256"/>
      <c r="H32" s="10"/>
      <c r="I32" s="11"/>
      <c r="J32" s="11"/>
      <c r="K32" s="11"/>
      <c r="L32" s="11"/>
      <c r="M32" s="11"/>
      <c r="N32" s="11"/>
      <c r="O32" s="12"/>
      <c r="P32" s="11"/>
      <c r="Q32" s="13"/>
      <c r="R32" s="14"/>
    </row>
    <row r="33" spans="1:18" ht="15" customHeight="1" x14ac:dyDescent="0.3">
      <c r="A33" s="15" t="s">
        <v>36</v>
      </c>
      <c r="B33" s="15" t="s">
        <v>717</v>
      </c>
      <c r="C33" s="16">
        <v>0.30555555555555552</v>
      </c>
      <c r="D33" s="15" t="s">
        <v>44</v>
      </c>
      <c r="E33" s="15" t="s">
        <v>207</v>
      </c>
      <c r="F33" s="15" t="s">
        <v>596</v>
      </c>
      <c r="G33" s="256"/>
      <c r="H33" s="10"/>
      <c r="I33" s="11"/>
      <c r="J33" s="11"/>
      <c r="K33" s="11"/>
      <c r="L33" s="11"/>
      <c r="M33" s="11"/>
      <c r="N33" s="11"/>
      <c r="O33" s="12"/>
      <c r="P33" s="11"/>
      <c r="Q33" s="13"/>
      <c r="R33" s="14"/>
    </row>
    <row r="34" spans="1:18" ht="15" customHeight="1" x14ac:dyDescent="0.3">
      <c r="A34" s="17" t="s">
        <v>323</v>
      </c>
      <c r="B34" s="17" t="s">
        <v>736</v>
      </c>
      <c r="C34" s="18">
        <v>0.1736111111111111</v>
      </c>
      <c r="D34" s="17" t="s">
        <v>245</v>
      </c>
      <c r="E34" s="17" t="s">
        <v>100</v>
      </c>
      <c r="F34" s="17" t="s">
        <v>716</v>
      </c>
      <c r="G34" s="256"/>
      <c r="H34" s="10"/>
      <c r="I34" s="11"/>
      <c r="J34" s="11"/>
      <c r="K34" s="11"/>
      <c r="L34" s="11"/>
      <c r="M34" s="11"/>
      <c r="N34" s="11"/>
      <c r="O34" s="12"/>
      <c r="P34" s="11"/>
      <c r="Q34" s="13"/>
      <c r="R34" s="14"/>
    </row>
    <row r="35" spans="1:18" ht="15" customHeight="1" x14ac:dyDescent="0.3">
      <c r="A35" s="86" t="s">
        <v>93</v>
      </c>
      <c r="B35" s="86" t="s">
        <v>719</v>
      </c>
      <c r="C35" s="87">
        <v>0.92361111111111116</v>
      </c>
      <c r="D35" s="86" t="s">
        <v>249</v>
      </c>
      <c r="E35" s="86" t="s">
        <v>341</v>
      </c>
      <c r="F35" s="86" t="s">
        <v>737</v>
      </c>
      <c r="G35" s="256"/>
      <c r="H35" s="89" t="s">
        <v>721</v>
      </c>
      <c r="I35" s="207">
        <v>0.48209999999999997</v>
      </c>
      <c r="J35" s="91">
        <v>81</v>
      </c>
      <c r="K35" s="92" t="s">
        <v>270</v>
      </c>
      <c r="L35" s="91">
        <v>3</v>
      </c>
      <c r="M35" s="91">
        <v>0</v>
      </c>
      <c r="N35" s="91">
        <v>0</v>
      </c>
      <c r="O35" s="93" t="s">
        <v>352</v>
      </c>
      <c r="P35" s="94">
        <v>0.92361111111111116</v>
      </c>
      <c r="Q35" s="91">
        <v>168</v>
      </c>
      <c r="R35" s="95" t="s">
        <v>738</v>
      </c>
    </row>
    <row r="36" spans="1:18" ht="15" customHeight="1" x14ac:dyDescent="0.3">
      <c r="A36" s="17" t="s">
        <v>46</v>
      </c>
      <c r="B36" s="17" t="s">
        <v>727</v>
      </c>
      <c r="C36" s="18">
        <v>0.1701388888888889</v>
      </c>
      <c r="D36" s="17" t="s">
        <v>48</v>
      </c>
      <c r="E36" s="17" t="s">
        <v>100</v>
      </c>
      <c r="F36" s="17" t="s">
        <v>739</v>
      </c>
      <c r="G36" s="256"/>
      <c r="H36" s="10"/>
      <c r="I36" s="11"/>
      <c r="J36" s="11"/>
      <c r="K36" s="11"/>
      <c r="L36" s="11"/>
      <c r="M36" s="11"/>
      <c r="N36" s="11"/>
      <c r="O36" s="12"/>
      <c r="P36" s="11"/>
      <c r="Q36" s="13"/>
      <c r="R36" s="14"/>
    </row>
    <row r="37" spans="1:18" ht="15" customHeight="1" x14ac:dyDescent="0.3">
      <c r="A37" s="19" t="s">
        <v>46</v>
      </c>
      <c r="B37" s="19" t="s">
        <v>728</v>
      </c>
      <c r="C37" s="20">
        <v>0.86458333333333337</v>
      </c>
      <c r="D37" s="19" t="s">
        <v>48</v>
      </c>
      <c r="E37" s="19" t="s">
        <v>228</v>
      </c>
      <c r="F37" s="19" t="s">
        <v>739</v>
      </c>
      <c r="G37" s="256"/>
      <c r="H37" s="10"/>
      <c r="I37" s="11"/>
      <c r="J37" s="11"/>
      <c r="K37" s="11"/>
      <c r="L37" s="11"/>
      <c r="M37" s="11"/>
      <c r="N37" s="11"/>
      <c r="O37" s="12"/>
      <c r="P37" s="11"/>
      <c r="Q37" s="13"/>
      <c r="R37" s="14"/>
    </row>
    <row r="38" spans="1:18" ht="15" customHeight="1" thickBot="1" x14ac:dyDescent="0.35">
      <c r="A38" s="208" t="s">
        <v>56</v>
      </c>
      <c r="B38" s="208" t="s">
        <v>723</v>
      </c>
      <c r="C38" s="209">
        <v>0.30555555555555552</v>
      </c>
      <c r="D38" s="208" t="s">
        <v>58</v>
      </c>
      <c r="E38" s="208" t="s">
        <v>59</v>
      </c>
      <c r="F38" s="208" t="s">
        <v>740</v>
      </c>
      <c r="G38" s="257"/>
      <c r="H38" s="23"/>
      <c r="I38" s="24"/>
      <c r="J38" s="24"/>
      <c r="K38" s="24"/>
      <c r="L38" s="24"/>
      <c r="M38" s="24"/>
      <c r="N38" s="24"/>
      <c r="O38" s="25"/>
      <c r="P38" s="24"/>
      <c r="Q38" s="26"/>
      <c r="R38" s="27"/>
    </row>
    <row r="39" spans="1:18" ht="17.399999999999999" customHeight="1" thickBot="1" x14ac:dyDescent="0.35">
      <c r="A39" s="284"/>
      <c r="B39" s="285"/>
      <c r="C39" s="285"/>
      <c r="D39" s="285"/>
      <c r="E39" s="285"/>
      <c r="F39" s="285"/>
      <c r="G39" s="285"/>
      <c r="H39" s="285"/>
      <c r="I39" s="285"/>
      <c r="J39" s="285"/>
      <c r="K39" s="285"/>
      <c r="L39" s="285"/>
      <c r="M39" s="285"/>
      <c r="N39" s="285"/>
      <c r="O39" s="285"/>
      <c r="P39" s="285"/>
      <c r="Q39" s="285"/>
      <c r="R39" s="286"/>
    </row>
    <row r="40" spans="1:18" ht="22.05" customHeight="1" thickTop="1" thickBot="1" x14ac:dyDescent="0.35">
      <c r="A40" s="249" t="s">
        <v>6</v>
      </c>
      <c r="B40" s="250"/>
      <c r="C40" s="250"/>
      <c r="D40" s="250"/>
      <c r="E40" s="250"/>
      <c r="F40" s="251"/>
      <c r="G40" s="28">
        <v>45984</v>
      </c>
      <c r="H40" s="258" t="s">
        <v>7</v>
      </c>
      <c r="I40" s="250"/>
      <c r="J40" s="250"/>
      <c r="K40" s="250"/>
      <c r="L40" s="250"/>
      <c r="M40" s="250"/>
      <c r="N40" s="250"/>
      <c r="O40" s="250"/>
      <c r="P40" s="250"/>
      <c r="Q40" s="250"/>
      <c r="R40" s="251"/>
    </row>
    <row r="41" spans="1:18" ht="24" customHeight="1" x14ac:dyDescent="0.3">
      <c r="A41" s="29" t="s">
        <v>8</v>
      </c>
      <c r="B41" s="29" t="s">
        <v>9</v>
      </c>
      <c r="C41" s="30" t="s">
        <v>10</v>
      </c>
      <c r="D41" s="29" t="s">
        <v>11</v>
      </c>
      <c r="E41" s="29" t="s">
        <v>12</v>
      </c>
      <c r="F41" s="31" t="s">
        <v>13</v>
      </c>
      <c r="G41" s="32" t="s">
        <v>14</v>
      </c>
      <c r="H41" s="29" t="s">
        <v>15</v>
      </c>
      <c r="I41" s="33" t="s">
        <v>16</v>
      </c>
      <c r="J41" s="34" t="s">
        <v>17</v>
      </c>
      <c r="K41" s="35" t="s">
        <v>18</v>
      </c>
      <c r="L41" s="34" t="s">
        <v>19</v>
      </c>
      <c r="M41" s="34" t="s">
        <v>20</v>
      </c>
      <c r="N41" s="34" t="s">
        <v>21</v>
      </c>
      <c r="O41" s="29" t="s">
        <v>22</v>
      </c>
      <c r="P41" s="30" t="s">
        <v>23</v>
      </c>
      <c r="Q41" s="34" t="s">
        <v>24</v>
      </c>
      <c r="R41" s="29" t="s">
        <v>25</v>
      </c>
    </row>
    <row r="42" spans="1:18" ht="15" customHeight="1" x14ac:dyDescent="0.3">
      <c r="A42" s="8" t="s">
        <v>243</v>
      </c>
      <c r="B42" s="8" t="s">
        <v>741</v>
      </c>
      <c r="C42" s="9">
        <v>0.95833333333333337</v>
      </c>
      <c r="D42" s="8" t="s">
        <v>249</v>
      </c>
      <c r="E42" s="8" t="s">
        <v>100</v>
      </c>
      <c r="F42" s="8" t="s">
        <v>742</v>
      </c>
      <c r="G42" s="255"/>
      <c r="H42" s="10"/>
      <c r="I42" s="11"/>
      <c r="J42" s="11"/>
      <c r="K42" s="11"/>
      <c r="L42" s="11"/>
      <c r="M42" s="11"/>
      <c r="N42" s="11"/>
      <c r="O42" s="12"/>
      <c r="P42" s="11"/>
      <c r="Q42" s="13"/>
      <c r="R42" s="14"/>
    </row>
    <row r="43" spans="1:18" ht="15" customHeight="1" x14ac:dyDescent="0.3">
      <c r="A43" s="17" t="s">
        <v>26</v>
      </c>
      <c r="B43" s="17" t="s">
        <v>713</v>
      </c>
      <c r="C43" s="18">
        <v>0.83333333333333337</v>
      </c>
      <c r="D43" s="17" t="s">
        <v>28</v>
      </c>
      <c r="E43" s="17" t="s">
        <v>89</v>
      </c>
      <c r="F43" s="17" t="s">
        <v>565</v>
      </c>
      <c r="G43" s="256"/>
      <c r="H43" s="10"/>
      <c r="I43" s="11"/>
      <c r="J43" s="11"/>
      <c r="K43" s="11"/>
      <c r="L43" s="11"/>
      <c r="M43" s="11"/>
      <c r="N43" s="11"/>
      <c r="O43" s="12"/>
      <c r="P43" s="11"/>
      <c r="Q43" s="13"/>
      <c r="R43" s="14"/>
    </row>
    <row r="44" spans="1:18" ht="15" customHeight="1" x14ac:dyDescent="0.3">
      <c r="A44" s="15" t="s">
        <v>26</v>
      </c>
      <c r="B44" s="15" t="s">
        <v>713</v>
      </c>
      <c r="C44" s="16">
        <v>0.83333333333333337</v>
      </c>
      <c r="D44" s="15" t="s">
        <v>31</v>
      </c>
      <c r="E44" s="15" t="s">
        <v>80</v>
      </c>
      <c r="F44" s="15" t="s">
        <v>660</v>
      </c>
      <c r="G44" s="256"/>
      <c r="H44" s="10"/>
      <c r="I44" s="11"/>
      <c r="J44" s="11"/>
      <c r="K44" s="11"/>
      <c r="L44" s="11"/>
      <c r="M44" s="11"/>
      <c r="N44" s="11"/>
      <c r="O44" s="12"/>
      <c r="P44" s="11"/>
      <c r="Q44" s="13"/>
      <c r="R44" s="14"/>
    </row>
    <row r="45" spans="1:18" ht="15" customHeight="1" x14ac:dyDescent="0.3">
      <c r="A45" s="15" t="s">
        <v>26</v>
      </c>
      <c r="B45" s="15" t="s">
        <v>713</v>
      </c>
      <c r="C45" s="16">
        <v>0.83333333333333337</v>
      </c>
      <c r="D45" s="15" t="s">
        <v>34</v>
      </c>
      <c r="E45" s="15" t="s">
        <v>80</v>
      </c>
      <c r="F45" s="15" t="s">
        <v>43</v>
      </c>
      <c r="G45" s="256"/>
      <c r="H45" s="10"/>
      <c r="I45" s="11"/>
      <c r="J45" s="11"/>
      <c r="K45" s="11"/>
      <c r="L45" s="11"/>
      <c r="M45" s="11"/>
      <c r="N45" s="11"/>
      <c r="O45" s="12"/>
      <c r="P45" s="11"/>
      <c r="Q45" s="13"/>
      <c r="R45" s="14"/>
    </row>
    <row r="46" spans="1:18" ht="15" customHeight="1" x14ac:dyDescent="0.3">
      <c r="A46" s="17" t="s">
        <v>36</v>
      </c>
      <c r="B46" s="17" t="s">
        <v>717</v>
      </c>
      <c r="C46" s="18">
        <v>0.30555555555555552</v>
      </c>
      <c r="D46" s="17" t="s">
        <v>38</v>
      </c>
      <c r="E46" s="17" t="s">
        <v>29</v>
      </c>
      <c r="F46" s="17" t="s">
        <v>602</v>
      </c>
      <c r="G46" s="256"/>
      <c r="H46" s="10"/>
      <c r="I46" s="11"/>
      <c r="J46" s="11"/>
      <c r="K46" s="11"/>
      <c r="L46" s="11"/>
      <c r="M46" s="11"/>
      <c r="N46" s="11"/>
      <c r="O46" s="12"/>
      <c r="P46" s="11"/>
      <c r="Q46" s="13"/>
      <c r="R46" s="14"/>
    </row>
    <row r="47" spans="1:18" ht="15" customHeight="1" x14ac:dyDescent="0.3">
      <c r="A47" s="15" t="s">
        <v>36</v>
      </c>
      <c r="B47" s="15" t="s">
        <v>717</v>
      </c>
      <c r="C47" s="16">
        <v>0.30555555555555552</v>
      </c>
      <c r="D47" s="15" t="s">
        <v>41</v>
      </c>
      <c r="E47" s="15" t="s">
        <v>32</v>
      </c>
      <c r="F47" s="15" t="s">
        <v>77</v>
      </c>
      <c r="G47" s="256"/>
      <c r="H47" s="10"/>
      <c r="I47" s="11"/>
      <c r="J47" s="11"/>
      <c r="K47" s="11"/>
      <c r="L47" s="11"/>
      <c r="M47" s="11"/>
      <c r="N47" s="11"/>
      <c r="O47" s="12"/>
      <c r="P47" s="11"/>
      <c r="Q47" s="13"/>
      <c r="R47" s="14"/>
    </row>
    <row r="48" spans="1:18" ht="15" customHeight="1" x14ac:dyDescent="0.3">
      <c r="A48" s="15" t="s">
        <v>36</v>
      </c>
      <c r="B48" s="15" t="s">
        <v>717</v>
      </c>
      <c r="C48" s="16">
        <v>0.30555555555555552</v>
      </c>
      <c r="D48" s="15" t="s">
        <v>44</v>
      </c>
      <c r="E48" s="15" t="s">
        <v>32</v>
      </c>
      <c r="F48" s="15" t="s">
        <v>596</v>
      </c>
      <c r="G48" s="256"/>
      <c r="H48" s="10"/>
      <c r="I48" s="11"/>
      <c r="J48" s="11"/>
      <c r="K48" s="11"/>
      <c r="L48" s="11"/>
      <c r="M48" s="11"/>
      <c r="N48" s="11"/>
      <c r="O48" s="12"/>
      <c r="P48" s="11"/>
      <c r="Q48" s="13"/>
      <c r="R48" s="14"/>
    </row>
    <row r="49" spans="1:18" ht="15" customHeight="1" x14ac:dyDescent="0.3">
      <c r="A49" s="17" t="s">
        <v>323</v>
      </c>
      <c r="B49" s="17" t="s">
        <v>715</v>
      </c>
      <c r="C49" s="18">
        <v>0.21527777777777779</v>
      </c>
      <c r="D49" s="17" t="s">
        <v>249</v>
      </c>
      <c r="E49" s="17" t="s">
        <v>59</v>
      </c>
      <c r="F49" s="17" t="s">
        <v>743</v>
      </c>
      <c r="G49" s="256"/>
      <c r="H49" s="10"/>
      <c r="I49" s="11"/>
      <c r="J49" s="11"/>
      <c r="K49" s="11"/>
      <c r="L49" s="11"/>
      <c r="M49" s="11"/>
      <c r="N49" s="11"/>
      <c r="O49" s="12"/>
      <c r="P49" s="11"/>
      <c r="Q49" s="13"/>
      <c r="R49" s="14"/>
    </row>
    <row r="50" spans="1:18" ht="15" customHeight="1" x14ac:dyDescent="0.3">
      <c r="A50" s="17" t="s">
        <v>46</v>
      </c>
      <c r="B50" s="17" t="s">
        <v>727</v>
      </c>
      <c r="C50" s="18">
        <v>0.1701388888888889</v>
      </c>
      <c r="D50" s="17" t="s">
        <v>48</v>
      </c>
      <c r="E50" s="17" t="s">
        <v>49</v>
      </c>
      <c r="F50" s="17" t="s">
        <v>744</v>
      </c>
      <c r="G50" s="256"/>
      <c r="H50" s="10"/>
      <c r="I50" s="11"/>
      <c r="J50" s="11"/>
      <c r="K50" s="11"/>
      <c r="L50" s="11"/>
      <c r="M50" s="11"/>
      <c r="N50" s="11"/>
      <c r="O50" s="12"/>
      <c r="P50" s="11"/>
      <c r="Q50" s="13"/>
      <c r="R50" s="14"/>
    </row>
    <row r="51" spans="1:18" ht="15" customHeight="1" x14ac:dyDescent="0.3">
      <c r="A51" s="19" t="s">
        <v>46</v>
      </c>
      <c r="B51" s="19" t="s">
        <v>725</v>
      </c>
      <c r="C51" s="20">
        <v>0.56944444444444442</v>
      </c>
      <c r="D51" s="19" t="s">
        <v>48</v>
      </c>
      <c r="E51" s="19" t="s">
        <v>52</v>
      </c>
      <c r="F51" s="19" t="s">
        <v>739</v>
      </c>
      <c r="G51" s="256"/>
      <c r="H51" s="10"/>
      <c r="I51" s="11"/>
      <c r="J51" s="11"/>
      <c r="K51" s="11"/>
      <c r="L51" s="11"/>
      <c r="M51" s="11"/>
      <c r="N51" s="11"/>
      <c r="O51" s="12"/>
      <c r="P51" s="11"/>
      <c r="Q51" s="13"/>
      <c r="R51" s="14"/>
    </row>
    <row r="52" spans="1:18" ht="15" customHeight="1" x14ac:dyDescent="0.3">
      <c r="A52" s="19" t="s">
        <v>46</v>
      </c>
      <c r="B52" s="19" t="s">
        <v>728</v>
      </c>
      <c r="C52" s="20">
        <v>0.86458333333333337</v>
      </c>
      <c r="D52" s="19" t="s">
        <v>48</v>
      </c>
      <c r="E52" s="19" t="s">
        <v>52</v>
      </c>
      <c r="F52" s="19" t="s">
        <v>745</v>
      </c>
      <c r="G52" s="256"/>
      <c r="H52" s="10"/>
      <c r="I52" s="11"/>
      <c r="J52" s="11"/>
      <c r="K52" s="11"/>
      <c r="L52" s="11"/>
      <c r="M52" s="11"/>
      <c r="N52" s="11"/>
      <c r="O52" s="12"/>
      <c r="P52" s="11"/>
      <c r="Q52" s="13"/>
      <c r="R52" s="14"/>
    </row>
    <row r="53" spans="1:18" ht="15" customHeight="1" x14ac:dyDescent="0.3">
      <c r="A53" s="208" t="s">
        <v>56</v>
      </c>
      <c r="B53" s="208" t="s">
        <v>723</v>
      </c>
      <c r="C53" s="209">
        <v>0.30555555555555552</v>
      </c>
      <c r="D53" s="208" t="s">
        <v>58</v>
      </c>
      <c r="E53" s="208" t="s">
        <v>59</v>
      </c>
      <c r="F53" s="208" t="s">
        <v>740</v>
      </c>
      <c r="G53" s="257"/>
      <c r="H53" s="23"/>
      <c r="I53" s="24"/>
      <c r="J53" s="24"/>
      <c r="K53" s="24"/>
      <c r="L53" s="24"/>
      <c r="M53" s="24"/>
      <c r="N53" s="24"/>
      <c r="O53" s="25"/>
      <c r="P53" s="24"/>
      <c r="Q53" s="26"/>
      <c r="R53" s="27"/>
    </row>
  </sheetData>
  <mergeCells count="18">
    <mergeCell ref="G42:G53"/>
    <mergeCell ref="G6:G17"/>
    <mergeCell ref="A18:R18"/>
    <mergeCell ref="N1:R1"/>
    <mergeCell ref="H1:L1"/>
    <mergeCell ref="A1:E1"/>
    <mergeCell ref="G2:J2"/>
    <mergeCell ref="K2:R2"/>
    <mergeCell ref="A4:F4"/>
    <mergeCell ref="H40:R40"/>
    <mergeCell ref="A2:F2"/>
    <mergeCell ref="A3:R3"/>
    <mergeCell ref="A39:R39"/>
    <mergeCell ref="H4:R4"/>
    <mergeCell ref="A19:F19"/>
    <mergeCell ref="G21:G38"/>
    <mergeCell ref="A40:F40"/>
    <mergeCell ref="H19:R19"/>
  </mergeCells>
  <pageMargins left="0.75" right="0.75" top="1" bottom="1"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J4"/>
  <sheetViews>
    <sheetView workbookViewId="0"/>
  </sheetViews>
  <sheetFormatPr defaultRowHeight="15.6" outlineLevelCol="1" x14ac:dyDescent="0.3"/>
  <cols>
    <col min="1" max="1" width="11.6640625" style="271" bestFit="1" customWidth="1"/>
    <col min="2" max="2" width="11.109375" style="271" bestFit="1" customWidth="1"/>
    <col min="3" max="3" width="7.88671875" style="271" bestFit="1" customWidth="1"/>
    <col min="4" max="4" width="6.77734375" style="271" bestFit="1" customWidth="1"/>
    <col min="5" max="5" width="10.5546875" style="271" bestFit="1" customWidth="1"/>
    <col min="6" max="6" width="5.21875" style="271" bestFit="1" customWidth="1"/>
    <col min="7" max="7" width="10" style="271" bestFit="1" customWidth="1"/>
    <col min="8" max="8" width="7" style="271" bestFit="1" customWidth="1"/>
    <col min="9" max="10" width="8" style="271" bestFit="1" customWidth="1"/>
    <col min="11" max="11" width="12.21875" style="271" bestFit="1" customWidth="1"/>
    <col min="12" max="12" width="21.21875" style="271" bestFit="1" customWidth="1"/>
    <col min="13" max="13" width="8.77734375" style="271" bestFit="1" customWidth="1" outlineLevel="1"/>
    <col min="14" max="14" width="7.33203125" style="271" bestFit="1" customWidth="1" outlineLevel="1"/>
    <col min="15" max="15" width="9.109375" style="271" bestFit="1" customWidth="1" outlineLevel="1"/>
    <col min="16" max="16" width="15.33203125" style="271" bestFit="1" customWidth="1"/>
    <col min="17" max="20" width="3.88671875" style="271" bestFit="1" customWidth="1"/>
    <col min="21" max="21" width="4.33203125" style="271" bestFit="1" customWidth="1"/>
    <col min="22" max="22" width="5.109375" style="271" bestFit="1" customWidth="1"/>
    <col min="23" max="23" width="5.21875" style="271" bestFit="1" customWidth="1"/>
    <col min="24" max="24" width="4.77734375" style="271" bestFit="1" customWidth="1"/>
    <col min="25" max="25" width="5.33203125" style="271" bestFit="1" customWidth="1"/>
    <col min="26" max="26" width="4.88671875" style="271" bestFit="1" customWidth="1"/>
    <col min="27" max="27" width="5.88671875" style="271" bestFit="1" customWidth="1"/>
    <col min="28" max="28" width="3.88671875" style="271" bestFit="1" customWidth="1"/>
    <col min="29" max="29" width="4" style="271" bestFit="1" customWidth="1"/>
    <col min="30" max="31" width="4.21875" style="271" bestFit="1" customWidth="1"/>
    <col min="32" max="32" width="4.44140625" style="271" bestFit="1" customWidth="1"/>
    <col min="33" max="36" width="3.88671875" style="271" bestFit="1" customWidth="1"/>
    <col min="37" max="16384" width="8.88671875" style="271"/>
  </cols>
  <sheetData>
    <row r="1" spans="1:36" x14ac:dyDescent="0.3">
      <c r="A1" s="270" t="s">
        <v>104</v>
      </c>
      <c r="B1" s="270" t="s">
        <v>105</v>
      </c>
      <c r="C1" s="270" t="s">
        <v>106</v>
      </c>
      <c r="D1" s="270" t="s">
        <v>23</v>
      </c>
      <c r="E1" s="270" t="s">
        <v>107</v>
      </c>
      <c r="F1" s="270" t="s">
        <v>108</v>
      </c>
      <c r="G1" s="270" t="s">
        <v>16</v>
      </c>
      <c r="H1" s="270" t="s">
        <v>109</v>
      </c>
      <c r="I1" s="270" t="s">
        <v>110</v>
      </c>
      <c r="J1" s="270" t="s">
        <v>111</v>
      </c>
      <c r="K1" s="270" t="s">
        <v>112</v>
      </c>
      <c r="L1" s="270" t="s">
        <v>18</v>
      </c>
      <c r="M1" s="270" t="s">
        <v>20</v>
      </c>
      <c r="N1" s="270" t="s">
        <v>21</v>
      </c>
      <c r="O1" s="270" t="s">
        <v>19</v>
      </c>
      <c r="P1" s="270" t="s">
        <v>22</v>
      </c>
      <c r="Q1" s="270" t="s">
        <v>113</v>
      </c>
      <c r="R1" s="270" t="s">
        <v>114</v>
      </c>
      <c r="S1" s="270" t="s">
        <v>115</v>
      </c>
      <c r="T1" s="270" t="s">
        <v>116</v>
      </c>
      <c r="U1" s="270" t="s">
        <v>117</v>
      </c>
      <c r="V1" s="270" t="s">
        <v>118</v>
      </c>
      <c r="W1" s="270" t="s">
        <v>119</v>
      </c>
      <c r="X1" s="270" t="s">
        <v>120</v>
      </c>
      <c r="Y1" s="270" t="s">
        <v>121</v>
      </c>
      <c r="Z1" s="270" t="s">
        <v>122</v>
      </c>
      <c r="AA1" s="270" t="s">
        <v>123</v>
      </c>
      <c r="AB1" s="270" t="s">
        <v>124</v>
      </c>
      <c r="AC1" s="270" t="s">
        <v>125</v>
      </c>
      <c r="AD1" s="270" t="s">
        <v>126</v>
      </c>
      <c r="AE1" s="270" t="s">
        <v>127</v>
      </c>
      <c r="AF1" s="270" t="s">
        <v>128</v>
      </c>
      <c r="AG1" s="270" t="s">
        <v>129</v>
      </c>
      <c r="AH1" s="270" t="s">
        <v>130</v>
      </c>
      <c r="AI1" s="270" t="s">
        <v>131</v>
      </c>
      <c r="AJ1" s="270" t="s">
        <v>132</v>
      </c>
    </row>
    <row r="2" spans="1:36" x14ac:dyDescent="0.3">
      <c r="A2" s="272" t="s">
        <v>369</v>
      </c>
      <c r="B2" s="273">
        <v>45982</v>
      </c>
      <c r="C2" s="274" t="s">
        <v>721</v>
      </c>
      <c r="D2" s="275" t="s">
        <v>746</v>
      </c>
      <c r="E2" s="274" t="s">
        <v>712</v>
      </c>
      <c r="F2" s="274" t="s">
        <v>135</v>
      </c>
      <c r="G2" s="276">
        <v>0.61309999999999998</v>
      </c>
      <c r="H2" s="277">
        <v>168</v>
      </c>
      <c r="I2" s="277">
        <v>103</v>
      </c>
      <c r="J2" s="277">
        <v>0</v>
      </c>
      <c r="K2" s="274" t="s">
        <v>136</v>
      </c>
      <c r="L2" s="278" t="s">
        <v>180</v>
      </c>
      <c r="M2" s="277">
        <v>0</v>
      </c>
      <c r="N2" s="277">
        <v>6</v>
      </c>
      <c r="O2" s="277">
        <v>14</v>
      </c>
      <c r="P2" s="274" t="s">
        <v>327</v>
      </c>
      <c r="Q2" s="270"/>
      <c r="R2" s="270"/>
      <c r="S2" s="270"/>
      <c r="T2" s="270"/>
      <c r="U2" s="277" t="s">
        <v>747</v>
      </c>
      <c r="V2" s="277" t="s">
        <v>748</v>
      </c>
      <c r="W2" s="277" t="s">
        <v>749</v>
      </c>
      <c r="X2" s="277" t="s">
        <v>750</v>
      </c>
      <c r="Y2" s="277" t="s">
        <v>751</v>
      </c>
      <c r="Z2" s="277" t="s">
        <v>444</v>
      </c>
      <c r="AA2" s="277" t="s">
        <v>571</v>
      </c>
      <c r="AB2" s="270"/>
      <c r="AC2" s="270"/>
      <c r="AD2" s="270"/>
      <c r="AE2" s="277" t="s">
        <v>752</v>
      </c>
      <c r="AF2" s="270"/>
      <c r="AG2" s="270"/>
      <c r="AH2" s="270"/>
      <c r="AI2" s="270"/>
      <c r="AJ2" s="270"/>
    </row>
    <row r="3" spans="1:36" x14ac:dyDescent="0.3">
      <c r="A3" s="272" t="s">
        <v>133</v>
      </c>
      <c r="B3" s="273">
        <v>45983</v>
      </c>
      <c r="C3" s="274" t="s">
        <v>721</v>
      </c>
      <c r="D3" s="275" t="s">
        <v>678</v>
      </c>
      <c r="E3" s="274" t="s">
        <v>712</v>
      </c>
      <c r="F3" s="274" t="s">
        <v>135</v>
      </c>
      <c r="G3" s="276">
        <v>0.48209999999999997</v>
      </c>
      <c r="H3" s="277">
        <v>168</v>
      </c>
      <c r="I3" s="277">
        <v>81</v>
      </c>
      <c r="J3" s="277">
        <v>0</v>
      </c>
      <c r="K3" s="274" t="s">
        <v>136</v>
      </c>
      <c r="L3" s="278" t="s">
        <v>270</v>
      </c>
      <c r="M3" s="277">
        <v>0</v>
      </c>
      <c r="N3" s="277">
        <v>0</v>
      </c>
      <c r="O3" s="277">
        <v>3</v>
      </c>
      <c r="P3" s="274" t="s">
        <v>352</v>
      </c>
      <c r="Q3" s="270"/>
      <c r="R3" s="270"/>
      <c r="S3" s="270"/>
      <c r="T3" s="270"/>
      <c r="U3" s="270"/>
      <c r="V3" s="270"/>
      <c r="W3" s="270"/>
      <c r="X3" s="270"/>
      <c r="Y3" s="277" t="s">
        <v>252</v>
      </c>
      <c r="Z3" s="277" t="s">
        <v>753</v>
      </c>
      <c r="AA3" s="277" t="s">
        <v>539</v>
      </c>
      <c r="AB3" s="270"/>
      <c r="AC3" s="277" t="s">
        <v>754</v>
      </c>
      <c r="AD3" s="277" t="s">
        <v>152</v>
      </c>
      <c r="AE3" s="277" t="s">
        <v>755</v>
      </c>
      <c r="AF3" s="277" t="s">
        <v>756</v>
      </c>
      <c r="AG3" s="270"/>
      <c r="AH3" s="270"/>
      <c r="AI3" s="270"/>
      <c r="AJ3" s="270"/>
    </row>
    <row r="4" spans="1:36" ht="21" x14ac:dyDescent="0.3">
      <c r="A4" s="279" t="s">
        <v>946</v>
      </c>
      <c r="B4" s="280"/>
      <c r="C4" s="279">
        <f>SUBTOTAL(103,DMM_CAI_LF_LEGACY[Flt])</f>
        <v>2</v>
      </c>
      <c r="D4" s="279"/>
      <c r="E4" s="279">
        <f>SUBTOTAL(103,DMM_CAI_LF_LEGACY[Brd-Off])</f>
        <v>2</v>
      </c>
      <c r="F4" s="279"/>
      <c r="G4" s="281">
        <f>SUBTOTAL(101,DMM_CAI_LF_LEGACY[LF%])</f>
        <v>0.54759999999999998</v>
      </c>
      <c r="H4" s="282">
        <f>SUBTOTAL(109,DMM_CAI_LF_LEGACY[CAP])</f>
        <v>336</v>
      </c>
      <c r="I4" s="282">
        <f>SUBTOTAL(109,DMM_CAI_LF_LEGACY[BKG(Y)])</f>
        <v>184</v>
      </c>
      <c r="J4" s="282">
        <f>SUBTOTAL(109,DMM_CAI_LF_LEGACY[GRP(Y)])</f>
        <v>0</v>
      </c>
      <c r="K4" s="279"/>
      <c r="L4" s="280"/>
      <c r="M4" s="282">
        <f>SUBTOTAL(109,DMM_CAI_LF_LEGACY[TO-DAY])</f>
        <v>0</v>
      </c>
      <c r="N4" s="282">
        <f>SUBTOTAL(109,DMM_CAI_LF_LEGACY[Y-DAY])</f>
        <v>6</v>
      </c>
      <c r="O4" s="282">
        <f>SUBTOTAL(109,DMM_CAI_LF_LEGACY[WEEKLY])</f>
        <v>17</v>
      </c>
      <c r="P4" s="283"/>
      <c r="Q4" s="279">
        <f>SUBTOTAL(109,DMM_CAI_LF_LEGACY[Y])</f>
        <v>0</v>
      </c>
      <c r="R4" s="279">
        <f>SUBTOTAL(109,DMM_CAI_LF_LEGACY[B])</f>
        <v>0</v>
      </c>
      <c r="S4" s="279">
        <f>SUBTOTAL(109,DMM_CAI_LF_LEGACY[M])</f>
        <v>0</v>
      </c>
      <c r="T4" s="279">
        <f>SUBTOTAL(109,DMM_CAI_LF_LEGACY[H])</f>
        <v>0</v>
      </c>
      <c r="U4" s="279">
        <f>SUBTOTAL(109,DMM_CAI_LF_LEGACY[Q])</f>
        <v>0</v>
      </c>
      <c r="V4" s="279">
        <f>SUBTOTAL(109,DMM_CAI_LF_LEGACY[K])</f>
        <v>0</v>
      </c>
      <c r="W4" s="279">
        <f>SUBTOTAL(109,DMM_CAI_LF_LEGACY[V])</f>
        <v>0</v>
      </c>
      <c r="X4" s="279">
        <f>SUBTOTAL(109,DMM_CAI_LF_LEGACY[L])</f>
        <v>0</v>
      </c>
      <c r="Y4" s="282">
        <f>SUBTOTAL(109,DMM_CAI_LF_LEGACY[G])</f>
        <v>0</v>
      </c>
      <c r="Z4" s="282">
        <f>SUBTOTAL(109,DMM_CAI_LF_LEGACY[S])</f>
        <v>0</v>
      </c>
      <c r="AA4" s="282">
        <f>SUBTOTAL(109,DMM_CAI_LF_LEGACY[W])</f>
        <v>0</v>
      </c>
      <c r="AB4" s="279">
        <f>SUBTOTAL(109,DMM_CAI_LF_LEGACY[T])</f>
        <v>0</v>
      </c>
      <c r="AC4" s="282">
        <f>SUBTOTAL(109,DMM_CAI_LF_LEGACY[X])</f>
        <v>0</v>
      </c>
      <c r="AD4" s="282">
        <f>SUBTOTAL(109,DMM_CAI_LF_LEGACY[U])</f>
        <v>0</v>
      </c>
      <c r="AE4" s="282">
        <f>SUBTOTAL(109,DMM_CAI_LF_LEGACY[O])</f>
        <v>0</v>
      </c>
      <c r="AF4" s="282">
        <f>SUBTOTAL(109,DMM_CAI_LF_LEGACY[I])</f>
        <v>0</v>
      </c>
      <c r="AG4" s="279">
        <f>SUBTOTAL(109,DMM_CAI_LF_LEGACY[E])</f>
        <v>0</v>
      </c>
      <c r="AH4" s="279">
        <f>SUBTOTAL(109,DMM_CAI_LF_LEGACY[A])</f>
        <v>0</v>
      </c>
      <c r="AI4" s="279">
        <f>SUBTOTAL(109,DMM_CAI_LF_LEGACY[P])</f>
        <v>0</v>
      </c>
      <c r="AJ4" s="279">
        <f>SUBTOTAL(103,DMM_CAI_LF_LEGACY[N])</f>
        <v>0</v>
      </c>
    </row>
  </sheetData>
  <pageMargins left="0.75" right="0.75" top="1" bottom="1" header="0.5" footer="0.5"/>
  <tableParts count="1">
    <tablePart r:id="rId1"/>
  </tableParts>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H43"/>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0" hidden="1" customWidth="1"/>
  </cols>
  <sheetData>
    <row r="1" spans="1:8" ht="18" x14ac:dyDescent="0.3">
      <c r="A1" s="57" t="s">
        <v>156</v>
      </c>
      <c r="B1" s="58" t="s">
        <v>8</v>
      </c>
      <c r="C1" s="58" t="s">
        <v>9</v>
      </c>
      <c r="D1" s="58" t="s">
        <v>157</v>
      </c>
      <c r="E1" s="58" t="s">
        <v>10</v>
      </c>
      <c r="F1" s="58" t="s">
        <v>11</v>
      </c>
      <c r="G1" s="58" t="s">
        <v>12</v>
      </c>
      <c r="H1" s="59" t="s">
        <v>13</v>
      </c>
    </row>
    <row r="2" spans="1:8" ht="19.8" customHeight="1" x14ac:dyDescent="0.3">
      <c r="A2" s="60" t="s">
        <v>158</v>
      </c>
      <c r="B2" s="61" t="s">
        <v>26</v>
      </c>
      <c r="C2" s="62" t="s">
        <v>713</v>
      </c>
      <c r="D2" s="61" t="s">
        <v>712</v>
      </c>
      <c r="E2" s="61" t="s">
        <v>757</v>
      </c>
      <c r="F2" s="61" t="s">
        <v>28</v>
      </c>
      <c r="G2" s="63">
        <v>5</v>
      </c>
      <c r="H2" s="64">
        <v>709</v>
      </c>
    </row>
    <row r="3" spans="1:8" ht="19.8" customHeight="1" x14ac:dyDescent="0.3">
      <c r="A3" s="60" t="s">
        <v>158</v>
      </c>
      <c r="B3" s="61" t="s">
        <v>323</v>
      </c>
      <c r="C3" s="62" t="s">
        <v>715</v>
      </c>
      <c r="D3" s="61" t="s">
        <v>712</v>
      </c>
      <c r="E3" s="61" t="s">
        <v>758</v>
      </c>
      <c r="F3" s="61" t="s">
        <v>245</v>
      </c>
      <c r="G3" s="63">
        <v>4</v>
      </c>
      <c r="H3" s="64">
        <v>725</v>
      </c>
    </row>
    <row r="4" spans="1:8" ht="19.8" customHeight="1" x14ac:dyDescent="0.3">
      <c r="A4" s="60" t="s">
        <v>158</v>
      </c>
      <c r="B4" s="61" t="s">
        <v>36</v>
      </c>
      <c r="C4" s="62" t="s">
        <v>717</v>
      </c>
      <c r="D4" s="61" t="s">
        <v>712</v>
      </c>
      <c r="E4" s="61" t="s">
        <v>693</v>
      </c>
      <c r="F4" s="61" t="s">
        <v>38</v>
      </c>
      <c r="G4" s="63">
        <v>6</v>
      </c>
      <c r="H4" s="64">
        <v>749</v>
      </c>
    </row>
    <row r="5" spans="1:8" ht="19.8" customHeight="1" x14ac:dyDescent="0.3">
      <c r="A5" s="60" t="s">
        <v>158</v>
      </c>
      <c r="B5" s="61" t="s">
        <v>26</v>
      </c>
      <c r="C5" s="62" t="s">
        <v>713</v>
      </c>
      <c r="D5" s="61" t="s">
        <v>712</v>
      </c>
      <c r="E5" s="61" t="s">
        <v>757</v>
      </c>
      <c r="F5" s="61" t="s">
        <v>31</v>
      </c>
      <c r="G5" s="63">
        <v>5</v>
      </c>
      <c r="H5" s="64">
        <v>809</v>
      </c>
    </row>
    <row r="6" spans="1:8" ht="19.8" customHeight="1" x14ac:dyDescent="0.3">
      <c r="A6" s="60" t="s">
        <v>158</v>
      </c>
      <c r="B6" s="61" t="s">
        <v>36</v>
      </c>
      <c r="C6" s="62" t="s">
        <v>717</v>
      </c>
      <c r="D6" s="61" t="s">
        <v>712</v>
      </c>
      <c r="E6" s="61" t="s">
        <v>693</v>
      </c>
      <c r="F6" s="61" t="s">
        <v>41</v>
      </c>
      <c r="G6" s="63">
        <v>6</v>
      </c>
      <c r="H6" s="64">
        <v>899</v>
      </c>
    </row>
    <row r="7" spans="1:8" ht="19.8" customHeight="1" x14ac:dyDescent="0.3">
      <c r="A7" s="60" t="s">
        <v>158</v>
      </c>
      <c r="B7" s="61" t="s">
        <v>26</v>
      </c>
      <c r="C7" s="62" t="s">
        <v>713</v>
      </c>
      <c r="D7" s="61" t="s">
        <v>712</v>
      </c>
      <c r="E7" s="61" t="s">
        <v>757</v>
      </c>
      <c r="F7" s="61" t="s">
        <v>34</v>
      </c>
      <c r="G7" s="63">
        <v>5</v>
      </c>
      <c r="H7" s="64">
        <v>899</v>
      </c>
    </row>
    <row r="8" spans="1:8" ht="19.8" customHeight="1" x14ac:dyDescent="0.3">
      <c r="A8" s="60" t="s">
        <v>158</v>
      </c>
      <c r="B8" s="61" t="s">
        <v>36</v>
      </c>
      <c r="C8" s="62" t="s">
        <v>717</v>
      </c>
      <c r="D8" s="61" t="s">
        <v>712</v>
      </c>
      <c r="E8" s="61" t="s">
        <v>693</v>
      </c>
      <c r="F8" s="61" t="s">
        <v>44</v>
      </c>
      <c r="G8" s="63">
        <v>6</v>
      </c>
      <c r="H8" s="65" t="s">
        <v>718</v>
      </c>
    </row>
    <row r="9" spans="1:8" ht="19.8" customHeight="1" x14ac:dyDescent="0.3">
      <c r="A9" s="100" t="s">
        <v>158</v>
      </c>
      <c r="B9" s="101" t="s">
        <v>93</v>
      </c>
      <c r="C9" s="102" t="s">
        <v>719</v>
      </c>
      <c r="D9" s="101" t="s">
        <v>712</v>
      </c>
      <c r="E9" s="101" t="s">
        <v>746</v>
      </c>
      <c r="F9" s="101" t="s">
        <v>249</v>
      </c>
      <c r="G9" s="166">
        <v>1</v>
      </c>
      <c r="H9" s="103" t="s">
        <v>720</v>
      </c>
    </row>
    <row r="10" spans="1:8" ht="19.8" customHeight="1" x14ac:dyDescent="0.3">
      <c r="A10" s="75">
        <v>45982</v>
      </c>
      <c r="B10" s="61" t="s">
        <v>56</v>
      </c>
      <c r="C10" s="62" t="s">
        <v>723</v>
      </c>
      <c r="D10" s="61" t="s">
        <v>712</v>
      </c>
      <c r="E10" s="76">
        <v>1.305555555555556</v>
      </c>
      <c r="F10" s="61" t="s">
        <v>58</v>
      </c>
      <c r="G10" s="63">
        <v>4</v>
      </c>
      <c r="H10" s="65" t="s">
        <v>724</v>
      </c>
    </row>
    <row r="11" spans="1:8" ht="19.8" customHeight="1" x14ac:dyDescent="0.3">
      <c r="A11" s="75">
        <v>45982</v>
      </c>
      <c r="B11" s="61" t="s">
        <v>46</v>
      </c>
      <c r="C11" s="62" t="s">
        <v>725</v>
      </c>
      <c r="D11" s="61" t="s">
        <v>712</v>
      </c>
      <c r="E11" s="76">
        <v>1.5277777777777779</v>
      </c>
      <c r="F11" s="61" t="s">
        <v>48</v>
      </c>
      <c r="G11" s="63">
        <v>2</v>
      </c>
      <c r="H11" s="65" t="s">
        <v>726</v>
      </c>
    </row>
    <row r="12" spans="1:8" ht="19.8" customHeight="1" x14ac:dyDescent="0.3">
      <c r="A12" s="75">
        <v>45982</v>
      </c>
      <c r="B12" s="61" t="s">
        <v>46</v>
      </c>
      <c r="C12" s="62" t="s">
        <v>727</v>
      </c>
      <c r="D12" s="61" t="s">
        <v>712</v>
      </c>
      <c r="E12" s="76">
        <v>1.1701388888888891</v>
      </c>
      <c r="F12" s="61" t="s">
        <v>48</v>
      </c>
      <c r="G12" s="63">
        <v>3</v>
      </c>
      <c r="H12" s="65" t="s">
        <v>726</v>
      </c>
    </row>
    <row r="13" spans="1:8" ht="19.8" customHeight="1" x14ac:dyDescent="0.3">
      <c r="A13" s="104">
        <v>45982</v>
      </c>
      <c r="B13" s="67" t="s">
        <v>46</v>
      </c>
      <c r="C13" s="68" t="s">
        <v>728</v>
      </c>
      <c r="D13" s="67" t="s">
        <v>712</v>
      </c>
      <c r="E13" s="105">
        <v>1.864583333333333</v>
      </c>
      <c r="F13" s="67" t="s">
        <v>48</v>
      </c>
      <c r="G13" s="69">
        <v>8</v>
      </c>
      <c r="H13" s="70" t="s">
        <v>726</v>
      </c>
    </row>
    <row r="14" spans="1:8" ht="19.8" customHeight="1" x14ac:dyDescent="0.3">
      <c r="A14" s="75">
        <v>45983</v>
      </c>
      <c r="B14" s="61" t="s">
        <v>237</v>
      </c>
      <c r="C14" s="62" t="s">
        <v>729</v>
      </c>
      <c r="D14" s="61" t="s">
        <v>712</v>
      </c>
      <c r="E14" s="76">
        <v>1.9722222222222221</v>
      </c>
      <c r="F14" s="61" t="s">
        <v>319</v>
      </c>
      <c r="G14" s="63">
        <v>9</v>
      </c>
      <c r="H14" s="64">
        <v>621</v>
      </c>
    </row>
    <row r="15" spans="1:8" ht="19.8" customHeight="1" x14ac:dyDescent="0.3">
      <c r="A15" s="75">
        <v>45983</v>
      </c>
      <c r="B15" s="61" t="s">
        <v>243</v>
      </c>
      <c r="C15" s="62" t="s">
        <v>732</v>
      </c>
      <c r="D15" s="61" t="s">
        <v>712</v>
      </c>
      <c r="E15" s="76">
        <v>1.895833333333333</v>
      </c>
      <c r="F15" s="61" t="s">
        <v>245</v>
      </c>
      <c r="G15" s="63">
        <v>1</v>
      </c>
      <c r="H15" s="64">
        <v>629</v>
      </c>
    </row>
    <row r="16" spans="1:8" ht="19.8" customHeight="1" x14ac:dyDescent="0.3">
      <c r="A16" s="75">
        <v>45983</v>
      </c>
      <c r="B16" s="61" t="s">
        <v>243</v>
      </c>
      <c r="C16" s="62" t="s">
        <v>734</v>
      </c>
      <c r="D16" s="61" t="s">
        <v>712</v>
      </c>
      <c r="E16" s="76">
        <v>1.006944444444444</v>
      </c>
      <c r="F16" s="61" t="s">
        <v>245</v>
      </c>
      <c r="G16" s="63">
        <v>1</v>
      </c>
      <c r="H16" s="64">
        <v>629</v>
      </c>
    </row>
    <row r="17" spans="1:8" ht="19.8" customHeight="1" x14ac:dyDescent="0.3">
      <c r="A17" s="75">
        <v>45983</v>
      </c>
      <c r="B17" s="61" t="s">
        <v>26</v>
      </c>
      <c r="C17" s="62" t="s">
        <v>735</v>
      </c>
      <c r="D17" s="61" t="s">
        <v>712</v>
      </c>
      <c r="E17" s="76">
        <v>1.197916666666667</v>
      </c>
      <c r="F17" s="61" t="s">
        <v>28</v>
      </c>
      <c r="G17" s="63">
        <v>5</v>
      </c>
      <c r="H17" s="64">
        <v>629</v>
      </c>
    </row>
    <row r="18" spans="1:8" ht="19.8" customHeight="1" x14ac:dyDescent="0.3">
      <c r="A18" s="75">
        <v>45983</v>
      </c>
      <c r="B18" s="61" t="s">
        <v>26</v>
      </c>
      <c r="C18" s="62" t="s">
        <v>713</v>
      </c>
      <c r="D18" s="61" t="s">
        <v>712</v>
      </c>
      <c r="E18" s="76">
        <v>1.833333333333333</v>
      </c>
      <c r="F18" s="61" t="s">
        <v>28</v>
      </c>
      <c r="G18" s="63">
        <v>6</v>
      </c>
      <c r="H18" s="64">
        <v>629</v>
      </c>
    </row>
    <row r="19" spans="1:8" ht="19.8" customHeight="1" x14ac:dyDescent="0.3">
      <c r="A19" s="75">
        <v>45983</v>
      </c>
      <c r="B19" s="61" t="s">
        <v>36</v>
      </c>
      <c r="C19" s="62" t="s">
        <v>717</v>
      </c>
      <c r="D19" s="61" t="s">
        <v>712</v>
      </c>
      <c r="E19" s="76">
        <v>1.305555555555556</v>
      </c>
      <c r="F19" s="61" t="s">
        <v>38</v>
      </c>
      <c r="G19" s="63">
        <v>5</v>
      </c>
      <c r="H19" s="64">
        <v>649</v>
      </c>
    </row>
    <row r="20" spans="1:8" ht="19.8" customHeight="1" x14ac:dyDescent="0.3">
      <c r="A20" s="75">
        <v>45983</v>
      </c>
      <c r="B20" s="61" t="s">
        <v>323</v>
      </c>
      <c r="C20" s="62" t="s">
        <v>736</v>
      </c>
      <c r="D20" s="61" t="s">
        <v>712</v>
      </c>
      <c r="E20" s="76">
        <v>1.1736111111111109</v>
      </c>
      <c r="F20" s="61" t="s">
        <v>245</v>
      </c>
      <c r="G20" s="63">
        <v>6</v>
      </c>
      <c r="H20" s="64">
        <v>725</v>
      </c>
    </row>
    <row r="21" spans="1:8" ht="19.8" customHeight="1" x14ac:dyDescent="0.3">
      <c r="A21" s="75">
        <v>45983</v>
      </c>
      <c r="B21" s="61" t="s">
        <v>26</v>
      </c>
      <c r="C21" s="62" t="s">
        <v>735</v>
      </c>
      <c r="D21" s="61" t="s">
        <v>712</v>
      </c>
      <c r="E21" s="76">
        <v>1.197916666666667</v>
      </c>
      <c r="F21" s="61" t="s">
        <v>31</v>
      </c>
      <c r="G21" s="63">
        <v>5</v>
      </c>
      <c r="H21" s="64">
        <v>729</v>
      </c>
    </row>
    <row r="22" spans="1:8" ht="19.8" customHeight="1" x14ac:dyDescent="0.3">
      <c r="A22" s="75">
        <v>45983</v>
      </c>
      <c r="B22" s="61" t="s">
        <v>26</v>
      </c>
      <c r="C22" s="62" t="s">
        <v>713</v>
      </c>
      <c r="D22" s="61" t="s">
        <v>712</v>
      </c>
      <c r="E22" s="76">
        <v>1.833333333333333</v>
      </c>
      <c r="F22" s="61" t="s">
        <v>31</v>
      </c>
      <c r="G22" s="63">
        <v>6</v>
      </c>
      <c r="H22" s="64">
        <v>729</v>
      </c>
    </row>
    <row r="23" spans="1:8" ht="19.8" customHeight="1" x14ac:dyDescent="0.3">
      <c r="A23" s="75">
        <v>45983</v>
      </c>
      <c r="B23" s="61" t="s">
        <v>36</v>
      </c>
      <c r="C23" s="62" t="s">
        <v>717</v>
      </c>
      <c r="D23" s="61" t="s">
        <v>712</v>
      </c>
      <c r="E23" s="76">
        <v>1.305555555555556</v>
      </c>
      <c r="F23" s="61" t="s">
        <v>41</v>
      </c>
      <c r="G23" s="63">
        <v>5</v>
      </c>
      <c r="H23" s="64">
        <v>799</v>
      </c>
    </row>
    <row r="24" spans="1:8" ht="19.8" customHeight="1" x14ac:dyDescent="0.3">
      <c r="A24" s="168">
        <v>45983</v>
      </c>
      <c r="B24" s="101" t="s">
        <v>93</v>
      </c>
      <c r="C24" s="102" t="s">
        <v>719</v>
      </c>
      <c r="D24" s="101" t="s">
        <v>712</v>
      </c>
      <c r="E24" s="169">
        <v>1.9236111111111109</v>
      </c>
      <c r="F24" s="101" t="s">
        <v>249</v>
      </c>
      <c r="G24" s="166">
        <v>2</v>
      </c>
      <c r="H24" s="167">
        <v>806</v>
      </c>
    </row>
    <row r="25" spans="1:8" ht="19.8" customHeight="1" x14ac:dyDescent="0.3">
      <c r="A25" s="75">
        <v>45983</v>
      </c>
      <c r="B25" s="61" t="s">
        <v>26</v>
      </c>
      <c r="C25" s="62" t="s">
        <v>735</v>
      </c>
      <c r="D25" s="61" t="s">
        <v>712</v>
      </c>
      <c r="E25" s="76">
        <v>1.197916666666667</v>
      </c>
      <c r="F25" s="61" t="s">
        <v>34</v>
      </c>
      <c r="G25" s="63">
        <v>5</v>
      </c>
      <c r="H25" s="64">
        <v>819</v>
      </c>
    </row>
    <row r="26" spans="1:8" ht="19.8" customHeight="1" x14ac:dyDescent="0.3">
      <c r="A26" s="75">
        <v>45983</v>
      </c>
      <c r="B26" s="61" t="s">
        <v>26</v>
      </c>
      <c r="C26" s="62" t="s">
        <v>713</v>
      </c>
      <c r="D26" s="61" t="s">
        <v>712</v>
      </c>
      <c r="E26" s="76">
        <v>1.833333333333333</v>
      </c>
      <c r="F26" s="61" t="s">
        <v>34</v>
      </c>
      <c r="G26" s="63">
        <v>6</v>
      </c>
      <c r="H26" s="64">
        <v>819</v>
      </c>
    </row>
    <row r="27" spans="1:8" ht="19.8" customHeight="1" x14ac:dyDescent="0.3">
      <c r="A27" s="75">
        <v>45983</v>
      </c>
      <c r="B27" s="61" t="s">
        <v>237</v>
      </c>
      <c r="C27" s="62" t="s">
        <v>729</v>
      </c>
      <c r="D27" s="61" t="s">
        <v>712</v>
      </c>
      <c r="E27" s="76">
        <v>1.9722222222222221</v>
      </c>
      <c r="F27" s="61" t="s">
        <v>44</v>
      </c>
      <c r="G27" s="63">
        <v>9</v>
      </c>
      <c r="H27" s="64">
        <v>847</v>
      </c>
    </row>
    <row r="28" spans="1:8" ht="19.8" customHeight="1" x14ac:dyDescent="0.3">
      <c r="A28" s="75">
        <v>45983</v>
      </c>
      <c r="B28" s="61" t="s">
        <v>36</v>
      </c>
      <c r="C28" s="62" t="s">
        <v>717</v>
      </c>
      <c r="D28" s="61" t="s">
        <v>712</v>
      </c>
      <c r="E28" s="76">
        <v>1.305555555555556</v>
      </c>
      <c r="F28" s="61" t="s">
        <v>44</v>
      </c>
      <c r="G28" s="63">
        <v>5</v>
      </c>
      <c r="H28" s="64">
        <v>899</v>
      </c>
    </row>
    <row r="29" spans="1:8" ht="19.8" customHeight="1" x14ac:dyDescent="0.3">
      <c r="A29" s="75">
        <v>45983</v>
      </c>
      <c r="B29" s="61" t="s">
        <v>46</v>
      </c>
      <c r="C29" s="62" t="s">
        <v>727</v>
      </c>
      <c r="D29" s="61" t="s">
        <v>712</v>
      </c>
      <c r="E29" s="76">
        <v>1.1701388888888891</v>
      </c>
      <c r="F29" s="61" t="s">
        <v>48</v>
      </c>
      <c r="G29" s="63">
        <v>6</v>
      </c>
      <c r="H29" s="65" t="s">
        <v>739</v>
      </c>
    </row>
    <row r="30" spans="1:8" ht="19.8" customHeight="1" x14ac:dyDescent="0.3">
      <c r="A30" s="75">
        <v>45983</v>
      </c>
      <c r="B30" s="61" t="s">
        <v>46</v>
      </c>
      <c r="C30" s="62" t="s">
        <v>728</v>
      </c>
      <c r="D30" s="61" t="s">
        <v>712</v>
      </c>
      <c r="E30" s="76">
        <v>1.864583333333333</v>
      </c>
      <c r="F30" s="61" t="s">
        <v>48</v>
      </c>
      <c r="G30" s="63">
        <v>8</v>
      </c>
      <c r="H30" s="65" t="s">
        <v>739</v>
      </c>
    </row>
    <row r="31" spans="1:8" ht="19.8" customHeight="1" x14ac:dyDescent="0.3">
      <c r="A31" s="104">
        <v>45983</v>
      </c>
      <c r="B31" s="67" t="s">
        <v>56</v>
      </c>
      <c r="C31" s="68" t="s">
        <v>723</v>
      </c>
      <c r="D31" s="67" t="s">
        <v>712</v>
      </c>
      <c r="E31" s="105">
        <v>1.305555555555556</v>
      </c>
      <c r="F31" s="67" t="s">
        <v>58</v>
      </c>
      <c r="G31" s="69">
        <v>4</v>
      </c>
      <c r="H31" s="70" t="s">
        <v>740</v>
      </c>
    </row>
    <row r="32" spans="1:8" ht="19.8" customHeight="1" x14ac:dyDescent="0.3">
      <c r="A32" s="75">
        <v>45984</v>
      </c>
      <c r="B32" s="61" t="s">
        <v>243</v>
      </c>
      <c r="C32" s="62" t="s">
        <v>741</v>
      </c>
      <c r="D32" s="61" t="s">
        <v>712</v>
      </c>
      <c r="E32" s="76">
        <v>1.958333333333333</v>
      </c>
      <c r="F32" s="61" t="s">
        <v>249</v>
      </c>
      <c r="G32" s="63">
        <v>6</v>
      </c>
      <c r="H32" s="64">
        <v>563</v>
      </c>
    </row>
    <row r="33" spans="1:8" ht="19.8" customHeight="1" x14ac:dyDescent="0.3">
      <c r="A33" s="75">
        <v>45984</v>
      </c>
      <c r="B33" s="61" t="s">
        <v>26</v>
      </c>
      <c r="C33" s="62" t="s">
        <v>713</v>
      </c>
      <c r="D33" s="61" t="s">
        <v>712</v>
      </c>
      <c r="E33" s="76">
        <v>1.833333333333333</v>
      </c>
      <c r="F33" s="61" t="s">
        <v>28</v>
      </c>
      <c r="G33" s="63">
        <v>1</v>
      </c>
      <c r="H33" s="64">
        <v>579</v>
      </c>
    </row>
    <row r="34" spans="1:8" ht="19.8" customHeight="1" x14ac:dyDescent="0.3">
      <c r="A34" s="75">
        <v>45984</v>
      </c>
      <c r="B34" s="61" t="s">
        <v>36</v>
      </c>
      <c r="C34" s="62" t="s">
        <v>717</v>
      </c>
      <c r="D34" s="61" t="s">
        <v>712</v>
      </c>
      <c r="E34" s="76">
        <v>1.305555555555556</v>
      </c>
      <c r="F34" s="61" t="s">
        <v>38</v>
      </c>
      <c r="G34" s="63">
        <v>9</v>
      </c>
      <c r="H34" s="64">
        <v>649</v>
      </c>
    </row>
    <row r="35" spans="1:8" ht="19.8" customHeight="1" x14ac:dyDescent="0.3">
      <c r="A35" s="75">
        <v>45984</v>
      </c>
      <c r="B35" s="61" t="s">
        <v>323</v>
      </c>
      <c r="C35" s="62" t="s">
        <v>715</v>
      </c>
      <c r="D35" s="61" t="s">
        <v>712</v>
      </c>
      <c r="E35" s="76">
        <v>1.2152777777777779</v>
      </c>
      <c r="F35" s="61" t="s">
        <v>249</v>
      </c>
      <c r="G35" s="63">
        <v>4</v>
      </c>
      <c r="H35" s="64">
        <v>656</v>
      </c>
    </row>
    <row r="36" spans="1:8" ht="19.8" customHeight="1" x14ac:dyDescent="0.3">
      <c r="A36" s="75">
        <v>45984</v>
      </c>
      <c r="B36" s="61" t="s">
        <v>26</v>
      </c>
      <c r="C36" s="62" t="s">
        <v>713</v>
      </c>
      <c r="D36" s="61" t="s">
        <v>712</v>
      </c>
      <c r="E36" s="76">
        <v>1.833333333333333</v>
      </c>
      <c r="F36" s="61" t="s">
        <v>31</v>
      </c>
      <c r="G36" s="63">
        <v>1</v>
      </c>
      <c r="H36" s="64">
        <v>679</v>
      </c>
    </row>
    <row r="37" spans="1:8" ht="19.8" customHeight="1" x14ac:dyDescent="0.3">
      <c r="A37" s="75">
        <v>45984</v>
      </c>
      <c r="B37" s="61" t="s">
        <v>46</v>
      </c>
      <c r="C37" s="62" t="s">
        <v>727</v>
      </c>
      <c r="D37" s="61" t="s">
        <v>712</v>
      </c>
      <c r="E37" s="76">
        <v>1.1701388888888891</v>
      </c>
      <c r="F37" s="61" t="s">
        <v>48</v>
      </c>
      <c r="G37" s="63">
        <v>9</v>
      </c>
      <c r="H37" s="64">
        <v>730</v>
      </c>
    </row>
    <row r="38" spans="1:8" ht="19.8" customHeight="1" x14ac:dyDescent="0.3">
      <c r="A38" s="75">
        <v>45984</v>
      </c>
      <c r="B38" s="61" t="s">
        <v>26</v>
      </c>
      <c r="C38" s="62" t="s">
        <v>713</v>
      </c>
      <c r="D38" s="61" t="s">
        <v>712</v>
      </c>
      <c r="E38" s="76">
        <v>1.833333333333333</v>
      </c>
      <c r="F38" s="61" t="s">
        <v>34</v>
      </c>
      <c r="G38" s="63">
        <v>1</v>
      </c>
      <c r="H38" s="64">
        <v>769</v>
      </c>
    </row>
    <row r="39" spans="1:8" ht="19.8" customHeight="1" x14ac:dyDescent="0.3">
      <c r="A39" s="75">
        <v>45984</v>
      </c>
      <c r="B39" s="61" t="s">
        <v>36</v>
      </c>
      <c r="C39" s="62" t="s">
        <v>717</v>
      </c>
      <c r="D39" s="61" t="s">
        <v>712</v>
      </c>
      <c r="E39" s="76">
        <v>1.305555555555556</v>
      </c>
      <c r="F39" s="61" t="s">
        <v>41</v>
      </c>
      <c r="G39" s="63">
        <v>9</v>
      </c>
      <c r="H39" s="64">
        <v>799</v>
      </c>
    </row>
    <row r="40" spans="1:8" ht="19.8" customHeight="1" x14ac:dyDescent="0.3">
      <c r="A40" s="75">
        <v>45984</v>
      </c>
      <c r="B40" s="61" t="s">
        <v>36</v>
      </c>
      <c r="C40" s="62" t="s">
        <v>717</v>
      </c>
      <c r="D40" s="61" t="s">
        <v>712</v>
      </c>
      <c r="E40" s="76">
        <v>1.305555555555556</v>
      </c>
      <c r="F40" s="61" t="s">
        <v>44</v>
      </c>
      <c r="G40" s="63">
        <v>9</v>
      </c>
      <c r="H40" s="64">
        <v>899</v>
      </c>
    </row>
    <row r="41" spans="1:8" ht="19.8" customHeight="1" x14ac:dyDescent="0.3">
      <c r="A41" s="75">
        <v>45984</v>
      </c>
      <c r="B41" s="61" t="s">
        <v>46</v>
      </c>
      <c r="C41" s="62" t="s">
        <v>725</v>
      </c>
      <c r="D41" s="61" t="s">
        <v>712</v>
      </c>
      <c r="E41" s="76">
        <v>1.569444444444444</v>
      </c>
      <c r="F41" s="61" t="s">
        <v>48</v>
      </c>
      <c r="G41" s="63">
        <v>9</v>
      </c>
      <c r="H41" s="65" t="s">
        <v>739</v>
      </c>
    </row>
    <row r="42" spans="1:8" ht="19.8" customHeight="1" x14ac:dyDescent="0.3">
      <c r="A42" s="75">
        <v>45984</v>
      </c>
      <c r="B42" s="61" t="s">
        <v>46</v>
      </c>
      <c r="C42" s="62" t="s">
        <v>728</v>
      </c>
      <c r="D42" s="61" t="s">
        <v>712</v>
      </c>
      <c r="E42" s="76">
        <v>1.864583333333333</v>
      </c>
      <c r="F42" s="61" t="s">
        <v>48</v>
      </c>
      <c r="G42" s="63">
        <v>9</v>
      </c>
      <c r="H42" s="65" t="s">
        <v>745</v>
      </c>
    </row>
    <row r="43" spans="1:8" ht="19.8" customHeight="1" x14ac:dyDescent="0.3">
      <c r="A43" s="104">
        <v>45984</v>
      </c>
      <c r="B43" s="67" t="s">
        <v>56</v>
      </c>
      <c r="C43" s="68" t="s">
        <v>723</v>
      </c>
      <c r="D43" s="67" t="s">
        <v>712</v>
      </c>
      <c r="E43" s="105">
        <v>1.305555555555556</v>
      </c>
      <c r="F43" s="67" t="s">
        <v>58</v>
      </c>
      <c r="G43" s="69">
        <v>4</v>
      </c>
      <c r="H43" s="70" t="s">
        <v>740</v>
      </c>
    </row>
  </sheetData>
  <pageMargins left="0.75" right="0.75" top="1" bottom="1" header="0.5" footer="0.5"/>
  <legacyDrawing r:id="rId1"/>
  <tableParts count="1">
    <tablePart r:id="rId2"/>
  </tableParts>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H18"/>
  <sheetViews>
    <sheetView workbookViewId="0"/>
  </sheetViews>
  <sheetFormatPr defaultRowHeight="14.4" x14ac:dyDescent="0.3"/>
  <cols>
    <col min="1" max="1" width="11.21875" bestFit="1" customWidth="1"/>
    <col min="2" max="2" width="15.554687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0" hidden="1" customWidth="1"/>
  </cols>
  <sheetData>
    <row r="1" spans="1:8" ht="18" x14ac:dyDescent="0.3">
      <c r="A1" s="57" t="s">
        <v>156</v>
      </c>
      <c r="B1" s="58" t="s">
        <v>8</v>
      </c>
      <c r="C1" s="58" t="s">
        <v>9</v>
      </c>
      <c r="D1" s="58" t="s">
        <v>157</v>
      </c>
      <c r="E1" s="58" t="s">
        <v>10</v>
      </c>
      <c r="F1" s="58" t="s">
        <v>11</v>
      </c>
      <c r="G1" s="58" t="s">
        <v>12</v>
      </c>
      <c r="H1" s="59" t="s">
        <v>13</v>
      </c>
    </row>
    <row r="2" spans="1:8" ht="19.8" customHeight="1" x14ac:dyDescent="0.3">
      <c r="A2" s="71" t="s">
        <v>158</v>
      </c>
      <c r="B2" s="72" t="s">
        <v>93</v>
      </c>
      <c r="C2" s="73" t="s">
        <v>719</v>
      </c>
      <c r="D2" s="72" t="s">
        <v>712</v>
      </c>
      <c r="E2" s="72" t="s">
        <v>746</v>
      </c>
      <c r="F2" s="72" t="s">
        <v>249</v>
      </c>
      <c r="G2" s="205">
        <v>1</v>
      </c>
      <c r="H2" s="74" t="s">
        <v>720</v>
      </c>
    </row>
    <row r="3" spans="1:8" ht="19.8" customHeight="1" x14ac:dyDescent="0.3">
      <c r="A3" s="75">
        <v>45983</v>
      </c>
      <c r="B3" s="61" t="s">
        <v>323</v>
      </c>
      <c r="C3" s="62" t="s">
        <v>736</v>
      </c>
      <c r="D3" s="61" t="s">
        <v>712</v>
      </c>
      <c r="E3" s="76">
        <v>1.1736111111111109</v>
      </c>
      <c r="F3" s="61" t="s">
        <v>245</v>
      </c>
      <c r="G3" s="63">
        <v>6</v>
      </c>
      <c r="H3" s="64">
        <v>725</v>
      </c>
    </row>
    <row r="4" spans="1:8" ht="19.8" customHeight="1" x14ac:dyDescent="0.3">
      <c r="A4" s="75">
        <v>45983</v>
      </c>
      <c r="B4" s="61" t="s">
        <v>26</v>
      </c>
      <c r="C4" s="62" t="s">
        <v>735</v>
      </c>
      <c r="D4" s="61" t="s">
        <v>712</v>
      </c>
      <c r="E4" s="76">
        <v>1.197916666666667</v>
      </c>
      <c r="F4" s="61" t="s">
        <v>31</v>
      </c>
      <c r="G4" s="63">
        <v>5</v>
      </c>
      <c r="H4" s="64">
        <v>729</v>
      </c>
    </row>
    <row r="5" spans="1:8" ht="19.8" customHeight="1" x14ac:dyDescent="0.3">
      <c r="A5" s="75">
        <v>45983</v>
      </c>
      <c r="B5" s="61" t="s">
        <v>26</v>
      </c>
      <c r="C5" s="62" t="s">
        <v>713</v>
      </c>
      <c r="D5" s="61" t="s">
        <v>712</v>
      </c>
      <c r="E5" s="76">
        <v>1.833333333333333</v>
      </c>
      <c r="F5" s="61" t="s">
        <v>31</v>
      </c>
      <c r="G5" s="63">
        <v>6</v>
      </c>
      <c r="H5" s="64">
        <v>729</v>
      </c>
    </row>
    <row r="6" spans="1:8" ht="19.8" customHeight="1" x14ac:dyDescent="0.3">
      <c r="A6" s="77">
        <v>45983</v>
      </c>
      <c r="B6" s="72" t="s">
        <v>93</v>
      </c>
      <c r="C6" s="73" t="s">
        <v>719</v>
      </c>
      <c r="D6" s="72" t="s">
        <v>712</v>
      </c>
      <c r="E6" s="78">
        <v>1.9236111111111109</v>
      </c>
      <c r="F6" s="72" t="s">
        <v>249</v>
      </c>
      <c r="G6" s="205">
        <v>2</v>
      </c>
      <c r="H6" s="206">
        <v>806</v>
      </c>
    </row>
    <row r="7" spans="1:8" ht="19.8" customHeight="1" x14ac:dyDescent="0.3">
      <c r="A7" s="75">
        <v>45984</v>
      </c>
      <c r="B7" s="61" t="s">
        <v>243</v>
      </c>
      <c r="C7" s="62" t="s">
        <v>741</v>
      </c>
      <c r="D7" s="61" t="s">
        <v>712</v>
      </c>
      <c r="E7" s="76">
        <v>1.958333333333333</v>
      </c>
      <c r="F7" s="61" t="s">
        <v>249</v>
      </c>
      <c r="G7" s="63">
        <v>6</v>
      </c>
      <c r="H7" s="64">
        <v>563</v>
      </c>
    </row>
    <row r="8" spans="1:8" ht="19.8" customHeight="1" x14ac:dyDescent="0.3">
      <c r="A8" s="75">
        <v>45984</v>
      </c>
      <c r="B8" s="61" t="s">
        <v>26</v>
      </c>
      <c r="C8" s="62" t="s">
        <v>713</v>
      </c>
      <c r="D8" s="61" t="s">
        <v>712</v>
      </c>
      <c r="E8" s="76">
        <v>1.833333333333333</v>
      </c>
      <c r="F8" s="61" t="s">
        <v>28</v>
      </c>
      <c r="G8" s="63">
        <v>1</v>
      </c>
      <c r="H8" s="64">
        <v>579</v>
      </c>
    </row>
    <row r="9" spans="1:8" ht="19.8" customHeight="1" x14ac:dyDescent="0.3">
      <c r="A9" s="75">
        <v>45984</v>
      </c>
      <c r="B9" s="61" t="s">
        <v>36</v>
      </c>
      <c r="C9" s="62" t="s">
        <v>717</v>
      </c>
      <c r="D9" s="61" t="s">
        <v>712</v>
      </c>
      <c r="E9" s="76">
        <v>1.305555555555556</v>
      </c>
      <c r="F9" s="61" t="s">
        <v>38</v>
      </c>
      <c r="G9" s="63">
        <v>9</v>
      </c>
      <c r="H9" s="64">
        <v>649</v>
      </c>
    </row>
    <row r="10" spans="1:8" ht="19.8" customHeight="1" x14ac:dyDescent="0.3">
      <c r="A10" s="75">
        <v>45984</v>
      </c>
      <c r="B10" s="61" t="s">
        <v>323</v>
      </c>
      <c r="C10" s="62" t="s">
        <v>715</v>
      </c>
      <c r="D10" s="61" t="s">
        <v>712</v>
      </c>
      <c r="E10" s="76">
        <v>1.2152777777777779</v>
      </c>
      <c r="F10" s="61" t="s">
        <v>249</v>
      </c>
      <c r="G10" s="63">
        <v>4</v>
      </c>
      <c r="H10" s="64">
        <v>656</v>
      </c>
    </row>
    <row r="11" spans="1:8" ht="19.8" customHeight="1" x14ac:dyDescent="0.3">
      <c r="A11" s="75">
        <v>45984</v>
      </c>
      <c r="B11" s="61" t="s">
        <v>26</v>
      </c>
      <c r="C11" s="62" t="s">
        <v>713</v>
      </c>
      <c r="D11" s="61" t="s">
        <v>712</v>
      </c>
      <c r="E11" s="76">
        <v>1.833333333333333</v>
      </c>
      <c r="F11" s="61" t="s">
        <v>31</v>
      </c>
      <c r="G11" s="63">
        <v>1</v>
      </c>
      <c r="H11" s="64">
        <v>679</v>
      </c>
    </row>
    <row r="12" spans="1:8" ht="19.8" customHeight="1" x14ac:dyDescent="0.3">
      <c r="A12" s="75">
        <v>45984</v>
      </c>
      <c r="B12" s="61" t="s">
        <v>46</v>
      </c>
      <c r="C12" s="62" t="s">
        <v>727</v>
      </c>
      <c r="D12" s="61" t="s">
        <v>712</v>
      </c>
      <c r="E12" s="76">
        <v>1.1701388888888891</v>
      </c>
      <c r="F12" s="61" t="s">
        <v>48</v>
      </c>
      <c r="G12" s="63">
        <v>9</v>
      </c>
      <c r="H12" s="64">
        <v>730</v>
      </c>
    </row>
    <row r="13" spans="1:8" ht="19.8" customHeight="1" x14ac:dyDescent="0.3">
      <c r="A13" s="75">
        <v>45984</v>
      </c>
      <c r="B13" s="61" t="s">
        <v>26</v>
      </c>
      <c r="C13" s="62" t="s">
        <v>713</v>
      </c>
      <c r="D13" s="61" t="s">
        <v>712</v>
      </c>
      <c r="E13" s="76">
        <v>1.833333333333333</v>
      </c>
      <c r="F13" s="61" t="s">
        <v>34</v>
      </c>
      <c r="G13" s="63">
        <v>1</v>
      </c>
      <c r="H13" s="64">
        <v>769</v>
      </c>
    </row>
    <row r="14" spans="1:8" ht="19.8" customHeight="1" x14ac:dyDescent="0.3">
      <c r="A14" s="75">
        <v>45984</v>
      </c>
      <c r="B14" s="61" t="s">
        <v>36</v>
      </c>
      <c r="C14" s="62" t="s">
        <v>717</v>
      </c>
      <c r="D14" s="61" t="s">
        <v>712</v>
      </c>
      <c r="E14" s="76">
        <v>1.305555555555556</v>
      </c>
      <c r="F14" s="61" t="s">
        <v>41</v>
      </c>
      <c r="G14" s="63">
        <v>9</v>
      </c>
      <c r="H14" s="64">
        <v>799</v>
      </c>
    </row>
    <row r="15" spans="1:8" ht="19.8" customHeight="1" x14ac:dyDescent="0.3">
      <c r="A15" s="75">
        <v>45984</v>
      </c>
      <c r="B15" s="61" t="s">
        <v>36</v>
      </c>
      <c r="C15" s="62" t="s">
        <v>717</v>
      </c>
      <c r="D15" s="61" t="s">
        <v>712</v>
      </c>
      <c r="E15" s="76">
        <v>1.305555555555556</v>
      </c>
      <c r="F15" s="61" t="s">
        <v>44</v>
      </c>
      <c r="G15" s="63">
        <v>9</v>
      </c>
      <c r="H15" s="64">
        <v>899</v>
      </c>
    </row>
    <row r="16" spans="1:8" ht="19.8" customHeight="1" x14ac:dyDescent="0.3">
      <c r="A16" s="75">
        <v>45984</v>
      </c>
      <c r="B16" s="61" t="s">
        <v>46</v>
      </c>
      <c r="C16" s="62" t="s">
        <v>725</v>
      </c>
      <c r="D16" s="61" t="s">
        <v>712</v>
      </c>
      <c r="E16" s="76">
        <v>1.569444444444444</v>
      </c>
      <c r="F16" s="61" t="s">
        <v>48</v>
      </c>
      <c r="G16" s="63">
        <v>9</v>
      </c>
      <c r="H16" s="65" t="s">
        <v>739</v>
      </c>
    </row>
    <row r="17" spans="1:8" ht="19.8" customHeight="1" x14ac:dyDescent="0.3">
      <c r="A17" s="75">
        <v>45984</v>
      </c>
      <c r="B17" s="61" t="s">
        <v>46</v>
      </c>
      <c r="C17" s="62" t="s">
        <v>728</v>
      </c>
      <c r="D17" s="61" t="s">
        <v>712</v>
      </c>
      <c r="E17" s="76">
        <v>1.864583333333333</v>
      </c>
      <c r="F17" s="61" t="s">
        <v>48</v>
      </c>
      <c r="G17" s="63">
        <v>9</v>
      </c>
      <c r="H17" s="65" t="s">
        <v>745</v>
      </c>
    </row>
    <row r="18" spans="1:8" ht="19.8" customHeight="1" x14ac:dyDescent="0.3">
      <c r="A18" s="104">
        <v>45984</v>
      </c>
      <c r="B18" s="67" t="s">
        <v>56</v>
      </c>
      <c r="C18" s="68" t="s">
        <v>723</v>
      </c>
      <c r="D18" s="67" t="s">
        <v>712</v>
      </c>
      <c r="E18" s="105">
        <v>1.305555555555556</v>
      </c>
      <c r="F18" s="67" t="s">
        <v>58</v>
      </c>
      <c r="G18" s="69">
        <v>4</v>
      </c>
      <c r="H18" s="70" t="s">
        <v>740</v>
      </c>
    </row>
  </sheetData>
  <pageMargins left="0.75" right="0.75" top="1" bottom="1" header="0.5" footer="0.5"/>
  <legacyDrawing r:id="rId1"/>
  <tableParts count="1">
    <tablePart r:id="rId2"/>
  </tableParts>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CN19"/>
  <sheetViews>
    <sheetView workbookViewId="0"/>
  </sheetViews>
  <sheetFormatPr defaultRowHeight="14.4" x14ac:dyDescent="0.3"/>
  <cols>
    <col min="1" max="1" width="15.77734375" bestFit="1" customWidth="1"/>
    <col min="2" max="2" width="15.6640625" bestFit="1" customWidth="1"/>
    <col min="3" max="3" width="14.77734375" bestFit="1" customWidth="1"/>
    <col min="4" max="4" width="34.21875" bestFit="1" customWidth="1"/>
    <col min="5" max="5" width="19" bestFit="1" customWidth="1"/>
    <col min="6" max="6" width="23.44140625" bestFit="1" customWidth="1"/>
    <col min="7" max="7" width="44.5546875" bestFit="1" customWidth="1"/>
    <col min="8" max="8" width="9.44140625" bestFit="1" customWidth="1"/>
    <col min="9" max="9" width="8" bestFit="1" customWidth="1"/>
    <col min="10" max="10" width="7.5546875" bestFit="1" customWidth="1"/>
    <col min="11" max="11" width="23.44140625" bestFit="1" customWidth="1"/>
    <col min="12" max="12" width="10.5546875" bestFit="1" customWidth="1"/>
    <col min="13" max="13" width="10.109375" bestFit="1" customWidth="1"/>
    <col min="14" max="14" width="8.5546875" bestFit="1" customWidth="1"/>
    <col min="15" max="15" width="17.88671875" bestFit="1" customWidth="1"/>
    <col min="16" max="16" width="6.21875" bestFit="1" customWidth="1"/>
    <col min="17" max="17" width="12.21875" bestFit="1" customWidth="1"/>
    <col min="18" max="18" width="52.88671875" bestFit="1" customWidth="1"/>
  </cols>
  <sheetData>
    <row r="1" spans="1:92" ht="28.8" customHeight="1" x14ac:dyDescent="0.3">
      <c r="A1" s="260" t="s">
        <v>0</v>
      </c>
      <c r="B1" s="253"/>
      <c r="C1" s="253"/>
      <c r="D1" s="253"/>
      <c r="E1" s="253"/>
      <c r="F1" s="1" t="s">
        <v>759</v>
      </c>
      <c r="G1" s="2" t="s">
        <v>2</v>
      </c>
      <c r="H1" s="259">
        <v>45982</v>
      </c>
      <c r="I1" s="253"/>
      <c r="J1" s="253"/>
      <c r="K1" s="253"/>
      <c r="L1" s="253"/>
      <c r="M1" s="1" t="s">
        <v>3</v>
      </c>
      <c r="N1" s="266">
        <v>45984</v>
      </c>
      <c r="O1" s="253"/>
      <c r="P1" s="253"/>
      <c r="Q1" s="253"/>
      <c r="R1" s="253"/>
      <c r="CA1" s="3"/>
      <c r="CB1" s="3"/>
      <c r="CC1" s="3"/>
      <c r="CD1" s="3"/>
      <c r="CE1" s="3"/>
      <c r="CF1" s="3"/>
      <c r="CG1" s="3"/>
      <c r="CH1" s="3"/>
      <c r="CI1" s="3"/>
      <c r="CJ1" s="3"/>
      <c r="CK1" s="3"/>
      <c r="CL1" s="3"/>
      <c r="CM1" s="3"/>
      <c r="CN1" s="3"/>
    </row>
    <row r="2" spans="1:92" ht="23.4" customHeight="1" x14ac:dyDescent="0.3">
      <c r="A2" s="252" t="s">
        <v>4</v>
      </c>
      <c r="B2" s="253"/>
      <c r="C2" s="253"/>
      <c r="D2" s="253"/>
      <c r="E2" s="253"/>
      <c r="F2" s="253"/>
      <c r="G2" s="261">
        <v>45981.017848052383</v>
      </c>
      <c r="H2" s="253"/>
      <c r="I2" s="253"/>
      <c r="J2" s="253"/>
      <c r="K2" s="262">
        <v>45981.01784805303</v>
      </c>
      <c r="L2" s="253"/>
      <c r="M2" s="253"/>
      <c r="N2" s="253"/>
      <c r="O2" s="253"/>
      <c r="P2" s="253"/>
      <c r="Q2" s="253"/>
      <c r="R2" s="253"/>
      <c r="CA2" s="3"/>
      <c r="CB2" s="3"/>
      <c r="CC2" s="3"/>
      <c r="CD2" s="3"/>
      <c r="CE2" s="3"/>
      <c r="CF2" s="3"/>
      <c r="CG2" s="3"/>
      <c r="CH2" s="3"/>
      <c r="CI2" s="3"/>
      <c r="CJ2" s="3"/>
      <c r="CK2" s="3"/>
      <c r="CL2" s="3"/>
      <c r="CM2" s="3"/>
      <c r="CN2" s="3"/>
    </row>
    <row r="3" spans="1:92" ht="24" customHeight="1" x14ac:dyDescent="0.3">
      <c r="A3" s="254" t="s">
        <v>5</v>
      </c>
      <c r="B3" s="253"/>
      <c r="C3" s="253"/>
      <c r="D3" s="253"/>
      <c r="E3" s="253"/>
      <c r="F3" s="253"/>
      <c r="G3" s="253"/>
      <c r="H3" s="253"/>
      <c r="I3" s="253"/>
      <c r="J3" s="253"/>
      <c r="K3" s="253"/>
      <c r="L3" s="253"/>
      <c r="M3" s="253"/>
      <c r="N3" s="253"/>
      <c r="O3" s="253"/>
      <c r="P3" s="253"/>
      <c r="Q3" s="253"/>
      <c r="R3" s="253"/>
      <c r="CA3" s="3"/>
      <c r="CB3" s="3"/>
      <c r="CC3" s="3"/>
      <c r="CD3" s="3"/>
      <c r="CE3" s="3"/>
      <c r="CF3" s="3"/>
      <c r="CG3" s="3"/>
      <c r="CH3" s="3"/>
      <c r="CI3" s="3"/>
      <c r="CJ3" s="3"/>
      <c r="CK3" s="3"/>
      <c r="CL3" s="3"/>
      <c r="CM3" s="3"/>
      <c r="CN3" s="3"/>
    </row>
    <row r="4" spans="1:92" ht="22.05" customHeight="1" x14ac:dyDescent="0.3">
      <c r="A4" s="263" t="s">
        <v>6</v>
      </c>
      <c r="B4" s="250"/>
      <c r="C4" s="250"/>
      <c r="D4" s="250"/>
      <c r="E4" s="250"/>
      <c r="F4" s="251"/>
      <c r="G4" s="4">
        <v>45982</v>
      </c>
      <c r="H4" s="264" t="s">
        <v>7</v>
      </c>
      <c r="I4" s="250"/>
      <c r="J4" s="250"/>
      <c r="K4" s="250"/>
      <c r="L4" s="250"/>
      <c r="M4" s="250"/>
      <c r="N4" s="250"/>
      <c r="O4" s="250"/>
      <c r="P4" s="250"/>
      <c r="Q4" s="250"/>
      <c r="R4" s="251"/>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15" customHeight="1" x14ac:dyDescent="0.3">
      <c r="A6" s="196" t="s">
        <v>93</v>
      </c>
      <c r="B6" s="196" t="s">
        <v>760</v>
      </c>
      <c r="C6" s="197">
        <v>0.29166666666666669</v>
      </c>
      <c r="D6" s="196" t="s">
        <v>249</v>
      </c>
      <c r="E6" s="196" t="s">
        <v>89</v>
      </c>
      <c r="F6" s="196" t="s">
        <v>761</v>
      </c>
      <c r="G6" s="255"/>
      <c r="H6" s="198" t="s">
        <v>762</v>
      </c>
      <c r="I6" s="199">
        <v>0.84519999999999995</v>
      </c>
      <c r="J6" s="200">
        <v>142</v>
      </c>
      <c r="K6" s="201" t="s">
        <v>180</v>
      </c>
      <c r="L6" s="200">
        <v>64</v>
      </c>
      <c r="M6" s="200">
        <v>0</v>
      </c>
      <c r="N6" s="200">
        <v>8</v>
      </c>
      <c r="O6" s="202" t="s">
        <v>377</v>
      </c>
      <c r="P6" s="203">
        <v>0.29166666666666669</v>
      </c>
      <c r="Q6" s="200">
        <v>168</v>
      </c>
      <c r="R6" s="204" t="s">
        <v>763</v>
      </c>
    </row>
    <row r="7" spans="1:92" ht="18" x14ac:dyDescent="0.3">
      <c r="A7" s="267" t="s">
        <v>764</v>
      </c>
      <c r="B7" s="268"/>
      <c r="C7" s="268"/>
      <c r="D7" s="268"/>
      <c r="E7" s="268"/>
      <c r="F7" s="269"/>
      <c r="G7" s="256"/>
      <c r="H7" s="79"/>
      <c r="I7" s="79"/>
      <c r="J7" s="79"/>
      <c r="K7" s="79"/>
      <c r="L7" s="79"/>
      <c r="M7" s="79"/>
      <c r="N7" s="79"/>
      <c r="O7" s="80"/>
      <c r="P7" s="79"/>
      <c r="Q7" s="56"/>
      <c r="R7" s="56"/>
    </row>
    <row r="8" spans="1:92" ht="15" customHeight="1" x14ac:dyDescent="0.3">
      <c r="A8" s="19" t="s">
        <v>26</v>
      </c>
      <c r="B8" s="19" t="s">
        <v>713</v>
      </c>
      <c r="C8" s="20" t="s">
        <v>757</v>
      </c>
      <c r="D8" s="19" t="s">
        <v>28</v>
      </c>
      <c r="E8" s="19" t="s">
        <v>478</v>
      </c>
      <c r="F8" s="19" t="s">
        <v>76</v>
      </c>
      <c r="G8" s="256"/>
      <c r="H8" s="79"/>
      <c r="I8" s="79"/>
      <c r="J8" s="79"/>
      <c r="K8" s="79"/>
      <c r="L8" s="79"/>
      <c r="M8" s="79"/>
      <c r="N8" s="79"/>
      <c r="O8" s="80"/>
      <c r="P8" s="79"/>
      <c r="Q8" s="56"/>
      <c r="R8" s="56"/>
    </row>
    <row r="9" spans="1:92" ht="15" customHeight="1" x14ac:dyDescent="0.3">
      <c r="A9" s="19" t="s">
        <v>323</v>
      </c>
      <c r="B9" s="19" t="s">
        <v>715</v>
      </c>
      <c r="C9" s="20" t="s">
        <v>758</v>
      </c>
      <c r="D9" s="19" t="s">
        <v>245</v>
      </c>
      <c r="E9" s="19" t="s">
        <v>177</v>
      </c>
      <c r="F9" s="19" t="s">
        <v>716</v>
      </c>
      <c r="G9" s="256"/>
      <c r="H9" s="79"/>
      <c r="I9" s="79"/>
      <c r="J9" s="79"/>
      <c r="K9" s="79"/>
      <c r="L9" s="79"/>
      <c r="M9" s="79"/>
      <c r="N9" s="79"/>
      <c r="O9" s="80"/>
      <c r="P9" s="79"/>
      <c r="Q9" s="56"/>
      <c r="R9" s="56"/>
    </row>
    <row r="10" spans="1:92" ht="15" customHeight="1" x14ac:dyDescent="0.3">
      <c r="A10" s="19" t="s">
        <v>36</v>
      </c>
      <c r="B10" s="19" t="s">
        <v>717</v>
      </c>
      <c r="C10" s="20" t="s">
        <v>693</v>
      </c>
      <c r="D10" s="19" t="s">
        <v>38</v>
      </c>
      <c r="E10" s="19" t="s">
        <v>182</v>
      </c>
      <c r="F10" s="19" t="s">
        <v>35</v>
      </c>
      <c r="G10" s="256"/>
      <c r="H10" s="79"/>
      <c r="I10" s="79"/>
      <c r="J10" s="79"/>
      <c r="K10" s="79"/>
      <c r="L10" s="79"/>
      <c r="M10" s="79"/>
      <c r="N10" s="79"/>
      <c r="O10" s="80"/>
      <c r="P10" s="79"/>
      <c r="Q10" s="56"/>
      <c r="R10" s="56"/>
    </row>
    <row r="11" spans="1:92" ht="15" customHeight="1" x14ac:dyDescent="0.3">
      <c r="A11" s="19" t="s">
        <v>26</v>
      </c>
      <c r="B11" s="19" t="s">
        <v>713</v>
      </c>
      <c r="C11" s="20" t="s">
        <v>757</v>
      </c>
      <c r="D11" s="19" t="s">
        <v>31</v>
      </c>
      <c r="E11" s="19" t="s">
        <v>478</v>
      </c>
      <c r="F11" s="19" t="s">
        <v>714</v>
      </c>
      <c r="G11" s="256"/>
      <c r="H11" s="79"/>
      <c r="I11" s="79"/>
      <c r="J11" s="79"/>
      <c r="K11" s="79"/>
      <c r="L11" s="79"/>
      <c r="M11" s="79"/>
      <c r="N11" s="79"/>
      <c r="O11" s="80"/>
      <c r="P11" s="79"/>
      <c r="Q11" s="56"/>
      <c r="R11" s="56"/>
    </row>
    <row r="12" spans="1:92" ht="15" customHeight="1" x14ac:dyDescent="0.3">
      <c r="A12" s="19" t="s">
        <v>36</v>
      </c>
      <c r="B12" s="19" t="s">
        <v>717</v>
      </c>
      <c r="C12" s="20" t="s">
        <v>693</v>
      </c>
      <c r="D12" s="19" t="s">
        <v>41</v>
      </c>
      <c r="E12" s="19" t="s">
        <v>182</v>
      </c>
      <c r="F12" s="19" t="s">
        <v>596</v>
      </c>
      <c r="G12" s="256"/>
      <c r="H12" s="79"/>
      <c r="I12" s="79"/>
      <c r="J12" s="79"/>
      <c r="K12" s="79"/>
      <c r="L12" s="79"/>
      <c r="M12" s="79"/>
      <c r="N12" s="79"/>
      <c r="O12" s="80"/>
      <c r="P12" s="79"/>
      <c r="Q12" s="56"/>
      <c r="R12" s="56"/>
    </row>
    <row r="13" spans="1:92" ht="15" customHeight="1" x14ac:dyDescent="0.3">
      <c r="A13" s="19" t="s">
        <v>26</v>
      </c>
      <c r="B13" s="19" t="s">
        <v>713</v>
      </c>
      <c r="C13" s="20" t="s">
        <v>757</v>
      </c>
      <c r="D13" s="19" t="s">
        <v>34</v>
      </c>
      <c r="E13" s="19" t="s">
        <v>478</v>
      </c>
      <c r="F13" s="19" t="s">
        <v>596</v>
      </c>
      <c r="G13" s="256"/>
      <c r="H13" s="79"/>
      <c r="I13" s="79"/>
      <c r="J13" s="79"/>
      <c r="K13" s="79"/>
      <c r="L13" s="79"/>
      <c r="M13" s="79"/>
      <c r="N13" s="79"/>
      <c r="O13" s="80"/>
      <c r="P13" s="79"/>
      <c r="Q13" s="56"/>
      <c r="R13" s="56"/>
    </row>
    <row r="14" spans="1:92" ht="15" customHeight="1" x14ac:dyDescent="0.3">
      <c r="A14" s="19" t="s">
        <v>36</v>
      </c>
      <c r="B14" s="19" t="s">
        <v>717</v>
      </c>
      <c r="C14" s="20" t="s">
        <v>693</v>
      </c>
      <c r="D14" s="19" t="s">
        <v>44</v>
      </c>
      <c r="E14" s="19" t="s">
        <v>182</v>
      </c>
      <c r="F14" s="19" t="s">
        <v>718</v>
      </c>
      <c r="G14" s="256"/>
      <c r="H14" s="79"/>
      <c r="I14" s="79"/>
      <c r="J14" s="79"/>
      <c r="K14" s="79"/>
      <c r="L14" s="79"/>
      <c r="M14" s="79"/>
      <c r="N14" s="79"/>
      <c r="O14" s="80"/>
      <c r="P14" s="79"/>
      <c r="Q14" s="56"/>
      <c r="R14" s="56"/>
    </row>
    <row r="15" spans="1:92" ht="15" customHeight="1" x14ac:dyDescent="0.3">
      <c r="A15" s="19" t="s">
        <v>93</v>
      </c>
      <c r="B15" s="19" t="s">
        <v>719</v>
      </c>
      <c r="C15" s="20" t="s">
        <v>746</v>
      </c>
      <c r="D15" s="19" t="s">
        <v>249</v>
      </c>
      <c r="E15" s="19" t="s">
        <v>183</v>
      </c>
      <c r="F15" s="19" t="s">
        <v>720</v>
      </c>
      <c r="G15" s="256"/>
      <c r="H15" s="79"/>
      <c r="I15" s="79"/>
      <c r="J15" s="79"/>
      <c r="K15" s="79"/>
      <c r="L15" s="79"/>
      <c r="M15" s="79"/>
      <c r="N15" s="79"/>
      <c r="O15" s="80"/>
      <c r="P15" s="79"/>
      <c r="Q15" s="56"/>
      <c r="R15" s="56"/>
    </row>
    <row r="16" spans="1:92" ht="15" customHeight="1" x14ac:dyDescent="0.3">
      <c r="A16" s="19" t="s">
        <v>56</v>
      </c>
      <c r="B16" s="19" t="s">
        <v>723</v>
      </c>
      <c r="C16" s="20" t="s">
        <v>693</v>
      </c>
      <c r="D16" s="19" t="s">
        <v>58</v>
      </c>
      <c r="E16" s="19" t="s">
        <v>177</v>
      </c>
      <c r="F16" s="19" t="s">
        <v>724</v>
      </c>
      <c r="G16" s="256"/>
      <c r="H16" s="79"/>
      <c r="I16" s="79"/>
      <c r="J16" s="79"/>
      <c r="K16" s="79"/>
      <c r="L16" s="79"/>
      <c r="M16" s="79"/>
      <c r="N16" s="79"/>
      <c r="O16" s="80"/>
      <c r="P16" s="79"/>
      <c r="Q16" s="56"/>
      <c r="R16" s="56"/>
    </row>
    <row r="17" spans="1:18" ht="15" customHeight="1" thickBot="1" x14ac:dyDescent="0.35">
      <c r="A17" s="81" t="s">
        <v>46</v>
      </c>
      <c r="B17" s="81" t="s">
        <v>725</v>
      </c>
      <c r="C17" s="82" t="s">
        <v>765</v>
      </c>
      <c r="D17" s="81" t="s">
        <v>48</v>
      </c>
      <c r="E17" s="81" t="s">
        <v>503</v>
      </c>
      <c r="F17" s="81" t="s">
        <v>726</v>
      </c>
      <c r="G17" s="257"/>
      <c r="H17" s="83"/>
      <c r="I17" s="83"/>
      <c r="J17" s="83"/>
      <c r="K17" s="83"/>
      <c r="L17" s="83"/>
      <c r="M17" s="83"/>
      <c r="N17" s="83"/>
      <c r="O17" s="84"/>
      <c r="P17" s="83"/>
      <c r="Q17" s="85"/>
      <c r="R17" s="85"/>
    </row>
    <row r="18" spans="1:18" ht="17.399999999999999" customHeight="1" thickBot="1" x14ac:dyDescent="0.35">
      <c r="A18" s="284"/>
      <c r="B18" s="285"/>
      <c r="C18" s="285"/>
      <c r="D18" s="285"/>
      <c r="E18" s="285"/>
      <c r="F18" s="285"/>
      <c r="G18" s="285"/>
      <c r="H18" s="285"/>
      <c r="I18" s="285"/>
      <c r="J18" s="285"/>
      <c r="K18" s="285"/>
      <c r="L18" s="285"/>
      <c r="M18" s="285"/>
      <c r="N18" s="285"/>
      <c r="O18" s="285"/>
      <c r="P18" s="285"/>
      <c r="Q18" s="285"/>
      <c r="R18" s="286"/>
    </row>
    <row r="19" spans="1:18" ht="15" thickTop="1" x14ac:dyDescent="0.3"/>
  </sheetData>
  <mergeCells count="12">
    <mergeCell ref="A18:R18"/>
    <mergeCell ref="N1:R1"/>
    <mergeCell ref="A2:F2"/>
    <mergeCell ref="A3:R3"/>
    <mergeCell ref="A7:F7"/>
    <mergeCell ref="H1:L1"/>
    <mergeCell ref="A1:E1"/>
    <mergeCell ref="G2:J2"/>
    <mergeCell ref="K2:R2"/>
    <mergeCell ref="A4:F4"/>
    <mergeCell ref="H4:R4"/>
    <mergeCell ref="G6:G17"/>
  </mergeCells>
  <pageMargins left="0.75" right="0.75" top="1" bottom="1" header="0.5" footer="0.5"/>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AJ3"/>
  <sheetViews>
    <sheetView workbookViewId="0"/>
  </sheetViews>
  <sheetFormatPr defaultRowHeight="15.6" outlineLevelCol="1" x14ac:dyDescent="0.3"/>
  <cols>
    <col min="1" max="1" width="10.21875" style="271" bestFit="1" customWidth="1"/>
    <col min="2" max="2" width="11.109375" style="271" bestFit="1" customWidth="1"/>
    <col min="3" max="3" width="7.88671875" style="271" bestFit="1" customWidth="1"/>
    <col min="4" max="4" width="6.77734375" style="271" bestFit="1" customWidth="1"/>
    <col min="5" max="5" width="11.109375" style="271" bestFit="1" customWidth="1"/>
    <col min="6" max="6" width="5.21875" style="271" bestFit="1" customWidth="1"/>
    <col min="7" max="7" width="10" style="271" bestFit="1" customWidth="1"/>
    <col min="8" max="8" width="7" style="271" bestFit="1" customWidth="1"/>
    <col min="9" max="10" width="8" style="271" bestFit="1" customWidth="1"/>
    <col min="11" max="11" width="12.21875" style="271" bestFit="1" customWidth="1"/>
    <col min="12" max="12" width="21.21875" style="271" bestFit="1" customWidth="1"/>
    <col min="13" max="13" width="8.77734375" style="271" bestFit="1" customWidth="1" outlineLevel="1"/>
    <col min="14" max="14" width="7.33203125" style="271" bestFit="1" customWidth="1" outlineLevel="1"/>
    <col min="15" max="15" width="9.109375" style="271" bestFit="1" customWidth="1" outlineLevel="1"/>
    <col min="16" max="16" width="15.33203125" style="271" bestFit="1" customWidth="1"/>
    <col min="17" max="24" width="3.88671875" style="271" bestFit="1" customWidth="1"/>
    <col min="25" max="25" width="4.21875" style="271" bestFit="1" customWidth="1"/>
    <col min="26" max="26" width="4.88671875" style="271" bestFit="1" customWidth="1"/>
    <col min="27" max="27" width="5.88671875" style="271" bestFit="1" customWidth="1"/>
    <col min="28" max="28" width="5" style="271" bestFit="1" customWidth="1"/>
    <col min="29" max="29" width="5.109375" style="271" bestFit="1" customWidth="1"/>
    <col min="30" max="31" width="5.33203125" style="271" bestFit="1" customWidth="1"/>
    <col min="32" max="32" width="4.44140625" style="271" bestFit="1" customWidth="1"/>
    <col min="33" max="36" width="3.88671875" style="271" bestFit="1" customWidth="1"/>
    <col min="37" max="16384" width="8.88671875" style="271"/>
  </cols>
  <sheetData>
    <row r="1" spans="1:36" x14ac:dyDescent="0.3">
      <c r="A1" s="270" t="s">
        <v>104</v>
      </c>
      <c r="B1" s="270" t="s">
        <v>105</v>
      </c>
      <c r="C1" s="270" t="s">
        <v>106</v>
      </c>
      <c r="D1" s="270" t="s">
        <v>23</v>
      </c>
      <c r="E1" s="270" t="s">
        <v>107</v>
      </c>
      <c r="F1" s="270" t="s">
        <v>108</v>
      </c>
      <c r="G1" s="270" t="s">
        <v>16</v>
      </c>
      <c r="H1" s="270" t="s">
        <v>109</v>
      </c>
      <c r="I1" s="270" t="s">
        <v>110</v>
      </c>
      <c r="J1" s="270" t="s">
        <v>111</v>
      </c>
      <c r="K1" s="270" t="s">
        <v>112</v>
      </c>
      <c r="L1" s="270" t="s">
        <v>18</v>
      </c>
      <c r="M1" s="270" t="s">
        <v>20</v>
      </c>
      <c r="N1" s="270" t="s">
        <v>21</v>
      </c>
      <c r="O1" s="270" t="s">
        <v>19</v>
      </c>
      <c r="P1" s="270" t="s">
        <v>22</v>
      </c>
      <c r="Q1" s="270" t="s">
        <v>113</v>
      </c>
      <c r="R1" s="270" t="s">
        <v>114</v>
      </c>
      <c r="S1" s="270" t="s">
        <v>115</v>
      </c>
      <c r="T1" s="270" t="s">
        <v>116</v>
      </c>
      <c r="U1" s="270" t="s">
        <v>117</v>
      </c>
      <c r="V1" s="270" t="s">
        <v>118</v>
      </c>
      <c r="W1" s="270" t="s">
        <v>119</v>
      </c>
      <c r="X1" s="270" t="s">
        <v>120</v>
      </c>
      <c r="Y1" s="270" t="s">
        <v>121</v>
      </c>
      <c r="Z1" s="270" t="s">
        <v>122</v>
      </c>
      <c r="AA1" s="270" t="s">
        <v>123</v>
      </c>
      <c r="AB1" s="270" t="s">
        <v>124</v>
      </c>
      <c r="AC1" s="270" t="s">
        <v>125</v>
      </c>
      <c r="AD1" s="270" t="s">
        <v>126</v>
      </c>
      <c r="AE1" s="270" t="s">
        <v>127</v>
      </c>
      <c r="AF1" s="270" t="s">
        <v>128</v>
      </c>
      <c r="AG1" s="270" t="s">
        <v>129</v>
      </c>
      <c r="AH1" s="270" t="s">
        <v>130</v>
      </c>
      <c r="AI1" s="270" t="s">
        <v>131</v>
      </c>
      <c r="AJ1" s="270" t="s">
        <v>132</v>
      </c>
    </row>
    <row r="2" spans="1:36" x14ac:dyDescent="0.3">
      <c r="A2" s="272" t="s">
        <v>369</v>
      </c>
      <c r="B2" s="273">
        <v>45982</v>
      </c>
      <c r="C2" s="274" t="s">
        <v>762</v>
      </c>
      <c r="D2" s="275" t="s">
        <v>570</v>
      </c>
      <c r="E2" s="274" t="s">
        <v>759</v>
      </c>
      <c r="F2" s="274" t="s">
        <v>135</v>
      </c>
      <c r="G2" s="276">
        <v>0.84519999999999995</v>
      </c>
      <c r="H2" s="277">
        <v>168</v>
      </c>
      <c r="I2" s="277">
        <v>142</v>
      </c>
      <c r="J2" s="277">
        <v>0</v>
      </c>
      <c r="K2" s="274" t="s">
        <v>136</v>
      </c>
      <c r="L2" s="278" t="s">
        <v>180</v>
      </c>
      <c r="M2" s="277">
        <v>0</v>
      </c>
      <c r="N2" s="277">
        <v>8</v>
      </c>
      <c r="O2" s="277">
        <v>64</v>
      </c>
      <c r="P2" s="274" t="s">
        <v>377</v>
      </c>
      <c r="Q2" s="270"/>
      <c r="R2" s="270"/>
      <c r="S2" s="270"/>
      <c r="T2" s="270"/>
      <c r="U2" s="270"/>
      <c r="V2" s="270"/>
      <c r="W2" s="270"/>
      <c r="X2" s="270"/>
      <c r="Y2" s="277" t="s">
        <v>252</v>
      </c>
      <c r="Z2" s="277" t="s">
        <v>675</v>
      </c>
      <c r="AA2" s="277" t="s">
        <v>413</v>
      </c>
      <c r="AB2" s="277" t="s">
        <v>766</v>
      </c>
      <c r="AC2" s="277" t="s">
        <v>767</v>
      </c>
      <c r="AD2" s="277" t="s">
        <v>199</v>
      </c>
      <c r="AE2" s="277" t="s">
        <v>200</v>
      </c>
      <c r="AF2" s="277" t="s">
        <v>201</v>
      </c>
      <c r="AG2" s="270"/>
      <c r="AH2" s="270"/>
      <c r="AI2" s="270"/>
      <c r="AJ2" s="270"/>
    </row>
    <row r="3" spans="1:36" ht="21" x14ac:dyDescent="0.3">
      <c r="A3" s="279" t="s">
        <v>946</v>
      </c>
      <c r="B3" s="280"/>
      <c r="C3" s="279">
        <f>SUBTOTAL(103,DMM_ATZ_LF_LEGACY[Flt])</f>
        <v>1</v>
      </c>
      <c r="D3" s="279"/>
      <c r="E3" s="279">
        <f>SUBTOTAL(103,DMM_ATZ_LF_LEGACY[Brd-Off])</f>
        <v>1</v>
      </c>
      <c r="F3" s="279"/>
      <c r="G3" s="281">
        <f>SUBTOTAL(101,DMM_ATZ_LF_LEGACY[LF%])</f>
        <v>0.84519999999999995</v>
      </c>
      <c r="H3" s="282">
        <f>SUBTOTAL(109,DMM_ATZ_LF_LEGACY[CAP])</f>
        <v>168</v>
      </c>
      <c r="I3" s="282">
        <f>SUBTOTAL(109,DMM_ATZ_LF_LEGACY[BKG(Y)])</f>
        <v>142</v>
      </c>
      <c r="J3" s="282">
        <f>SUBTOTAL(109,DMM_ATZ_LF_LEGACY[GRP(Y)])</f>
        <v>0</v>
      </c>
      <c r="K3" s="279"/>
      <c r="L3" s="280"/>
      <c r="M3" s="282">
        <f>SUBTOTAL(109,DMM_ATZ_LF_LEGACY[TO-DAY])</f>
        <v>0</v>
      </c>
      <c r="N3" s="282">
        <f>SUBTOTAL(109,DMM_ATZ_LF_LEGACY[Y-DAY])</f>
        <v>8</v>
      </c>
      <c r="O3" s="282">
        <f>SUBTOTAL(109,DMM_ATZ_LF_LEGACY[WEEKLY])</f>
        <v>64</v>
      </c>
      <c r="P3" s="283"/>
      <c r="Q3" s="279">
        <f>SUBTOTAL(109,DMM_ATZ_LF_LEGACY[Y])</f>
        <v>0</v>
      </c>
      <c r="R3" s="279">
        <f>SUBTOTAL(109,DMM_ATZ_LF_LEGACY[B])</f>
        <v>0</v>
      </c>
      <c r="S3" s="279">
        <f>SUBTOTAL(109,DMM_ATZ_LF_LEGACY[M])</f>
        <v>0</v>
      </c>
      <c r="T3" s="279">
        <f>SUBTOTAL(109,DMM_ATZ_LF_LEGACY[H])</f>
        <v>0</v>
      </c>
      <c r="U3" s="279">
        <f>SUBTOTAL(109,DMM_ATZ_LF_LEGACY[Q])</f>
        <v>0</v>
      </c>
      <c r="V3" s="279">
        <f>SUBTOTAL(109,DMM_ATZ_LF_LEGACY[K])</f>
        <v>0</v>
      </c>
      <c r="W3" s="279">
        <f>SUBTOTAL(109,DMM_ATZ_LF_LEGACY[V])</f>
        <v>0</v>
      </c>
      <c r="X3" s="279">
        <f>SUBTOTAL(109,DMM_ATZ_LF_LEGACY[L])</f>
        <v>0</v>
      </c>
      <c r="Y3" s="282">
        <f>SUBTOTAL(109,DMM_ATZ_LF_LEGACY[G])</f>
        <v>0</v>
      </c>
      <c r="Z3" s="282">
        <f>SUBTOTAL(109,DMM_ATZ_LF_LEGACY[S])</f>
        <v>0</v>
      </c>
      <c r="AA3" s="282">
        <f>SUBTOTAL(109,DMM_ATZ_LF_LEGACY[W])</f>
        <v>0</v>
      </c>
      <c r="AB3" s="282">
        <f>SUBTOTAL(109,DMM_ATZ_LF_LEGACY[T])</f>
        <v>0</v>
      </c>
      <c r="AC3" s="282">
        <f>SUBTOTAL(109,DMM_ATZ_LF_LEGACY[X])</f>
        <v>0</v>
      </c>
      <c r="AD3" s="282">
        <f>SUBTOTAL(109,DMM_ATZ_LF_LEGACY[U])</f>
        <v>0</v>
      </c>
      <c r="AE3" s="282">
        <f>SUBTOTAL(109,DMM_ATZ_LF_LEGACY[O])</f>
        <v>0</v>
      </c>
      <c r="AF3" s="282">
        <f>SUBTOTAL(109,DMM_ATZ_LF_LEGACY[I])</f>
        <v>0</v>
      </c>
      <c r="AG3" s="279">
        <f>SUBTOTAL(109,DMM_ATZ_LF_LEGACY[E])</f>
        <v>0</v>
      </c>
      <c r="AH3" s="279">
        <f>SUBTOTAL(109,DMM_ATZ_LF_LEGACY[A])</f>
        <v>0</v>
      </c>
      <c r="AI3" s="279">
        <f>SUBTOTAL(109,DMM_ATZ_LF_LEGACY[P])</f>
        <v>0</v>
      </c>
      <c r="AJ3" s="279">
        <f>SUBTOTAL(103,DMM_ATZ_LF_LEGACY[N])</f>
        <v>0</v>
      </c>
    </row>
  </sheetData>
  <pageMargins left="0.75" right="0.75" top="1" bottom="1" header="0.5" footer="0.5"/>
  <tableParts count="1">
    <tablePart r:id="rId1"/>
  </tableParts>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H35"/>
  <sheetViews>
    <sheetView workbookViewId="0"/>
  </sheetViews>
  <sheetFormatPr defaultRowHeight="14.4" x14ac:dyDescent="0.3"/>
  <cols>
    <col min="1" max="1" width="11.21875" bestFit="1" customWidth="1"/>
    <col min="2" max="2" width="16.6640625" bestFit="1" customWidth="1"/>
    <col min="3" max="3" width="19.21875" bestFit="1" customWidth="1"/>
    <col min="4" max="4" width="12.77734375" bestFit="1" customWidth="1"/>
    <col min="5" max="5" width="18.33203125" bestFit="1" customWidth="1"/>
    <col min="6" max="6" width="34.109375" bestFit="1" customWidth="1"/>
    <col min="7" max="7" width="20" bestFit="1" customWidth="1"/>
    <col min="8" max="8" width="23.6640625" bestFit="1" customWidth="1"/>
    <col min="9" max="9" width="0" hidden="1" customWidth="1"/>
  </cols>
  <sheetData>
    <row r="1" spans="1:8" ht="18" x14ac:dyDescent="0.3">
      <c r="A1" s="57" t="s">
        <v>156</v>
      </c>
      <c r="B1" s="58" t="s">
        <v>8</v>
      </c>
      <c r="C1" s="58" t="s">
        <v>9</v>
      </c>
      <c r="D1" s="58" t="s">
        <v>157</v>
      </c>
      <c r="E1" s="58" t="s">
        <v>10</v>
      </c>
      <c r="F1" s="58" t="s">
        <v>11</v>
      </c>
      <c r="G1" s="58" t="s">
        <v>12</v>
      </c>
      <c r="H1" s="59" t="s">
        <v>13</v>
      </c>
    </row>
    <row r="2" spans="1:8" ht="19.8" customHeight="1" x14ac:dyDescent="0.3">
      <c r="A2" s="100" t="s">
        <v>158</v>
      </c>
      <c r="B2" s="101" t="s">
        <v>93</v>
      </c>
      <c r="C2" s="102" t="s">
        <v>760</v>
      </c>
      <c r="D2" s="101" t="s">
        <v>759</v>
      </c>
      <c r="E2" s="101" t="s">
        <v>570</v>
      </c>
      <c r="F2" s="101" t="s">
        <v>249</v>
      </c>
      <c r="G2" s="166">
        <v>1</v>
      </c>
      <c r="H2" s="167">
        <v>596</v>
      </c>
    </row>
    <row r="3" spans="1:8" ht="19.8" customHeight="1" x14ac:dyDescent="0.3">
      <c r="A3" s="96"/>
      <c r="B3" s="97"/>
      <c r="C3" s="97"/>
      <c r="D3" s="97"/>
      <c r="E3" s="97"/>
      <c r="F3" s="98" t="s">
        <v>768</v>
      </c>
      <c r="G3" s="97"/>
      <c r="H3" s="99"/>
    </row>
    <row r="4" spans="1:8" ht="19.8" customHeight="1" x14ac:dyDescent="0.3">
      <c r="A4" s="75">
        <v>45982</v>
      </c>
      <c r="B4" s="61" t="s">
        <v>26</v>
      </c>
      <c r="C4" s="62" t="s">
        <v>713</v>
      </c>
      <c r="D4" s="61" t="s">
        <v>712</v>
      </c>
      <c r="E4" s="76">
        <v>1.833333333333333</v>
      </c>
      <c r="F4" s="61" t="s">
        <v>28</v>
      </c>
      <c r="G4" s="63">
        <v>5</v>
      </c>
      <c r="H4" s="64">
        <v>709</v>
      </c>
    </row>
    <row r="5" spans="1:8" ht="19.8" customHeight="1" x14ac:dyDescent="0.3">
      <c r="A5" s="75">
        <v>45982</v>
      </c>
      <c r="B5" s="61" t="s">
        <v>323</v>
      </c>
      <c r="C5" s="62" t="s">
        <v>715</v>
      </c>
      <c r="D5" s="61" t="s">
        <v>712</v>
      </c>
      <c r="E5" s="76">
        <v>1.2152777777777779</v>
      </c>
      <c r="F5" s="61" t="s">
        <v>245</v>
      </c>
      <c r="G5" s="63">
        <v>4</v>
      </c>
      <c r="H5" s="64">
        <v>725</v>
      </c>
    </row>
    <row r="6" spans="1:8" ht="19.8" customHeight="1" x14ac:dyDescent="0.3">
      <c r="A6" s="75">
        <v>45982</v>
      </c>
      <c r="B6" s="61" t="s">
        <v>36</v>
      </c>
      <c r="C6" s="62" t="s">
        <v>717</v>
      </c>
      <c r="D6" s="61" t="s">
        <v>712</v>
      </c>
      <c r="E6" s="76">
        <v>1.305555555555556</v>
      </c>
      <c r="F6" s="61" t="s">
        <v>38</v>
      </c>
      <c r="G6" s="63">
        <v>6</v>
      </c>
      <c r="H6" s="64">
        <v>749</v>
      </c>
    </row>
    <row r="7" spans="1:8" ht="19.8" customHeight="1" x14ac:dyDescent="0.3">
      <c r="A7" s="75">
        <v>45982</v>
      </c>
      <c r="B7" s="61" t="s">
        <v>26</v>
      </c>
      <c r="C7" s="62" t="s">
        <v>713</v>
      </c>
      <c r="D7" s="61" t="s">
        <v>712</v>
      </c>
      <c r="E7" s="76">
        <v>1.833333333333333</v>
      </c>
      <c r="F7" s="61" t="s">
        <v>31</v>
      </c>
      <c r="G7" s="63">
        <v>5</v>
      </c>
      <c r="H7" s="64">
        <v>809</v>
      </c>
    </row>
    <row r="8" spans="1:8" ht="19.8" customHeight="1" x14ac:dyDescent="0.3">
      <c r="A8" s="75">
        <v>45982</v>
      </c>
      <c r="B8" s="61" t="s">
        <v>36</v>
      </c>
      <c r="C8" s="62" t="s">
        <v>717</v>
      </c>
      <c r="D8" s="61" t="s">
        <v>712</v>
      </c>
      <c r="E8" s="76">
        <v>1.305555555555556</v>
      </c>
      <c r="F8" s="61" t="s">
        <v>41</v>
      </c>
      <c r="G8" s="63">
        <v>6</v>
      </c>
      <c r="H8" s="64">
        <v>899</v>
      </c>
    </row>
    <row r="9" spans="1:8" ht="19.8" customHeight="1" x14ac:dyDescent="0.3">
      <c r="A9" s="75">
        <v>45982</v>
      </c>
      <c r="B9" s="61" t="s">
        <v>26</v>
      </c>
      <c r="C9" s="62" t="s">
        <v>713</v>
      </c>
      <c r="D9" s="61" t="s">
        <v>712</v>
      </c>
      <c r="E9" s="76">
        <v>1.833333333333333</v>
      </c>
      <c r="F9" s="61" t="s">
        <v>34</v>
      </c>
      <c r="G9" s="63">
        <v>5</v>
      </c>
      <c r="H9" s="64">
        <v>899</v>
      </c>
    </row>
    <row r="10" spans="1:8" ht="19.8" customHeight="1" x14ac:dyDescent="0.3">
      <c r="A10" s="75">
        <v>45982</v>
      </c>
      <c r="B10" s="61" t="s">
        <v>36</v>
      </c>
      <c r="C10" s="62" t="s">
        <v>717</v>
      </c>
      <c r="D10" s="61" t="s">
        <v>712</v>
      </c>
      <c r="E10" s="76">
        <v>1.305555555555556</v>
      </c>
      <c r="F10" s="61" t="s">
        <v>44</v>
      </c>
      <c r="G10" s="63">
        <v>6</v>
      </c>
      <c r="H10" s="65" t="s">
        <v>718</v>
      </c>
    </row>
    <row r="11" spans="1:8" ht="19.8" customHeight="1" x14ac:dyDescent="0.3">
      <c r="A11" s="75">
        <v>45982</v>
      </c>
      <c r="B11" s="61" t="s">
        <v>93</v>
      </c>
      <c r="C11" s="62" t="s">
        <v>719</v>
      </c>
      <c r="D11" s="61" t="s">
        <v>712</v>
      </c>
      <c r="E11" s="76">
        <v>1.5798611111111109</v>
      </c>
      <c r="F11" s="61" t="s">
        <v>249</v>
      </c>
      <c r="G11" s="63">
        <v>1</v>
      </c>
      <c r="H11" s="65" t="s">
        <v>720</v>
      </c>
    </row>
    <row r="12" spans="1:8" ht="19.8" customHeight="1" x14ac:dyDescent="0.3">
      <c r="A12" s="75">
        <v>45982</v>
      </c>
      <c r="B12" s="61" t="s">
        <v>56</v>
      </c>
      <c r="C12" s="62" t="s">
        <v>723</v>
      </c>
      <c r="D12" s="61" t="s">
        <v>712</v>
      </c>
      <c r="E12" s="76">
        <v>1.305555555555556</v>
      </c>
      <c r="F12" s="61" t="s">
        <v>58</v>
      </c>
      <c r="G12" s="63">
        <v>4</v>
      </c>
      <c r="H12" s="65" t="s">
        <v>724</v>
      </c>
    </row>
    <row r="13" spans="1:8" ht="19.8" customHeight="1" x14ac:dyDescent="0.3">
      <c r="A13" s="104">
        <v>45982</v>
      </c>
      <c r="B13" s="67" t="s">
        <v>46</v>
      </c>
      <c r="C13" s="68" t="s">
        <v>725</v>
      </c>
      <c r="D13" s="67" t="s">
        <v>712</v>
      </c>
      <c r="E13" s="105">
        <v>1.5277777777777779</v>
      </c>
      <c r="F13" s="67" t="s">
        <v>48</v>
      </c>
      <c r="G13" s="69">
        <v>2</v>
      </c>
      <c r="H13" s="70" t="s">
        <v>726</v>
      </c>
    </row>
    <row r="14" spans="1:8" ht="19.8" customHeight="1" x14ac:dyDescent="0.3">
      <c r="A14" s="96"/>
      <c r="B14" s="97"/>
      <c r="C14" s="97"/>
      <c r="D14" s="97"/>
      <c r="E14" s="97"/>
      <c r="F14" s="98" t="s">
        <v>768</v>
      </c>
      <c r="G14" s="97"/>
      <c r="H14" s="99"/>
    </row>
    <row r="15" spans="1:8" ht="19.8" customHeight="1" x14ac:dyDescent="0.3">
      <c r="A15" s="75">
        <v>45983</v>
      </c>
      <c r="B15" s="61" t="s">
        <v>237</v>
      </c>
      <c r="C15" s="62" t="s">
        <v>729</v>
      </c>
      <c r="D15" s="61" t="s">
        <v>712</v>
      </c>
      <c r="E15" s="76">
        <v>1.9722222222222221</v>
      </c>
      <c r="F15" s="61" t="s">
        <v>319</v>
      </c>
      <c r="G15" s="63">
        <v>9</v>
      </c>
      <c r="H15" s="64">
        <v>621</v>
      </c>
    </row>
    <row r="16" spans="1:8" ht="19.8" customHeight="1" x14ac:dyDescent="0.3">
      <c r="A16" s="75">
        <v>45983</v>
      </c>
      <c r="B16" s="61" t="s">
        <v>243</v>
      </c>
      <c r="C16" s="62" t="s">
        <v>732</v>
      </c>
      <c r="D16" s="61" t="s">
        <v>712</v>
      </c>
      <c r="E16" s="76">
        <v>1.895833333333333</v>
      </c>
      <c r="F16" s="61" t="s">
        <v>245</v>
      </c>
      <c r="G16" s="63">
        <v>1</v>
      </c>
      <c r="H16" s="64">
        <v>629</v>
      </c>
    </row>
    <row r="17" spans="1:8" ht="19.8" customHeight="1" x14ac:dyDescent="0.3">
      <c r="A17" s="75">
        <v>45983</v>
      </c>
      <c r="B17" s="61" t="s">
        <v>243</v>
      </c>
      <c r="C17" s="62" t="s">
        <v>734</v>
      </c>
      <c r="D17" s="61" t="s">
        <v>712</v>
      </c>
      <c r="E17" s="76">
        <v>1.006944444444444</v>
      </c>
      <c r="F17" s="61" t="s">
        <v>245</v>
      </c>
      <c r="G17" s="63">
        <v>1</v>
      </c>
      <c r="H17" s="64">
        <v>629</v>
      </c>
    </row>
    <row r="18" spans="1:8" ht="19.8" customHeight="1" x14ac:dyDescent="0.3">
      <c r="A18" s="75">
        <v>45983</v>
      </c>
      <c r="B18" s="61" t="s">
        <v>26</v>
      </c>
      <c r="C18" s="62" t="s">
        <v>735</v>
      </c>
      <c r="D18" s="61" t="s">
        <v>712</v>
      </c>
      <c r="E18" s="76">
        <v>1.197916666666667</v>
      </c>
      <c r="F18" s="61" t="s">
        <v>28</v>
      </c>
      <c r="G18" s="63">
        <v>5</v>
      </c>
      <c r="H18" s="64">
        <v>629</v>
      </c>
    </row>
    <row r="19" spans="1:8" ht="19.8" customHeight="1" x14ac:dyDescent="0.3">
      <c r="A19" s="75">
        <v>45983</v>
      </c>
      <c r="B19" s="61" t="s">
        <v>26</v>
      </c>
      <c r="C19" s="62" t="s">
        <v>713</v>
      </c>
      <c r="D19" s="61" t="s">
        <v>712</v>
      </c>
      <c r="E19" s="76">
        <v>1.833333333333333</v>
      </c>
      <c r="F19" s="61" t="s">
        <v>28</v>
      </c>
      <c r="G19" s="63">
        <v>6</v>
      </c>
      <c r="H19" s="64">
        <v>629</v>
      </c>
    </row>
    <row r="20" spans="1:8" ht="19.8" customHeight="1" x14ac:dyDescent="0.3">
      <c r="A20" s="75">
        <v>45983</v>
      </c>
      <c r="B20" s="61" t="s">
        <v>36</v>
      </c>
      <c r="C20" s="62" t="s">
        <v>717</v>
      </c>
      <c r="D20" s="61" t="s">
        <v>712</v>
      </c>
      <c r="E20" s="76">
        <v>1.305555555555556</v>
      </c>
      <c r="F20" s="61" t="s">
        <v>38</v>
      </c>
      <c r="G20" s="63">
        <v>5</v>
      </c>
      <c r="H20" s="64">
        <v>649</v>
      </c>
    </row>
    <row r="21" spans="1:8" ht="19.8" customHeight="1" x14ac:dyDescent="0.3">
      <c r="A21" s="75">
        <v>45983</v>
      </c>
      <c r="B21" s="61" t="s">
        <v>323</v>
      </c>
      <c r="C21" s="62" t="s">
        <v>736</v>
      </c>
      <c r="D21" s="61" t="s">
        <v>712</v>
      </c>
      <c r="E21" s="76">
        <v>1.1736111111111109</v>
      </c>
      <c r="F21" s="61" t="s">
        <v>245</v>
      </c>
      <c r="G21" s="63">
        <v>6</v>
      </c>
      <c r="H21" s="64">
        <v>725</v>
      </c>
    </row>
    <row r="22" spans="1:8" ht="19.8" customHeight="1" x14ac:dyDescent="0.3">
      <c r="A22" s="75">
        <v>45983</v>
      </c>
      <c r="B22" s="61" t="s">
        <v>26</v>
      </c>
      <c r="C22" s="62" t="s">
        <v>735</v>
      </c>
      <c r="D22" s="61" t="s">
        <v>712</v>
      </c>
      <c r="E22" s="76">
        <v>1.197916666666667</v>
      </c>
      <c r="F22" s="61" t="s">
        <v>31</v>
      </c>
      <c r="G22" s="63">
        <v>5</v>
      </c>
      <c r="H22" s="64">
        <v>729</v>
      </c>
    </row>
    <row r="23" spans="1:8" ht="19.8" customHeight="1" x14ac:dyDescent="0.3">
      <c r="A23" s="75">
        <v>45983</v>
      </c>
      <c r="B23" s="61" t="s">
        <v>26</v>
      </c>
      <c r="C23" s="62" t="s">
        <v>713</v>
      </c>
      <c r="D23" s="61" t="s">
        <v>712</v>
      </c>
      <c r="E23" s="76">
        <v>1.833333333333333</v>
      </c>
      <c r="F23" s="61" t="s">
        <v>31</v>
      </c>
      <c r="G23" s="63">
        <v>6</v>
      </c>
      <c r="H23" s="64">
        <v>729</v>
      </c>
    </row>
    <row r="24" spans="1:8" ht="19.8" customHeight="1" x14ac:dyDescent="0.3">
      <c r="A24" s="104">
        <v>45983</v>
      </c>
      <c r="B24" s="67" t="s">
        <v>36</v>
      </c>
      <c r="C24" s="68" t="s">
        <v>717</v>
      </c>
      <c r="D24" s="67" t="s">
        <v>712</v>
      </c>
      <c r="E24" s="105">
        <v>1.305555555555556</v>
      </c>
      <c r="F24" s="67" t="s">
        <v>41</v>
      </c>
      <c r="G24" s="69">
        <v>5</v>
      </c>
      <c r="H24" s="176">
        <v>799</v>
      </c>
    </row>
    <row r="25" spans="1:8" ht="19.8" customHeight="1" x14ac:dyDescent="0.3">
      <c r="A25" s="96"/>
      <c r="B25" s="97"/>
      <c r="C25" s="97"/>
      <c r="D25" s="97"/>
      <c r="E25" s="97"/>
      <c r="F25" s="98" t="s">
        <v>768</v>
      </c>
      <c r="G25" s="97"/>
      <c r="H25" s="99"/>
    </row>
    <row r="26" spans="1:8" ht="19.8" customHeight="1" x14ac:dyDescent="0.3">
      <c r="A26" s="75">
        <v>45984</v>
      </c>
      <c r="B26" s="61" t="s">
        <v>243</v>
      </c>
      <c r="C26" s="62" t="s">
        <v>741</v>
      </c>
      <c r="D26" s="61" t="s">
        <v>712</v>
      </c>
      <c r="E26" s="76">
        <v>1.958333333333333</v>
      </c>
      <c r="F26" s="61" t="s">
        <v>249</v>
      </c>
      <c r="G26" s="63">
        <v>6</v>
      </c>
      <c r="H26" s="64">
        <v>563</v>
      </c>
    </row>
    <row r="27" spans="1:8" ht="19.8" customHeight="1" x14ac:dyDescent="0.3">
      <c r="A27" s="75">
        <v>45984</v>
      </c>
      <c r="B27" s="61" t="s">
        <v>26</v>
      </c>
      <c r="C27" s="62" t="s">
        <v>713</v>
      </c>
      <c r="D27" s="61" t="s">
        <v>712</v>
      </c>
      <c r="E27" s="76">
        <v>1.833333333333333</v>
      </c>
      <c r="F27" s="61" t="s">
        <v>28</v>
      </c>
      <c r="G27" s="63">
        <v>1</v>
      </c>
      <c r="H27" s="64">
        <v>579</v>
      </c>
    </row>
    <row r="28" spans="1:8" ht="19.8" customHeight="1" x14ac:dyDescent="0.3">
      <c r="A28" s="75">
        <v>45984</v>
      </c>
      <c r="B28" s="61" t="s">
        <v>36</v>
      </c>
      <c r="C28" s="62" t="s">
        <v>717</v>
      </c>
      <c r="D28" s="61" t="s">
        <v>712</v>
      </c>
      <c r="E28" s="76">
        <v>1.305555555555556</v>
      </c>
      <c r="F28" s="61" t="s">
        <v>38</v>
      </c>
      <c r="G28" s="63">
        <v>9</v>
      </c>
      <c r="H28" s="64">
        <v>649</v>
      </c>
    </row>
    <row r="29" spans="1:8" ht="19.8" customHeight="1" x14ac:dyDescent="0.3">
      <c r="A29" s="75">
        <v>45984</v>
      </c>
      <c r="B29" s="61" t="s">
        <v>323</v>
      </c>
      <c r="C29" s="62" t="s">
        <v>715</v>
      </c>
      <c r="D29" s="61" t="s">
        <v>712</v>
      </c>
      <c r="E29" s="76">
        <v>1.2152777777777779</v>
      </c>
      <c r="F29" s="61" t="s">
        <v>249</v>
      </c>
      <c r="G29" s="63">
        <v>4</v>
      </c>
      <c r="H29" s="64">
        <v>656</v>
      </c>
    </row>
    <row r="30" spans="1:8" ht="19.8" customHeight="1" x14ac:dyDescent="0.3">
      <c r="A30" s="75">
        <v>45984</v>
      </c>
      <c r="B30" s="61" t="s">
        <v>26</v>
      </c>
      <c r="C30" s="62" t="s">
        <v>713</v>
      </c>
      <c r="D30" s="61" t="s">
        <v>712</v>
      </c>
      <c r="E30" s="76">
        <v>1.833333333333333</v>
      </c>
      <c r="F30" s="61" t="s">
        <v>31</v>
      </c>
      <c r="G30" s="63">
        <v>1</v>
      </c>
      <c r="H30" s="64">
        <v>679</v>
      </c>
    </row>
    <row r="31" spans="1:8" ht="19.8" customHeight="1" x14ac:dyDescent="0.3">
      <c r="A31" s="75">
        <v>45984</v>
      </c>
      <c r="B31" s="61" t="s">
        <v>46</v>
      </c>
      <c r="C31" s="62" t="s">
        <v>727</v>
      </c>
      <c r="D31" s="61" t="s">
        <v>712</v>
      </c>
      <c r="E31" s="76">
        <v>1.1701388888888891</v>
      </c>
      <c r="F31" s="61" t="s">
        <v>48</v>
      </c>
      <c r="G31" s="63">
        <v>9</v>
      </c>
      <c r="H31" s="64">
        <v>730</v>
      </c>
    </row>
    <row r="32" spans="1:8" ht="19.8" customHeight="1" x14ac:dyDescent="0.3">
      <c r="A32" s="75">
        <v>45984</v>
      </c>
      <c r="B32" s="61" t="s">
        <v>26</v>
      </c>
      <c r="C32" s="62" t="s">
        <v>713</v>
      </c>
      <c r="D32" s="61" t="s">
        <v>712</v>
      </c>
      <c r="E32" s="76">
        <v>1.833333333333333</v>
      </c>
      <c r="F32" s="61" t="s">
        <v>34</v>
      </c>
      <c r="G32" s="63">
        <v>1</v>
      </c>
      <c r="H32" s="64">
        <v>769</v>
      </c>
    </row>
    <row r="33" spans="1:8" ht="19.8" customHeight="1" x14ac:dyDescent="0.3">
      <c r="A33" s="75">
        <v>45984</v>
      </c>
      <c r="B33" s="61" t="s">
        <v>36</v>
      </c>
      <c r="C33" s="62" t="s">
        <v>717</v>
      </c>
      <c r="D33" s="61" t="s">
        <v>712</v>
      </c>
      <c r="E33" s="76">
        <v>1.305555555555556</v>
      </c>
      <c r="F33" s="61" t="s">
        <v>41</v>
      </c>
      <c r="G33" s="63">
        <v>9</v>
      </c>
      <c r="H33" s="64">
        <v>799</v>
      </c>
    </row>
    <row r="34" spans="1:8" ht="19.8" customHeight="1" x14ac:dyDescent="0.3">
      <c r="A34" s="75">
        <v>45984</v>
      </c>
      <c r="B34" s="61" t="s">
        <v>36</v>
      </c>
      <c r="C34" s="62" t="s">
        <v>717</v>
      </c>
      <c r="D34" s="61" t="s">
        <v>712</v>
      </c>
      <c r="E34" s="76">
        <v>1.305555555555556</v>
      </c>
      <c r="F34" s="61" t="s">
        <v>44</v>
      </c>
      <c r="G34" s="63">
        <v>9</v>
      </c>
      <c r="H34" s="64">
        <v>899</v>
      </c>
    </row>
    <row r="35" spans="1:8" ht="19.8" customHeight="1" x14ac:dyDescent="0.3">
      <c r="A35" s="104">
        <v>45984</v>
      </c>
      <c r="B35" s="67" t="s">
        <v>46</v>
      </c>
      <c r="C35" s="68" t="s">
        <v>725</v>
      </c>
      <c r="D35" s="67" t="s">
        <v>712</v>
      </c>
      <c r="E35" s="105">
        <v>1.569444444444444</v>
      </c>
      <c r="F35" s="67" t="s">
        <v>48</v>
      </c>
      <c r="G35" s="69">
        <v>9</v>
      </c>
      <c r="H35" s="70" t="s">
        <v>739</v>
      </c>
    </row>
  </sheetData>
  <pageMargins left="0.75" right="0.75" top="1" bottom="1" header="0.5" footer="0.5"/>
  <legacyDrawing r:id="rId1"/>
  <tableParts count="1">
    <tablePart r:id="rId2"/>
  </tableParts>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H35"/>
  <sheetViews>
    <sheetView workbookViewId="0"/>
  </sheetViews>
  <sheetFormatPr defaultRowHeight="14.4" x14ac:dyDescent="0.3"/>
  <cols>
    <col min="1" max="1" width="11.21875" bestFit="1" customWidth="1"/>
    <col min="2" max="2" width="16.6640625" bestFit="1" customWidth="1"/>
    <col min="3" max="3" width="19.21875" bestFit="1" customWidth="1"/>
    <col min="4" max="4" width="12.77734375" bestFit="1" customWidth="1"/>
    <col min="5" max="5" width="18.33203125" bestFit="1" customWidth="1"/>
    <col min="6" max="6" width="34.109375" bestFit="1" customWidth="1"/>
    <col min="7" max="7" width="20" bestFit="1" customWidth="1"/>
    <col min="8" max="8" width="23.6640625" bestFit="1" customWidth="1"/>
    <col min="9" max="9" width="0" hidden="1" customWidth="1"/>
  </cols>
  <sheetData>
    <row r="1" spans="1:8" ht="18" x14ac:dyDescent="0.3">
      <c r="A1" s="57" t="s">
        <v>156</v>
      </c>
      <c r="B1" s="58" t="s">
        <v>8</v>
      </c>
      <c r="C1" s="58" t="s">
        <v>9</v>
      </c>
      <c r="D1" s="58" t="s">
        <v>157</v>
      </c>
      <c r="E1" s="58" t="s">
        <v>10</v>
      </c>
      <c r="F1" s="58" t="s">
        <v>11</v>
      </c>
      <c r="G1" s="58" t="s">
        <v>12</v>
      </c>
      <c r="H1" s="59" t="s">
        <v>13</v>
      </c>
    </row>
    <row r="2" spans="1:8" ht="19.8" customHeight="1" x14ac:dyDescent="0.3">
      <c r="A2" s="100" t="s">
        <v>158</v>
      </c>
      <c r="B2" s="101" t="s">
        <v>93</v>
      </c>
      <c r="C2" s="102" t="s">
        <v>760</v>
      </c>
      <c r="D2" s="101" t="s">
        <v>759</v>
      </c>
      <c r="E2" s="101" t="s">
        <v>570</v>
      </c>
      <c r="F2" s="101" t="s">
        <v>249</v>
      </c>
      <c r="G2" s="166">
        <v>1</v>
      </c>
      <c r="H2" s="167">
        <v>596</v>
      </c>
    </row>
    <row r="3" spans="1:8" ht="19.8" customHeight="1" x14ac:dyDescent="0.3">
      <c r="A3" s="96"/>
      <c r="B3" s="97"/>
      <c r="C3" s="97"/>
      <c r="D3" s="97"/>
      <c r="E3" s="97"/>
      <c r="F3" s="98" t="s">
        <v>768</v>
      </c>
      <c r="G3" s="97"/>
      <c r="H3" s="99"/>
    </row>
    <row r="4" spans="1:8" ht="19.8" customHeight="1" x14ac:dyDescent="0.3">
      <c r="A4" s="75">
        <v>45982</v>
      </c>
      <c r="B4" s="61" t="s">
        <v>26</v>
      </c>
      <c r="C4" s="62" t="s">
        <v>713</v>
      </c>
      <c r="D4" s="61" t="s">
        <v>712</v>
      </c>
      <c r="E4" s="76">
        <v>1.833333333333333</v>
      </c>
      <c r="F4" s="61" t="s">
        <v>28</v>
      </c>
      <c r="G4" s="63">
        <v>5</v>
      </c>
      <c r="H4" s="64">
        <v>709</v>
      </c>
    </row>
    <row r="5" spans="1:8" ht="19.8" customHeight="1" x14ac:dyDescent="0.3">
      <c r="A5" s="75">
        <v>45982</v>
      </c>
      <c r="B5" s="61" t="s">
        <v>323</v>
      </c>
      <c r="C5" s="62" t="s">
        <v>715</v>
      </c>
      <c r="D5" s="61" t="s">
        <v>712</v>
      </c>
      <c r="E5" s="76">
        <v>1.2152777777777779</v>
      </c>
      <c r="F5" s="61" t="s">
        <v>245</v>
      </c>
      <c r="G5" s="63">
        <v>4</v>
      </c>
      <c r="H5" s="64">
        <v>725</v>
      </c>
    </row>
    <row r="6" spans="1:8" ht="19.8" customHeight="1" x14ac:dyDescent="0.3">
      <c r="A6" s="75">
        <v>45982</v>
      </c>
      <c r="B6" s="61" t="s">
        <v>36</v>
      </c>
      <c r="C6" s="62" t="s">
        <v>717</v>
      </c>
      <c r="D6" s="61" t="s">
        <v>712</v>
      </c>
      <c r="E6" s="76">
        <v>1.305555555555556</v>
      </c>
      <c r="F6" s="61" t="s">
        <v>38</v>
      </c>
      <c r="G6" s="63">
        <v>6</v>
      </c>
      <c r="H6" s="64">
        <v>749</v>
      </c>
    </row>
    <row r="7" spans="1:8" ht="19.8" customHeight="1" x14ac:dyDescent="0.3">
      <c r="A7" s="75">
        <v>45982</v>
      </c>
      <c r="B7" s="61" t="s">
        <v>26</v>
      </c>
      <c r="C7" s="62" t="s">
        <v>713</v>
      </c>
      <c r="D7" s="61" t="s">
        <v>712</v>
      </c>
      <c r="E7" s="76">
        <v>1.833333333333333</v>
      </c>
      <c r="F7" s="61" t="s">
        <v>31</v>
      </c>
      <c r="G7" s="63">
        <v>5</v>
      </c>
      <c r="H7" s="64">
        <v>809</v>
      </c>
    </row>
    <row r="8" spans="1:8" ht="19.8" customHeight="1" x14ac:dyDescent="0.3">
      <c r="A8" s="75">
        <v>45982</v>
      </c>
      <c r="B8" s="61" t="s">
        <v>36</v>
      </c>
      <c r="C8" s="62" t="s">
        <v>717</v>
      </c>
      <c r="D8" s="61" t="s">
        <v>712</v>
      </c>
      <c r="E8" s="76">
        <v>1.305555555555556</v>
      </c>
      <c r="F8" s="61" t="s">
        <v>41</v>
      </c>
      <c r="G8" s="63">
        <v>6</v>
      </c>
      <c r="H8" s="64">
        <v>899</v>
      </c>
    </row>
    <row r="9" spans="1:8" ht="19.8" customHeight="1" x14ac:dyDescent="0.3">
      <c r="A9" s="75">
        <v>45982</v>
      </c>
      <c r="B9" s="61" t="s">
        <v>26</v>
      </c>
      <c r="C9" s="62" t="s">
        <v>713</v>
      </c>
      <c r="D9" s="61" t="s">
        <v>712</v>
      </c>
      <c r="E9" s="76">
        <v>1.833333333333333</v>
      </c>
      <c r="F9" s="61" t="s">
        <v>34</v>
      </c>
      <c r="G9" s="63">
        <v>5</v>
      </c>
      <c r="H9" s="64">
        <v>899</v>
      </c>
    </row>
    <row r="10" spans="1:8" ht="19.8" customHeight="1" x14ac:dyDescent="0.3">
      <c r="A10" s="75">
        <v>45982</v>
      </c>
      <c r="B10" s="61" t="s">
        <v>36</v>
      </c>
      <c r="C10" s="62" t="s">
        <v>717</v>
      </c>
      <c r="D10" s="61" t="s">
        <v>712</v>
      </c>
      <c r="E10" s="76">
        <v>1.305555555555556</v>
      </c>
      <c r="F10" s="61" t="s">
        <v>44</v>
      </c>
      <c r="G10" s="63">
        <v>6</v>
      </c>
      <c r="H10" s="65" t="s">
        <v>718</v>
      </c>
    </row>
    <row r="11" spans="1:8" ht="19.8" customHeight="1" x14ac:dyDescent="0.3">
      <c r="A11" s="75">
        <v>45982</v>
      </c>
      <c r="B11" s="61" t="s">
        <v>93</v>
      </c>
      <c r="C11" s="62" t="s">
        <v>719</v>
      </c>
      <c r="D11" s="61" t="s">
        <v>712</v>
      </c>
      <c r="E11" s="76">
        <v>1.5798611111111109</v>
      </c>
      <c r="F11" s="61" t="s">
        <v>249</v>
      </c>
      <c r="G11" s="63">
        <v>1</v>
      </c>
      <c r="H11" s="65" t="s">
        <v>720</v>
      </c>
    </row>
    <row r="12" spans="1:8" ht="19.8" customHeight="1" x14ac:dyDescent="0.3">
      <c r="A12" s="75">
        <v>45982</v>
      </c>
      <c r="B12" s="61" t="s">
        <v>56</v>
      </c>
      <c r="C12" s="62" t="s">
        <v>723</v>
      </c>
      <c r="D12" s="61" t="s">
        <v>712</v>
      </c>
      <c r="E12" s="76">
        <v>1.305555555555556</v>
      </c>
      <c r="F12" s="61" t="s">
        <v>58</v>
      </c>
      <c r="G12" s="63">
        <v>4</v>
      </c>
      <c r="H12" s="65" t="s">
        <v>724</v>
      </c>
    </row>
    <row r="13" spans="1:8" ht="19.8" customHeight="1" x14ac:dyDescent="0.3">
      <c r="A13" s="104">
        <v>45982</v>
      </c>
      <c r="B13" s="67" t="s">
        <v>46</v>
      </c>
      <c r="C13" s="68" t="s">
        <v>725</v>
      </c>
      <c r="D13" s="67" t="s">
        <v>712</v>
      </c>
      <c r="E13" s="105">
        <v>1.5277777777777779</v>
      </c>
      <c r="F13" s="67" t="s">
        <v>48</v>
      </c>
      <c r="G13" s="69">
        <v>2</v>
      </c>
      <c r="H13" s="70" t="s">
        <v>726</v>
      </c>
    </row>
    <row r="14" spans="1:8" ht="19.8" customHeight="1" x14ac:dyDescent="0.3">
      <c r="A14" s="96"/>
      <c r="B14" s="97"/>
      <c r="C14" s="97"/>
      <c r="D14" s="97"/>
      <c r="E14" s="97"/>
      <c r="F14" s="98" t="s">
        <v>768</v>
      </c>
      <c r="G14" s="97"/>
      <c r="H14" s="99"/>
    </row>
    <row r="15" spans="1:8" ht="19.8" customHeight="1" x14ac:dyDescent="0.3">
      <c r="A15" s="75">
        <v>45983</v>
      </c>
      <c r="B15" s="61" t="s">
        <v>237</v>
      </c>
      <c r="C15" s="62" t="s">
        <v>729</v>
      </c>
      <c r="D15" s="61" t="s">
        <v>712</v>
      </c>
      <c r="E15" s="76">
        <v>1.9722222222222221</v>
      </c>
      <c r="F15" s="61" t="s">
        <v>319</v>
      </c>
      <c r="G15" s="63">
        <v>9</v>
      </c>
      <c r="H15" s="64">
        <v>621</v>
      </c>
    </row>
    <row r="16" spans="1:8" ht="19.8" customHeight="1" x14ac:dyDescent="0.3">
      <c r="A16" s="75">
        <v>45983</v>
      </c>
      <c r="B16" s="61" t="s">
        <v>243</v>
      </c>
      <c r="C16" s="62" t="s">
        <v>732</v>
      </c>
      <c r="D16" s="61" t="s">
        <v>712</v>
      </c>
      <c r="E16" s="76">
        <v>1.895833333333333</v>
      </c>
      <c r="F16" s="61" t="s">
        <v>245</v>
      </c>
      <c r="G16" s="63">
        <v>1</v>
      </c>
      <c r="H16" s="64">
        <v>629</v>
      </c>
    </row>
    <row r="17" spans="1:8" ht="19.8" customHeight="1" x14ac:dyDescent="0.3">
      <c r="A17" s="75">
        <v>45983</v>
      </c>
      <c r="B17" s="61" t="s">
        <v>243</v>
      </c>
      <c r="C17" s="62" t="s">
        <v>734</v>
      </c>
      <c r="D17" s="61" t="s">
        <v>712</v>
      </c>
      <c r="E17" s="76">
        <v>1.006944444444444</v>
      </c>
      <c r="F17" s="61" t="s">
        <v>245</v>
      </c>
      <c r="G17" s="63">
        <v>1</v>
      </c>
      <c r="H17" s="64">
        <v>629</v>
      </c>
    </row>
    <row r="18" spans="1:8" ht="19.8" customHeight="1" x14ac:dyDescent="0.3">
      <c r="A18" s="75">
        <v>45983</v>
      </c>
      <c r="B18" s="61" t="s">
        <v>26</v>
      </c>
      <c r="C18" s="62" t="s">
        <v>735</v>
      </c>
      <c r="D18" s="61" t="s">
        <v>712</v>
      </c>
      <c r="E18" s="76">
        <v>1.197916666666667</v>
      </c>
      <c r="F18" s="61" t="s">
        <v>28</v>
      </c>
      <c r="G18" s="63">
        <v>5</v>
      </c>
      <c r="H18" s="64">
        <v>629</v>
      </c>
    </row>
    <row r="19" spans="1:8" ht="19.8" customHeight="1" x14ac:dyDescent="0.3">
      <c r="A19" s="75">
        <v>45983</v>
      </c>
      <c r="B19" s="61" t="s">
        <v>26</v>
      </c>
      <c r="C19" s="62" t="s">
        <v>713</v>
      </c>
      <c r="D19" s="61" t="s">
        <v>712</v>
      </c>
      <c r="E19" s="76">
        <v>1.833333333333333</v>
      </c>
      <c r="F19" s="61" t="s">
        <v>28</v>
      </c>
      <c r="G19" s="63">
        <v>6</v>
      </c>
      <c r="H19" s="64">
        <v>629</v>
      </c>
    </row>
    <row r="20" spans="1:8" ht="19.8" customHeight="1" x14ac:dyDescent="0.3">
      <c r="A20" s="75">
        <v>45983</v>
      </c>
      <c r="B20" s="61" t="s">
        <v>36</v>
      </c>
      <c r="C20" s="62" t="s">
        <v>717</v>
      </c>
      <c r="D20" s="61" t="s">
        <v>712</v>
      </c>
      <c r="E20" s="76">
        <v>1.305555555555556</v>
      </c>
      <c r="F20" s="61" t="s">
        <v>38</v>
      </c>
      <c r="G20" s="63">
        <v>5</v>
      </c>
      <c r="H20" s="64">
        <v>649</v>
      </c>
    </row>
    <row r="21" spans="1:8" ht="19.8" customHeight="1" x14ac:dyDescent="0.3">
      <c r="A21" s="75">
        <v>45983</v>
      </c>
      <c r="B21" s="61" t="s">
        <v>323</v>
      </c>
      <c r="C21" s="62" t="s">
        <v>736</v>
      </c>
      <c r="D21" s="61" t="s">
        <v>712</v>
      </c>
      <c r="E21" s="76">
        <v>1.1736111111111109</v>
      </c>
      <c r="F21" s="61" t="s">
        <v>245</v>
      </c>
      <c r="G21" s="63">
        <v>6</v>
      </c>
      <c r="H21" s="64">
        <v>725</v>
      </c>
    </row>
    <row r="22" spans="1:8" ht="19.8" customHeight="1" x14ac:dyDescent="0.3">
      <c r="A22" s="75">
        <v>45983</v>
      </c>
      <c r="B22" s="61" t="s">
        <v>26</v>
      </c>
      <c r="C22" s="62" t="s">
        <v>735</v>
      </c>
      <c r="D22" s="61" t="s">
        <v>712</v>
      </c>
      <c r="E22" s="76">
        <v>1.197916666666667</v>
      </c>
      <c r="F22" s="61" t="s">
        <v>31</v>
      </c>
      <c r="G22" s="63">
        <v>5</v>
      </c>
      <c r="H22" s="64">
        <v>729</v>
      </c>
    </row>
    <row r="23" spans="1:8" ht="19.8" customHeight="1" x14ac:dyDescent="0.3">
      <c r="A23" s="75">
        <v>45983</v>
      </c>
      <c r="B23" s="61" t="s">
        <v>26</v>
      </c>
      <c r="C23" s="62" t="s">
        <v>713</v>
      </c>
      <c r="D23" s="61" t="s">
        <v>712</v>
      </c>
      <c r="E23" s="76">
        <v>1.833333333333333</v>
      </c>
      <c r="F23" s="61" t="s">
        <v>31</v>
      </c>
      <c r="G23" s="63">
        <v>6</v>
      </c>
      <c r="H23" s="64">
        <v>729</v>
      </c>
    </row>
    <row r="24" spans="1:8" ht="19.8" customHeight="1" x14ac:dyDescent="0.3">
      <c r="A24" s="104">
        <v>45983</v>
      </c>
      <c r="B24" s="67" t="s">
        <v>36</v>
      </c>
      <c r="C24" s="68" t="s">
        <v>717</v>
      </c>
      <c r="D24" s="67" t="s">
        <v>712</v>
      </c>
      <c r="E24" s="105">
        <v>1.305555555555556</v>
      </c>
      <c r="F24" s="67" t="s">
        <v>41</v>
      </c>
      <c r="G24" s="69">
        <v>5</v>
      </c>
      <c r="H24" s="176">
        <v>799</v>
      </c>
    </row>
    <row r="25" spans="1:8" ht="19.8" customHeight="1" x14ac:dyDescent="0.3">
      <c r="A25" s="96"/>
      <c r="B25" s="97"/>
      <c r="C25" s="97"/>
      <c r="D25" s="97"/>
      <c r="E25" s="97"/>
      <c r="F25" s="98" t="s">
        <v>768</v>
      </c>
      <c r="G25" s="97"/>
      <c r="H25" s="99"/>
    </row>
    <row r="26" spans="1:8" ht="19.8" customHeight="1" x14ac:dyDescent="0.3">
      <c r="A26" s="75">
        <v>45984</v>
      </c>
      <c r="B26" s="61" t="s">
        <v>243</v>
      </c>
      <c r="C26" s="62" t="s">
        <v>741</v>
      </c>
      <c r="D26" s="61" t="s">
        <v>712</v>
      </c>
      <c r="E26" s="76">
        <v>1.958333333333333</v>
      </c>
      <c r="F26" s="61" t="s">
        <v>249</v>
      </c>
      <c r="G26" s="63">
        <v>6</v>
      </c>
      <c r="H26" s="64">
        <v>563</v>
      </c>
    </row>
    <row r="27" spans="1:8" ht="19.8" customHeight="1" x14ac:dyDescent="0.3">
      <c r="A27" s="75">
        <v>45984</v>
      </c>
      <c r="B27" s="61" t="s">
        <v>26</v>
      </c>
      <c r="C27" s="62" t="s">
        <v>713</v>
      </c>
      <c r="D27" s="61" t="s">
        <v>712</v>
      </c>
      <c r="E27" s="76">
        <v>1.833333333333333</v>
      </c>
      <c r="F27" s="61" t="s">
        <v>28</v>
      </c>
      <c r="G27" s="63">
        <v>1</v>
      </c>
      <c r="H27" s="64">
        <v>579</v>
      </c>
    </row>
    <row r="28" spans="1:8" ht="19.8" customHeight="1" x14ac:dyDescent="0.3">
      <c r="A28" s="75">
        <v>45984</v>
      </c>
      <c r="B28" s="61" t="s">
        <v>36</v>
      </c>
      <c r="C28" s="62" t="s">
        <v>717</v>
      </c>
      <c r="D28" s="61" t="s">
        <v>712</v>
      </c>
      <c r="E28" s="76">
        <v>1.305555555555556</v>
      </c>
      <c r="F28" s="61" t="s">
        <v>38</v>
      </c>
      <c r="G28" s="63">
        <v>9</v>
      </c>
      <c r="H28" s="64">
        <v>649</v>
      </c>
    </row>
    <row r="29" spans="1:8" ht="19.8" customHeight="1" x14ac:dyDescent="0.3">
      <c r="A29" s="75">
        <v>45984</v>
      </c>
      <c r="B29" s="61" t="s">
        <v>323</v>
      </c>
      <c r="C29" s="62" t="s">
        <v>715</v>
      </c>
      <c r="D29" s="61" t="s">
        <v>712</v>
      </c>
      <c r="E29" s="76">
        <v>1.2152777777777779</v>
      </c>
      <c r="F29" s="61" t="s">
        <v>249</v>
      </c>
      <c r="G29" s="63">
        <v>4</v>
      </c>
      <c r="H29" s="64">
        <v>656</v>
      </c>
    </row>
    <row r="30" spans="1:8" ht="19.8" customHeight="1" x14ac:dyDescent="0.3">
      <c r="A30" s="75">
        <v>45984</v>
      </c>
      <c r="B30" s="61" t="s">
        <v>26</v>
      </c>
      <c r="C30" s="62" t="s">
        <v>713</v>
      </c>
      <c r="D30" s="61" t="s">
        <v>712</v>
      </c>
      <c r="E30" s="76">
        <v>1.833333333333333</v>
      </c>
      <c r="F30" s="61" t="s">
        <v>31</v>
      </c>
      <c r="G30" s="63">
        <v>1</v>
      </c>
      <c r="H30" s="64">
        <v>679</v>
      </c>
    </row>
    <row r="31" spans="1:8" ht="19.8" customHeight="1" x14ac:dyDescent="0.3">
      <c r="A31" s="75">
        <v>45984</v>
      </c>
      <c r="B31" s="61" t="s">
        <v>46</v>
      </c>
      <c r="C31" s="62" t="s">
        <v>727</v>
      </c>
      <c r="D31" s="61" t="s">
        <v>712</v>
      </c>
      <c r="E31" s="76">
        <v>1.1701388888888891</v>
      </c>
      <c r="F31" s="61" t="s">
        <v>48</v>
      </c>
      <c r="G31" s="63">
        <v>9</v>
      </c>
      <c r="H31" s="64">
        <v>730</v>
      </c>
    </row>
    <row r="32" spans="1:8" ht="19.8" customHeight="1" x14ac:dyDescent="0.3">
      <c r="A32" s="75">
        <v>45984</v>
      </c>
      <c r="B32" s="61" t="s">
        <v>26</v>
      </c>
      <c r="C32" s="62" t="s">
        <v>713</v>
      </c>
      <c r="D32" s="61" t="s">
        <v>712</v>
      </c>
      <c r="E32" s="76">
        <v>1.833333333333333</v>
      </c>
      <c r="F32" s="61" t="s">
        <v>34</v>
      </c>
      <c r="G32" s="63">
        <v>1</v>
      </c>
      <c r="H32" s="64">
        <v>769</v>
      </c>
    </row>
    <row r="33" spans="1:8" ht="19.8" customHeight="1" x14ac:dyDescent="0.3">
      <c r="A33" s="75">
        <v>45984</v>
      </c>
      <c r="B33" s="61" t="s">
        <v>36</v>
      </c>
      <c r="C33" s="62" t="s">
        <v>717</v>
      </c>
      <c r="D33" s="61" t="s">
        <v>712</v>
      </c>
      <c r="E33" s="76">
        <v>1.305555555555556</v>
      </c>
      <c r="F33" s="61" t="s">
        <v>41</v>
      </c>
      <c r="G33" s="63">
        <v>9</v>
      </c>
      <c r="H33" s="64">
        <v>799</v>
      </c>
    </row>
    <row r="34" spans="1:8" ht="19.8" customHeight="1" x14ac:dyDescent="0.3">
      <c r="A34" s="75">
        <v>45984</v>
      </c>
      <c r="B34" s="61" t="s">
        <v>36</v>
      </c>
      <c r="C34" s="62" t="s">
        <v>717</v>
      </c>
      <c r="D34" s="61" t="s">
        <v>712</v>
      </c>
      <c r="E34" s="76">
        <v>1.305555555555556</v>
      </c>
      <c r="F34" s="61" t="s">
        <v>44</v>
      </c>
      <c r="G34" s="63">
        <v>9</v>
      </c>
      <c r="H34" s="64">
        <v>899</v>
      </c>
    </row>
    <row r="35" spans="1:8" ht="19.8" customHeight="1" x14ac:dyDescent="0.3">
      <c r="A35" s="104">
        <v>45984</v>
      </c>
      <c r="B35" s="67" t="s">
        <v>46</v>
      </c>
      <c r="C35" s="68" t="s">
        <v>725</v>
      </c>
      <c r="D35" s="67" t="s">
        <v>712</v>
      </c>
      <c r="E35" s="105">
        <v>1.569444444444444</v>
      </c>
      <c r="F35" s="67" t="s">
        <v>48</v>
      </c>
      <c r="G35" s="69">
        <v>9</v>
      </c>
      <c r="H35" s="70" t="s">
        <v>739</v>
      </c>
    </row>
  </sheetData>
  <pageMargins left="0.75" right="0.75" top="1" bottom="1" header="0.5" footer="0.5"/>
  <legacyDrawing r:id="rId1"/>
  <tableParts count="1">
    <tablePart r:id="rId2"/>
  </tableParts>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CN21"/>
  <sheetViews>
    <sheetView workbookViewId="0"/>
  </sheetViews>
  <sheetFormatPr defaultRowHeight="14.4" x14ac:dyDescent="0.3"/>
  <cols>
    <col min="1" max="1" width="17.21875" bestFit="1" customWidth="1"/>
    <col min="2" max="2" width="15.6640625" bestFit="1" customWidth="1"/>
    <col min="3" max="3" width="14.77734375" bestFit="1" customWidth="1"/>
    <col min="4" max="4" width="32.88671875" bestFit="1" customWidth="1"/>
    <col min="5" max="5" width="18.5546875" bestFit="1" customWidth="1"/>
    <col min="6" max="6" width="23.44140625" bestFit="1" customWidth="1"/>
    <col min="7" max="7" width="44.5546875" bestFit="1" customWidth="1"/>
    <col min="8" max="8" width="9.44140625" bestFit="1" customWidth="1"/>
    <col min="9" max="9" width="8" bestFit="1" customWidth="1"/>
    <col min="10" max="10" width="7.5546875" bestFit="1" customWidth="1"/>
    <col min="11" max="11" width="23.4414062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17.88671875" bestFit="1" customWidth="1"/>
  </cols>
  <sheetData>
    <row r="1" spans="1:92" ht="28.8" customHeight="1" x14ac:dyDescent="0.3">
      <c r="A1" s="260" t="s">
        <v>0</v>
      </c>
      <c r="B1" s="253"/>
      <c r="C1" s="253"/>
      <c r="D1" s="253"/>
      <c r="E1" s="253"/>
      <c r="F1" s="1" t="s">
        <v>769</v>
      </c>
      <c r="G1" s="2" t="s">
        <v>2</v>
      </c>
      <c r="H1" s="259">
        <v>45982</v>
      </c>
      <c r="I1" s="253"/>
      <c r="J1" s="253"/>
      <c r="K1" s="253"/>
      <c r="L1" s="253"/>
      <c r="M1" s="1" t="s">
        <v>3</v>
      </c>
      <c r="N1" s="266">
        <v>45984</v>
      </c>
      <c r="O1" s="253"/>
      <c r="P1" s="253"/>
      <c r="Q1" s="253"/>
      <c r="R1" s="253"/>
      <c r="CA1" s="3"/>
      <c r="CB1" s="3"/>
      <c r="CC1" s="3"/>
      <c r="CD1" s="3"/>
      <c r="CE1" s="3"/>
      <c r="CF1" s="3"/>
      <c r="CG1" s="3"/>
      <c r="CH1" s="3"/>
      <c r="CI1" s="3"/>
      <c r="CJ1" s="3"/>
      <c r="CK1" s="3"/>
      <c r="CL1" s="3"/>
      <c r="CM1" s="3"/>
      <c r="CN1" s="3"/>
    </row>
    <row r="2" spans="1:92" ht="23.4" customHeight="1" x14ac:dyDescent="0.3">
      <c r="A2" s="252" t="s">
        <v>4</v>
      </c>
      <c r="B2" s="253"/>
      <c r="C2" s="253"/>
      <c r="D2" s="253"/>
      <c r="E2" s="253"/>
      <c r="F2" s="253"/>
      <c r="G2" s="261">
        <v>45981.017855638427</v>
      </c>
      <c r="H2" s="253"/>
      <c r="I2" s="253"/>
      <c r="J2" s="253"/>
      <c r="K2" s="262">
        <v>45981.017855638856</v>
      </c>
      <c r="L2" s="253"/>
      <c r="M2" s="253"/>
      <c r="N2" s="253"/>
      <c r="O2" s="253"/>
      <c r="P2" s="253"/>
      <c r="Q2" s="253"/>
      <c r="R2" s="253"/>
      <c r="CA2" s="3"/>
      <c r="CB2" s="3"/>
      <c r="CC2" s="3"/>
      <c r="CD2" s="3"/>
      <c r="CE2" s="3"/>
      <c r="CF2" s="3"/>
      <c r="CG2" s="3"/>
      <c r="CH2" s="3"/>
      <c r="CI2" s="3"/>
      <c r="CJ2" s="3"/>
      <c r="CK2" s="3"/>
      <c r="CL2" s="3"/>
      <c r="CM2" s="3"/>
      <c r="CN2" s="3"/>
    </row>
    <row r="3" spans="1:92" ht="24" customHeight="1" x14ac:dyDescent="0.3">
      <c r="A3" s="254" t="s">
        <v>5</v>
      </c>
      <c r="B3" s="253"/>
      <c r="C3" s="253"/>
      <c r="D3" s="253"/>
      <c r="E3" s="253"/>
      <c r="F3" s="253"/>
      <c r="G3" s="253"/>
      <c r="H3" s="253"/>
      <c r="I3" s="253"/>
      <c r="J3" s="253"/>
      <c r="K3" s="253"/>
      <c r="L3" s="253"/>
      <c r="M3" s="253"/>
      <c r="N3" s="253"/>
      <c r="O3" s="253"/>
      <c r="P3" s="253"/>
      <c r="Q3" s="253"/>
      <c r="R3" s="253"/>
      <c r="CA3" s="3"/>
      <c r="CB3" s="3"/>
      <c r="CC3" s="3"/>
      <c r="CD3" s="3"/>
      <c r="CE3" s="3"/>
      <c r="CF3" s="3"/>
      <c r="CG3" s="3"/>
      <c r="CH3" s="3"/>
      <c r="CI3" s="3"/>
      <c r="CJ3" s="3"/>
      <c r="CK3" s="3"/>
      <c r="CL3" s="3"/>
      <c r="CM3" s="3"/>
      <c r="CN3" s="3"/>
    </row>
    <row r="4" spans="1:92" ht="22.05" customHeight="1" x14ac:dyDescent="0.3">
      <c r="A4" s="263" t="s">
        <v>6</v>
      </c>
      <c r="B4" s="250"/>
      <c r="C4" s="250"/>
      <c r="D4" s="250"/>
      <c r="E4" s="250"/>
      <c r="F4" s="251"/>
      <c r="G4" s="4">
        <v>45982</v>
      </c>
      <c r="H4" s="264" t="s">
        <v>7</v>
      </c>
      <c r="I4" s="250"/>
      <c r="J4" s="250"/>
      <c r="K4" s="250"/>
      <c r="L4" s="250"/>
      <c r="M4" s="250"/>
      <c r="N4" s="250"/>
      <c r="O4" s="250"/>
      <c r="P4" s="250"/>
      <c r="Q4" s="250"/>
      <c r="R4" s="251"/>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x14ac:dyDescent="0.3">
      <c r="A6" s="8" t="s">
        <v>237</v>
      </c>
      <c r="B6" s="8" t="s">
        <v>770</v>
      </c>
      <c r="C6" s="9">
        <v>0.63541666666666663</v>
      </c>
      <c r="D6" s="8" t="s">
        <v>319</v>
      </c>
      <c r="E6" s="8" t="s">
        <v>29</v>
      </c>
      <c r="F6" s="8" t="s">
        <v>771</v>
      </c>
      <c r="G6" s="255"/>
      <c r="H6" s="10"/>
      <c r="I6" s="11"/>
      <c r="J6" s="11"/>
      <c r="K6" s="11"/>
      <c r="L6" s="11"/>
      <c r="M6" s="11"/>
      <c r="N6" s="11"/>
      <c r="O6" s="12"/>
      <c r="P6" s="11"/>
      <c r="Q6" s="13"/>
      <c r="R6" s="14"/>
    </row>
    <row r="7" spans="1:92" ht="49.95" customHeight="1" x14ac:dyDescent="0.3">
      <c r="A7" s="15" t="s">
        <v>237</v>
      </c>
      <c r="B7" s="15" t="s">
        <v>770</v>
      </c>
      <c r="C7" s="16">
        <v>0.63541666666666663</v>
      </c>
      <c r="D7" s="15" t="s">
        <v>44</v>
      </c>
      <c r="E7" s="15" t="s">
        <v>32</v>
      </c>
      <c r="F7" s="15" t="s">
        <v>772</v>
      </c>
      <c r="G7" s="256"/>
      <c r="H7" s="10"/>
      <c r="I7" s="11"/>
      <c r="J7" s="11"/>
      <c r="K7" s="11"/>
      <c r="L7" s="11"/>
      <c r="M7" s="11"/>
      <c r="N7" s="11"/>
      <c r="O7" s="12"/>
      <c r="P7" s="11"/>
      <c r="Q7" s="13"/>
      <c r="R7" s="14"/>
    </row>
    <row r="8" spans="1:92" ht="49.95" customHeight="1" x14ac:dyDescent="0.3">
      <c r="A8" s="17" t="s">
        <v>243</v>
      </c>
      <c r="B8" s="17" t="s">
        <v>773</v>
      </c>
      <c r="C8" s="18">
        <v>0.90625</v>
      </c>
      <c r="D8" s="17" t="s">
        <v>245</v>
      </c>
      <c r="E8" s="17" t="s">
        <v>89</v>
      </c>
      <c r="F8" s="17" t="s">
        <v>774</v>
      </c>
      <c r="G8" s="256"/>
      <c r="H8" s="10"/>
      <c r="I8" s="11"/>
      <c r="J8" s="11"/>
      <c r="K8" s="11"/>
      <c r="L8" s="11"/>
      <c r="M8" s="11"/>
      <c r="N8" s="11"/>
      <c r="O8" s="12"/>
      <c r="P8" s="11"/>
      <c r="Q8" s="13"/>
      <c r="R8" s="14"/>
    </row>
    <row r="9" spans="1:92" ht="49.95" customHeight="1" thickBot="1" x14ac:dyDescent="0.35">
      <c r="A9" s="208" t="s">
        <v>46</v>
      </c>
      <c r="B9" s="208" t="s">
        <v>775</v>
      </c>
      <c r="C9" s="209">
        <v>0.12847222222222221</v>
      </c>
      <c r="D9" s="208" t="s">
        <v>48</v>
      </c>
      <c r="E9" s="208" t="s">
        <v>89</v>
      </c>
      <c r="F9" s="208" t="s">
        <v>776</v>
      </c>
      <c r="G9" s="257"/>
      <c r="H9" s="23"/>
      <c r="I9" s="24"/>
      <c r="J9" s="24"/>
      <c r="K9" s="24"/>
      <c r="L9" s="24"/>
      <c r="M9" s="24"/>
      <c r="N9" s="24"/>
      <c r="O9" s="25"/>
      <c r="P9" s="24"/>
      <c r="Q9" s="26"/>
      <c r="R9" s="27"/>
    </row>
    <row r="10" spans="1:92" ht="17.399999999999999" customHeight="1" thickBot="1" x14ac:dyDescent="0.35">
      <c r="A10" s="284"/>
      <c r="B10" s="285"/>
      <c r="C10" s="285"/>
      <c r="D10" s="285"/>
      <c r="E10" s="285"/>
      <c r="F10" s="285"/>
      <c r="G10" s="285"/>
      <c r="H10" s="285"/>
      <c r="I10" s="285"/>
      <c r="J10" s="285"/>
      <c r="K10" s="285"/>
      <c r="L10" s="285"/>
      <c r="M10" s="285"/>
      <c r="N10" s="285"/>
      <c r="O10" s="285"/>
      <c r="P10" s="285"/>
      <c r="Q10" s="285"/>
      <c r="R10" s="286"/>
    </row>
    <row r="11" spans="1:92" ht="22.05" customHeight="1" thickTop="1" thickBot="1" x14ac:dyDescent="0.35">
      <c r="A11" s="249" t="s">
        <v>6</v>
      </c>
      <c r="B11" s="250"/>
      <c r="C11" s="250"/>
      <c r="D11" s="250"/>
      <c r="E11" s="250"/>
      <c r="F11" s="251"/>
      <c r="G11" s="28">
        <v>45983</v>
      </c>
      <c r="H11" s="258" t="s">
        <v>7</v>
      </c>
      <c r="I11" s="250"/>
      <c r="J11" s="250"/>
      <c r="K11" s="250"/>
      <c r="L11" s="250"/>
      <c r="M11" s="250"/>
      <c r="N11" s="250"/>
      <c r="O11" s="250"/>
      <c r="P11" s="250"/>
      <c r="Q11" s="250"/>
      <c r="R11" s="251"/>
    </row>
    <row r="12" spans="1:92" ht="24" customHeight="1" x14ac:dyDescent="0.3">
      <c r="A12" s="29" t="s">
        <v>8</v>
      </c>
      <c r="B12" s="29" t="s">
        <v>9</v>
      </c>
      <c r="C12" s="30" t="s">
        <v>10</v>
      </c>
      <c r="D12" s="29" t="s">
        <v>11</v>
      </c>
      <c r="E12" s="29" t="s">
        <v>12</v>
      </c>
      <c r="F12" s="31" t="s">
        <v>13</v>
      </c>
      <c r="G12" s="32" t="s">
        <v>14</v>
      </c>
      <c r="H12" s="29" t="s">
        <v>15</v>
      </c>
      <c r="I12" s="33" t="s">
        <v>16</v>
      </c>
      <c r="J12" s="34" t="s">
        <v>17</v>
      </c>
      <c r="K12" s="35" t="s">
        <v>18</v>
      </c>
      <c r="L12" s="34" t="s">
        <v>19</v>
      </c>
      <c r="M12" s="34" t="s">
        <v>20</v>
      </c>
      <c r="N12" s="34" t="s">
        <v>21</v>
      </c>
      <c r="O12" s="29" t="s">
        <v>22</v>
      </c>
      <c r="P12" s="30" t="s">
        <v>23</v>
      </c>
      <c r="Q12" s="34" t="s">
        <v>24</v>
      </c>
      <c r="R12" s="29" t="s">
        <v>25</v>
      </c>
    </row>
    <row r="13" spans="1:92" ht="49.95" customHeight="1" x14ac:dyDescent="0.3">
      <c r="A13" s="8" t="s">
        <v>323</v>
      </c>
      <c r="B13" s="8" t="s">
        <v>777</v>
      </c>
      <c r="C13" s="9">
        <v>0.13541666666666671</v>
      </c>
      <c r="D13" s="8" t="s">
        <v>249</v>
      </c>
      <c r="E13" s="8" t="s">
        <v>309</v>
      </c>
      <c r="F13" s="8" t="s">
        <v>778</v>
      </c>
      <c r="G13" s="255"/>
      <c r="H13" s="10"/>
      <c r="I13" s="11"/>
      <c r="J13" s="11"/>
      <c r="K13" s="11"/>
      <c r="L13" s="11"/>
      <c r="M13" s="11"/>
      <c r="N13" s="11"/>
      <c r="O13" s="12"/>
      <c r="P13" s="11"/>
      <c r="Q13" s="13"/>
      <c r="R13" s="14"/>
    </row>
    <row r="14" spans="1:92" ht="49.95" customHeight="1" x14ac:dyDescent="0.3">
      <c r="A14" s="17" t="s">
        <v>243</v>
      </c>
      <c r="B14" s="17" t="s">
        <v>779</v>
      </c>
      <c r="C14" s="18">
        <v>0.90625</v>
      </c>
      <c r="D14" s="17" t="s">
        <v>245</v>
      </c>
      <c r="E14" s="17" t="s">
        <v>89</v>
      </c>
      <c r="F14" s="17" t="s">
        <v>778</v>
      </c>
      <c r="G14" s="256"/>
      <c r="H14" s="10"/>
      <c r="I14" s="11"/>
      <c r="J14" s="11"/>
      <c r="K14" s="11"/>
      <c r="L14" s="11"/>
      <c r="M14" s="11"/>
      <c r="N14" s="11"/>
      <c r="O14" s="12"/>
      <c r="P14" s="11"/>
      <c r="Q14" s="13"/>
      <c r="R14" s="14"/>
    </row>
    <row r="15" spans="1:92" ht="49.95" customHeight="1" x14ac:dyDescent="0.3">
      <c r="A15" s="86" t="s">
        <v>93</v>
      </c>
      <c r="B15" s="86" t="s">
        <v>780</v>
      </c>
      <c r="C15" s="87">
        <v>0.98958333333333337</v>
      </c>
      <c r="D15" s="86" t="s">
        <v>249</v>
      </c>
      <c r="E15" s="86" t="s">
        <v>49</v>
      </c>
      <c r="F15" s="86" t="s">
        <v>781</v>
      </c>
      <c r="G15" s="256"/>
      <c r="H15" s="89" t="s">
        <v>782</v>
      </c>
      <c r="I15" s="164">
        <v>0.76290000000000002</v>
      </c>
      <c r="J15" s="91">
        <v>74</v>
      </c>
      <c r="K15" s="92" t="s">
        <v>180</v>
      </c>
      <c r="L15" s="91">
        <v>20</v>
      </c>
      <c r="M15" s="91">
        <v>0</v>
      </c>
      <c r="N15" s="91">
        <v>7</v>
      </c>
      <c r="O15" s="93" t="s">
        <v>153</v>
      </c>
      <c r="P15" s="94">
        <v>0.98958333333333337</v>
      </c>
      <c r="Q15" s="91">
        <v>97</v>
      </c>
      <c r="R15" s="95" t="s">
        <v>783</v>
      </c>
    </row>
    <row r="16" spans="1:92" ht="49.95" customHeight="1" thickBot="1" x14ac:dyDescent="0.35">
      <c r="A16" s="208" t="s">
        <v>46</v>
      </c>
      <c r="B16" s="208" t="s">
        <v>775</v>
      </c>
      <c r="C16" s="209">
        <v>0.12847222222222221</v>
      </c>
      <c r="D16" s="208" t="s">
        <v>48</v>
      </c>
      <c r="E16" s="208" t="s">
        <v>49</v>
      </c>
      <c r="F16" s="208" t="s">
        <v>784</v>
      </c>
      <c r="G16" s="257"/>
      <c r="H16" s="23"/>
      <c r="I16" s="24"/>
      <c r="J16" s="24"/>
      <c r="K16" s="24"/>
      <c r="L16" s="24"/>
      <c r="M16" s="24"/>
      <c r="N16" s="24"/>
      <c r="O16" s="25"/>
      <c r="P16" s="24"/>
      <c r="Q16" s="26"/>
      <c r="R16" s="27"/>
    </row>
    <row r="17" spans="1:18" ht="17.399999999999999" customHeight="1" thickBot="1" x14ac:dyDescent="0.35">
      <c r="A17" s="284"/>
      <c r="B17" s="285"/>
      <c r="C17" s="285"/>
      <c r="D17" s="285"/>
      <c r="E17" s="285"/>
      <c r="F17" s="285"/>
      <c r="G17" s="285"/>
      <c r="H17" s="285"/>
      <c r="I17" s="285"/>
      <c r="J17" s="285"/>
      <c r="K17" s="285"/>
      <c r="L17" s="285"/>
      <c r="M17" s="285"/>
      <c r="N17" s="285"/>
      <c r="O17" s="285"/>
      <c r="P17" s="285"/>
      <c r="Q17" s="285"/>
      <c r="R17" s="286"/>
    </row>
    <row r="18" spans="1:18" ht="22.05" customHeight="1" thickTop="1" thickBot="1" x14ac:dyDescent="0.35">
      <c r="A18" s="249" t="s">
        <v>6</v>
      </c>
      <c r="B18" s="250"/>
      <c r="C18" s="250"/>
      <c r="D18" s="250"/>
      <c r="E18" s="250"/>
      <c r="F18" s="251"/>
      <c r="G18" s="28">
        <v>45984</v>
      </c>
      <c r="H18" s="258" t="s">
        <v>7</v>
      </c>
      <c r="I18" s="250"/>
      <c r="J18" s="250"/>
      <c r="K18" s="250"/>
      <c r="L18" s="250"/>
      <c r="M18" s="250"/>
      <c r="N18" s="250"/>
      <c r="O18" s="250"/>
      <c r="P18" s="250"/>
      <c r="Q18" s="250"/>
      <c r="R18" s="251"/>
    </row>
    <row r="19" spans="1:18" ht="24" customHeight="1" x14ac:dyDescent="0.3">
      <c r="A19" s="29" t="s">
        <v>8</v>
      </c>
      <c r="B19" s="29" t="s">
        <v>9</v>
      </c>
      <c r="C19" s="30" t="s">
        <v>10</v>
      </c>
      <c r="D19" s="29" t="s">
        <v>11</v>
      </c>
      <c r="E19" s="29" t="s">
        <v>12</v>
      </c>
      <c r="F19" s="31" t="s">
        <v>13</v>
      </c>
      <c r="G19" s="32" t="s">
        <v>14</v>
      </c>
      <c r="H19" s="29" t="s">
        <v>15</v>
      </c>
      <c r="I19" s="33" t="s">
        <v>16</v>
      </c>
      <c r="J19" s="34" t="s">
        <v>17</v>
      </c>
      <c r="K19" s="35" t="s">
        <v>18</v>
      </c>
      <c r="L19" s="34" t="s">
        <v>19</v>
      </c>
      <c r="M19" s="34" t="s">
        <v>20</v>
      </c>
      <c r="N19" s="34" t="s">
        <v>21</v>
      </c>
      <c r="O19" s="29" t="s">
        <v>22</v>
      </c>
      <c r="P19" s="30" t="s">
        <v>23</v>
      </c>
      <c r="Q19" s="34" t="s">
        <v>24</v>
      </c>
      <c r="R19" s="29" t="s">
        <v>25</v>
      </c>
    </row>
    <row r="20" spans="1:18" ht="49.95" customHeight="1" x14ac:dyDescent="0.3">
      <c r="A20" s="8" t="s">
        <v>237</v>
      </c>
      <c r="B20" s="8" t="s">
        <v>770</v>
      </c>
      <c r="C20" s="9">
        <v>0.67708333333333337</v>
      </c>
      <c r="D20" s="8" t="s">
        <v>319</v>
      </c>
      <c r="E20" s="8" t="s">
        <v>29</v>
      </c>
      <c r="F20" s="8" t="s">
        <v>563</v>
      </c>
      <c r="G20" s="255"/>
      <c r="H20" s="10"/>
      <c r="I20" s="11"/>
      <c r="J20" s="11"/>
      <c r="K20" s="11"/>
      <c r="L20" s="11"/>
      <c r="M20" s="11"/>
      <c r="N20" s="11"/>
      <c r="O20" s="12"/>
      <c r="P20" s="11"/>
      <c r="Q20" s="13"/>
      <c r="R20" s="14"/>
    </row>
    <row r="21" spans="1:18" ht="49.95" customHeight="1" x14ac:dyDescent="0.3">
      <c r="A21" s="21" t="s">
        <v>237</v>
      </c>
      <c r="B21" s="21" t="s">
        <v>770</v>
      </c>
      <c r="C21" s="22">
        <v>0.67708333333333337</v>
      </c>
      <c r="D21" s="21" t="s">
        <v>44</v>
      </c>
      <c r="E21" s="21" t="s">
        <v>32</v>
      </c>
      <c r="F21" s="21" t="s">
        <v>785</v>
      </c>
      <c r="G21" s="257"/>
      <c r="H21" s="23"/>
      <c r="I21" s="24"/>
      <c r="J21" s="24"/>
      <c r="K21" s="24"/>
      <c r="L21" s="24"/>
      <c r="M21" s="24"/>
      <c r="N21" s="24"/>
      <c r="O21" s="25"/>
      <c r="P21" s="24"/>
      <c r="Q21" s="26"/>
      <c r="R21" s="27"/>
    </row>
  </sheetData>
  <mergeCells count="18">
    <mergeCell ref="A17:R17"/>
    <mergeCell ref="A18:F18"/>
    <mergeCell ref="H18:R18"/>
    <mergeCell ref="H4:R4"/>
    <mergeCell ref="G20:G21"/>
    <mergeCell ref="H1:L1"/>
    <mergeCell ref="A1:E1"/>
    <mergeCell ref="G2:J2"/>
    <mergeCell ref="K2:R2"/>
    <mergeCell ref="A4:F4"/>
    <mergeCell ref="N1:R1"/>
    <mergeCell ref="A2:F2"/>
    <mergeCell ref="A11:F11"/>
    <mergeCell ref="A3:R3"/>
    <mergeCell ref="G13:G16"/>
    <mergeCell ref="H11:R11"/>
    <mergeCell ref="A10:R10"/>
    <mergeCell ref="G6:G9"/>
  </mergeCells>
  <pageMargins left="0.75" right="0.75" top="1" bottom="1" header="0.5" footer="0.5"/>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AJ3"/>
  <sheetViews>
    <sheetView workbookViewId="0"/>
  </sheetViews>
  <sheetFormatPr defaultRowHeight="15.6" outlineLevelCol="1" x14ac:dyDescent="0.3"/>
  <cols>
    <col min="1" max="1" width="11.6640625" style="271" bestFit="1" customWidth="1"/>
    <col min="2" max="2" width="11.109375" style="271" bestFit="1" customWidth="1"/>
    <col min="3" max="3" width="7.88671875" style="271" bestFit="1" customWidth="1"/>
    <col min="4" max="4" width="6.77734375" style="271" bestFit="1" customWidth="1"/>
    <col min="5" max="5" width="9.33203125" style="271" bestFit="1" customWidth="1"/>
    <col min="6" max="6" width="5.21875" style="271" bestFit="1" customWidth="1"/>
    <col min="7" max="7" width="10" style="271" bestFit="1" customWidth="1"/>
    <col min="8" max="8" width="5.44140625" style="271" bestFit="1" customWidth="1"/>
    <col min="9" max="10" width="8" style="271" bestFit="1" customWidth="1"/>
    <col min="11" max="11" width="12.21875" style="271" bestFit="1" customWidth="1"/>
    <col min="12" max="12" width="21.21875" style="271" bestFit="1" customWidth="1"/>
    <col min="13" max="13" width="8.77734375" style="271" bestFit="1" customWidth="1" outlineLevel="1"/>
    <col min="14" max="14" width="7.33203125" style="271" bestFit="1" customWidth="1" outlineLevel="1"/>
    <col min="15" max="15" width="9.109375" style="271" bestFit="1" customWidth="1" outlineLevel="1"/>
    <col min="16" max="16" width="15.33203125" style="271" bestFit="1" customWidth="1"/>
    <col min="17" max="29" width="3.88671875" style="271" bestFit="1" customWidth="1"/>
    <col min="30" max="30" width="4.21875" style="271" bestFit="1" customWidth="1"/>
    <col min="31" max="31" width="5.33203125" style="271" bestFit="1" customWidth="1"/>
    <col min="32" max="32" width="4.44140625" style="271" bestFit="1" customWidth="1"/>
    <col min="33" max="36" width="3.88671875" style="271" bestFit="1" customWidth="1"/>
    <col min="37" max="16384" width="8.88671875" style="271"/>
  </cols>
  <sheetData>
    <row r="1" spans="1:36" x14ac:dyDescent="0.3">
      <c r="A1" s="270" t="s">
        <v>104</v>
      </c>
      <c r="B1" s="270" t="s">
        <v>105</v>
      </c>
      <c r="C1" s="270" t="s">
        <v>106</v>
      </c>
      <c r="D1" s="270" t="s">
        <v>23</v>
      </c>
      <c r="E1" s="270" t="s">
        <v>107</v>
      </c>
      <c r="F1" s="270" t="s">
        <v>108</v>
      </c>
      <c r="G1" s="270" t="s">
        <v>16</v>
      </c>
      <c r="H1" s="270" t="s">
        <v>109</v>
      </c>
      <c r="I1" s="270" t="s">
        <v>110</v>
      </c>
      <c r="J1" s="270" t="s">
        <v>111</v>
      </c>
      <c r="K1" s="270" t="s">
        <v>112</v>
      </c>
      <c r="L1" s="270" t="s">
        <v>18</v>
      </c>
      <c r="M1" s="270" t="s">
        <v>20</v>
      </c>
      <c r="N1" s="270" t="s">
        <v>21</v>
      </c>
      <c r="O1" s="270" t="s">
        <v>19</v>
      </c>
      <c r="P1" s="270" t="s">
        <v>22</v>
      </c>
      <c r="Q1" s="270" t="s">
        <v>113</v>
      </c>
      <c r="R1" s="270" t="s">
        <v>114</v>
      </c>
      <c r="S1" s="270" t="s">
        <v>115</v>
      </c>
      <c r="T1" s="270" t="s">
        <v>116</v>
      </c>
      <c r="U1" s="270" t="s">
        <v>117</v>
      </c>
      <c r="V1" s="270" t="s">
        <v>118</v>
      </c>
      <c r="W1" s="270" t="s">
        <v>119</v>
      </c>
      <c r="X1" s="270" t="s">
        <v>120</v>
      </c>
      <c r="Y1" s="270" t="s">
        <v>121</v>
      </c>
      <c r="Z1" s="270" t="s">
        <v>122</v>
      </c>
      <c r="AA1" s="270" t="s">
        <v>123</v>
      </c>
      <c r="AB1" s="270" t="s">
        <v>124</v>
      </c>
      <c r="AC1" s="270" t="s">
        <v>125</v>
      </c>
      <c r="AD1" s="270" t="s">
        <v>126</v>
      </c>
      <c r="AE1" s="270" t="s">
        <v>127</v>
      </c>
      <c r="AF1" s="270" t="s">
        <v>128</v>
      </c>
      <c r="AG1" s="270" t="s">
        <v>129</v>
      </c>
      <c r="AH1" s="270" t="s">
        <v>130</v>
      </c>
      <c r="AI1" s="270" t="s">
        <v>131</v>
      </c>
      <c r="AJ1" s="270" t="s">
        <v>132</v>
      </c>
    </row>
    <row r="2" spans="1:36" x14ac:dyDescent="0.3">
      <c r="A2" s="272" t="s">
        <v>133</v>
      </c>
      <c r="B2" s="273">
        <v>45983</v>
      </c>
      <c r="C2" s="274" t="s">
        <v>782</v>
      </c>
      <c r="D2" s="275" t="s">
        <v>786</v>
      </c>
      <c r="E2" s="274" t="s">
        <v>769</v>
      </c>
      <c r="F2" s="274" t="s">
        <v>787</v>
      </c>
      <c r="G2" s="276">
        <v>0.76290000000000002</v>
      </c>
      <c r="H2" s="277">
        <v>97</v>
      </c>
      <c r="I2" s="277">
        <v>74</v>
      </c>
      <c r="J2" s="277">
        <v>0</v>
      </c>
      <c r="K2" s="274" t="s">
        <v>136</v>
      </c>
      <c r="L2" s="278" t="s">
        <v>180</v>
      </c>
      <c r="M2" s="277">
        <v>0</v>
      </c>
      <c r="N2" s="277">
        <v>7</v>
      </c>
      <c r="O2" s="277">
        <v>20</v>
      </c>
      <c r="P2" s="274" t="s">
        <v>153</v>
      </c>
      <c r="Q2" s="270"/>
      <c r="R2" s="270"/>
      <c r="S2" s="270"/>
      <c r="T2" s="270"/>
      <c r="U2" s="270"/>
      <c r="V2" s="270"/>
      <c r="W2" s="270"/>
      <c r="X2" s="270"/>
      <c r="Y2" s="270"/>
      <c r="Z2" s="270"/>
      <c r="AA2" s="270"/>
      <c r="AB2" s="270"/>
      <c r="AC2" s="270"/>
      <c r="AD2" s="277" t="s">
        <v>448</v>
      </c>
      <c r="AE2" s="277" t="s">
        <v>788</v>
      </c>
      <c r="AF2" s="277" t="s">
        <v>789</v>
      </c>
      <c r="AG2" s="270"/>
      <c r="AH2" s="270"/>
      <c r="AI2" s="270"/>
      <c r="AJ2" s="270"/>
    </row>
    <row r="3" spans="1:36" ht="21" x14ac:dyDescent="0.3">
      <c r="A3" s="279" t="s">
        <v>946</v>
      </c>
      <c r="B3" s="280"/>
      <c r="C3" s="279">
        <f>SUBTOTAL(103,TUU_CAI_LF_LEGACY[Flt])</f>
        <v>1</v>
      </c>
      <c r="D3" s="279"/>
      <c r="E3" s="279">
        <f>SUBTOTAL(103,TUU_CAI_LF_LEGACY[Brd-Off])</f>
        <v>1</v>
      </c>
      <c r="F3" s="279"/>
      <c r="G3" s="281">
        <f>SUBTOTAL(101,TUU_CAI_LF_LEGACY[LF%])</f>
        <v>0.76290000000000002</v>
      </c>
      <c r="H3" s="282">
        <f>SUBTOTAL(109,TUU_CAI_LF_LEGACY[CAP])</f>
        <v>97</v>
      </c>
      <c r="I3" s="282">
        <f>SUBTOTAL(109,TUU_CAI_LF_LEGACY[BKG(Y)])</f>
        <v>74</v>
      </c>
      <c r="J3" s="282">
        <f>SUBTOTAL(109,TUU_CAI_LF_LEGACY[GRP(Y)])</f>
        <v>0</v>
      </c>
      <c r="K3" s="279"/>
      <c r="L3" s="280"/>
      <c r="M3" s="282">
        <f>SUBTOTAL(109,TUU_CAI_LF_LEGACY[TO-DAY])</f>
        <v>0</v>
      </c>
      <c r="N3" s="282">
        <f>SUBTOTAL(109,TUU_CAI_LF_LEGACY[Y-DAY])</f>
        <v>7</v>
      </c>
      <c r="O3" s="282">
        <f>SUBTOTAL(109,TUU_CAI_LF_LEGACY[WEEKLY])</f>
        <v>20</v>
      </c>
      <c r="P3" s="283"/>
      <c r="Q3" s="279">
        <f>SUBTOTAL(109,TUU_CAI_LF_LEGACY[Y])</f>
        <v>0</v>
      </c>
      <c r="R3" s="279">
        <f>SUBTOTAL(109,TUU_CAI_LF_LEGACY[B])</f>
        <v>0</v>
      </c>
      <c r="S3" s="279">
        <f>SUBTOTAL(109,TUU_CAI_LF_LEGACY[M])</f>
        <v>0</v>
      </c>
      <c r="T3" s="279">
        <f>SUBTOTAL(109,TUU_CAI_LF_LEGACY[H])</f>
        <v>0</v>
      </c>
      <c r="U3" s="279">
        <f>SUBTOTAL(109,TUU_CAI_LF_LEGACY[Q])</f>
        <v>0</v>
      </c>
      <c r="V3" s="279">
        <f>SUBTOTAL(109,TUU_CAI_LF_LEGACY[K])</f>
        <v>0</v>
      </c>
      <c r="W3" s="279">
        <f>SUBTOTAL(109,TUU_CAI_LF_LEGACY[V])</f>
        <v>0</v>
      </c>
      <c r="X3" s="279">
        <f>SUBTOTAL(109,TUU_CAI_LF_LEGACY[L])</f>
        <v>0</v>
      </c>
      <c r="Y3" s="279">
        <f>SUBTOTAL(109,TUU_CAI_LF_LEGACY[G])</f>
        <v>0</v>
      </c>
      <c r="Z3" s="279">
        <f>SUBTOTAL(109,TUU_CAI_LF_LEGACY[S])</f>
        <v>0</v>
      </c>
      <c r="AA3" s="279">
        <f>SUBTOTAL(109,TUU_CAI_LF_LEGACY[W])</f>
        <v>0</v>
      </c>
      <c r="AB3" s="279">
        <f>SUBTOTAL(109,TUU_CAI_LF_LEGACY[T])</f>
        <v>0</v>
      </c>
      <c r="AC3" s="279">
        <f>SUBTOTAL(109,TUU_CAI_LF_LEGACY[X])</f>
        <v>0</v>
      </c>
      <c r="AD3" s="282">
        <f>SUBTOTAL(109,TUU_CAI_LF_LEGACY[U])</f>
        <v>0</v>
      </c>
      <c r="AE3" s="282">
        <f>SUBTOTAL(109,TUU_CAI_LF_LEGACY[O])</f>
        <v>0</v>
      </c>
      <c r="AF3" s="282">
        <f>SUBTOTAL(109,TUU_CAI_LF_LEGACY[I])</f>
        <v>0</v>
      </c>
      <c r="AG3" s="279">
        <f>SUBTOTAL(109,TUU_CAI_LF_LEGACY[E])</f>
        <v>0</v>
      </c>
      <c r="AH3" s="279">
        <f>SUBTOTAL(109,TUU_CAI_LF_LEGACY[A])</f>
        <v>0</v>
      </c>
      <c r="AI3" s="279">
        <f>SUBTOTAL(109,TUU_CAI_LF_LEGACY[P])</f>
        <v>0</v>
      </c>
      <c r="AJ3" s="279">
        <f>SUBTOTAL(103,TUU_CAI_LF_LEGACY[N])</f>
        <v>0</v>
      </c>
    </row>
  </sheetData>
  <pageMargins left="0.75" right="0.75" top="1" bottom="1" header="0.5" footer="0.5"/>
  <tableParts count="1">
    <tablePart r:id="rId1"/>
  </tableParts>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H11"/>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0" hidden="1" customWidth="1"/>
  </cols>
  <sheetData>
    <row r="1" spans="1:8" ht="18" x14ac:dyDescent="0.3">
      <c r="A1" s="57" t="s">
        <v>156</v>
      </c>
      <c r="B1" s="58" t="s">
        <v>8</v>
      </c>
      <c r="C1" s="58" t="s">
        <v>9</v>
      </c>
      <c r="D1" s="58" t="s">
        <v>157</v>
      </c>
      <c r="E1" s="58" t="s">
        <v>10</v>
      </c>
      <c r="F1" s="58" t="s">
        <v>11</v>
      </c>
      <c r="G1" s="58" t="s">
        <v>12</v>
      </c>
      <c r="H1" s="59" t="s">
        <v>13</v>
      </c>
    </row>
    <row r="2" spans="1:8" ht="19.8" customHeight="1" x14ac:dyDescent="0.3">
      <c r="A2" s="60" t="s">
        <v>158</v>
      </c>
      <c r="B2" s="61" t="s">
        <v>237</v>
      </c>
      <c r="C2" s="62" t="s">
        <v>770</v>
      </c>
      <c r="D2" s="61" t="s">
        <v>769</v>
      </c>
      <c r="E2" s="61" t="s">
        <v>790</v>
      </c>
      <c r="F2" s="61" t="s">
        <v>319</v>
      </c>
      <c r="G2" s="63">
        <v>9</v>
      </c>
      <c r="H2" s="64">
        <v>550</v>
      </c>
    </row>
    <row r="3" spans="1:8" ht="19.8" customHeight="1" x14ac:dyDescent="0.3">
      <c r="A3" s="60" t="s">
        <v>158</v>
      </c>
      <c r="B3" s="61" t="s">
        <v>243</v>
      </c>
      <c r="C3" s="62" t="s">
        <v>773</v>
      </c>
      <c r="D3" s="61" t="s">
        <v>769</v>
      </c>
      <c r="E3" s="61" t="s">
        <v>791</v>
      </c>
      <c r="F3" s="61" t="s">
        <v>245</v>
      </c>
      <c r="G3" s="63">
        <v>1</v>
      </c>
      <c r="H3" s="64">
        <v>651</v>
      </c>
    </row>
    <row r="4" spans="1:8" ht="19.8" customHeight="1" x14ac:dyDescent="0.3">
      <c r="A4" s="60" t="s">
        <v>158</v>
      </c>
      <c r="B4" s="61" t="s">
        <v>237</v>
      </c>
      <c r="C4" s="62" t="s">
        <v>770</v>
      </c>
      <c r="D4" s="61" t="s">
        <v>769</v>
      </c>
      <c r="E4" s="61" t="s">
        <v>790</v>
      </c>
      <c r="F4" s="61" t="s">
        <v>44</v>
      </c>
      <c r="G4" s="63">
        <v>9</v>
      </c>
      <c r="H4" s="64">
        <v>776</v>
      </c>
    </row>
    <row r="5" spans="1:8" ht="19.8" customHeight="1" x14ac:dyDescent="0.3">
      <c r="A5" s="66" t="s">
        <v>158</v>
      </c>
      <c r="B5" s="67" t="s">
        <v>46</v>
      </c>
      <c r="C5" s="68" t="s">
        <v>775</v>
      </c>
      <c r="D5" s="67" t="s">
        <v>769</v>
      </c>
      <c r="E5" s="67" t="s">
        <v>457</v>
      </c>
      <c r="F5" s="67" t="s">
        <v>48</v>
      </c>
      <c r="G5" s="69">
        <v>1</v>
      </c>
      <c r="H5" s="70" t="s">
        <v>776</v>
      </c>
    </row>
    <row r="6" spans="1:8" ht="19.8" customHeight="1" x14ac:dyDescent="0.3">
      <c r="A6" s="60" t="s">
        <v>168</v>
      </c>
      <c r="B6" s="61" t="s">
        <v>323</v>
      </c>
      <c r="C6" s="62" t="s">
        <v>777</v>
      </c>
      <c r="D6" s="61" t="s">
        <v>769</v>
      </c>
      <c r="E6" s="61" t="s">
        <v>792</v>
      </c>
      <c r="F6" s="61" t="s">
        <v>249</v>
      </c>
      <c r="G6" s="63">
        <v>8</v>
      </c>
      <c r="H6" s="64">
        <v>355</v>
      </c>
    </row>
    <row r="7" spans="1:8" ht="19.8" customHeight="1" x14ac:dyDescent="0.3">
      <c r="A7" s="60" t="s">
        <v>168</v>
      </c>
      <c r="B7" s="61" t="s">
        <v>243</v>
      </c>
      <c r="C7" s="62" t="s">
        <v>779</v>
      </c>
      <c r="D7" s="61" t="s">
        <v>769</v>
      </c>
      <c r="E7" s="61" t="s">
        <v>791</v>
      </c>
      <c r="F7" s="61" t="s">
        <v>245</v>
      </c>
      <c r="G7" s="63">
        <v>1</v>
      </c>
      <c r="H7" s="64">
        <v>355</v>
      </c>
    </row>
    <row r="8" spans="1:8" ht="19.8" customHeight="1" x14ac:dyDescent="0.3">
      <c r="A8" s="100" t="s">
        <v>168</v>
      </c>
      <c r="B8" s="101" t="s">
        <v>93</v>
      </c>
      <c r="C8" s="102" t="s">
        <v>780</v>
      </c>
      <c r="D8" s="101" t="s">
        <v>769</v>
      </c>
      <c r="E8" s="101" t="s">
        <v>786</v>
      </c>
      <c r="F8" s="101" t="s">
        <v>249</v>
      </c>
      <c r="G8" s="166">
        <v>9</v>
      </c>
      <c r="H8" s="167">
        <v>400</v>
      </c>
    </row>
    <row r="9" spans="1:8" ht="19.8" customHeight="1" x14ac:dyDescent="0.3">
      <c r="A9" s="104">
        <v>45983</v>
      </c>
      <c r="B9" s="67" t="s">
        <v>46</v>
      </c>
      <c r="C9" s="68" t="s">
        <v>775</v>
      </c>
      <c r="D9" s="67" t="s">
        <v>769</v>
      </c>
      <c r="E9" s="105">
        <v>1.1284722222222221</v>
      </c>
      <c r="F9" s="67" t="s">
        <v>48</v>
      </c>
      <c r="G9" s="69">
        <v>9</v>
      </c>
      <c r="H9" s="176">
        <v>454</v>
      </c>
    </row>
    <row r="10" spans="1:8" ht="19.8" customHeight="1" x14ac:dyDescent="0.3">
      <c r="A10" s="75">
        <v>45984</v>
      </c>
      <c r="B10" s="61" t="s">
        <v>237</v>
      </c>
      <c r="C10" s="62" t="s">
        <v>770</v>
      </c>
      <c r="D10" s="61" t="s">
        <v>769</v>
      </c>
      <c r="E10" s="76">
        <v>1.677083333333333</v>
      </c>
      <c r="F10" s="61" t="s">
        <v>319</v>
      </c>
      <c r="G10" s="63">
        <v>9</v>
      </c>
      <c r="H10" s="64">
        <v>388</v>
      </c>
    </row>
    <row r="11" spans="1:8" ht="19.8" customHeight="1" x14ac:dyDescent="0.3">
      <c r="A11" s="104">
        <v>45984</v>
      </c>
      <c r="B11" s="67" t="s">
        <v>237</v>
      </c>
      <c r="C11" s="68" t="s">
        <v>770</v>
      </c>
      <c r="D11" s="67" t="s">
        <v>769</v>
      </c>
      <c r="E11" s="105">
        <v>1.677083333333333</v>
      </c>
      <c r="F11" s="67" t="s">
        <v>44</v>
      </c>
      <c r="G11" s="69">
        <v>9</v>
      </c>
      <c r="H11" s="176">
        <v>614</v>
      </c>
    </row>
  </sheetData>
  <pageMargins left="0.75" right="0.75" top="1" bottom="1" header="0.5" footer="0.5"/>
  <legacyDrawing r:id="rId1"/>
  <tableParts count="1">
    <tablePart r:id="rId2"/>
  </tableParts>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I11"/>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56.77734375" bestFit="1" customWidth="1"/>
  </cols>
  <sheetData>
    <row r="1" spans="1:9" ht="18" x14ac:dyDescent="0.3">
      <c r="A1" s="57" t="s">
        <v>156</v>
      </c>
      <c r="B1" s="58" t="s">
        <v>8</v>
      </c>
      <c r="C1" s="58" t="s">
        <v>9</v>
      </c>
      <c r="D1" s="58" t="s">
        <v>157</v>
      </c>
      <c r="E1" s="58" t="s">
        <v>10</v>
      </c>
      <c r="F1" s="58" t="s">
        <v>11</v>
      </c>
      <c r="G1" s="58" t="s">
        <v>12</v>
      </c>
      <c r="H1" s="59" t="s">
        <v>13</v>
      </c>
    </row>
    <row r="2" spans="1:9" ht="19.8" customHeight="1" x14ac:dyDescent="0.3">
      <c r="A2" s="60" t="s">
        <v>158</v>
      </c>
      <c r="B2" s="61" t="s">
        <v>237</v>
      </c>
      <c r="C2" s="62" t="s">
        <v>770</v>
      </c>
      <c r="D2" s="61" t="s">
        <v>769</v>
      </c>
      <c r="E2" s="61" t="s">
        <v>790</v>
      </c>
      <c r="F2" s="61" t="s">
        <v>319</v>
      </c>
      <c r="G2" s="63">
        <v>9</v>
      </c>
      <c r="H2" s="64">
        <v>550</v>
      </c>
    </row>
    <row r="3" spans="1:9" ht="19.8" customHeight="1" x14ac:dyDescent="0.3">
      <c r="A3" s="60" t="s">
        <v>158</v>
      </c>
      <c r="B3" s="61" t="s">
        <v>243</v>
      </c>
      <c r="C3" s="62" t="s">
        <v>773</v>
      </c>
      <c r="D3" s="61" t="s">
        <v>769</v>
      </c>
      <c r="E3" s="61" t="s">
        <v>791</v>
      </c>
      <c r="F3" s="61" t="s">
        <v>245</v>
      </c>
      <c r="G3" s="63">
        <v>1</v>
      </c>
      <c r="H3" s="64">
        <v>651</v>
      </c>
    </row>
    <row r="4" spans="1:9" ht="19.8" customHeight="1" x14ac:dyDescent="0.3">
      <c r="A4" s="60" t="s">
        <v>158</v>
      </c>
      <c r="B4" s="61" t="s">
        <v>237</v>
      </c>
      <c r="C4" s="62" t="s">
        <v>770</v>
      </c>
      <c r="D4" s="61" t="s">
        <v>769</v>
      </c>
      <c r="E4" s="61" t="s">
        <v>790</v>
      </c>
      <c r="F4" s="61" t="s">
        <v>44</v>
      </c>
      <c r="G4" s="63">
        <v>9</v>
      </c>
      <c r="H4" s="64">
        <v>776</v>
      </c>
    </row>
    <row r="5" spans="1:9" ht="19.8" customHeight="1" x14ac:dyDescent="0.3">
      <c r="A5" s="66" t="s">
        <v>158</v>
      </c>
      <c r="B5" s="67" t="s">
        <v>46</v>
      </c>
      <c r="C5" s="68" t="s">
        <v>775</v>
      </c>
      <c r="D5" s="67" t="s">
        <v>769</v>
      </c>
      <c r="E5" s="67" t="s">
        <v>457</v>
      </c>
      <c r="F5" s="67" t="s">
        <v>48</v>
      </c>
      <c r="G5" s="69">
        <v>1</v>
      </c>
      <c r="H5" s="70" t="s">
        <v>776</v>
      </c>
    </row>
    <row r="6" spans="1:9" ht="19.8" customHeight="1" x14ac:dyDescent="0.3">
      <c r="A6" s="60" t="s">
        <v>168</v>
      </c>
      <c r="B6" s="61" t="s">
        <v>323</v>
      </c>
      <c r="C6" s="62" t="s">
        <v>777</v>
      </c>
      <c r="D6" s="61" t="s">
        <v>769</v>
      </c>
      <c r="E6" s="61" t="s">
        <v>792</v>
      </c>
      <c r="F6" s="61" t="s">
        <v>249</v>
      </c>
      <c r="G6" s="63">
        <v>8</v>
      </c>
      <c r="H6" s="64">
        <v>355</v>
      </c>
    </row>
    <row r="7" spans="1:9" ht="19.8" customHeight="1" x14ac:dyDescent="0.3">
      <c r="A7" s="60" t="s">
        <v>168</v>
      </c>
      <c r="B7" s="61" t="s">
        <v>243</v>
      </c>
      <c r="C7" s="62" t="s">
        <v>779</v>
      </c>
      <c r="D7" s="61" t="s">
        <v>769</v>
      </c>
      <c r="E7" s="61" t="s">
        <v>791</v>
      </c>
      <c r="F7" s="61" t="s">
        <v>245</v>
      </c>
      <c r="G7" s="63">
        <v>1</v>
      </c>
      <c r="H7" s="64">
        <v>355</v>
      </c>
    </row>
    <row r="8" spans="1:9" ht="19.8" customHeight="1" x14ac:dyDescent="0.3">
      <c r="A8" s="100" t="s">
        <v>168</v>
      </c>
      <c r="B8" s="101" t="s">
        <v>93</v>
      </c>
      <c r="C8" s="102" t="s">
        <v>780</v>
      </c>
      <c r="D8" s="101" t="s">
        <v>769</v>
      </c>
      <c r="E8" s="101" t="s">
        <v>786</v>
      </c>
      <c r="F8" s="101" t="s">
        <v>249</v>
      </c>
      <c r="G8" s="166">
        <v>9</v>
      </c>
      <c r="H8" s="167">
        <v>400</v>
      </c>
      <c r="I8" t="s">
        <v>793</v>
      </c>
    </row>
    <row r="9" spans="1:9" ht="19.8" customHeight="1" x14ac:dyDescent="0.3">
      <c r="A9" s="104">
        <v>45983</v>
      </c>
      <c r="B9" s="67" t="s">
        <v>46</v>
      </c>
      <c r="C9" s="68" t="s">
        <v>775</v>
      </c>
      <c r="D9" s="67" t="s">
        <v>769</v>
      </c>
      <c r="E9" s="105">
        <v>1.1284722222222221</v>
      </c>
      <c r="F9" s="67" t="s">
        <v>48</v>
      </c>
      <c r="G9" s="69">
        <v>9</v>
      </c>
      <c r="H9" s="176">
        <v>454</v>
      </c>
    </row>
    <row r="10" spans="1:9" ht="19.8" customHeight="1" x14ac:dyDescent="0.3">
      <c r="A10" s="75">
        <v>45984</v>
      </c>
      <c r="B10" s="61" t="s">
        <v>237</v>
      </c>
      <c r="C10" s="62" t="s">
        <v>770</v>
      </c>
      <c r="D10" s="61" t="s">
        <v>769</v>
      </c>
      <c r="E10" s="76">
        <v>1.677083333333333</v>
      </c>
      <c r="F10" s="61" t="s">
        <v>319</v>
      </c>
      <c r="G10" s="63">
        <v>9</v>
      </c>
      <c r="H10" s="64">
        <v>388</v>
      </c>
    </row>
    <row r="11" spans="1:9" ht="19.8" customHeight="1" x14ac:dyDescent="0.3">
      <c r="A11" s="104">
        <v>45984</v>
      </c>
      <c r="B11" s="67" t="s">
        <v>237</v>
      </c>
      <c r="C11" s="68" t="s">
        <v>770</v>
      </c>
      <c r="D11" s="67" t="s">
        <v>769</v>
      </c>
      <c r="E11" s="105">
        <v>1.677083333333333</v>
      </c>
      <c r="F11" s="67" t="s">
        <v>44</v>
      </c>
      <c r="G11" s="69">
        <v>9</v>
      </c>
      <c r="H11" s="176">
        <v>614</v>
      </c>
    </row>
  </sheetData>
  <pageMargins left="0.75" right="0.75" top="1" bottom="1" header="0.5" footer="0.5"/>
  <legacyDrawing r:id="rId1"/>
  <tableParts count="1">
    <tablePart r:id="rId2"/>
  </tableParts>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CN13"/>
  <sheetViews>
    <sheetView workbookViewId="0"/>
  </sheetViews>
  <sheetFormatPr defaultRowHeight="14.4" x14ac:dyDescent="0.3"/>
  <cols>
    <col min="1" max="1" width="17.21875" bestFit="1" customWidth="1"/>
    <col min="2" max="2" width="15.6640625" bestFit="1" customWidth="1"/>
    <col min="3" max="3" width="14.77734375" bestFit="1" customWidth="1"/>
    <col min="4" max="4" width="34.21875" bestFit="1" customWidth="1"/>
    <col min="5" max="5" width="19" bestFit="1" customWidth="1"/>
    <col min="6" max="6" width="23.44140625" bestFit="1" customWidth="1"/>
    <col min="7" max="7" width="44.5546875" bestFit="1" customWidth="1"/>
    <col min="8" max="8" width="9.44140625" bestFit="1" customWidth="1"/>
    <col min="9" max="9" width="8" bestFit="1" customWidth="1"/>
    <col min="10" max="10" width="7.5546875" bestFit="1" customWidth="1"/>
    <col min="11" max="11" width="23.4414062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43.33203125" bestFit="1" customWidth="1"/>
  </cols>
  <sheetData>
    <row r="1" spans="1:92" ht="28.8" customHeight="1" x14ac:dyDescent="0.3">
      <c r="A1" s="260" t="s">
        <v>0</v>
      </c>
      <c r="B1" s="253"/>
      <c r="C1" s="253"/>
      <c r="D1" s="253"/>
      <c r="E1" s="253"/>
      <c r="F1" s="1" t="s">
        <v>794</v>
      </c>
      <c r="G1" s="2" t="s">
        <v>2</v>
      </c>
      <c r="H1" s="259">
        <v>45982</v>
      </c>
      <c r="I1" s="253"/>
      <c r="J1" s="253"/>
      <c r="K1" s="253"/>
      <c r="L1" s="253"/>
      <c r="M1" s="1" t="s">
        <v>3</v>
      </c>
      <c r="N1" s="266">
        <v>45984</v>
      </c>
      <c r="O1" s="253"/>
      <c r="P1" s="253"/>
      <c r="Q1" s="253"/>
      <c r="R1" s="253"/>
      <c r="CA1" s="3"/>
      <c r="CB1" s="3"/>
      <c r="CC1" s="3"/>
      <c r="CD1" s="3"/>
      <c r="CE1" s="3"/>
      <c r="CF1" s="3"/>
      <c r="CG1" s="3"/>
      <c r="CH1" s="3"/>
      <c r="CI1" s="3"/>
      <c r="CJ1" s="3"/>
      <c r="CK1" s="3"/>
      <c r="CL1" s="3"/>
      <c r="CM1" s="3"/>
      <c r="CN1" s="3"/>
    </row>
    <row r="2" spans="1:92" ht="23.4" customHeight="1" x14ac:dyDescent="0.3">
      <c r="A2" s="252" t="s">
        <v>4</v>
      </c>
      <c r="B2" s="253"/>
      <c r="C2" s="253"/>
      <c r="D2" s="253"/>
      <c r="E2" s="253"/>
      <c r="F2" s="253"/>
      <c r="G2" s="261">
        <v>45981.017860763612</v>
      </c>
      <c r="H2" s="253"/>
      <c r="I2" s="253"/>
      <c r="J2" s="253"/>
      <c r="K2" s="262">
        <v>45981.017860764121</v>
      </c>
      <c r="L2" s="253"/>
      <c r="M2" s="253"/>
      <c r="N2" s="253"/>
      <c r="O2" s="253"/>
      <c r="P2" s="253"/>
      <c r="Q2" s="253"/>
      <c r="R2" s="253"/>
      <c r="CA2" s="3"/>
      <c r="CB2" s="3"/>
      <c r="CC2" s="3"/>
      <c r="CD2" s="3"/>
      <c r="CE2" s="3"/>
      <c r="CF2" s="3"/>
      <c r="CG2" s="3"/>
      <c r="CH2" s="3"/>
      <c r="CI2" s="3"/>
      <c r="CJ2" s="3"/>
      <c r="CK2" s="3"/>
      <c r="CL2" s="3"/>
      <c r="CM2" s="3"/>
      <c r="CN2" s="3"/>
    </row>
    <row r="3" spans="1:92" ht="24" customHeight="1" x14ac:dyDescent="0.3">
      <c r="A3" s="254" t="s">
        <v>5</v>
      </c>
      <c r="B3" s="253"/>
      <c r="C3" s="253"/>
      <c r="D3" s="253"/>
      <c r="E3" s="253"/>
      <c r="F3" s="253"/>
      <c r="G3" s="253"/>
      <c r="H3" s="253"/>
      <c r="I3" s="253"/>
      <c r="J3" s="253"/>
      <c r="K3" s="253"/>
      <c r="L3" s="253"/>
      <c r="M3" s="253"/>
      <c r="N3" s="253"/>
      <c r="O3" s="253"/>
      <c r="P3" s="253"/>
      <c r="Q3" s="253"/>
      <c r="R3" s="253"/>
      <c r="CA3" s="3"/>
      <c r="CB3" s="3"/>
      <c r="CC3" s="3"/>
      <c r="CD3" s="3"/>
      <c r="CE3" s="3"/>
      <c r="CF3" s="3"/>
      <c r="CG3" s="3"/>
      <c r="CH3" s="3"/>
      <c r="CI3" s="3"/>
      <c r="CJ3" s="3"/>
      <c r="CK3" s="3"/>
      <c r="CL3" s="3"/>
      <c r="CM3" s="3"/>
      <c r="CN3" s="3"/>
    </row>
    <row r="4" spans="1:92" ht="22.05" customHeight="1" x14ac:dyDescent="0.3">
      <c r="A4" s="263" t="s">
        <v>6</v>
      </c>
      <c r="B4" s="250"/>
      <c r="C4" s="250"/>
      <c r="D4" s="250"/>
      <c r="E4" s="250"/>
      <c r="F4" s="251"/>
      <c r="G4" s="4">
        <v>45982</v>
      </c>
      <c r="H4" s="264" t="s">
        <v>7</v>
      </c>
      <c r="I4" s="250"/>
      <c r="J4" s="250"/>
      <c r="K4" s="250"/>
      <c r="L4" s="250"/>
      <c r="M4" s="250"/>
      <c r="N4" s="250"/>
      <c r="O4" s="250"/>
      <c r="P4" s="250"/>
      <c r="Q4" s="250"/>
      <c r="R4" s="251"/>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x14ac:dyDescent="0.3">
      <c r="A6" s="177" t="s">
        <v>93</v>
      </c>
      <c r="B6" s="177" t="s">
        <v>795</v>
      </c>
      <c r="C6" s="178">
        <v>0.51736111111111105</v>
      </c>
      <c r="D6" s="177" t="s">
        <v>249</v>
      </c>
      <c r="E6" s="177" t="s">
        <v>341</v>
      </c>
      <c r="F6" s="177" t="s">
        <v>796</v>
      </c>
      <c r="G6" s="255"/>
      <c r="H6" s="179" t="s">
        <v>797</v>
      </c>
      <c r="I6" s="210">
        <v>0.41070000000000001</v>
      </c>
      <c r="J6" s="181">
        <v>69</v>
      </c>
      <c r="K6" s="182" t="s">
        <v>180</v>
      </c>
      <c r="L6" s="181">
        <v>33</v>
      </c>
      <c r="M6" s="181">
        <v>0</v>
      </c>
      <c r="N6" s="181">
        <v>11</v>
      </c>
      <c r="O6" s="183" t="s">
        <v>382</v>
      </c>
      <c r="P6" s="184">
        <v>0.51736111111111105</v>
      </c>
      <c r="Q6" s="181">
        <v>168</v>
      </c>
      <c r="R6" s="185" t="s">
        <v>798</v>
      </c>
    </row>
    <row r="7" spans="1:92" ht="18" x14ac:dyDescent="0.3">
      <c r="A7" s="267" t="s">
        <v>799</v>
      </c>
      <c r="B7" s="268"/>
      <c r="C7" s="268"/>
      <c r="D7" s="268"/>
      <c r="E7" s="268"/>
      <c r="F7" s="269"/>
      <c r="G7" s="256"/>
      <c r="H7" s="79"/>
      <c r="I7" s="79"/>
      <c r="J7" s="79"/>
      <c r="K7" s="79"/>
      <c r="L7" s="79"/>
      <c r="M7" s="79"/>
      <c r="N7" s="79"/>
      <c r="O7" s="80"/>
      <c r="P7" s="79"/>
      <c r="Q7" s="56"/>
      <c r="R7" s="56"/>
    </row>
    <row r="8" spans="1:92" ht="49.95" customHeight="1" x14ac:dyDescent="0.3">
      <c r="A8" s="19" t="s">
        <v>237</v>
      </c>
      <c r="B8" s="19" t="s">
        <v>770</v>
      </c>
      <c r="C8" s="20" t="s">
        <v>790</v>
      </c>
      <c r="D8" s="19" t="s">
        <v>319</v>
      </c>
      <c r="E8" s="19" t="s">
        <v>174</v>
      </c>
      <c r="F8" s="19" t="s">
        <v>771</v>
      </c>
      <c r="G8" s="256"/>
      <c r="H8" s="79"/>
      <c r="I8" s="79"/>
      <c r="J8" s="79"/>
      <c r="K8" s="79"/>
      <c r="L8" s="79"/>
      <c r="M8" s="79"/>
      <c r="N8" s="79"/>
      <c r="O8" s="80"/>
      <c r="P8" s="79"/>
      <c r="Q8" s="56"/>
      <c r="R8" s="56"/>
    </row>
    <row r="9" spans="1:92" ht="49.95" customHeight="1" x14ac:dyDescent="0.3">
      <c r="A9" s="19" t="s">
        <v>243</v>
      </c>
      <c r="B9" s="19" t="s">
        <v>773</v>
      </c>
      <c r="C9" s="20" t="s">
        <v>791</v>
      </c>
      <c r="D9" s="19" t="s">
        <v>245</v>
      </c>
      <c r="E9" s="19" t="s">
        <v>183</v>
      </c>
      <c r="F9" s="19" t="s">
        <v>774</v>
      </c>
      <c r="G9" s="256"/>
      <c r="H9" s="79"/>
      <c r="I9" s="79"/>
      <c r="J9" s="79"/>
      <c r="K9" s="79"/>
      <c r="L9" s="79"/>
      <c r="M9" s="79"/>
      <c r="N9" s="79"/>
      <c r="O9" s="80"/>
      <c r="P9" s="79"/>
      <c r="Q9" s="56"/>
      <c r="R9" s="56"/>
    </row>
    <row r="10" spans="1:92" ht="49.95" customHeight="1" x14ac:dyDescent="0.3">
      <c r="A10" s="19" t="s">
        <v>237</v>
      </c>
      <c r="B10" s="19" t="s">
        <v>770</v>
      </c>
      <c r="C10" s="20" t="s">
        <v>790</v>
      </c>
      <c r="D10" s="19" t="s">
        <v>44</v>
      </c>
      <c r="E10" s="19" t="s">
        <v>174</v>
      </c>
      <c r="F10" s="19" t="s">
        <v>772</v>
      </c>
      <c r="G10" s="256"/>
      <c r="H10" s="79"/>
      <c r="I10" s="79"/>
      <c r="J10" s="79"/>
      <c r="K10" s="79"/>
      <c r="L10" s="79"/>
      <c r="M10" s="79"/>
      <c r="N10" s="79"/>
      <c r="O10" s="80"/>
      <c r="P10" s="79"/>
      <c r="Q10" s="56"/>
      <c r="R10" s="56"/>
    </row>
    <row r="11" spans="1:92" ht="49.95" customHeight="1" thickBot="1" x14ac:dyDescent="0.35">
      <c r="A11" s="81" t="s">
        <v>46</v>
      </c>
      <c r="B11" s="81" t="s">
        <v>775</v>
      </c>
      <c r="C11" s="82" t="s">
        <v>457</v>
      </c>
      <c r="D11" s="81" t="s">
        <v>48</v>
      </c>
      <c r="E11" s="81" t="s">
        <v>183</v>
      </c>
      <c r="F11" s="81" t="s">
        <v>776</v>
      </c>
      <c r="G11" s="257"/>
      <c r="H11" s="83"/>
      <c r="I11" s="83"/>
      <c r="J11" s="83"/>
      <c r="K11" s="83"/>
      <c r="L11" s="83"/>
      <c r="M11" s="83"/>
      <c r="N11" s="83"/>
      <c r="O11" s="84"/>
      <c r="P11" s="83"/>
      <c r="Q11" s="85"/>
      <c r="R11" s="85"/>
    </row>
    <row r="12" spans="1:92" ht="17.399999999999999" customHeight="1" thickBot="1" x14ac:dyDescent="0.35">
      <c r="A12" s="284"/>
      <c r="B12" s="285"/>
      <c r="C12" s="285"/>
      <c r="D12" s="285"/>
      <c r="E12" s="285"/>
      <c r="F12" s="285"/>
      <c r="G12" s="285"/>
      <c r="H12" s="285"/>
      <c r="I12" s="285"/>
      <c r="J12" s="285"/>
      <c r="K12" s="285"/>
      <c r="L12" s="285"/>
      <c r="M12" s="285"/>
      <c r="N12" s="285"/>
      <c r="O12" s="285"/>
      <c r="P12" s="285"/>
      <c r="Q12" s="285"/>
      <c r="R12" s="286"/>
    </row>
    <row r="13" spans="1:92" ht="15" thickTop="1" x14ac:dyDescent="0.3"/>
  </sheetData>
  <mergeCells count="12">
    <mergeCell ref="A4:F4"/>
    <mergeCell ref="G6:G11"/>
    <mergeCell ref="H4:R4"/>
    <mergeCell ref="A7:F7"/>
    <mergeCell ref="A12:R12"/>
    <mergeCell ref="A2:F2"/>
    <mergeCell ref="A3:R3"/>
    <mergeCell ref="H1:L1"/>
    <mergeCell ref="A1:E1"/>
    <mergeCell ref="G2:J2"/>
    <mergeCell ref="K2:R2"/>
    <mergeCell ref="N1:R1"/>
  </mergeCells>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J3"/>
  <sheetViews>
    <sheetView workbookViewId="0"/>
  </sheetViews>
  <sheetFormatPr defaultRowHeight="15.6" outlineLevelCol="1" x14ac:dyDescent="0.3"/>
  <cols>
    <col min="1" max="1" width="10.21875" style="271" bestFit="1" customWidth="1"/>
    <col min="2" max="2" width="11.109375" style="271" bestFit="1" customWidth="1"/>
    <col min="3" max="3" width="7.88671875" style="271" bestFit="1" customWidth="1"/>
    <col min="4" max="4" width="6.77734375" style="271" bestFit="1" customWidth="1"/>
    <col min="5" max="5" width="9.88671875" style="271" bestFit="1" customWidth="1"/>
    <col min="6" max="6" width="5.21875" style="271" bestFit="1" customWidth="1"/>
    <col min="7" max="7" width="10" style="271" bestFit="1" customWidth="1"/>
    <col min="8" max="8" width="7" style="271" bestFit="1" customWidth="1"/>
    <col min="9" max="10" width="8" style="271" bestFit="1" customWidth="1"/>
    <col min="11" max="11" width="12.21875" style="271" bestFit="1" customWidth="1"/>
    <col min="12" max="12" width="21.21875" style="271" bestFit="1" customWidth="1"/>
    <col min="13" max="13" width="8.77734375" style="271" bestFit="1" customWidth="1" outlineLevel="1"/>
    <col min="14" max="14" width="7.33203125" style="271" bestFit="1" customWidth="1" outlineLevel="1"/>
    <col min="15" max="15" width="9.109375" style="271" bestFit="1" customWidth="1" outlineLevel="1"/>
    <col min="16" max="16" width="15.33203125" style="271" bestFit="1" customWidth="1"/>
    <col min="17" max="26" width="3.88671875" style="271" bestFit="1" customWidth="1"/>
    <col min="27" max="27" width="4.77734375" style="271" bestFit="1" customWidth="1"/>
    <col min="28" max="28" width="3.88671875" style="271" bestFit="1" customWidth="1"/>
    <col min="29" max="29" width="5.109375" style="271" bestFit="1" customWidth="1"/>
    <col min="30" max="31" width="5.33203125" style="271" bestFit="1" customWidth="1"/>
    <col min="32" max="32" width="4.44140625" style="271" bestFit="1" customWidth="1"/>
    <col min="33" max="36" width="3.88671875" style="271" bestFit="1" customWidth="1"/>
    <col min="37" max="16384" width="8.88671875" style="271"/>
  </cols>
  <sheetData>
    <row r="1" spans="1:36" x14ac:dyDescent="0.3">
      <c r="A1" s="270" t="s">
        <v>104</v>
      </c>
      <c r="B1" s="270" t="s">
        <v>105</v>
      </c>
      <c r="C1" s="270" t="s">
        <v>106</v>
      </c>
      <c r="D1" s="270" t="s">
        <v>23</v>
      </c>
      <c r="E1" s="270" t="s">
        <v>107</v>
      </c>
      <c r="F1" s="270" t="s">
        <v>108</v>
      </c>
      <c r="G1" s="270" t="s">
        <v>16</v>
      </c>
      <c r="H1" s="270" t="s">
        <v>109</v>
      </c>
      <c r="I1" s="270" t="s">
        <v>110</v>
      </c>
      <c r="J1" s="270" t="s">
        <v>111</v>
      </c>
      <c r="K1" s="270" t="s">
        <v>112</v>
      </c>
      <c r="L1" s="270" t="s">
        <v>18</v>
      </c>
      <c r="M1" s="270" t="s">
        <v>20</v>
      </c>
      <c r="N1" s="270" t="s">
        <v>21</v>
      </c>
      <c r="O1" s="270" t="s">
        <v>19</v>
      </c>
      <c r="P1" s="270" t="s">
        <v>22</v>
      </c>
      <c r="Q1" s="270" t="s">
        <v>113</v>
      </c>
      <c r="R1" s="270" t="s">
        <v>114</v>
      </c>
      <c r="S1" s="270" t="s">
        <v>115</v>
      </c>
      <c r="T1" s="270" t="s">
        <v>116</v>
      </c>
      <c r="U1" s="270" t="s">
        <v>117</v>
      </c>
      <c r="V1" s="270" t="s">
        <v>118</v>
      </c>
      <c r="W1" s="270" t="s">
        <v>119</v>
      </c>
      <c r="X1" s="270" t="s">
        <v>120</v>
      </c>
      <c r="Y1" s="270" t="s">
        <v>121</v>
      </c>
      <c r="Z1" s="270" t="s">
        <v>122</v>
      </c>
      <c r="AA1" s="270" t="s">
        <v>123</v>
      </c>
      <c r="AB1" s="270" t="s">
        <v>124</v>
      </c>
      <c r="AC1" s="270" t="s">
        <v>125</v>
      </c>
      <c r="AD1" s="270" t="s">
        <v>126</v>
      </c>
      <c r="AE1" s="270" t="s">
        <v>127</v>
      </c>
      <c r="AF1" s="270" t="s">
        <v>128</v>
      </c>
      <c r="AG1" s="270" t="s">
        <v>129</v>
      </c>
      <c r="AH1" s="270" t="s">
        <v>130</v>
      </c>
      <c r="AI1" s="270" t="s">
        <v>131</v>
      </c>
      <c r="AJ1" s="270" t="s">
        <v>132</v>
      </c>
    </row>
    <row r="2" spans="1:36" x14ac:dyDescent="0.3">
      <c r="A2" s="272" t="s">
        <v>369</v>
      </c>
      <c r="B2" s="273">
        <v>45982</v>
      </c>
      <c r="C2" s="274" t="s">
        <v>797</v>
      </c>
      <c r="D2" s="275" t="s">
        <v>504</v>
      </c>
      <c r="E2" s="274" t="s">
        <v>794</v>
      </c>
      <c r="F2" s="274" t="s">
        <v>135</v>
      </c>
      <c r="G2" s="276">
        <v>0.41070000000000001</v>
      </c>
      <c r="H2" s="277">
        <v>168</v>
      </c>
      <c r="I2" s="277">
        <v>69</v>
      </c>
      <c r="J2" s="277">
        <v>0</v>
      </c>
      <c r="K2" s="274" t="s">
        <v>136</v>
      </c>
      <c r="L2" s="278" t="s">
        <v>180</v>
      </c>
      <c r="M2" s="277">
        <v>0</v>
      </c>
      <c r="N2" s="277">
        <v>11</v>
      </c>
      <c r="O2" s="277">
        <v>33</v>
      </c>
      <c r="P2" s="274" t="s">
        <v>382</v>
      </c>
      <c r="Q2" s="270"/>
      <c r="R2" s="270"/>
      <c r="S2" s="270"/>
      <c r="T2" s="270"/>
      <c r="U2" s="270"/>
      <c r="V2" s="270"/>
      <c r="W2" s="270"/>
      <c r="X2" s="270"/>
      <c r="Y2" s="270"/>
      <c r="Z2" s="277" t="s">
        <v>708</v>
      </c>
      <c r="AA2" s="277" t="s">
        <v>523</v>
      </c>
      <c r="AB2" s="277" t="s">
        <v>800</v>
      </c>
      <c r="AC2" s="277" t="s">
        <v>404</v>
      </c>
      <c r="AD2" s="277" t="s">
        <v>405</v>
      </c>
      <c r="AE2" s="277" t="s">
        <v>801</v>
      </c>
      <c r="AF2" s="277" t="s">
        <v>802</v>
      </c>
      <c r="AG2" s="270"/>
      <c r="AH2" s="270"/>
      <c r="AI2" s="270"/>
      <c r="AJ2" s="270"/>
    </row>
    <row r="3" spans="1:36" ht="21" x14ac:dyDescent="0.3">
      <c r="A3" s="279" t="s">
        <v>946</v>
      </c>
      <c r="B3" s="280"/>
      <c r="C3" s="279">
        <f>SUBTOTAL(103,TUU_ATZ_LF_LEGACY[Flt])</f>
        <v>1</v>
      </c>
      <c r="D3" s="279"/>
      <c r="E3" s="279">
        <f>SUBTOTAL(103,TUU_ATZ_LF_LEGACY[Brd-Off])</f>
        <v>1</v>
      </c>
      <c r="F3" s="279"/>
      <c r="G3" s="281">
        <f>SUBTOTAL(101,TUU_ATZ_LF_LEGACY[LF%])</f>
        <v>0.41070000000000001</v>
      </c>
      <c r="H3" s="282">
        <f>SUBTOTAL(109,TUU_ATZ_LF_LEGACY[CAP])</f>
        <v>168</v>
      </c>
      <c r="I3" s="282">
        <f>SUBTOTAL(109,TUU_ATZ_LF_LEGACY[BKG(Y)])</f>
        <v>69</v>
      </c>
      <c r="J3" s="282">
        <f>SUBTOTAL(109,TUU_ATZ_LF_LEGACY[GRP(Y)])</f>
        <v>0</v>
      </c>
      <c r="K3" s="279"/>
      <c r="L3" s="280"/>
      <c r="M3" s="282">
        <f>SUBTOTAL(109,TUU_ATZ_LF_LEGACY[TO-DAY])</f>
        <v>0</v>
      </c>
      <c r="N3" s="282">
        <f>SUBTOTAL(109,TUU_ATZ_LF_LEGACY[Y-DAY])</f>
        <v>11</v>
      </c>
      <c r="O3" s="282">
        <f>SUBTOTAL(109,TUU_ATZ_LF_LEGACY[WEEKLY])</f>
        <v>33</v>
      </c>
      <c r="P3" s="283"/>
      <c r="Q3" s="279">
        <f>SUBTOTAL(109,TUU_ATZ_LF_LEGACY[Y])</f>
        <v>0</v>
      </c>
      <c r="R3" s="279">
        <f>SUBTOTAL(109,TUU_ATZ_LF_LEGACY[B])</f>
        <v>0</v>
      </c>
      <c r="S3" s="279">
        <f>SUBTOTAL(109,TUU_ATZ_LF_LEGACY[M])</f>
        <v>0</v>
      </c>
      <c r="T3" s="279">
        <f>SUBTOTAL(109,TUU_ATZ_LF_LEGACY[H])</f>
        <v>0</v>
      </c>
      <c r="U3" s="279">
        <f>SUBTOTAL(109,TUU_ATZ_LF_LEGACY[Q])</f>
        <v>0</v>
      </c>
      <c r="V3" s="279">
        <f>SUBTOTAL(109,TUU_ATZ_LF_LEGACY[K])</f>
        <v>0</v>
      </c>
      <c r="W3" s="279">
        <f>SUBTOTAL(109,TUU_ATZ_LF_LEGACY[V])</f>
        <v>0</v>
      </c>
      <c r="X3" s="279">
        <f>SUBTOTAL(109,TUU_ATZ_LF_LEGACY[L])</f>
        <v>0</v>
      </c>
      <c r="Y3" s="279">
        <f>SUBTOTAL(109,TUU_ATZ_LF_LEGACY[G])</f>
        <v>0</v>
      </c>
      <c r="Z3" s="282">
        <f>SUBTOTAL(109,TUU_ATZ_LF_LEGACY[S])</f>
        <v>0</v>
      </c>
      <c r="AA3" s="282">
        <f>SUBTOTAL(109,TUU_ATZ_LF_LEGACY[W])</f>
        <v>0</v>
      </c>
      <c r="AB3" s="282">
        <f>SUBTOTAL(109,TUU_ATZ_LF_LEGACY[T])</f>
        <v>0</v>
      </c>
      <c r="AC3" s="282">
        <f>SUBTOTAL(109,TUU_ATZ_LF_LEGACY[X])</f>
        <v>0</v>
      </c>
      <c r="AD3" s="282">
        <f>SUBTOTAL(109,TUU_ATZ_LF_LEGACY[U])</f>
        <v>0</v>
      </c>
      <c r="AE3" s="282">
        <f>SUBTOTAL(109,TUU_ATZ_LF_LEGACY[O])</f>
        <v>0</v>
      </c>
      <c r="AF3" s="282">
        <f>SUBTOTAL(109,TUU_ATZ_LF_LEGACY[I])</f>
        <v>0</v>
      </c>
      <c r="AG3" s="279">
        <f>SUBTOTAL(109,TUU_ATZ_LF_LEGACY[E])</f>
        <v>0</v>
      </c>
      <c r="AH3" s="279">
        <f>SUBTOTAL(109,TUU_ATZ_LF_LEGACY[A])</f>
        <v>0</v>
      </c>
      <c r="AI3" s="279">
        <f>SUBTOTAL(109,TUU_ATZ_LF_LEGACY[P])</f>
        <v>0</v>
      </c>
      <c r="AJ3" s="279">
        <f>SUBTOTAL(103,TUU_ATZ_LF_LEGACY[N])</f>
        <v>0</v>
      </c>
    </row>
  </sheetData>
  <pageMargins left="0.75" right="0.75" top="1" bottom="1" header="0.5" footer="0.5"/>
  <tableParts count="1">
    <tablePart r:id="rId1"/>
  </tableParts>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H15"/>
  <sheetViews>
    <sheetView workbookViewId="0"/>
  </sheetViews>
  <sheetFormatPr defaultRowHeight="14.4" x14ac:dyDescent="0.3"/>
  <cols>
    <col min="1" max="1" width="11.2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0" hidden="1" customWidth="1"/>
  </cols>
  <sheetData>
    <row r="1" spans="1:8" ht="18" x14ac:dyDescent="0.3">
      <c r="A1" s="57" t="s">
        <v>156</v>
      </c>
      <c r="B1" s="58" t="s">
        <v>8</v>
      </c>
      <c r="C1" s="58" t="s">
        <v>9</v>
      </c>
      <c r="D1" s="58" t="s">
        <v>157</v>
      </c>
      <c r="E1" s="58" t="s">
        <v>10</v>
      </c>
      <c r="F1" s="58" t="s">
        <v>11</v>
      </c>
      <c r="G1" s="58" t="s">
        <v>12</v>
      </c>
      <c r="H1" s="59" t="s">
        <v>13</v>
      </c>
    </row>
    <row r="2" spans="1:8" ht="19.8" customHeight="1" x14ac:dyDescent="0.3">
      <c r="A2" s="100" t="s">
        <v>158</v>
      </c>
      <c r="B2" s="101" t="s">
        <v>93</v>
      </c>
      <c r="C2" s="102" t="s">
        <v>795</v>
      </c>
      <c r="D2" s="101" t="s">
        <v>794</v>
      </c>
      <c r="E2" s="101" t="s">
        <v>504</v>
      </c>
      <c r="F2" s="101" t="s">
        <v>249</v>
      </c>
      <c r="G2" s="166">
        <v>2</v>
      </c>
      <c r="H2" s="167">
        <v>569</v>
      </c>
    </row>
    <row r="3" spans="1:8" ht="19.8" customHeight="1" x14ac:dyDescent="0.3">
      <c r="A3" s="96"/>
      <c r="B3" s="97"/>
      <c r="C3" s="97"/>
      <c r="D3" s="97"/>
      <c r="E3" s="97"/>
      <c r="F3" s="98" t="s">
        <v>803</v>
      </c>
      <c r="G3" s="97"/>
      <c r="H3" s="99"/>
    </row>
    <row r="4" spans="1:8" ht="19.8" customHeight="1" x14ac:dyDescent="0.3">
      <c r="A4" s="75">
        <v>45982</v>
      </c>
      <c r="B4" s="61" t="s">
        <v>237</v>
      </c>
      <c r="C4" s="62" t="s">
        <v>770</v>
      </c>
      <c r="D4" s="61" t="s">
        <v>769</v>
      </c>
      <c r="E4" s="76">
        <v>1.635416666666667</v>
      </c>
      <c r="F4" s="61" t="s">
        <v>319</v>
      </c>
      <c r="G4" s="63">
        <v>9</v>
      </c>
      <c r="H4" s="64">
        <v>550</v>
      </c>
    </row>
    <row r="5" spans="1:8" ht="19.8" customHeight="1" x14ac:dyDescent="0.3">
      <c r="A5" s="75">
        <v>45982</v>
      </c>
      <c r="B5" s="61" t="s">
        <v>243</v>
      </c>
      <c r="C5" s="62" t="s">
        <v>773</v>
      </c>
      <c r="D5" s="61" t="s">
        <v>769</v>
      </c>
      <c r="E5" s="76">
        <v>1.90625</v>
      </c>
      <c r="F5" s="61" t="s">
        <v>245</v>
      </c>
      <c r="G5" s="63">
        <v>1</v>
      </c>
      <c r="H5" s="64">
        <v>651</v>
      </c>
    </row>
    <row r="6" spans="1:8" ht="19.8" customHeight="1" x14ac:dyDescent="0.3">
      <c r="A6" s="75">
        <v>45982</v>
      </c>
      <c r="B6" s="61" t="s">
        <v>237</v>
      </c>
      <c r="C6" s="62" t="s">
        <v>770</v>
      </c>
      <c r="D6" s="61" t="s">
        <v>769</v>
      </c>
      <c r="E6" s="76">
        <v>1.635416666666667</v>
      </c>
      <c r="F6" s="61" t="s">
        <v>44</v>
      </c>
      <c r="G6" s="63">
        <v>9</v>
      </c>
      <c r="H6" s="64">
        <v>776</v>
      </c>
    </row>
    <row r="7" spans="1:8" ht="19.8" customHeight="1" x14ac:dyDescent="0.3">
      <c r="A7" s="104">
        <v>45982</v>
      </c>
      <c r="B7" s="67" t="s">
        <v>46</v>
      </c>
      <c r="C7" s="68" t="s">
        <v>775</v>
      </c>
      <c r="D7" s="67" t="s">
        <v>769</v>
      </c>
      <c r="E7" s="105">
        <v>1.1284722222222221</v>
      </c>
      <c r="F7" s="67" t="s">
        <v>48</v>
      </c>
      <c r="G7" s="69">
        <v>1</v>
      </c>
      <c r="H7" s="70" t="s">
        <v>776</v>
      </c>
    </row>
    <row r="8" spans="1:8" ht="19.8" customHeight="1" x14ac:dyDescent="0.3">
      <c r="A8" s="96"/>
      <c r="B8" s="97"/>
      <c r="C8" s="97"/>
      <c r="D8" s="97"/>
      <c r="E8" s="97"/>
      <c r="F8" s="98" t="s">
        <v>803</v>
      </c>
      <c r="G8" s="97"/>
      <c r="H8" s="99"/>
    </row>
    <row r="9" spans="1:8" ht="19.8" customHeight="1" x14ac:dyDescent="0.3">
      <c r="A9" s="75">
        <v>45983</v>
      </c>
      <c r="B9" s="61" t="s">
        <v>323</v>
      </c>
      <c r="C9" s="62" t="s">
        <v>777</v>
      </c>
      <c r="D9" s="61" t="s">
        <v>769</v>
      </c>
      <c r="E9" s="76">
        <v>1.135416666666667</v>
      </c>
      <c r="F9" s="61" t="s">
        <v>249</v>
      </c>
      <c r="G9" s="63">
        <v>8</v>
      </c>
      <c r="H9" s="64">
        <v>355</v>
      </c>
    </row>
    <row r="10" spans="1:8" ht="19.8" customHeight="1" x14ac:dyDescent="0.3">
      <c r="A10" s="75">
        <v>45983</v>
      </c>
      <c r="B10" s="61" t="s">
        <v>243</v>
      </c>
      <c r="C10" s="62" t="s">
        <v>779</v>
      </c>
      <c r="D10" s="61" t="s">
        <v>769</v>
      </c>
      <c r="E10" s="76">
        <v>1.90625</v>
      </c>
      <c r="F10" s="61" t="s">
        <v>245</v>
      </c>
      <c r="G10" s="63">
        <v>1</v>
      </c>
      <c r="H10" s="64">
        <v>355</v>
      </c>
    </row>
    <row r="11" spans="1:8" ht="19.8" customHeight="1" x14ac:dyDescent="0.3">
      <c r="A11" s="75">
        <v>45983</v>
      </c>
      <c r="B11" s="61" t="s">
        <v>93</v>
      </c>
      <c r="C11" s="62" t="s">
        <v>780</v>
      </c>
      <c r="D11" s="61" t="s">
        <v>769</v>
      </c>
      <c r="E11" s="76">
        <v>1.989583333333333</v>
      </c>
      <c r="F11" s="61" t="s">
        <v>249</v>
      </c>
      <c r="G11" s="63">
        <v>9</v>
      </c>
      <c r="H11" s="64">
        <v>400</v>
      </c>
    </row>
    <row r="12" spans="1:8" ht="19.8" customHeight="1" x14ac:dyDescent="0.3">
      <c r="A12" s="104">
        <v>45983</v>
      </c>
      <c r="B12" s="67" t="s">
        <v>46</v>
      </c>
      <c r="C12" s="68" t="s">
        <v>775</v>
      </c>
      <c r="D12" s="67" t="s">
        <v>769</v>
      </c>
      <c r="E12" s="105">
        <v>1.1284722222222221</v>
      </c>
      <c r="F12" s="67" t="s">
        <v>48</v>
      </c>
      <c r="G12" s="69">
        <v>9</v>
      </c>
      <c r="H12" s="176">
        <v>454</v>
      </c>
    </row>
    <row r="13" spans="1:8" ht="19.8" customHeight="1" x14ac:dyDescent="0.3">
      <c r="A13" s="96"/>
      <c r="B13" s="97"/>
      <c r="C13" s="97"/>
      <c r="D13" s="97"/>
      <c r="E13" s="97"/>
      <c r="F13" s="98" t="s">
        <v>803</v>
      </c>
      <c r="G13" s="97"/>
      <c r="H13" s="99"/>
    </row>
    <row r="14" spans="1:8" ht="19.8" customHeight="1" x14ac:dyDescent="0.3">
      <c r="A14" s="75">
        <v>45984</v>
      </c>
      <c r="B14" s="61" t="s">
        <v>237</v>
      </c>
      <c r="C14" s="62" t="s">
        <v>770</v>
      </c>
      <c r="D14" s="61" t="s">
        <v>769</v>
      </c>
      <c r="E14" s="76">
        <v>1.677083333333333</v>
      </c>
      <c r="F14" s="61" t="s">
        <v>319</v>
      </c>
      <c r="G14" s="63">
        <v>9</v>
      </c>
      <c r="H14" s="64">
        <v>388</v>
      </c>
    </row>
    <row r="15" spans="1:8" ht="19.8" customHeight="1" x14ac:dyDescent="0.3">
      <c r="A15" s="104">
        <v>45984</v>
      </c>
      <c r="B15" s="67" t="s">
        <v>237</v>
      </c>
      <c r="C15" s="68" t="s">
        <v>770</v>
      </c>
      <c r="D15" s="67" t="s">
        <v>769</v>
      </c>
      <c r="E15" s="105">
        <v>1.677083333333333</v>
      </c>
      <c r="F15" s="67" t="s">
        <v>44</v>
      </c>
      <c r="G15" s="69">
        <v>9</v>
      </c>
      <c r="H15" s="176">
        <v>614</v>
      </c>
    </row>
  </sheetData>
  <pageMargins left="0.75" right="0.75" top="1" bottom="1" header="0.5" footer="0.5"/>
  <legacyDrawing r:id="rId1"/>
  <tableParts count="1">
    <tablePart r:id="rId2"/>
  </tableParts>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H15"/>
  <sheetViews>
    <sheetView workbookViewId="0"/>
  </sheetViews>
  <sheetFormatPr defaultRowHeight="14.4" x14ac:dyDescent="0.3"/>
  <cols>
    <col min="1" max="1" width="11.2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0" hidden="1" customWidth="1"/>
  </cols>
  <sheetData>
    <row r="1" spans="1:8" ht="18" x14ac:dyDescent="0.3">
      <c r="A1" s="57" t="s">
        <v>156</v>
      </c>
      <c r="B1" s="58" t="s">
        <v>8</v>
      </c>
      <c r="C1" s="58" t="s">
        <v>9</v>
      </c>
      <c r="D1" s="58" t="s">
        <v>157</v>
      </c>
      <c r="E1" s="58" t="s">
        <v>10</v>
      </c>
      <c r="F1" s="58" t="s">
        <v>11</v>
      </c>
      <c r="G1" s="58" t="s">
        <v>12</v>
      </c>
      <c r="H1" s="59" t="s">
        <v>13</v>
      </c>
    </row>
    <row r="2" spans="1:8" ht="19.8" customHeight="1" x14ac:dyDescent="0.3">
      <c r="A2" s="100" t="s">
        <v>158</v>
      </c>
      <c r="B2" s="101" t="s">
        <v>93</v>
      </c>
      <c r="C2" s="102" t="s">
        <v>795</v>
      </c>
      <c r="D2" s="101" t="s">
        <v>794</v>
      </c>
      <c r="E2" s="101" t="s">
        <v>504</v>
      </c>
      <c r="F2" s="101" t="s">
        <v>249</v>
      </c>
      <c r="G2" s="166">
        <v>2</v>
      </c>
      <c r="H2" s="167">
        <v>569</v>
      </c>
    </row>
    <row r="3" spans="1:8" ht="19.8" customHeight="1" x14ac:dyDescent="0.3">
      <c r="A3" s="96"/>
      <c r="B3" s="97"/>
      <c r="C3" s="97"/>
      <c r="D3" s="97"/>
      <c r="E3" s="97"/>
      <c r="F3" s="98" t="s">
        <v>803</v>
      </c>
      <c r="G3" s="97"/>
      <c r="H3" s="99"/>
    </row>
    <row r="4" spans="1:8" ht="19.8" customHeight="1" x14ac:dyDescent="0.3">
      <c r="A4" s="75">
        <v>45982</v>
      </c>
      <c r="B4" s="61" t="s">
        <v>237</v>
      </c>
      <c r="C4" s="62" t="s">
        <v>770</v>
      </c>
      <c r="D4" s="61" t="s">
        <v>769</v>
      </c>
      <c r="E4" s="76">
        <v>1.635416666666667</v>
      </c>
      <c r="F4" s="61" t="s">
        <v>319</v>
      </c>
      <c r="G4" s="63">
        <v>9</v>
      </c>
      <c r="H4" s="64">
        <v>550</v>
      </c>
    </row>
    <row r="5" spans="1:8" ht="19.8" customHeight="1" x14ac:dyDescent="0.3">
      <c r="A5" s="75">
        <v>45982</v>
      </c>
      <c r="B5" s="61" t="s">
        <v>243</v>
      </c>
      <c r="C5" s="62" t="s">
        <v>773</v>
      </c>
      <c r="D5" s="61" t="s">
        <v>769</v>
      </c>
      <c r="E5" s="76">
        <v>1.90625</v>
      </c>
      <c r="F5" s="61" t="s">
        <v>245</v>
      </c>
      <c r="G5" s="63">
        <v>1</v>
      </c>
      <c r="H5" s="64">
        <v>651</v>
      </c>
    </row>
    <row r="6" spans="1:8" ht="19.8" customHeight="1" x14ac:dyDescent="0.3">
      <c r="A6" s="75">
        <v>45982</v>
      </c>
      <c r="B6" s="61" t="s">
        <v>237</v>
      </c>
      <c r="C6" s="62" t="s">
        <v>770</v>
      </c>
      <c r="D6" s="61" t="s">
        <v>769</v>
      </c>
      <c r="E6" s="76">
        <v>1.635416666666667</v>
      </c>
      <c r="F6" s="61" t="s">
        <v>44</v>
      </c>
      <c r="G6" s="63">
        <v>9</v>
      </c>
      <c r="H6" s="64">
        <v>776</v>
      </c>
    </row>
    <row r="7" spans="1:8" ht="19.8" customHeight="1" x14ac:dyDescent="0.3">
      <c r="A7" s="104">
        <v>45982</v>
      </c>
      <c r="B7" s="67" t="s">
        <v>46</v>
      </c>
      <c r="C7" s="68" t="s">
        <v>775</v>
      </c>
      <c r="D7" s="67" t="s">
        <v>769</v>
      </c>
      <c r="E7" s="105">
        <v>1.1284722222222221</v>
      </c>
      <c r="F7" s="67" t="s">
        <v>48</v>
      </c>
      <c r="G7" s="69">
        <v>1</v>
      </c>
      <c r="H7" s="70" t="s">
        <v>776</v>
      </c>
    </row>
    <row r="8" spans="1:8" ht="19.8" customHeight="1" x14ac:dyDescent="0.3">
      <c r="A8" s="96"/>
      <c r="B8" s="97"/>
      <c r="C8" s="97"/>
      <c r="D8" s="97"/>
      <c r="E8" s="97"/>
      <c r="F8" s="98" t="s">
        <v>803</v>
      </c>
      <c r="G8" s="97"/>
      <c r="H8" s="99"/>
    </row>
    <row r="9" spans="1:8" ht="19.8" customHeight="1" x14ac:dyDescent="0.3">
      <c r="A9" s="75">
        <v>45983</v>
      </c>
      <c r="B9" s="61" t="s">
        <v>323</v>
      </c>
      <c r="C9" s="62" t="s">
        <v>777</v>
      </c>
      <c r="D9" s="61" t="s">
        <v>769</v>
      </c>
      <c r="E9" s="76">
        <v>1.135416666666667</v>
      </c>
      <c r="F9" s="61" t="s">
        <v>249</v>
      </c>
      <c r="G9" s="63">
        <v>8</v>
      </c>
      <c r="H9" s="64">
        <v>355</v>
      </c>
    </row>
    <row r="10" spans="1:8" ht="19.8" customHeight="1" x14ac:dyDescent="0.3">
      <c r="A10" s="75">
        <v>45983</v>
      </c>
      <c r="B10" s="61" t="s">
        <v>243</v>
      </c>
      <c r="C10" s="62" t="s">
        <v>779</v>
      </c>
      <c r="D10" s="61" t="s">
        <v>769</v>
      </c>
      <c r="E10" s="76">
        <v>1.90625</v>
      </c>
      <c r="F10" s="61" t="s">
        <v>245</v>
      </c>
      <c r="G10" s="63">
        <v>1</v>
      </c>
      <c r="H10" s="64">
        <v>355</v>
      </c>
    </row>
    <row r="11" spans="1:8" ht="19.8" customHeight="1" x14ac:dyDescent="0.3">
      <c r="A11" s="75">
        <v>45983</v>
      </c>
      <c r="B11" s="61" t="s">
        <v>93</v>
      </c>
      <c r="C11" s="62" t="s">
        <v>780</v>
      </c>
      <c r="D11" s="61" t="s">
        <v>769</v>
      </c>
      <c r="E11" s="76">
        <v>1.989583333333333</v>
      </c>
      <c r="F11" s="61" t="s">
        <v>249</v>
      </c>
      <c r="G11" s="63">
        <v>9</v>
      </c>
      <c r="H11" s="64">
        <v>400</v>
      </c>
    </row>
    <row r="12" spans="1:8" ht="19.8" customHeight="1" x14ac:dyDescent="0.3">
      <c r="A12" s="104">
        <v>45983</v>
      </c>
      <c r="B12" s="67" t="s">
        <v>46</v>
      </c>
      <c r="C12" s="68" t="s">
        <v>775</v>
      </c>
      <c r="D12" s="67" t="s">
        <v>769</v>
      </c>
      <c r="E12" s="105">
        <v>1.1284722222222221</v>
      </c>
      <c r="F12" s="67" t="s">
        <v>48</v>
      </c>
      <c r="G12" s="69">
        <v>9</v>
      </c>
      <c r="H12" s="176">
        <v>454</v>
      </c>
    </row>
    <row r="13" spans="1:8" ht="19.8" customHeight="1" x14ac:dyDescent="0.3">
      <c r="A13" s="96"/>
      <c r="B13" s="97"/>
      <c r="C13" s="97"/>
      <c r="D13" s="97"/>
      <c r="E13" s="97"/>
      <c r="F13" s="98" t="s">
        <v>803</v>
      </c>
      <c r="G13" s="97"/>
      <c r="H13" s="99"/>
    </row>
    <row r="14" spans="1:8" ht="19.8" customHeight="1" x14ac:dyDescent="0.3">
      <c r="A14" s="75">
        <v>45984</v>
      </c>
      <c r="B14" s="61" t="s">
        <v>237</v>
      </c>
      <c r="C14" s="62" t="s">
        <v>770</v>
      </c>
      <c r="D14" s="61" t="s">
        <v>769</v>
      </c>
      <c r="E14" s="76">
        <v>1.677083333333333</v>
      </c>
      <c r="F14" s="61" t="s">
        <v>319</v>
      </c>
      <c r="G14" s="63">
        <v>9</v>
      </c>
      <c r="H14" s="64">
        <v>388</v>
      </c>
    </row>
    <row r="15" spans="1:8" ht="19.8" customHeight="1" x14ac:dyDescent="0.3">
      <c r="A15" s="104">
        <v>45984</v>
      </c>
      <c r="B15" s="67" t="s">
        <v>237</v>
      </c>
      <c r="C15" s="68" t="s">
        <v>770</v>
      </c>
      <c r="D15" s="67" t="s">
        <v>769</v>
      </c>
      <c r="E15" s="105">
        <v>1.677083333333333</v>
      </c>
      <c r="F15" s="67" t="s">
        <v>44</v>
      </c>
      <c r="G15" s="69">
        <v>9</v>
      </c>
      <c r="H15" s="176">
        <v>614</v>
      </c>
    </row>
  </sheetData>
  <pageMargins left="0.75" right="0.75" top="1" bottom="1" header="0.5" footer="0.5"/>
  <legacyDrawing r:id="rId1"/>
  <tableParts count="1">
    <tablePart r:id="rId2"/>
  </tableParts>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CN10"/>
  <sheetViews>
    <sheetView workbookViewId="0"/>
  </sheetViews>
  <sheetFormatPr defaultRowHeight="14.4" x14ac:dyDescent="0.3"/>
  <cols>
    <col min="1" max="1" width="10.21875" bestFit="1" customWidth="1"/>
    <col min="2" max="2" width="15.6640625" bestFit="1" customWidth="1"/>
    <col min="3" max="3" width="14.77734375" bestFit="1" customWidth="1"/>
    <col min="4" max="4" width="29.88671875" bestFit="1" customWidth="1"/>
    <col min="5" max="5" width="17.21875" bestFit="1" customWidth="1"/>
    <col min="6" max="6" width="23.44140625" bestFit="1" customWidth="1"/>
    <col min="7" max="7" width="48.77734375" bestFit="1" customWidth="1"/>
    <col min="8" max="8" width="9.44140625" bestFit="1" customWidth="1"/>
    <col min="9" max="9" width="8" bestFit="1" customWidth="1"/>
    <col min="10" max="10" width="7.5546875" bestFit="1" customWidth="1"/>
    <col min="11" max="11" width="23.4414062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44.5546875" bestFit="1" customWidth="1"/>
  </cols>
  <sheetData>
    <row r="1" spans="1:92" ht="28.8" customHeight="1" x14ac:dyDescent="0.3">
      <c r="A1" s="260" t="s">
        <v>0</v>
      </c>
      <c r="B1" s="253"/>
      <c r="C1" s="253"/>
      <c r="D1" s="253"/>
      <c r="E1" s="253"/>
      <c r="F1" s="1" t="s">
        <v>804</v>
      </c>
      <c r="G1" s="2" t="s">
        <v>2</v>
      </c>
      <c r="H1" s="259">
        <v>45982</v>
      </c>
      <c r="I1" s="253"/>
      <c r="J1" s="253"/>
      <c r="K1" s="253"/>
      <c r="L1" s="253"/>
      <c r="M1" s="1" t="s">
        <v>3</v>
      </c>
      <c r="N1" s="266">
        <v>45984</v>
      </c>
      <c r="O1" s="253"/>
      <c r="P1" s="253"/>
      <c r="Q1" s="253"/>
      <c r="R1" s="253"/>
      <c r="CA1" s="3"/>
      <c r="CB1" s="3"/>
      <c r="CC1" s="3"/>
      <c r="CD1" s="3"/>
      <c r="CE1" s="3"/>
      <c r="CF1" s="3"/>
      <c r="CG1" s="3"/>
      <c r="CH1" s="3"/>
      <c r="CI1" s="3"/>
      <c r="CJ1" s="3"/>
      <c r="CK1" s="3"/>
      <c r="CL1" s="3"/>
      <c r="CM1" s="3"/>
      <c r="CN1" s="3"/>
    </row>
    <row r="2" spans="1:92" ht="23.4" customHeight="1" x14ac:dyDescent="0.3">
      <c r="A2" s="252" t="s">
        <v>4</v>
      </c>
      <c r="B2" s="253"/>
      <c r="C2" s="253"/>
      <c r="D2" s="253"/>
      <c r="E2" s="253"/>
      <c r="F2" s="253"/>
      <c r="G2" s="261">
        <v>45981.017864855246</v>
      </c>
      <c r="H2" s="253"/>
      <c r="I2" s="253"/>
      <c r="J2" s="253"/>
      <c r="K2" s="262">
        <v>45981.017864855647</v>
      </c>
      <c r="L2" s="253"/>
      <c r="M2" s="253"/>
      <c r="N2" s="253"/>
      <c r="O2" s="253"/>
      <c r="P2" s="253"/>
      <c r="Q2" s="253"/>
      <c r="R2" s="253"/>
      <c r="CA2" s="3"/>
      <c r="CB2" s="3"/>
      <c r="CC2" s="3"/>
      <c r="CD2" s="3"/>
      <c r="CE2" s="3"/>
      <c r="CF2" s="3"/>
      <c r="CG2" s="3"/>
      <c r="CH2" s="3"/>
      <c r="CI2" s="3"/>
      <c r="CJ2" s="3"/>
      <c r="CK2" s="3"/>
      <c r="CL2" s="3"/>
      <c r="CM2" s="3"/>
      <c r="CN2" s="3"/>
    </row>
    <row r="3" spans="1:92" ht="24" customHeight="1" x14ac:dyDescent="0.3">
      <c r="A3" s="254" t="s">
        <v>5</v>
      </c>
      <c r="B3" s="253"/>
      <c r="C3" s="253"/>
      <c r="D3" s="253"/>
      <c r="E3" s="253"/>
      <c r="F3" s="253"/>
      <c r="G3" s="253"/>
      <c r="H3" s="253"/>
      <c r="I3" s="253"/>
      <c r="J3" s="253"/>
      <c r="K3" s="253"/>
      <c r="L3" s="253"/>
      <c r="M3" s="253"/>
      <c r="N3" s="253"/>
      <c r="O3" s="253"/>
      <c r="P3" s="253"/>
      <c r="Q3" s="253"/>
      <c r="R3" s="253"/>
      <c r="CA3" s="3"/>
      <c r="CB3" s="3"/>
      <c r="CC3" s="3"/>
      <c r="CD3" s="3"/>
      <c r="CE3" s="3"/>
      <c r="CF3" s="3"/>
      <c r="CG3" s="3"/>
      <c r="CH3" s="3"/>
      <c r="CI3" s="3"/>
      <c r="CJ3" s="3"/>
      <c r="CK3" s="3"/>
      <c r="CL3" s="3"/>
      <c r="CM3" s="3"/>
      <c r="CN3" s="3"/>
    </row>
    <row r="4" spans="1:92" ht="22.05" customHeight="1" x14ac:dyDescent="0.3">
      <c r="A4" s="263" t="s">
        <v>6</v>
      </c>
      <c r="B4" s="250"/>
      <c r="C4" s="250"/>
      <c r="D4" s="250"/>
      <c r="E4" s="250"/>
      <c r="F4" s="251"/>
      <c r="G4" s="4">
        <v>45983</v>
      </c>
      <c r="H4" s="264" t="s">
        <v>7</v>
      </c>
      <c r="I4" s="250"/>
      <c r="J4" s="250"/>
      <c r="K4" s="250"/>
      <c r="L4" s="250"/>
      <c r="M4" s="250"/>
      <c r="N4" s="250"/>
      <c r="O4" s="250"/>
      <c r="P4" s="250"/>
      <c r="Q4" s="250"/>
      <c r="R4" s="251"/>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thickTop="1" thickBot="1" x14ac:dyDescent="0.5">
      <c r="A6" s="177" t="s">
        <v>93</v>
      </c>
      <c r="B6" s="177" t="s">
        <v>805</v>
      </c>
      <c r="C6" s="178">
        <v>0.86458333333333337</v>
      </c>
      <c r="D6" s="177" t="s">
        <v>249</v>
      </c>
      <c r="E6" s="177" t="s">
        <v>89</v>
      </c>
      <c r="F6" s="177" t="s">
        <v>806</v>
      </c>
      <c r="G6" s="255"/>
      <c r="H6" s="211" t="s">
        <v>807</v>
      </c>
      <c r="I6" s="212">
        <v>0.88100000000000001</v>
      </c>
      <c r="J6" s="213">
        <v>148</v>
      </c>
      <c r="K6" s="214" t="s">
        <v>180</v>
      </c>
      <c r="L6" s="213">
        <v>93</v>
      </c>
      <c r="M6" s="213">
        <v>0</v>
      </c>
      <c r="N6" s="213">
        <v>28</v>
      </c>
      <c r="O6" s="215" t="s">
        <v>358</v>
      </c>
      <c r="P6" s="216">
        <v>0.86458333333333337</v>
      </c>
      <c r="Q6" s="213">
        <v>168</v>
      </c>
      <c r="R6" s="217" t="s">
        <v>808</v>
      </c>
    </row>
    <row r="7" spans="1:92" ht="17.399999999999999" customHeight="1" thickBot="1" x14ac:dyDescent="0.35">
      <c r="A7" s="284"/>
      <c r="B7" s="285"/>
      <c r="C7" s="285"/>
      <c r="D7" s="285"/>
      <c r="E7" s="285"/>
      <c r="F7" s="285"/>
      <c r="G7" s="285"/>
      <c r="H7" s="285"/>
      <c r="I7" s="285"/>
      <c r="J7" s="285"/>
      <c r="K7" s="285"/>
      <c r="L7" s="285"/>
      <c r="M7" s="285"/>
      <c r="N7" s="285"/>
      <c r="O7" s="285"/>
      <c r="P7" s="285"/>
      <c r="Q7" s="285"/>
      <c r="R7" s="286"/>
    </row>
    <row r="8" spans="1:92" ht="22.05" customHeight="1" thickTop="1" thickBot="1" x14ac:dyDescent="0.35">
      <c r="A8" s="249" t="s">
        <v>6</v>
      </c>
      <c r="B8" s="250"/>
      <c r="C8" s="250"/>
      <c r="D8" s="250"/>
      <c r="E8" s="250"/>
      <c r="F8" s="251"/>
      <c r="G8" s="28">
        <v>45984</v>
      </c>
      <c r="H8" s="258" t="s">
        <v>7</v>
      </c>
      <c r="I8" s="250"/>
      <c r="J8" s="250"/>
      <c r="K8" s="250"/>
      <c r="L8" s="250"/>
      <c r="M8" s="250"/>
      <c r="N8" s="250"/>
      <c r="O8" s="250"/>
      <c r="P8" s="250"/>
      <c r="Q8" s="250"/>
      <c r="R8" s="251"/>
    </row>
    <row r="9" spans="1:92" ht="24" customHeight="1" x14ac:dyDescent="0.3">
      <c r="A9" s="29" t="s">
        <v>8</v>
      </c>
      <c r="B9" s="29" t="s">
        <v>9</v>
      </c>
      <c r="C9" s="30" t="s">
        <v>10</v>
      </c>
      <c r="D9" s="29" t="s">
        <v>11</v>
      </c>
      <c r="E9" s="29" t="s">
        <v>12</v>
      </c>
      <c r="F9" s="31" t="s">
        <v>13</v>
      </c>
      <c r="G9" s="32" t="s">
        <v>14</v>
      </c>
      <c r="H9" s="29" t="s">
        <v>15</v>
      </c>
      <c r="I9" s="33" t="s">
        <v>16</v>
      </c>
      <c r="J9" s="34" t="s">
        <v>17</v>
      </c>
      <c r="K9" s="35" t="s">
        <v>18</v>
      </c>
      <c r="L9" s="34" t="s">
        <v>19</v>
      </c>
      <c r="M9" s="34" t="s">
        <v>20</v>
      </c>
      <c r="N9" s="34" t="s">
        <v>21</v>
      </c>
      <c r="O9" s="29" t="s">
        <v>22</v>
      </c>
      <c r="P9" s="30" t="s">
        <v>23</v>
      </c>
      <c r="Q9" s="34" t="s">
        <v>24</v>
      </c>
      <c r="R9" s="29" t="s">
        <v>25</v>
      </c>
    </row>
    <row r="10" spans="1:92" ht="49.95" customHeight="1" x14ac:dyDescent="0.45">
      <c r="A10" s="218" t="s">
        <v>243</v>
      </c>
      <c r="B10" s="218" t="s">
        <v>809</v>
      </c>
      <c r="C10" s="219">
        <v>0.45833333333333331</v>
      </c>
      <c r="D10" s="218" t="s">
        <v>249</v>
      </c>
      <c r="E10" s="218" t="s">
        <v>89</v>
      </c>
      <c r="F10" s="218" t="s">
        <v>771</v>
      </c>
      <c r="G10" s="255"/>
      <c r="H10" s="23"/>
      <c r="I10" s="24"/>
      <c r="J10" s="24"/>
      <c r="K10" s="24"/>
      <c r="L10" s="24"/>
      <c r="M10" s="24"/>
      <c r="N10" s="24"/>
      <c r="O10" s="25"/>
      <c r="P10" s="24"/>
      <c r="Q10" s="26"/>
      <c r="R10" s="27"/>
    </row>
  </sheetData>
  <mergeCells count="14">
    <mergeCell ref="G10"/>
    <mergeCell ref="H4:R4"/>
    <mergeCell ref="G6"/>
    <mergeCell ref="N1:R1"/>
    <mergeCell ref="H1:L1"/>
    <mergeCell ref="A1:E1"/>
    <mergeCell ref="G2:J2"/>
    <mergeCell ref="K2:R2"/>
    <mergeCell ref="A4:F4"/>
    <mergeCell ref="A2:F2"/>
    <mergeCell ref="A3:R3"/>
    <mergeCell ref="H8:R8"/>
    <mergeCell ref="A7:R7"/>
    <mergeCell ref="A8:F8"/>
  </mergeCells>
  <pageMargins left="0.75" right="0.75" top="1" bottom="1" header="0.5" footer="0.5"/>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J3"/>
  <sheetViews>
    <sheetView workbookViewId="0"/>
  </sheetViews>
  <sheetFormatPr defaultRowHeight="15.6" outlineLevelCol="1" x14ac:dyDescent="0.3"/>
  <cols>
    <col min="1" max="1" width="11.6640625" style="271" bestFit="1" customWidth="1"/>
    <col min="2" max="2" width="11.109375" style="271" bestFit="1" customWidth="1"/>
    <col min="3" max="3" width="7.88671875" style="271" bestFit="1" customWidth="1"/>
    <col min="4" max="4" width="6.77734375" style="271" bestFit="1" customWidth="1"/>
    <col min="5" max="5" width="8.44140625" style="271" bestFit="1" customWidth="1"/>
    <col min="6" max="6" width="5.21875" style="271" bestFit="1" customWidth="1"/>
    <col min="7" max="7" width="10" style="271" bestFit="1" customWidth="1"/>
    <col min="8" max="8" width="7" style="271" bestFit="1" customWidth="1"/>
    <col min="9" max="10" width="8" style="271" bestFit="1" customWidth="1"/>
    <col min="11" max="11" width="12.21875" style="271" bestFit="1" customWidth="1"/>
    <col min="12" max="12" width="21.21875" style="271" bestFit="1" customWidth="1"/>
    <col min="13" max="13" width="8.77734375" style="271" bestFit="1" customWidth="1" outlineLevel="1"/>
    <col min="14" max="14" width="7.33203125" style="271" bestFit="1" customWidth="1" outlineLevel="1"/>
    <col min="15" max="15" width="9.109375" style="271" bestFit="1" customWidth="1" outlineLevel="1"/>
    <col min="16" max="16" width="15.33203125" style="271" bestFit="1" customWidth="1"/>
    <col min="17" max="25" width="3.88671875" style="271" bestFit="1" customWidth="1"/>
    <col min="26" max="26" width="4.88671875" style="271" bestFit="1" customWidth="1"/>
    <col min="27" max="27" width="5.88671875" style="271" bestFit="1" customWidth="1"/>
    <col min="28" max="28" width="5" style="271" bestFit="1" customWidth="1"/>
    <col min="29" max="29" width="4" style="271" bestFit="1" customWidth="1"/>
    <col min="30" max="31" width="5.33203125" style="271" bestFit="1" customWidth="1"/>
    <col min="32" max="36" width="3.88671875" style="271" bestFit="1" customWidth="1"/>
    <col min="37" max="16384" width="8.88671875" style="271"/>
  </cols>
  <sheetData>
    <row r="1" spans="1:36" x14ac:dyDescent="0.3">
      <c r="A1" s="270" t="s">
        <v>104</v>
      </c>
      <c r="B1" s="270" t="s">
        <v>105</v>
      </c>
      <c r="C1" s="270" t="s">
        <v>106</v>
      </c>
      <c r="D1" s="270" t="s">
        <v>23</v>
      </c>
      <c r="E1" s="270" t="s">
        <v>107</v>
      </c>
      <c r="F1" s="270" t="s">
        <v>108</v>
      </c>
      <c r="G1" s="270" t="s">
        <v>16</v>
      </c>
      <c r="H1" s="270" t="s">
        <v>109</v>
      </c>
      <c r="I1" s="270" t="s">
        <v>110</v>
      </c>
      <c r="J1" s="270" t="s">
        <v>111</v>
      </c>
      <c r="K1" s="270" t="s">
        <v>112</v>
      </c>
      <c r="L1" s="270" t="s">
        <v>18</v>
      </c>
      <c r="M1" s="270" t="s">
        <v>20</v>
      </c>
      <c r="N1" s="270" t="s">
        <v>21</v>
      </c>
      <c r="O1" s="270" t="s">
        <v>19</v>
      </c>
      <c r="P1" s="270" t="s">
        <v>22</v>
      </c>
      <c r="Q1" s="270" t="s">
        <v>113</v>
      </c>
      <c r="R1" s="270" t="s">
        <v>114</v>
      </c>
      <c r="S1" s="270" t="s">
        <v>115</v>
      </c>
      <c r="T1" s="270" t="s">
        <v>116</v>
      </c>
      <c r="U1" s="270" t="s">
        <v>117</v>
      </c>
      <c r="V1" s="270" t="s">
        <v>118</v>
      </c>
      <c r="W1" s="270" t="s">
        <v>119</v>
      </c>
      <c r="X1" s="270" t="s">
        <v>120</v>
      </c>
      <c r="Y1" s="270" t="s">
        <v>121</v>
      </c>
      <c r="Z1" s="270" t="s">
        <v>122</v>
      </c>
      <c r="AA1" s="270" t="s">
        <v>123</v>
      </c>
      <c r="AB1" s="270" t="s">
        <v>124</v>
      </c>
      <c r="AC1" s="270" t="s">
        <v>125</v>
      </c>
      <c r="AD1" s="270" t="s">
        <v>126</v>
      </c>
      <c r="AE1" s="270" t="s">
        <v>127</v>
      </c>
      <c r="AF1" s="270" t="s">
        <v>128</v>
      </c>
      <c r="AG1" s="270" t="s">
        <v>129</v>
      </c>
      <c r="AH1" s="270" t="s">
        <v>130</v>
      </c>
      <c r="AI1" s="270" t="s">
        <v>131</v>
      </c>
      <c r="AJ1" s="270" t="s">
        <v>132</v>
      </c>
    </row>
    <row r="2" spans="1:36" x14ac:dyDescent="0.3">
      <c r="A2" s="272" t="s">
        <v>133</v>
      </c>
      <c r="B2" s="273">
        <v>45983</v>
      </c>
      <c r="C2" s="274" t="s">
        <v>807</v>
      </c>
      <c r="D2" s="275" t="s">
        <v>810</v>
      </c>
      <c r="E2" s="274" t="s">
        <v>804</v>
      </c>
      <c r="F2" s="274" t="s">
        <v>135</v>
      </c>
      <c r="G2" s="276">
        <v>0.88100000000000001</v>
      </c>
      <c r="H2" s="277">
        <v>168</v>
      </c>
      <c r="I2" s="277">
        <v>148</v>
      </c>
      <c r="J2" s="277">
        <v>0</v>
      </c>
      <c r="K2" s="274" t="s">
        <v>136</v>
      </c>
      <c r="L2" s="278" t="s">
        <v>180</v>
      </c>
      <c r="M2" s="277">
        <v>0</v>
      </c>
      <c r="N2" s="277">
        <v>28</v>
      </c>
      <c r="O2" s="277">
        <v>93</v>
      </c>
      <c r="P2" s="274" t="s">
        <v>358</v>
      </c>
      <c r="Q2" s="270"/>
      <c r="R2" s="270"/>
      <c r="S2" s="270"/>
      <c r="T2" s="270"/>
      <c r="U2" s="270"/>
      <c r="V2" s="270"/>
      <c r="W2" s="270"/>
      <c r="X2" s="270"/>
      <c r="Y2" s="270"/>
      <c r="Z2" s="277" t="s">
        <v>444</v>
      </c>
      <c r="AA2" s="277" t="s">
        <v>519</v>
      </c>
      <c r="AB2" s="277" t="s">
        <v>811</v>
      </c>
      <c r="AC2" s="277" t="s">
        <v>437</v>
      </c>
      <c r="AD2" s="277" t="s">
        <v>199</v>
      </c>
      <c r="AE2" s="277" t="s">
        <v>812</v>
      </c>
      <c r="AF2" s="277" t="s">
        <v>813</v>
      </c>
      <c r="AG2" s="270"/>
      <c r="AH2" s="270"/>
      <c r="AI2" s="270"/>
      <c r="AJ2" s="270"/>
    </row>
    <row r="3" spans="1:36" ht="21" x14ac:dyDescent="0.3">
      <c r="A3" s="279" t="s">
        <v>946</v>
      </c>
      <c r="B3" s="280"/>
      <c r="C3" s="279">
        <f>SUBTOTAL(103,AJF_CAI_LF_LEGACY[Flt])</f>
        <v>1</v>
      </c>
      <c r="D3" s="279"/>
      <c r="E3" s="279">
        <f>SUBTOTAL(103,AJF_CAI_LF_LEGACY[Brd-Off])</f>
        <v>1</v>
      </c>
      <c r="F3" s="279"/>
      <c r="G3" s="281">
        <f>SUBTOTAL(101,AJF_CAI_LF_LEGACY[LF%])</f>
        <v>0.88100000000000001</v>
      </c>
      <c r="H3" s="282">
        <f>SUBTOTAL(109,AJF_CAI_LF_LEGACY[CAP])</f>
        <v>168</v>
      </c>
      <c r="I3" s="282">
        <f>SUBTOTAL(109,AJF_CAI_LF_LEGACY[BKG(Y)])</f>
        <v>148</v>
      </c>
      <c r="J3" s="282">
        <f>SUBTOTAL(109,AJF_CAI_LF_LEGACY[GRP(Y)])</f>
        <v>0</v>
      </c>
      <c r="K3" s="279"/>
      <c r="L3" s="280"/>
      <c r="M3" s="282">
        <f>SUBTOTAL(109,AJF_CAI_LF_LEGACY[TO-DAY])</f>
        <v>0</v>
      </c>
      <c r="N3" s="282">
        <f>SUBTOTAL(109,AJF_CAI_LF_LEGACY[Y-DAY])</f>
        <v>28</v>
      </c>
      <c r="O3" s="282">
        <f>SUBTOTAL(109,AJF_CAI_LF_LEGACY[WEEKLY])</f>
        <v>93</v>
      </c>
      <c r="P3" s="283"/>
      <c r="Q3" s="279">
        <f>SUBTOTAL(109,AJF_CAI_LF_LEGACY[Y])</f>
        <v>0</v>
      </c>
      <c r="R3" s="279">
        <f>SUBTOTAL(109,AJF_CAI_LF_LEGACY[B])</f>
        <v>0</v>
      </c>
      <c r="S3" s="279">
        <f>SUBTOTAL(109,AJF_CAI_LF_LEGACY[M])</f>
        <v>0</v>
      </c>
      <c r="T3" s="279">
        <f>SUBTOTAL(109,AJF_CAI_LF_LEGACY[H])</f>
        <v>0</v>
      </c>
      <c r="U3" s="279">
        <f>SUBTOTAL(109,AJF_CAI_LF_LEGACY[Q])</f>
        <v>0</v>
      </c>
      <c r="V3" s="279">
        <f>SUBTOTAL(109,AJF_CAI_LF_LEGACY[K])</f>
        <v>0</v>
      </c>
      <c r="W3" s="279">
        <f>SUBTOTAL(109,AJF_CAI_LF_LEGACY[V])</f>
        <v>0</v>
      </c>
      <c r="X3" s="279">
        <f>SUBTOTAL(109,AJF_CAI_LF_LEGACY[L])</f>
        <v>0</v>
      </c>
      <c r="Y3" s="279">
        <f>SUBTOTAL(109,AJF_CAI_LF_LEGACY[G])</f>
        <v>0</v>
      </c>
      <c r="Z3" s="282">
        <f>SUBTOTAL(109,AJF_CAI_LF_LEGACY[S])</f>
        <v>0</v>
      </c>
      <c r="AA3" s="282">
        <f>SUBTOTAL(109,AJF_CAI_LF_LEGACY[W])</f>
        <v>0</v>
      </c>
      <c r="AB3" s="282">
        <f>SUBTOTAL(109,AJF_CAI_LF_LEGACY[T])</f>
        <v>0</v>
      </c>
      <c r="AC3" s="282">
        <f>SUBTOTAL(109,AJF_CAI_LF_LEGACY[X])</f>
        <v>0</v>
      </c>
      <c r="AD3" s="282">
        <f>SUBTOTAL(109,AJF_CAI_LF_LEGACY[U])</f>
        <v>0</v>
      </c>
      <c r="AE3" s="282">
        <f>SUBTOTAL(109,AJF_CAI_LF_LEGACY[O])</f>
        <v>0</v>
      </c>
      <c r="AF3" s="282">
        <f>SUBTOTAL(109,AJF_CAI_LF_LEGACY[I])</f>
        <v>0</v>
      </c>
      <c r="AG3" s="279">
        <f>SUBTOTAL(109,AJF_CAI_LF_LEGACY[E])</f>
        <v>0</v>
      </c>
      <c r="AH3" s="279">
        <f>SUBTOTAL(109,AJF_CAI_LF_LEGACY[A])</f>
        <v>0</v>
      </c>
      <c r="AI3" s="279">
        <f>SUBTOTAL(109,AJF_CAI_LF_LEGACY[P])</f>
        <v>0</v>
      </c>
      <c r="AJ3" s="279">
        <f>SUBTOTAL(103,AJF_CAI_LF_LEGACY[N])</f>
        <v>0</v>
      </c>
    </row>
  </sheetData>
  <pageMargins left="0.75" right="0.75" top="1" bottom="1" header="0.5" footer="0.5"/>
  <tableParts count="1">
    <tablePart r:id="rId1"/>
  </tableParts>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H3"/>
  <sheetViews>
    <sheetView workbookViewId="0"/>
  </sheetViews>
  <sheetFormatPr defaultRowHeight="14.4" x14ac:dyDescent="0.3"/>
  <cols>
    <col min="1" max="1" width="11.21875" bestFit="1" customWidth="1"/>
    <col min="2" max="2" width="13.77734375" bestFit="1" customWidth="1"/>
    <col min="3" max="3" width="19.21875" bestFit="1" customWidth="1"/>
    <col min="4" max="4" width="12.77734375" bestFit="1" customWidth="1"/>
    <col min="5" max="5" width="18.33203125" bestFit="1" customWidth="1"/>
    <col min="6" max="6" width="29.21875" bestFit="1" customWidth="1"/>
    <col min="7" max="7" width="20" bestFit="1" customWidth="1"/>
    <col min="8" max="8" width="23.6640625" bestFit="1" customWidth="1"/>
    <col min="9" max="9" width="0" hidden="1" customWidth="1"/>
  </cols>
  <sheetData>
    <row r="1" spans="1:8" ht="18" x14ac:dyDescent="0.3">
      <c r="A1" s="57" t="s">
        <v>156</v>
      </c>
      <c r="B1" s="58" t="s">
        <v>8</v>
      </c>
      <c r="C1" s="58" t="s">
        <v>9</v>
      </c>
      <c r="D1" s="58" t="s">
        <v>157</v>
      </c>
      <c r="E1" s="58" t="s">
        <v>10</v>
      </c>
      <c r="F1" s="58" t="s">
        <v>11</v>
      </c>
      <c r="G1" s="58" t="s">
        <v>12</v>
      </c>
      <c r="H1" s="59" t="s">
        <v>13</v>
      </c>
    </row>
    <row r="2" spans="1:8" ht="19.8" customHeight="1" x14ac:dyDescent="0.3">
      <c r="A2" s="71" t="s">
        <v>168</v>
      </c>
      <c r="B2" s="72" t="s">
        <v>93</v>
      </c>
      <c r="C2" s="73" t="s">
        <v>805</v>
      </c>
      <c r="D2" s="72" t="s">
        <v>804</v>
      </c>
      <c r="E2" s="72" t="s">
        <v>810</v>
      </c>
      <c r="F2" s="72" t="s">
        <v>249</v>
      </c>
      <c r="G2" s="205">
        <v>1</v>
      </c>
      <c r="H2" s="206">
        <v>668</v>
      </c>
    </row>
    <row r="3" spans="1:8" ht="19.8" customHeight="1" x14ac:dyDescent="0.3">
      <c r="A3" s="104">
        <v>45984</v>
      </c>
      <c r="B3" s="67" t="s">
        <v>243</v>
      </c>
      <c r="C3" s="68" t="s">
        <v>809</v>
      </c>
      <c r="D3" s="67" t="s">
        <v>804</v>
      </c>
      <c r="E3" s="105">
        <v>1.458333333333333</v>
      </c>
      <c r="F3" s="67" t="s">
        <v>249</v>
      </c>
      <c r="G3" s="69">
        <v>1</v>
      </c>
      <c r="H3" s="176">
        <v>550</v>
      </c>
    </row>
  </sheetData>
  <pageMargins left="0.75" right="0.75" top="1" bottom="1" header="0.5" footer="0.5"/>
  <legacyDrawing r:id="rId1"/>
  <tableParts count="1">
    <tablePart r:id="rId2"/>
  </tableParts>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H3"/>
  <sheetViews>
    <sheetView workbookViewId="0"/>
  </sheetViews>
  <sheetFormatPr defaultRowHeight="14.4" x14ac:dyDescent="0.3"/>
  <cols>
    <col min="1" max="1" width="11.21875" bestFit="1" customWidth="1"/>
    <col min="2" max="2" width="13.77734375" bestFit="1" customWidth="1"/>
    <col min="3" max="3" width="19.21875" bestFit="1" customWidth="1"/>
    <col min="4" max="4" width="12.77734375" bestFit="1" customWidth="1"/>
    <col min="5" max="5" width="18.33203125" bestFit="1" customWidth="1"/>
    <col min="6" max="6" width="29.21875" bestFit="1" customWidth="1"/>
    <col min="7" max="7" width="20" bestFit="1" customWidth="1"/>
    <col min="8" max="8" width="23.6640625" bestFit="1" customWidth="1"/>
    <col min="9" max="9" width="0" hidden="1" customWidth="1"/>
  </cols>
  <sheetData>
    <row r="1" spans="1:8" ht="18" x14ac:dyDescent="0.3">
      <c r="A1" s="57" t="s">
        <v>156</v>
      </c>
      <c r="B1" s="58" t="s">
        <v>8</v>
      </c>
      <c r="C1" s="58" t="s">
        <v>9</v>
      </c>
      <c r="D1" s="58" t="s">
        <v>157</v>
      </c>
      <c r="E1" s="58" t="s">
        <v>10</v>
      </c>
      <c r="F1" s="58" t="s">
        <v>11</v>
      </c>
      <c r="G1" s="58" t="s">
        <v>12</v>
      </c>
      <c r="H1" s="59" t="s">
        <v>13</v>
      </c>
    </row>
    <row r="2" spans="1:8" ht="19.8" customHeight="1" x14ac:dyDescent="0.3">
      <c r="A2" s="71" t="s">
        <v>168</v>
      </c>
      <c r="B2" s="72" t="s">
        <v>93</v>
      </c>
      <c r="C2" s="73" t="s">
        <v>805</v>
      </c>
      <c r="D2" s="72" t="s">
        <v>804</v>
      </c>
      <c r="E2" s="72" t="s">
        <v>810</v>
      </c>
      <c r="F2" s="72" t="s">
        <v>249</v>
      </c>
      <c r="G2" s="205">
        <v>1</v>
      </c>
      <c r="H2" s="206">
        <v>668</v>
      </c>
    </row>
    <row r="3" spans="1:8" ht="19.8" customHeight="1" x14ac:dyDescent="0.3">
      <c r="A3" s="104">
        <v>45984</v>
      </c>
      <c r="B3" s="67" t="s">
        <v>243</v>
      </c>
      <c r="C3" s="68" t="s">
        <v>809</v>
      </c>
      <c r="D3" s="67" t="s">
        <v>804</v>
      </c>
      <c r="E3" s="105">
        <v>1.458333333333333</v>
      </c>
      <c r="F3" s="67" t="s">
        <v>249</v>
      </c>
      <c r="G3" s="69">
        <v>1</v>
      </c>
      <c r="H3" s="176">
        <v>550</v>
      </c>
    </row>
  </sheetData>
  <pageMargins left="0.75" right="0.75" top="1" bottom="1" header="0.5" footer="0.5"/>
  <legacyDrawing r:id="rId1"/>
  <tableParts count="1">
    <tablePart r:id="rId2"/>
  </tableParts>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CN8"/>
  <sheetViews>
    <sheetView workbookViewId="0"/>
  </sheetViews>
  <sheetFormatPr defaultRowHeight="14.4" x14ac:dyDescent="0.3"/>
  <cols>
    <col min="1" max="1" width="10.21875" bestFit="1" customWidth="1"/>
    <col min="2" max="2" width="15.6640625" bestFit="1" customWidth="1"/>
    <col min="3" max="3" width="14.77734375" bestFit="1" customWidth="1"/>
    <col min="4" max="4" width="29.88671875" bestFit="1" customWidth="1"/>
    <col min="5" max="5" width="17.21875" bestFit="1" customWidth="1"/>
    <col min="6" max="6" width="23.44140625" bestFit="1" customWidth="1"/>
    <col min="7" max="7" width="44.5546875" bestFit="1" customWidth="1"/>
    <col min="8" max="8" width="9.44140625" bestFit="1" customWidth="1"/>
    <col min="9" max="9" width="8" bestFit="1" customWidth="1"/>
    <col min="10" max="10" width="7.5546875" bestFit="1" customWidth="1"/>
    <col min="11" max="11" width="23.4414062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61.33203125" bestFit="1" customWidth="1"/>
  </cols>
  <sheetData>
    <row r="1" spans="1:92" ht="28.8" customHeight="1" x14ac:dyDescent="0.3">
      <c r="A1" s="260" t="s">
        <v>0</v>
      </c>
      <c r="B1" s="253"/>
      <c r="C1" s="253"/>
      <c r="D1" s="253"/>
      <c r="E1" s="253"/>
      <c r="F1" s="1" t="s">
        <v>814</v>
      </c>
      <c r="G1" s="2" t="s">
        <v>2</v>
      </c>
      <c r="H1" s="259">
        <v>45982</v>
      </c>
      <c r="I1" s="253"/>
      <c r="J1" s="253"/>
      <c r="K1" s="253"/>
      <c r="L1" s="253"/>
      <c r="M1" s="1" t="s">
        <v>3</v>
      </c>
      <c r="N1" s="266">
        <v>45984</v>
      </c>
      <c r="O1" s="253"/>
      <c r="P1" s="253"/>
      <c r="Q1" s="253"/>
      <c r="R1" s="253"/>
      <c r="CA1" s="3"/>
      <c r="CB1" s="3"/>
      <c r="CC1" s="3"/>
      <c r="CD1" s="3"/>
      <c r="CE1" s="3"/>
      <c r="CF1" s="3"/>
      <c r="CG1" s="3"/>
      <c r="CH1" s="3"/>
      <c r="CI1" s="3"/>
      <c r="CJ1" s="3"/>
      <c r="CK1" s="3"/>
      <c r="CL1" s="3"/>
      <c r="CM1" s="3"/>
      <c r="CN1" s="3"/>
    </row>
    <row r="2" spans="1:92" ht="23.4" customHeight="1" x14ac:dyDescent="0.3">
      <c r="A2" s="252" t="s">
        <v>4</v>
      </c>
      <c r="B2" s="253"/>
      <c r="C2" s="253"/>
      <c r="D2" s="253"/>
      <c r="E2" s="253"/>
      <c r="F2" s="253"/>
      <c r="G2" s="261">
        <v>45981.017867469709</v>
      </c>
      <c r="H2" s="253"/>
      <c r="I2" s="253"/>
      <c r="J2" s="253"/>
      <c r="K2" s="262">
        <v>45981.017867470662</v>
      </c>
      <c r="L2" s="253"/>
      <c r="M2" s="253"/>
      <c r="N2" s="253"/>
      <c r="O2" s="253"/>
      <c r="P2" s="253"/>
      <c r="Q2" s="253"/>
      <c r="R2" s="253"/>
      <c r="CA2" s="3"/>
      <c r="CB2" s="3"/>
      <c r="CC2" s="3"/>
      <c r="CD2" s="3"/>
      <c r="CE2" s="3"/>
      <c r="CF2" s="3"/>
      <c r="CG2" s="3"/>
      <c r="CH2" s="3"/>
      <c r="CI2" s="3"/>
      <c r="CJ2" s="3"/>
      <c r="CK2" s="3"/>
      <c r="CL2" s="3"/>
      <c r="CM2" s="3"/>
      <c r="CN2" s="3"/>
    </row>
    <row r="3" spans="1:92" ht="24" customHeight="1" x14ac:dyDescent="0.3">
      <c r="A3" s="254" t="s">
        <v>5</v>
      </c>
      <c r="B3" s="253"/>
      <c r="C3" s="253"/>
      <c r="D3" s="253"/>
      <c r="E3" s="253"/>
      <c r="F3" s="253"/>
      <c r="G3" s="253"/>
      <c r="H3" s="253"/>
      <c r="I3" s="253"/>
      <c r="J3" s="253"/>
      <c r="K3" s="253"/>
      <c r="L3" s="253"/>
      <c r="M3" s="253"/>
      <c r="N3" s="253"/>
      <c r="O3" s="253"/>
      <c r="P3" s="253"/>
      <c r="Q3" s="253"/>
      <c r="R3" s="253"/>
      <c r="CA3" s="3"/>
      <c r="CB3" s="3"/>
      <c r="CC3" s="3"/>
      <c r="CD3" s="3"/>
      <c r="CE3" s="3"/>
      <c r="CF3" s="3"/>
      <c r="CG3" s="3"/>
      <c r="CH3" s="3"/>
      <c r="CI3" s="3"/>
      <c r="CJ3" s="3"/>
      <c r="CK3" s="3"/>
      <c r="CL3" s="3"/>
      <c r="CM3" s="3"/>
      <c r="CN3" s="3"/>
    </row>
    <row r="4" spans="1:92" ht="22.05" customHeight="1" x14ac:dyDescent="0.3">
      <c r="A4" s="263" t="s">
        <v>6</v>
      </c>
      <c r="B4" s="250"/>
      <c r="C4" s="250"/>
      <c r="D4" s="250"/>
      <c r="E4" s="250"/>
      <c r="F4" s="251"/>
      <c r="G4" s="4">
        <v>45982</v>
      </c>
      <c r="H4" s="264" t="s">
        <v>7</v>
      </c>
      <c r="I4" s="250"/>
      <c r="J4" s="250"/>
      <c r="K4" s="250"/>
      <c r="L4" s="250"/>
      <c r="M4" s="250"/>
      <c r="N4" s="250"/>
      <c r="O4" s="250"/>
      <c r="P4" s="250"/>
      <c r="Q4" s="250"/>
      <c r="R4" s="251"/>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thickTop="1" thickBot="1" x14ac:dyDescent="0.5">
      <c r="A6" s="106" t="s">
        <v>93</v>
      </c>
      <c r="B6" s="106" t="s">
        <v>815</v>
      </c>
      <c r="C6" s="107">
        <v>0.63541666666666663</v>
      </c>
      <c r="D6" s="106" t="s">
        <v>249</v>
      </c>
      <c r="E6" s="106" t="s">
        <v>309</v>
      </c>
      <c r="F6" s="106" t="s">
        <v>648</v>
      </c>
      <c r="G6" s="255"/>
      <c r="H6" s="220" t="s">
        <v>816</v>
      </c>
      <c r="I6" s="221">
        <v>0.90480000000000005</v>
      </c>
      <c r="J6" s="222">
        <v>152</v>
      </c>
      <c r="K6" s="223" t="s">
        <v>180</v>
      </c>
      <c r="L6" s="222">
        <v>83</v>
      </c>
      <c r="M6" s="222">
        <v>0</v>
      </c>
      <c r="N6" s="222">
        <v>12</v>
      </c>
      <c r="O6" s="224" t="s">
        <v>817</v>
      </c>
      <c r="P6" s="225">
        <v>0.63541666666666663</v>
      </c>
      <c r="Q6" s="222">
        <v>168</v>
      </c>
      <c r="R6" s="226" t="s">
        <v>818</v>
      </c>
    </row>
    <row r="7" spans="1:92" ht="17.399999999999999" customHeight="1" thickBot="1" x14ac:dyDescent="0.35">
      <c r="A7" s="284"/>
      <c r="B7" s="285"/>
      <c r="C7" s="285"/>
      <c r="D7" s="285"/>
      <c r="E7" s="285"/>
      <c r="F7" s="285"/>
      <c r="G7" s="285"/>
      <c r="H7" s="285"/>
      <c r="I7" s="285"/>
      <c r="J7" s="285"/>
      <c r="K7" s="285"/>
      <c r="L7" s="285"/>
      <c r="M7" s="285"/>
      <c r="N7" s="285"/>
      <c r="O7" s="285"/>
      <c r="P7" s="285"/>
      <c r="Q7" s="285"/>
      <c r="R7" s="286"/>
    </row>
    <row r="8" spans="1:92" ht="15" thickTop="1" x14ac:dyDescent="0.3"/>
  </sheetData>
  <mergeCells count="11">
    <mergeCell ref="A2:F2"/>
    <mergeCell ref="A3:R3"/>
    <mergeCell ref="A7:R7"/>
    <mergeCell ref="H1:L1"/>
    <mergeCell ref="A1:E1"/>
    <mergeCell ref="G2:J2"/>
    <mergeCell ref="K2:R2"/>
    <mergeCell ref="A4:F4"/>
    <mergeCell ref="H4:R4"/>
    <mergeCell ref="G6"/>
    <mergeCell ref="N1:R1"/>
  </mergeCells>
  <pageMargins left="0.75" right="0.75" top="1" bottom="1" header="0.5" footer="0.5"/>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AJ3"/>
  <sheetViews>
    <sheetView workbookViewId="0"/>
  </sheetViews>
  <sheetFormatPr defaultRowHeight="15.6" outlineLevelCol="1" x14ac:dyDescent="0.3"/>
  <cols>
    <col min="1" max="1" width="10.21875" style="271" bestFit="1" customWidth="1"/>
    <col min="2" max="2" width="11.109375" style="271" bestFit="1" customWidth="1"/>
    <col min="3" max="3" width="7.88671875" style="271" bestFit="1" customWidth="1"/>
    <col min="4" max="4" width="6.77734375" style="271" bestFit="1" customWidth="1"/>
    <col min="5" max="5" width="9" style="271" bestFit="1" customWidth="1"/>
    <col min="6" max="6" width="5.21875" style="271" bestFit="1" customWidth="1"/>
    <col min="7" max="7" width="10" style="271" bestFit="1" customWidth="1"/>
    <col min="8" max="8" width="7" style="271" bestFit="1" customWidth="1"/>
    <col min="9" max="10" width="8" style="271" bestFit="1" customWidth="1"/>
    <col min="11" max="11" width="12.21875" style="271" bestFit="1" customWidth="1"/>
    <col min="12" max="12" width="21.21875" style="271" bestFit="1" customWidth="1"/>
    <col min="13" max="13" width="8.77734375" style="271" bestFit="1" customWidth="1" outlineLevel="1"/>
    <col min="14" max="14" width="7.33203125" style="271" bestFit="1" customWidth="1" outlineLevel="1"/>
    <col min="15" max="15" width="9.109375" style="271" bestFit="1" customWidth="1" outlineLevel="1"/>
    <col min="16" max="16" width="15.33203125" style="271" bestFit="1" customWidth="1"/>
    <col min="17" max="22" width="3.88671875" style="271" bestFit="1" customWidth="1"/>
    <col min="23" max="23" width="4.109375" style="271" bestFit="1" customWidth="1"/>
    <col min="24" max="24" width="3.88671875" style="271" bestFit="1" customWidth="1"/>
    <col min="25" max="25" width="4.21875" style="271" bestFit="1" customWidth="1"/>
    <col min="26" max="26" width="4.88671875" style="271" bestFit="1" customWidth="1"/>
    <col min="27" max="27" width="4.77734375" style="271" bestFit="1" customWidth="1"/>
    <col min="28" max="28" width="5" style="271" bestFit="1" customWidth="1"/>
    <col min="29" max="29" width="5.109375" style="271" bestFit="1" customWidth="1"/>
    <col min="30" max="31" width="5.33203125" style="271" bestFit="1" customWidth="1"/>
    <col min="32" max="36" width="3.88671875" style="271" bestFit="1" customWidth="1"/>
    <col min="37" max="16384" width="8.88671875" style="271"/>
  </cols>
  <sheetData>
    <row r="1" spans="1:36" x14ac:dyDescent="0.3">
      <c r="A1" s="270" t="s">
        <v>104</v>
      </c>
      <c r="B1" s="270" t="s">
        <v>105</v>
      </c>
      <c r="C1" s="270" t="s">
        <v>106</v>
      </c>
      <c r="D1" s="270" t="s">
        <v>23</v>
      </c>
      <c r="E1" s="270" t="s">
        <v>107</v>
      </c>
      <c r="F1" s="270" t="s">
        <v>108</v>
      </c>
      <c r="G1" s="270" t="s">
        <v>16</v>
      </c>
      <c r="H1" s="270" t="s">
        <v>109</v>
      </c>
      <c r="I1" s="270" t="s">
        <v>110</v>
      </c>
      <c r="J1" s="270" t="s">
        <v>111</v>
      </c>
      <c r="K1" s="270" t="s">
        <v>112</v>
      </c>
      <c r="L1" s="270" t="s">
        <v>18</v>
      </c>
      <c r="M1" s="270" t="s">
        <v>20</v>
      </c>
      <c r="N1" s="270" t="s">
        <v>21</v>
      </c>
      <c r="O1" s="270" t="s">
        <v>19</v>
      </c>
      <c r="P1" s="270" t="s">
        <v>22</v>
      </c>
      <c r="Q1" s="270" t="s">
        <v>113</v>
      </c>
      <c r="R1" s="270" t="s">
        <v>114</v>
      </c>
      <c r="S1" s="270" t="s">
        <v>115</v>
      </c>
      <c r="T1" s="270" t="s">
        <v>116</v>
      </c>
      <c r="U1" s="270" t="s">
        <v>117</v>
      </c>
      <c r="V1" s="270" t="s">
        <v>118</v>
      </c>
      <c r="W1" s="270" t="s">
        <v>119</v>
      </c>
      <c r="X1" s="270" t="s">
        <v>120</v>
      </c>
      <c r="Y1" s="270" t="s">
        <v>121</v>
      </c>
      <c r="Z1" s="270" t="s">
        <v>122</v>
      </c>
      <c r="AA1" s="270" t="s">
        <v>123</v>
      </c>
      <c r="AB1" s="270" t="s">
        <v>124</v>
      </c>
      <c r="AC1" s="270" t="s">
        <v>125</v>
      </c>
      <c r="AD1" s="270" t="s">
        <v>126</v>
      </c>
      <c r="AE1" s="270" t="s">
        <v>127</v>
      </c>
      <c r="AF1" s="270" t="s">
        <v>128</v>
      </c>
      <c r="AG1" s="270" t="s">
        <v>129</v>
      </c>
      <c r="AH1" s="270" t="s">
        <v>130</v>
      </c>
      <c r="AI1" s="270" t="s">
        <v>131</v>
      </c>
      <c r="AJ1" s="270" t="s">
        <v>132</v>
      </c>
    </row>
    <row r="2" spans="1:36" x14ac:dyDescent="0.3">
      <c r="A2" s="272" t="s">
        <v>369</v>
      </c>
      <c r="B2" s="273">
        <v>45982</v>
      </c>
      <c r="C2" s="274" t="s">
        <v>816</v>
      </c>
      <c r="D2" s="275" t="s">
        <v>790</v>
      </c>
      <c r="E2" s="274" t="s">
        <v>814</v>
      </c>
      <c r="F2" s="274" t="s">
        <v>135</v>
      </c>
      <c r="G2" s="276">
        <v>0.90480000000000005</v>
      </c>
      <c r="H2" s="277">
        <v>168</v>
      </c>
      <c r="I2" s="277">
        <v>152</v>
      </c>
      <c r="J2" s="277">
        <v>0</v>
      </c>
      <c r="K2" s="274" t="s">
        <v>136</v>
      </c>
      <c r="L2" s="278" t="s">
        <v>180</v>
      </c>
      <c r="M2" s="277">
        <v>0</v>
      </c>
      <c r="N2" s="277">
        <v>12</v>
      </c>
      <c r="O2" s="277">
        <v>83</v>
      </c>
      <c r="P2" s="274" t="s">
        <v>817</v>
      </c>
      <c r="Q2" s="270"/>
      <c r="R2" s="270"/>
      <c r="S2" s="270"/>
      <c r="T2" s="270"/>
      <c r="U2" s="270"/>
      <c r="V2" s="270"/>
      <c r="W2" s="277" t="s">
        <v>538</v>
      </c>
      <c r="X2" s="277" t="s">
        <v>819</v>
      </c>
      <c r="Y2" s="277" t="s">
        <v>620</v>
      </c>
      <c r="Z2" s="277" t="s">
        <v>820</v>
      </c>
      <c r="AA2" s="277" t="s">
        <v>571</v>
      </c>
      <c r="AB2" s="277" t="s">
        <v>821</v>
      </c>
      <c r="AC2" s="277" t="s">
        <v>822</v>
      </c>
      <c r="AD2" s="277" t="s">
        <v>823</v>
      </c>
      <c r="AE2" s="277" t="s">
        <v>824</v>
      </c>
      <c r="AF2" s="277" t="s">
        <v>825</v>
      </c>
      <c r="AG2" s="270"/>
      <c r="AH2" s="270"/>
      <c r="AI2" s="270"/>
      <c r="AJ2" s="270"/>
    </row>
    <row r="3" spans="1:36" ht="21" x14ac:dyDescent="0.3">
      <c r="A3" s="279" t="s">
        <v>946</v>
      </c>
      <c r="B3" s="280"/>
      <c r="C3" s="279">
        <f>SUBTOTAL(103,AJF_ATZ_LF_LEGACY[Flt])</f>
        <v>1</v>
      </c>
      <c r="D3" s="279"/>
      <c r="E3" s="279">
        <f>SUBTOTAL(103,AJF_ATZ_LF_LEGACY[Brd-Off])</f>
        <v>1</v>
      </c>
      <c r="F3" s="279"/>
      <c r="G3" s="281">
        <f>SUBTOTAL(101,AJF_ATZ_LF_LEGACY[LF%])</f>
        <v>0.90480000000000005</v>
      </c>
      <c r="H3" s="282">
        <f>SUBTOTAL(109,AJF_ATZ_LF_LEGACY[CAP])</f>
        <v>168</v>
      </c>
      <c r="I3" s="282">
        <f>SUBTOTAL(109,AJF_ATZ_LF_LEGACY[BKG(Y)])</f>
        <v>152</v>
      </c>
      <c r="J3" s="282">
        <f>SUBTOTAL(109,AJF_ATZ_LF_LEGACY[GRP(Y)])</f>
        <v>0</v>
      </c>
      <c r="K3" s="279"/>
      <c r="L3" s="280"/>
      <c r="M3" s="282">
        <f>SUBTOTAL(109,AJF_ATZ_LF_LEGACY[TO-DAY])</f>
        <v>0</v>
      </c>
      <c r="N3" s="282">
        <f>SUBTOTAL(109,AJF_ATZ_LF_LEGACY[Y-DAY])</f>
        <v>12</v>
      </c>
      <c r="O3" s="282">
        <f>SUBTOTAL(109,AJF_ATZ_LF_LEGACY[WEEKLY])</f>
        <v>83</v>
      </c>
      <c r="P3" s="283"/>
      <c r="Q3" s="279">
        <f>SUBTOTAL(109,AJF_ATZ_LF_LEGACY[Y])</f>
        <v>0</v>
      </c>
      <c r="R3" s="279">
        <f>SUBTOTAL(109,AJF_ATZ_LF_LEGACY[B])</f>
        <v>0</v>
      </c>
      <c r="S3" s="279">
        <f>SUBTOTAL(109,AJF_ATZ_LF_LEGACY[M])</f>
        <v>0</v>
      </c>
      <c r="T3" s="279">
        <f>SUBTOTAL(109,AJF_ATZ_LF_LEGACY[H])</f>
        <v>0</v>
      </c>
      <c r="U3" s="279">
        <f>SUBTOTAL(109,AJF_ATZ_LF_LEGACY[Q])</f>
        <v>0</v>
      </c>
      <c r="V3" s="279">
        <f>SUBTOTAL(109,AJF_ATZ_LF_LEGACY[K])</f>
        <v>0</v>
      </c>
      <c r="W3" s="282">
        <f>SUBTOTAL(109,AJF_ATZ_LF_LEGACY[V])</f>
        <v>0</v>
      </c>
      <c r="X3" s="282">
        <f>SUBTOTAL(109,AJF_ATZ_LF_LEGACY[L])</f>
        <v>0</v>
      </c>
      <c r="Y3" s="282">
        <f>SUBTOTAL(109,AJF_ATZ_LF_LEGACY[G])</f>
        <v>0</v>
      </c>
      <c r="Z3" s="282">
        <f>SUBTOTAL(109,AJF_ATZ_LF_LEGACY[S])</f>
        <v>0</v>
      </c>
      <c r="AA3" s="282">
        <f>SUBTOTAL(109,AJF_ATZ_LF_LEGACY[W])</f>
        <v>0</v>
      </c>
      <c r="AB3" s="282">
        <f>SUBTOTAL(109,AJF_ATZ_LF_LEGACY[T])</f>
        <v>0</v>
      </c>
      <c r="AC3" s="282">
        <f>SUBTOTAL(109,AJF_ATZ_LF_LEGACY[X])</f>
        <v>0</v>
      </c>
      <c r="AD3" s="282">
        <f>SUBTOTAL(109,AJF_ATZ_LF_LEGACY[U])</f>
        <v>0</v>
      </c>
      <c r="AE3" s="282">
        <f>SUBTOTAL(109,AJF_ATZ_LF_LEGACY[O])</f>
        <v>0</v>
      </c>
      <c r="AF3" s="282">
        <f>SUBTOTAL(109,AJF_ATZ_LF_LEGACY[I])</f>
        <v>0</v>
      </c>
      <c r="AG3" s="279">
        <f>SUBTOTAL(109,AJF_ATZ_LF_LEGACY[E])</f>
        <v>0</v>
      </c>
      <c r="AH3" s="279">
        <f>SUBTOTAL(109,AJF_ATZ_LF_LEGACY[A])</f>
        <v>0</v>
      </c>
      <c r="AI3" s="279">
        <f>SUBTOTAL(109,AJF_ATZ_LF_LEGACY[P])</f>
        <v>0</v>
      </c>
      <c r="AJ3" s="279">
        <f>SUBTOTAL(103,AJF_ATZ_LF_LEGACY[N])</f>
        <v>0</v>
      </c>
    </row>
  </sheetData>
  <pageMargins left="0.75" right="0.75" top="1" bottom="1" header="0.5" footer="0.5"/>
  <tableParts count="1">
    <tablePart r:id="rId1"/>
  </tableParts>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H6"/>
  <sheetViews>
    <sheetView workbookViewId="0"/>
  </sheetViews>
  <sheetFormatPr defaultRowHeight="14.4" x14ac:dyDescent="0.3"/>
  <cols>
    <col min="1" max="1" width="11.21875" bestFit="1" customWidth="1"/>
    <col min="2" max="2" width="13.77734375" bestFit="1" customWidth="1"/>
    <col min="3" max="3" width="19.21875" bestFit="1" customWidth="1"/>
    <col min="4" max="4" width="12.77734375" bestFit="1" customWidth="1"/>
    <col min="5" max="5" width="18.33203125" bestFit="1" customWidth="1"/>
    <col min="6" max="6" width="31.88671875" bestFit="1" customWidth="1"/>
    <col min="7" max="7" width="20" bestFit="1" customWidth="1"/>
    <col min="8" max="8" width="23.6640625" bestFit="1" customWidth="1"/>
    <col min="9" max="9" width="0" hidden="1" customWidth="1"/>
  </cols>
  <sheetData>
    <row r="1" spans="1:8" ht="18" x14ac:dyDescent="0.3">
      <c r="A1" s="57" t="s">
        <v>156</v>
      </c>
      <c r="B1" s="58" t="s">
        <v>8</v>
      </c>
      <c r="C1" s="58" t="s">
        <v>9</v>
      </c>
      <c r="D1" s="58" t="s">
        <v>157</v>
      </c>
      <c r="E1" s="58" t="s">
        <v>10</v>
      </c>
      <c r="F1" s="58" t="s">
        <v>11</v>
      </c>
      <c r="G1" s="58" t="s">
        <v>12</v>
      </c>
      <c r="H1" s="59" t="s">
        <v>13</v>
      </c>
    </row>
    <row r="2" spans="1:8" ht="19.8" customHeight="1" x14ac:dyDescent="0.3">
      <c r="A2" s="71" t="s">
        <v>158</v>
      </c>
      <c r="B2" s="72" t="s">
        <v>93</v>
      </c>
      <c r="C2" s="73" t="s">
        <v>815</v>
      </c>
      <c r="D2" s="72" t="s">
        <v>814</v>
      </c>
      <c r="E2" s="72" t="s">
        <v>790</v>
      </c>
      <c r="F2" s="72" t="s">
        <v>249</v>
      </c>
      <c r="G2" s="205">
        <v>8</v>
      </c>
      <c r="H2" s="206">
        <v>728</v>
      </c>
    </row>
    <row r="3" spans="1:8" ht="19.8" customHeight="1" x14ac:dyDescent="0.3">
      <c r="A3" s="96"/>
      <c r="B3" s="97"/>
      <c r="C3" s="97"/>
      <c r="D3" s="97"/>
      <c r="E3" s="97"/>
      <c r="F3" s="98" t="s">
        <v>826</v>
      </c>
      <c r="G3" s="97"/>
      <c r="H3" s="99"/>
    </row>
    <row r="4" spans="1:8" ht="19.8" customHeight="1" x14ac:dyDescent="0.3">
      <c r="A4" s="104">
        <v>45983</v>
      </c>
      <c r="B4" s="67" t="s">
        <v>93</v>
      </c>
      <c r="C4" s="68" t="s">
        <v>805</v>
      </c>
      <c r="D4" s="67" t="s">
        <v>804</v>
      </c>
      <c r="E4" s="105">
        <v>1.864583333333333</v>
      </c>
      <c r="F4" s="67" t="s">
        <v>249</v>
      </c>
      <c r="G4" s="69">
        <v>1</v>
      </c>
      <c r="H4" s="176">
        <v>668</v>
      </c>
    </row>
    <row r="5" spans="1:8" ht="19.8" customHeight="1" x14ac:dyDescent="0.3">
      <c r="A5" s="96"/>
      <c r="B5" s="97"/>
      <c r="C5" s="97"/>
      <c r="D5" s="97"/>
      <c r="E5" s="97"/>
      <c r="F5" s="98" t="s">
        <v>826</v>
      </c>
      <c r="G5" s="97"/>
      <c r="H5" s="99"/>
    </row>
    <row r="6" spans="1:8" ht="19.8" customHeight="1" x14ac:dyDescent="0.3">
      <c r="A6" s="104">
        <v>45984</v>
      </c>
      <c r="B6" s="67" t="s">
        <v>243</v>
      </c>
      <c r="C6" s="68" t="s">
        <v>809</v>
      </c>
      <c r="D6" s="67" t="s">
        <v>804</v>
      </c>
      <c r="E6" s="105">
        <v>1.458333333333333</v>
      </c>
      <c r="F6" s="67" t="s">
        <v>249</v>
      </c>
      <c r="G6" s="69">
        <v>1</v>
      </c>
      <c r="H6" s="176">
        <v>550</v>
      </c>
    </row>
  </sheetData>
  <pageMargins left="0.75" right="0.75" top="1" bottom="1" header="0.5" footer="0.5"/>
  <legacyDrawing r:id="rId1"/>
  <tableParts count="1">
    <tablePart r:id="rId2"/>
  </tableParts>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H6"/>
  <sheetViews>
    <sheetView workbookViewId="0"/>
  </sheetViews>
  <sheetFormatPr defaultRowHeight="14.4" x14ac:dyDescent="0.3"/>
  <cols>
    <col min="1" max="1" width="11.21875" bestFit="1" customWidth="1"/>
    <col min="2" max="2" width="13.77734375" bestFit="1" customWidth="1"/>
    <col min="3" max="3" width="19.21875" bestFit="1" customWidth="1"/>
    <col min="4" max="4" width="12.77734375" bestFit="1" customWidth="1"/>
    <col min="5" max="5" width="18.33203125" bestFit="1" customWidth="1"/>
    <col min="6" max="6" width="31.88671875" bestFit="1" customWidth="1"/>
    <col min="7" max="7" width="20" bestFit="1" customWidth="1"/>
    <col min="8" max="8" width="23.6640625" bestFit="1" customWidth="1"/>
    <col min="9" max="9" width="0" hidden="1" customWidth="1"/>
  </cols>
  <sheetData>
    <row r="1" spans="1:8" ht="18" x14ac:dyDescent="0.3">
      <c r="A1" s="57" t="s">
        <v>156</v>
      </c>
      <c r="B1" s="58" t="s">
        <v>8</v>
      </c>
      <c r="C1" s="58" t="s">
        <v>9</v>
      </c>
      <c r="D1" s="58" t="s">
        <v>157</v>
      </c>
      <c r="E1" s="58" t="s">
        <v>10</v>
      </c>
      <c r="F1" s="58" t="s">
        <v>11</v>
      </c>
      <c r="G1" s="58" t="s">
        <v>12</v>
      </c>
      <c r="H1" s="59" t="s">
        <v>13</v>
      </c>
    </row>
    <row r="2" spans="1:8" ht="19.8" customHeight="1" x14ac:dyDescent="0.3">
      <c r="A2" s="71" t="s">
        <v>158</v>
      </c>
      <c r="B2" s="72" t="s">
        <v>93</v>
      </c>
      <c r="C2" s="73" t="s">
        <v>815</v>
      </c>
      <c r="D2" s="72" t="s">
        <v>814</v>
      </c>
      <c r="E2" s="72" t="s">
        <v>790</v>
      </c>
      <c r="F2" s="72" t="s">
        <v>249</v>
      </c>
      <c r="G2" s="205">
        <v>8</v>
      </c>
      <c r="H2" s="206">
        <v>728</v>
      </c>
    </row>
    <row r="3" spans="1:8" ht="19.8" customHeight="1" x14ac:dyDescent="0.3">
      <c r="A3" s="96"/>
      <c r="B3" s="97"/>
      <c r="C3" s="97"/>
      <c r="D3" s="97"/>
      <c r="E3" s="97"/>
      <c r="F3" s="98" t="s">
        <v>826</v>
      </c>
      <c r="G3" s="97"/>
      <c r="H3" s="99"/>
    </row>
    <row r="4" spans="1:8" ht="19.8" customHeight="1" x14ac:dyDescent="0.3">
      <c r="A4" s="104">
        <v>45983</v>
      </c>
      <c r="B4" s="67" t="s">
        <v>93</v>
      </c>
      <c r="C4" s="68" t="s">
        <v>805</v>
      </c>
      <c r="D4" s="67" t="s">
        <v>804</v>
      </c>
      <c r="E4" s="105">
        <v>1.864583333333333</v>
      </c>
      <c r="F4" s="67" t="s">
        <v>249</v>
      </c>
      <c r="G4" s="69">
        <v>1</v>
      </c>
      <c r="H4" s="176">
        <v>668</v>
      </c>
    </row>
    <row r="5" spans="1:8" ht="19.8" customHeight="1" x14ac:dyDescent="0.3">
      <c r="A5" s="96"/>
      <c r="B5" s="97"/>
      <c r="C5" s="97"/>
      <c r="D5" s="97"/>
      <c r="E5" s="97"/>
      <c r="F5" s="98" t="s">
        <v>826</v>
      </c>
      <c r="G5" s="97"/>
      <c r="H5" s="99"/>
    </row>
    <row r="6" spans="1:8" ht="19.8" customHeight="1" x14ac:dyDescent="0.3">
      <c r="A6" s="104">
        <v>45984</v>
      </c>
      <c r="B6" s="67" t="s">
        <v>243</v>
      </c>
      <c r="C6" s="68" t="s">
        <v>809</v>
      </c>
      <c r="D6" s="67" t="s">
        <v>804</v>
      </c>
      <c r="E6" s="105">
        <v>1.458333333333333</v>
      </c>
      <c r="F6" s="67" t="s">
        <v>249</v>
      </c>
      <c r="G6" s="69">
        <v>1</v>
      </c>
      <c r="H6" s="176">
        <v>550</v>
      </c>
    </row>
  </sheetData>
  <pageMargins left="0.75" right="0.75" top="1" bottom="1" header="0.5" footer="0.5"/>
  <legacyDrawing r:id="rId1"/>
  <tableParts count="1">
    <tablePart r:id="rId2"/>
  </tableParts>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CN15"/>
  <sheetViews>
    <sheetView workbookViewId="0"/>
  </sheetViews>
  <sheetFormatPr defaultRowHeight="14.4" x14ac:dyDescent="0.3"/>
  <cols>
    <col min="1" max="1" width="15.77734375" bestFit="1" customWidth="1"/>
    <col min="2" max="2" width="15.6640625" bestFit="1" customWidth="1"/>
    <col min="3" max="3" width="14.77734375" bestFit="1" customWidth="1"/>
    <col min="4" max="4" width="29.88671875" bestFit="1" customWidth="1"/>
    <col min="5" max="5" width="17.21875" bestFit="1" customWidth="1"/>
    <col min="6" max="6" width="23.44140625" bestFit="1" customWidth="1"/>
    <col min="7" max="7" width="44.5546875" bestFit="1" customWidth="1"/>
    <col min="8" max="8" width="9.44140625" bestFit="1" customWidth="1"/>
    <col min="9" max="9" width="8" bestFit="1" customWidth="1"/>
    <col min="10" max="10" width="7.5546875" bestFit="1" customWidth="1"/>
    <col min="11" max="11" width="23.44140625" bestFit="1" customWidth="1"/>
    <col min="12" max="12" width="10.5546875" bestFit="1" customWidth="1"/>
    <col min="13" max="13" width="10.109375" bestFit="1" customWidth="1"/>
    <col min="14" max="14" width="8.5546875" bestFit="1" customWidth="1"/>
    <col min="15" max="15" width="17.88671875" bestFit="1" customWidth="1"/>
    <col min="16" max="16" width="6.21875" bestFit="1" customWidth="1"/>
    <col min="17" max="17" width="12.21875" bestFit="1" customWidth="1"/>
    <col min="18" max="18" width="51.6640625" bestFit="1" customWidth="1"/>
  </cols>
  <sheetData>
    <row r="1" spans="1:92" ht="28.8" customHeight="1" x14ac:dyDescent="0.3">
      <c r="A1" s="260" t="s">
        <v>0</v>
      </c>
      <c r="B1" s="253"/>
      <c r="C1" s="253"/>
      <c r="D1" s="253"/>
      <c r="E1" s="253"/>
      <c r="F1" s="1" t="s">
        <v>827</v>
      </c>
      <c r="G1" s="2" t="s">
        <v>2</v>
      </c>
      <c r="H1" s="259">
        <v>45982</v>
      </c>
      <c r="I1" s="253"/>
      <c r="J1" s="253"/>
      <c r="K1" s="253"/>
      <c r="L1" s="253"/>
      <c r="M1" s="1" t="s">
        <v>3</v>
      </c>
      <c r="N1" s="266">
        <v>45984</v>
      </c>
      <c r="O1" s="253"/>
      <c r="P1" s="253"/>
      <c r="Q1" s="253"/>
      <c r="R1" s="253"/>
      <c r="CA1" s="3"/>
      <c r="CB1" s="3"/>
      <c r="CC1" s="3"/>
      <c r="CD1" s="3"/>
      <c r="CE1" s="3"/>
      <c r="CF1" s="3"/>
      <c r="CG1" s="3"/>
      <c r="CH1" s="3"/>
      <c r="CI1" s="3"/>
      <c r="CJ1" s="3"/>
      <c r="CK1" s="3"/>
      <c r="CL1" s="3"/>
      <c r="CM1" s="3"/>
      <c r="CN1" s="3"/>
    </row>
    <row r="2" spans="1:92" ht="23.4" customHeight="1" x14ac:dyDescent="0.3">
      <c r="A2" s="252" t="s">
        <v>4</v>
      </c>
      <c r="B2" s="253"/>
      <c r="C2" s="253"/>
      <c r="D2" s="253"/>
      <c r="E2" s="253"/>
      <c r="F2" s="253"/>
      <c r="G2" s="261">
        <v>45981.017870525407</v>
      </c>
      <c r="H2" s="253"/>
      <c r="I2" s="253"/>
      <c r="J2" s="253"/>
      <c r="K2" s="262">
        <v>45981.017870525982</v>
      </c>
      <c r="L2" s="253"/>
      <c r="M2" s="253"/>
      <c r="N2" s="253"/>
      <c r="O2" s="253"/>
      <c r="P2" s="253"/>
      <c r="Q2" s="253"/>
      <c r="R2" s="253"/>
      <c r="CA2" s="3"/>
      <c r="CB2" s="3"/>
      <c r="CC2" s="3"/>
      <c r="CD2" s="3"/>
      <c r="CE2" s="3"/>
      <c r="CF2" s="3"/>
      <c r="CG2" s="3"/>
      <c r="CH2" s="3"/>
      <c r="CI2" s="3"/>
      <c r="CJ2" s="3"/>
      <c r="CK2" s="3"/>
      <c r="CL2" s="3"/>
      <c r="CM2" s="3"/>
      <c r="CN2" s="3"/>
    </row>
    <row r="3" spans="1:92" ht="24" customHeight="1" x14ac:dyDescent="0.3">
      <c r="A3" s="254" t="s">
        <v>5</v>
      </c>
      <c r="B3" s="253"/>
      <c r="C3" s="253"/>
      <c r="D3" s="253"/>
      <c r="E3" s="253"/>
      <c r="F3" s="253"/>
      <c r="G3" s="253"/>
      <c r="H3" s="253"/>
      <c r="I3" s="253"/>
      <c r="J3" s="253"/>
      <c r="K3" s="253"/>
      <c r="L3" s="253"/>
      <c r="M3" s="253"/>
      <c r="N3" s="253"/>
      <c r="O3" s="253"/>
      <c r="P3" s="253"/>
      <c r="Q3" s="253"/>
      <c r="R3" s="253"/>
      <c r="CA3" s="3"/>
      <c r="CB3" s="3"/>
      <c r="CC3" s="3"/>
      <c r="CD3" s="3"/>
      <c r="CE3" s="3"/>
      <c r="CF3" s="3"/>
      <c r="CG3" s="3"/>
      <c r="CH3" s="3"/>
      <c r="CI3" s="3"/>
      <c r="CJ3" s="3"/>
      <c r="CK3" s="3"/>
      <c r="CL3" s="3"/>
      <c r="CM3" s="3"/>
      <c r="CN3" s="3"/>
    </row>
    <row r="4" spans="1:92" ht="22.05" customHeight="1" x14ac:dyDescent="0.3">
      <c r="A4" s="263" t="s">
        <v>6</v>
      </c>
      <c r="B4" s="250"/>
      <c r="C4" s="250"/>
      <c r="D4" s="250"/>
      <c r="E4" s="250"/>
      <c r="F4" s="251"/>
      <c r="G4" s="4">
        <v>45982</v>
      </c>
      <c r="H4" s="264" t="s">
        <v>7</v>
      </c>
      <c r="I4" s="250"/>
      <c r="J4" s="250"/>
      <c r="K4" s="250"/>
      <c r="L4" s="250"/>
      <c r="M4" s="250"/>
      <c r="N4" s="250"/>
      <c r="O4" s="250"/>
      <c r="P4" s="250"/>
      <c r="Q4" s="250"/>
      <c r="R4" s="251"/>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thickTop="1" thickBot="1" x14ac:dyDescent="0.5">
      <c r="A6" s="196" t="s">
        <v>93</v>
      </c>
      <c r="B6" s="196" t="s">
        <v>828</v>
      </c>
      <c r="C6" s="197">
        <v>0.3263888888888889</v>
      </c>
      <c r="D6" s="196" t="s">
        <v>249</v>
      </c>
      <c r="E6" s="196" t="s">
        <v>59</v>
      </c>
      <c r="F6" s="196" t="s">
        <v>829</v>
      </c>
      <c r="G6" s="255"/>
      <c r="H6" s="227" t="s">
        <v>830</v>
      </c>
      <c r="I6" s="228">
        <v>0.97770000000000001</v>
      </c>
      <c r="J6" s="229">
        <v>175</v>
      </c>
      <c r="K6" s="230" t="s">
        <v>180</v>
      </c>
      <c r="L6" s="229">
        <v>39</v>
      </c>
      <c r="M6" s="229">
        <v>0</v>
      </c>
      <c r="N6" s="229">
        <v>10</v>
      </c>
      <c r="O6" s="231" t="s">
        <v>257</v>
      </c>
      <c r="P6" s="232">
        <v>0.3263888888888889</v>
      </c>
      <c r="Q6" s="229">
        <v>179</v>
      </c>
      <c r="R6" s="233" t="s">
        <v>831</v>
      </c>
    </row>
    <row r="7" spans="1:92" ht="17.399999999999999" customHeight="1" thickBot="1" x14ac:dyDescent="0.35">
      <c r="A7" s="284"/>
      <c r="B7" s="285"/>
      <c r="C7" s="285"/>
      <c r="D7" s="285"/>
      <c r="E7" s="285"/>
      <c r="F7" s="285"/>
      <c r="G7" s="285"/>
      <c r="H7" s="285"/>
      <c r="I7" s="285"/>
      <c r="J7" s="285"/>
      <c r="K7" s="285"/>
      <c r="L7" s="285"/>
      <c r="M7" s="285"/>
      <c r="N7" s="285"/>
      <c r="O7" s="285"/>
      <c r="P7" s="285"/>
      <c r="Q7" s="285"/>
      <c r="R7" s="286"/>
    </row>
    <row r="8" spans="1:92" ht="22.05" customHeight="1" thickTop="1" thickBot="1" x14ac:dyDescent="0.35">
      <c r="A8" s="249" t="s">
        <v>6</v>
      </c>
      <c r="B8" s="250"/>
      <c r="C8" s="250"/>
      <c r="D8" s="250"/>
      <c r="E8" s="250"/>
      <c r="F8" s="251"/>
      <c r="G8" s="28">
        <v>45983</v>
      </c>
      <c r="H8" s="258" t="s">
        <v>7</v>
      </c>
      <c r="I8" s="250"/>
      <c r="J8" s="250"/>
      <c r="K8" s="250"/>
      <c r="L8" s="250"/>
      <c r="M8" s="250"/>
      <c r="N8" s="250"/>
      <c r="O8" s="250"/>
      <c r="P8" s="250"/>
      <c r="Q8" s="250"/>
      <c r="R8" s="251"/>
    </row>
    <row r="9" spans="1:92" ht="24" customHeight="1" x14ac:dyDescent="0.3">
      <c r="A9" s="29" t="s">
        <v>8</v>
      </c>
      <c r="B9" s="29" t="s">
        <v>9</v>
      </c>
      <c r="C9" s="30" t="s">
        <v>10</v>
      </c>
      <c r="D9" s="29" t="s">
        <v>11</v>
      </c>
      <c r="E9" s="29" t="s">
        <v>12</v>
      </c>
      <c r="F9" s="31" t="s">
        <v>13</v>
      </c>
      <c r="G9" s="32" t="s">
        <v>14</v>
      </c>
      <c r="H9" s="29" t="s">
        <v>15</v>
      </c>
      <c r="I9" s="33" t="s">
        <v>16</v>
      </c>
      <c r="J9" s="34" t="s">
        <v>17</v>
      </c>
      <c r="K9" s="35" t="s">
        <v>18</v>
      </c>
      <c r="L9" s="34" t="s">
        <v>19</v>
      </c>
      <c r="M9" s="34" t="s">
        <v>20</v>
      </c>
      <c r="N9" s="34" t="s">
        <v>21</v>
      </c>
      <c r="O9" s="29" t="s">
        <v>22</v>
      </c>
      <c r="P9" s="30" t="s">
        <v>23</v>
      </c>
      <c r="Q9" s="34" t="s">
        <v>24</v>
      </c>
      <c r="R9" s="29" t="s">
        <v>25</v>
      </c>
    </row>
    <row r="10" spans="1:92" ht="49.95" customHeight="1" thickTop="1" thickBot="1" x14ac:dyDescent="0.5">
      <c r="A10" s="150" t="s">
        <v>93</v>
      </c>
      <c r="B10" s="150" t="s">
        <v>828</v>
      </c>
      <c r="C10" s="151">
        <v>0.28472222222222221</v>
      </c>
      <c r="D10" s="234"/>
      <c r="E10" s="234"/>
      <c r="F10" s="150" t="s">
        <v>96</v>
      </c>
      <c r="G10" s="255"/>
      <c r="H10" s="235" t="s">
        <v>830</v>
      </c>
      <c r="I10" s="236">
        <v>0.9385</v>
      </c>
      <c r="J10" s="237">
        <v>168</v>
      </c>
      <c r="K10" s="238" t="s">
        <v>180</v>
      </c>
      <c r="L10" s="237">
        <v>32</v>
      </c>
      <c r="M10" s="237">
        <v>0</v>
      </c>
      <c r="N10" s="237">
        <v>1</v>
      </c>
      <c r="O10" s="239" t="s">
        <v>98</v>
      </c>
      <c r="P10" s="240">
        <v>0.28472222222222221</v>
      </c>
      <c r="Q10" s="237">
        <v>179</v>
      </c>
      <c r="R10" s="241" t="s">
        <v>832</v>
      </c>
    </row>
    <row r="11" spans="1:92" ht="17.399999999999999" customHeight="1" thickBot="1" x14ac:dyDescent="0.35">
      <c r="A11" s="284"/>
      <c r="B11" s="285"/>
      <c r="C11" s="285"/>
      <c r="D11" s="285"/>
      <c r="E11" s="285"/>
      <c r="F11" s="285"/>
      <c r="G11" s="285"/>
      <c r="H11" s="285"/>
      <c r="I11" s="285"/>
      <c r="J11" s="285"/>
      <c r="K11" s="285"/>
      <c r="L11" s="285"/>
      <c r="M11" s="285"/>
      <c r="N11" s="285"/>
      <c r="O11" s="285"/>
      <c r="P11" s="285"/>
      <c r="Q11" s="285"/>
      <c r="R11" s="286"/>
    </row>
    <row r="12" spans="1:92" ht="22.05" customHeight="1" thickTop="1" thickBot="1" x14ac:dyDescent="0.35">
      <c r="A12" s="249" t="s">
        <v>6</v>
      </c>
      <c r="B12" s="250"/>
      <c r="C12" s="250"/>
      <c r="D12" s="250"/>
      <c r="E12" s="250"/>
      <c r="F12" s="251"/>
      <c r="G12" s="28">
        <v>45984</v>
      </c>
      <c r="H12" s="258" t="s">
        <v>7</v>
      </c>
      <c r="I12" s="250"/>
      <c r="J12" s="250"/>
      <c r="K12" s="250"/>
      <c r="L12" s="250"/>
      <c r="M12" s="250"/>
      <c r="N12" s="250"/>
      <c r="O12" s="250"/>
      <c r="P12" s="250"/>
      <c r="Q12" s="250"/>
      <c r="R12" s="251"/>
    </row>
    <row r="13" spans="1:92" ht="24" customHeight="1" x14ac:dyDescent="0.3">
      <c r="A13" s="29" t="s">
        <v>8</v>
      </c>
      <c r="B13" s="29" t="s">
        <v>9</v>
      </c>
      <c r="C13" s="30" t="s">
        <v>10</v>
      </c>
      <c r="D13" s="29" t="s">
        <v>11</v>
      </c>
      <c r="E13" s="29" t="s">
        <v>12</v>
      </c>
      <c r="F13" s="31" t="s">
        <v>13</v>
      </c>
      <c r="G13" s="32" t="s">
        <v>14</v>
      </c>
      <c r="H13" s="29" t="s">
        <v>15</v>
      </c>
      <c r="I13" s="33" t="s">
        <v>16</v>
      </c>
      <c r="J13" s="34" t="s">
        <v>17</v>
      </c>
      <c r="K13" s="35" t="s">
        <v>18</v>
      </c>
      <c r="L13" s="34" t="s">
        <v>19</v>
      </c>
      <c r="M13" s="34" t="s">
        <v>20</v>
      </c>
      <c r="N13" s="34" t="s">
        <v>21</v>
      </c>
      <c r="O13" s="29" t="s">
        <v>22</v>
      </c>
      <c r="P13" s="30" t="s">
        <v>23</v>
      </c>
      <c r="Q13" s="34" t="s">
        <v>24</v>
      </c>
      <c r="R13" s="29" t="s">
        <v>25</v>
      </c>
    </row>
    <row r="14" spans="1:92" ht="49.95" customHeight="1" x14ac:dyDescent="0.3">
      <c r="A14" s="150" t="s">
        <v>93</v>
      </c>
      <c r="B14" s="150" t="s">
        <v>828</v>
      </c>
      <c r="C14" s="151">
        <v>0.375</v>
      </c>
      <c r="D14" s="150" t="s">
        <v>249</v>
      </c>
      <c r="E14" s="150" t="s">
        <v>341</v>
      </c>
      <c r="F14" s="150" t="s">
        <v>833</v>
      </c>
      <c r="G14" s="255"/>
      <c r="H14" s="152" t="s">
        <v>830</v>
      </c>
      <c r="I14" s="153">
        <v>0.92179999999999995</v>
      </c>
      <c r="J14" s="154">
        <v>165</v>
      </c>
      <c r="K14" s="155" t="s">
        <v>180</v>
      </c>
      <c r="L14" s="154">
        <v>15</v>
      </c>
      <c r="M14" s="154">
        <v>0</v>
      </c>
      <c r="N14" s="154">
        <v>5</v>
      </c>
      <c r="O14" s="156" t="s">
        <v>523</v>
      </c>
      <c r="P14" s="157">
        <v>0.375</v>
      </c>
      <c r="Q14" s="154">
        <v>179</v>
      </c>
      <c r="R14" s="158" t="s">
        <v>834</v>
      </c>
    </row>
    <row r="15" spans="1:92" ht="49.95" customHeight="1" x14ac:dyDescent="0.3">
      <c r="A15" s="208" t="s">
        <v>323</v>
      </c>
      <c r="B15" s="208" t="s">
        <v>835</v>
      </c>
      <c r="C15" s="209">
        <v>0.71527777777777779</v>
      </c>
      <c r="D15" s="208" t="s">
        <v>245</v>
      </c>
      <c r="E15" s="208" t="s">
        <v>341</v>
      </c>
      <c r="F15" s="208" t="s">
        <v>836</v>
      </c>
      <c r="G15" s="257"/>
      <c r="H15" s="23"/>
      <c r="I15" s="24"/>
      <c r="J15" s="24"/>
      <c r="K15" s="24"/>
      <c r="L15" s="24"/>
      <c r="M15" s="24"/>
      <c r="N15" s="24"/>
      <c r="O15" s="25"/>
      <c r="P15" s="24"/>
      <c r="Q15" s="26"/>
      <c r="R15" s="27"/>
    </row>
  </sheetData>
  <mergeCells count="18">
    <mergeCell ref="G14:G15"/>
    <mergeCell ref="N1:R1"/>
    <mergeCell ref="H1:L1"/>
    <mergeCell ref="A1:E1"/>
    <mergeCell ref="G2:J2"/>
    <mergeCell ref="K2:R2"/>
    <mergeCell ref="A4:F4"/>
    <mergeCell ref="H4:R4"/>
    <mergeCell ref="A2:F2"/>
    <mergeCell ref="A3:R3"/>
    <mergeCell ref="H8:R8"/>
    <mergeCell ref="A7:R7"/>
    <mergeCell ref="H12:R12"/>
    <mergeCell ref="A11:R11"/>
    <mergeCell ref="A8:F8"/>
    <mergeCell ref="A12:F12"/>
    <mergeCell ref="G10"/>
    <mergeCell ref="G6"/>
  </mergeCells>
  <pageMargins left="0.75" right="0.75" top="1" bottom="1" header="0.5" footer="0.5"/>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AJ5"/>
  <sheetViews>
    <sheetView workbookViewId="0"/>
  </sheetViews>
  <sheetFormatPr defaultRowHeight="15.6" outlineLevelCol="1" x14ac:dyDescent="0.3"/>
  <cols>
    <col min="1" max="1" width="11.6640625" style="271" bestFit="1" customWidth="1"/>
    <col min="2" max="2" width="11.109375" style="271" bestFit="1" customWidth="1"/>
    <col min="3" max="3" width="7.88671875" style="271" bestFit="1" customWidth="1"/>
    <col min="4" max="4" width="6.77734375" style="271" bestFit="1" customWidth="1"/>
    <col min="5" max="5" width="9.109375" style="271" bestFit="1" customWidth="1"/>
    <col min="6" max="6" width="5.21875" style="271" bestFit="1" customWidth="1"/>
    <col min="7" max="7" width="10" style="271" bestFit="1" customWidth="1"/>
    <col min="8" max="8" width="7" style="271" bestFit="1" customWidth="1"/>
    <col min="9" max="10" width="8" style="271" bestFit="1" customWidth="1"/>
    <col min="11" max="11" width="12.21875" style="271" bestFit="1" customWidth="1"/>
    <col min="12" max="12" width="21.21875" style="271" bestFit="1" customWidth="1"/>
    <col min="13" max="13" width="8.77734375" style="271" bestFit="1" customWidth="1" outlineLevel="1"/>
    <col min="14" max="14" width="7.33203125" style="271" bestFit="1" customWidth="1" outlineLevel="1"/>
    <col min="15" max="15" width="9.109375" style="271" bestFit="1" customWidth="1" outlineLevel="1"/>
    <col min="16" max="16" width="15.33203125" style="271" bestFit="1" customWidth="1"/>
    <col min="17" max="24" width="3.88671875" style="271" bestFit="1" customWidth="1"/>
    <col min="25" max="25" width="5.33203125" style="271" bestFit="1" customWidth="1"/>
    <col min="26" max="26" width="4.88671875" style="271" bestFit="1" customWidth="1"/>
    <col min="27" max="27" width="5.88671875" style="271" bestFit="1" customWidth="1"/>
    <col min="28" max="28" width="5" style="271" bestFit="1" customWidth="1"/>
    <col min="29" max="29" width="5.109375" style="271" bestFit="1" customWidth="1"/>
    <col min="30" max="31" width="5.33203125" style="271" bestFit="1" customWidth="1"/>
    <col min="32" max="32" width="3.88671875" style="271" bestFit="1" customWidth="1"/>
    <col min="33" max="33" width="5" style="271" bestFit="1" customWidth="1"/>
    <col min="34" max="34" width="3.88671875" style="271" bestFit="1" customWidth="1"/>
    <col min="35" max="35" width="5.109375" style="271" bestFit="1" customWidth="1"/>
    <col min="36" max="36" width="3.88671875" style="271" bestFit="1" customWidth="1"/>
    <col min="37" max="16384" width="8.88671875" style="271"/>
  </cols>
  <sheetData>
    <row r="1" spans="1:36" x14ac:dyDescent="0.3">
      <c r="A1" s="270" t="s">
        <v>104</v>
      </c>
      <c r="B1" s="270" t="s">
        <v>105</v>
      </c>
      <c r="C1" s="270" t="s">
        <v>106</v>
      </c>
      <c r="D1" s="270" t="s">
        <v>23</v>
      </c>
      <c r="E1" s="270" t="s">
        <v>107</v>
      </c>
      <c r="F1" s="270" t="s">
        <v>108</v>
      </c>
      <c r="G1" s="270" t="s">
        <v>16</v>
      </c>
      <c r="H1" s="270" t="s">
        <v>109</v>
      </c>
      <c r="I1" s="270" t="s">
        <v>110</v>
      </c>
      <c r="J1" s="270" t="s">
        <v>111</v>
      </c>
      <c r="K1" s="270" t="s">
        <v>112</v>
      </c>
      <c r="L1" s="270" t="s">
        <v>18</v>
      </c>
      <c r="M1" s="270" t="s">
        <v>20</v>
      </c>
      <c r="N1" s="270" t="s">
        <v>21</v>
      </c>
      <c r="O1" s="270" t="s">
        <v>19</v>
      </c>
      <c r="P1" s="270" t="s">
        <v>22</v>
      </c>
      <c r="Q1" s="270" t="s">
        <v>113</v>
      </c>
      <c r="R1" s="270" t="s">
        <v>114</v>
      </c>
      <c r="S1" s="270" t="s">
        <v>115</v>
      </c>
      <c r="T1" s="270" t="s">
        <v>116</v>
      </c>
      <c r="U1" s="270" t="s">
        <v>117</v>
      </c>
      <c r="V1" s="270" t="s">
        <v>118</v>
      </c>
      <c r="W1" s="270" t="s">
        <v>119</v>
      </c>
      <c r="X1" s="270" t="s">
        <v>120</v>
      </c>
      <c r="Y1" s="270" t="s">
        <v>121</v>
      </c>
      <c r="Z1" s="270" t="s">
        <v>122</v>
      </c>
      <c r="AA1" s="270" t="s">
        <v>123</v>
      </c>
      <c r="AB1" s="270" t="s">
        <v>124</v>
      </c>
      <c r="AC1" s="270" t="s">
        <v>125</v>
      </c>
      <c r="AD1" s="270" t="s">
        <v>126</v>
      </c>
      <c r="AE1" s="270" t="s">
        <v>127</v>
      </c>
      <c r="AF1" s="270" t="s">
        <v>128</v>
      </c>
      <c r="AG1" s="270" t="s">
        <v>129</v>
      </c>
      <c r="AH1" s="270" t="s">
        <v>130</v>
      </c>
      <c r="AI1" s="270" t="s">
        <v>131</v>
      </c>
      <c r="AJ1" s="270" t="s">
        <v>132</v>
      </c>
    </row>
    <row r="2" spans="1:36" x14ac:dyDescent="0.3">
      <c r="A2" s="272" t="s">
        <v>369</v>
      </c>
      <c r="B2" s="273">
        <v>45982</v>
      </c>
      <c r="C2" s="274" t="s">
        <v>830</v>
      </c>
      <c r="D2" s="275" t="s">
        <v>837</v>
      </c>
      <c r="E2" s="274" t="s">
        <v>827</v>
      </c>
      <c r="F2" s="274" t="s">
        <v>135</v>
      </c>
      <c r="G2" s="276">
        <v>0.97770000000000001</v>
      </c>
      <c r="H2" s="277">
        <v>179</v>
      </c>
      <c r="I2" s="277">
        <v>175</v>
      </c>
      <c r="J2" s="277">
        <v>0</v>
      </c>
      <c r="K2" s="274" t="s">
        <v>136</v>
      </c>
      <c r="L2" s="278" t="s">
        <v>180</v>
      </c>
      <c r="M2" s="277">
        <v>0</v>
      </c>
      <c r="N2" s="277">
        <v>10</v>
      </c>
      <c r="O2" s="277">
        <v>39</v>
      </c>
      <c r="P2" s="274" t="s">
        <v>257</v>
      </c>
      <c r="Q2" s="270"/>
      <c r="R2" s="270"/>
      <c r="S2" s="270"/>
      <c r="T2" s="270"/>
      <c r="U2" s="270"/>
      <c r="V2" s="270"/>
      <c r="W2" s="270"/>
      <c r="X2" s="270"/>
      <c r="Y2" s="277" t="s">
        <v>838</v>
      </c>
      <c r="Z2" s="277" t="s">
        <v>839</v>
      </c>
      <c r="AA2" s="277" t="s">
        <v>840</v>
      </c>
      <c r="AB2" s="277" t="s">
        <v>547</v>
      </c>
      <c r="AC2" s="277" t="s">
        <v>572</v>
      </c>
      <c r="AD2" s="277" t="s">
        <v>823</v>
      </c>
      <c r="AE2" s="277" t="s">
        <v>406</v>
      </c>
      <c r="AF2" s="277" t="s">
        <v>385</v>
      </c>
      <c r="AG2" s="270"/>
      <c r="AH2" s="270"/>
      <c r="AI2" s="270"/>
      <c r="AJ2" s="270"/>
    </row>
    <row r="3" spans="1:36" x14ac:dyDescent="0.3">
      <c r="A3" s="272" t="s">
        <v>133</v>
      </c>
      <c r="B3" s="273">
        <v>45983</v>
      </c>
      <c r="C3" s="274" t="s">
        <v>830</v>
      </c>
      <c r="D3" s="275" t="s">
        <v>841</v>
      </c>
      <c r="E3" s="274" t="s">
        <v>827</v>
      </c>
      <c r="F3" s="274" t="s">
        <v>135</v>
      </c>
      <c r="G3" s="276">
        <v>0.9385</v>
      </c>
      <c r="H3" s="277">
        <v>179</v>
      </c>
      <c r="I3" s="277">
        <v>168</v>
      </c>
      <c r="J3" s="277">
        <v>72</v>
      </c>
      <c r="K3" s="274" t="s">
        <v>136</v>
      </c>
      <c r="L3" s="278" t="s">
        <v>180</v>
      </c>
      <c r="M3" s="277">
        <v>0</v>
      </c>
      <c r="N3" s="277">
        <v>1</v>
      </c>
      <c r="O3" s="277">
        <v>32</v>
      </c>
      <c r="P3" s="274" t="s">
        <v>98</v>
      </c>
      <c r="Q3" s="270"/>
      <c r="R3" s="270"/>
      <c r="S3" s="270"/>
      <c r="T3" s="270"/>
      <c r="U3" s="270"/>
      <c r="V3" s="270"/>
      <c r="W3" s="270"/>
      <c r="X3" s="270"/>
      <c r="Y3" s="277" t="s">
        <v>361</v>
      </c>
      <c r="Z3" s="277" t="s">
        <v>675</v>
      </c>
      <c r="AA3" s="277" t="s">
        <v>842</v>
      </c>
      <c r="AB3" s="277" t="s">
        <v>547</v>
      </c>
      <c r="AC3" s="277" t="s">
        <v>404</v>
      </c>
      <c r="AD3" s="277" t="s">
        <v>573</v>
      </c>
      <c r="AE3" s="270"/>
      <c r="AF3" s="270"/>
      <c r="AG3" s="270"/>
      <c r="AH3" s="270"/>
      <c r="AI3" s="277" t="s">
        <v>843</v>
      </c>
      <c r="AJ3" s="270"/>
    </row>
    <row r="4" spans="1:36" x14ac:dyDescent="0.3">
      <c r="A4" s="272" t="s">
        <v>145</v>
      </c>
      <c r="B4" s="273">
        <v>45984</v>
      </c>
      <c r="C4" s="274" t="s">
        <v>830</v>
      </c>
      <c r="D4" s="275" t="s">
        <v>696</v>
      </c>
      <c r="E4" s="274" t="s">
        <v>827</v>
      </c>
      <c r="F4" s="274" t="s">
        <v>135</v>
      </c>
      <c r="G4" s="276">
        <v>0.92179999999999995</v>
      </c>
      <c r="H4" s="277">
        <v>179</v>
      </c>
      <c r="I4" s="277">
        <v>165</v>
      </c>
      <c r="J4" s="277">
        <v>113</v>
      </c>
      <c r="K4" s="274" t="s">
        <v>136</v>
      </c>
      <c r="L4" s="278" t="s">
        <v>180</v>
      </c>
      <c r="M4" s="277">
        <v>0</v>
      </c>
      <c r="N4" s="277">
        <v>5</v>
      </c>
      <c r="O4" s="277">
        <v>15</v>
      </c>
      <c r="P4" s="274" t="s">
        <v>523</v>
      </c>
      <c r="Q4" s="270"/>
      <c r="R4" s="270"/>
      <c r="S4" s="270"/>
      <c r="T4" s="270"/>
      <c r="U4" s="270"/>
      <c r="V4" s="270"/>
      <c r="W4" s="270"/>
      <c r="X4" s="270"/>
      <c r="Y4" s="270"/>
      <c r="Z4" s="270"/>
      <c r="AA4" s="277" t="s">
        <v>679</v>
      </c>
      <c r="AB4" s="277" t="s">
        <v>445</v>
      </c>
      <c r="AC4" s="277" t="s">
        <v>437</v>
      </c>
      <c r="AD4" s="277" t="s">
        <v>823</v>
      </c>
      <c r="AE4" s="270"/>
      <c r="AF4" s="270"/>
      <c r="AG4" s="277" t="s">
        <v>844</v>
      </c>
      <c r="AH4" s="270"/>
      <c r="AI4" s="277" t="s">
        <v>843</v>
      </c>
      <c r="AJ4" s="270"/>
    </row>
    <row r="5" spans="1:36" ht="21" x14ac:dyDescent="0.3">
      <c r="A5" s="279" t="s">
        <v>946</v>
      </c>
      <c r="B5" s="280"/>
      <c r="C5" s="279">
        <f>SUBTOTAL(103,YNB_CAI_LF_LEGACY[Flt])</f>
        <v>3</v>
      </c>
      <c r="D5" s="279"/>
      <c r="E5" s="279">
        <f>SUBTOTAL(103,YNB_CAI_LF_LEGACY[Brd-Off])</f>
        <v>3</v>
      </c>
      <c r="F5" s="279"/>
      <c r="G5" s="281">
        <f>SUBTOTAL(101,YNB_CAI_LF_LEGACY[LF%])</f>
        <v>0.94600000000000006</v>
      </c>
      <c r="H5" s="282">
        <f>SUBTOTAL(109,YNB_CAI_LF_LEGACY[CAP])</f>
        <v>537</v>
      </c>
      <c r="I5" s="282">
        <f>SUBTOTAL(109,YNB_CAI_LF_LEGACY[BKG(Y)])</f>
        <v>508</v>
      </c>
      <c r="J5" s="282">
        <f>SUBTOTAL(109,YNB_CAI_LF_LEGACY[GRP(Y)])</f>
        <v>185</v>
      </c>
      <c r="K5" s="279"/>
      <c r="L5" s="280"/>
      <c r="M5" s="282">
        <f>SUBTOTAL(109,YNB_CAI_LF_LEGACY[TO-DAY])</f>
        <v>0</v>
      </c>
      <c r="N5" s="282">
        <f>SUBTOTAL(109,YNB_CAI_LF_LEGACY[Y-DAY])</f>
        <v>16</v>
      </c>
      <c r="O5" s="282">
        <f>SUBTOTAL(109,YNB_CAI_LF_LEGACY[WEEKLY])</f>
        <v>86</v>
      </c>
      <c r="P5" s="283"/>
      <c r="Q5" s="279">
        <f>SUBTOTAL(109,YNB_CAI_LF_LEGACY[Y])</f>
        <v>0</v>
      </c>
      <c r="R5" s="279">
        <f>SUBTOTAL(109,YNB_CAI_LF_LEGACY[B])</f>
        <v>0</v>
      </c>
      <c r="S5" s="279">
        <f>SUBTOTAL(109,YNB_CAI_LF_LEGACY[M])</f>
        <v>0</v>
      </c>
      <c r="T5" s="279">
        <f>SUBTOTAL(109,YNB_CAI_LF_LEGACY[H])</f>
        <v>0</v>
      </c>
      <c r="U5" s="279">
        <f>SUBTOTAL(109,YNB_CAI_LF_LEGACY[Q])</f>
        <v>0</v>
      </c>
      <c r="V5" s="279">
        <f>SUBTOTAL(109,YNB_CAI_LF_LEGACY[K])</f>
        <v>0</v>
      </c>
      <c r="W5" s="279">
        <f>SUBTOTAL(109,YNB_CAI_LF_LEGACY[V])</f>
        <v>0</v>
      </c>
      <c r="X5" s="279">
        <f>SUBTOTAL(109,YNB_CAI_LF_LEGACY[L])</f>
        <v>0</v>
      </c>
      <c r="Y5" s="282">
        <f>SUBTOTAL(109,YNB_CAI_LF_LEGACY[G])</f>
        <v>0</v>
      </c>
      <c r="Z5" s="282">
        <f>SUBTOTAL(109,YNB_CAI_LF_LEGACY[S])</f>
        <v>0</v>
      </c>
      <c r="AA5" s="282">
        <f>SUBTOTAL(109,YNB_CAI_LF_LEGACY[W])</f>
        <v>0</v>
      </c>
      <c r="AB5" s="282">
        <f>SUBTOTAL(109,YNB_CAI_LF_LEGACY[T])</f>
        <v>0</v>
      </c>
      <c r="AC5" s="282">
        <f>SUBTOTAL(109,YNB_CAI_LF_LEGACY[X])</f>
        <v>0</v>
      </c>
      <c r="AD5" s="282">
        <f>SUBTOTAL(109,YNB_CAI_LF_LEGACY[U])</f>
        <v>0</v>
      </c>
      <c r="AE5" s="279">
        <f>SUBTOTAL(109,YNB_CAI_LF_LEGACY[O])</f>
        <v>0</v>
      </c>
      <c r="AF5" s="279">
        <f>SUBTOTAL(109,YNB_CAI_LF_LEGACY[I])</f>
        <v>0</v>
      </c>
      <c r="AG5" s="279">
        <f>SUBTOTAL(109,YNB_CAI_LF_LEGACY[E])</f>
        <v>0</v>
      </c>
      <c r="AH5" s="279">
        <f>SUBTOTAL(109,YNB_CAI_LF_LEGACY[A])</f>
        <v>0</v>
      </c>
      <c r="AI5" s="282">
        <f>SUBTOTAL(109,YNB_CAI_LF_LEGACY[P])</f>
        <v>0</v>
      </c>
      <c r="AJ5" s="279">
        <f>SUBTOTAL(103,YNB_CAI_LF_LEGACY[N])</f>
        <v>0</v>
      </c>
    </row>
  </sheetData>
  <pageMargins left="0.75" right="0.75" top="1" bottom="1" header="0.5" footer="0.5"/>
  <tableParts count="1">
    <tablePart r:id="rId1"/>
  </tableParts>
</worksheet>
</file>

<file path=xl/worksheets/sheet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H5"/>
  <sheetViews>
    <sheetView workbookViewId="0"/>
  </sheetViews>
  <sheetFormatPr defaultRowHeight="14.4" x14ac:dyDescent="0.3"/>
  <cols>
    <col min="1" max="1" width="11.21875" bestFit="1" customWidth="1"/>
    <col min="2" max="2" width="15.5546875" bestFit="1" customWidth="1"/>
    <col min="3" max="3" width="19.21875" bestFit="1" customWidth="1"/>
    <col min="4" max="4" width="12.77734375" bestFit="1" customWidth="1"/>
    <col min="5" max="5" width="18.33203125" bestFit="1" customWidth="1"/>
    <col min="6" max="6" width="29.21875" bestFit="1" customWidth="1"/>
    <col min="7" max="7" width="20" bestFit="1" customWidth="1"/>
    <col min="8" max="8" width="23.6640625" bestFit="1" customWidth="1"/>
    <col min="9" max="9" width="0" hidden="1" customWidth="1"/>
  </cols>
  <sheetData>
    <row r="1" spans="1:8" ht="18" x14ac:dyDescent="0.3">
      <c r="A1" s="57" t="s">
        <v>156</v>
      </c>
      <c r="B1" s="58" t="s">
        <v>8</v>
      </c>
      <c r="C1" s="58" t="s">
        <v>9</v>
      </c>
      <c r="D1" s="58" t="s">
        <v>157</v>
      </c>
      <c r="E1" s="58" t="s">
        <v>10</v>
      </c>
      <c r="F1" s="58" t="s">
        <v>11</v>
      </c>
      <c r="G1" s="58" t="s">
        <v>12</v>
      </c>
      <c r="H1" s="59" t="s">
        <v>13</v>
      </c>
    </row>
    <row r="2" spans="1:8" ht="19.8" customHeight="1" x14ac:dyDescent="0.3">
      <c r="A2" s="71" t="s">
        <v>158</v>
      </c>
      <c r="B2" s="72" t="s">
        <v>93</v>
      </c>
      <c r="C2" s="73" t="s">
        <v>828</v>
      </c>
      <c r="D2" s="72" t="s">
        <v>827</v>
      </c>
      <c r="E2" s="72" t="s">
        <v>837</v>
      </c>
      <c r="F2" s="72" t="s">
        <v>249</v>
      </c>
      <c r="G2" s="205">
        <v>4</v>
      </c>
      <c r="H2" s="206">
        <v>988</v>
      </c>
    </row>
    <row r="3" spans="1:8" ht="19.8" customHeight="1" x14ac:dyDescent="0.3">
      <c r="A3" s="77">
        <v>45983</v>
      </c>
      <c r="B3" s="72" t="s">
        <v>93</v>
      </c>
      <c r="C3" s="73" t="s">
        <v>828</v>
      </c>
      <c r="D3" s="72" t="s">
        <v>827</v>
      </c>
      <c r="E3" s="78">
        <v>1.2847222222222221</v>
      </c>
      <c r="F3" s="72"/>
      <c r="G3" s="72"/>
      <c r="H3" s="74" t="s">
        <v>96</v>
      </c>
    </row>
    <row r="4" spans="1:8" ht="19.8" customHeight="1" x14ac:dyDescent="0.3">
      <c r="A4" s="168">
        <v>45984</v>
      </c>
      <c r="B4" s="101" t="s">
        <v>93</v>
      </c>
      <c r="C4" s="102" t="s">
        <v>828</v>
      </c>
      <c r="D4" s="101" t="s">
        <v>827</v>
      </c>
      <c r="E4" s="169">
        <v>1.375</v>
      </c>
      <c r="F4" s="101" t="s">
        <v>249</v>
      </c>
      <c r="G4" s="166">
        <v>2</v>
      </c>
      <c r="H4" s="167">
        <v>628</v>
      </c>
    </row>
    <row r="5" spans="1:8" ht="19.8" customHeight="1" x14ac:dyDescent="0.3">
      <c r="A5" s="104">
        <v>45984</v>
      </c>
      <c r="B5" s="67" t="s">
        <v>323</v>
      </c>
      <c r="C5" s="68" t="s">
        <v>835</v>
      </c>
      <c r="D5" s="67" t="s">
        <v>827</v>
      </c>
      <c r="E5" s="105">
        <v>1.7152777777777779</v>
      </c>
      <c r="F5" s="67" t="s">
        <v>245</v>
      </c>
      <c r="G5" s="69">
        <v>2</v>
      </c>
      <c r="H5" s="176">
        <v>745</v>
      </c>
    </row>
  </sheetData>
  <pageMargins left="0.75" right="0.75" top="1" bottom="1" header="0.5" footer="0.5"/>
  <legacyDrawing r:id="rId1"/>
  <tableParts count="1">
    <tablePart r:id="rId2"/>
  </tableParts>
</worksheet>
</file>

<file path=xl/worksheets/sheet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H4"/>
  <sheetViews>
    <sheetView workbookViewId="0"/>
  </sheetViews>
  <sheetFormatPr defaultRowHeight="14.4" x14ac:dyDescent="0.3"/>
  <cols>
    <col min="1" max="1" width="11.21875" bestFit="1" customWidth="1"/>
    <col min="2" max="2" width="13.77734375" bestFit="1" customWidth="1"/>
    <col min="3" max="3" width="19.21875" bestFit="1" customWidth="1"/>
    <col min="4" max="4" width="12.77734375" bestFit="1" customWidth="1"/>
    <col min="5" max="5" width="18.33203125" bestFit="1" customWidth="1"/>
    <col min="6" max="6" width="29.21875" bestFit="1" customWidth="1"/>
    <col min="7" max="7" width="20" bestFit="1" customWidth="1"/>
    <col min="8" max="8" width="23.6640625" bestFit="1" customWidth="1"/>
    <col min="9" max="9" width="0" hidden="1" customWidth="1"/>
  </cols>
  <sheetData>
    <row r="1" spans="1:8" ht="18" x14ac:dyDescent="0.3">
      <c r="A1" s="57" t="s">
        <v>156</v>
      </c>
      <c r="B1" s="58" t="s">
        <v>8</v>
      </c>
      <c r="C1" s="58" t="s">
        <v>9</v>
      </c>
      <c r="D1" s="58" t="s">
        <v>157</v>
      </c>
      <c r="E1" s="58" t="s">
        <v>10</v>
      </c>
      <c r="F1" s="58" t="s">
        <v>11</v>
      </c>
      <c r="G1" s="58" t="s">
        <v>12</v>
      </c>
      <c r="H1" s="59" t="s">
        <v>13</v>
      </c>
    </row>
    <row r="2" spans="1:8" ht="19.8" customHeight="1" x14ac:dyDescent="0.3">
      <c r="A2" s="71" t="s">
        <v>158</v>
      </c>
      <c r="B2" s="72" t="s">
        <v>93</v>
      </c>
      <c r="C2" s="73" t="s">
        <v>828</v>
      </c>
      <c r="D2" s="72" t="s">
        <v>827</v>
      </c>
      <c r="E2" s="72" t="s">
        <v>837</v>
      </c>
      <c r="F2" s="72" t="s">
        <v>249</v>
      </c>
      <c r="G2" s="205">
        <v>4</v>
      </c>
      <c r="H2" s="206">
        <v>988</v>
      </c>
    </row>
    <row r="3" spans="1:8" ht="19.8" customHeight="1" x14ac:dyDescent="0.3">
      <c r="A3" s="77">
        <v>45983</v>
      </c>
      <c r="B3" s="72" t="s">
        <v>93</v>
      </c>
      <c r="C3" s="73" t="s">
        <v>828</v>
      </c>
      <c r="D3" s="72" t="s">
        <v>827</v>
      </c>
      <c r="E3" s="78">
        <v>1.2847222222222221</v>
      </c>
      <c r="F3" s="72"/>
      <c r="G3" s="72"/>
      <c r="H3" s="74" t="s">
        <v>96</v>
      </c>
    </row>
    <row r="4" spans="1:8" ht="19.8" customHeight="1" x14ac:dyDescent="0.3">
      <c r="A4" s="77">
        <v>45984</v>
      </c>
      <c r="B4" s="72" t="s">
        <v>93</v>
      </c>
      <c r="C4" s="73" t="s">
        <v>828</v>
      </c>
      <c r="D4" s="72" t="s">
        <v>827</v>
      </c>
      <c r="E4" s="78">
        <v>1.375</v>
      </c>
      <c r="F4" s="72" t="s">
        <v>249</v>
      </c>
      <c r="G4" s="205">
        <v>2</v>
      </c>
      <c r="H4" s="206">
        <v>628</v>
      </c>
    </row>
  </sheetData>
  <pageMargins left="0.75" right="0.75" top="1" bottom="1" header="0.5" footer="0.5"/>
  <legacyDrawing r:id="rId1"/>
  <tableParts count="1">
    <tablePart r:id="rId2"/>
  </tableParts>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CN17"/>
  <sheetViews>
    <sheetView workbookViewId="0"/>
  </sheetViews>
  <sheetFormatPr defaultRowHeight="14.4" x14ac:dyDescent="0.3"/>
  <cols>
    <col min="1" max="1" width="17.21875" bestFit="1" customWidth="1"/>
    <col min="2" max="2" width="15.6640625" bestFit="1" customWidth="1"/>
    <col min="3" max="3" width="14.77734375" bestFit="1" customWidth="1"/>
    <col min="4" max="4" width="32.88671875" bestFit="1" customWidth="1"/>
    <col min="5" max="5" width="18.5546875" bestFit="1" customWidth="1"/>
    <col min="6" max="6" width="23.44140625" bestFit="1" customWidth="1"/>
    <col min="7" max="7" width="44.5546875" bestFit="1" customWidth="1"/>
    <col min="8" max="8" width="9.44140625" bestFit="1" customWidth="1"/>
    <col min="9" max="9" width="8" bestFit="1" customWidth="1"/>
    <col min="10" max="10" width="7.5546875" bestFit="1" customWidth="1"/>
    <col min="11" max="11" width="23.44140625" bestFit="1" customWidth="1"/>
    <col min="12" max="12" width="10.5546875" bestFit="1" customWidth="1"/>
    <col min="13" max="13" width="10.109375" bestFit="1" customWidth="1"/>
    <col min="14" max="14" width="8.5546875" bestFit="1" customWidth="1"/>
    <col min="15" max="15" width="17.88671875" bestFit="1" customWidth="1"/>
    <col min="16" max="16" width="6.21875" bestFit="1" customWidth="1"/>
    <col min="17" max="17" width="12.21875" bestFit="1" customWidth="1"/>
    <col min="18" max="18" width="60.44140625" bestFit="1" customWidth="1"/>
  </cols>
  <sheetData>
    <row r="1" spans="1:92" ht="28.8" customHeight="1" x14ac:dyDescent="0.3">
      <c r="A1" s="260" t="s">
        <v>0</v>
      </c>
      <c r="B1" s="253"/>
      <c r="C1" s="253"/>
      <c r="D1" s="253"/>
      <c r="E1" s="253"/>
      <c r="F1" s="1" t="s">
        <v>845</v>
      </c>
      <c r="G1" s="2" t="s">
        <v>2</v>
      </c>
      <c r="H1" s="259">
        <v>45982</v>
      </c>
      <c r="I1" s="253"/>
      <c r="J1" s="253"/>
      <c r="K1" s="253"/>
      <c r="L1" s="253"/>
      <c r="M1" s="1" t="s">
        <v>3</v>
      </c>
      <c r="N1" s="266">
        <v>45984</v>
      </c>
      <c r="O1" s="253"/>
      <c r="P1" s="253"/>
      <c r="Q1" s="253"/>
      <c r="R1" s="253"/>
      <c r="CA1" s="3"/>
      <c r="CB1" s="3"/>
      <c r="CC1" s="3"/>
      <c r="CD1" s="3"/>
      <c r="CE1" s="3"/>
      <c r="CF1" s="3"/>
      <c r="CG1" s="3"/>
      <c r="CH1" s="3"/>
      <c r="CI1" s="3"/>
      <c r="CJ1" s="3"/>
      <c r="CK1" s="3"/>
      <c r="CL1" s="3"/>
      <c r="CM1" s="3"/>
      <c r="CN1" s="3"/>
    </row>
    <row r="2" spans="1:92" ht="23.4" customHeight="1" x14ac:dyDescent="0.3">
      <c r="A2" s="252" t="s">
        <v>4</v>
      </c>
      <c r="B2" s="253"/>
      <c r="C2" s="253"/>
      <c r="D2" s="253"/>
      <c r="E2" s="253"/>
      <c r="F2" s="253"/>
      <c r="G2" s="261">
        <v>45981.017874575358</v>
      </c>
      <c r="H2" s="253"/>
      <c r="I2" s="253"/>
      <c r="J2" s="253"/>
      <c r="K2" s="262">
        <v>45981.017874575817</v>
      </c>
      <c r="L2" s="253"/>
      <c r="M2" s="253"/>
      <c r="N2" s="253"/>
      <c r="O2" s="253"/>
      <c r="P2" s="253"/>
      <c r="Q2" s="253"/>
      <c r="R2" s="253"/>
      <c r="CA2" s="3"/>
      <c r="CB2" s="3"/>
      <c r="CC2" s="3"/>
      <c r="CD2" s="3"/>
      <c r="CE2" s="3"/>
      <c r="CF2" s="3"/>
      <c r="CG2" s="3"/>
      <c r="CH2" s="3"/>
      <c r="CI2" s="3"/>
      <c r="CJ2" s="3"/>
      <c r="CK2" s="3"/>
      <c r="CL2" s="3"/>
      <c r="CM2" s="3"/>
      <c r="CN2" s="3"/>
    </row>
    <row r="3" spans="1:92" ht="24" customHeight="1" x14ac:dyDescent="0.3">
      <c r="A3" s="254" t="s">
        <v>5</v>
      </c>
      <c r="B3" s="253"/>
      <c r="C3" s="253"/>
      <c r="D3" s="253"/>
      <c r="E3" s="253"/>
      <c r="F3" s="253"/>
      <c r="G3" s="253"/>
      <c r="H3" s="253"/>
      <c r="I3" s="253"/>
      <c r="J3" s="253"/>
      <c r="K3" s="253"/>
      <c r="L3" s="253"/>
      <c r="M3" s="253"/>
      <c r="N3" s="253"/>
      <c r="O3" s="253"/>
      <c r="P3" s="253"/>
      <c r="Q3" s="253"/>
      <c r="R3" s="253"/>
      <c r="CA3" s="3"/>
      <c r="CB3" s="3"/>
      <c r="CC3" s="3"/>
      <c r="CD3" s="3"/>
      <c r="CE3" s="3"/>
      <c r="CF3" s="3"/>
      <c r="CG3" s="3"/>
      <c r="CH3" s="3"/>
      <c r="CI3" s="3"/>
      <c r="CJ3" s="3"/>
      <c r="CK3" s="3"/>
      <c r="CL3" s="3"/>
      <c r="CM3" s="3"/>
      <c r="CN3" s="3"/>
    </row>
    <row r="4" spans="1:92" ht="22.05" customHeight="1" x14ac:dyDescent="0.3">
      <c r="A4" s="263" t="s">
        <v>6</v>
      </c>
      <c r="B4" s="250"/>
      <c r="C4" s="250"/>
      <c r="D4" s="250"/>
      <c r="E4" s="250"/>
      <c r="F4" s="251"/>
      <c r="G4" s="4">
        <v>45982</v>
      </c>
      <c r="H4" s="264" t="s">
        <v>7</v>
      </c>
      <c r="I4" s="250"/>
      <c r="J4" s="250"/>
      <c r="K4" s="250"/>
      <c r="L4" s="250"/>
      <c r="M4" s="250"/>
      <c r="N4" s="250"/>
      <c r="O4" s="250"/>
      <c r="P4" s="250"/>
      <c r="Q4" s="250"/>
      <c r="R4" s="251"/>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x14ac:dyDescent="0.3">
      <c r="A6" s="8" t="s">
        <v>243</v>
      </c>
      <c r="B6" s="8" t="s">
        <v>846</v>
      </c>
      <c r="C6" s="9">
        <v>0.1145833333333333</v>
      </c>
      <c r="D6" s="8" t="s">
        <v>245</v>
      </c>
      <c r="E6" s="8" t="s">
        <v>89</v>
      </c>
      <c r="F6" s="8" t="s">
        <v>847</v>
      </c>
      <c r="G6" s="255"/>
      <c r="H6" s="10"/>
      <c r="I6" s="11"/>
      <c r="J6" s="11"/>
      <c r="K6" s="11"/>
      <c r="L6" s="11"/>
      <c r="M6" s="11"/>
      <c r="N6" s="11"/>
      <c r="O6" s="12"/>
      <c r="P6" s="11"/>
      <c r="Q6" s="13"/>
      <c r="R6" s="14"/>
    </row>
    <row r="7" spans="1:92" ht="49.95" customHeight="1" thickTop="1" thickBot="1" x14ac:dyDescent="0.35">
      <c r="A7" s="242" t="s">
        <v>93</v>
      </c>
      <c r="B7" s="242" t="s">
        <v>848</v>
      </c>
      <c r="C7" s="243">
        <v>3.472222222222222E-3</v>
      </c>
      <c r="D7" s="242" t="s">
        <v>249</v>
      </c>
      <c r="E7" s="242" t="s">
        <v>49</v>
      </c>
      <c r="F7" s="242" t="s">
        <v>849</v>
      </c>
      <c r="G7" s="257"/>
      <c r="H7" s="220" t="s">
        <v>850</v>
      </c>
      <c r="I7" s="244">
        <v>0.67900000000000005</v>
      </c>
      <c r="J7" s="222">
        <v>110</v>
      </c>
      <c r="K7" s="223" t="s">
        <v>180</v>
      </c>
      <c r="L7" s="222">
        <v>21</v>
      </c>
      <c r="M7" s="222">
        <v>0</v>
      </c>
      <c r="N7" s="222">
        <v>2</v>
      </c>
      <c r="O7" s="224" t="s">
        <v>747</v>
      </c>
      <c r="P7" s="225">
        <v>3.472222222222222E-3</v>
      </c>
      <c r="Q7" s="222">
        <v>162</v>
      </c>
      <c r="R7" s="226" t="s">
        <v>851</v>
      </c>
    </row>
    <row r="8" spans="1:92" ht="17.399999999999999" customHeight="1" thickBot="1" x14ac:dyDescent="0.35">
      <c r="A8" s="284"/>
      <c r="B8" s="285"/>
      <c r="C8" s="285"/>
      <c r="D8" s="285"/>
      <c r="E8" s="285"/>
      <c r="F8" s="285"/>
      <c r="G8" s="285"/>
      <c r="H8" s="285"/>
      <c r="I8" s="285"/>
      <c r="J8" s="285"/>
      <c r="K8" s="285"/>
      <c r="L8" s="285"/>
      <c r="M8" s="285"/>
      <c r="N8" s="285"/>
      <c r="O8" s="285"/>
      <c r="P8" s="285"/>
      <c r="Q8" s="285"/>
      <c r="R8" s="286"/>
    </row>
    <row r="9" spans="1:92" ht="22.05" customHeight="1" thickTop="1" thickBot="1" x14ac:dyDescent="0.35">
      <c r="A9" s="249" t="s">
        <v>6</v>
      </c>
      <c r="B9" s="250"/>
      <c r="C9" s="250"/>
      <c r="D9" s="250"/>
      <c r="E9" s="250"/>
      <c r="F9" s="251"/>
      <c r="G9" s="28">
        <v>45983</v>
      </c>
      <c r="H9" s="258" t="s">
        <v>7</v>
      </c>
      <c r="I9" s="250"/>
      <c r="J9" s="250"/>
      <c r="K9" s="250"/>
      <c r="L9" s="250"/>
      <c r="M9" s="250"/>
      <c r="N9" s="250"/>
      <c r="O9" s="250"/>
      <c r="P9" s="250"/>
      <c r="Q9" s="250"/>
      <c r="R9" s="251"/>
    </row>
    <row r="10" spans="1:92" ht="24" customHeight="1" x14ac:dyDescent="0.3">
      <c r="A10" s="29" t="s">
        <v>8</v>
      </c>
      <c r="B10" s="29" t="s">
        <v>9</v>
      </c>
      <c r="C10" s="30" t="s">
        <v>10</v>
      </c>
      <c r="D10" s="29" t="s">
        <v>11</v>
      </c>
      <c r="E10" s="29" t="s">
        <v>12</v>
      </c>
      <c r="F10" s="31" t="s">
        <v>13</v>
      </c>
      <c r="G10" s="32" t="s">
        <v>14</v>
      </c>
      <c r="H10" s="29" t="s">
        <v>15</v>
      </c>
      <c r="I10" s="33" t="s">
        <v>16</v>
      </c>
      <c r="J10" s="34" t="s">
        <v>17</v>
      </c>
      <c r="K10" s="35" t="s">
        <v>18</v>
      </c>
      <c r="L10" s="34" t="s">
        <v>19</v>
      </c>
      <c r="M10" s="34" t="s">
        <v>20</v>
      </c>
      <c r="N10" s="34" t="s">
        <v>21</v>
      </c>
      <c r="O10" s="29" t="s">
        <v>22</v>
      </c>
      <c r="P10" s="30" t="s">
        <v>23</v>
      </c>
      <c r="Q10" s="34" t="s">
        <v>24</v>
      </c>
      <c r="R10" s="29" t="s">
        <v>25</v>
      </c>
    </row>
    <row r="11" spans="1:92" ht="49.95" customHeight="1" thickTop="1" thickBot="1" x14ac:dyDescent="0.5">
      <c r="A11" s="218" t="s">
        <v>243</v>
      </c>
      <c r="B11" s="218" t="s">
        <v>852</v>
      </c>
      <c r="C11" s="219">
        <v>0.19791666666666671</v>
      </c>
      <c r="D11" s="218" t="s">
        <v>245</v>
      </c>
      <c r="E11" s="218" t="s">
        <v>341</v>
      </c>
      <c r="F11" s="218" t="s">
        <v>853</v>
      </c>
      <c r="G11" s="255"/>
      <c r="H11" s="23"/>
      <c r="I11" s="24"/>
      <c r="J11" s="24"/>
      <c r="K11" s="24"/>
      <c r="L11" s="24"/>
      <c r="M11" s="24"/>
      <c r="N11" s="24"/>
      <c r="O11" s="25"/>
      <c r="P11" s="24"/>
      <c r="Q11" s="26"/>
      <c r="R11" s="27"/>
    </row>
    <row r="12" spans="1:92" ht="17.399999999999999" customHeight="1" thickBot="1" x14ac:dyDescent="0.35">
      <c r="A12" s="284"/>
      <c r="B12" s="285"/>
      <c r="C12" s="285"/>
      <c r="D12" s="285"/>
      <c r="E12" s="285"/>
      <c r="F12" s="285"/>
      <c r="G12" s="285"/>
      <c r="H12" s="285"/>
      <c r="I12" s="285"/>
      <c r="J12" s="285"/>
      <c r="K12" s="285"/>
      <c r="L12" s="285"/>
      <c r="M12" s="285"/>
      <c r="N12" s="285"/>
      <c r="O12" s="285"/>
      <c r="P12" s="285"/>
      <c r="Q12" s="285"/>
      <c r="R12" s="286"/>
    </row>
    <row r="13" spans="1:92" ht="22.05" customHeight="1" thickTop="1" thickBot="1" x14ac:dyDescent="0.35">
      <c r="A13" s="249" t="s">
        <v>6</v>
      </c>
      <c r="B13" s="250"/>
      <c r="C13" s="250"/>
      <c r="D13" s="250"/>
      <c r="E13" s="250"/>
      <c r="F13" s="251"/>
      <c r="G13" s="28">
        <v>45984</v>
      </c>
      <c r="H13" s="258" t="s">
        <v>7</v>
      </c>
      <c r="I13" s="250"/>
      <c r="J13" s="250"/>
      <c r="K13" s="250"/>
      <c r="L13" s="250"/>
      <c r="M13" s="250"/>
      <c r="N13" s="250"/>
      <c r="O13" s="250"/>
      <c r="P13" s="250"/>
      <c r="Q13" s="250"/>
      <c r="R13" s="251"/>
    </row>
    <row r="14" spans="1:92" ht="24" customHeight="1" x14ac:dyDescent="0.3">
      <c r="A14" s="29" t="s">
        <v>8</v>
      </c>
      <c r="B14" s="29" t="s">
        <v>9</v>
      </c>
      <c r="C14" s="30" t="s">
        <v>10</v>
      </c>
      <c r="D14" s="29" t="s">
        <v>11</v>
      </c>
      <c r="E14" s="29" t="s">
        <v>12</v>
      </c>
      <c r="F14" s="31" t="s">
        <v>13</v>
      </c>
      <c r="G14" s="32" t="s">
        <v>14</v>
      </c>
      <c r="H14" s="29" t="s">
        <v>15</v>
      </c>
      <c r="I14" s="33" t="s">
        <v>16</v>
      </c>
      <c r="J14" s="34" t="s">
        <v>17</v>
      </c>
      <c r="K14" s="35" t="s">
        <v>18</v>
      </c>
      <c r="L14" s="34" t="s">
        <v>19</v>
      </c>
      <c r="M14" s="34" t="s">
        <v>20</v>
      </c>
      <c r="N14" s="34" t="s">
        <v>21</v>
      </c>
      <c r="O14" s="29" t="s">
        <v>22</v>
      </c>
      <c r="P14" s="30" t="s">
        <v>23</v>
      </c>
      <c r="Q14" s="34" t="s">
        <v>24</v>
      </c>
      <c r="R14" s="29" t="s">
        <v>25</v>
      </c>
    </row>
    <row r="15" spans="1:92" ht="49.95" customHeight="1" x14ac:dyDescent="0.3">
      <c r="A15" s="8" t="s">
        <v>237</v>
      </c>
      <c r="B15" s="8" t="s">
        <v>854</v>
      </c>
      <c r="C15" s="9">
        <v>0.99652777777777779</v>
      </c>
      <c r="D15" s="8" t="s">
        <v>319</v>
      </c>
      <c r="E15" s="8" t="s">
        <v>29</v>
      </c>
      <c r="F15" s="8" t="s">
        <v>855</v>
      </c>
      <c r="G15" s="255"/>
      <c r="H15" s="10"/>
      <c r="I15" s="11"/>
      <c r="J15" s="11"/>
      <c r="K15" s="11"/>
      <c r="L15" s="11"/>
      <c r="M15" s="11"/>
      <c r="N15" s="11"/>
      <c r="O15" s="12"/>
      <c r="P15" s="11"/>
      <c r="Q15" s="13"/>
      <c r="R15" s="14"/>
    </row>
    <row r="16" spans="1:92" ht="49.95" customHeight="1" x14ac:dyDescent="0.3">
      <c r="A16" s="15" t="s">
        <v>237</v>
      </c>
      <c r="B16" s="15" t="s">
        <v>854</v>
      </c>
      <c r="C16" s="16">
        <v>0.99652777777777779</v>
      </c>
      <c r="D16" s="15" t="s">
        <v>44</v>
      </c>
      <c r="E16" s="15" t="s">
        <v>32</v>
      </c>
      <c r="F16" s="15" t="s">
        <v>856</v>
      </c>
      <c r="G16" s="256"/>
      <c r="H16" s="10"/>
      <c r="I16" s="11"/>
      <c r="J16" s="11"/>
      <c r="K16" s="11"/>
      <c r="L16" s="11"/>
      <c r="M16" s="11"/>
      <c r="N16" s="11"/>
      <c r="O16" s="12"/>
      <c r="P16" s="11"/>
      <c r="Q16" s="13"/>
      <c r="R16" s="14"/>
    </row>
    <row r="17" spans="1:18" ht="49.95" customHeight="1" x14ac:dyDescent="0.3">
      <c r="A17" s="245" t="s">
        <v>93</v>
      </c>
      <c r="B17" s="245" t="s">
        <v>848</v>
      </c>
      <c r="C17" s="246">
        <v>3.472222222222222E-3</v>
      </c>
      <c r="D17" s="245" t="s">
        <v>249</v>
      </c>
      <c r="E17" s="245" t="s">
        <v>49</v>
      </c>
      <c r="F17" s="245" t="s">
        <v>857</v>
      </c>
      <c r="G17" s="257"/>
      <c r="H17" s="211" t="s">
        <v>850</v>
      </c>
      <c r="I17" s="212">
        <v>0.86899999999999999</v>
      </c>
      <c r="J17" s="213">
        <v>146</v>
      </c>
      <c r="K17" s="214" t="s">
        <v>180</v>
      </c>
      <c r="L17" s="213">
        <v>43</v>
      </c>
      <c r="M17" s="213">
        <v>0</v>
      </c>
      <c r="N17" s="213">
        <v>17</v>
      </c>
      <c r="O17" s="215" t="s">
        <v>858</v>
      </c>
      <c r="P17" s="216">
        <v>3.472222222222222E-3</v>
      </c>
      <c r="Q17" s="213">
        <v>168</v>
      </c>
      <c r="R17" s="217" t="s">
        <v>859</v>
      </c>
    </row>
  </sheetData>
  <mergeCells count="18">
    <mergeCell ref="G15:G17"/>
    <mergeCell ref="G11"/>
    <mergeCell ref="A8:R8"/>
    <mergeCell ref="N1:R1"/>
    <mergeCell ref="H4:R4"/>
    <mergeCell ref="A12:R12"/>
    <mergeCell ref="H13:R13"/>
    <mergeCell ref="H1:L1"/>
    <mergeCell ref="A1:E1"/>
    <mergeCell ref="G2:J2"/>
    <mergeCell ref="K2:R2"/>
    <mergeCell ref="A4:F4"/>
    <mergeCell ref="A2:F2"/>
    <mergeCell ref="A3:R3"/>
    <mergeCell ref="H9:R9"/>
    <mergeCell ref="A13:F13"/>
    <mergeCell ref="A9:F9"/>
    <mergeCell ref="G6:G7"/>
  </mergeCells>
  <pageMargins left="0.75" right="0.75" top="1" bottom="1" header="0.5" footer="0.5"/>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AJ4"/>
  <sheetViews>
    <sheetView workbookViewId="0"/>
  </sheetViews>
  <sheetFormatPr defaultRowHeight="15.6" outlineLevelCol="1" x14ac:dyDescent="0.3"/>
  <cols>
    <col min="1" max="1" width="10.21875" style="271" bestFit="1" customWidth="1"/>
    <col min="2" max="2" width="11.109375" style="271" bestFit="1" customWidth="1"/>
    <col min="3" max="3" width="7.88671875" style="271" bestFit="1" customWidth="1"/>
    <col min="4" max="4" width="6.77734375" style="271" bestFit="1" customWidth="1"/>
    <col min="5" max="5" width="9.33203125" style="271" bestFit="1" customWidth="1"/>
    <col min="6" max="6" width="5.21875" style="271" bestFit="1" customWidth="1"/>
    <col min="7" max="7" width="10" style="271" bestFit="1" customWidth="1"/>
    <col min="8" max="8" width="7" style="271" bestFit="1" customWidth="1"/>
    <col min="9" max="10" width="8" style="271" bestFit="1" customWidth="1"/>
    <col min="11" max="11" width="12.21875" style="271" bestFit="1" customWidth="1"/>
    <col min="12" max="12" width="21.21875" style="271" bestFit="1" customWidth="1"/>
    <col min="13" max="13" width="8.77734375" style="271" bestFit="1" customWidth="1" outlineLevel="1"/>
    <col min="14" max="14" width="7.33203125" style="271" bestFit="1" customWidth="1" outlineLevel="1"/>
    <col min="15" max="15" width="9.109375" style="271" bestFit="1" customWidth="1" outlineLevel="1"/>
    <col min="16" max="16" width="15.33203125" style="271" bestFit="1" customWidth="1"/>
    <col min="17" max="20" width="3.88671875" style="271" bestFit="1" customWidth="1"/>
    <col min="21" max="21" width="5.44140625" style="271" bestFit="1" customWidth="1"/>
    <col min="22" max="22" width="5.109375" style="271" bestFit="1" customWidth="1"/>
    <col min="23" max="23" width="5.21875" style="271" bestFit="1" customWidth="1"/>
    <col min="24" max="24" width="4.77734375" style="271" bestFit="1" customWidth="1"/>
    <col min="25" max="25" width="5.33203125" style="271" bestFit="1" customWidth="1"/>
    <col min="26" max="26" width="4.88671875" style="271" bestFit="1" customWidth="1"/>
    <col min="27" max="27" width="5.88671875" style="271" bestFit="1" customWidth="1"/>
    <col min="28" max="28" width="5" style="271" bestFit="1" customWidth="1"/>
    <col min="29" max="29" width="5.109375" style="271" bestFit="1" customWidth="1"/>
    <col min="30" max="31" width="5.33203125" style="271" bestFit="1" customWidth="1"/>
    <col min="32" max="36" width="3.88671875" style="271" bestFit="1" customWidth="1"/>
    <col min="37" max="16384" width="8.88671875" style="271"/>
  </cols>
  <sheetData>
    <row r="1" spans="1:36" x14ac:dyDescent="0.3">
      <c r="A1" s="270" t="s">
        <v>104</v>
      </c>
      <c r="B1" s="270" t="s">
        <v>105</v>
      </c>
      <c r="C1" s="270" t="s">
        <v>106</v>
      </c>
      <c r="D1" s="270" t="s">
        <v>23</v>
      </c>
      <c r="E1" s="270" t="s">
        <v>107</v>
      </c>
      <c r="F1" s="270" t="s">
        <v>108</v>
      </c>
      <c r="G1" s="270" t="s">
        <v>16</v>
      </c>
      <c r="H1" s="270" t="s">
        <v>109</v>
      </c>
      <c r="I1" s="270" t="s">
        <v>110</v>
      </c>
      <c r="J1" s="270" t="s">
        <v>111</v>
      </c>
      <c r="K1" s="270" t="s">
        <v>112</v>
      </c>
      <c r="L1" s="270" t="s">
        <v>18</v>
      </c>
      <c r="M1" s="270" t="s">
        <v>20</v>
      </c>
      <c r="N1" s="270" t="s">
        <v>21</v>
      </c>
      <c r="O1" s="270" t="s">
        <v>19</v>
      </c>
      <c r="P1" s="270" t="s">
        <v>22</v>
      </c>
      <c r="Q1" s="270" t="s">
        <v>113</v>
      </c>
      <c r="R1" s="270" t="s">
        <v>114</v>
      </c>
      <c r="S1" s="270" t="s">
        <v>115</v>
      </c>
      <c r="T1" s="270" t="s">
        <v>116</v>
      </c>
      <c r="U1" s="270" t="s">
        <v>117</v>
      </c>
      <c r="V1" s="270" t="s">
        <v>118</v>
      </c>
      <c r="W1" s="270" t="s">
        <v>119</v>
      </c>
      <c r="X1" s="270" t="s">
        <v>120</v>
      </c>
      <c r="Y1" s="270" t="s">
        <v>121</v>
      </c>
      <c r="Z1" s="270" t="s">
        <v>122</v>
      </c>
      <c r="AA1" s="270" t="s">
        <v>123</v>
      </c>
      <c r="AB1" s="270" t="s">
        <v>124</v>
      </c>
      <c r="AC1" s="270" t="s">
        <v>125</v>
      </c>
      <c r="AD1" s="270" t="s">
        <v>126</v>
      </c>
      <c r="AE1" s="270" t="s">
        <v>127</v>
      </c>
      <c r="AF1" s="270" t="s">
        <v>128</v>
      </c>
      <c r="AG1" s="270" t="s">
        <v>129</v>
      </c>
      <c r="AH1" s="270" t="s">
        <v>130</v>
      </c>
      <c r="AI1" s="270" t="s">
        <v>131</v>
      </c>
      <c r="AJ1" s="270" t="s">
        <v>132</v>
      </c>
    </row>
    <row r="2" spans="1:36" x14ac:dyDescent="0.3">
      <c r="A2" s="272" t="s">
        <v>369</v>
      </c>
      <c r="B2" s="273">
        <v>45982</v>
      </c>
      <c r="C2" s="274" t="s">
        <v>850</v>
      </c>
      <c r="D2" s="275" t="s">
        <v>860</v>
      </c>
      <c r="E2" s="274" t="s">
        <v>845</v>
      </c>
      <c r="F2" s="274" t="s">
        <v>135</v>
      </c>
      <c r="G2" s="276">
        <v>0.67900000000000005</v>
      </c>
      <c r="H2" s="277">
        <v>162</v>
      </c>
      <c r="I2" s="277">
        <v>110</v>
      </c>
      <c r="J2" s="277">
        <v>0</v>
      </c>
      <c r="K2" s="274" t="s">
        <v>136</v>
      </c>
      <c r="L2" s="278" t="s">
        <v>180</v>
      </c>
      <c r="M2" s="277">
        <v>0</v>
      </c>
      <c r="N2" s="277">
        <v>2</v>
      </c>
      <c r="O2" s="277">
        <v>21</v>
      </c>
      <c r="P2" s="274" t="s">
        <v>747</v>
      </c>
      <c r="Q2" s="270"/>
      <c r="R2" s="270"/>
      <c r="S2" s="270"/>
      <c r="T2" s="270"/>
      <c r="U2" s="277" t="s">
        <v>861</v>
      </c>
      <c r="V2" s="277" t="s">
        <v>862</v>
      </c>
      <c r="W2" s="277" t="s">
        <v>863</v>
      </c>
      <c r="X2" s="277" t="s">
        <v>819</v>
      </c>
      <c r="Y2" s="277" t="s">
        <v>620</v>
      </c>
      <c r="Z2" s="277" t="s">
        <v>708</v>
      </c>
      <c r="AA2" s="277" t="s">
        <v>864</v>
      </c>
      <c r="AB2" s="270"/>
      <c r="AC2" s="270"/>
      <c r="AD2" s="270"/>
      <c r="AE2" s="270"/>
      <c r="AF2" s="270"/>
      <c r="AG2" s="270"/>
      <c r="AH2" s="270"/>
      <c r="AI2" s="270"/>
      <c r="AJ2" s="270"/>
    </row>
    <row r="3" spans="1:36" x14ac:dyDescent="0.3">
      <c r="A3" s="272" t="s">
        <v>145</v>
      </c>
      <c r="B3" s="273">
        <v>45984</v>
      </c>
      <c r="C3" s="274" t="s">
        <v>850</v>
      </c>
      <c r="D3" s="275" t="s">
        <v>860</v>
      </c>
      <c r="E3" s="274" t="s">
        <v>845</v>
      </c>
      <c r="F3" s="274" t="s">
        <v>135</v>
      </c>
      <c r="G3" s="276">
        <v>0.86899999999999999</v>
      </c>
      <c r="H3" s="277">
        <v>168</v>
      </c>
      <c r="I3" s="277">
        <v>146</v>
      </c>
      <c r="J3" s="277">
        <v>0</v>
      </c>
      <c r="K3" s="274" t="s">
        <v>136</v>
      </c>
      <c r="L3" s="278" t="s">
        <v>180</v>
      </c>
      <c r="M3" s="277">
        <v>0</v>
      </c>
      <c r="N3" s="277">
        <v>17</v>
      </c>
      <c r="O3" s="277">
        <v>43</v>
      </c>
      <c r="P3" s="274" t="s">
        <v>858</v>
      </c>
      <c r="Q3" s="270"/>
      <c r="R3" s="270"/>
      <c r="S3" s="270"/>
      <c r="T3" s="270"/>
      <c r="U3" s="277" t="s">
        <v>865</v>
      </c>
      <c r="V3" s="270"/>
      <c r="W3" s="270"/>
      <c r="X3" s="277" t="s">
        <v>379</v>
      </c>
      <c r="Y3" s="277" t="s">
        <v>866</v>
      </c>
      <c r="Z3" s="277" t="s">
        <v>675</v>
      </c>
      <c r="AA3" s="277" t="s">
        <v>440</v>
      </c>
      <c r="AB3" s="277" t="s">
        <v>867</v>
      </c>
      <c r="AC3" s="277" t="s">
        <v>868</v>
      </c>
      <c r="AD3" s="277" t="s">
        <v>199</v>
      </c>
      <c r="AE3" s="277" t="s">
        <v>200</v>
      </c>
      <c r="AF3" s="270"/>
      <c r="AG3" s="270"/>
      <c r="AH3" s="270"/>
      <c r="AI3" s="270"/>
      <c r="AJ3" s="270"/>
    </row>
    <row r="4" spans="1:36" ht="21" x14ac:dyDescent="0.3">
      <c r="A4" s="279" t="s">
        <v>946</v>
      </c>
      <c r="B4" s="280"/>
      <c r="C4" s="279">
        <f>SUBTOTAL(103,AHB_CAI_LF_LEGACY[Flt])</f>
        <v>2</v>
      </c>
      <c r="D4" s="279"/>
      <c r="E4" s="279">
        <f>SUBTOTAL(103,AHB_CAI_LF_LEGACY[Brd-Off])</f>
        <v>2</v>
      </c>
      <c r="F4" s="279"/>
      <c r="G4" s="281">
        <f>SUBTOTAL(101,AHB_CAI_LF_LEGACY[LF%])</f>
        <v>0.77400000000000002</v>
      </c>
      <c r="H4" s="282">
        <f>SUBTOTAL(109,AHB_CAI_LF_LEGACY[CAP])</f>
        <v>330</v>
      </c>
      <c r="I4" s="282">
        <f>SUBTOTAL(109,AHB_CAI_LF_LEGACY[BKG(Y)])</f>
        <v>256</v>
      </c>
      <c r="J4" s="282">
        <f>SUBTOTAL(109,AHB_CAI_LF_LEGACY[GRP(Y)])</f>
        <v>0</v>
      </c>
      <c r="K4" s="279"/>
      <c r="L4" s="280"/>
      <c r="M4" s="282">
        <f>SUBTOTAL(109,AHB_CAI_LF_LEGACY[TO-DAY])</f>
        <v>0</v>
      </c>
      <c r="N4" s="282">
        <f>SUBTOTAL(109,AHB_CAI_LF_LEGACY[Y-DAY])</f>
        <v>19</v>
      </c>
      <c r="O4" s="282">
        <f>SUBTOTAL(109,AHB_CAI_LF_LEGACY[WEEKLY])</f>
        <v>64</v>
      </c>
      <c r="P4" s="283"/>
      <c r="Q4" s="279">
        <f>SUBTOTAL(109,AHB_CAI_LF_LEGACY[Y])</f>
        <v>0</v>
      </c>
      <c r="R4" s="279">
        <f>SUBTOTAL(109,AHB_CAI_LF_LEGACY[B])</f>
        <v>0</v>
      </c>
      <c r="S4" s="279">
        <f>SUBTOTAL(109,AHB_CAI_LF_LEGACY[M])</f>
        <v>0</v>
      </c>
      <c r="T4" s="279">
        <f>SUBTOTAL(109,AHB_CAI_LF_LEGACY[H])</f>
        <v>0</v>
      </c>
      <c r="U4" s="282">
        <f>SUBTOTAL(109,AHB_CAI_LF_LEGACY[Q])</f>
        <v>0</v>
      </c>
      <c r="V4" s="279">
        <f>SUBTOTAL(109,AHB_CAI_LF_LEGACY[K])</f>
        <v>0</v>
      </c>
      <c r="W4" s="279">
        <f>SUBTOTAL(109,AHB_CAI_LF_LEGACY[V])</f>
        <v>0</v>
      </c>
      <c r="X4" s="282">
        <f>SUBTOTAL(109,AHB_CAI_LF_LEGACY[L])</f>
        <v>0</v>
      </c>
      <c r="Y4" s="282">
        <f>SUBTOTAL(109,AHB_CAI_LF_LEGACY[G])</f>
        <v>0</v>
      </c>
      <c r="Z4" s="282">
        <f>SUBTOTAL(109,AHB_CAI_LF_LEGACY[S])</f>
        <v>0</v>
      </c>
      <c r="AA4" s="282">
        <f>SUBTOTAL(109,AHB_CAI_LF_LEGACY[W])</f>
        <v>0</v>
      </c>
      <c r="AB4" s="282">
        <f>SUBTOTAL(109,AHB_CAI_LF_LEGACY[T])</f>
        <v>0</v>
      </c>
      <c r="AC4" s="282">
        <f>SUBTOTAL(109,AHB_CAI_LF_LEGACY[X])</f>
        <v>0</v>
      </c>
      <c r="AD4" s="282">
        <f>SUBTOTAL(109,AHB_CAI_LF_LEGACY[U])</f>
        <v>0</v>
      </c>
      <c r="AE4" s="282">
        <f>SUBTOTAL(109,AHB_CAI_LF_LEGACY[O])</f>
        <v>0</v>
      </c>
      <c r="AF4" s="279">
        <f>SUBTOTAL(109,AHB_CAI_LF_LEGACY[I])</f>
        <v>0</v>
      </c>
      <c r="AG4" s="279">
        <f>SUBTOTAL(109,AHB_CAI_LF_LEGACY[E])</f>
        <v>0</v>
      </c>
      <c r="AH4" s="279">
        <f>SUBTOTAL(109,AHB_CAI_LF_LEGACY[A])</f>
        <v>0</v>
      </c>
      <c r="AI4" s="279">
        <f>SUBTOTAL(109,AHB_CAI_LF_LEGACY[P])</f>
        <v>0</v>
      </c>
      <c r="AJ4" s="279">
        <f>SUBTOTAL(103,AHB_CAI_LF_LEGACY[N])</f>
        <v>0</v>
      </c>
    </row>
  </sheetData>
  <pageMargins left="0.75" right="0.75" top="1" bottom="1" header="0.5" footer="0.5"/>
  <tableParts count="1">
    <tablePart r:id="rId1"/>
  </tableParts>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I7"/>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193.44140625" bestFit="1" customWidth="1"/>
  </cols>
  <sheetData>
    <row r="1" spans="1:9" ht="18" x14ac:dyDescent="0.3">
      <c r="A1" s="57" t="s">
        <v>156</v>
      </c>
      <c r="B1" s="58" t="s">
        <v>8</v>
      </c>
      <c r="C1" s="58" t="s">
        <v>9</v>
      </c>
      <c r="D1" s="58" t="s">
        <v>157</v>
      </c>
      <c r="E1" s="58" t="s">
        <v>10</v>
      </c>
      <c r="F1" s="58" t="s">
        <v>11</v>
      </c>
      <c r="G1" s="58" t="s">
        <v>12</v>
      </c>
      <c r="H1" s="59" t="s">
        <v>13</v>
      </c>
    </row>
    <row r="2" spans="1:9" ht="19.8" customHeight="1" x14ac:dyDescent="0.3">
      <c r="A2" s="60" t="s">
        <v>158</v>
      </c>
      <c r="B2" s="61" t="s">
        <v>243</v>
      </c>
      <c r="C2" s="62" t="s">
        <v>846</v>
      </c>
      <c r="D2" s="61" t="s">
        <v>845</v>
      </c>
      <c r="E2" s="61" t="s">
        <v>370</v>
      </c>
      <c r="F2" s="61" t="s">
        <v>245</v>
      </c>
      <c r="G2" s="63">
        <v>1</v>
      </c>
      <c r="H2" s="65" t="s">
        <v>847</v>
      </c>
    </row>
    <row r="3" spans="1:9" ht="19.8" customHeight="1" x14ac:dyDescent="0.3">
      <c r="A3" s="71" t="s">
        <v>158</v>
      </c>
      <c r="B3" s="72" t="s">
        <v>93</v>
      </c>
      <c r="C3" s="73" t="s">
        <v>848</v>
      </c>
      <c r="D3" s="72" t="s">
        <v>845</v>
      </c>
      <c r="E3" s="72" t="s">
        <v>860</v>
      </c>
      <c r="F3" s="72" t="s">
        <v>249</v>
      </c>
      <c r="G3" s="205">
        <v>9</v>
      </c>
      <c r="H3" s="74" t="s">
        <v>849</v>
      </c>
    </row>
    <row r="4" spans="1:9" ht="19.8" customHeight="1" x14ac:dyDescent="0.3">
      <c r="A4" s="104">
        <v>45983</v>
      </c>
      <c r="B4" s="67" t="s">
        <v>243</v>
      </c>
      <c r="C4" s="68" t="s">
        <v>852</v>
      </c>
      <c r="D4" s="67" t="s">
        <v>845</v>
      </c>
      <c r="E4" s="105">
        <v>1.197916666666667</v>
      </c>
      <c r="F4" s="67" t="s">
        <v>245</v>
      </c>
      <c r="G4" s="69">
        <v>2</v>
      </c>
      <c r="H4" s="176">
        <v>971</v>
      </c>
    </row>
    <row r="5" spans="1:9" ht="19.8" customHeight="1" x14ac:dyDescent="0.3">
      <c r="A5" s="75">
        <v>45984</v>
      </c>
      <c r="B5" s="61" t="s">
        <v>237</v>
      </c>
      <c r="C5" s="62" t="s">
        <v>854</v>
      </c>
      <c r="D5" s="61" t="s">
        <v>845</v>
      </c>
      <c r="E5" s="76">
        <v>1.9965277777777779</v>
      </c>
      <c r="F5" s="61" t="s">
        <v>319</v>
      </c>
      <c r="G5" s="63">
        <v>9</v>
      </c>
      <c r="H5" s="64">
        <v>837</v>
      </c>
    </row>
    <row r="6" spans="1:9" ht="19.8" customHeight="1" x14ac:dyDescent="0.3">
      <c r="A6" s="168">
        <v>45984</v>
      </c>
      <c r="B6" s="101" t="s">
        <v>93</v>
      </c>
      <c r="C6" s="102" t="s">
        <v>848</v>
      </c>
      <c r="D6" s="101" t="s">
        <v>845</v>
      </c>
      <c r="E6" s="169">
        <v>1.0034722222222221</v>
      </c>
      <c r="F6" s="101" t="s">
        <v>249</v>
      </c>
      <c r="G6" s="166">
        <v>9</v>
      </c>
      <c r="H6" s="103" t="s">
        <v>857</v>
      </c>
      <c r="I6" t="s">
        <v>870</v>
      </c>
    </row>
    <row r="7" spans="1:9" ht="19.8" customHeight="1" x14ac:dyDescent="0.3">
      <c r="A7" s="104">
        <v>45984</v>
      </c>
      <c r="B7" s="67" t="s">
        <v>237</v>
      </c>
      <c r="C7" s="68" t="s">
        <v>854</v>
      </c>
      <c r="D7" s="67" t="s">
        <v>845</v>
      </c>
      <c r="E7" s="105">
        <v>1.9965277777777779</v>
      </c>
      <c r="F7" s="67" t="s">
        <v>44</v>
      </c>
      <c r="G7" s="69">
        <v>9</v>
      </c>
      <c r="H7" s="70" t="s">
        <v>856</v>
      </c>
    </row>
  </sheetData>
  <pageMargins left="0.75" right="0.75" top="1" bottom="1" header="0.5" footer="0.5"/>
  <legacyDrawing r:id="rId1"/>
  <tableParts count="1">
    <tablePart r:id="rId2"/>
  </tableParts>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I4"/>
  <sheetViews>
    <sheetView workbookViewId="0"/>
  </sheetViews>
  <sheetFormatPr defaultRowHeight="14.4" x14ac:dyDescent="0.3"/>
  <cols>
    <col min="1" max="1" width="11.21875" bestFit="1" customWidth="1"/>
    <col min="2" max="2" width="13.77734375" bestFit="1" customWidth="1"/>
    <col min="3" max="3" width="19.21875" bestFit="1" customWidth="1"/>
    <col min="4" max="4" width="12.77734375" bestFit="1" customWidth="1"/>
    <col min="5" max="5" width="18.33203125" bestFit="1" customWidth="1"/>
    <col min="6" max="6" width="29.21875" bestFit="1" customWidth="1"/>
    <col min="7" max="7" width="20" bestFit="1" customWidth="1"/>
    <col min="8" max="8" width="23.6640625" bestFit="1" customWidth="1"/>
    <col min="9" max="9" width="193.44140625" bestFit="1" customWidth="1"/>
  </cols>
  <sheetData>
    <row r="1" spans="1:9" ht="18" x14ac:dyDescent="0.3">
      <c r="A1" s="57" t="s">
        <v>156</v>
      </c>
      <c r="B1" s="58" t="s">
        <v>8</v>
      </c>
      <c r="C1" s="58" t="s">
        <v>9</v>
      </c>
      <c r="D1" s="58" t="s">
        <v>157</v>
      </c>
      <c r="E1" s="58" t="s">
        <v>10</v>
      </c>
      <c r="F1" s="58" t="s">
        <v>11</v>
      </c>
      <c r="G1" s="58" t="s">
        <v>12</v>
      </c>
      <c r="H1" s="59" t="s">
        <v>13</v>
      </c>
    </row>
    <row r="2" spans="1:9" ht="19.8" customHeight="1" x14ac:dyDescent="0.3">
      <c r="A2" s="71" t="s">
        <v>158</v>
      </c>
      <c r="B2" s="72" t="s">
        <v>93</v>
      </c>
      <c r="C2" s="73" t="s">
        <v>848</v>
      </c>
      <c r="D2" s="72" t="s">
        <v>845</v>
      </c>
      <c r="E2" s="72" t="s">
        <v>860</v>
      </c>
      <c r="F2" s="72" t="s">
        <v>249</v>
      </c>
      <c r="G2" s="205">
        <v>9</v>
      </c>
      <c r="H2" s="74" t="s">
        <v>849</v>
      </c>
      <c r="I2" t="s">
        <v>869</v>
      </c>
    </row>
    <row r="3" spans="1:9" ht="19.8" customHeight="1" x14ac:dyDescent="0.3">
      <c r="A3" s="104">
        <v>45983</v>
      </c>
      <c r="B3" s="67" t="s">
        <v>243</v>
      </c>
      <c r="C3" s="68" t="s">
        <v>852</v>
      </c>
      <c r="D3" s="67" t="s">
        <v>845</v>
      </c>
      <c r="E3" s="105">
        <v>1.197916666666667</v>
      </c>
      <c r="F3" s="67" t="s">
        <v>245</v>
      </c>
      <c r="G3" s="69">
        <v>2</v>
      </c>
      <c r="H3" s="176">
        <v>971</v>
      </c>
    </row>
    <row r="4" spans="1:9" ht="19.8" customHeight="1" x14ac:dyDescent="0.3">
      <c r="A4" s="77">
        <v>45984</v>
      </c>
      <c r="B4" s="72" t="s">
        <v>93</v>
      </c>
      <c r="C4" s="73" t="s">
        <v>848</v>
      </c>
      <c r="D4" s="72" t="s">
        <v>845</v>
      </c>
      <c r="E4" s="78">
        <v>1.0034722222222221</v>
      </c>
      <c r="F4" s="72" t="s">
        <v>249</v>
      </c>
      <c r="G4" s="205">
        <v>9</v>
      </c>
      <c r="H4" s="74" t="s">
        <v>857</v>
      </c>
      <c r="I4" t="s">
        <v>870</v>
      </c>
    </row>
  </sheetData>
  <pageMargins left="0.75" right="0.75" top="1" bottom="1" header="0.5" footer="0.5"/>
  <tableParts count="1">
    <tablePart r:id="rId1"/>
  </tableParts>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CN11"/>
  <sheetViews>
    <sheetView workbookViewId="0"/>
  </sheetViews>
  <sheetFormatPr defaultRowHeight="14.4" x14ac:dyDescent="0.3"/>
  <cols>
    <col min="1" max="1" width="10.21875" bestFit="1" customWidth="1"/>
    <col min="2" max="2" width="15.6640625" bestFit="1" customWidth="1"/>
    <col min="3" max="3" width="14.77734375" bestFit="1" customWidth="1"/>
    <col min="4" max="4" width="29.88671875" bestFit="1" customWidth="1"/>
    <col min="5" max="5" width="20.109375" bestFit="1" customWidth="1"/>
    <col min="6" max="6" width="23.44140625" bestFit="1" customWidth="1"/>
    <col min="7" max="7" width="44.5546875" bestFit="1" customWidth="1"/>
    <col min="8" max="8" width="9.44140625" bestFit="1" customWidth="1"/>
    <col min="9" max="9" width="8" bestFit="1" customWidth="1"/>
    <col min="10" max="10" width="7.5546875" bestFit="1" customWidth="1"/>
    <col min="11" max="11" width="23.4414062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35.44140625" bestFit="1" customWidth="1"/>
  </cols>
  <sheetData>
    <row r="1" spans="1:92" ht="28.8" customHeight="1" x14ac:dyDescent="0.3">
      <c r="A1" s="260" t="s">
        <v>0</v>
      </c>
      <c r="B1" s="253"/>
      <c r="C1" s="253"/>
      <c r="D1" s="253"/>
      <c r="E1" s="253"/>
      <c r="F1" s="1" t="s">
        <v>871</v>
      </c>
      <c r="G1" s="2" t="s">
        <v>2</v>
      </c>
      <c r="H1" s="259">
        <v>45982</v>
      </c>
      <c r="I1" s="253"/>
      <c r="J1" s="253"/>
      <c r="K1" s="253"/>
      <c r="L1" s="253"/>
      <c r="M1" s="1" t="s">
        <v>3</v>
      </c>
      <c r="N1" s="266">
        <v>45984</v>
      </c>
      <c r="O1" s="253"/>
      <c r="P1" s="253"/>
      <c r="Q1" s="253"/>
      <c r="R1" s="253"/>
      <c r="CA1" s="3"/>
      <c r="CB1" s="3"/>
      <c r="CC1" s="3"/>
      <c r="CD1" s="3"/>
      <c r="CE1" s="3"/>
      <c r="CF1" s="3"/>
      <c r="CG1" s="3"/>
      <c r="CH1" s="3"/>
      <c r="CI1" s="3"/>
      <c r="CJ1" s="3"/>
      <c r="CK1" s="3"/>
      <c r="CL1" s="3"/>
      <c r="CM1" s="3"/>
      <c r="CN1" s="3"/>
    </row>
    <row r="2" spans="1:92" ht="23.4" customHeight="1" x14ac:dyDescent="0.3">
      <c r="A2" s="252" t="s">
        <v>4</v>
      </c>
      <c r="B2" s="253"/>
      <c r="C2" s="253"/>
      <c r="D2" s="253"/>
      <c r="E2" s="253"/>
      <c r="F2" s="253"/>
      <c r="G2" s="261">
        <v>45981.017879068408</v>
      </c>
      <c r="H2" s="253"/>
      <c r="I2" s="253"/>
      <c r="J2" s="253"/>
      <c r="K2" s="262">
        <v>45981.017879069033</v>
      </c>
      <c r="L2" s="253"/>
      <c r="M2" s="253"/>
      <c r="N2" s="253"/>
      <c r="O2" s="253"/>
      <c r="P2" s="253"/>
      <c r="Q2" s="253"/>
      <c r="R2" s="253"/>
      <c r="CA2" s="3"/>
      <c r="CB2" s="3"/>
      <c r="CC2" s="3"/>
      <c r="CD2" s="3"/>
      <c r="CE2" s="3"/>
      <c r="CF2" s="3"/>
      <c r="CG2" s="3"/>
      <c r="CH2" s="3"/>
      <c r="CI2" s="3"/>
      <c r="CJ2" s="3"/>
      <c r="CK2" s="3"/>
      <c r="CL2" s="3"/>
      <c r="CM2" s="3"/>
      <c r="CN2" s="3"/>
    </row>
    <row r="3" spans="1:92" ht="24" customHeight="1" x14ac:dyDescent="0.3">
      <c r="A3" s="254" t="s">
        <v>5</v>
      </c>
      <c r="B3" s="253"/>
      <c r="C3" s="253"/>
      <c r="D3" s="253"/>
      <c r="E3" s="253"/>
      <c r="F3" s="253"/>
      <c r="G3" s="253"/>
      <c r="H3" s="253"/>
      <c r="I3" s="253"/>
      <c r="J3" s="253"/>
      <c r="K3" s="253"/>
      <c r="L3" s="253"/>
      <c r="M3" s="253"/>
      <c r="N3" s="253"/>
      <c r="O3" s="253"/>
      <c r="P3" s="253"/>
      <c r="Q3" s="253"/>
      <c r="R3" s="253"/>
      <c r="CA3" s="3"/>
      <c r="CB3" s="3"/>
      <c r="CC3" s="3"/>
      <c r="CD3" s="3"/>
      <c r="CE3" s="3"/>
      <c r="CF3" s="3"/>
      <c r="CG3" s="3"/>
      <c r="CH3" s="3"/>
      <c r="CI3" s="3"/>
      <c r="CJ3" s="3"/>
      <c r="CK3" s="3"/>
      <c r="CL3" s="3"/>
      <c r="CM3" s="3"/>
      <c r="CN3" s="3"/>
    </row>
    <row r="4" spans="1:92" ht="22.05" customHeight="1" x14ac:dyDescent="0.3">
      <c r="A4" s="263" t="s">
        <v>6</v>
      </c>
      <c r="B4" s="250"/>
      <c r="C4" s="250"/>
      <c r="D4" s="250"/>
      <c r="E4" s="250"/>
      <c r="F4" s="251"/>
      <c r="G4" s="4">
        <v>45982</v>
      </c>
      <c r="H4" s="264" t="s">
        <v>7</v>
      </c>
      <c r="I4" s="250"/>
      <c r="J4" s="250"/>
      <c r="K4" s="250"/>
      <c r="L4" s="250"/>
      <c r="M4" s="250"/>
      <c r="N4" s="250"/>
      <c r="O4" s="250"/>
      <c r="P4" s="250"/>
      <c r="Q4" s="250"/>
      <c r="R4" s="251"/>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x14ac:dyDescent="0.3">
      <c r="A6" s="86" t="s">
        <v>93</v>
      </c>
      <c r="B6" s="86" t="s">
        <v>872</v>
      </c>
      <c r="C6" s="87">
        <v>0.76041666666666663</v>
      </c>
      <c r="D6" s="86" t="s">
        <v>249</v>
      </c>
      <c r="E6" s="86" t="s">
        <v>100</v>
      </c>
      <c r="F6" s="86" t="s">
        <v>873</v>
      </c>
      <c r="G6" s="255"/>
      <c r="H6" s="89" t="s">
        <v>874</v>
      </c>
      <c r="I6" s="207">
        <v>0.36309999999999998</v>
      </c>
      <c r="J6" s="91">
        <v>61</v>
      </c>
      <c r="K6" s="92" t="s">
        <v>180</v>
      </c>
      <c r="L6" s="91">
        <v>20</v>
      </c>
      <c r="M6" s="91">
        <v>0</v>
      </c>
      <c r="N6" s="91">
        <v>3</v>
      </c>
      <c r="O6" s="93" t="s">
        <v>147</v>
      </c>
      <c r="P6" s="94">
        <v>0.76041666666666663</v>
      </c>
      <c r="Q6" s="91">
        <v>168</v>
      </c>
      <c r="R6" s="95" t="s">
        <v>875</v>
      </c>
    </row>
    <row r="7" spans="1:92" ht="18" x14ac:dyDescent="0.3">
      <c r="A7" s="267" t="s">
        <v>876</v>
      </c>
      <c r="B7" s="268"/>
      <c r="C7" s="268"/>
      <c r="D7" s="268"/>
      <c r="E7" s="268"/>
      <c r="F7" s="269"/>
      <c r="G7" s="256"/>
      <c r="H7" s="79"/>
      <c r="I7" s="79"/>
      <c r="J7" s="79"/>
      <c r="K7" s="79"/>
      <c r="L7" s="79"/>
      <c r="M7" s="79"/>
      <c r="N7" s="79"/>
      <c r="O7" s="80"/>
      <c r="P7" s="79"/>
      <c r="Q7" s="56"/>
      <c r="R7" s="56"/>
    </row>
    <row r="8" spans="1:92" ht="49.95" customHeight="1" x14ac:dyDescent="0.3">
      <c r="A8" s="19" t="s">
        <v>243</v>
      </c>
      <c r="B8" s="19" t="s">
        <v>846</v>
      </c>
      <c r="C8" s="20" t="s">
        <v>370</v>
      </c>
      <c r="D8" s="19" t="s">
        <v>245</v>
      </c>
      <c r="E8" s="19" t="s">
        <v>183</v>
      </c>
      <c r="F8" s="19" t="s">
        <v>847</v>
      </c>
      <c r="G8" s="256"/>
      <c r="H8" s="79"/>
      <c r="I8" s="79"/>
      <c r="J8" s="79"/>
      <c r="K8" s="79"/>
      <c r="L8" s="79"/>
      <c r="M8" s="79"/>
      <c r="N8" s="79"/>
      <c r="O8" s="80"/>
      <c r="P8" s="79"/>
      <c r="Q8" s="56"/>
      <c r="R8" s="56"/>
    </row>
    <row r="9" spans="1:92" ht="49.95" customHeight="1" thickBot="1" x14ac:dyDescent="0.35">
      <c r="A9" s="81" t="s">
        <v>93</v>
      </c>
      <c r="B9" s="81" t="s">
        <v>848</v>
      </c>
      <c r="C9" s="82" t="s">
        <v>860</v>
      </c>
      <c r="D9" s="81" t="s">
        <v>249</v>
      </c>
      <c r="E9" s="81" t="s">
        <v>176</v>
      </c>
      <c r="F9" s="81" t="s">
        <v>849</v>
      </c>
      <c r="G9" s="257"/>
      <c r="H9" s="83"/>
      <c r="I9" s="83"/>
      <c r="J9" s="83"/>
      <c r="K9" s="83"/>
      <c r="L9" s="83"/>
      <c r="M9" s="83"/>
      <c r="N9" s="83"/>
      <c r="O9" s="84"/>
      <c r="P9" s="83"/>
      <c r="Q9" s="85"/>
      <c r="R9" s="85"/>
    </row>
    <row r="10" spans="1:92" ht="17.399999999999999" customHeight="1" thickBot="1" x14ac:dyDescent="0.35">
      <c r="A10" s="284"/>
      <c r="B10" s="285"/>
      <c r="C10" s="285"/>
      <c r="D10" s="285"/>
      <c r="E10" s="285"/>
      <c r="F10" s="285"/>
      <c r="G10" s="285"/>
      <c r="H10" s="285"/>
      <c r="I10" s="285"/>
      <c r="J10" s="285"/>
      <c r="K10" s="285"/>
      <c r="L10" s="285"/>
      <c r="M10" s="285"/>
      <c r="N10" s="285"/>
      <c r="O10" s="285"/>
      <c r="P10" s="285"/>
      <c r="Q10" s="285"/>
      <c r="R10" s="286"/>
    </row>
    <row r="11" spans="1:92" ht="15" thickTop="1" x14ac:dyDescent="0.3"/>
  </sheetData>
  <mergeCells count="12">
    <mergeCell ref="A2:F2"/>
    <mergeCell ref="A3:R3"/>
    <mergeCell ref="A10:R10"/>
    <mergeCell ref="H1:L1"/>
    <mergeCell ref="A1:E1"/>
    <mergeCell ref="G2:J2"/>
    <mergeCell ref="K2:R2"/>
    <mergeCell ref="A4:F4"/>
    <mergeCell ref="G6:G9"/>
    <mergeCell ref="H4:R4"/>
    <mergeCell ref="A7:F7"/>
    <mergeCell ref="N1:R1"/>
  </mergeCells>
  <pageMargins left="0.75" right="0.75" top="1" bottom="1" header="0.5" footer="0.5"/>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AJ3"/>
  <sheetViews>
    <sheetView workbookViewId="0"/>
  </sheetViews>
  <sheetFormatPr defaultRowHeight="15.6" outlineLevelCol="1" x14ac:dyDescent="0.3"/>
  <cols>
    <col min="1" max="1" width="10.21875" style="271" bestFit="1" customWidth="1"/>
    <col min="2" max="2" width="11.109375" style="271" bestFit="1" customWidth="1"/>
    <col min="3" max="3" width="7.88671875" style="271" bestFit="1" customWidth="1"/>
    <col min="4" max="4" width="6.77734375" style="271" bestFit="1" customWidth="1"/>
    <col min="5" max="5" width="9.88671875" style="271" bestFit="1" customWidth="1"/>
    <col min="6" max="6" width="5.21875" style="271" bestFit="1" customWidth="1"/>
    <col min="7" max="7" width="10" style="271" bestFit="1" customWidth="1"/>
    <col min="8" max="8" width="7" style="271" bestFit="1" customWidth="1"/>
    <col min="9" max="10" width="8" style="271" bestFit="1" customWidth="1"/>
    <col min="11" max="11" width="12.21875" style="271" bestFit="1" customWidth="1"/>
    <col min="12" max="12" width="21.21875" style="271" bestFit="1" customWidth="1"/>
    <col min="13" max="13" width="8.77734375" style="271" bestFit="1" customWidth="1" outlineLevel="1"/>
    <col min="14" max="14" width="7.33203125" style="271" bestFit="1" customWidth="1" outlineLevel="1"/>
    <col min="15" max="15" width="9.109375" style="271" bestFit="1" customWidth="1" outlineLevel="1"/>
    <col min="16" max="16" width="15.33203125" style="271" bestFit="1" customWidth="1"/>
    <col min="17" max="21" width="3.88671875" style="271" bestFit="1" customWidth="1"/>
    <col min="22" max="22" width="4" style="271" bestFit="1" customWidth="1"/>
    <col min="23" max="23" width="4.109375" style="271" bestFit="1" customWidth="1"/>
    <col min="24" max="24" width="3.88671875" style="271" bestFit="1" customWidth="1"/>
    <col min="25" max="25" width="4.21875" style="271" bestFit="1" customWidth="1"/>
    <col min="26" max="26" width="4.88671875" style="271" bestFit="1" customWidth="1"/>
    <col min="27" max="27" width="5.88671875" style="271" bestFit="1" customWidth="1"/>
    <col min="28" max="36" width="3.88671875" style="271" bestFit="1" customWidth="1"/>
    <col min="37" max="16384" width="8.88671875" style="271"/>
  </cols>
  <sheetData>
    <row r="1" spans="1:36" x14ac:dyDescent="0.3">
      <c r="A1" s="270" t="s">
        <v>104</v>
      </c>
      <c r="B1" s="270" t="s">
        <v>105</v>
      </c>
      <c r="C1" s="270" t="s">
        <v>106</v>
      </c>
      <c r="D1" s="270" t="s">
        <v>23</v>
      </c>
      <c r="E1" s="270" t="s">
        <v>107</v>
      </c>
      <c r="F1" s="270" t="s">
        <v>108</v>
      </c>
      <c r="G1" s="270" t="s">
        <v>16</v>
      </c>
      <c r="H1" s="270" t="s">
        <v>109</v>
      </c>
      <c r="I1" s="270" t="s">
        <v>110</v>
      </c>
      <c r="J1" s="270" t="s">
        <v>111</v>
      </c>
      <c r="K1" s="270" t="s">
        <v>112</v>
      </c>
      <c r="L1" s="270" t="s">
        <v>18</v>
      </c>
      <c r="M1" s="270" t="s">
        <v>20</v>
      </c>
      <c r="N1" s="270" t="s">
        <v>21</v>
      </c>
      <c r="O1" s="270" t="s">
        <v>19</v>
      </c>
      <c r="P1" s="270" t="s">
        <v>22</v>
      </c>
      <c r="Q1" s="270" t="s">
        <v>113</v>
      </c>
      <c r="R1" s="270" t="s">
        <v>114</v>
      </c>
      <c r="S1" s="270" t="s">
        <v>115</v>
      </c>
      <c r="T1" s="270" t="s">
        <v>116</v>
      </c>
      <c r="U1" s="270" t="s">
        <v>117</v>
      </c>
      <c r="V1" s="270" t="s">
        <v>118</v>
      </c>
      <c r="W1" s="270" t="s">
        <v>119</v>
      </c>
      <c r="X1" s="270" t="s">
        <v>120</v>
      </c>
      <c r="Y1" s="270" t="s">
        <v>121</v>
      </c>
      <c r="Z1" s="270" t="s">
        <v>122</v>
      </c>
      <c r="AA1" s="270" t="s">
        <v>123</v>
      </c>
      <c r="AB1" s="270" t="s">
        <v>124</v>
      </c>
      <c r="AC1" s="270" t="s">
        <v>125</v>
      </c>
      <c r="AD1" s="270" t="s">
        <v>126</v>
      </c>
      <c r="AE1" s="270" t="s">
        <v>127</v>
      </c>
      <c r="AF1" s="270" t="s">
        <v>128</v>
      </c>
      <c r="AG1" s="270" t="s">
        <v>129</v>
      </c>
      <c r="AH1" s="270" t="s">
        <v>130</v>
      </c>
      <c r="AI1" s="270" t="s">
        <v>131</v>
      </c>
      <c r="AJ1" s="270" t="s">
        <v>132</v>
      </c>
    </row>
    <row r="2" spans="1:36" x14ac:dyDescent="0.3">
      <c r="A2" s="272" t="s">
        <v>369</v>
      </c>
      <c r="B2" s="273">
        <v>45982</v>
      </c>
      <c r="C2" s="274" t="s">
        <v>874</v>
      </c>
      <c r="D2" s="275" t="s">
        <v>689</v>
      </c>
      <c r="E2" s="274" t="s">
        <v>871</v>
      </c>
      <c r="F2" s="274" t="s">
        <v>135</v>
      </c>
      <c r="G2" s="276">
        <v>0.36309999999999998</v>
      </c>
      <c r="H2" s="277">
        <v>168</v>
      </c>
      <c r="I2" s="277">
        <v>61</v>
      </c>
      <c r="J2" s="277">
        <v>0</v>
      </c>
      <c r="K2" s="274" t="s">
        <v>136</v>
      </c>
      <c r="L2" s="278" t="s">
        <v>180</v>
      </c>
      <c r="M2" s="277">
        <v>0</v>
      </c>
      <c r="N2" s="277">
        <v>3</v>
      </c>
      <c r="O2" s="277">
        <v>20</v>
      </c>
      <c r="P2" s="274" t="s">
        <v>147</v>
      </c>
      <c r="Q2" s="270"/>
      <c r="R2" s="270"/>
      <c r="S2" s="270"/>
      <c r="T2" s="270"/>
      <c r="U2" s="270"/>
      <c r="V2" s="277" t="s">
        <v>327</v>
      </c>
      <c r="W2" s="277" t="s">
        <v>271</v>
      </c>
      <c r="X2" s="277" t="s">
        <v>877</v>
      </c>
      <c r="Y2" s="277" t="s">
        <v>878</v>
      </c>
      <c r="Z2" s="277" t="s">
        <v>879</v>
      </c>
      <c r="AA2" s="277" t="s">
        <v>880</v>
      </c>
      <c r="AB2" s="270"/>
      <c r="AC2" s="270"/>
      <c r="AD2" s="270"/>
      <c r="AE2" s="270"/>
      <c r="AF2" s="270"/>
      <c r="AG2" s="270"/>
      <c r="AH2" s="270"/>
      <c r="AI2" s="270"/>
      <c r="AJ2" s="270"/>
    </row>
    <row r="3" spans="1:36" ht="21" x14ac:dyDescent="0.3">
      <c r="A3" s="279" t="s">
        <v>946</v>
      </c>
      <c r="B3" s="280"/>
      <c r="C3" s="279">
        <f>SUBTOTAL(103,AHB_ATZ_LF_LEGACY[Flt])</f>
        <v>1</v>
      </c>
      <c r="D3" s="279"/>
      <c r="E3" s="279">
        <f>SUBTOTAL(103,AHB_ATZ_LF_LEGACY[Brd-Off])</f>
        <v>1</v>
      </c>
      <c r="F3" s="279"/>
      <c r="G3" s="281">
        <f>SUBTOTAL(101,AHB_ATZ_LF_LEGACY[LF%])</f>
        <v>0.36309999999999998</v>
      </c>
      <c r="H3" s="282">
        <f>SUBTOTAL(109,AHB_ATZ_LF_LEGACY[CAP])</f>
        <v>168</v>
      </c>
      <c r="I3" s="282">
        <f>SUBTOTAL(109,AHB_ATZ_LF_LEGACY[BKG(Y)])</f>
        <v>61</v>
      </c>
      <c r="J3" s="282">
        <f>SUBTOTAL(109,AHB_ATZ_LF_LEGACY[GRP(Y)])</f>
        <v>0</v>
      </c>
      <c r="K3" s="279"/>
      <c r="L3" s="280"/>
      <c r="M3" s="282">
        <f>SUBTOTAL(109,AHB_ATZ_LF_LEGACY[TO-DAY])</f>
        <v>0</v>
      </c>
      <c r="N3" s="282">
        <f>SUBTOTAL(109,AHB_ATZ_LF_LEGACY[Y-DAY])</f>
        <v>3</v>
      </c>
      <c r="O3" s="282">
        <f>SUBTOTAL(109,AHB_ATZ_LF_LEGACY[WEEKLY])</f>
        <v>20</v>
      </c>
      <c r="P3" s="283"/>
      <c r="Q3" s="279">
        <f>SUBTOTAL(109,AHB_ATZ_LF_LEGACY[Y])</f>
        <v>0</v>
      </c>
      <c r="R3" s="279">
        <f>SUBTOTAL(109,AHB_ATZ_LF_LEGACY[B])</f>
        <v>0</v>
      </c>
      <c r="S3" s="279">
        <f>SUBTOTAL(109,AHB_ATZ_LF_LEGACY[M])</f>
        <v>0</v>
      </c>
      <c r="T3" s="279">
        <f>SUBTOTAL(109,AHB_ATZ_LF_LEGACY[H])</f>
        <v>0</v>
      </c>
      <c r="U3" s="279">
        <f>SUBTOTAL(109,AHB_ATZ_LF_LEGACY[Q])</f>
        <v>0</v>
      </c>
      <c r="V3" s="282">
        <f>SUBTOTAL(109,AHB_ATZ_LF_LEGACY[K])</f>
        <v>0</v>
      </c>
      <c r="W3" s="282">
        <f>SUBTOTAL(109,AHB_ATZ_LF_LEGACY[V])</f>
        <v>0</v>
      </c>
      <c r="X3" s="282">
        <f>SUBTOTAL(109,AHB_ATZ_LF_LEGACY[L])</f>
        <v>0</v>
      </c>
      <c r="Y3" s="282">
        <f>SUBTOTAL(109,AHB_ATZ_LF_LEGACY[G])</f>
        <v>0</v>
      </c>
      <c r="Z3" s="282">
        <f>SUBTOTAL(109,AHB_ATZ_LF_LEGACY[S])</f>
        <v>0</v>
      </c>
      <c r="AA3" s="282">
        <f>SUBTOTAL(109,AHB_ATZ_LF_LEGACY[W])</f>
        <v>0</v>
      </c>
      <c r="AB3" s="279">
        <f>SUBTOTAL(109,AHB_ATZ_LF_LEGACY[T])</f>
        <v>0</v>
      </c>
      <c r="AC3" s="279">
        <f>SUBTOTAL(109,AHB_ATZ_LF_LEGACY[X])</f>
        <v>0</v>
      </c>
      <c r="AD3" s="279">
        <f>SUBTOTAL(109,AHB_ATZ_LF_LEGACY[U])</f>
        <v>0</v>
      </c>
      <c r="AE3" s="279">
        <f>SUBTOTAL(109,AHB_ATZ_LF_LEGACY[O])</f>
        <v>0</v>
      </c>
      <c r="AF3" s="279">
        <f>SUBTOTAL(109,AHB_ATZ_LF_LEGACY[I])</f>
        <v>0</v>
      </c>
      <c r="AG3" s="279">
        <f>SUBTOTAL(109,AHB_ATZ_LF_LEGACY[E])</f>
        <v>0</v>
      </c>
      <c r="AH3" s="279">
        <f>SUBTOTAL(109,AHB_ATZ_LF_LEGACY[A])</f>
        <v>0</v>
      </c>
      <c r="AI3" s="279">
        <f>SUBTOTAL(109,AHB_ATZ_LF_LEGACY[P])</f>
        <v>0</v>
      </c>
      <c r="AJ3" s="279">
        <f>SUBTOTAL(103,AHB_ATZ_LF_LEGACY[N])</f>
        <v>0</v>
      </c>
    </row>
  </sheetData>
  <pageMargins left="0.75" right="0.75" top="1" bottom="1" header="0.5" footer="0.5"/>
  <tableParts count="1">
    <tablePart r:id="rId1"/>
  </tableParts>
</worksheet>
</file>

<file path=xl/worksheets/sheet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H11"/>
  <sheetViews>
    <sheetView workbookViewId="0"/>
  </sheetViews>
  <sheetFormatPr defaultRowHeight="14.4" x14ac:dyDescent="0.3"/>
  <cols>
    <col min="1" max="1" width="11.2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0" hidden="1" customWidth="1"/>
  </cols>
  <sheetData>
    <row r="1" spans="1:8" ht="18" x14ac:dyDescent="0.3">
      <c r="A1" s="57" t="s">
        <v>156</v>
      </c>
      <c r="B1" s="58" t="s">
        <v>8</v>
      </c>
      <c r="C1" s="58" t="s">
        <v>9</v>
      </c>
      <c r="D1" s="58" t="s">
        <v>157</v>
      </c>
      <c r="E1" s="58" t="s">
        <v>10</v>
      </c>
      <c r="F1" s="58" t="s">
        <v>11</v>
      </c>
      <c r="G1" s="58" t="s">
        <v>12</v>
      </c>
      <c r="H1" s="59" t="s">
        <v>13</v>
      </c>
    </row>
    <row r="2" spans="1:8" ht="19.8" customHeight="1" x14ac:dyDescent="0.3">
      <c r="A2" s="100" t="s">
        <v>158</v>
      </c>
      <c r="B2" s="101" t="s">
        <v>93</v>
      </c>
      <c r="C2" s="102" t="s">
        <v>872</v>
      </c>
      <c r="D2" s="101" t="s">
        <v>871</v>
      </c>
      <c r="E2" s="101" t="s">
        <v>689</v>
      </c>
      <c r="F2" s="101" t="s">
        <v>249</v>
      </c>
      <c r="G2" s="166">
        <v>6</v>
      </c>
      <c r="H2" s="103" t="s">
        <v>873</v>
      </c>
    </row>
    <row r="3" spans="1:8" ht="19.8" customHeight="1" x14ac:dyDescent="0.3">
      <c r="A3" s="96"/>
      <c r="B3" s="97"/>
      <c r="C3" s="97"/>
      <c r="D3" s="97"/>
      <c r="E3" s="97"/>
      <c r="F3" s="98" t="s">
        <v>881</v>
      </c>
      <c r="G3" s="97"/>
      <c r="H3" s="99"/>
    </row>
    <row r="4" spans="1:8" ht="19.8" customHeight="1" x14ac:dyDescent="0.3">
      <c r="A4" s="75">
        <v>45982</v>
      </c>
      <c r="B4" s="61" t="s">
        <v>243</v>
      </c>
      <c r="C4" s="62" t="s">
        <v>846</v>
      </c>
      <c r="D4" s="61" t="s">
        <v>845</v>
      </c>
      <c r="E4" s="76">
        <v>1.114583333333333</v>
      </c>
      <c r="F4" s="61" t="s">
        <v>245</v>
      </c>
      <c r="G4" s="63">
        <v>1</v>
      </c>
      <c r="H4" s="65" t="s">
        <v>847</v>
      </c>
    </row>
    <row r="5" spans="1:8" ht="19.8" customHeight="1" x14ac:dyDescent="0.3">
      <c r="A5" s="104">
        <v>45982</v>
      </c>
      <c r="B5" s="67" t="s">
        <v>93</v>
      </c>
      <c r="C5" s="68" t="s">
        <v>848</v>
      </c>
      <c r="D5" s="67" t="s">
        <v>845</v>
      </c>
      <c r="E5" s="105">
        <v>1.0034722222222221</v>
      </c>
      <c r="F5" s="67" t="s">
        <v>249</v>
      </c>
      <c r="G5" s="69">
        <v>9</v>
      </c>
      <c r="H5" s="70" t="s">
        <v>849</v>
      </c>
    </row>
    <row r="6" spans="1:8" ht="19.8" customHeight="1" x14ac:dyDescent="0.3">
      <c r="A6" s="96"/>
      <c r="B6" s="97"/>
      <c r="C6" s="97"/>
      <c r="D6" s="97"/>
      <c r="E6" s="97"/>
      <c r="F6" s="98" t="s">
        <v>881</v>
      </c>
      <c r="G6" s="97"/>
      <c r="H6" s="99"/>
    </row>
    <row r="7" spans="1:8" ht="19.8" customHeight="1" x14ac:dyDescent="0.3">
      <c r="A7" s="104">
        <v>45983</v>
      </c>
      <c r="B7" s="67" t="s">
        <v>243</v>
      </c>
      <c r="C7" s="68" t="s">
        <v>852</v>
      </c>
      <c r="D7" s="67" t="s">
        <v>845</v>
      </c>
      <c r="E7" s="105">
        <v>1.197916666666667</v>
      </c>
      <c r="F7" s="67" t="s">
        <v>245</v>
      </c>
      <c r="G7" s="69">
        <v>2</v>
      </c>
      <c r="H7" s="176">
        <v>971</v>
      </c>
    </row>
    <row r="8" spans="1:8" ht="19.8" customHeight="1" x14ac:dyDescent="0.3">
      <c r="A8" s="96"/>
      <c r="B8" s="97"/>
      <c r="C8" s="97"/>
      <c r="D8" s="97"/>
      <c r="E8" s="97"/>
      <c r="F8" s="98" t="s">
        <v>881</v>
      </c>
      <c r="G8" s="97"/>
      <c r="H8" s="99"/>
    </row>
    <row r="9" spans="1:8" ht="19.8" customHeight="1" x14ac:dyDescent="0.3">
      <c r="A9" s="75">
        <v>45984</v>
      </c>
      <c r="B9" s="61" t="s">
        <v>237</v>
      </c>
      <c r="C9" s="62" t="s">
        <v>854</v>
      </c>
      <c r="D9" s="61" t="s">
        <v>845</v>
      </c>
      <c r="E9" s="76">
        <v>1.9965277777777779</v>
      </c>
      <c r="F9" s="61" t="s">
        <v>319</v>
      </c>
      <c r="G9" s="63">
        <v>9</v>
      </c>
      <c r="H9" s="64">
        <v>837</v>
      </c>
    </row>
    <row r="10" spans="1:8" ht="19.8" customHeight="1" x14ac:dyDescent="0.3">
      <c r="A10" s="75">
        <v>45984</v>
      </c>
      <c r="B10" s="61" t="s">
        <v>93</v>
      </c>
      <c r="C10" s="62" t="s">
        <v>848</v>
      </c>
      <c r="D10" s="61" t="s">
        <v>845</v>
      </c>
      <c r="E10" s="76">
        <v>1.0034722222222221</v>
      </c>
      <c r="F10" s="61" t="s">
        <v>249</v>
      </c>
      <c r="G10" s="63">
        <v>9</v>
      </c>
      <c r="H10" s="65" t="s">
        <v>857</v>
      </c>
    </row>
    <row r="11" spans="1:8" ht="19.8" customHeight="1" x14ac:dyDescent="0.3">
      <c r="A11" s="104">
        <v>45984</v>
      </c>
      <c r="B11" s="67" t="s">
        <v>237</v>
      </c>
      <c r="C11" s="68" t="s">
        <v>854</v>
      </c>
      <c r="D11" s="67" t="s">
        <v>845</v>
      </c>
      <c r="E11" s="105">
        <v>1.9965277777777779</v>
      </c>
      <c r="F11" s="67" t="s">
        <v>44</v>
      </c>
      <c r="G11" s="69">
        <v>9</v>
      </c>
      <c r="H11" s="70" t="s">
        <v>856</v>
      </c>
    </row>
  </sheetData>
  <pageMargins left="0.75" right="0.75" top="1" bottom="1" header="0.5" footer="0.5"/>
  <legacyDrawing r:id="rId1"/>
  <tableParts count="1">
    <tablePart r:id="rId2"/>
  </tableParts>
</worksheet>
</file>

<file path=xl/worksheets/sheet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H11"/>
  <sheetViews>
    <sheetView workbookViewId="0"/>
  </sheetViews>
  <sheetFormatPr defaultRowHeight="14.4" x14ac:dyDescent="0.3"/>
  <cols>
    <col min="1" max="1" width="11.2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0" hidden="1" customWidth="1"/>
  </cols>
  <sheetData>
    <row r="1" spans="1:8" ht="18" x14ac:dyDescent="0.3">
      <c r="A1" s="57" t="s">
        <v>156</v>
      </c>
      <c r="B1" s="58" t="s">
        <v>8</v>
      </c>
      <c r="C1" s="58" t="s">
        <v>9</v>
      </c>
      <c r="D1" s="58" t="s">
        <v>157</v>
      </c>
      <c r="E1" s="58" t="s">
        <v>10</v>
      </c>
      <c r="F1" s="58" t="s">
        <v>11</v>
      </c>
      <c r="G1" s="58" t="s">
        <v>12</v>
      </c>
      <c r="H1" s="59" t="s">
        <v>13</v>
      </c>
    </row>
    <row r="2" spans="1:8" ht="19.8" customHeight="1" x14ac:dyDescent="0.3">
      <c r="A2" s="100" t="s">
        <v>158</v>
      </c>
      <c r="B2" s="101" t="s">
        <v>93</v>
      </c>
      <c r="C2" s="102" t="s">
        <v>872</v>
      </c>
      <c r="D2" s="101" t="s">
        <v>871</v>
      </c>
      <c r="E2" s="101" t="s">
        <v>689</v>
      </c>
      <c r="F2" s="101" t="s">
        <v>249</v>
      </c>
      <c r="G2" s="166">
        <v>6</v>
      </c>
      <c r="H2" s="103" t="s">
        <v>873</v>
      </c>
    </row>
    <row r="3" spans="1:8" ht="19.8" customHeight="1" x14ac:dyDescent="0.3">
      <c r="A3" s="96"/>
      <c r="B3" s="97"/>
      <c r="C3" s="97"/>
      <c r="D3" s="97"/>
      <c r="E3" s="97"/>
      <c r="F3" s="98" t="s">
        <v>881</v>
      </c>
      <c r="G3" s="97"/>
      <c r="H3" s="99"/>
    </row>
    <row r="4" spans="1:8" ht="19.8" customHeight="1" x14ac:dyDescent="0.3">
      <c r="A4" s="75">
        <v>45982</v>
      </c>
      <c r="B4" s="61" t="s">
        <v>243</v>
      </c>
      <c r="C4" s="62" t="s">
        <v>846</v>
      </c>
      <c r="D4" s="61" t="s">
        <v>845</v>
      </c>
      <c r="E4" s="76">
        <v>1.114583333333333</v>
      </c>
      <c r="F4" s="61" t="s">
        <v>245</v>
      </c>
      <c r="G4" s="63">
        <v>1</v>
      </c>
      <c r="H4" s="65" t="s">
        <v>847</v>
      </c>
    </row>
    <row r="5" spans="1:8" ht="19.8" customHeight="1" x14ac:dyDescent="0.3">
      <c r="A5" s="104">
        <v>45982</v>
      </c>
      <c r="B5" s="67" t="s">
        <v>93</v>
      </c>
      <c r="C5" s="68" t="s">
        <v>848</v>
      </c>
      <c r="D5" s="67" t="s">
        <v>845</v>
      </c>
      <c r="E5" s="105">
        <v>1.0034722222222221</v>
      </c>
      <c r="F5" s="67" t="s">
        <v>249</v>
      </c>
      <c r="G5" s="69">
        <v>9</v>
      </c>
      <c r="H5" s="70" t="s">
        <v>849</v>
      </c>
    </row>
    <row r="6" spans="1:8" ht="19.8" customHeight="1" x14ac:dyDescent="0.3">
      <c r="A6" s="96"/>
      <c r="B6" s="97"/>
      <c r="C6" s="97"/>
      <c r="D6" s="97"/>
      <c r="E6" s="97"/>
      <c r="F6" s="98" t="s">
        <v>881</v>
      </c>
      <c r="G6" s="97"/>
      <c r="H6" s="99"/>
    </row>
    <row r="7" spans="1:8" ht="19.8" customHeight="1" x14ac:dyDescent="0.3">
      <c r="A7" s="104">
        <v>45983</v>
      </c>
      <c r="B7" s="67" t="s">
        <v>243</v>
      </c>
      <c r="C7" s="68" t="s">
        <v>852</v>
      </c>
      <c r="D7" s="67" t="s">
        <v>845</v>
      </c>
      <c r="E7" s="105">
        <v>1.197916666666667</v>
      </c>
      <c r="F7" s="67" t="s">
        <v>245</v>
      </c>
      <c r="G7" s="69">
        <v>2</v>
      </c>
      <c r="H7" s="176">
        <v>971</v>
      </c>
    </row>
    <row r="8" spans="1:8" ht="19.8" customHeight="1" x14ac:dyDescent="0.3">
      <c r="A8" s="96"/>
      <c r="B8" s="97"/>
      <c r="C8" s="97"/>
      <c r="D8" s="97"/>
      <c r="E8" s="97"/>
      <c r="F8" s="98" t="s">
        <v>881</v>
      </c>
      <c r="G8" s="97"/>
      <c r="H8" s="99"/>
    </row>
    <row r="9" spans="1:8" ht="19.8" customHeight="1" x14ac:dyDescent="0.3">
      <c r="A9" s="75">
        <v>45984</v>
      </c>
      <c r="B9" s="61" t="s">
        <v>237</v>
      </c>
      <c r="C9" s="62" t="s">
        <v>854</v>
      </c>
      <c r="D9" s="61" t="s">
        <v>845</v>
      </c>
      <c r="E9" s="76">
        <v>1.9965277777777779</v>
      </c>
      <c r="F9" s="61" t="s">
        <v>319</v>
      </c>
      <c r="G9" s="63">
        <v>9</v>
      </c>
      <c r="H9" s="64">
        <v>837</v>
      </c>
    </row>
    <row r="10" spans="1:8" ht="19.8" customHeight="1" x14ac:dyDescent="0.3">
      <c r="A10" s="75">
        <v>45984</v>
      </c>
      <c r="B10" s="61" t="s">
        <v>93</v>
      </c>
      <c r="C10" s="62" t="s">
        <v>848</v>
      </c>
      <c r="D10" s="61" t="s">
        <v>845</v>
      </c>
      <c r="E10" s="76">
        <v>1.0034722222222221</v>
      </c>
      <c r="F10" s="61" t="s">
        <v>249</v>
      </c>
      <c r="G10" s="63">
        <v>9</v>
      </c>
      <c r="H10" s="65" t="s">
        <v>857</v>
      </c>
    </row>
    <row r="11" spans="1:8" ht="19.8" customHeight="1" x14ac:dyDescent="0.3">
      <c r="A11" s="104">
        <v>45984</v>
      </c>
      <c r="B11" s="67" t="s">
        <v>237</v>
      </c>
      <c r="C11" s="68" t="s">
        <v>854</v>
      </c>
      <c r="D11" s="67" t="s">
        <v>845</v>
      </c>
      <c r="E11" s="105">
        <v>1.9965277777777779</v>
      </c>
      <c r="F11" s="67" t="s">
        <v>44</v>
      </c>
      <c r="G11" s="69">
        <v>9</v>
      </c>
      <c r="H11" s="70" t="s">
        <v>856</v>
      </c>
    </row>
  </sheetData>
  <pageMargins left="0.75" right="0.75" top="1" bottom="1" header="0.5" footer="0.5"/>
  <legacyDrawing r:id="rId1"/>
  <tableParts count="1">
    <tablePart r:id="rId2"/>
  </tableParts>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CN21"/>
  <sheetViews>
    <sheetView workbookViewId="0"/>
  </sheetViews>
  <sheetFormatPr defaultRowHeight="14.4" x14ac:dyDescent="0.3"/>
  <cols>
    <col min="1" max="1" width="15.77734375" bestFit="1" customWidth="1"/>
    <col min="2" max="2" width="15.6640625" bestFit="1" customWidth="1"/>
    <col min="3" max="3" width="14.77734375" bestFit="1" customWidth="1"/>
    <col min="4" max="4" width="31.21875" bestFit="1" customWidth="1"/>
    <col min="5" max="5" width="18.5546875" bestFit="1" customWidth="1"/>
    <col min="6" max="6" width="23.44140625" bestFit="1" customWidth="1"/>
    <col min="7" max="7" width="44.5546875" bestFit="1" customWidth="1"/>
    <col min="8" max="8" width="9.44140625" bestFit="1" customWidth="1"/>
    <col min="9" max="9" width="8" bestFit="1" customWidth="1"/>
    <col min="10" max="10" width="7.5546875" bestFit="1" customWidth="1"/>
    <col min="11" max="11" width="23.4414062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46.77734375" bestFit="1" customWidth="1"/>
  </cols>
  <sheetData>
    <row r="1" spans="1:92" ht="28.8" customHeight="1" x14ac:dyDescent="0.3">
      <c r="A1" s="260" t="s">
        <v>0</v>
      </c>
      <c r="B1" s="253"/>
      <c r="C1" s="253"/>
      <c r="D1" s="253"/>
      <c r="E1" s="253"/>
      <c r="F1" s="1" t="s">
        <v>882</v>
      </c>
      <c r="G1" s="2" t="s">
        <v>2</v>
      </c>
      <c r="H1" s="259">
        <v>45982</v>
      </c>
      <c r="I1" s="253"/>
      <c r="J1" s="253"/>
      <c r="K1" s="253"/>
      <c r="L1" s="253"/>
      <c r="M1" s="1" t="s">
        <v>3</v>
      </c>
      <c r="N1" s="266">
        <v>45984</v>
      </c>
      <c r="O1" s="253"/>
      <c r="P1" s="253"/>
      <c r="Q1" s="253"/>
      <c r="R1" s="253"/>
      <c r="CA1" s="3"/>
      <c r="CB1" s="3"/>
      <c r="CC1" s="3"/>
      <c r="CD1" s="3"/>
      <c r="CE1" s="3"/>
      <c r="CF1" s="3"/>
      <c r="CG1" s="3"/>
      <c r="CH1" s="3"/>
      <c r="CI1" s="3"/>
      <c r="CJ1" s="3"/>
      <c r="CK1" s="3"/>
      <c r="CL1" s="3"/>
      <c r="CM1" s="3"/>
      <c r="CN1" s="3"/>
    </row>
    <row r="2" spans="1:92" ht="23.4" customHeight="1" x14ac:dyDescent="0.3">
      <c r="A2" s="252" t="s">
        <v>4</v>
      </c>
      <c r="B2" s="253"/>
      <c r="C2" s="253"/>
      <c r="D2" s="253"/>
      <c r="E2" s="253"/>
      <c r="F2" s="253"/>
      <c r="G2" s="261">
        <v>45981.017882399858</v>
      </c>
      <c r="H2" s="253"/>
      <c r="I2" s="253"/>
      <c r="J2" s="253"/>
      <c r="K2" s="262">
        <v>45981.017882400447</v>
      </c>
      <c r="L2" s="253"/>
      <c r="M2" s="253"/>
      <c r="N2" s="253"/>
      <c r="O2" s="253"/>
      <c r="P2" s="253"/>
      <c r="Q2" s="253"/>
      <c r="R2" s="253"/>
      <c r="CA2" s="3"/>
      <c r="CB2" s="3"/>
      <c r="CC2" s="3"/>
      <c r="CD2" s="3"/>
      <c r="CE2" s="3"/>
      <c r="CF2" s="3"/>
      <c r="CG2" s="3"/>
      <c r="CH2" s="3"/>
      <c r="CI2" s="3"/>
      <c r="CJ2" s="3"/>
      <c r="CK2" s="3"/>
      <c r="CL2" s="3"/>
      <c r="CM2" s="3"/>
      <c r="CN2" s="3"/>
    </row>
    <row r="3" spans="1:92" ht="24" customHeight="1" x14ac:dyDescent="0.3">
      <c r="A3" s="254" t="s">
        <v>5</v>
      </c>
      <c r="B3" s="253"/>
      <c r="C3" s="253"/>
      <c r="D3" s="253"/>
      <c r="E3" s="253"/>
      <c r="F3" s="253"/>
      <c r="G3" s="253"/>
      <c r="H3" s="253"/>
      <c r="I3" s="253"/>
      <c r="J3" s="253"/>
      <c r="K3" s="253"/>
      <c r="L3" s="253"/>
      <c r="M3" s="253"/>
      <c r="N3" s="253"/>
      <c r="O3" s="253"/>
      <c r="P3" s="253"/>
      <c r="Q3" s="253"/>
      <c r="R3" s="253"/>
      <c r="CA3" s="3"/>
      <c r="CB3" s="3"/>
      <c r="CC3" s="3"/>
      <c r="CD3" s="3"/>
      <c r="CE3" s="3"/>
      <c r="CF3" s="3"/>
      <c r="CG3" s="3"/>
      <c r="CH3" s="3"/>
      <c r="CI3" s="3"/>
      <c r="CJ3" s="3"/>
      <c r="CK3" s="3"/>
      <c r="CL3" s="3"/>
      <c r="CM3" s="3"/>
      <c r="CN3" s="3"/>
    </row>
    <row r="4" spans="1:92" ht="22.05" customHeight="1" x14ac:dyDescent="0.3">
      <c r="A4" s="263" t="s">
        <v>6</v>
      </c>
      <c r="B4" s="250"/>
      <c r="C4" s="250"/>
      <c r="D4" s="250"/>
      <c r="E4" s="250"/>
      <c r="F4" s="251"/>
      <c r="G4" s="4">
        <v>45982</v>
      </c>
      <c r="H4" s="264" t="s">
        <v>7</v>
      </c>
      <c r="I4" s="250"/>
      <c r="J4" s="250"/>
      <c r="K4" s="250"/>
      <c r="L4" s="250"/>
      <c r="M4" s="250"/>
      <c r="N4" s="250"/>
      <c r="O4" s="250"/>
      <c r="P4" s="250"/>
      <c r="Q4" s="250"/>
      <c r="R4" s="251"/>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x14ac:dyDescent="0.3">
      <c r="A6" s="8" t="s">
        <v>323</v>
      </c>
      <c r="B6" s="8" t="s">
        <v>883</v>
      </c>
      <c r="C6" s="9">
        <v>0.86805555555555547</v>
      </c>
      <c r="D6" s="8" t="s">
        <v>245</v>
      </c>
      <c r="E6" s="8" t="s">
        <v>49</v>
      </c>
      <c r="F6" s="8" t="s">
        <v>884</v>
      </c>
      <c r="G6" s="255"/>
      <c r="H6" s="10"/>
      <c r="I6" s="11"/>
      <c r="J6" s="11"/>
      <c r="K6" s="11"/>
      <c r="L6" s="11"/>
      <c r="M6" s="11"/>
      <c r="N6" s="11"/>
      <c r="O6" s="12"/>
      <c r="P6" s="11"/>
      <c r="Q6" s="13"/>
      <c r="R6" s="14"/>
    </row>
    <row r="7" spans="1:92" ht="49.95" customHeight="1" x14ac:dyDescent="0.3">
      <c r="A7" s="17" t="s">
        <v>243</v>
      </c>
      <c r="B7" s="17" t="s">
        <v>885</v>
      </c>
      <c r="C7" s="18">
        <v>0.65625</v>
      </c>
      <c r="D7" s="17" t="s">
        <v>245</v>
      </c>
      <c r="E7" s="17" t="s">
        <v>59</v>
      </c>
      <c r="F7" s="17" t="s">
        <v>886</v>
      </c>
      <c r="G7" s="256"/>
      <c r="H7" s="10"/>
      <c r="I7" s="11"/>
      <c r="J7" s="11"/>
      <c r="K7" s="11"/>
      <c r="L7" s="11"/>
      <c r="M7" s="11"/>
      <c r="N7" s="11"/>
      <c r="O7" s="12"/>
      <c r="P7" s="11"/>
      <c r="Q7" s="13"/>
      <c r="R7" s="14"/>
    </row>
    <row r="8" spans="1:92" ht="49.95" customHeight="1" thickBot="1" x14ac:dyDescent="0.35">
      <c r="A8" s="208" t="s">
        <v>46</v>
      </c>
      <c r="B8" s="208" t="s">
        <v>887</v>
      </c>
      <c r="C8" s="209">
        <v>3.4722222222222217E-2</v>
      </c>
      <c r="D8" s="208" t="s">
        <v>48</v>
      </c>
      <c r="E8" s="208" t="s">
        <v>100</v>
      </c>
      <c r="F8" s="208" t="s">
        <v>888</v>
      </c>
      <c r="G8" s="257"/>
      <c r="H8" s="23"/>
      <c r="I8" s="24"/>
      <c r="J8" s="24"/>
      <c r="K8" s="24"/>
      <c r="L8" s="24"/>
      <c r="M8" s="24"/>
      <c r="N8" s="24"/>
      <c r="O8" s="25"/>
      <c r="P8" s="24"/>
      <c r="Q8" s="26"/>
      <c r="R8" s="27"/>
    </row>
    <row r="9" spans="1:92" ht="17.399999999999999" customHeight="1" thickBot="1" x14ac:dyDescent="0.35">
      <c r="A9" s="284"/>
      <c r="B9" s="285"/>
      <c r="C9" s="285"/>
      <c r="D9" s="285"/>
      <c r="E9" s="285"/>
      <c r="F9" s="285"/>
      <c r="G9" s="285"/>
      <c r="H9" s="285"/>
      <c r="I9" s="285"/>
      <c r="J9" s="285"/>
      <c r="K9" s="285"/>
      <c r="L9" s="285"/>
      <c r="M9" s="285"/>
      <c r="N9" s="285"/>
      <c r="O9" s="285"/>
      <c r="P9" s="285"/>
      <c r="Q9" s="285"/>
      <c r="R9" s="286"/>
    </row>
    <row r="10" spans="1:92" ht="22.05" customHeight="1" thickTop="1" thickBot="1" x14ac:dyDescent="0.35">
      <c r="A10" s="249" t="s">
        <v>6</v>
      </c>
      <c r="B10" s="250"/>
      <c r="C10" s="250"/>
      <c r="D10" s="250"/>
      <c r="E10" s="250"/>
      <c r="F10" s="251"/>
      <c r="G10" s="28">
        <v>45983</v>
      </c>
      <c r="H10" s="258" t="s">
        <v>7</v>
      </c>
      <c r="I10" s="250"/>
      <c r="J10" s="250"/>
      <c r="K10" s="250"/>
      <c r="L10" s="250"/>
      <c r="M10" s="250"/>
      <c r="N10" s="250"/>
      <c r="O10" s="250"/>
      <c r="P10" s="250"/>
      <c r="Q10" s="250"/>
      <c r="R10" s="251"/>
    </row>
    <row r="11" spans="1:92" ht="24" customHeight="1" x14ac:dyDescent="0.3">
      <c r="A11" s="29" t="s">
        <v>8</v>
      </c>
      <c r="B11" s="29" t="s">
        <v>9</v>
      </c>
      <c r="C11" s="30" t="s">
        <v>10</v>
      </c>
      <c r="D11" s="29" t="s">
        <v>11</v>
      </c>
      <c r="E11" s="29" t="s">
        <v>12</v>
      </c>
      <c r="F11" s="31" t="s">
        <v>13</v>
      </c>
      <c r="G11" s="32" t="s">
        <v>14</v>
      </c>
      <c r="H11" s="29" t="s">
        <v>15</v>
      </c>
      <c r="I11" s="33" t="s">
        <v>16</v>
      </c>
      <c r="J11" s="34" t="s">
        <v>17</v>
      </c>
      <c r="K11" s="35" t="s">
        <v>18</v>
      </c>
      <c r="L11" s="34" t="s">
        <v>19</v>
      </c>
      <c r="M11" s="34" t="s">
        <v>20</v>
      </c>
      <c r="N11" s="34" t="s">
        <v>21</v>
      </c>
      <c r="O11" s="29" t="s">
        <v>22</v>
      </c>
      <c r="P11" s="30" t="s">
        <v>23</v>
      </c>
      <c r="Q11" s="34" t="s">
        <v>24</v>
      </c>
      <c r="R11" s="29" t="s">
        <v>25</v>
      </c>
    </row>
    <row r="12" spans="1:92" ht="49.95" customHeight="1" x14ac:dyDescent="0.3">
      <c r="A12" s="8" t="s">
        <v>243</v>
      </c>
      <c r="B12" s="8" t="s">
        <v>889</v>
      </c>
      <c r="C12" s="9">
        <v>0.97916666666666663</v>
      </c>
      <c r="D12" s="8" t="s">
        <v>245</v>
      </c>
      <c r="E12" s="8" t="s">
        <v>49</v>
      </c>
      <c r="F12" s="8" t="s">
        <v>771</v>
      </c>
      <c r="G12" s="255"/>
      <c r="H12" s="10"/>
      <c r="I12" s="11"/>
      <c r="J12" s="11"/>
      <c r="K12" s="11"/>
      <c r="L12" s="11"/>
      <c r="M12" s="11"/>
      <c r="N12" s="11"/>
      <c r="O12" s="12"/>
      <c r="P12" s="11"/>
      <c r="Q12" s="13"/>
      <c r="R12" s="14"/>
    </row>
    <row r="13" spans="1:92" ht="49.95" customHeight="1" x14ac:dyDescent="0.3">
      <c r="A13" s="106" t="s">
        <v>93</v>
      </c>
      <c r="B13" s="106" t="s">
        <v>890</v>
      </c>
      <c r="C13" s="107">
        <v>6.9444444444444447E-4</v>
      </c>
      <c r="D13" s="106" t="s">
        <v>249</v>
      </c>
      <c r="E13" s="106" t="s">
        <v>89</v>
      </c>
      <c r="F13" s="106" t="s">
        <v>891</v>
      </c>
      <c r="G13" s="256"/>
      <c r="H13" s="109" t="s">
        <v>892</v>
      </c>
      <c r="I13" s="195">
        <v>0.6905</v>
      </c>
      <c r="J13" s="111">
        <v>116</v>
      </c>
      <c r="K13" s="112" t="s">
        <v>180</v>
      </c>
      <c r="L13" s="111">
        <v>51</v>
      </c>
      <c r="M13" s="111">
        <v>0</v>
      </c>
      <c r="N13" s="111">
        <v>8</v>
      </c>
      <c r="O13" s="113" t="s">
        <v>358</v>
      </c>
      <c r="P13" s="114">
        <v>6.9444444444444447E-4</v>
      </c>
      <c r="Q13" s="111">
        <v>168</v>
      </c>
      <c r="R13" s="115" t="s">
        <v>893</v>
      </c>
    </row>
    <row r="14" spans="1:92" ht="49.95" customHeight="1" x14ac:dyDescent="0.3">
      <c r="A14" s="17" t="s">
        <v>323</v>
      </c>
      <c r="B14" s="17" t="s">
        <v>883</v>
      </c>
      <c r="C14" s="18">
        <v>0.60763888888888895</v>
      </c>
      <c r="D14" s="17" t="s">
        <v>245</v>
      </c>
      <c r="E14" s="17" t="s">
        <v>341</v>
      </c>
      <c r="F14" s="17" t="s">
        <v>836</v>
      </c>
      <c r="G14" s="256"/>
      <c r="H14" s="10"/>
      <c r="I14" s="11"/>
      <c r="J14" s="11"/>
      <c r="K14" s="11"/>
      <c r="L14" s="11"/>
      <c r="M14" s="11"/>
      <c r="N14" s="11"/>
      <c r="O14" s="12"/>
      <c r="P14" s="11"/>
      <c r="Q14" s="13"/>
      <c r="R14" s="14"/>
    </row>
    <row r="15" spans="1:92" ht="49.95" customHeight="1" thickBot="1" x14ac:dyDescent="0.35">
      <c r="A15" s="208" t="s">
        <v>46</v>
      </c>
      <c r="B15" s="208" t="s">
        <v>887</v>
      </c>
      <c r="C15" s="209">
        <v>3.125E-2</v>
      </c>
      <c r="D15" s="208" t="s">
        <v>48</v>
      </c>
      <c r="E15" s="208" t="s">
        <v>49</v>
      </c>
      <c r="F15" s="208" t="s">
        <v>894</v>
      </c>
      <c r="G15" s="257"/>
      <c r="H15" s="23"/>
      <c r="I15" s="24"/>
      <c r="J15" s="24"/>
      <c r="K15" s="24"/>
      <c r="L15" s="24"/>
      <c r="M15" s="24"/>
      <c r="N15" s="24"/>
      <c r="O15" s="25"/>
      <c r="P15" s="24"/>
      <c r="Q15" s="26"/>
      <c r="R15" s="27"/>
    </row>
    <row r="16" spans="1:92" ht="17.399999999999999" customHeight="1" thickBot="1" x14ac:dyDescent="0.35">
      <c r="A16" s="284"/>
      <c r="B16" s="285"/>
      <c r="C16" s="285"/>
      <c r="D16" s="285"/>
      <c r="E16" s="285"/>
      <c r="F16" s="285"/>
      <c r="G16" s="285"/>
      <c r="H16" s="285"/>
      <c r="I16" s="285"/>
      <c r="J16" s="285"/>
      <c r="K16" s="285"/>
      <c r="L16" s="285"/>
      <c r="M16" s="285"/>
      <c r="N16" s="285"/>
      <c r="O16" s="285"/>
      <c r="P16" s="285"/>
      <c r="Q16" s="285"/>
      <c r="R16" s="286"/>
    </row>
    <row r="17" spans="1:18" ht="22.05" customHeight="1" thickTop="1" thickBot="1" x14ac:dyDescent="0.35">
      <c r="A17" s="249" t="s">
        <v>6</v>
      </c>
      <c r="B17" s="250"/>
      <c r="C17" s="250"/>
      <c r="D17" s="250"/>
      <c r="E17" s="250"/>
      <c r="F17" s="251"/>
      <c r="G17" s="28">
        <v>45984</v>
      </c>
      <c r="H17" s="258" t="s">
        <v>7</v>
      </c>
      <c r="I17" s="250"/>
      <c r="J17" s="250"/>
      <c r="K17" s="250"/>
      <c r="L17" s="250"/>
      <c r="M17" s="250"/>
      <c r="N17" s="250"/>
      <c r="O17" s="250"/>
      <c r="P17" s="250"/>
      <c r="Q17" s="250"/>
      <c r="R17" s="251"/>
    </row>
    <row r="18" spans="1:18" ht="24" customHeight="1" x14ac:dyDescent="0.3">
      <c r="A18" s="29" t="s">
        <v>8</v>
      </c>
      <c r="B18" s="29" t="s">
        <v>9</v>
      </c>
      <c r="C18" s="30" t="s">
        <v>10</v>
      </c>
      <c r="D18" s="29" t="s">
        <v>11</v>
      </c>
      <c r="E18" s="29" t="s">
        <v>12</v>
      </c>
      <c r="F18" s="31" t="s">
        <v>13</v>
      </c>
      <c r="G18" s="32" t="s">
        <v>14</v>
      </c>
      <c r="H18" s="29" t="s">
        <v>15</v>
      </c>
      <c r="I18" s="33" t="s">
        <v>16</v>
      </c>
      <c r="J18" s="34" t="s">
        <v>17</v>
      </c>
      <c r="K18" s="35" t="s">
        <v>18</v>
      </c>
      <c r="L18" s="34" t="s">
        <v>19</v>
      </c>
      <c r="M18" s="34" t="s">
        <v>20</v>
      </c>
      <c r="N18" s="34" t="s">
        <v>21</v>
      </c>
      <c r="O18" s="29" t="s">
        <v>22</v>
      </c>
      <c r="P18" s="30" t="s">
        <v>23</v>
      </c>
      <c r="Q18" s="34" t="s">
        <v>24</v>
      </c>
      <c r="R18" s="29" t="s">
        <v>25</v>
      </c>
    </row>
    <row r="19" spans="1:18" ht="49.95" customHeight="1" x14ac:dyDescent="0.3">
      <c r="A19" s="170" t="s">
        <v>93</v>
      </c>
      <c r="B19" s="170" t="s">
        <v>890</v>
      </c>
      <c r="C19" s="171">
        <v>0.79861111111111116</v>
      </c>
      <c r="D19" s="170" t="s">
        <v>249</v>
      </c>
      <c r="E19" s="170" t="s">
        <v>205</v>
      </c>
      <c r="F19" s="170" t="s">
        <v>895</v>
      </c>
      <c r="G19" s="255"/>
      <c r="H19" s="127" t="s">
        <v>892</v>
      </c>
      <c r="I19" s="165">
        <v>0.85709999999999997</v>
      </c>
      <c r="J19" s="129">
        <v>144</v>
      </c>
      <c r="K19" s="130" t="s">
        <v>180</v>
      </c>
      <c r="L19" s="129">
        <v>81</v>
      </c>
      <c r="M19" s="129">
        <v>0</v>
      </c>
      <c r="N19" s="129">
        <v>44</v>
      </c>
      <c r="O19" s="131" t="s">
        <v>150</v>
      </c>
      <c r="P19" s="132">
        <v>0.79861111111111116</v>
      </c>
      <c r="Q19" s="129">
        <v>168</v>
      </c>
      <c r="R19" s="133" t="s">
        <v>896</v>
      </c>
    </row>
    <row r="20" spans="1:18" ht="49.95" customHeight="1" x14ac:dyDescent="0.3">
      <c r="A20" s="17" t="s">
        <v>243</v>
      </c>
      <c r="B20" s="17" t="s">
        <v>885</v>
      </c>
      <c r="C20" s="18">
        <v>0.65625</v>
      </c>
      <c r="D20" s="17" t="s">
        <v>249</v>
      </c>
      <c r="E20" s="17" t="s">
        <v>100</v>
      </c>
      <c r="F20" s="17" t="s">
        <v>897</v>
      </c>
      <c r="G20" s="256"/>
      <c r="H20" s="10"/>
      <c r="I20" s="11"/>
      <c r="J20" s="11"/>
      <c r="K20" s="11"/>
      <c r="L20" s="11"/>
      <c r="M20" s="11"/>
      <c r="N20" s="11"/>
      <c r="O20" s="12"/>
      <c r="P20" s="11"/>
      <c r="Q20" s="13"/>
      <c r="R20" s="14"/>
    </row>
    <row r="21" spans="1:18" ht="49.95" customHeight="1" x14ac:dyDescent="0.3">
      <c r="A21" s="208" t="s">
        <v>46</v>
      </c>
      <c r="B21" s="208" t="s">
        <v>887</v>
      </c>
      <c r="C21" s="209">
        <v>3.4722222222222217E-2</v>
      </c>
      <c r="D21" s="208" t="s">
        <v>48</v>
      </c>
      <c r="E21" s="208" t="s">
        <v>49</v>
      </c>
      <c r="F21" s="208" t="s">
        <v>898</v>
      </c>
      <c r="G21" s="257"/>
      <c r="H21" s="23"/>
      <c r="I21" s="24"/>
      <c r="J21" s="24"/>
      <c r="K21" s="24"/>
      <c r="L21" s="24"/>
      <c r="M21" s="24"/>
      <c r="N21" s="24"/>
      <c r="O21" s="25"/>
      <c r="P21" s="24"/>
      <c r="Q21" s="26"/>
      <c r="R21" s="27"/>
    </row>
  </sheetData>
  <mergeCells count="18">
    <mergeCell ref="G19:G21"/>
    <mergeCell ref="N1:R1"/>
    <mergeCell ref="H1:L1"/>
    <mergeCell ref="A1:E1"/>
    <mergeCell ref="G2:J2"/>
    <mergeCell ref="K2:R2"/>
    <mergeCell ref="A4:F4"/>
    <mergeCell ref="H4:R4"/>
    <mergeCell ref="A2:F2"/>
    <mergeCell ref="A3:R3"/>
    <mergeCell ref="H17:R17"/>
    <mergeCell ref="A10:F10"/>
    <mergeCell ref="H10:R10"/>
    <mergeCell ref="A16:R16"/>
    <mergeCell ref="A9:R9"/>
    <mergeCell ref="G6:G8"/>
    <mergeCell ref="G12:G15"/>
    <mergeCell ref="A17:F17"/>
  </mergeCells>
  <pageMargins left="0.75" right="0.75" top="1" bottom="1" header="0.5" footer="0.5"/>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AJ4"/>
  <sheetViews>
    <sheetView workbookViewId="0"/>
  </sheetViews>
  <sheetFormatPr defaultRowHeight="15.6" outlineLevelCol="1" x14ac:dyDescent="0.3"/>
  <cols>
    <col min="1" max="1" width="11.6640625" style="271" bestFit="1" customWidth="1"/>
    <col min="2" max="2" width="11.109375" style="271" bestFit="1" customWidth="1"/>
    <col min="3" max="3" width="7.88671875" style="271" bestFit="1" customWidth="1"/>
    <col min="4" max="4" width="6.77734375" style="271" bestFit="1" customWidth="1"/>
    <col min="5" max="5" width="8.88671875" style="271" bestFit="1" customWidth="1"/>
    <col min="6" max="6" width="5.21875" style="271" bestFit="1" customWidth="1"/>
    <col min="7" max="7" width="10" style="271" bestFit="1" customWidth="1"/>
    <col min="8" max="8" width="7" style="271" bestFit="1" customWidth="1"/>
    <col min="9" max="10" width="8" style="271" bestFit="1" customWidth="1"/>
    <col min="11" max="11" width="12.21875" style="271" bestFit="1" customWidth="1"/>
    <col min="12" max="12" width="21.21875" style="271" bestFit="1" customWidth="1"/>
    <col min="13" max="13" width="8.77734375" style="271" bestFit="1" customWidth="1" outlineLevel="1"/>
    <col min="14" max="14" width="7.33203125" style="271" bestFit="1" customWidth="1" outlineLevel="1"/>
    <col min="15" max="15" width="9.109375" style="271" bestFit="1" customWidth="1" outlineLevel="1"/>
    <col min="16" max="16" width="15.33203125" style="271" bestFit="1" customWidth="1"/>
    <col min="17" max="24" width="3.88671875" style="271" bestFit="1" customWidth="1"/>
    <col min="25" max="25" width="4.21875" style="271" bestFit="1" customWidth="1"/>
    <col min="26" max="26" width="4.88671875" style="271" bestFit="1" customWidth="1"/>
    <col min="27" max="27" width="5.88671875" style="271" bestFit="1" customWidth="1"/>
    <col min="28" max="28" width="5" style="271" bestFit="1" customWidth="1"/>
    <col min="29" max="29" width="5.109375" style="271" bestFit="1" customWidth="1"/>
    <col min="30" max="31" width="5.33203125" style="271" bestFit="1" customWidth="1"/>
    <col min="32" max="36" width="3.88671875" style="271" bestFit="1" customWidth="1"/>
    <col min="37" max="16384" width="8.88671875" style="271"/>
  </cols>
  <sheetData>
    <row r="1" spans="1:36" x14ac:dyDescent="0.3">
      <c r="A1" s="270" t="s">
        <v>104</v>
      </c>
      <c r="B1" s="270" t="s">
        <v>105</v>
      </c>
      <c r="C1" s="270" t="s">
        <v>106</v>
      </c>
      <c r="D1" s="270" t="s">
        <v>23</v>
      </c>
      <c r="E1" s="270" t="s">
        <v>107</v>
      </c>
      <c r="F1" s="270" t="s">
        <v>108</v>
      </c>
      <c r="G1" s="270" t="s">
        <v>16</v>
      </c>
      <c r="H1" s="270" t="s">
        <v>109</v>
      </c>
      <c r="I1" s="270" t="s">
        <v>110</v>
      </c>
      <c r="J1" s="270" t="s">
        <v>111</v>
      </c>
      <c r="K1" s="270" t="s">
        <v>112</v>
      </c>
      <c r="L1" s="270" t="s">
        <v>18</v>
      </c>
      <c r="M1" s="270" t="s">
        <v>20</v>
      </c>
      <c r="N1" s="270" t="s">
        <v>21</v>
      </c>
      <c r="O1" s="270" t="s">
        <v>19</v>
      </c>
      <c r="P1" s="270" t="s">
        <v>22</v>
      </c>
      <c r="Q1" s="270" t="s">
        <v>113</v>
      </c>
      <c r="R1" s="270" t="s">
        <v>114</v>
      </c>
      <c r="S1" s="270" t="s">
        <v>115</v>
      </c>
      <c r="T1" s="270" t="s">
        <v>116</v>
      </c>
      <c r="U1" s="270" t="s">
        <v>117</v>
      </c>
      <c r="V1" s="270" t="s">
        <v>118</v>
      </c>
      <c r="W1" s="270" t="s">
        <v>119</v>
      </c>
      <c r="X1" s="270" t="s">
        <v>120</v>
      </c>
      <c r="Y1" s="270" t="s">
        <v>121</v>
      </c>
      <c r="Z1" s="270" t="s">
        <v>122</v>
      </c>
      <c r="AA1" s="270" t="s">
        <v>123</v>
      </c>
      <c r="AB1" s="270" t="s">
        <v>124</v>
      </c>
      <c r="AC1" s="270" t="s">
        <v>125</v>
      </c>
      <c r="AD1" s="270" t="s">
        <v>126</v>
      </c>
      <c r="AE1" s="270" t="s">
        <v>127</v>
      </c>
      <c r="AF1" s="270" t="s">
        <v>128</v>
      </c>
      <c r="AG1" s="270" t="s">
        <v>129</v>
      </c>
      <c r="AH1" s="270" t="s">
        <v>130</v>
      </c>
      <c r="AI1" s="270" t="s">
        <v>131</v>
      </c>
      <c r="AJ1" s="270" t="s">
        <v>132</v>
      </c>
    </row>
    <row r="2" spans="1:36" x14ac:dyDescent="0.3">
      <c r="A2" s="272" t="s">
        <v>133</v>
      </c>
      <c r="B2" s="273">
        <v>45983</v>
      </c>
      <c r="C2" s="274" t="s">
        <v>892</v>
      </c>
      <c r="D2" s="275" t="s">
        <v>899</v>
      </c>
      <c r="E2" s="274" t="s">
        <v>882</v>
      </c>
      <c r="F2" s="274" t="s">
        <v>135</v>
      </c>
      <c r="G2" s="276">
        <v>0.6905</v>
      </c>
      <c r="H2" s="277">
        <v>168</v>
      </c>
      <c r="I2" s="277">
        <v>116</v>
      </c>
      <c r="J2" s="277">
        <v>0</v>
      </c>
      <c r="K2" s="274" t="s">
        <v>136</v>
      </c>
      <c r="L2" s="278" t="s">
        <v>180</v>
      </c>
      <c r="M2" s="277">
        <v>0</v>
      </c>
      <c r="N2" s="277">
        <v>8</v>
      </c>
      <c r="O2" s="277">
        <v>51</v>
      </c>
      <c r="P2" s="274" t="s">
        <v>358</v>
      </c>
      <c r="Q2" s="270"/>
      <c r="R2" s="270"/>
      <c r="S2" s="270"/>
      <c r="T2" s="270"/>
      <c r="U2" s="270"/>
      <c r="V2" s="270"/>
      <c r="W2" s="270"/>
      <c r="X2" s="270"/>
      <c r="Y2" s="277" t="s">
        <v>252</v>
      </c>
      <c r="Z2" s="277" t="s">
        <v>381</v>
      </c>
      <c r="AA2" s="277" t="s">
        <v>900</v>
      </c>
      <c r="AB2" s="277" t="s">
        <v>403</v>
      </c>
      <c r="AC2" s="277" t="s">
        <v>198</v>
      </c>
      <c r="AD2" s="277" t="s">
        <v>901</v>
      </c>
      <c r="AE2" s="277" t="s">
        <v>902</v>
      </c>
      <c r="AF2" s="270"/>
      <c r="AG2" s="270"/>
      <c r="AH2" s="270"/>
      <c r="AI2" s="270"/>
      <c r="AJ2" s="270"/>
    </row>
    <row r="3" spans="1:36" x14ac:dyDescent="0.3">
      <c r="A3" s="272" t="s">
        <v>145</v>
      </c>
      <c r="B3" s="273">
        <v>45984</v>
      </c>
      <c r="C3" s="274" t="s">
        <v>892</v>
      </c>
      <c r="D3" s="275" t="s">
        <v>462</v>
      </c>
      <c r="E3" s="274" t="s">
        <v>882</v>
      </c>
      <c r="F3" s="274" t="s">
        <v>135</v>
      </c>
      <c r="G3" s="276">
        <v>0.85709999999999997</v>
      </c>
      <c r="H3" s="277">
        <v>168</v>
      </c>
      <c r="I3" s="277">
        <v>144</v>
      </c>
      <c r="J3" s="277">
        <v>0</v>
      </c>
      <c r="K3" s="274" t="s">
        <v>136</v>
      </c>
      <c r="L3" s="278" t="s">
        <v>180</v>
      </c>
      <c r="M3" s="277">
        <v>0</v>
      </c>
      <c r="N3" s="277">
        <v>44</v>
      </c>
      <c r="O3" s="277">
        <v>81</v>
      </c>
      <c r="P3" s="274" t="s">
        <v>150</v>
      </c>
      <c r="Q3" s="270"/>
      <c r="R3" s="270"/>
      <c r="S3" s="270"/>
      <c r="T3" s="270"/>
      <c r="U3" s="270"/>
      <c r="V3" s="270"/>
      <c r="W3" s="270"/>
      <c r="X3" s="270"/>
      <c r="Y3" s="270"/>
      <c r="Z3" s="270"/>
      <c r="AA3" s="277" t="s">
        <v>864</v>
      </c>
      <c r="AB3" s="277" t="s">
        <v>821</v>
      </c>
      <c r="AC3" s="277" t="s">
        <v>521</v>
      </c>
      <c r="AD3" s="277" t="s">
        <v>903</v>
      </c>
      <c r="AE3" s="277" t="s">
        <v>904</v>
      </c>
      <c r="AF3" s="277" t="s">
        <v>905</v>
      </c>
      <c r="AG3" s="270"/>
      <c r="AH3" s="270"/>
      <c r="AI3" s="270"/>
      <c r="AJ3" s="270"/>
    </row>
    <row r="4" spans="1:36" ht="21" x14ac:dyDescent="0.3">
      <c r="A4" s="279" t="s">
        <v>946</v>
      </c>
      <c r="B4" s="280"/>
      <c r="C4" s="279">
        <f>SUBTOTAL(103,ELQ_CAI_LF_LEGACY[Flt])</f>
        <v>2</v>
      </c>
      <c r="D4" s="279"/>
      <c r="E4" s="279">
        <f>SUBTOTAL(103,ELQ_CAI_LF_LEGACY[Brd-Off])</f>
        <v>2</v>
      </c>
      <c r="F4" s="279"/>
      <c r="G4" s="281">
        <f>SUBTOTAL(101,ELQ_CAI_LF_LEGACY[LF%])</f>
        <v>0.77380000000000004</v>
      </c>
      <c r="H4" s="282">
        <f>SUBTOTAL(109,ELQ_CAI_LF_LEGACY[CAP])</f>
        <v>336</v>
      </c>
      <c r="I4" s="282">
        <f>SUBTOTAL(109,ELQ_CAI_LF_LEGACY[BKG(Y)])</f>
        <v>260</v>
      </c>
      <c r="J4" s="282">
        <f>SUBTOTAL(109,ELQ_CAI_LF_LEGACY[GRP(Y)])</f>
        <v>0</v>
      </c>
      <c r="K4" s="279"/>
      <c r="L4" s="280"/>
      <c r="M4" s="282">
        <f>SUBTOTAL(109,ELQ_CAI_LF_LEGACY[TO-DAY])</f>
        <v>0</v>
      </c>
      <c r="N4" s="282">
        <f>SUBTOTAL(109,ELQ_CAI_LF_LEGACY[Y-DAY])</f>
        <v>52</v>
      </c>
      <c r="O4" s="282">
        <f>SUBTOTAL(109,ELQ_CAI_LF_LEGACY[WEEKLY])</f>
        <v>132</v>
      </c>
      <c r="P4" s="283"/>
      <c r="Q4" s="279">
        <f>SUBTOTAL(109,ELQ_CAI_LF_LEGACY[Y])</f>
        <v>0</v>
      </c>
      <c r="R4" s="279">
        <f>SUBTOTAL(109,ELQ_CAI_LF_LEGACY[B])</f>
        <v>0</v>
      </c>
      <c r="S4" s="279">
        <f>SUBTOTAL(109,ELQ_CAI_LF_LEGACY[M])</f>
        <v>0</v>
      </c>
      <c r="T4" s="279">
        <f>SUBTOTAL(109,ELQ_CAI_LF_LEGACY[H])</f>
        <v>0</v>
      </c>
      <c r="U4" s="279">
        <f>SUBTOTAL(109,ELQ_CAI_LF_LEGACY[Q])</f>
        <v>0</v>
      </c>
      <c r="V4" s="279">
        <f>SUBTOTAL(109,ELQ_CAI_LF_LEGACY[K])</f>
        <v>0</v>
      </c>
      <c r="W4" s="279">
        <f>SUBTOTAL(109,ELQ_CAI_LF_LEGACY[V])</f>
        <v>0</v>
      </c>
      <c r="X4" s="279">
        <f>SUBTOTAL(109,ELQ_CAI_LF_LEGACY[L])</f>
        <v>0</v>
      </c>
      <c r="Y4" s="279">
        <f>SUBTOTAL(109,ELQ_CAI_LF_LEGACY[G])</f>
        <v>0</v>
      </c>
      <c r="Z4" s="279">
        <f>SUBTOTAL(109,ELQ_CAI_LF_LEGACY[S])</f>
        <v>0</v>
      </c>
      <c r="AA4" s="282">
        <f>SUBTOTAL(109,ELQ_CAI_LF_LEGACY[W])</f>
        <v>0</v>
      </c>
      <c r="AB4" s="282">
        <f>SUBTOTAL(109,ELQ_CAI_LF_LEGACY[T])</f>
        <v>0</v>
      </c>
      <c r="AC4" s="282">
        <f>SUBTOTAL(109,ELQ_CAI_LF_LEGACY[X])</f>
        <v>0</v>
      </c>
      <c r="AD4" s="282">
        <f>SUBTOTAL(109,ELQ_CAI_LF_LEGACY[U])</f>
        <v>0</v>
      </c>
      <c r="AE4" s="282">
        <f>SUBTOTAL(109,ELQ_CAI_LF_LEGACY[O])</f>
        <v>0</v>
      </c>
      <c r="AF4" s="282">
        <f>SUBTOTAL(109,ELQ_CAI_LF_LEGACY[I])</f>
        <v>0</v>
      </c>
      <c r="AG4" s="279">
        <f>SUBTOTAL(109,ELQ_CAI_LF_LEGACY[E])</f>
        <v>0</v>
      </c>
      <c r="AH4" s="279">
        <f>SUBTOTAL(109,ELQ_CAI_LF_LEGACY[A])</f>
        <v>0</v>
      </c>
      <c r="AI4" s="279">
        <f>SUBTOTAL(109,ELQ_CAI_LF_LEGACY[P])</f>
        <v>0</v>
      </c>
      <c r="AJ4" s="279">
        <f>SUBTOTAL(103,ELQ_CAI_LF_LEGACY[N])</f>
        <v>0</v>
      </c>
    </row>
  </sheetData>
  <pageMargins left="0.75" right="0.75" top="1" bottom="1" header="0.5" footer="0.5"/>
  <tableParts count="1">
    <tablePart r:id="rId1"/>
  </tableParts>
</worksheet>
</file>

<file path=xl/worksheets/sheet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H11"/>
  <sheetViews>
    <sheetView workbookViewId="0"/>
  </sheetViews>
  <sheetFormatPr defaultRowHeight="14.4" x14ac:dyDescent="0.3"/>
  <cols>
    <col min="1" max="1" width="11.88671875" bestFit="1" customWidth="1"/>
    <col min="2" max="2" width="15.5546875" bestFit="1" customWidth="1"/>
    <col min="3" max="3" width="19.21875" bestFit="1" customWidth="1"/>
    <col min="4" max="4" width="12.77734375" bestFit="1" customWidth="1"/>
    <col min="5" max="5" width="18.33203125" bestFit="1" customWidth="1"/>
    <col min="6" max="6" width="30" bestFit="1" customWidth="1"/>
    <col min="7" max="7" width="20" bestFit="1" customWidth="1"/>
    <col min="8" max="8" width="23.6640625" bestFit="1" customWidth="1"/>
    <col min="9" max="9" width="0" hidden="1" customWidth="1"/>
  </cols>
  <sheetData>
    <row r="1" spans="1:8" ht="18" x14ac:dyDescent="0.3">
      <c r="A1" s="57" t="s">
        <v>156</v>
      </c>
      <c r="B1" s="58" t="s">
        <v>8</v>
      </c>
      <c r="C1" s="58" t="s">
        <v>9</v>
      </c>
      <c r="D1" s="58" t="s">
        <v>157</v>
      </c>
      <c r="E1" s="58" t="s">
        <v>10</v>
      </c>
      <c r="F1" s="58" t="s">
        <v>11</v>
      </c>
      <c r="G1" s="58" t="s">
        <v>12</v>
      </c>
      <c r="H1" s="59" t="s">
        <v>13</v>
      </c>
    </row>
    <row r="2" spans="1:8" ht="19.8" customHeight="1" x14ac:dyDescent="0.3">
      <c r="A2" s="60" t="s">
        <v>158</v>
      </c>
      <c r="B2" s="61" t="s">
        <v>323</v>
      </c>
      <c r="C2" s="62" t="s">
        <v>883</v>
      </c>
      <c r="D2" s="61" t="s">
        <v>882</v>
      </c>
      <c r="E2" s="61" t="s">
        <v>906</v>
      </c>
      <c r="F2" s="61" t="s">
        <v>245</v>
      </c>
      <c r="G2" s="63">
        <v>9</v>
      </c>
      <c r="H2" s="64">
        <v>845</v>
      </c>
    </row>
    <row r="3" spans="1:8" ht="19.8" customHeight="1" x14ac:dyDescent="0.3">
      <c r="A3" s="60" t="s">
        <v>158</v>
      </c>
      <c r="B3" s="61" t="s">
        <v>243</v>
      </c>
      <c r="C3" s="62" t="s">
        <v>885</v>
      </c>
      <c r="D3" s="61" t="s">
        <v>882</v>
      </c>
      <c r="E3" s="61" t="s">
        <v>907</v>
      </c>
      <c r="F3" s="61" t="s">
        <v>245</v>
      </c>
      <c r="G3" s="63">
        <v>4</v>
      </c>
      <c r="H3" s="64">
        <v>950</v>
      </c>
    </row>
    <row r="4" spans="1:8" ht="19.8" customHeight="1" x14ac:dyDescent="0.3">
      <c r="A4" s="66" t="s">
        <v>158</v>
      </c>
      <c r="B4" s="67" t="s">
        <v>46</v>
      </c>
      <c r="C4" s="68" t="s">
        <v>887</v>
      </c>
      <c r="D4" s="67" t="s">
        <v>882</v>
      </c>
      <c r="E4" s="67" t="s">
        <v>908</v>
      </c>
      <c r="F4" s="67" t="s">
        <v>48</v>
      </c>
      <c r="G4" s="69">
        <v>6</v>
      </c>
      <c r="H4" s="70" t="s">
        <v>888</v>
      </c>
    </row>
    <row r="5" spans="1:8" ht="19.8" customHeight="1" x14ac:dyDescent="0.3">
      <c r="A5" s="60" t="s">
        <v>168</v>
      </c>
      <c r="B5" s="61" t="s">
        <v>243</v>
      </c>
      <c r="C5" s="62" t="s">
        <v>889</v>
      </c>
      <c r="D5" s="61" t="s">
        <v>882</v>
      </c>
      <c r="E5" s="61" t="s">
        <v>909</v>
      </c>
      <c r="F5" s="61" t="s">
        <v>245</v>
      </c>
      <c r="G5" s="63">
        <v>9</v>
      </c>
      <c r="H5" s="64">
        <v>550</v>
      </c>
    </row>
    <row r="6" spans="1:8" ht="19.8" customHeight="1" x14ac:dyDescent="0.3">
      <c r="A6" s="100" t="s">
        <v>168</v>
      </c>
      <c r="B6" s="101" t="s">
        <v>93</v>
      </c>
      <c r="C6" s="102" t="s">
        <v>890</v>
      </c>
      <c r="D6" s="101" t="s">
        <v>882</v>
      </c>
      <c r="E6" s="101" t="s">
        <v>899</v>
      </c>
      <c r="F6" s="101" t="s">
        <v>249</v>
      </c>
      <c r="G6" s="166">
        <v>1</v>
      </c>
      <c r="H6" s="167">
        <v>562</v>
      </c>
    </row>
    <row r="7" spans="1:8" ht="19.8" customHeight="1" x14ac:dyDescent="0.3">
      <c r="A7" s="75">
        <v>45983</v>
      </c>
      <c r="B7" s="61" t="s">
        <v>323</v>
      </c>
      <c r="C7" s="62" t="s">
        <v>883</v>
      </c>
      <c r="D7" s="61" t="s">
        <v>882</v>
      </c>
      <c r="E7" s="76">
        <v>1.6076388888888891</v>
      </c>
      <c r="F7" s="61" t="s">
        <v>245</v>
      </c>
      <c r="G7" s="63">
        <v>2</v>
      </c>
      <c r="H7" s="64">
        <v>745</v>
      </c>
    </row>
    <row r="8" spans="1:8" ht="19.8" customHeight="1" x14ac:dyDescent="0.3">
      <c r="A8" s="104">
        <v>45983</v>
      </c>
      <c r="B8" s="67" t="s">
        <v>46</v>
      </c>
      <c r="C8" s="68" t="s">
        <v>887</v>
      </c>
      <c r="D8" s="67" t="s">
        <v>882</v>
      </c>
      <c r="E8" s="105">
        <v>1.03125</v>
      </c>
      <c r="F8" s="67" t="s">
        <v>48</v>
      </c>
      <c r="G8" s="69">
        <v>9</v>
      </c>
      <c r="H8" s="70" t="s">
        <v>894</v>
      </c>
    </row>
    <row r="9" spans="1:8" ht="19.8" customHeight="1" x14ac:dyDescent="0.3">
      <c r="A9" s="168">
        <v>45984</v>
      </c>
      <c r="B9" s="101" t="s">
        <v>93</v>
      </c>
      <c r="C9" s="102" t="s">
        <v>890</v>
      </c>
      <c r="D9" s="101" t="s">
        <v>882</v>
      </c>
      <c r="E9" s="169">
        <v>1.7986111111111109</v>
      </c>
      <c r="F9" s="101" t="s">
        <v>249</v>
      </c>
      <c r="G9" s="166">
        <v>5</v>
      </c>
      <c r="H9" s="167">
        <v>458</v>
      </c>
    </row>
    <row r="10" spans="1:8" ht="19.8" customHeight="1" x14ac:dyDescent="0.3">
      <c r="A10" s="75">
        <v>45984</v>
      </c>
      <c r="B10" s="61" t="s">
        <v>243</v>
      </c>
      <c r="C10" s="62" t="s">
        <v>885</v>
      </c>
      <c r="D10" s="61" t="s">
        <v>882</v>
      </c>
      <c r="E10" s="76">
        <v>1.65625</v>
      </c>
      <c r="F10" s="61" t="s">
        <v>249</v>
      </c>
      <c r="G10" s="63">
        <v>6</v>
      </c>
      <c r="H10" s="64">
        <v>521</v>
      </c>
    </row>
    <row r="11" spans="1:8" ht="19.8" customHeight="1" x14ac:dyDescent="0.3">
      <c r="A11" s="104">
        <v>45984</v>
      </c>
      <c r="B11" s="67" t="s">
        <v>46</v>
      </c>
      <c r="C11" s="68" t="s">
        <v>887</v>
      </c>
      <c r="D11" s="67" t="s">
        <v>882</v>
      </c>
      <c r="E11" s="105">
        <v>1.0347222222222221</v>
      </c>
      <c r="F11" s="67" t="s">
        <v>48</v>
      </c>
      <c r="G11" s="69">
        <v>9</v>
      </c>
      <c r="H11" s="176">
        <v>808</v>
      </c>
    </row>
  </sheetData>
  <pageMargins left="0.75" right="0.75" top="1" bottom="1" header="0.5" footer="0.5"/>
  <legacyDrawing r:id="rId1"/>
  <tableParts count="1">
    <tablePart r:id="rId2"/>
  </tableParts>
</worksheet>
</file>

<file path=xl/worksheets/sheet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H8"/>
  <sheetViews>
    <sheetView workbookViewId="0"/>
  </sheetViews>
  <sheetFormatPr defaultRowHeight="14.4" x14ac:dyDescent="0.3"/>
  <cols>
    <col min="1" max="1" width="11.88671875" bestFit="1" customWidth="1"/>
    <col min="2" max="2" width="15.5546875" bestFit="1" customWidth="1"/>
    <col min="3" max="3" width="19.21875" bestFit="1" customWidth="1"/>
    <col min="4" max="4" width="12.77734375" bestFit="1" customWidth="1"/>
    <col min="5" max="5" width="18.33203125" bestFit="1" customWidth="1"/>
    <col min="6" max="6" width="30" bestFit="1" customWidth="1"/>
    <col min="7" max="7" width="20" bestFit="1" customWidth="1"/>
    <col min="8" max="8" width="23.6640625" bestFit="1" customWidth="1"/>
    <col min="9" max="9" width="0" hidden="1" customWidth="1"/>
  </cols>
  <sheetData>
    <row r="1" spans="1:8" ht="18" x14ac:dyDescent="0.3">
      <c r="A1" s="57" t="s">
        <v>156</v>
      </c>
      <c r="B1" s="58" t="s">
        <v>8</v>
      </c>
      <c r="C1" s="58" t="s">
        <v>9</v>
      </c>
      <c r="D1" s="58" t="s">
        <v>157</v>
      </c>
      <c r="E1" s="58" t="s">
        <v>10</v>
      </c>
      <c r="F1" s="58" t="s">
        <v>11</v>
      </c>
      <c r="G1" s="58" t="s">
        <v>12</v>
      </c>
      <c r="H1" s="59" t="s">
        <v>13</v>
      </c>
    </row>
    <row r="2" spans="1:8" ht="19.8" customHeight="1" x14ac:dyDescent="0.3">
      <c r="A2" s="60" t="s">
        <v>158</v>
      </c>
      <c r="B2" s="61" t="s">
        <v>323</v>
      </c>
      <c r="C2" s="62" t="s">
        <v>883</v>
      </c>
      <c r="D2" s="61" t="s">
        <v>882</v>
      </c>
      <c r="E2" s="61" t="s">
        <v>906</v>
      </c>
      <c r="F2" s="61" t="s">
        <v>245</v>
      </c>
      <c r="G2" s="63">
        <v>9</v>
      </c>
      <c r="H2" s="64">
        <v>845</v>
      </c>
    </row>
    <row r="3" spans="1:8" ht="19.8" customHeight="1" x14ac:dyDescent="0.3">
      <c r="A3" s="60" t="s">
        <v>158</v>
      </c>
      <c r="B3" s="61" t="s">
        <v>243</v>
      </c>
      <c r="C3" s="62" t="s">
        <v>885</v>
      </c>
      <c r="D3" s="61" t="s">
        <v>882</v>
      </c>
      <c r="E3" s="61" t="s">
        <v>907</v>
      </c>
      <c r="F3" s="61" t="s">
        <v>245</v>
      </c>
      <c r="G3" s="63">
        <v>4</v>
      </c>
      <c r="H3" s="64">
        <v>950</v>
      </c>
    </row>
    <row r="4" spans="1:8" ht="19.8" customHeight="1" x14ac:dyDescent="0.3">
      <c r="A4" s="66" t="s">
        <v>158</v>
      </c>
      <c r="B4" s="67" t="s">
        <v>46</v>
      </c>
      <c r="C4" s="68" t="s">
        <v>887</v>
      </c>
      <c r="D4" s="67" t="s">
        <v>882</v>
      </c>
      <c r="E4" s="67" t="s">
        <v>908</v>
      </c>
      <c r="F4" s="67" t="s">
        <v>48</v>
      </c>
      <c r="G4" s="69">
        <v>6</v>
      </c>
      <c r="H4" s="70" t="s">
        <v>888</v>
      </c>
    </row>
    <row r="5" spans="1:8" ht="19.8" customHeight="1" x14ac:dyDescent="0.3">
      <c r="A5" s="60" t="s">
        <v>168</v>
      </c>
      <c r="B5" s="61" t="s">
        <v>243</v>
      </c>
      <c r="C5" s="62" t="s">
        <v>889</v>
      </c>
      <c r="D5" s="61" t="s">
        <v>882</v>
      </c>
      <c r="E5" s="61" t="s">
        <v>909</v>
      </c>
      <c r="F5" s="61" t="s">
        <v>245</v>
      </c>
      <c r="G5" s="63">
        <v>9</v>
      </c>
      <c r="H5" s="64">
        <v>550</v>
      </c>
    </row>
    <row r="6" spans="1:8" ht="19.8" customHeight="1" x14ac:dyDescent="0.3">
      <c r="A6" s="71" t="s">
        <v>168</v>
      </c>
      <c r="B6" s="72" t="s">
        <v>93</v>
      </c>
      <c r="C6" s="73" t="s">
        <v>890</v>
      </c>
      <c r="D6" s="72" t="s">
        <v>882</v>
      </c>
      <c r="E6" s="72" t="s">
        <v>899</v>
      </c>
      <c r="F6" s="72" t="s">
        <v>249</v>
      </c>
      <c r="G6" s="205">
        <v>1</v>
      </c>
      <c r="H6" s="206">
        <v>562</v>
      </c>
    </row>
    <row r="7" spans="1:8" ht="19.8" customHeight="1" x14ac:dyDescent="0.3">
      <c r="A7" s="168">
        <v>45984</v>
      </c>
      <c r="B7" s="101" t="s">
        <v>93</v>
      </c>
      <c r="C7" s="102" t="s">
        <v>890</v>
      </c>
      <c r="D7" s="101" t="s">
        <v>882</v>
      </c>
      <c r="E7" s="169">
        <v>1.7986111111111109</v>
      </c>
      <c r="F7" s="101" t="s">
        <v>249</v>
      </c>
      <c r="G7" s="166">
        <v>5</v>
      </c>
      <c r="H7" s="167">
        <v>458</v>
      </c>
    </row>
    <row r="8" spans="1:8" ht="19.8" customHeight="1" x14ac:dyDescent="0.3">
      <c r="A8" s="104">
        <v>45984</v>
      </c>
      <c r="B8" s="67" t="s">
        <v>243</v>
      </c>
      <c r="C8" s="68" t="s">
        <v>885</v>
      </c>
      <c r="D8" s="67" t="s">
        <v>882</v>
      </c>
      <c r="E8" s="105">
        <v>1.65625</v>
      </c>
      <c r="F8" s="67" t="s">
        <v>249</v>
      </c>
      <c r="G8" s="69">
        <v>6</v>
      </c>
      <c r="H8" s="176">
        <v>521</v>
      </c>
    </row>
  </sheetData>
  <pageMargins left="0.75" right="0.75" top="1" bottom="1" header="0.5" footer="0.5"/>
  <legacyDrawing r:id="rId1"/>
  <tableParts count="1">
    <tablePart r:id="rId2"/>
  </tableParts>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CN13"/>
  <sheetViews>
    <sheetView workbookViewId="0"/>
  </sheetViews>
  <sheetFormatPr defaultRowHeight="14.4" x14ac:dyDescent="0.3"/>
  <cols>
    <col min="1" max="1" width="15.77734375" bestFit="1" customWidth="1"/>
    <col min="2" max="2" width="15.6640625" bestFit="1" customWidth="1"/>
    <col min="3" max="3" width="14.77734375" bestFit="1" customWidth="1"/>
    <col min="4" max="4" width="31.21875" bestFit="1" customWidth="1"/>
    <col min="5" max="5" width="20.109375" bestFit="1" customWidth="1"/>
    <col min="6" max="6" width="23.44140625" bestFit="1" customWidth="1"/>
    <col min="7" max="7" width="48.77734375" bestFit="1" customWidth="1"/>
    <col min="8" max="8" width="9.44140625" bestFit="1" customWidth="1"/>
    <col min="9" max="9" width="8" bestFit="1" customWidth="1"/>
    <col min="10" max="10" width="7.5546875" bestFit="1" customWidth="1"/>
    <col min="11" max="11" width="23.44140625" bestFit="1" customWidth="1"/>
    <col min="12" max="12" width="10.5546875" bestFit="1" customWidth="1"/>
    <col min="13" max="13" width="10.109375" bestFit="1" customWidth="1"/>
    <col min="14" max="14" width="8.5546875" bestFit="1" customWidth="1"/>
    <col min="15" max="15" width="17.88671875" bestFit="1" customWidth="1"/>
    <col min="16" max="16" width="7.44140625" bestFit="1" customWidth="1"/>
    <col min="17" max="17" width="12.21875" bestFit="1" customWidth="1"/>
    <col min="18" max="18" width="25.21875" bestFit="1" customWidth="1"/>
  </cols>
  <sheetData>
    <row r="1" spans="1:92" ht="28.8" customHeight="1" x14ac:dyDescent="0.3">
      <c r="A1" s="260" t="s">
        <v>0</v>
      </c>
      <c r="B1" s="253"/>
      <c r="C1" s="253"/>
      <c r="D1" s="253"/>
      <c r="E1" s="253"/>
      <c r="F1" s="1" t="s">
        <v>910</v>
      </c>
      <c r="G1" s="2" t="s">
        <v>2</v>
      </c>
      <c r="H1" s="259">
        <v>45982</v>
      </c>
      <c r="I1" s="253"/>
      <c r="J1" s="253"/>
      <c r="K1" s="253"/>
      <c r="L1" s="253"/>
      <c r="M1" s="1" t="s">
        <v>3</v>
      </c>
      <c r="N1" s="266">
        <v>45984</v>
      </c>
      <c r="O1" s="253"/>
      <c r="P1" s="253"/>
      <c r="Q1" s="253"/>
      <c r="R1" s="253"/>
      <c r="CA1" s="3"/>
      <c r="CB1" s="3"/>
      <c r="CC1" s="3"/>
      <c r="CD1" s="3"/>
      <c r="CE1" s="3"/>
      <c r="CF1" s="3"/>
      <c r="CG1" s="3"/>
      <c r="CH1" s="3"/>
      <c r="CI1" s="3"/>
      <c r="CJ1" s="3"/>
      <c r="CK1" s="3"/>
      <c r="CL1" s="3"/>
      <c r="CM1" s="3"/>
      <c r="CN1" s="3"/>
    </row>
    <row r="2" spans="1:92" ht="23.4" customHeight="1" x14ac:dyDescent="0.3">
      <c r="A2" s="252" t="s">
        <v>4</v>
      </c>
      <c r="B2" s="253"/>
      <c r="C2" s="253"/>
      <c r="D2" s="253"/>
      <c r="E2" s="253"/>
      <c r="F2" s="253"/>
      <c r="G2" s="261">
        <v>45981.017889060211</v>
      </c>
      <c r="H2" s="253"/>
      <c r="I2" s="253"/>
      <c r="J2" s="253"/>
      <c r="K2" s="262">
        <v>45981.01788906072</v>
      </c>
      <c r="L2" s="253"/>
      <c r="M2" s="253"/>
      <c r="N2" s="253"/>
      <c r="O2" s="253"/>
      <c r="P2" s="253"/>
      <c r="Q2" s="253"/>
      <c r="R2" s="253"/>
      <c r="CA2" s="3"/>
      <c r="CB2" s="3"/>
      <c r="CC2" s="3"/>
      <c r="CD2" s="3"/>
      <c r="CE2" s="3"/>
      <c r="CF2" s="3"/>
      <c r="CG2" s="3"/>
      <c r="CH2" s="3"/>
      <c r="CI2" s="3"/>
      <c r="CJ2" s="3"/>
      <c r="CK2" s="3"/>
      <c r="CL2" s="3"/>
      <c r="CM2" s="3"/>
      <c r="CN2" s="3"/>
    </row>
    <row r="3" spans="1:92" ht="24" customHeight="1" x14ac:dyDescent="0.3">
      <c r="A3" s="254" t="s">
        <v>5</v>
      </c>
      <c r="B3" s="253"/>
      <c r="C3" s="253"/>
      <c r="D3" s="253"/>
      <c r="E3" s="253"/>
      <c r="F3" s="253"/>
      <c r="G3" s="253"/>
      <c r="H3" s="253"/>
      <c r="I3" s="253"/>
      <c r="J3" s="253"/>
      <c r="K3" s="253"/>
      <c r="L3" s="253"/>
      <c r="M3" s="253"/>
      <c r="N3" s="253"/>
      <c r="O3" s="253"/>
      <c r="P3" s="253"/>
      <c r="Q3" s="253"/>
      <c r="R3" s="253"/>
      <c r="CA3" s="3"/>
      <c r="CB3" s="3"/>
      <c r="CC3" s="3"/>
      <c r="CD3" s="3"/>
      <c r="CE3" s="3"/>
      <c r="CF3" s="3"/>
      <c r="CG3" s="3"/>
      <c r="CH3" s="3"/>
      <c r="CI3" s="3"/>
      <c r="CJ3" s="3"/>
      <c r="CK3" s="3"/>
      <c r="CL3" s="3"/>
      <c r="CM3" s="3"/>
      <c r="CN3" s="3"/>
    </row>
    <row r="4" spans="1:92" ht="22.05" customHeight="1" x14ac:dyDescent="0.3">
      <c r="A4" s="263" t="s">
        <v>6</v>
      </c>
      <c r="B4" s="250"/>
      <c r="C4" s="250"/>
      <c r="D4" s="250"/>
      <c r="E4" s="250"/>
      <c r="F4" s="251"/>
      <c r="G4" s="4">
        <v>45983</v>
      </c>
      <c r="H4" s="264" t="s">
        <v>7</v>
      </c>
      <c r="I4" s="250"/>
      <c r="J4" s="250"/>
      <c r="K4" s="250"/>
      <c r="L4" s="250"/>
      <c r="M4" s="250"/>
      <c r="N4" s="250"/>
      <c r="O4" s="250"/>
      <c r="P4" s="250"/>
      <c r="Q4" s="250"/>
      <c r="R4" s="251"/>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x14ac:dyDescent="0.3">
      <c r="A6" s="187" t="s">
        <v>93</v>
      </c>
      <c r="B6" s="187" t="s">
        <v>911</v>
      </c>
      <c r="C6" s="188">
        <v>0.85416666666666663</v>
      </c>
      <c r="D6" s="187" t="s">
        <v>249</v>
      </c>
      <c r="E6" s="187" t="s">
        <v>219</v>
      </c>
      <c r="F6" s="187" t="s">
        <v>662</v>
      </c>
      <c r="G6" s="255"/>
      <c r="H6" s="139" t="s">
        <v>912</v>
      </c>
      <c r="I6" s="140">
        <v>0.5</v>
      </c>
      <c r="J6" s="141">
        <v>84</v>
      </c>
      <c r="K6" s="142" t="s">
        <v>180</v>
      </c>
      <c r="L6" s="141">
        <v>47</v>
      </c>
      <c r="M6" s="141">
        <v>0</v>
      </c>
      <c r="N6" s="141">
        <v>7</v>
      </c>
      <c r="O6" s="143" t="s">
        <v>552</v>
      </c>
      <c r="P6" s="144">
        <v>0.85416666666666663</v>
      </c>
      <c r="Q6" s="141">
        <v>168</v>
      </c>
      <c r="R6" s="145" t="s">
        <v>913</v>
      </c>
    </row>
    <row r="7" spans="1:92" ht="18" x14ac:dyDescent="0.3">
      <c r="A7" s="267" t="s">
        <v>914</v>
      </c>
      <c r="B7" s="268"/>
      <c r="C7" s="268"/>
      <c r="D7" s="268"/>
      <c r="E7" s="268"/>
      <c r="F7" s="269"/>
      <c r="G7" s="256"/>
      <c r="H7" s="79"/>
      <c r="I7" s="79"/>
      <c r="J7" s="79"/>
      <c r="K7" s="79"/>
      <c r="L7" s="79"/>
      <c r="M7" s="79"/>
      <c r="N7" s="79"/>
      <c r="O7" s="80"/>
      <c r="P7" s="79"/>
      <c r="Q7" s="56"/>
      <c r="R7" s="56"/>
    </row>
    <row r="8" spans="1:92" ht="49.95" customHeight="1" x14ac:dyDescent="0.3">
      <c r="A8" s="19" t="s">
        <v>243</v>
      </c>
      <c r="B8" s="19" t="s">
        <v>889</v>
      </c>
      <c r="C8" s="20" t="s">
        <v>909</v>
      </c>
      <c r="D8" s="19" t="s">
        <v>245</v>
      </c>
      <c r="E8" s="19" t="s">
        <v>176</v>
      </c>
      <c r="F8" s="19" t="s">
        <v>771</v>
      </c>
      <c r="G8" s="256"/>
      <c r="H8" s="79"/>
      <c r="I8" s="79"/>
      <c r="J8" s="79"/>
      <c r="K8" s="79"/>
      <c r="L8" s="79"/>
      <c r="M8" s="79"/>
      <c r="N8" s="79"/>
      <c r="O8" s="80"/>
      <c r="P8" s="79"/>
      <c r="Q8" s="56"/>
      <c r="R8" s="56"/>
    </row>
    <row r="9" spans="1:92" ht="49.95" customHeight="1" x14ac:dyDescent="0.3">
      <c r="A9" s="19" t="s">
        <v>93</v>
      </c>
      <c r="B9" s="19" t="s">
        <v>890</v>
      </c>
      <c r="C9" s="20" t="s">
        <v>899</v>
      </c>
      <c r="D9" s="19" t="s">
        <v>249</v>
      </c>
      <c r="E9" s="19" t="s">
        <v>183</v>
      </c>
      <c r="F9" s="19" t="s">
        <v>891</v>
      </c>
      <c r="G9" s="256"/>
      <c r="H9" s="79"/>
      <c r="I9" s="79"/>
      <c r="J9" s="79"/>
      <c r="K9" s="79"/>
      <c r="L9" s="79"/>
      <c r="M9" s="79"/>
      <c r="N9" s="79"/>
      <c r="O9" s="80"/>
      <c r="P9" s="79"/>
      <c r="Q9" s="56"/>
      <c r="R9" s="56"/>
    </row>
    <row r="10" spans="1:92" ht="49.95" customHeight="1" x14ac:dyDescent="0.3">
      <c r="A10" s="19" t="s">
        <v>323</v>
      </c>
      <c r="B10" s="19" t="s">
        <v>883</v>
      </c>
      <c r="C10" s="20" t="s">
        <v>915</v>
      </c>
      <c r="D10" s="19" t="s">
        <v>245</v>
      </c>
      <c r="E10" s="19" t="s">
        <v>503</v>
      </c>
      <c r="F10" s="19" t="s">
        <v>836</v>
      </c>
      <c r="G10" s="256"/>
      <c r="H10" s="79"/>
      <c r="I10" s="79"/>
      <c r="J10" s="79"/>
      <c r="K10" s="79"/>
      <c r="L10" s="79"/>
      <c r="M10" s="79"/>
      <c r="N10" s="79"/>
      <c r="O10" s="80"/>
      <c r="P10" s="79"/>
      <c r="Q10" s="56"/>
      <c r="R10" s="56"/>
    </row>
    <row r="11" spans="1:92" ht="49.95" customHeight="1" thickBot="1" x14ac:dyDescent="0.35">
      <c r="A11" s="81" t="s">
        <v>46</v>
      </c>
      <c r="B11" s="81" t="s">
        <v>887</v>
      </c>
      <c r="C11" s="82" t="s">
        <v>916</v>
      </c>
      <c r="D11" s="81" t="s">
        <v>48</v>
      </c>
      <c r="E11" s="81" t="s">
        <v>176</v>
      </c>
      <c r="F11" s="81" t="s">
        <v>894</v>
      </c>
      <c r="G11" s="257"/>
      <c r="H11" s="83"/>
      <c r="I11" s="83"/>
      <c r="J11" s="83"/>
      <c r="K11" s="83"/>
      <c r="L11" s="83"/>
      <c r="M11" s="83"/>
      <c r="N11" s="83"/>
      <c r="O11" s="84"/>
      <c r="P11" s="83"/>
      <c r="Q11" s="85"/>
      <c r="R11" s="85"/>
    </row>
    <row r="12" spans="1:92" ht="17.399999999999999" customHeight="1" thickBot="1" x14ac:dyDescent="0.35">
      <c r="A12" s="284"/>
      <c r="B12" s="285"/>
      <c r="C12" s="285"/>
      <c r="D12" s="285"/>
      <c r="E12" s="285"/>
      <c r="F12" s="285"/>
      <c r="G12" s="285"/>
      <c r="H12" s="285"/>
      <c r="I12" s="285"/>
      <c r="J12" s="285"/>
      <c r="K12" s="285"/>
      <c r="L12" s="285"/>
      <c r="M12" s="285"/>
      <c r="N12" s="285"/>
      <c r="O12" s="285"/>
      <c r="P12" s="285"/>
      <c r="Q12" s="285"/>
      <c r="R12" s="286"/>
    </row>
    <row r="13" spans="1:92" ht="15" thickTop="1" x14ac:dyDescent="0.3"/>
  </sheetData>
  <mergeCells count="12">
    <mergeCell ref="A4:F4"/>
    <mergeCell ref="G6:G11"/>
    <mergeCell ref="H4:R4"/>
    <mergeCell ref="A7:F7"/>
    <mergeCell ref="A12:R12"/>
    <mergeCell ref="A2:F2"/>
    <mergeCell ref="A3:R3"/>
    <mergeCell ref="H1:L1"/>
    <mergeCell ref="A1:E1"/>
    <mergeCell ref="G2:J2"/>
    <mergeCell ref="K2:R2"/>
    <mergeCell ref="N1:R1"/>
  </mergeCells>
  <pageMargins left="0.75" right="0.75" top="1" bottom="1" header="0.5" footer="0.5"/>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AJ3"/>
  <sheetViews>
    <sheetView workbookViewId="0"/>
  </sheetViews>
  <sheetFormatPr defaultRowHeight="15.6" outlineLevelCol="1" x14ac:dyDescent="0.3"/>
  <cols>
    <col min="1" max="1" width="11.6640625" style="271" bestFit="1" customWidth="1"/>
    <col min="2" max="2" width="11.109375" style="271" bestFit="1" customWidth="1"/>
    <col min="3" max="3" width="7.88671875" style="271" bestFit="1" customWidth="1"/>
    <col min="4" max="4" width="6.77734375" style="271" bestFit="1" customWidth="1"/>
    <col min="5" max="5" width="9.44140625" style="271" bestFit="1" customWidth="1"/>
    <col min="6" max="6" width="5.21875" style="271" bestFit="1" customWidth="1"/>
    <col min="7" max="7" width="10" style="271" bestFit="1" customWidth="1"/>
    <col min="8" max="8" width="7" style="271" bestFit="1" customWidth="1"/>
    <col min="9" max="10" width="8" style="271" bestFit="1" customWidth="1"/>
    <col min="11" max="11" width="12.21875" style="271" bestFit="1" customWidth="1"/>
    <col min="12" max="12" width="21.21875" style="271" bestFit="1" customWidth="1"/>
    <col min="13" max="13" width="8.77734375" style="271" bestFit="1" customWidth="1" outlineLevel="1"/>
    <col min="14" max="14" width="7.33203125" style="271" bestFit="1" customWidth="1" outlineLevel="1"/>
    <col min="15" max="15" width="9.109375" style="271" bestFit="1" customWidth="1" outlineLevel="1"/>
    <col min="16" max="16" width="15.33203125" style="271" bestFit="1" customWidth="1"/>
    <col min="17" max="28" width="3.88671875" style="271" bestFit="1" customWidth="1"/>
    <col min="29" max="29" width="5.109375" style="271" bestFit="1" customWidth="1"/>
    <col min="30" max="31" width="5.33203125" style="271" bestFit="1" customWidth="1"/>
    <col min="32" max="36" width="3.88671875" style="271" bestFit="1" customWidth="1"/>
    <col min="37" max="16384" width="8.88671875" style="271"/>
  </cols>
  <sheetData>
    <row r="1" spans="1:36" x14ac:dyDescent="0.3">
      <c r="A1" s="270" t="s">
        <v>104</v>
      </c>
      <c r="B1" s="270" t="s">
        <v>105</v>
      </c>
      <c r="C1" s="270" t="s">
        <v>106</v>
      </c>
      <c r="D1" s="270" t="s">
        <v>23</v>
      </c>
      <c r="E1" s="270" t="s">
        <v>107</v>
      </c>
      <c r="F1" s="270" t="s">
        <v>108</v>
      </c>
      <c r="G1" s="270" t="s">
        <v>16</v>
      </c>
      <c r="H1" s="270" t="s">
        <v>109</v>
      </c>
      <c r="I1" s="270" t="s">
        <v>110</v>
      </c>
      <c r="J1" s="270" t="s">
        <v>111</v>
      </c>
      <c r="K1" s="270" t="s">
        <v>112</v>
      </c>
      <c r="L1" s="270" t="s">
        <v>18</v>
      </c>
      <c r="M1" s="270" t="s">
        <v>20</v>
      </c>
      <c r="N1" s="270" t="s">
        <v>21</v>
      </c>
      <c r="O1" s="270" t="s">
        <v>19</v>
      </c>
      <c r="P1" s="270" t="s">
        <v>22</v>
      </c>
      <c r="Q1" s="270" t="s">
        <v>113</v>
      </c>
      <c r="R1" s="270" t="s">
        <v>114</v>
      </c>
      <c r="S1" s="270" t="s">
        <v>115</v>
      </c>
      <c r="T1" s="270" t="s">
        <v>116</v>
      </c>
      <c r="U1" s="270" t="s">
        <v>117</v>
      </c>
      <c r="V1" s="270" t="s">
        <v>118</v>
      </c>
      <c r="W1" s="270" t="s">
        <v>119</v>
      </c>
      <c r="X1" s="270" t="s">
        <v>120</v>
      </c>
      <c r="Y1" s="270" t="s">
        <v>121</v>
      </c>
      <c r="Z1" s="270" t="s">
        <v>122</v>
      </c>
      <c r="AA1" s="270" t="s">
        <v>123</v>
      </c>
      <c r="AB1" s="270" t="s">
        <v>124</v>
      </c>
      <c r="AC1" s="270" t="s">
        <v>125</v>
      </c>
      <c r="AD1" s="270" t="s">
        <v>126</v>
      </c>
      <c r="AE1" s="270" t="s">
        <v>127</v>
      </c>
      <c r="AF1" s="270" t="s">
        <v>128</v>
      </c>
      <c r="AG1" s="270" t="s">
        <v>129</v>
      </c>
      <c r="AH1" s="270" t="s">
        <v>130</v>
      </c>
      <c r="AI1" s="270" t="s">
        <v>131</v>
      </c>
      <c r="AJ1" s="270" t="s">
        <v>132</v>
      </c>
    </row>
    <row r="2" spans="1:36" x14ac:dyDescent="0.3">
      <c r="A2" s="272" t="s">
        <v>133</v>
      </c>
      <c r="B2" s="273">
        <v>45983</v>
      </c>
      <c r="C2" s="274" t="s">
        <v>912</v>
      </c>
      <c r="D2" s="275" t="s">
        <v>461</v>
      </c>
      <c r="E2" s="274" t="s">
        <v>910</v>
      </c>
      <c r="F2" s="274" t="s">
        <v>135</v>
      </c>
      <c r="G2" s="276">
        <v>0.5</v>
      </c>
      <c r="H2" s="277">
        <v>168</v>
      </c>
      <c r="I2" s="277">
        <v>84</v>
      </c>
      <c r="J2" s="277">
        <v>0</v>
      </c>
      <c r="K2" s="274" t="s">
        <v>136</v>
      </c>
      <c r="L2" s="278" t="s">
        <v>180</v>
      </c>
      <c r="M2" s="277">
        <v>0</v>
      </c>
      <c r="N2" s="277">
        <v>7</v>
      </c>
      <c r="O2" s="277">
        <v>47</v>
      </c>
      <c r="P2" s="274" t="s">
        <v>552</v>
      </c>
      <c r="Q2" s="270"/>
      <c r="R2" s="270"/>
      <c r="S2" s="270"/>
      <c r="T2" s="270"/>
      <c r="U2" s="270"/>
      <c r="V2" s="270"/>
      <c r="W2" s="270"/>
      <c r="X2" s="270"/>
      <c r="Y2" s="270"/>
      <c r="Z2" s="270"/>
      <c r="AA2" s="270"/>
      <c r="AB2" s="277" t="s">
        <v>917</v>
      </c>
      <c r="AC2" s="277" t="s">
        <v>578</v>
      </c>
      <c r="AD2" s="277" t="s">
        <v>199</v>
      </c>
      <c r="AE2" s="277" t="s">
        <v>918</v>
      </c>
      <c r="AF2" s="270"/>
      <c r="AG2" s="270"/>
      <c r="AH2" s="270"/>
      <c r="AI2" s="270"/>
      <c r="AJ2" s="270"/>
    </row>
    <row r="3" spans="1:36" ht="21" x14ac:dyDescent="0.3">
      <c r="A3" s="279" t="s">
        <v>946</v>
      </c>
      <c r="B3" s="280"/>
      <c r="C3" s="279">
        <f>SUBTOTAL(103,ELQ_ATZ_LF_LEGACY[Flt])</f>
        <v>1</v>
      </c>
      <c r="D3" s="279"/>
      <c r="E3" s="279">
        <f>SUBTOTAL(103,ELQ_ATZ_LF_LEGACY[Brd-Off])</f>
        <v>1</v>
      </c>
      <c r="F3" s="279"/>
      <c r="G3" s="281">
        <f>SUBTOTAL(101,ELQ_ATZ_LF_LEGACY[LF%])</f>
        <v>0.5</v>
      </c>
      <c r="H3" s="282">
        <f>SUBTOTAL(109,ELQ_ATZ_LF_LEGACY[CAP])</f>
        <v>168</v>
      </c>
      <c r="I3" s="282">
        <f>SUBTOTAL(109,ELQ_ATZ_LF_LEGACY[BKG(Y)])</f>
        <v>84</v>
      </c>
      <c r="J3" s="282">
        <f>SUBTOTAL(109,ELQ_ATZ_LF_LEGACY[GRP(Y)])</f>
        <v>0</v>
      </c>
      <c r="K3" s="279"/>
      <c r="L3" s="280"/>
      <c r="M3" s="282">
        <f>SUBTOTAL(109,ELQ_ATZ_LF_LEGACY[TO-DAY])</f>
        <v>0</v>
      </c>
      <c r="N3" s="282">
        <f>SUBTOTAL(109,ELQ_ATZ_LF_LEGACY[Y-DAY])</f>
        <v>7</v>
      </c>
      <c r="O3" s="282">
        <f>SUBTOTAL(109,ELQ_ATZ_LF_LEGACY[WEEKLY])</f>
        <v>47</v>
      </c>
      <c r="P3" s="283"/>
      <c r="Q3" s="279">
        <f>SUBTOTAL(109,ELQ_ATZ_LF_LEGACY[Y])</f>
        <v>0</v>
      </c>
      <c r="R3" s="279">
        <f>SUBTOTAL(109,ELQ_ATZ_LF_LEGACY[B])</f>
        <v>0</v>
      </c>
      <c r="S3" s="279">
        <f>SUBTOTAL(109,ELQ_ATZ_LF_LEGACY[M])</f>
        <v>0</v>
      </c>
      <c r="T3" s="279">
        <f>SUBTOTAL(109,ELQ_ATZ_LF_LEGACY[H])</f>
        <v>0</v>
      </c>
      <c r="U3" s="279">
        <f>SUBTOTAL(109,ELQ_ATZ_LF_LEGACY[Q])</f>
        <v>0</v>
      </c>
      <c r="V3" s="279">
        <f>SUBTOTAL(109,ELQ_ATZ_LF_LEGACY[K])</f>
        <v>0</v>
      </c>
      <c r="W3" s="279">
        <f>SUBTOTAL(109,ELQ_ATZ_LF_LEGACY[V])</f>
        <v>0</v>
      </c>
      <c r="X3" s="279">
        <f>SUBTOTAL(109,ELQ_ATZ_LF_LEGACY[L])</f>
        <v>0</v>
      </c>
      <c r="Y3" s="279">
        <f>SUBTOTAL(109,ELQ_ATZ_LF_LEGACY[G])</f>
        <v>0</v>
      </c>
      <c r="Z3" s="279">
        <f>SUBTOTAL(109,ELQ_ATZ_LF_LEGACY[S])</f>
        <v>0</v>
      </c>
      <c r="AA3" s="279">
        <f>SUBTOTAL(109,ELQ_ATZ_LF_LEGACY[W])</f>
        <v>0</v>
      </c>
      <c r="AB3" s="282">
        <f>SUBTOTAL(109,ELQ_ATZ_LF_LEGACY[T])</f>
        <v>0</v>
      </c>
      <c r="AC3" s="282">
        <f>SUBTOTAL(109,ELQ_ATZ_LF_LEGACY[X])</f>
        <v>0</v>
      </c>
      <c r="AD3" s="282">
        <f>SUBTOTAL(109,ELQ_ATZ_LF_LEGACY[U])</f>
        <v>0</v>
      </c>
      <c r="AE3" s="282">
        <f>SUBTOTAL(109,ELQ_ATZ_LF_LEGACY[O])</f>
        <v>0</v>
      </c>
      <c r="AF3" s="279">
        <f>SUBTOTAL(109,ELQ_ATZ_LF_LEGACY[I])</f>
        <v>0</v>
      </c>
      <c r="AG3" s="279">
        <f>SUBTOTAL(109,ELQ_ATZ_LF_LEGACY[E])</f>
        <v>0</v>
      </c>
      <c r="AH3" s="279">
        <f>SUBTOTAL(109,ELQ_ATZ_LF_LEGACY[A])</f>
        <v>0</v>
      </c>
      <c r="AI3" s="279">
        <f>SUBTOTAL(109,ELQ_ATZ_LF_LEGACY[P])</f>
        <v>0</v>
      </c>
      <c r="AJ3" s="279">
        <f>SUBTOTAL(103,ELQ_ATZ_LF_LEGACY[N])</f>
        <v>0</v>
      </c>
    </row>
  </sheetData>
  <pageMargins left="0.75" right="0.75" top="1" bottom="1" header="0.5" footer="0.5"/>
  <tableParts count="1">
    <tablePart r:id="rId1"/>
  </tableParts>
</worksheet>
</file>

<file path=xl/worksheets/sheet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H15"/>
  <sheetViews>
    <sheetView workbookViewId="0"/>
  </sheetViews>
  <sheetFormatPr defaultRowHeight="14.4" x14ac:dyDescent="0.3"/>
  <cols>
    <col min="1" max="1" width="11.88671875" bestFit="1" customWidth="1"/>
    <col min="2" max="2" width="15.5546875" bestFit="1" customWidth="1"/>
    <col min="3" max="3" width="19.21875" bestFit="1" customWidth="1"/>
    <col min="4" max="4" width="12.77734375" bestFit="1" customWidth="1"/>
    <col min="5" max="5" width="18.33203125" bestFit="1" customWidth="1"/>
    <col min="6" max="6" width="32.33203125" bestFit="1" customWidth="1"/>
    <col min="7" max="7" width="20" bestFit="1" customWidth="1"/>
    <col min="8" max="8" width="23.6640625" bestFit="1" customWidth="1"/>
    <col min="9" max="9" width="0" hidden="1" customWidth="1"/>
  </cols>
  <sheetData>
    <row r="1" spans="1:8" ht="18" x14ac:dyDescent="0.3">
      <c r="A1" s="57" t="s">
        <v>156</v>
      </c>
      <c r="B1" s="58" t="s">
        <v>8</v>
      </c>
      <c r="C1" s="58" t="s">
        <v>9</v>
      </c>
      <c r="D1" s="58" t="s">
        <v>157</v>
      </c>
      <c r="E1" s="58" t="s">
        <v>10</v>
      </c>
      <c r="F1" s="58" t="s">
        <v>11</v>
      </c>
      <c r="G1" s="58" t="s">
        <v>12</v>
      </c>
      <c r="H1" s="59" t="s">
        <v>13</v>
      </c>
    </row>
    <row r="2" spans="1:8" ht="19.8" customHeight="1" x14ac:dyDescent="0.3">
      <c r="A2" s="96"/>
      <c r="B2" s="97"/>
      <c r="C2" s="97"/>
      <c r="D2" s="97"/>
      <c r="E2" s="97"/>
      <c r="F2" s="98" t="s">
        <v>919</v>
      </c>
      <c r="G2" s="97"/>
      <c r="H2" s="99"/>
    </row>
    <row r="3" spans="1:8" ht="19.8" customHeight="1" x14ac:dyDescent="0.3">
      <c r="A3" s="60" t="s">
        <v>158</v>
      </c>
      <c r="B3" s="61" t="s">
        <v>323</v>
      </c>
      <c r="C3" s="62" t="s">
        <v>883</v>
      </c>
      <c r="D3" s="61" t="s">
        <v>882</v>
      </c>
      <c r="E3" s="61" t="s">
        <v>906</v>
      </c>
      <c r="F3" s="61" t="s">
        <v>245</v>
      </c>
      <c r="G3" s="63">
        <v>9</v>
      </c>
      <c r="H3" s="64">
        <v>845</v>
      </c>
    </row>
    <row r="4" spans="1:8" ht="19.8" customHeight="1" x14ac:dyDescent="0.3">
      <c r="A4" s="60" t="s">
        <v>158</v>
      </c>
      <c r="B4" s="61" t="s">
        <v>243</v>
      </c>
      <c r="C4" s="62" t="s">
        <v>885</v>
      </c>
      <c r="D4" s="61" t="s">
        <v>882</v>
      </c>
      <c r="E4" s="61" t="s">
        <v>907</v>
      </c>
      <c r="F4" s="61" t="s">
        <v>245</v>
      </c>
      <c r="G4" s="63">
        <v>4</v>
      </c>
      <c r="H4" s="64">
        <v>950</v>
      </c>
    </row>
    <row r="5" spans="1:8" ht="19.8" customHeight="1" x14ac:dyDescent="0.3">
      <c r="A5" s="66" t="s">
        <v>158</v>
      </c>
      <c r="B5" s="67" t="s">
        <v>46</v>
      </c>
      <c r="C5" s="68" t="s">
        <v>887</v>
      </c>
      <c r="D5" s="67" t="s">
        <v>882</v>
      </c>
      <c r="E5" s="67" t="s">
        <v>908</v>
      </c>
      <c r="F5" s="67" t="s">
        <v>48</v>
      </c>
      <c r="G5" s="69">
        <v>6</v>
      </c>
      <c r="H5" s="70" t="s">
        <v>888</v>
      </c>
    </row>
    <row r="6" spans="1:8" ht="19.8" customHeight="1" x14ac:dyDescent="0.3">
      <c r="A6" s="100" t="s">
        <v>168</v>
      </c>
      <c r="B6" s="101" t="s">
        <v>93</v>
      </c>
      <c r="C6" s="102" t="s">
        <v>911</v>
      </c>
      <c r="D6" s="101" t="s">
        <v>910</v>
      </c>
      <c r="E6" s="101" t="s">
        <v>461</v>
      </c>
      <c r="F6" s="101" t="s">
        <v>249</v>
      </c>
      <c r="G6" s="166">
        <v>7</v>
      </c>
      <c r="H6" s="167">
        <v>500</v>
      </c>
    </row>
    <row r="7" spans="1:8" ht="19.8" customHeight="1" x14ac:dyDescent="0.3">
      <c r="A7" s="96"/>
      <c r="B7" s="97"/>
      <c r="C7" s="97"/>
      <c r="D7" s="97"/>
      <c r="E7" s="97"/>
      <c r="F7" s="98" t="s">
        <v>919</v>
      </c>
      <c r="G7" s="97"/>
      <c r="H7" s="99"/>
    </row>
    <row r="8" spans="1:8" ht="19.8" customHeight="1" x14ac:dyDescent="0.3">
      <c r="A8" s="75">
        <v>45983</v>
      </c>
      <c r="B8" s="61" t="s">
        <v>243</v>
      </c>
      <c r="C8" s="62" t="s">
        <v>889</v>
      </c>
      <c r="D8" s="61" t="s">
        <v>882</v>
      </c>
      <c r="E8" s="76">
        <v>1.979166666666667</v>
      </c>
      <c r="F8" s="61" t="s">
        <v>245</v>
      </c>
      <c r="G8" s="63">
        <v>9</v>
      </c>
      <c r="H8" s="64">
        <v>550</v>
      </c>
    </row>
    <row r="9" spans="1:8" ht="19.8" customHeight="1" x14ac:dyDescent="0.3">
      <c r="A9" s="75">
        <v>45983</v>
      </c>
      <c r="B9" s="61" t="s">
        <v>93</v>
      </c>
      <c r="C9" s="62" t="s">
        <v>890</v>
      </c>
      <c r="D9" s="61" t="s">
        <v>882</v>
      </c>
      <c r="E9" s="76">
        <v>1.000694444444445</v>
      </c>
      <c r="F9" s="61" t="s">
        <v>249</v>
      </c>
      <c r="G9" s="63">
        <v>1</v>
      </c>
      <c r="H9" s="64">
        <v>562</v>
      </c>
    </row>
    <row r="10" spans="1:8" ht="19.8" customHeight="1" x14ac:dyDescent="0.3">
      <c r="A10" s="75">
        <v>45983</v>
      </c>
      <c r="B10" s="61" t="s">
        <v>323</v>
      </c>
      <c r="C10" s="62" t="s">
        <v>883</v>
      </c>
      <c r="D10" s="61" t="s">
        <v>882</v>
      </c>
      <c r="E10" s="76">
        <v>1.6076388888888891</v>
      </c>
      <c r="F10" s="61" t="s">
        <v>245</v>
      </c>
      <c r="G10" s="63">
        <v>2</v>
      </c>
      <c r="H10" s="64">
        <v>745</v>
      </c>
    </row>
    <row r="11" spans="1:8" ht="19.8" customHeight="1" x14ac:dyDescent="0.3">
      <c r="A11" s="104">
        <v>45983</v>
      </c>
      <c r="B11" s="67" t="s">
        <v>46</v>
      </c>
      <c r="C11" s="68" t="s">
        <v>887</v>
      </c>
      <c r="D11" s="67" t="s">
        <v>882</v>
      </c>
      <c r="E11" s="105">
        <v>1.03125</v>
      </c>
      <c r="F11" s="67" t="s">
        <v>48</v>
      </c>
      <c r="G11" s="69">
        <v>9</v>
      </c>
      <c r="H11" s="70" t="s">
        <v>894</v>
      </c>
    </row>
    <row r="12" spans="1:8" ht="19.8" customHeight="1" x14ac:dyDescent="0.3">
      <c r="A12" s="96"/>
      <c r="B12" s="97"/>
      <c r="C12" s="97"/>
      <c r="D12" s="97"/>
      <c r="E12" s="97"/>
      <c r="F12" s="98" t="s">
        <v>919</v>
      </c>
      <c r="G12" s="97"/>
      <c r="H12" s="99"/>
    </row>
    <row r="13" spans="1:8" ht="19.8" customHeight="1" x14ac:dyDescent="0.3">
      <c r="A13" s="75">
        <v>45984</v>
      </c>
      <c r="B13" s="61" t="s">
        <v>93</v>
      </c>
      <c r="C13" s="62" t="s">
        <v>890</v>
      </c>
      <c r="D13" s="61" t="s">
        <v>882</v>
      </c>
      <c r="E13" s="76">
        <v>1.7986111111111109</v>
      </c>
      <c r="F13" s="61" t="s">
        <v>249</v>
      </c>
      <c r="G13" s="63">
        <v>5</v>
      </c>
      <c r="H13" s="64">
        <v>458</v>
      </c>
    </row>
    <row r="14" spans="1:8" ht="19.8" customHeight="1" x14ac:dyDescent="0.3">
      <c r="A14" s="75">
        <v>45984</v>
      </c>
      <c r="B14" s="61" t="s">
        <v>243</v>
      </c>
      <c r="C14" s="62" t="s">
        <v>885</v>
      </c>
      <c r="D14" s="61" t="s">
        <v>882</v>
      </c>
      <c r="E14" s="76">
        <v>1.65625</v>
      </c>
      <c r="F14" s="61" t="s">
        <v>249</v>
      </c>
      <c r="G14" s="63">
        <v>6</v>
      </c>
      <c r="H14" s="64">
        <v>521</v>
      </c>
    </row>
    <row r="15" spans="1:8" ht="19.8" customHeight="1" x14ac:dyDescent="0.3">
      <c r="A15" s="104">
        <v>45984</v>
      </c>
      <c r="B15" s="67" t="s">
        <v>46</v>
      </c>
      <c r="C15" s="68" t="s">
        <v>887</v>
      </c>
      <c r="D15" s="67" t="s">
        <v>882</v>
      </c>
      <c r="E15" s="105">
        <v>1.0347222222222221</v>
      </c>
      <c r="F15" s="67" t="s">
        <v>48</v>
      </c>
      <c r="G15" s="69">
        <v>9</v>
      </c>
      <c r="H15" s="176">
        <v>808</v>
      </c>
    </row>
  </sheetData>
  <pageMargins left="0.75" right="0.75" top="1" bottom="1" header="0.5" footer="0.5"/>
  <legacyDrawing r:id="rId1"/>
  <tableParts count="1">
    <tablePart r:id="rId2"/>
  </tableParts>
</worksheet>
</file>

<file path=xl/worksheets/sheet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H15"/>
  <sheetViews>
    <sheetView workbookViewId="0"/>
  </sheetViews>
  <sheetFormatPr defaultRowHeight="14.4" x14ac:dyDescent="0.3"/>
  <cols>
    <col min="1" max="1" width="11.88671875" bestFit="1" customWidth="1"/>
    <col min="2" max="2" width="15.5546875" bestFit="1" customWidth="1"/>
    <col min="3" max="3" width="19.21875" bestFit="1" customWidth="1"/>
    <col min="4" max="4" width="12.77734375" bestFit="1" customWidth="1"/>
    <col min="5" max="5" width="18.33203125" bestFit="1" customWidth="1"/>
    <col min="6" max="6" width="32.33203125" bestFit="1" customWidth="1"/>
    <col min="7" max="7" width="20" bestFit="1" customWidth="1"/>
    <col min="8" max="8" width="23.6640625" bestFit="1" customWidth="1"/>
    <col min="9" max="9" width="0" hidden="1" customWidth="1"/>
  </cols>
  <sheetData>
    <row r="1" spans="1:8" ht="18" x14ac:dyDescent="0.3">
      <c r="A1" s="57" t="s">
        <v>156</v>
      </c>
      <c r="B1" s="58" t="s">
        <v>8</v>
      </c>
      <c r="C1" s="58" t="s">
        <v>9</v>
      </c>
      <c r="D1" s="58" t="s">
        <v>157</v>
      </c>
      <c r="E1" s="58" t="s">
        <v>10</v>
      </c>
      <c r="F1" s="58" t="s">
        <v>11</v>
      </c>
      <c r="G1" s="58" t="s">
        <v>12</v>
      </c>
      <c r="H1" s="59" t="s">
        <v>13</v>
      </c>
    </row>
    <row r="2" spans="1:8" ht="19.8" customHeight="1" x14ac:dyDescent="0.3">
      <c r="A2" s="96"/>
      <c r="B2" s="97"/>
      <c r="C2" s="97"/>
      <c r="D2" s="97"/>
      <c r="E2" s="97"/>
      <c r="F2" s="98" t="s">
        <v>919</v>
      </c>
      <c r="G2" s="97"/>
      <c r="H2" s="99"/>
    </row>
    <row r="3" spans="1:8" ht="19.8" customHeight="1" x14ac:dyDescent="0.3">
      <c r="A3" s="60" t="s">
        <v>158</v>
      </c>
      <c r="B3" s="61" t="s">
        <v>323</v>
      </c>
      <c r="C3" s="62" t="s">
        <v>883</v>
      </c>
      <c r="D3" s="61" t="s">
        <v>882</v>
      </c>
      <c r="E3" s="61" t="s">
        <v>906</v>
      </c>
      <c r="F3" s="61" t="s">
        <v>245</v>
      </c>
      <c r="G3" s="63">
        <v>9</v>
      </c>
      <c r="H3" s="64">
        <v>845</v>
      </c>
    </row>
    <row r="4" spans="1:8" ht="19.8" customHeight="1" x14ac:dyDescent="0.3">
      <c r="A4" s="60" t="s">
        <v>158</v>
      </c>
      <c r="B4" s="61" t="s">
        <v>243</v>
      </c>
      <c r="C4" s="62" t="s">
        <v>885</v>
      </c>
      <c r="D4" s="61" t="s">
        <v>882</v>
      </c>
      <c r="E4" s="61" t="s">
        <v>907</v>
      </c>
      <c r="F4" s="61" t="s">
        <v>245</v>
      </c>
      <c r="G4" s="63">
        <v>4</v>
      </c>
      <c r="H4" s="64">
        <v>950</v>
      </c>
    </row>
    <row r="5" spans="1:8" ht="19.8" customHeight="1" x14ac:dyDescent="0.3">
      <c r="A5" s="66" t="s">
        <v>158</v>
      </c>
      <c r="B5" s="67" t="s">
        <v>46</v>
      </c>
      <c r="C5" s="68" t="s">
        <v>887</v>
      </c>
      <c r="D5" s="67" t="s">
        <v>882</v>
      </c>
      <c r="E5" s="67" t="s">
        <v>908</v>
      </c>
      <c r="F5" s="67" t="s">
        <v>48</v>
      </c>
      <c r="G5" s="69">
        <v>6</v>
      </c>
      <c r="H5" s="70" t="s">
        <v>888</v>
      </c>
    </row>
    <row r="6" spans="1:8" ht="19.8" customHeight="1" x14ac:dyDescent="0.3">
      <c r="A6" s="100" t="s">
        <v>168</v>
      </c>
      <c r="B6" s="101" t="s">
        <v>93</v>
      </c>
      <c r="C6" s="102" t="s">
        <v>911</v>
      </c>
      <c r="D6" s="101" t="s">
        <v>910</v>
      </c>
      <c r="E6" s="101" t="s">
        <v>461</v>
      </c>
      <c r="F6" s="101" t="s">
        <v>249</v>
      </c>
      <c r="G6" s="166">
        <v>7</v>
      </c>
      <c r="H6" s="167">
        <v>500</v>
      </c>
    </row>
    <row r="7" spans="1:8" ht="19.8" customHeight="1" x14ac:dyDescent="0.3">
      <c r="A7" s="96"/>
      <c r="B7" s="97"/>
      <c r="C7" s="97"/>
      <c r="D7" s="97"/>
      <c r="E7" s="97"/>
      <c r="F7" s="98" t="s">
        <v>919</v>
      </c>
      <c r="G7" s="97"/>
      <c r="H7" s="99"/>
    </row>
    <row r="8" spans="1:8" ht="19.8" customHeight="1" x14ac:dyDescent="0.3">
      <c r="A8" s="75">
        <v>45983</v>
      </c>
      <c r="B8" s="61" t="s">
        <v>243</v>
      </c>
      <c r="C8" s="62" t="s">
        <v>889</v>
      </c>
      <c r="D8" s="61" t="s">
        <v>882</v>
      </c>
      <c r="E8" s="76">
        <v>1.979166666666667</v>
      </c>
      <c r="F8" s="61" t="s">
        <v>245</v>
      </c>
      <c r="G8" s="63">
        <v>9</v>
      </c>
      <c r="H8" s="64">
        <v>550</v>
      </c>
    </row>
    <row r="9" spans="1:8" ht="19.8" customHeight="1" x14ac:dyDescent="0.3">
      <c r="A9" s="75">
        <v>45983</v>
      </c>
      <c r="B9" s="61" t="s">
        <v>93</v>
      </c>
      <c r="C9" s="62" t="s">
        <v>890</v>
      </c>
      <c r="D9" s="61" t="s">
        <v>882</v>
      </c>
      <c r="E9" s="76">
        <v>1.000694444444445</v>
      </c>
      <c r="F9" s="61" t="s">
        <v>249</v>
      </c>
      <c r="G9" s="63">
        <v>1</v>
      </c>
      <c r="H9" s="64">
        <v>562</v>
      </c>
    </row>
    <row r="10" spans="1:8" ht="19.8" customHeight="1" x14ac:dyDescent="0.3">
      <c r="A10" s="75">
        <v>45983</v>
      </c>
      <c r="B10" s="61" t="s">
        <v>323</v>
      </c>
      <c r="C10" s="62" t="s">
        <v>883</v>
      </c>
      <c r="D10" s="61" t="s">
        <v>882</v>
      </c>
      <c r="E10" s="76">
        <v>1.6076388888888891</v>
      </c>
      <c r="F10" s="61" t="s">
        <v>245</v>
      </c>
      <c r="G10" s="63">
        <v>2</v>
      </c>
      <c r="H10" s="64">
        <v>745</v>
      </c>
    </row>
    <row r="11" spans="1:8" ht="19.8" customHeight="1" x14ac:dyDescent="0.3">
      <c r="A11" s="104">
        <v>45983</v>
      </c>
      <c r="B11" s="67" t="s">
        <v>46</v>
      </c>
      <c r="C11" s="68" t="s">
        <v>887</v>
      </c>
      <c r="D11" s="67" t="s">
        <v>882</v>
      </c>
      <c r="E11" s="105">
        <v>1.03125</v>
      </c>
      <c r="F11" s="67" t="s">
        <v>48</v>
      </c>
      <c r="G11" s="69">
        <v>9</v>
      </c>
      <c r="H11" s="70" t="s">
        <v>894</v>
      </c>
    </row>
    <row r="12" spans="1:8" ht="19.8" customHeight="1" x14ac:dyDescent="0.3">
      <c r="A12" s="96"/>
      <c r="B12" s="97"/>
      <c r="C12" s="97"/>
      <c r="D12" s="97"/>
      <c r="E12" s="97"/>
      <c r="F12" s="98" t="s">
        <v>919</v>
      </c>
      <c r="G12" s="97"/>
      <c r="H12" s="99"/>
    </row>
    <row r="13" spans="1:8" ht="19.8" customHeight="1" x14ac:dyDescent="0.3">
      <c r="A13" s="75">
        <v>45984</v>
      </c>
      <c r="B13" s="61" t="s">
        <v>93</v>
      </c>
      <c r="C13" s="62" t="s">
        <v>890</v>
      </c>
      <c r="D13" s="61" t="s">
        <v>882</v>
      </c>
      <c r="E13" s="76">
        <v>1.7986111111111109</v>
      </c>
      <c r="F13" s="61" t="s">
        <v>249</v>
      </c>
      <c r="G13" s="63">
        <v>5</v>
      </c>
      <c r="H13" s="64">
        <v>458</v>
      </c>
    </row>
    <row r="14" spans="1:8" ht="19.8" customHeight="1" x14ac:dyDescent="0.3">
      <c r="A14" s="75">
        <v>45984</v>
      </c>
      <c r="B14" s="61" t="s">
        <v>243</v>
      </c>
      <c r="C14" s="62" t="s">
        <v>885</v>
      </c>
      <c r="D14" s="61" t="s">
        <v>882</v>
      </c>
      <c r="E14" s="76">
        <v>1.65625</v>
      </c>
      <c r="F14" s="61" t="s">
        <v>249</v>
      </c>
      <c r="G14" s="63">
        <v>6</v>
      </c>
      <c r="H14" s="64">
        <v>521</v>
      </c>
    </row>
    <row r="15" spans="1:8" ht="19.8" customHeight="1" x14ac:dyDescent="0.3">
      <c r="A15" s="104">
        <v>45984</v>
      </c>
      <c r="B15" s="67" t="s">
        <v>46</v>
      </c>
      <c r="C15" s="68" t="s">
        <v>887</v>
      </c>
      <c r="D15" s="67" t="s">
        <v>882</v>
      </c>
      <c r="E15" s="105">
        <v>1.0347222222222221</v>
      </c>
      <c r="F15" s="67" t="s">
        <v>48</v>
      </c>
      <c r="G15" s="69">
        <v>9</v>
      </c>
      <c r="H15" s="176">
        <v>808</v>
      </c>
    </row>
  </sheetData>
  <pageMargins left="0.75" right="0.75" top="1" bottom="1" header="0.5" footer="0.5"/>
  <legacyDrawing r:id="rId1"/>
  <tableParts count="1">
    <tablePart r:id="rId2"/>
  </tableParts>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CN16"/>
  <sheetViews>
    <sheetView workbookViewId="0"/>
  </sheetViews>
  <sheetFormatPr defaultRowHeight="14.4" x14ac:dyDescent="0.3"/>
  <cols>
    <col min="1" max="1" width="17.21875" bestFit="1" customWidth="1"/>
    <col min="2" max="2" width="15.6640625" bestFit="1" customWidth="1"/>
    <col min="3" max="3" width="14.77734375" bestFit="1" customWidth="1"/>
    <col min="4" max="4" width="32.88671875" bestFit="1" customWidth="1"/>
    <col min="5" max="5" width="18.5546875" bestFit="1" customWidth="1"/>
    <col min="6" max="6" width="23.44140625" bestFit="1" customWidth="1"/>
    <col min="7" max="7" width="44.5546875" bestFit="1" customWidth="1"/>
    <col min="8" max="8" width="9.44140625" bestFit="1" customWidth="1"/>
    <col min="9" max="9" width="8" bestFit="1" customWidth="1"/>
    <col min="10" max="10" width="7.5546875" bestFit="1" customWidth="1"/>
    <col min="11" max="11" width="23.44140625" bestFit="1" customWidth="1"/>
    <col min="12" max="12" width="10.5546875" bestFit="1" customWidth="1"/>
    <col min="13" max="13" width="10.109375" bestFit="1" customWidth="1"/>
    <col min="14" max="14" width="8.5546875" bestFit="1" customWidth="1"/>
    <col min="15" max="15" width="17.88671875" bestFit="1" customWidth="1"/>
    <col min="16" max="16" width="6.21875" bestFit="1" customWidth="1"/>
    <col min="17" max="17" width="12.21875" bestFit="1" customWidth="1"/>
    <col min="18" max="18" width="68.21875" bestFit="1" customWidth="1"/>
  </cols>
  <sheetData>
    <row r="1" spans="1:92" ht="28.8" customHeight="1" x14ac:dyDescent="0.3">
      <c r="A1" s="260" t="s">
        <v>0</v>
      </c>
      <c r="B1" s="253"/>
      <c r="C1" s="253"/>
      <c r="D1" s="253"/>
      <c r="E1" s="253"/>
      <c r="F1" s="1" t="s">
        <v>920</v>
      </c>
      <c r="G1" s="2" t="s">
        <v>2</v>
      </c>
      <c r="H1" s="259">
        <v>45982</v>
      </c>
      <c r="I1" s="253"/>
      <c r="J1" s="253"/>
      <c r="K1" s="253"/>
      <c r="L1" s="253"/>
      <c r="M1" s="1" t="s">
        <v>3</v>
      </c>
      <c r="N1" s="266">
        <v>45984</v>
      </c>
      <c r="O1" s="253"/>
      <c r="P1" s="253"/>
      <c r="Q1" s="253"/>
      <c r="R1" s="253"/>
      <c r="CA1" s="3"/>
      <c r="CB1" s="3"/>
      <c r="CC1" s="3"/>
      <c r="CD1" s="3"/>
      <c r="CE1" s="3"/>
      <c r="CF1" s="3"/>
      <c r="CG1" s="3"/>
      <c r="CH1" s="3"/>
      <c r="CI1" s="3"/>
      <c r="CJ1" s="3"/>
      <c r="CK1" s="3"/>
      <c r="CL1" s="3"/>
      <c r="CM1" s="3"/>
      <c r="CN1" s="3"/>
    </row>
    <row r="2" spans="1:92" ht="23.4" customHeight="1" x14ac:dyDescent="0.3">
      <c r="A2" s="252" t="s">
        <v>4</v>
      </c>
      <c r="B2" s="253"/>
      <c r="C2" s="253"/>
      <c r="D2" s="253"/>
      <c r="E2" s="253"/>
      <c r="F2" s="253"/>
      <c r="G2" s="261">
        <v>45981.017893859767</v>
      </c>
      <c r="H2" s="253"/>
      <c r="I2" s="253"/>
      <c r="J2" s="253"/>
      <c r="K2" s="262">
        <v>45981.017893860168</v>
      </c>
      <c r="L2" s="253"/>
      <c r="M2" s="253"/>
      <c r="N2" s="253"/>
      <c r="O2" s="253"/>
      <c r="P2" s="253"/>
      <c r="Q2" s="253"/>
      <c r="R2" s="253"/>
      <c r="CA2" s="3"/>
      <c r="CB2" s="3"/>
      <c r="CC2" s="3"/>
      <c r="CD2" s="3"/>
      <c r="CE2" s="3"/>
      <c r="CF2" s="3"/>
      <c r="CG2" s="3"/>
      <c r="CH2" s="3"/>
      <c r="CI2" s="3"/>
      <c r="CJ2" s="3"/>
      <c r="CK2" s="3"/>
      <c r="CL2" s="3"/>
      <c r="CM2" s="3"/>
      <c r="CN2" s="3"/>
    </row>
    <row r="3" spans="1:92" ht="24" customHeight="1" x14ac:dyDescent="0.3">
      <c r="A3" s="254" t="s">
        <v>5</v>
      </c>
      <c r="B3" s="253"/>
      <c r="C3" s="253"/>
      <c r="D3" s="253"/>
      <c r="E3" s="253"/>
      <c r="F3" s="253"/>
      <c r="G3" s="253"/>
      <c r="H3" s="253"/>
      <c r="I3" s="253"/>
      <c r="J3" s="253"/>
      <c r="K3" s="253"/>
      <c r="L3" s="253"/>
      <c r="M3" s="253"/>
      <c r="N3" s="253"/>
      <c r="O3" s="253"/>
      <c r="P3" s="253"/>
      <c r="Q3" s="253"/>
      <c r="R3" s="253"/>
      <c r="CA3" s="3"/>
      <c r="CB3" s="3"/>
      <c r="CC3" s="3"/>
      <c r="CD3" s="3"/>
      <c r="CE3" s="3"/>
      <c r="CF3" s="3"/>
      <c r="CG3" s="3"/>
      <c r="CH3" s="3"/>
      <c r="CI3" s="3"/>
      <c r="CJ3" s="3"/>
      <c r="CK3" s="3"/>
      <c r="CL3" s="3"/>
      <c r="CM3" s="3"/>
      <c r="CN3" s="3"/>
    </row>
    <row r="4" spans="1:92" ht="22.05" customHeight="1" x14ac:dyDescent="0.3">
      <c r="A4" s="263" t="s">
        <v>6</v>
      </c>
      <c r="B4" s="250"/>
      <c r="C4" s="250"/>
      <c r="D4" s="250"/>
      <c r="E4" s="250"/>
      <c r="F4" s="251"/>
      <c r="G4" s="4">
        <v>45982</v>
      </c>
      <c r="H4" s="264" t="s">
        <v>7</v>
      </c>
      <c r="I4" s="250"/>
      <c r="J4" s="250"/>
      <c r="K4" s="250"/>
      <c r="L4" s="250"/>
      <c r="M4" s="250"/>
      <c r="N4" s="250"/>
      <c r="O4" s="250"/>
      <c r="P4" s="250"/>
      <c r="Q4" s="250"/>
      <c r="R4" s="251"/>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x14ac:dyDescent="0.3">
      <c r="A6" s="8" t="s">
        <v>237</v>
      </c>
      <c r="B6" s="8" t="s">
        <v>921</v>
      </c>
      <c r="C6" s="9">
        <v>0.1736111111111111</v>
      </c>
      <c r="D6" s="8" t="s">
        <v>319</v>
      </c>
      <c r="E6" s="8" t="s">
        <v>309</v>
      </c>
      <c r="F6" s="8" t="s">
        <v>922</v>
      </c>
      <c r="G6" s="255"/>
      <c r="H6" s="10"/>
      <c r="I6" s="11"/>
      <c r="J6" s="11"/>
      <c r="K6" s="11"/>
      <c r="L6" s="11"/>
      <c r="M6" s="11"/>
      <c r="N6" s="11"/>
      <c r="O6" s="12"/>
      <c r="P6" s="11"/>
      <c r="Q6" s="13"/>
      <c r="R6" s="14"/>
    </row>
    <row r="7" spans="1:92" ht="49.95" customHeight="1" x14ac:dyDescent="0.3">
      <c r="A7" s="15" t="s">
        <v>237</v>
      </c>
      <c r="B7" s="15" t="s">
        <v>921</v>
      </c>
      <c r="C7" s="16">
        <v>0.1736111111111111</v>
      </c>
      <c r="D7" s="15" t="s">
        <v>44</v>
      </c>
      <c r="E7" s="15" t="s">
        <v>229</v>
      </c>
      <c r="F7" s="15" t="s">
        <v>923</v>
      </c>
      <c r="G7" s="256"/>
      <c r="H7" s="10"/>
      <c r="I7" s="11"/>
      <c r="J7" s="11"/>
      <c r="K7" s="11"/>
      <c r="L7" s="11"/>
      <c r="M7" s="11"/>
      <c r="N7" s="11"/>
      <c r="O7" s="12"/>
      <c r="P7" s="11"/>
      <c r="Q7" s="13"/>
      <c r="R7" s="14"/>
    </row>
    <row r="8" spans="1:92" ht="49.95" customHeight="1" thickBot="1" x14ac:dyDescent="0.35">
      <c r="A8" s="245" t="s">
        <v>93</v>
      </c>
      <c r="B8" s="245" t="s">
        <v>924</v>
      </c>
      <c r="C8" s="246">
        <v>2.0833333333333329E-2</v>
      </c>
      <c r="D8" s="245" t="s">
        <v>249</v>
      </c>
      <c r="E8" s="245" t="s">
        <v>49</v>
      </c>
      <c r="F8" s="245" t="s">
        <v>925</v>
      </c>
      <c r="G8" s="257"/>
      <c r="H8" s="211" t="s">
        <v>926</v>
      </c>
      <c r="I8" s="247">
        <v>0.63690000000000002</v>
      </c>
      <c r="J8" s="213">
        <v>107</v>
      </c>
      <c r="K8" s="214" t="s">
        <v>180</v>
      </c>
      <c r="L8" s="213">
        <v>33</v>
      </c>
      <c r="M8" s="213">
        <v>0</v>
      </c>
      <c r="N8" s="213">
        <v>5</v>
      </c>
      <c r="O8" s="215" t="s">
        <v>927</v>
      </c>
      <c r="P8" s="216">
        <v>2.0833333333333329E-2</v>
      </c>
      <c r="Q8" s="213">
        <v>168</v>
      </c>
      <c r="R8" s="217" t="s">
        <v>928</v>
      </c>
    </row>
    <row r="9" spans="1:92" ht="17.399999999999999" customHeight="1" thickBot="1" x14ac:dyDescent="0.35">
      <c r="A9" s="284"/>
      <c r="B9" s="285"/>
      <c r="C9" s="285"/>
      <c r="D9" s="285"/>
      <c r="E9" s="285"/>
      <c r="F9" s="285"/>
      <c r="G9" s="285"/>
      <c r="H9" s="285"/>
      <c r="I9" s="285"/>
      <c r="J9" s="285"/>
      <c r="K9" s="285"/>
      <c r="L9" s="285"/>
      <c r="M9" s="285"/>
      <c r="N9" s="285"/>
      <c r="O9" s="285"/>
      <c r="P9" s="285"/>
      <c r="Q9" s="285"/>
      <c r="R9" s="286"/>
    </row>
    <row r="10" spans="1:92" ht="22.05" customHeight="1" thickTop="1" thickBot="1" x14ac:dyDescent="0.35">
      <c r="A10" s="249" t="s">
        <v>6</v>
      </c>
      <c r="B10" s="250"/>
      <c r="C10" s="250"/>
      <c r="D10" s="250"/>
      <c r="E10" s="250"/>
      <c r="F10" s="251"/>
      <c r="G10" s="28">
        <v>45983</v>
      </c>
      <c r="H10" s="258" t="s">
        <v>7</v>
      </c>
      <c r="I10" s="250"/>
      <c r="J10" s="250"/>
      <c r="K10" s="250"/>
      <c r="L10" s="250"/>
      <c r="M10" s="250"/>
      <c r="N10" s="250"/>
      <c r="O10" s="250"/>
      <c r="P10" s="250"/>
      <c r="Q10" s="250"/>
      <c r="R10" s="251"/>
    </row>
    <row r="11" spans="1:92" ht="24" customHeight="1" x14ac:dyDescent="0.3">
      <c r="A11" s="29" t="s">
        <v>8</v>
      </c>
      <c r="B11" s="29" t="s">
        <v>9</v>
      </c>
      <c r="C11" s="30" t="s">
        <v>10</v>
      </c>
      <c r="D11" s="29" t="s">
        <v>11</v>
      </c>
      <c r="E11" s="29" t="s">
        <v>12</v>
      </c>
      <c r="F11" s="31" t="s">
        <v>13</v>
      </c>
      <c r="G11" s="32" t="s">
        <v>14</v>
      </c>
      <c r="H11" s="29" t="s">
        <v>15</v>
      </c>
      <c r="I11" s="33" t="s">
        <v>16</v>
      </c>
      <c r="J11" s="34" t="s">
        <v>17</v>
      </c>
      <c r="K11" s="35" t="s">
        <v>18</v>
      </c>
      <c r="L11" s="34" t="s">
        <v>19</v>
      </c>
      <c r="M11" s="34" t="s">
        <v>20</v>
      </c>
      <c r="N11" s="34" t="s">
        <v>21</v>
      </c>
      <c r="O11" s="29" t="s">
        <v>22</v>
      </c>
      <c r="P11" s="30" t="s">
        <v>23</v>
      </c>
      <c r="Q11" s="34" t="s">
        <v>24</v>
      </c>
      <c r="R11" s="29" t="s">
        <v>25</v>
      </c>
    </row>
    <row r="12" spans="1:92" ht="49.95" customHeight="1" thickTop="1" thickBot="1" x14ac:dyDescent="0.5">
      <c r="A12" s="218" t="s">
        <v>243</v>
      </c>
      <c r="B12" s="218" t="s">
        <v>929</v>
      </c>
      <c r="C12" s="219">
        <v>0.54166666666666663</v>
      </c>
      <c r="D12" s="218" t="s">
        <v>245</v>
      </c>
      <c r="E12" s="218" t="s">
        <v>89</v>
      </c>
      <c r="F12" s="218" t="s">
        <v>930</v>
      </c>
      <c r="G12" s="255"/>
      <c r="H12" s="23"/>
      <c r="I12" s="24"/>
      <c r="J12" s="24"/>
      <c r="K12" s="24"/>
      <c r="L12" s="24"/>
      <c r="M12" s="24"/>
      <c r="N12" s="24"/>
      <c r="O12" s="25"/>
      <c r="P12" s="24"/>
      <c r="Q12" s="26"/>
      <c r="R12" s="27"/>
    </row>
    <row r="13" spans="1:92" ht="17.399999999999999" customHeight="1" thickBot="1" x14ac:dyDescent="0.35">
      <c r="A13" s="284"/>
      <c r="B13" s="285"/>
      <c r="C13" s="285"/>
      <c r="D13" s="285"/>
      <c r="E13" s="285"/>
      <c r="F13" s="285"/>
      <c r="G13" s="285"/>
      <c r="H13" s="285"/>
      <c r="I13" s="285"/>
      <c r="J13" s="285"/>
      <c r="K13" s="285"/>
      <c r="L13" s="285"/>
      <c r="M13" s="285"/>
      <c r="N13" s="285"/>
      <c r="O13" s="285"/>
      <c r="P13" s="285"/>
      <c r="Q13" s="285"/>
      <c r="R13" s="286"/>
    </row>
    <row r="14" spans="1:92" ht="22.05" customHeight="1" thickTop="1" thickBot="1" x14ac:dyDescent="0.35">
      <c r="A14" s="249" t="s">
        <v>6</v>
      </c>
      <c r="B14" s="250"/>
      <c r="C14" s="250"/>
      <c r="D14" s="250"/>
      <c r="E14" s="250"/>
      <c r="F14" s="251"/>
      <c r="G14" s="28">
        <v>45984</v>
      </c>
      <c r="H14" s="258" t="s">
        <v>7</v>
      </c>
      <c r="I14" s="250"/>
      <c r="J14" s="250"/>
      <c r="K14" s="250"/>
      <c r="L14" s="250"/>
      <c r="M14" s="250"/>
      <c r="N14" s="250"/>
      <c r="O14" s="250"/>
      <c r="P14" s="250"/>
      <c r="Q14" s="250"/>
      <c r="R14" s="251"/>
    </row>
    <row r="15" spans="1:92" ht="24" customHeight="1" x14ac:dyDescent="0.3">
      <c r="A15" s="29" t="s">
        <v>8</v>
      </c>
      <c r="B15" s="29" t="s">
        <v>9</v>
      </c>
      <c r="C15" s="30" t="s">
        <v>10</v>
      </c>
      <c r="D15" s="29" t="s">
        <v>11</v>
      </c>
      <c r="E15" s="29" t="s">
        <v>12</v>
      </c>
      <c r="F15" s="31" t="s">
        <v>13</v>
      </c>
      <c r="G15" s="32" t="s">
        <v>14</v>
      </c>
      <c r="H15" s="29" t="s">
        <v>15</v>
      </c>
      <c r="I15" s="33" t="s">
        <v>16</v>
      </c>
      <c r="J15" s="34" t="s">
        <v>17</v>
      </c>
      <c r="K15" s="35" t="s">
        <v>18</v>
      </c>
      <c r="L15" s="34" t="s">
        <v>19</v>
      </c>
      <c r="M15" s="34" t="s">
        <v>20</v>
      </c>
      <c r="N15" s="34" t="s">
        <v>21</v>
      </c>
      <c r="O15" s="29" t="s">
        <v>22</v>
      </c>
      <c r="P15" s="30" t="s">
        <v>23</v>
      </c>
      <c r="Q15" s="34" t="s">
        <v>24</v>
      </c>
      <c r="R15" s="29" t="s">
        <v>25</v>
      </c>
    </row>
    <row r="16" spans="1:92" ht="49.95" customHeight="1" x14ac:dyDescent="0.45">
      <c r="A16" s="170" t="s">
        <v>93</v>
      </c>
      <c r="B16" s="170" t="s">
        <v>924</v>
      </c>
      <c r="C16" s="171">
        <v>2.0833333333333329E-2</v>
      </c>
      <c r="D16" s="170" t="s">
        <v>249</v>
      </c>
      <c r="E16" s="170" t="s">
        <v>205</v>
      </c>
      <c r="F16" s="170" t="s">
        <v>931</v>
      </c>
      <c r="G16" s="255"/>
      <c r="H16" s="39" t="s">
        <v>926</v>
      </c>
      <c r="I16" s="248">
        <v>0.625</v>
      </c>
      <c r="J16" s="41">
        <v>105</v>
      </c>
      <c r="K16" s="42" t="s">
        <v>180</v>
      </c>
      <c r="L16" s="41">
        <v>29</v>
      </c>
      <c r="M16" s="41">
        <v>0</v>
      </c>
      <c r="N16" s="41">
        <v>5</v>
      </c>
      <c r="O16" s="43" t="s">
        <v>418</v>
      </c>
      <c r="P16" s="44">
        <v>2.0833333333333329E-2</v>
      </c>
      <c r="Q16" s="41">
        <v>168</v>
      </c>
      <c r="R16" s="45" t="s">
        <v>932</v>
      </c>
    </row>
  </sheetData>
  <mergeCells count="18">
    <mergeCell ref="G16"/>
    <mergeCell ref="H4:R4"/>
    <mergeCell ref="H14:R14"/>
    <mergeCell ref="N1:R1"/>
    <mergeCell ref="H1:L1"/>
    <mergeCell ref="A1:E1"/>
    <mergeCell ref="G2:J2"/>
    <mergeCell ref="K2:R2"/>
    <mergeCell ref="A4:F4"/>
    <mergeCell ref="A2:F2"/>
    <mergeCell ref="A3:R3"/>
    <mergeCell ref="A10:F10"/>
    <mergeCell ref="H10:R10"/>
    <mergeCell ref="A14:F14"/>
    <mergeCell ref="G12"/>
    <mergeCell ref="A13:R13"/>
    <mergeCell ref="A9:R9"/>
    <mergeCell ref="G6:G8"/>
  </mergeCells>
  <pageMargins left="0.75" right="0.75" top="1" bottom="1" header="0.5" footer="0.5"/>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AJ4"/>
  <sheetViews>
    <sheetView workbookViewId="0"/>
  </sheetViews>
  <sheetFormatPr defaultRowHeight="15.6" outlineLevelCol="1" x14ac:dyDescent="0.3"/>
  <cols>
    <col min="1" max="1" width="10.21875" style="271" bestFit="1" customWidth="1"/>
    <col min="2" max="2" width="11.109375" style="271" bestFit="1" customWidth="1"/>
    <col min="3" max="3" width="7.88671875" style="271" bestFit="1" customWidth="1"/>
    <col min="4" max="4" width="6.77734375" style="271" bestFit="1" customWidth="1"/>
    <col min="5" max="5" width="8.44140625" style="271" bestFit="1" customWidth="1"/>
    <col min="6" max="6" width="5.21875" style="271" bestFit="1" customWidth="1"/>
    <col min="7" max="7" width="10" style="271" bestFit="1" customWidth="1"/>
    <col min="8" max="8" width="7" style="271" bestFit="1" customWidth="1"/>
    <col min="9" max="10" width="8" style="271" bestFit="1" customWidth="1"/>
    <col min="11" max="11" width="12.21875" style="271" bestFit="1" customWidth="1"/>
    <col min="12" max="12" width="21.21875" style="271" bestFit="1" customWidth="1"/>
    <col min="13" max="13" width="8.77734375" style="271" bestFit="1" customWidth="1" outlineLevel="1"/>
    <col min="14" max="14" width="7.33203125" style="271" bestFit="1" customWidth="1" outlineLevel="1"/>
    <col min="15" max="15" width="9.109375" style="271" bestFit="1" customWidth="1" outlineLevel="1"/>
    <col min="16" max="16" width="15.33203125" style="271" bestFit="1" customWidth="1"/>
    <col min="17" max="20" width="3.88671875" style="271" bestFit="1" customWidth="1"/>
    <col min="21" max="21" width="5.44140625" style="271" bestFit="1" customWidth="1"/>
    <col min="22" max="22" width="5.109375" style="271" bestFit="1" customWidth="1"/>
    <col min="23" max="23" width="5.21875" style="271" bestFit="1" customWidth="1"/>
    <col min="24" max="24" width="4.77734375" style="271" bestFit="1" customWidth="1"/>
    <col min="25" max="25" width="5.33203125" style="271" bestFit="1" customWidth="1"/>
    <col min="26" max="26" width="4.88671875" style="271" bestFit="1" customWidth="1"/>
    <col min="27" max="27" width="5.88671875" style="271" bestFit="1" customWidth="1"/>
    <col min="28" max="28" width="3.88671875" style="271" bestFit="1" customWidth="1"/>
    <col min="29" max="29" width="4" style="271" bestFit="1" customWidth="1"/>
    <col min="30" max="31" width="4.21875" style="271" bestFit="1" customWidth="1"/>
    <col min="32" max="32" width="4.44140625" style="271" bestFit="1" customWidth="1"/>
    <col min="33" max="36" width="3.88671875" style="271" bestFit="1" customWidth="1"/>
    <col min="37" max="16384" width="8.88671875" style="271"/>
  </cols>
  <sheetData>
    <row r="1" spans="1:36" x14ac:dyDescent="0.3">
      <c r="A1" s="270" t="s">
        <v>104</v>
      </c>
      <c r="B1" s="270" t="s">
        <v>105</v>
      </c>
      <c r="C1" s="270" t="s">
        <v>106</v>
      </c>
      <c r="D1" s="270" t="s">
        <v>23</v>
      </c>
      <c r="E1" s="270" t="s">
        <v>107</v>
      </c>
      <c r="F1" s="270" t="s">
        <v>108</v>
      </c>
      <c r="G1" s="270" t="s">
        <v>16</v>
      </c>
      <c r="H1" s="270" t="s">
        <v>109</v>
      </c>
      <c r="I1" s="270" t="s">
        <v>110</v>
      </c>
      <c r="J1" s="270" t="s">
        <v>111</v>
      </c>
      <c r="K1" s="270" t="s">
        <v>112</v>
      </c>
      <c r="L1" s="270" t="s">
        <v>18</v>
      </c>
      <c r="M1" s="270" t="s">
        <v>20</v>
      </c>
      <c r="N1" s="270" t="s">
        <v>21</v>
      </c>
      <c r="O1" s="270" t="s">
        <v>19</v>
      </c>
      <c r="P1" s="270" t="s">
        <v>22</v>
      </c>
      <c r="Q1" s="270" t="s">
        <v>113</v>
      </c>
      <c r="R1" s="270" t="s">
        <v>114</v>
      </c>
      <c r="S1" s="270" t="s">
        <v>115</v>
      </c>
      <c r="T1" s="270" t="s">
        <v>116</v>
      </c>
      <c r="U1" s="270" t="s">
        <v>117</v>
      </c>
      <c r="V1" s="270" t="s">
        <v>118</v>
      </c>
      <c r="W1" s="270" t="s">
        <v>119</v>
      </c>
      <c r="X1" s="270" t="s">
        <v>120</v>
      </c>
      <c r="Y1" s="270" t="s">
        <v>121</v>
      </c>
      <c r="Z1" s="270" t="s">
        <v>122</v>
      </c>
      <c r="AA1" s="270" t="s">
        <v>123</v>
      </c>
      <c r="AB1" s="270" t="s">
        <v>124</v>
      </c>
      <c r="AC1" s="270" t="s">
        <v>125</v>
      </c>
      <c r="AD1" s="270" t="s">
        <v>126</v>
      </c>
      <c r="AE1" s="270" t="s">
        <v>127</v>
      </c>
      <c r="AF1" s="270" t="s">
        <v>128</v>
      </c>
      <c r="AG1" s="270" t="s">
        <v>129</v>
      </c>
      <c r="AH1" s="270" t="s">
        <v>130</v>
      </c>
      <c r="AI1" s="270" t="s">
        <v>131</v>
      </c>
      <c r="AJ1" s="270" t="s">
        <v>132</v>
      </c>
    </row>
    <row r="2" spans="1:36" x14ac:dyDescent="0.3">
      <c r="A2" s="272" t="s">
        <v>369</v>
      </c>
      <c r="B2" s="273">
        <v>45982</v>
      </c>
      <c r="C2" s="274" t="s">
        <v>926</v>
      </c>
      <c r="D2" s="275" t="s">
        <v>933</v>
      </c>
      <c r="E2" s="274" t="s">
        <v>920</v>
      </c>
      <c r="F2" s="274" t="s">
        <v>135</v>
      </c>
      <c r="G2" s="276">
        <v>0.63690000000000002</v>
      </c>
      <c r="H2" s="277">
        <v>168</v>
      </c>
      <c r="I2" s="277">
        <v>107</v>
      </c>
      <c r="J2" s="277">
        <v>0</v>
      </c>
      <c r="K2" s="274" t="s">
        <v>136</v>
      </c>
      <c r="L2" s="278" t="s">
        <v>180</v>
      </c>
      <c r="M2" s="277">
        <v>0</v>
      </c>
      <c r="N2" s="277">
        <v>5</v>
      </c>
      <c r="O2" s="277">
        <v>33</v>
      </c>
      <c r="P2" s="274" t="s">
        <v>927</v>
      </c>
      <c r="Q2" s="270"/>
      <c r="R2" s="270"/>
      <c r="S2" s="270"/>
      <c r="T2" s="270"/>
      <c r="U2" s="277" t="s">
        <v>861</v>
      </c>
      <c r="V2" s="277" t="s">
        <v>934</v>
      </c>
      <c r="W2" s="277" t="s">
        <v>749</v>
      </c>
      <c r="X2" s="277" t="s">
        <v>935</v>
      </c>
      <c r="Y2" s="277" t="s">
        <v>380</v>
      </c>
      <c r="Z2" s="277" t="s">
        <v>936</v>
      </c>
      <c r="AA2" s="277" t="s">
        <v>864</v>
      </c>
      <c r="AB2" s="270"/>
      <c r="AC2" s="270"/>
      <c r="AD2" s="270"/>
      <c r="AE2" s="270"/>
      <c r="AF2" s="270"/>
      <c r="AG2" s="270"/>
      <c r="AH2" s="270"/>
      <c r="AI2" s="270"/>
      <c r="AJ2" s="270"/>
    </row>
    <row r="3" spans="1:36" x14ac:dyDescent="0.3">
      <c r="A3" s="272" t="s">
        <v>145</v>
      </c>
      <c r="B3" s="273">
        <v>45984</v>
      </c>
      <c r="C3" s="274" t="s">
        <v>926</v>
      </c>
      <c r="D3" s="275" t="s">
        <v>933</v>
      </c>
      <c r="E3" s="274" t="s">
        <v>920</v>
      </c>
      <c r="F3" s="274" t="s">
        <v>135</v>
      </c>
      <c r="G3" s="276">
        <v>0.625</v>
      </c>
      <c r="H3" s="277">
        <v>168</v>
      </c>
      <c r="I3" s="277">
        <v>105</v>
      </c>
      <c r="J3" s="277">
        <v>0</v>
      </c>
      <c r="K3" s="274" t="s">
        <v>136</v>
      </c>
      <c r="L3" s="278" t="s">
        <v>180</v>
      </c>
      <c r="M3" s="277">
        <v>0</v>
      </c>
      <c r="N3" s="277">
        <v>5</v>
      </c>
      <c r="O3" s="277">
        <v>29</v>
      </c>
      <c r="P3" s="274" t="s">
        <v>418</v>
      </c>
      <c r="Q3" s="270"/>
      <c r="R3" s="270"/>
      <c r="S3" s="270"/>
      <c r="T3" s="270"/>
      <c r="U3" s="270"/>
      <c r="V3" s="277" t="s">
        <v>418</v>
      </c>
      <c r="W3" s="277" t="s">
        <v>749</v>
      </c>
      <c r="X3" s="277" t="s">
        <v>937</v>
      </c>
      <c r="Y3" s="277" t="s">
        <v>938</v>
      </c>
      <c r="Z3" s="277" t="s">
        <v>939</v>
      </c>
      <c r="AA3" s="277" t="s">
        <v>440</v>
      </c>
      <c r="AB3" s="277" t="s">
        <v>150</v>
      </c>
      <c r="AC3" s="277" t="s">
        <v>139</v>
      </c>
      <c r="AD3" s="277" t="s">
        <v>383</v>
      </c>
      <c r="AE3" s="277" t="s">
        <v>384</v>
      </c>
      <c r="AF3" s="277" t="s">
        <v>407</v>
      </c>
      <c r="AG3" s="270"/>
      <c r="AH3" s="270"/>
      <c r="AI3" s="270"/>
      <c r="AJ3" s="270"/>
    </row>
    <row r="4" spans="1:36" ht="21" x14ac:dyDescent="0.3">
      <c r="A4" s="279" t="s">
        <v>946</v>
      </c>
      <c r="B4" s="280"/>
      <c r="C4" s="279">
        <f>SUBTOTAL(103,GIZ_CAI_LF_LEGACY[Flt])</f>
        <v>2</v>
      </c>
      <c r="D4" s="279"/>
      <c r="E4" s="279">
        <f>SUBTOTAL(103,GIZ_CAI_LF_LEGACY[Brd-Off])</f>
        <v>2</v>
      </c>
      <c r="F4" s="279"/>
      <c r="G4" s="281">
        <f>SUBTOTAL(101,GIZ_CAI_LF_LEGACY[LF%])</f>
        <v>0.63095000000000001</v>
      </c>
      <c r="H4" s="282">
        <f>SUBTOTAL(109,GIZ_CAI_LF_LEGACY[CAP])</f>
        <v>336</v>
      </c>
      <c r="I4" s="282">
        <f>SUBTOTAL(109,GIZ_CAI_LF_LEGACY[BKG(Y)])</f>
        <v>212</v>
      </c>
      <c r="J4" s="282">
        <f>SUBTOTAL(109,GIZ_CAI_LF_LEGACY[GRP(Y)])</f>
        <v>0</v>
      </c>
      <c r="K4" s="279"/>
      <c r="L4" s="280"/>
      <c r="M4" s="282">
        <f>SUBTOTAL(109,GIZ_CAI_LF_LEGACY[TO-DAY])</f>
        <v>0</v>
      </c>
      <c r="N4" s="282">
        <f>SUBTOTAL(109,GIZ_CAI_LF_LEGACY[Y-DAY])</f>
        <v>10</v>
      </c>
      <c r="O4" s="282">
        <f>SUBTOTAL(109,GIZ_CAI_LF_LEGACY[WEEKLY])</f>
        <v>62</v>
      </c>
      <c r="P4" s="283"/>
      <c r="Q4" s="279">
        <f>SUBTOTAL(109,GIZ_CAI_LF_LEGACY[Y])</f>
        <v>0</v>
      </c>
      <c r="R4" s="279">
        <f>SUBTOTAL(109,GIZ_CAI_LF_LEGACY[B])</f>
        <v>0</v>
      </c>
      <c r="S4" s="279">
        <f>SUBTOTAL(109,GIZ_CAI_LF_LEGACY[M])</f>
        <v>0</v>
      </c>
      <c r="T4" s="279">
        <f>SUBTOTAL(109,GIZ_CAI_LF_LEGACY[H])</f>
        <v>0</v>
      </c>
      <c r="U4" s="279">
        <f>SUBTOTAL(109,GIZ_CAI_LF_LEGACY[Q])</f>
        <v>0</v>
      </c>
      <c r="V4" s="282">
        <f>SUBTOTAL(109,GIZ_CAI_LF_LEGACY[K])</f>
        <v>0</v>
      </c>
      <c r="W4" s="282">
        <f>SUBTOTAL(109,GIZ_CAI_LF_LEGACY[V])</f>
        <v>0</v>
      </c>
      <c r="X4" s="282">
        <f>SUBTOTAL(109,GIZ_CAI_LF_LEGACY[L])</f>
        <v>0</v>
      </c>
      <c r="Y4" s="282">
        <f>SUBTOTAL(109,GIZ_CAI_LF_LEGACY[G])</f>
        <v>0</v>
      </c>
      <c r="Z4" s="282">
        <f>SUBTOTAL(109,GIZ_CAI_LF_LEGACY[S])</f>
        <v>0</v>
      </c>
      <c r="AA4" s="282">
        <f>SUBTOTAL(109,GIZ_CAI_LF_LEGACY[W])</f>
        <v>0</v>
      </c>
      <c r="AB4" s="282">
        <f>SUBTOTAL(109,GIZ_CAI_LF_LEGACY[T])</f>
        <v>0</v>
      </c>
      <c r="AC4" s="282">
        <f>SUBTOTAL(109,GIZ_CAI_LF_LEGACY[X])</f>
        <v>0</v>
      </c>
      <c r="AD4" s="282">
        <f>SUBTOTAL(109,GIZ_CAI_LF_LEGACY[U])</f>
        <v>0</v>
      </c>
      <c r="AE4" s="282">
        <f>SUBTOTAL(109,GIZ_CAI_LF_LEGACY[O])</f>
        <v>0</v>
      </c>
      <c r="AF4" s="282">
        <f>SUBTOTAL(109,GIZ_CAI_LF_LEGACY[I])</f>
        <v>0</v>
      </c>
      <c r="AG4" s="279">
        <f>SUBTOTAL(109,GIZ_CAI_LF_LEGACY[E])</f>
        <v>0</v>
      </c>
      <c r="AH4" s="279">
        <f>SUBTOTAL(109,GIZ_CAI_LF_LEGACY[A])</f>
        <v>0</v>
      </c>
      <c r="AI4" s="279">
        <f>SUBTOTAL(109,GIZ_CAI_LF_LEGACY[P])</f>
        <v>0</v>
      </c>
      <c r="AJ4" s="279">
        <f>SUBTOTAL(103,GIZ_CAI_LF_LEGACY[N])</f>
        <v>0</v>
      </c>
    </row>
  </sheetData>
  <pageMargins left="0.75" right="0.75" top="1" bottom="1" header="0.5" footer="0.5"/>
  <tableParts count="1">
    <tablePart r:id="rId1"/>
  </tableParts>
</worksheet>
</file>

<file path=xl/worksheets/sheet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H6"/>
  <sheetViews>
    <sheetView workbookViewId="0"/>
  </sheetViews>
  <sheetFormatPr defaultRowHeight="14.4" x14ac:dyDescent="0.3"/>
  <cols>
    <col min="1" max="1" width="11.88671875" bestFit="1" customWidth="1"/>
    <col min="2" max="2" width="16.6640625" bestFit="1" customWidth="1"/>
    <col min="3" max="3" width="19.21875" bestFit="1" customWidth="1"/>
    <col min="4" max="4" width="12.77734375" bestFit="1" customWidth="1"/>
    <col min="5" max="5" width="18.33203125" bestFit="1" customWidth="1"/>
    <col min="6" max="6" width="32.88671875" bestFit="1" customWidth="1"/>
    <col min="7" max="7" width="20" bestFit="1" customWidth="1"/>
    <col min="8" max="8" width="23.6640625" bestFit="1" customWidth="1"/>
    <col min="9" max="9" width="0" hidden="1" customWidth="1"/>
  </cols>
  <sheetData>
    <row r="1" spans="1:8" ht="18" x14ac:dyDescent="0.3">
      <c r="A1" s="57" t="s">
        <v>156</v>
      </c>
      <c r="B1" s="58" t="s">
        <v>8</v>
      </c>
      <c r="C1" s="58" t="s">
        <v>9</v>
      </c>
      <c r="D1" s="58" t="s">
        <v>157</v>
      </c>
      <c r="E1" s="58" t="s">
        <v>10</v>
      </c>
      <c r="F1" s="58" t="s">
        <v>11</v>
      </c>
      <c r="G1" s="58" t="s">
        <v>12</v>
      </c>
      <c r="H1" s="59" t="s">
        <v>13</v>
      </c>
    </row>
    <row r="2" spans="1:8" ht="19.8" customHeight="1" x14ac:dyDescent="0.3">
      <c r="A2" s="60" t="s">
        <v>158</v>
      </c>
      <c r="B2" s="61" t="s">
        <v>237</v>
      </c>
      <c r="C2" s="62" t="s">
        <v>921</v>
      </c>
      <c r="D2" s="61" t="s">
        <v>920</v>
      </c>
      <c r="E2" s="61" t="s">
        <v>940</v>
      </c>
      <c r="F2" s="61" t="s">
        <v>319</v>
      </c>
      <c r="G2" s="63">
        <v>8</v>
      </c>
      <c r="H2" s="65" t="s">
        <v>922</v>
      </c>
    </row>
    <row r="3" spans="1:8" ht="19.8" customHeight="1" x14ac:dyDescent="0.3">
      <c r="A3" s="60" t="s">
        <v>158</v>
      </c>
      <c r="B3" s="61" t="s">
        <v>237</v>
      </c>
      <c r="C3" s="62" t="s">
        <v>921</v>
      </c>
      <c r="D3" s="61" t="s">
        <v>920</v>
      </c>
      <c r="E3" s="61" t="s">
        <v>940</v>
      </c>
      <c r="F3" s="61" t="s">
        <v>44</v>
      </c>
      <c r="G3" s="63">
        <v>8</v>
      </c>
      <c r="H3" s="65" t="s">
        <v>923</v>
      </c>
    </row>
    <row r="4" spans="1:8" ht="19.8" customHeight="1" x14ac:dyDescent="0.3">
      <c r="A4" s="71" t="s">
        <v>158</v>
      </c>
      <c r="B4" s="72" t="s">
        <v>93</v>
      </c>
      <c r="C4" s="73" t="s">
        <v>924</v>
      </c>
      <c r="D4" s="72" t="s">
        <v>920</v>
      </c>
      <c r="E4" s="72" t="s">
        <v>933</v>
      </c>
      <c r="F4" s="72" t="s">
        <v>249</v>
      </c>
      <c r="G4" s="205">
        <v>9</v>
      </c>
      <c r="H4" s="74" t="s">
        <v>925</v>
      </c>
    </row>
    <row r="5" spans="1:8" ht="19.8" customHeight="1" x14ac:dyDescent="0.3">
      <c r="A5" s="104">
        <v>45983</v>
      </c>
      <c r="B5" s="67" t="s">
        <v>243</v>
      </c>
      <c r="C5" s="68" t="s">
        <v>929</v>
      </c>
      <c r="D5" s="67" t="s">
        <v>920</v>
      </c>
      <c r="E5" s="105">
        <v>1.541666666666667</v>
      </c>
      <c r="F5" s="67" t="s">
        <v>245</v>
      </c>
      <c r="G5" s="69">
        <v>1</v>
      </c>
      <c r="H5" s="70" t="s">
        <v>930</v>
      </c>
    </row>
    <row r="6" spans="1:8" ht="19.8" customHeight="1" x14ac:dyDescent="0.3">
      <c r="A6" s="77">
        <v>45984</v>
      </c>
      <c r="B6" s="72" t="s">
        <v>93</v>
      </c>
      <c r="C6" s="73" t="s">
        <v>924</v>
      </c>
      <c r="D6" s="72" t="s">
        <v>920</v>
      </c>
      <c r="E6" s="78">
        <v>1.020833333333333</v>
      </c>
      <c r="F6" s="72" t="s">
        <v>249</v>
      </c>
      <c r="G6" s="205">
        <v>5</v>
      </c>
      <c r="H6" s="74" t="s">
        <v>931</v>
      </c>
    </row>
  </sheetData>
  <pageMargins left="0.75" right="0.75" top="1" bottom="1" header="0.5" footer="0.5"/>
  <legacyDrawing r:id="rId1"/>
  <tableParts count="1">
    <tablePart r:id="rId2"/>
  </tableParts>
</worksheet>
</file>

<file path=xl/worksheets/sheet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1:H4"/>
  <sheetViews>
    <sheetView workbookViewId="0"/>
  </sheetViews>
  <sheetFormatPr defaultRowHeight="14.4" x14ac:dyDescent="0.3"/>
  <cols>
    <col min="1" max="1" width="11.21875" bestFit="1" customWidth="1"/>
    <col min="2" max="2" width="13.77734375" bestFit="1" customWidth="1"/>
    <col min="3" max="3" width="19.21875" bestFit="1" customWidth="1"/>
    <col min="4" max="4" width="12.77734375" bestFit="1" customWidth="1"/>
    <col min="5" max="5" width="18.33203125" bestFit="1" customWidth="1"/>
    <col min="6" max="6" width="29.21875" bestFit="1" customWidth="1"/>
    <col min="7" max="7" width="20" bestFit="1" customWidth="1"/>
    <col min="8" max="8" width="23.6640625" bestFit="1" customWidth="1"/>
    <col min="9" max="9" width="0" hidden="1" customWidth="1"/>
  </cols>
  <sheetData>
    <row r="1" spans="1:8" ht="18" x14ac:dyDescent="0.3">
      <c r="A1" s="57" t="s">
        <v>156</v>
      </c>
      <c r="B1" s="58" t="s">
        <v>8</v>
      </c>
      <c r="C1" s="58" t="s">
        <v>9</v>
      </c>
      <c r="D1" s="58" t="s">
        <v>157</v>
      </c>
      <c r="E1" s="58" t="s">
        <v>10</v>
      </c>
      <c r="F1" s="58" t="s">
        <v>11</v>
      </c>
      <c r="G1" s="58" t="s">
        <v>12</v>
      </c>
      <c r="H1" s="59" t="s">
        <v>13</v>
      </c>
    </row>
    <row r="2" spans="1:8" ht="19.8" customHeight="1" x14ac:dyDescent="0.3">
      <c r="A2" s="71" t="s">
        <v>158</v>
      </c>
      <c r="B2" s="72" t="s">
        <v>93</v>
      </c>
      <c r="C2" s="73" t="s">
        <v>924</v>
      </c>
      <c r="D2" s="72" t="s">
        <v>920</v>
      </c>
      <c r="E2" s="72" t="s">
        <v>933</v>
      </c>
      <c r="F2" s="72" t="s">
        <v>249</v>
      </c>
      <c r="G2" s="205">
        <v>9</v>
      </c>
      <c r="H2" s="74" t="s">
        <v>925</v>
      </c>
    </row>
    <row r="3" spans="1:8" ht="19.8" customHeight="1" x14ac:dyDescent="0.3">
      <c r="A3" s="104">
        <v>45983</v>
      </c>
      <c r="B3" s="67" t="s">
        <v>243</v>
      </c>
      <c r="C3" s="68" t="s">
        <v>929</v>
      </c>
      <c r="D3" s="67" t="s">
        <v>920</v>
      </c>
      <c r="E3" s="105">
        <v>1.541666666666667</v>
      </c>
      <c r="F3" s="67" t="s">
        <v>245</v>
      </c>
      <c r="G3" s="69">
        <v>1</v>
      </c>
      <c r="H3" s="70" t="s">
        <v>930</v>
      </c>
    </row>
    <row r="4" spans="1:8" ht="19.8" customHeight="1" x14ac:dyDescent="0.3">
      <c r="A4" s="77">
        <v>45984</v>
      </c>
      <c r="B4" s="72" t="s">
        <v>93</v>
      </c>
      <c r="C4" s="73" t="s">
        <v>924</v>
      </c>
      <c r="D4" s="72" t="s">
        <v>920</v>
      </c>
      <c r="E4" s="78">
        <v>1.020833333333333</v>
      </c>
      <c r="F4" s="72" t="s">
        <v>249</v>
      </c>
      <c r="G4" s="205">
        <v>5</v>
      </c>
      <c r="H4" s="74" t="s">
        <v>931</v>
      </c>
    </row>
  </sheetData>
  <pageMargins left="0.75" right="0.75" top="1" bottom="1" header="0.5" footer="0.5"/>
  <legacyDrawing r:id="rId1"/>
  <tableParts count="1">
    <tablePart r:id="rId2"/>
  </tableParts>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CN10"/>
  <sheetViews>
    <sheetView workbookViewId="0"/>
  </sheetViews>
  <sheetFormatPr defaultRowHeight="14.4" x14ac:dyDescent="0.3"/>
  <cols>
    <col min="1" max="1" width="10.21875" bestFit="1" customWidth="1"/>
    <col min="2" max="2" width="15.6640625" bestFit="1" customWidth="1"/>
    <col min="3" max="3" width="14.77734375" bestFit="1" customWidth="1"/>
    <col min="4" max="4" width="33" bestFit="1" customWidth="1"/>
    <col min="5" max="5" width="17.21875" bestFit="1" customWidth="1"/>
    <col min="6" max="6" width="23.44140625" bestFit="1" customWidth="1"/>
    <col min="7" max="7" width="48.77734375" bestFit="1" customWidth="1"/>
    <col min="8" max="8" width="9.44140625" bestFit="1" customWidth="1"/>
    <col min="9" max="9" width="6.109375" bestFit="1" customWidth="1"/>
    <col min="10" max="10" width="7.5546875" bestFit="1" customWidth="1"/>
    <col min="11" max="11" width="11.88671875" bestFit="1" customWidth="1"/>
    <col min="12" max="12" width="10.5546875" bestFit="1" customWidth="1"/>
    <col min="13" max="13" width="10.109375" bestFit="1" customWidth="1"/>
    <col min="14" max="14" width="8.5546875" bestFit="1" customWidth="1"/>
    <col min="15" max="15" width="17.88671875" bestFit="1" customWidth="1"/>
    <col min="16" max="16" width="6.109375" bestFit="1" customWidth="1"/>
    <col min="17" max="17" width="12.21875" bestFit="1" customWidth="1"/>
    <col min="18" max="18" width="10.77734375" bestFit="1" customWidth="1"/>
  </cols>
  <sheetData>
    <row r="1" spans="1:92" ht="28.8" customHeight="1" x14ac:dyDescent="0.3">
      <c r="A1" s="260" t="s">
        <v>0</v>
      </c>
      <c r="B1" s="253"/>
      <c r="C1" s="253"/>
      <c r="D1" s="253"/>
      <c r="E1" s="253"/>
      <c r="F1" s="1" t="s">
        <v>941</v>
      </c>
      <c r="G1" s="2" t="s">
        <v>2</v>
      </c>
      <c r="H1" s="259">
        <v>45982</v>
      </c>
      <c r="I1" s="253"/>
      <c r="J1" s="253"/>
      <c r="K1" s="253"/>
      <c r="L1" s="253"/>
      <c r="M1" s="1" t="s">
        <v>3</v>
      </c>
      <c r="N1" s="266">
        <v>45984</v>
      </c>
      <c r="O1" s="253"/>
      <c r="P1" s="253"/>
      <c r="Q1" s="253"/>
      <c r="R1" s="253"/>
      <c r="CA1" s="3"/>
      <c r="CB1" s="3"/>
      <c r="CC1" s="3"/>
      <c r="CD1" s="3"/>
      <c r="CE1" s="3"/>
      <c r="CF1" s="3"/>
      <c r="CG1" s="3"/>
      <c r="CH1" s="3"/>
      <c r="CI1" s="3"/>
      <c r="CJ1" s="3"/>
      <c r="CK1" s="3"/>
      <c r="CL1" s="3"/>
      <c r="CM1" s="3"/>
      <c r="CN1" s="3"/>
    </row>
    <row r="2" spans="1:92" ht="23.4" customHeight="1" x14ac:dyDescent="0.3">
      <c r="A2" s="252" t="s">
        <v>4</v>
      </c>
      <c r="B2" s="253"/>
      <c r="C2" s="253"/>
      <c r="D2" s="253"/>
      <c r="E2" s="253"/>
      <c r="F2" s="253"/>
      <c r="G2" s="261">
        <v>45981.017898009719</v>
      </c>
      <c r="H2" s="253"/>
      <c r="I2" s="253"/>
      <c r="J2" s="253"/>
      <c r="K2" s="262">
        <v>45981.017898010206</v>
      </c>
      <c r="L2" s="253"/>
      <c r="M2" s="253"/>
      <c r="N2" s="253"/>
      <c r="O2" s="253"/>
      <c r="P2" s="253"/>
      <c r="Q2" s="253"/>
      <c r="R2" s="253"/>
      <c r="CA2" s="3"/>
      <c r="CB2" s="3"/>
      <c r="CC2" s="3"/>
      <c r="CD2" s="3"/>
      <c r="CE2" s="3"/>
      <c r="CF2" s="3"/>
      <c r="CG2" s="3"/>
      <c r="CH2" s="3"/>
      <c r="CI2" s="3"/>
      <c r="CJ2" s="3"/>
      <c r="CK2" s="3"/>
      <c r="CL2" s="3"/>
      <c r="CM2" s="3"/>
      <c r="CN2" s="3"/>
    </row>
    <row r="3" spans="1:92" ht="24" customHeight="1" x14ac:dyDescent="0.3">
      <c r="A3" s="254" t="s">
        <v>5</v>
      </c>
      <c r="B3" s="253"/>
      <c r="C3" s="253"/>
      <c r="D3" s="253"/>
      <c r="E3" s="253"/>
      <c r="F3" s="253"/>
      <c r="G3" s="253"/>
      <c r="H3" s="253"/>
      <c r="I3" s="253"/>
      <c r="J3" s="253"/>
      <c r="K3" s="253"/>
      <c r="L3" s="253"/>
      <c r="M3" s="253"/>
      <c r="N3" s="253"/>
      <c r="O3" s="253"/>
      <c r="P3" s="253"/>
      <c r="Q3" s="253"/>
      <c r="R3" s="253"/>
      <c r="CA3" s="3"/>
      <c r="CB3" s="3"/>
      <c r="CC3" s="3"/>
      <c r="CD3" s="3"/>
      <c r="CE3" s="3"/>
      <c r="CF3" s="3"/>
      <c r="CG3" s="3"/>
      <c r="CH3" s="3"/>
      <c r="CI3" s="3"/>
      <c r="CJ3" s="3"/>
      <c r="CK3" s="3"/>
      <c r="CL3" s="3"/>
      <c r="CM3" s="3"/>
      <c r="CN3" s="3"/>
    </row>
    <row r="4" spans="1:92" ht="22.05" customHeight="1" x14ac:dyDescent="0.3">
      <c r="A4" s="263" t="s">
        <v>6</v>
      </c>
      <c r="B4" s="250"/>
      <c r="C4" s="250"/>
      <c r="D4" s="250"/>
      <c r="E4" s="250"/>
      <c r="F4" s="251"/>
      <c r="G4" s="4">
        <v>45983</v>
      </c>
      <c r="H4" s="264" t="s">
        <v>7</v>
      </c>
      <c r="I4" s="250"/>
      <c r="J4" s="250"/>
      <c r="K4" s="250"/>
      <c r="L4" s="250"/>
      <c r="M4" s="250"/>
      <c r="N4" s="250"/>
      <c r="O4" s="250"/>
      <c r="P4" s="250"/>
      <c r="Q4" s="250"/>
      <c r="R4" s="251"/>
      <c r="CA4" s="3"/>
      <c r="CB4" s="3"/>
      <c r="CC4" s="3"/>
      <c r="CD4" s="3"/>
      <c r="CE4" s="3"/>
      <c r="CF4" s="3"/>
      <c r="CG4" s="3"/>
      <c r="CH4" s="3"/>
      <c r="CI4" s="3"/>
      <c r="CJ4" s="3"/>
      <c r="CK4" s="3"/>
      <c r="CL4" s="3"/>
      <c r="CM4" s="3"/>
      <c r="CN4" s="3"/>
    </row>
    <row r="5" spans="1:92" ht="24" customHeight="1" x14ac:dyDescent="0.3">
      <c r="A5" s="5" t="s">
        <v>8</v>
      </c>
      <c r="B5" s="5" t="s">
        <v>9</v>
      </c>
      <c r="C5" s="5" t="s">
        <v>10</v>
      </c>
      <c r="D5" s="5" t="s">
        <v>11</v>
      </c>
      <c r="E5" s="5" t="s">
        <v>12</v>
      </c>
      <c r="F5" s="6" t="s">
        <v>13</v>
      </c>
      <c r="G5" s="7" t="s">
        <v>14</v>
      </c>
      <c r="H5" s="5" t="s">
        <v>15</v>
      </c>
      <c r="I5" s="5" t="s">
        <v>16</v>
      </c>
      <c r="J5" s="5" t="s">
        <v>17</v>
      </c>
      <c r="K5" s="5" t="s">
        <v>18</v>
      </c>
      <c r="L5" s="5" t="s">
        <v>19</v>
      </c>
      <c r="M5" s="5" t="s">
        <v>20</v>
      </c>
      <c r="N5" s="5" t="s">
        <v>21</v>
      </c>
      <c r="O5" s="5" t="s">
        <v>22</v>
      </c>
      <c r="P5" s="5" t="s">
        <v>23</v>
      </c>
      <c r="Q5" s="5" t="s">
        <v>24</v>
      </c>
      <c r="R5" s="5" t="s">
        <v>25</v>
      </c>
      <c r="CA5" s="3"/>
      <c r="CB5" s="3"/>
      <c r="CC5" s="3"/>
      <c r="CD5" s="3"/>
      <c r="CE5" s="3"/>
      <c r="CF5" s="3"/>
      <c r="CG5" s="3"/>
      <c r="CH5" s="3"/>
      <c r="CI5" s="3"/>
      <c r="CJ5" s="3"/>
      <c r="CK5" s="3"/>
      <c r="CL5" s="3"/>
      <c r="CM5" s="3"/>
      <c r="CN5" s="3"/>
    </row>
    <row r="6" spans="1:92" ht="49.95" customHeight="1" thickTop="1" thickBot="1" x14ac:dyDescent="0.5">
      <c r="A6" s="218" t="s">
        <v>56</v>
      </c>
      <c r="B6" s="218" t="s">
        <v>942</v>
      </c>
      <c r="C6" s="219">
        <v>0.69097222222222221</v>
      </c>
      <c r="D6" s="218" t="s">
        <v>58</v>
      </c>
      <c r="E6" s="218" t="s">
        <v>219</v>
      </c>
      <c r="F6" s="218" t="s">
        <v>943</v>
      </c>
      <c r="G6" s="255"/>
      <c r="H6" s="23"/>
      <c r="I6" s="24"/>
      <c r="J6" s="24"/>
      <c r="K6" s="24"/>
      <c r="L6" s="24"/>
      <c r="M6" s="24"/>
      <c r="N6" s="24"/>
      <c r="O6" s="25"/>
      <c r="P6" s="24"/>
      <c r="Q6" s="26"/>
      <c r="R6" s="27"/>
    </row>
    <row r="7" spans="1:92" ht="17.399999999999999" customHeight="1" thickBot="1" x14ac:dyDescent="0.35">
      <c r="A7" s="284"/>
      <c r="B7" s="285"/>
      <c r="C7" s="285"/>
      <c r="D7" s="285"/>
      <c r="E7" s="285"/>
      <c r="F7" s="285"/>
      <c r="G7" s="285"/>
      <c r="H7" s="285"/>
      <c r="I7" s="285"/>
      <c r="J7" s="285"/>
      <c r="K7" s="285"/>
      <c r="L7" s="285"/>
      <c r="M7" s="285"/>
      <c r="N7" s="285"/>
      <c r="O7" s="285"/>
      <c r="P7" s="285"/>
      <c r="Q7" s="285"/>
      <c r="R7" s="286"/>
    </row>
    <row r="8" spans="1:92" ht="22.05" customHeight="1" thickTop="1" thickBot="1" x14ac:dyDescent="0.35">
      <c r="A8" s="249" t="s">
        <v>6</v>
      </c>
      <c r="B8" s="250"/>
      <c r="C8" s="250"/>
      <c r="D8" s="250"/>
      <c r="E8" s="250"/>
      <c r="F8" s="251"/>
      <c r="G8" s="28">
        <v>45984</v>
      </c>
      <c r="H8" s="258" t="s">
        <v>7</v>
      </c>
      <c r="I8" s="250"/>
      <c r="J8" s="250"/>
      <c r="K8" s="250"/>
      <c r="L8" s="250"/>
      <c r="M8" s="250"/>
      <c r="N8" s="250"/>
      <c r="O8" s="250"/>
      <c r="P8" s="250"/>
      <c r="Q8" s="250"/>
      <c r="R8" s="251"/>
    </row>
    <row r="9" spans="1:92" ht="24" customHeight="1" x14ac:dyDescent="0.3">
      <c r="A9" s="29" t="s">
        <v>8</v>
      </c>
      <c r="B9" s="29" t="s">
        <v>9</v>
      </c>
      <c r="C9" s="30" t="s">
        <v>10</v>
      </c>
      <c r="D9" s="29" t="s">
        <v>11</v>
      </c>
      <c r="E9" s="29" t="s">
        <v>12</v>
      </c>
      <c r="F9" s="31" t="s">
        <v>13</v>
      </c>
      <c r="G9" s="32" t="s">
        <v>14</v>
      </c>
      <c r="H9" s="29" t="s">
        <v>15</v>
      </c>
      <c r="I9" s="33" t="s">
        <v>16</v>
      </c>
      <c r="J9" s="34" t="s">
        <v>17</v>
      </c>
      <c r="K9" s="35" t="s">
        <v>18</v>
      </c>
      <c r="L9" s="34" t="s">
        <v>19</v>
      </c>
      <c r="M9" s="34" t="s">
        <v>20</v>
      </c>
      <c r="N9" s="34" t="s">
        <v>21</v>
      </c>
      <c r="O9" s="29" t="s">
        <v>22</v>
      </c>
      <c r="P9" s="30" t="s">
        <v>23</v>
      </c>
      <c r="Q9" s="34" t="s">
        <v>24</v>
      </c>
      <c r="R9" s="29" t="s">
        <v>25</v>
      </c>
    </row>
    <row r="10" spans="1:92" ht="49.95" customHeight="1" x14ac:dyDescent="0.45">
      <c r="A10" s="218" t="s">
        <v>56</v>
      </c>
      <c r="B10" s="218" t="s">
        <v>942</v>
      </c>
      <c r="C10" s="219">
        <v>0.69097222222222221</v>
      </c>
      <c r="D10" s="218" t="s">
        <v>58</v>
      </c>
      <c r="E10" s="218" t="s">
        <v>59</v>
      </c>
      <c r="F10" s="218" t="s">
        <v>943</v>
      </c>
      <c r="G10" s="255"/>
      <c r="H10" s="23"/>
      <c r="I10" s="24"/>
      <c r="J10" s="24"/>
      <c r="K10" s="24"/>
      <c r="L10" s="24"/>
      <c r="M10" s="24"/>
      <c r="N10" s="24"/>
      <c r="O10" s="25"/>
      <c r="P10" s="24"/>
      <c r="Q10" s="26"/>
      <c r="R10" s="27"/>
    </row>
  </sheetData>
  <mergeCells count="14">
    <mergeCell ref="G10"/>
    <mergeCell ref="H4:R4"/>
    <mergeCell ref="G6"/>
    <mergeCell ref="N1:R1"/>
    <mergeCell ref="H1:L1"/>
    <mergeCell ref="A1:E1"/>
    <mergeCell ref="G2:J2"/>
    <mergeCell ref="K2:R2"/>
    <mergeCell ref="A4:F4"/>
    <mergeCell ref="A2:F2"/>
    <mergeCell ref="A3:R3"/>
    <mergeCell ref="H8:R8"/>
    <mergeCell ref="A7:R7"/>
    <mergeCell ref="A8:F8"/>
  </mergeCells>
  <pageMargins left="0.75" right="0.75" top="1" bottom="1" header="0.5" footer="0.5"/>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A1:AJ1"/>
  <sheetViews>
    <sheetView workbookViewId="0"/>
  </sheetViews>
  <sheetFormatPr defaultRowHeight="15.6" outlineLevelCol="1" x14ac:dyDescent="0.3"/>
  <cols>
    <col min="1" max="1" width="5.33203125" style="271" bestFit="1" customWidth="1"/>
    <col min="2" max="2" width="6.77734375" style="271" bestFit="1" customWidth="1"/>
    <col min="3" max="3" width="4" style="271" bestFit="1" customWidth="1"/>
    <col min="4" max="4" width="5.44140625" style="271" bestFit="1" customWidth="1"/>
    <col min="5" max="5" width="8.33203125" style="271" bestFit="1" customWidth="1"/>
    <col min="6" max="7" width="5.21875" style="271" bestFit="1" customWidth="1"/>
    <col min="8" max="8" width="5.33203125" style="271" bestFit="1" customWidth="1"/>
    <col min="9" max="10" width="8" style="271" bestFit="1" customWidth="1"/>
    <col min="11" max="11" width="7.33203125" style="271" bestFit="1" customWidth="1"/>
    <col min="12" max="12" width="10.109375" style="271" bestFit="1" customWidth="1"/>
    <col min="13" max="13" width="8.77734375" style="271" bestFit="1" customWidth="1" outlineLevel="1"/>
    <col min="14" max="14" width="7.33203125" style="271" bestFit="1" customWidth="1" outlineLevel="1"/>
    <col min="15" max="15" width="9.109375" style="271" bestFit="1" customWidth="1" outlineLevel="1"/>
    <col min="16" max="16" width="15.33203125" style="271" bestFit="1" customWidth="1"/>
    <col min="17" max="17" width="2.77734375" style="271" bestFit="1" customWidth="1"/>
    <col min="18" max="18" width="2.88671875" style="271" bestFit="1" customWidth="1"/>
    <col min="19" max="19" width="3.5546875" style="271" bestFit="1" customWidth="1"/>
    <col min="20" max="20" width="3.109375" style="271" bestFit="1" customWidth="1"/>
    <col min="21" max="21" width="3.21875" style="271" bestFit="1" customWidth="1"/>
    <col min="22" max="22" width="2.88671875" style="271" bestFit="1" customWidth="1"/>
    <col min="23" max="23" width="3" style="271" bestFit="1" customWidth="1"/>
    <col min="24" max="24" width="2.5546875" style="271" bestFit="1" customWidth="1"/>
    <col min="25" max="25" width="3.109375" style="271" bestFit="1" customWidth="1"/>
    <col min="26" max="26" width="2.6640625" style="271" bestFit="1" customWidth="1"/>
    <col min="27" max="27" width="3.6640625" style="271" bestFit="1" customWidth="1"/>
    <col min="28" max="28" width="2.77734375" style="271" bestFit="1" customWidth="1"/>
    <col min="29" max="29" width="2.88671875" style="271" bestFit="1" customWidth="1"/>
    <col min="30" max="31" width="3.109375" style="271" bestFit="1" customWidth="1"/>
    <col min="32" max="32" width="2.21875" style="271" bestFit="1" customWidth="1"/>
    <col min="33" max="33" width="2.77734375" style="271" bestFit="1" customWidth="1"/>
    <col min="34" max="34" width="3" style="271" bestFit="1" customWidth="1"/>
    <col min="35" max="35" width="2.88671875" style="271" bestFit="1" customWidth="1"/>
    <col min="36" max="36" width="3.109375" style="271" bestFit="1" customWidth="1"/>
    <col min="37" max="16384" width="8.88671875" style="271"/>
  </cols>
  <sheetData>
    <row r="1" spans="1:36" x14ac:dyDescent="0.3">
      <c r="A1" s="270" t="s">
        <v>104</v>
      </c>
      <c r="B1" s="270" t="s">
        <v>105</v>
      </c>
      <c r="C1" s="270" t="s">
        <v>106</v>
      </c>
      <c r="D1" s="270" t="s">
        <v>23</v>
      </c>
      <c r="E1" s="270" t="s">
        <v>107</v>
      </c>
      <c r="F1" s="270" t="s">
        <v>108</v>
      </c>
      <c r="G1" s="270" t="s">
        <v>16</v>
      </c>
      <c r="H1" s="270" t="s">
        <v>109</v>
      </c>
      <c r="I1" s="270" t="s">
        <v>110</v>
      </c>
      <c r="J1" s="270" t="s">
        <v>111</v>
      </c>
      <c r="K1" s="270" t="s">
        <v>112</v>
      </c>
      <c r="L1" s="270" t="s">
        <v>18</v>
      </c>
      <c r="M1" s="270" t="s">
        <v>20</v>
      </c>
      <c r="N1" s="270" t="s">
        <v>21</v>
      </c>
      <c r="O1" s="270" t="s">
        <v>19</v>
      </c>
      <c r="P1" s="270" t="s">
        <v>22</v>
      </c>
      <c r="Q1" s="270" t="s">
        <v>113</v>
      </c>
      <c r="R1" s="270" t="s">
        <v>114</v>
      </c>
      <c r="S1" s="270" t="s">
        <v>115</v>
      </c>
      <c r="T1" s="270" t="s">
        <v>116</v>
      </c>
      <c r="U1" s="270" t="s">
        <v>117</v>
      </c>
      <c r="V1" s="270" t="s">
        <v>118</v>
      </c>
      <c r="W1" s="270" t="s">
        <v>119</v>
      </c>
      <c r="X1" s="270" t="s">
        <v>120</v>
      </c>
      <c r="Y1" s="270" t="s">
        <v>121</v>
      </c>
      <c r="Z1" s="270" t="s">
        <v>122</v>
      </c>
      <c r="AA1" s="270" t="s">
        <v>123</v>
      </c>
      <c r="AB1" s="270" t="s">
        <v>124</v>
      </c>
      <c r="AC1" s="270" t="s">
        <v>125</v>
      </c>
      <c r="AD1" s="270" t="s">
        <v>126</v>
      </c>
      <c r="AE1" s="270" t="s">
        <v>127</v>
      </c>
      <c r="AF1" s="270" t="s">
        <v>128</v>
      </c>
      <c r="AG1" s="270" t="s">
        <v>129</v>
      </c>
      <c r="AH1" s="270" t="s">
        <v>130</v>
      </c>
      <c r="AI1" s="270" t="s">
        <v>131</v>
      </c>
      <c r="AJ1" s="270" t="s">
        <v>132</v>
      </c>
    </row>
  </sheetData>
  <pageMargins left="0.75" right="0.75" top="1" bottom="1" header="0.5" footer="0.5"/>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dimension ref="A1:H3"/>
  <sheetViews>
    <sheetView workbookViewId="0"/>
  </sheetViews>
  <sheetFormatPr defaultRowHeight="14.4" x14ac:dyDescent="0.3"/>
  <cols>
    <col min="1" max="1" width="11.88671875" bestFit="1" customWidth="1"/>
    <col min="2" max="2" width="13.77734375" bestFit="1" customWidth="1"/>
    <col min="3" max="3" width="19.21875" bestFit="1" customWidth="1"/>
    <col min="4" max="4" width="12.77734375" bestFit="1" customWidth="1"/>
    <col min="5" max="5" width="18.33203125" bestFit="1" customWidth="1"/>
    <col min="6" max="6" width="31.77734375" bestFit="1" customWidth="1"/>
    <col min="7" max="7" width="20" bestFit="1" customWidth="1"/>
    <col min="8" max="8" width="23.6640625" bestFit="1" customWidth="1"/>
    <col min="9" max="9" width="0" hidden="1" customWidth="1"/>
  </cols>
  <sheetData>
    <row r="1" spans="1:8" ht="18" x14ac:dyDescent="0.3">
      <c r="A1" s="57" t="s">
        <v>156</v>
      </c>
      <c r="B1" s="58" t="s">
        <v>8</v>
      </c>
      <c r="C1" s="58" t="s">
        <v>9</v>
      </c>
      <c r="D1" s="58" t="s">
        <v>157</v>
      </c>
      <c r="E1" s="58" t="s">
        <v>10</v>
      </c>
      <c r="F1" s="58" t="s">
        <v>11</v>
      </c>
      <c r="G1" s="58" t="s">
        <v>12</v>
      </c>
      <c r="H1" s="59" t="s">
        <v>13</v>
      </c>
    </row>
    <row r="2" spans="1:8" ht="19.8" customHeight="1" x14ac:dyDescent="0.3">
      <c r="A2" s="66" t="s">
        <v>168</v>
      </c>
      <c r="B2" s="67" t="s">
        <v>56</v>
      </c>
      <c r="C2" s="68" t="s">
        <v>942</v>
      </c>
      <c r="D2" s="67" t="s">
        <v>941</v>
      </c>
      <c r="E2" s="67" t="s">
        <v>944</v>
      </c>
      <c r="F2" s="67" t="s">
        <v>58</v>
      </c>
      <c r="G2" s="69">
        <v>7</v>
      </c>
      <c r="H2" s="70" t="s">
        <v>943</v>
      </c>
    </row>
    <row r="3" spans="1:8" ht="19.8" customHeight="1" x14ac:dyDescent="0.3">
      <c r="A3" s="66" t="s">
        <v>189</v>
      </c>
      <c r="B3" s="67" t="s">
        <v>56</v>
      </c>
      <c r="C3" s="68" t="s">
        <v>942</v>
      </c>
      <c r="D3" s="67" t="s">
        <v>941</v>
      </c>
      <c r="E3" s="67" t="s">
        <v>944</v>
      </c>
      <c r="F3" s="67" t="s">
        <v>58</v>
      </c>
      <c r="G3" s="69">
        <v>4</v>
      </c>
      <c r="H3" s="70" t="s">
        <v>943</v>
      </c>
    </row>
  </sheetData>
  <pageMargins left="0.75" right="0.75" top="1" bottom="1" header="0.5" footer="0.5"/>
  <tableParts count="1">
    <tablePart r:id="rId1"/>
  </tableParts>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dimension ref="A1:H3"/>
  <sheetViews>
    <sheetView workbookViewId="0"/>
  </sheetViews>
  <sheetFormatPr defaultRowHeight="14.4" x14ac:dyDescent="0.3"/>
  <cols>
    <col min="1" max="1" width="11.88671875" bestFit="1" customWidth="1"/>
    <col min="2" max="2" width="13.77734375" bestFit="1" customWidth="1"/>
    <col min="3" max="3" width="19.21875" bestFit="1" customWidth="1"/>
    <col min="4" max="4" width="12.77734375" bestFit="1" customWidth="1"/>
    <col min="5" max="5" width="18.33203125" bestFit="1" customWidth="1"/>
    <col min="6" max="6" width="31.77734375" bestFit="1" customWidth="1"/>
    <col min="7" max="7" width="20" bestFit="1" customWidth="1"/>
    <col min="8" max="8" width="23.6640625" bestFit="1" customWidth="1"/>
    <col min="9" max="9" width="0" hidden="1" customWidth="1"/>
  </cols>
  <sheetData>
    <row r="1" spans="1:8" ht="18" x14ac:dyDescent="0.3">
      <c r="A1" s="57" t="s">
        <v>156</v>
      </c>
      <c r="B1" s="58" t="s">
        <v>8</v>
      </c>
      <c r="C1" s="58" t="s">
        <v>9</v>
      </c>
      <c r="D1" s="58" t="s">
        <v>157</v>
      </c>
      <c r="E1" s="58" t="s">
        <v>10</v>
      </c>
      <c r="F1" s="58" t="s">
        <v>11</v>
      </c>
      <c r="G1" s="58" t="s">
        <v>12</v>
      </c>
      <c r="H1" s="59" t="s">
        <v>13</v>
      </c>
    </row>
    <row r="2" spans="1:8" ht="19.8" customHeight="1" x14ac:dyDescent="0.3">
      <c r="A2" s="66" t="s">
        <v>168</v>
      </c>
      <c r="B2" s="67" t="s">
        <v>56</v>
      </c>
      <c r="C2" s="68" t="s">
        <v>942</v>
      </c>
      <c r="D2" s="67" t="s">
        <v>941</v>
      </c>
      <c r="E2" s="67" t="s">
        <v>944</v>
      </c>
      <c r="F2" s="67" t="s">
        <v>58</v>
      </c>
      <c r="G2" s="69">
        <v>7</v>
      </c>
      <c r="H2" s="70" t="s">
        <v>943</v>
      </c>
    </row>
    <row r="3" spans="1:8" ht="19.8" customHeight="1" x14ac:dyDescent="0.3">
      <c r="A3" s="66" t="s">
        <v>189</v>
      </c>
      <c r="B3" s="67" t="s">
        <v>56</v>
      </c>
      <c r="C3" s="68" t="s">
        <v>942</v>
      </c>
      <c r="D3" s="67" t="s">
        <v>941</v>
      </c>
      <c r="E3" s="67" t="s">
        <v>944</v>
      </c>
      <c r="F3" s="67" t="s">
        <v>58</v>
      </c>
      <c r="G3" s="69">
        <v>4</v>
      </c>
      <c r="H3" s="70" t="s">
        <v>943</v>
      </c>
    </row>
  </sheetData>
  <pageMargins left="0.75" right="0.75" top="1" bottom="1" header="0.5" footer="0.5"/>
  <tableParts count="1">
    <tablePart r:id="rId1"/>
  </tableParts>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dimension ref="A1:CN5"/>
  <sheetViews>
    <sheetView workbookViewId="0"/>
  </sheetViews>
  <sheetFormatPr defaultRowHeight="14.4" x14ac:dyDescent="0.3"/>
  <cols>
    <col min="6" max="6" width="17.77734375" bestFit="1" customWidth="1"/>
    <col min="7" max="7" width="13.5546875" bestFit="1" customWidth="1"/>
    <col min="13" max="13" width="7.77734375" bestFit="1" customWidth="1"/>
  </cols>
  <sheetData>
    <row r="1" spans="1:92" ht="28.8" customHeight="1" x14ac:dyDescent="0.3">
      <c r="A1" s="260" t="s">
        <v>0</v>
      </c>
      <c r="B1" s="253"/>
      <c r="C1" s="253"/>
      <c r="D1" s="253"/>
      <c r="E1" s="253"/>
      <c r="F1" s="1" t="s">
        <v>945</v>
      </c>
      <c r="G1" s="2" t="s">
        <v>2</v>
      </c>
      <c r="H1" s="259">
        <v>45982</v>
      </c>
      <c r="I1" s="253"/>
      <c r="J1" s="253"/>
      <c r="K1" s="253"/>
      <c r="L1" s="253"/>
      <c r="M1" s="1" t="s">
        <v>3</v>
      </c>
      <c r="N1" s="266">
        <v>45984</v>
      </c>
      <c r="O1" s="253"/>
      <c r="P1" s="253"/>
      <c r="Q1" s="253"/>
      <c r="R1" s="253"/>
      <c r="CA1" s="3"/>
      <c r="CB1" s="3"/>
      <c r="CC1" s="3"/>
      <c r="CD1" s="3"/>
      <c r="CE1" s="3"/>
      <c r="CF1" s="3"/>
      <c r="CG1" s="3"/>
      <c r="CH1" s="3"/>
      <c r="CI1" s="3"/>
      <c r="CJ1" s="3"/>
      <c r="CK1" s="3"/>
      <c r="CL1" s="3"/>
      <c r="CM1" s="3"/>
      <c r="CN1" s="3"/>
    </row>
    <row r="2" spans="1:92" ht="23.4" customHeight="1" x14ac:dyDescent="0.3">
      <c r="A2" s="252" t="s">
        <v>4</v>
      </c>
      <c r="B2" s="253"/>
      <c r="C2" s="253"/>
      <c r="D2" s="253"/>
      <c r="E2" s="253"/>
      <c r="F2" s="253"/>
      <c r="G2" s="261">
        <v>45981.017900400308</v>
      </c>
      <c r="H2" s="253"/>
      <c r="I2" s="253"/>
      <c r="J2" s="253"/>
      <c r="K2" s="262">
        <v>45981.01790040073</v>
      </c>
      <c r="L2" s="253"/>
      <c r="M2" s="253"/>
      <c r="N2" s="253"/>
      <c r="O2" s="253"/>
      <c r="P2" s="253"/>
      <c r="Q2" s="253"/>
      <c r="R2" s="253"/>
      <c r="CA2" s="3"/>
      <c r="CB2" s="3"/>
      <c r="CC2" s="3"/>
      <c r="CD2" s="3"/>
      <c r="CE2" s="3"/>
      <c r="CF2" s="3"/>
      <c r="CG2" s="3"/>
      <c r="CH2" s="3"/>
      <c r="CI2" s="3"/>
      <c r="CJ2" s="3"/>
      <c r="CK2" s="3"/>
      <c r="CL2" s="3"/>
      <c r="CM2" s="3"/>
      <c r="CN2" s="3"/>
    </row>
    <row r="3" spans="1:92" ht="24" customHeight="1" x14ac:dyDescent="0.3">
      <c r="A3" s="254" t="s">
        <v>5</v>
      </c>
      <c r="B3" s="253"/>
      <c r="C3" s="253"/>
      <c r="D3" s="253"/>
      <c r="E3" s="253"/>
      <c r="F3" s="253"/>
      <c r="G3" s="253"/>
      <c r="H3" s="253"/>
      <c r="I3" s="253"/>
      <c r="J3" s="253"/>
      <c r="K3" s="253"/>
      <c r="L3" s="253"/>
      <c r="M3" s="253"/>
      <c r="N3" s="253"/>
      <c r="O3" s="253"/>
      <c r="P3" s="253"/>
      <c r="Q3" s="253"/>
      <c r="R3" s="253"/>
      <c r="CA3" s="3"/>
      <c r="CB3" s="3"/>
      <c r="CC3" s="3"/>
      <c r="CD3" s="3"/>
      <c r="CE3" s="3"/>
      <c r="CF3" s="3"/>
      <c r="CG3" s="3"/>
      <c r="CH3" s="3"/>
      <c r="CI3" s="3"/>
      <c r="CJ3" s="3"/>
      <c r="CK3" s="3"/>
      <c r="CL3" s="3"/>
      <c r="CM3" s="3"/>
      <c r="CN3" s="3"/>
    </row>
    <row r="4" spans="1:92" ht="21.6" customHeight="1" x14ac:dyDescent="0.5">
      <c r="A4" s="189"/>
      <c r="B4" s="189"/>
      <c r="C4" s="189"/>
      <c r="D4" s="189"/>
      <c r="E4" s="189"/>
      <c r="F4" s="189"/>
      <c r="G4" s="189"/>
      <c r="H4" s="190"/>
      <c r="I4" s="191"/>
      <c r="J4" s="191"/>
      <c r="K4" s="191"/>
      <c r="L4" s="191"/>
      <c r="M4" s="191"/>
      <c r="N4" s="191"/>
      <c r="O4" s="191"/>
      <c r="P4" s="191"/>
      <c r="Q4" s="191"/>
      <c r="R4" s="191"/>
      <c r="CA4" s="3"/>
      <c r="CB4" s="3"/>
      <c r="CC4" s="3"/>
      <c r="CD4" s="3"/>
      <c r="CE4" s="3"/>
      <c r="CF4" s="3"/>
      <c r="CG4" s="3"/>
      <c r="CH4" s="3"/>
      <c r="CI4" s="3"/>
      <c r="CJ4" s="3"/>
      <c r="CK4" s="3"/>
      <c r="CL4" s="3"/>
      <c r="CM4" s="3"/>
      <c r="CN4" s="3"/>
    </row>
    <row r="5" spans="1:92" ht="18.600000000000001" customHeight="1" x14ac:dyDescent="0.3">
      <c r="A5" s="191"/>
      <c r="B5" s="191"/>
      <c r="C5" s="191"/>
      <c r="D5" s="191"/>
      <c r="E5" s="191"/>
      <c r="F5" s="191"/>
      <c r="G5" s="191"/>
      <c r="H5" s="191"/>
      <c r="I5" s="191"/>
      <c r="J5" s="191"/>
      <c r="K5" s="191"/>
      <c r="L5" s="191"/>
      <c r="M5" s="191"/>
      <c r="N5" s="191"/>
      <c r="O5" s="191"/>
      <c r="P5" s="191"/>
      <c r="Q5" s="191"/>
      <c r="R5" s="191"/>
      <c r="CA5" s="3"/>
      <c r="CB5" s="3"/>
      <c r="CC5" s="3"/>
      <c r="CD5" s="3"/>
      <c r="CE5" s="3"/>
      <c r="CF5" s="3"/>
      <c r="CG5" s="3"/>
      <c r="CH5" s="3"/>
      <c r="CI5" s="3"/>
      <c r="CJ5" s="3"/>
      <c r="CK5" s="3"/>
      <c r="CL5" s="3"/>
      <c r="CM5" s="3"/>
      <c r="CN5" s="3"/>
    </row>
  </sheetData>
  <mergeCells count="7">
    <mergeCell ref="A2:F2"/>
    <mergeCell ref="A3:R3"/>
    <mergeCell ref="H1:L1"/>
    <mergeCell ref="A1:E1"/>
    <mergeCell ref="G2:J2"/>
    <mergeCell ref="K2:R2"/>
    <mergeCell ref="N1:R1"/>
  </mergeCells>
  <pageMargins left="0.75" right="0.75" top="1" bottom="1" header="0.5" footer="0.5"/>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dimension ref="A1:AJ1"/>
  <sheetViews>
    <sheetView workbookViewId="0"/>
  </sheetViews>
  <sheetFormatPr defaultRowHeight="15.6" outlineLevelCol="1" x14ac:dyDescent="0.3"/>
  <cols>
    <col min="1" max="1" width="5.33203125" style="271" bestFit="1" customWidth="1"/>
    <col min="2" max="2" width="6.77734375" style="271" bestFit="1" customWidth="1"/>
    <col min="3" max="3" width="4" style="271" bestFit="1" customWidth="1"/>
    <col min="4" max="4" width="5.44140625" style="271" bestFit="1" customWidth="1"/>
    <col min="5" max="5" width="8.33203125" style="271" bestFit="1" customWidth="1"/>
    <col min="6" max="7" width="5.21875" style="271" bestFit="1" customWidth="1"/>
    <col min="8" max="8" width="5.33203125" style="271" bestFit="1" customWidth="1"/>
    <col min="9" max="10" width="8" style="271" bestFit="1" customWidth="1"/>
    <col min="11" max="11" width="7.33203125" style="271" bestFit="1" customWidth="1"/>
    <col min="12" max="12" width="10.109375" style="271" bestFit="1" customWidth="1"/>
    <col min="13" max="13" width="8.77734375" style="271" bestFit="1" customWidth="1" outlineLevel="1"/>
    <col min="14" max="14" width="7.33203125" style="271" bestFit="1" customWidth="1" outlineLevel="1"/>
    <col min="15" max="15" width="9.109375" style="271" bestFit="1" customWidth="1" outlineLevel="1"/>
    <col min="16" max="16" width="15.33203125" style="271" bestFit="1" customWidth="1"/>
    <col min="17" max="17" width="2.77734375" style="271" bestFit="1" customWidth="1"/>
    <col min="18" max="18" width="2.88671875" style="271" bestFit="1" customWidth="1"/>
    <col min="19" max="19" width="3.5546875" style="271" bestFit="1" customWidth="1"/>
    <col min="20" max="20" width="3.109375" style="271" bestFit="1" customWidth="1"/>
    <col min="21" max="21" width="3.21875" style="271" bestFit="1" customWidth="1"/>
    <col min="22" max="22" width="2.88671875" style="271" bestFit="1" customWidth="1"/>
    <col min="23" max="23" width="3" style="271" bestFit="1" customWidth="1"/>
    <col min="24" max="24" width="2.5546875" style="271" bestFit="1" customWidth="1"/>
    <col min="25" max="25" width="3.109375" style="271" bestFit="1" customWidth="1"/>
    <col min="26" max="26" width="2.6640625" style="271" bestFit="1" customWidth="1"/>
    <col min="27" max="27" width="3.6640625" style="271" bestFit="1" customWidth="1"/>
    <col min="28" max="28" width="2.77734375" style="271" bestFit="1" customWidth="1"/>
    <col min="29" max="29" width="2.88671875" style="271" bestFit="1" customWidth="1"/>
    <col min="30" max="31" width="3.109375" style="271" bestFit="1" customWidth="1"/>
    <col min="32" max="32" width="2.21875" style="271" bestFit="1" customWidth="1"/>
    <col min="33" max="33" width="2.77734375" style="271" bestFit="1" customWidth="1"/>
    <col min="34" max="34" width="3" style="271" bestFit="1" customWidth="1"/>
    <col min="35" max="35" width="2.88671875" style="271" bestFit="1" customWidth="1"/>
    <col min="36" max="36" width="3.109375" style="271" bestFit="1" customWidth="1"/>
    <col min="37" max="16384" width="8.88671875" style="271"/>
  </cols>
  <sheetData>
    <row r="1" spans="1:36" x14ac:dyDescent="0.3">
      <c r="A1" s="270" t="s">
        <v>104</v>
      </c>
      <c r="B1" s="270" t="s">
        <v>105</v>
      </c>
      <c r="C1" s="270" t="s">
        <v>106</v>
      </c>
      <c r="D1" s="270" t="s">
        <v>23</v>
      </c>
      <c r="E1" s="270" t="s">
        <v>107</v>
      </c>
      <c r="F1" s="270" t="s">
        <v>108</v>
      </c>
      <c r="G1" s="270" t="s">
        <v>16</v>
      </c>
      <c r="H1" s="270" t="s">
        <v>109</v>
      </c>
      <c r="I1" s="270" t="s">
        <v>110</v>
      </c>
      <c r="J1" s="270" t="s">
        <v>111</v>
      </c>
      <c r="K1" s="270" t="s">
        <v>112</v>
      </c>
      <c r="L1" s="270" t="s">
        <v>18</v>
      </c>
      <c r="M1" s="270" t="s">
        <v>20</v>
      </c>
      <c r="N1" s="270" t="s">
        <v>21</v>
      </c>
      <c r="O1" s="270" t="s">
        <v>19</v>
      </c>
      <c r="P1" s="270" t="s">
        <v>22</v>
      </c>
      <c r="Q1" s="270" t="s">
        <v>113</v>
      </c>
      <c r="R1" s="270" t="s">
        <v>114</v>
      </c>
      <c r="S1" s="270" t="s">
        <v>115</v>
      </c>
      <c r="T1" s="270" t="s">
        <v>116</v>
      </c>
      <c r="U1" s="270" t="s">
        <v>117</v>
      </c>
      <c r="V1" s="270" t="s">
        <v>118</v>
      </c>
      <c r="W1" s="270" t="s">
        <v>119</v>
      </c>
      <c r="X1" s="270" t="s">
        <v>120</v>
      </c>
      <c r="Y1" s="270" t="s">
        <v>121</v>
      </c>
      <c r="Z1" s="270" t="s">
        <v>122</v>
      </c>
      <c r="AA1" s="270" t="s">
        <v>123</v>
      </c>
      <c r="AB1" s="270" t="s">
        <v>124</v>
      </c>
      <c r="AC1" s="270" t="s">
        <v>125</v>
      </c>
      <c r="AD1" s="270" t="s">
        <v>126</v>
      </c>
      <c r="AE1" s="270" t="s">
        <v>127</v>
      </c>
      <c r="AF1" s="270" t="s">
        <v>128</v>
      </c>
      <c r="AG1" s="270" t="s">
        <v>129</v>
      </c>
      <c r="AH1" s="270" t="s">
        <v>130</v>
      </c>
      <c r="AI1" s="270" t="s">
        <v>131</v>
      </c>
      <c r="AJ1" s="270" t="s">
        <v>132</v>
      </c>
    </row>
  </sheetData>
  <pageMargins left="0.75" right="0.75" top="1" bottom="1" header="0.5" footer="0.5"/>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dimension ref="A1:H1"/>
  <sheetViews>
    <sheetView workbookViewId="0"/>
  </sheetViews>
  <sheetFormatPr defaultRowHeight="14.4" x14ac:dyDescent="0.3"/>
  <cols>
    <col min="1" max="1" width="6.6640625" bestFit="1" customWidth="1"/>
    <col min="2" max="2" width="9.33203125" bestFit="1" customWidth="1"/>
    <col min="3" max="3" width="14.77734375" bestFit="1" customWidth="1"/>
    <col min="4" max="4" width="8.33203125" bestFit="1" customWidth="1"/>
    <col min="5" max="5" width="13.88671875" bestFit="1" customWidth="1"/>
    <col min="6" max="6" width="11.77734375" bestFit="1" customWidth="1"/>
    <col min="7" max="7" width="15.5546875" bestFit="1" customWidth="1"/>
    <col min="8" max="8" width="19.21875" bestFit="1" customWidth="1"/>
    <col min="9" max="9" width="0" hidden="1" customWidth="1"/>
  </cols>
  <sheetData>
    <row r="1" spans="1:8" ht="18" x14ac:dyDescent="0.3">
      <c r="A1" s="192" t="s">
        <v>156</v>
      </c>
      <c r="B1" s="192" t="s">
        <v>8</v>
      </c>
      <c r="C1" s="192" t="s">
        <v>9</v>
      </c>
      <c r="D1" s="192" t="s">
        <v>157</v>
      </c>
      <c r="E1" s="192" t="s">
        <v>10</v>
      </c>
      <c r="F1" s="192" t="s">
        <v>11</v>
      </c>
      <c r="G1" s="192" t="s">
        <v>12</v>
      </c>
      <c r="H1" s="192" t="s">
        <v>13</v>
      </c>
    </row>
  </sheetData>
  <pageMargins left="0.75" right="0.75" top="1" bottom="1" header="0.5" footer="0.5"/>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dimension ref="A1:H1"/>
  <sheetViews>
    <sheetView workbookViewId="0"/>
  </sheetViews>
  <sheetFormatPr defaultRowHeight="14.4" x14ac:dyDescent="0.3"/>
  <cols>
    <col min="1" max="1" width="6.6640625" bestFit="1" customWidth="1"/>
    <col min="2" max="2" width="9.33203125" bestFit="1" customWidth="1"/>
    <col min="3" max="3" width="14.77734375" bestFit="1" customWidth="1"/>
    <col min="4" max="4" width="8.33203125" bestFit="1" customWidth="1"/>
    <col min="5" max="5" width="13.88671875" bestFit="1" customWidth="1"/>
    <col min="6" max="6" width="11.77734375" bestFit="1" customWidth="1"/>
    <col min="7" max="7" width="15.5546875" bestFit="1" customWidth="1"/>
    <col min="8" max="8" width="19.21875" bestFit="1" customWidth="1"/>
    <col min="9" max="9" width="0" hidden="1" customWidth="1"/>
  </cols>
  <sheetData>
    <row r="1" spans="1:8" ht="18" x14ac:dyDescent="0.3">
      <c r="A1" s="192" t="s">
        <v>156</v>
      </c>
      <c r="B1" s="192" t="s">
        <v>8</v>
      </c>
      <c r="C1" s="192" t="s">
        <v>9</v>
      </c>
      <c r="D1" s="192" t="s">
        <v>157</v>
      </c>
      <c r="E1" s="192" t="s">
        <v>10</v>
      </c>
      <c r="F1" s="192" t="s">
        <v>11</v>
      </c>
      <c r="G1" s="192" t="s">
        <v>12</v>
      </c>
      <c r="H1" s="192" t="s">
        <v>13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104</vt:i4>
      </vt:variant>
    </vt:vector>
  </HeadingPairs>
  <TitlesOfParts>
    <vt:vector size="104" baseType="lpstr">
      <vt:lpstr>MED-CAI</vt:lpstr>
      <vt:lpstr>MED-CAI LF LEGACY</vt:lpstr>
      <vt:lpstr>MED-CAI - FOCUS MODE</vt:lpstr>
      <vt:lpstr>MED-CAI - OAL Threats Alert</vt:lpstr>
      <vt:lpstr>MED-HBE</vt:lpstr>
      <vt:lpstr>MED-HBE LF LEGACY</vt:lpstr>
      <vt:lpstr>MED-HBE - FOCUS MODE</vt:lpstr>
      <vt:lpstr>MED-HBE - OAL Threats Alert</vt:lpstr>
      <vt:lpstr>MED-ATZ</vt:lpstr>
      <vt:lpstr>MED-ATZ LF LEGACY</vt:lpstr>
      <vt:lpstr>MED-ATZ - FOCUS MODE</vt:lpstr>
      <vt:lpstr>MED-ATZ - OAL Threats Alert</vt:lpstr>
      <vt:lpstr>JED-CAI</vt:lpstr>
      <vt:lpstr>JED-CAI LF LEGACY</vt:lpstr>
      <vt:lpstr>JED-CAI - FOCUS MODE</vt:lpstr>
      <vt:lpstr>JED-CAI - OAL Threats Alert</vt:lpstr>
      <vt:lpstr>JED-HBE</vt:lpstr>
      <vt:lpstr>JED-HBE LF LEGACY</vt:lpstr>
      <vt:lpstr>JED-HBE - FOCUS MODE</vt:lpstr>
      <vt:lpstr>JED-HBE - OAL Threats Alert</vt:lpstr>
      <vt:lpstr>JED-ATZ</vt:lpstr>
      <vt:lpstr>JED-ATZ LF LEGACY</vt:lpstr>
      <vt:lpstr>JED-ATZ - FOCUS MODE</vt:lpstr>
      <vt:lpstr>JED-ATZ - OAL Threats Alert</vt:lpstr>
      <vt:lpstr>JED-LXR</vt:lpstr>
      <vt:lpstr>JED-LXR LF LEGACY</vt:lpstr>
      <vt:lpstr>JED-LXR - FOCUS MODE</vt:lpstr>
      <vt:lpstr>JED-LXR - OAL Threats Alert</vt:lpstr>
      <vt:lpstr>JED-ASW</vt:lpstr>
      <vt:lpstr>JED-ASW LF LEGACY</vt:lpstr>
      <vt:lpstr>JED-ASW - FOCUS MODE</vt:lpstr>
      <vt:lpstr>JED-ASW - OAL Threats Alert</vt:lpstr>
      <vt:lpstr>JED-SSH</vt:lpstr>
      <vt:lpstr>JED-SSH LF LEGACY</vt:lpstr>
      <vt:lpstr>JED-SSH - FOCUS MODE</vt:lpstr>
      <vt:lpstr>JED-SSH - OAL Threats Alert</vt:lpstr>
      <vt:lpstr>JED-HRG</vt:lpstr>
      <vt:lpstr>JED-HRG LF LEGACY</vt:lpstr>
      <vt:lpstr>JED-HRG - FOCUS MODE</vt:lpstr>
      <vt:lpstr>JED-HRG - OAL Threats Alert</vt:lpstr>
      <vt:lpstr>RUH-CAI</vt:lpstr>
      <vt:lpstr>RUH-CAI LF LEGACY</vt:lpstr>
      <vt:lpstr>RUH-CAI - FOCUS MODE</vt:lpstr>
      <vt:lpstr>RUH-CAI - OAL Threats Alert</vt:lpstr>
      <vt:lpstr>RUH-ATZ</vt:lpstr>
      <vt:lpstr>RUH-ATZ LF LEGACY</vt:lpstr>
      <vt:lpstr>RUH-ATZ - FOCUS MODE</vt:lpstr>
      <vt:lpstr>RUH-ATZ - OAL Threats Alert</vt:lpstr>
      <vt:lpstr>DMM-CAI</vt:lpstr>
      <vt:lpstr>DMM-CAI LF LEGACY</vt:lpstr>
      <vt:lpstr>DMM-CAI - FOCUS MODE</vt:lpstr>
      <vt:lpstr>DMM-CAI - OAL Threats Alert</vt:lpstr>
      <vt:lpstr>DMM-ATZ</vt:lpstr>
      <vt:lpstr>DMM-ATZ LF LEGACY</vt:lpstr>
      <vt:lpstr>DMM-ATZ - FOCUS MODE</vt:lpstr>
      <vt:lpstr>DMM-ATZ - OAL Threats Alert</vt:lpstr>
      <vt:lpstr>TUU-CAI</vt:lpstr>
      <vt:lpstr>TUU-CAI LF LEGACY</vt:lpstr>
      <vt:lpstr>TUU-CAI - FOCUS MODE</vt:lpstr>
      <vt:lpstr>TUU-CAI - OAL Threats Alert</vt:lpstr>
      <vt:lpstr>TUU-ATZ</vt:lpstr>
      <vt:lpstr>TUU-ATZ LF LEGACY</vt:lpstr>
      <vt:lpstr>TUU-ATZ - FOCUS MODE</vt:lpstr>
      <vt:lpstr>TUU-ATZ - OAL Threats Alert</vt:lpstr>
      <vt:lpstr>AJF-CAI</vt:lpstr>
      <vt:lpstr>AJF-CAI LF LEGACY</vt:lpstr>
      <vt:lpstr>AJF-CAI - FOCUS MODE</vt:lpstr>
      <vt:lpstr>AJF-CAI - OAL Threats Alert</vt:lpstr>
      <vt:lpstr>AJF-ATZ</vt:lpstr>
      <vt:lpstr>AJF-ATZ LF LEGACY</vt:lpstr>
      <vt:lpstr>AJF-ATZ - FOCUS MODE</vt:lpstr>
      <vt:lpstr>AJF-ATZ - OAL Threats Alert</vt:lpstr>
      <vt:lpstr>YNB-CAI</vt:lpstr>
      <vt:lpstr>YNB-CAI LF LEGACY</vt:lpstr>
      <vt:lpstr>YNB-CAI - FOCUS MODE</vt:lpstr>
      <vt:lpstr>YNB-CAI - OAL Threats Alert</vt:lpstr>
      <vt:lpstr>AHB-CAI</vt:lpstr>
      <vt:lpstr>AHB-CAI LF LEGACY</vt:lpstr>
      <vt:lpstr>AHB-CAI - FOCUS MODE</vt:lpstr>
      <vt:lpstr>AHB-CAI - OAL Threats Alert</vt:lpstr>
      <vt:lpstr>AHB-ATZ</vt:lpstr>
      <vt:lpstr>AHB-ATZ LF LEGACY</vt:lpstr>
      <vt:lpstr>AHB-ATZ - FOCUS MODE</vt:lpstr>
      <vt:lpstr>AHB-ATZ - OAL Threats Alert</vt:lpstr>
      <vt:lpstr>ELQ-CAI</vt:lpstr>
      <vt:lpstr>ELQ-CAI LF LEGACY</vt:lpstr>
      <vt:lpstr>ELQ-CAI - FOCUS MODE</vt:lpstr>
      <vt:lpstr>ELQ-CAI - OAL Threats Alert</vt:lpstr>
      <vt:lpstr>ELQ-ATZ</vt:lpstr>
      <vt:lpstr>ELQ-ATZ LF LEGACY</vt:lpstr>
      <vt:lpstr>ELQ-ATZ - FOCUS MODE</vt:lpstr>
      <vt:lpstr>ELQ-ATZ - OAL Threats Alert</vt:lpstr>
      <vt:lpstr>GIZ-CAI</vt:lpstr>
      <vt:lpstr>GIZ-CAI LF LEGACY</vt:lpstr>
      <vt:lpstr>GIZ-CAI - FOCUS MODE</vt:lpstr>
      <vt:lpstr>GIZ-CAI - OAL Threats Alert</vt:lpstr>
      <vt:lpstr>SSH-JED</vt:lpstr>
      <vt:lpstr>SSH-JED LF LEGACY</vt:lpstr>
      <vt:lpstr>SSH-JED - FOCUS MODE</vt:lpstr>
      <vt:lpstr>SSH-JED - OAL Threats Alert</vt:lpstr>
      <vt:lpstr>HRG-JED</vt:lpstr>
      <vt:lpstr>HRG-JED LF LEGACY</vt:lpstr>
      <vt:lpstr>HRG-JED - FOCUS MODE</vt:lpstr>
      <vt:lpstr>HRG-JED - OAL Threats Alert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Yanbu Office</cp:lastModifiedBy>
  <dcterms:created xsi:type="dcterms:W3CDTF">2025-11-19T21:25:25Z</dcterms:created>
  <dcterms:modified xsi:type="dcterms:W3CDTF">2025-11-19T21:45:35Z</dcterms:modified>
</cp:coreProperties>
</file>