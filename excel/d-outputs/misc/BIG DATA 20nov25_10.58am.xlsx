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comments3.xml" ContentType="application/vnd.openxmlformats-officedocument.spreadsheetml.comments+xml"/>
  <Override PartName="/xl/tables/table6.xml" ContentType="application/vnd.openxmlformats-officedocument.spreadsheetml.table+xml"/>
  <Override PartName="/xl/tables/table7.xml" ContentType="application/vnd.openxmlformats-officedocument.spreadsheetml.table+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DERED\OUTPUTS\"/>
    </mc:Choice>
  </mc:AlternateContent>
  <xr:revisionPtr revIDLastSave="0" documentId="13_ncr:1_{64D03BB5-5921-4A3F-AB70-3AC984C45806}" xr6:coauthVersionLast="47" xr6:coauthVersionMax="47" xr10:uidLastSave="{00000000-0000-0000-0000-000000000000}"/>
  <bookViews>
    <workbookView xWindow="-108" yWindow="-108" windowWidth="23256" windowHeight="12456" xr2:uid="{00000000-000D-0000-FFFF-FFFF00000000}"/>
  </bookViews>
  <sheets>
    <sheet name="JED-CAI" sheetId="1" r:id="rId1"/>
    <sheet name="JED-CAI LF LEGACY" sheetId="2" r:id="rId2"/>
    <sheet name="JED-CAI - FOCUS MODE" sheetId="3" r:id="rId3"/>
    <sheet name="JED-CAI - OAL Threats Alert" sheetId="4" r:id="rId4"/>
    <sheet name="JED-HBE" sheetId="5" r:id="rId5"/>
    <sheet name="JED-HBE LF LEGACY" sheetId="6" r:id="rId6"/>
    <sheet name="JED-HBE - FOCUS MODE" sheetId="7" r:id="rId7"/>
    <sheet name="JED-ATZ" sheetId="8" r:id="rId8"/>
    <sheet name="JED-ATZ LF LEGACY" sheetId="9" r:id="rId9"/>
    <sheet name="JED-ATZ - FOCUS MODE"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0" i="9" l="1"/>
  <c r="E10" i="9"/>
  <c r="G10" i="9"/>
  <c r="H10" i="9"/>
  <c r="I10" i="9"/>
  <c r="J10" i="9"/>
  <c r="M10" i="9"/>
  <c r="N10" i="9"/>
  <c r="O10" i="9"/>
  <c r="Q10" i="9"/>
  <c r="R10" i="9"/>
  <c r="S10" i="9"/>
  <c r="T10" i="9"/>
  <c r="U10" i="9"/>
  <c r="V10" i="9"/>
  <c r="W10" i="9"/>
  <c r="X10" i="9"/>
  <c r="Y10" i="9"/>
  <c r="Z10" i="9"/>
  <c r="AA10" i="9"/>
  <c r="AB10" i="9"/>
  <c r="AC10" i="9"/>
  <c r="AD10" i="9"/>
  <c r="AE10" i="9"/>
  <c r="AF10" i="9"/>
  <c r="AG10" i="9"/>
  <c r="AH10" i="9"/>
  <c r="AI10" i="9"/>
  <c r="AJ10" i="9"/>
  <c r="C8" i="6"/>
  <c r="E8" i="6"/>
  <c r="G8" i="6"/>
  <c r="H8" i="6"/>
  <c r="I8" i="6"/>
  <c r="J8" i="6"/>
  <c r="M8" i="6"/>
  <c r="N8" i="6"/>
  <c r="O8" i="6"/>
  <c r="Q8" i="6"/>
  <c r="R8" i="6"/>
  <c r="S8" i="6"/>
  <c r="T8" i="6"/>
  <c r="U8" i="6"/>
  <c r="V8" i="6"/>
  <c r="W8" i="6"/>
  <c r="X8" i="6"/>
  <c r="Y8" i="6"/>
  <c r="Z8" i="6"/>
  <c r="AA8" i="6"/>
  <c r="AB8" i="6"/>
  <c r="AC8" i="6"/>
  <c r="AD8" i="6"/>
  <c r="AE8" i="6"/>
  <c r="AF8" i="6"/>
  <c r="AG8" i="6"/>
  <c r="AH8" i="6"/>
  <c r="AI8" i="6"/>
  <c r="AJ8" i="6"/>
  <c r="C24" i="2"/>
  <c r="E24" i="2"/>
  <c r="G24" i="2"/>
  <c r="H24" i="2"/>
  <c r="I24" i="2"/>
  <c r="J24" i="2"/>
  <c r="M24" i="2"/>
  <c r="N24" i="2"/>
  <c r="O24" i="2"/>
  <c r="Q24" i="2"/>
  <c r="R24" i="2"/>
  <c r="S24" i="2"/>
  <c r="T24" i="2"/>
  <c r="U24" i="2"/>
  <c r="V24" i="2"/>
  <c r="W24" i="2"/>
  <c r="X24" i="2"/>
  <c r="Y24" i="2"/>
  <c r="Z24" i="2"/>
  <c r="AA24" i="2"/>
  <c r="AB24" i="2"/>
  <c r="AC24" i="2"/>
  <c r="AD24" i="2"/>
  <c r="AE24" i="2"/>
  <c r="AF24" i="2"/>
  <c r="AG24" i="2"/>
  <c r="AH24" i="2"/>
  <c r="AI24" i="2"/>
  <c r="AJ2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1" authorId="0" shapeId="0" xr:uid="{1BCE3E5C-5E57-4533-B68B-6AD001FED6F1}">
      <text>
        <r>
          <rPr>
            <b/>
            <sz val="10"/>
            <color indexed="8"/>
            <rFont val="Calibri"/>
            <family val="2"/>
          </rPr>
          <t>-{ SM472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33.5%] - [</t>
        </r>
        <r>
          <rPr>
            <b/>
            <sz val="10"/>
            <color indexed="10"/>
            <rFont val="Calibri"/>
            <family val="2"/>
          </rPr>
          <t>SOLD</t>
        </r>
        <r>
          <rPr>
            <b/>
            <sz val="10"/>
            <color indexed="8"/>
            <rFont val="Calibri"/>
            <family val="2"/>
          </rPr>
          <t xml:space="preserve"> » 60 PAX]</t>
        </r>
        <r>
          <rPr>
            <b/>
            <sz val="8.5"/>
            <color indexed="8"/>
            <rFont val="Calibri"/>
            <family val="2"/>
          </rPr>
          <t>_x000D_
[</t>
        </r>
        <r>
          <rPr>
            <b/>
            <sz val="8.5"/>
            <color indexed="10"/>
            <rFont val="Calibri"/>
            <family val="2"/>
          </rPr>
          <t>WEEKLY</t>
        </r>
        <r>
          <rPr>
            <b/>
            <sz val="8.5"/>
            <color indexed="8"/>
            <rFont val="Calibri"/>
            <family val="2"/>
          </rPr>
          <t xml:space="preserve"> » 43 PAX] - [</t>
        </r>
        <r>
          <rPr>
            <b/>
            <sz val="8.5"/>
            <color indexed="10"/>
            <rFont val="Calibri"/>
            <family val="2"/>
          </rPr>
          <t>TO-DAY</t>
        </r>
        <r>
          <rPr>
            <b/>
            <sz val="8.5"/>
            <color indexed="8"/>
            <rFont val="Calibri"/>
            <family val="2"/>
          </rPr>
          <t xml:space="preserve"> » 5 PAX] - [</t>
        </r>
        <r>
          <rPr>
            <b/>
            <sz val="8.5"/>
            <color indexed="10"/>
            <rFont val="Calibri"/>
            <family val="2"/>
          </rPr>
          <t>Y-DAY</t>
        </r>
        <r>
          <rPr>
            <b/>
            <sz val="8.5"/>
            <color indexed="8"/>
            <rFont val="Calibri"/>
            <family val="2"/>
          </rPr>
          <t xml:space="preserve"> » 1]_x000D_
[</t>
        </r>
        <r>
          <rPr>
            <b/>
            <sz val="8.5"/>
            <color indexed="10"/>
            <rFont val="Calibri"/>
            <family val="2"/>
          </rPr>
          <t>LOWESTAVAIL</t>
        </r>
        <r>
          <rPr>
            <b/>
            <sz val="8.5"/>
            <color indexed="8"/>
            <rFont val="Calibri"/>
            <family val="2"/>
          </rPr>
          <t xml:space="preserve"> » U1]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20-NOV]_x000D_
{</t>
        </r>
        <r>
          <rPr>
            <b/>
            <sz val="8.5"/>
            <color indexed="12"/>
            <rFont val="Calibri"/>
            <family val="2"/>
          </rPr>
          <t>CLASSES</t>
        </r>
        <r>
          <rPr>
            <b/>
            <sz val="8.5"/>
            <color indexed="8"/>
            <rFont val="Calibri"/>
            <family val="2"/>
          </rPr>
          <t>}_x000D_
S8 &amp; X3 &amp; U9 &amp; O10 &amp; I30</t>
        </r>
      </text>
    </comment>
    <comment ref="F12" authorId="0" shapeId="0" xr:uid="{3F42F058-8A11-4E66-AFA5-1302D4B9E4F0}">
      <text>
        <r>
          <rPr>
            <b/>
            <sz val="10"/>
            <color indexed="8"/>
            <rFont val="Calibri"/>
            <family val="2"/>
          </rPr>
          <t>-{ SM476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55.9%] - [</t>
        </r>
        <r>
          <rPr>
            <b/>
            <sz val="10"/>
            <color indexed="10"/>
            <rFont val="Calibri"/>
            <family val="2"/>
          </rPr>
          <t>SOLD</t>
        </r>
        <r>
          <rPr>
            <b/>
            <sz val="10"/>
            <color indexed="8"/>
            <rFont val="Calibri"/>
            <family val="2"/>
          </rPr>
          <t xml:space="preserve"> » 100 PAX]</t>
        </r>
        <r>
          <rPr>
            <b/>
            <sz val="8.5"/>
            <color indexed="8"/>
            <rFont val="Calibri"/>
            <family val="2"/>
          </rPr>
          <t>_x000D_
[</t>
        </r>
        <r>
          <rPr>
            <b/>
            <sz val="8.5"/>
            <color indexed="10"/>
            <rFont val="Calibri"/>
            <family val="2"/>
          </rPr>
          <t>WEEKLY</t>
        </r>
        <r>
          <rPr>
            <b/>
            <sz val="8.5"/>
            <color indexed="8"/>
            <rFont val="Calibri"/>
            <family val="2"/>
          </rPr>
          <t xml:space="preserve"> » 31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7]_x000D_
[</t>
        </r>
        <r>
          <rPr>
            <b/>
            <sz val="8.5"/>
            <color indexed="10"/>
            <rFont val="Calibri"/>
            <family val="2"/>
          </rPr>
          <t>LOWESTAVAIL</t>
        </r>
        <r>
          <rPr>
            <b/>
            <sz val="8.5"/>
            <color indexed="8"/>
            <rFont val="Calibri"/>
            <family val="2"/>
          </rPr>
          <t xml:space="preserve"> » U1]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19-NOV]_x000D_
{</t>
        </r>
        <r>
          <rPr>
            <b/>
            <sz val="8.5"/>
            <color indexed="12"/>
            <rFont val="Calibri"/>
            <family val="2"/>
          </rPr>
          <t>CLASSES</t>
        </r>
        <r>
          <rPr>
            <b/>
            <sz val="8.5"/>
            <color indexed="8"/>
            <rFont val="Calibri"/>
            <family val="2"/>
          </rPr>
          <t>}_x000D_
U9 &amp; O15 &amp; I30 &amp; P46</t>
        </r>
      </text>
    </comment>
    <comment ref="F16" authorId="0" shapeId="0" xr:uid="{604ECA01-B862-416D-B9F8-6188DE7E2D42}">
      <text>
        <r>
          <rPr>
            <b/>
            <sz val="10"/>
            <color indexed="8"/>
            <rFont val="Calibri"/>
            <family val="2"/>
          </rPr>
          <t>-{ SM424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69.3%] - [</t>
        </r>
        <r>
          <rPr>
            <b/>
            <sz val="10"/>
            <color indexed="10"/>
            <rFont val="Calibri"/>
            <family val="2"/>
          </rPr>
          <t>SOLD</t>
        </r>
        <r>
          <rPr>
            <b/>
            <sz val="10"/>
            <color indexed="8"/>
            <rFont val="Calibri"/>
            <family val="2"/>
          </rPr>
          <t xml:space="preserve"> » 124 PAX]</t>
        </r>
        <r>
          <rPr>
            <b/>
            <sz val="8.5"/>
            <color indexed="8"/>
            <rFont val="Calibri"/>
            <family val="2"/>
          </rPr>
          <t>_x000D_
[</t>
        </r>
        <r>
          <rPr>
            <b/>
            <sz val="8.5"/>
            <color indexed="10"/>
            <rFont val="Calibri"/>
            <family val="2"/>
          </rPr>
          <t>WEEKLY</t>
        </r>
        <r>
          <rPr>
            <b/>
            <sz val="8.5"/>
            <color indexed="8"/>
            <rFont val="Calibri"/>
            <family val="2"/>
          </rPr>
          <t xml:space="preserve"> » 26 PAX] - [</t>
        </r>
        <r>
          <rPr>
            <b/>
            <sz val="8.5"/>
            <color indexed="10"/>
            <rFont val="Calibri"/>
            <family val="2"/>
          </rPr>
          <t>TO-DAY</t>
        </r>
        <r>
          <rPr>
            <b/>
            <sz val="8.5"/>
            <color indexed="8"/>
            <rFont val="Calibri"/>
            <family val="2"/>
          </rPr>
          <t xml:space="preserve"> » 2 PAX] - [</t>
        </r>
        <r>
          <rPr>
            <b/>
            <sz val="8.5"/>
            <color indexed="10"/>
            <rFont val="Calibri"/>
            <family val="2"/>
          </rPr>
          <t>Y-DAY</t>
        </r>
        <r>
          <rPr>
            <b/>
            <sz val="8.5"/>
            <color indexed="8"/>
            <rFont val="Calibri"/>
            <family val="2"/>
          </rPr>
          <t xml:space="preserve"> » 2]_x000D_
[</t>
        </r>
        <r>
          <rPr>
            <b/>
            <sz val="8.5"/>
            <color indexed="10"/>
            <rFont val="Calibri"/>
            <family val="2"/>
          </rPr>
          <t>LOWESTAVAIL</t>
        </r>
        <r>
          <rPr>
            <b/>
            <sz val="8.5"/>
            <color indexed="8"/>
            <rFont val="Calibri"/>
            <family val="2"/>
          </rPr>
          <t xml:space="preserve"> » X1]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20-NOV]_x000D_
{</t>
        </r>
        <r>
          <rPr>
            <b/>
            <sz val="8.5"/>
            <color indexed="12"/>
            <rFont val="Calibri"/>
            <family val="2"/>
          </rPr>
          <t>CLASSES</t>
        </r>
        <r>
          <rPr>
            <b/>
            <sz val="8.5"/>
            <color indexed="8"/>
            <rFont val="Calibri"/>
            <family val="2"/>
          </rPr>
          <t>}_x000D_
S2 &amp; X4 &amp; U5 &amp; O10 &amp; I15 &amp; P88</t>
        </r>
      </text>
    </comment>
    <comment ref="F17" authorId="0" shapeId="0" xr:uid="{71192049-4976-4268-9A8D-D3A053ECFCCB}">
      <text>
        <r>
          <rPr>
            <b/>
            <sz val="10"/>
            <color indexed="8"/>
            <rFont val="Calibri"/>
            <family val="2"/>
          </rPr>
          <t>-{ SM478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76.0%] - [</t>
        </r>
        <r>
          <rPr>
            <b/>
            <sz val="10"/>
            <color indexed="10"/>
            <rFont val="Calibri"/>
            <family val="2"/>
          </rPr>
          <t>SOLD</t>
        </r>
        <r>
          <rPr>
            <b/>
            <sz val="10"/>
            <color indexed="8"/>
            <rFont val="Calibri"/>
            <family val="2"/>
          </rPr>
          <t xml:space="preserve"> » 136 PAX]</t>
        </r>
        <r>
          <rPr>
            <b/>
            <sz val="8.5"/>
            <color indexed="8"/>
            <rFont val="Calibri"/>
            <family val="2"/>
          </rPr>
          <t>_x000D_
[</t>
        </r>
        <r>
          <rPr>
            <b/>
            <sz val="8.5"/>
            <color indexed="10"/>
            <rFont val="Calibri"/>
            <family val="2"/>
          </rPr>
          <t>WEEKLY</t>
        </r>
        <r>
          <rPr>
            <b/>
            <sz val="8.5"/>
            <color indexed="8"/>
            <rFont val="Calibri"/>
            <family val="2"/>
          </rPr>
          <t xml:space="preserve"> » 25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3]_x000D_
[</t>
        </r>
        <r>
          <rPr>
            <b/>
            <sz val="8.5"/>
            <color indexed="10"/>
            <rFont val="Calibri"/>
            <family val="2"/>
          </rPr>
          <t>LOWESTAVAIL</t>
        </r>
        <r>
          <rPr>
            <b/>
            <sz val="8.5"/>
            <color indexed="8"/>
            <rFont val="Calibri"/>
            <family val="2"/>
          </rPr>
          <t xml:space="preserve"> » X4]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19-NOV]_x000D_
{</t>
        </r>
        <r>
          <rPr>
            <b/>
            <sz val="8.5"/>
            <color indexed="12"/>
            <rFont val="Calibri"/>
            <family val="2"/>
          </rPr>
          <t>CLASSES</t>
        </r>
        <r>
          <rPr>
            <b/>
            <sz val="8.5"/>
            <color indexed="8"/>
            <rFont val="Calibri"/>
            <family val="2"/>
          </rPr>
          <t>}_x000D_
S5 &amp; X6 &amp; U13 &amp; O15 &amp; I15 &amp; P82</t>
        </r>
      </text>
    </comment>
    <comment ref="F76" authorId="0" shapeId="0" xr:uid="{379E1DBB-9489-4430-B674-40AE382D0BC0}">
      <text>
        <r>
          <rPr>
            <b/>
            <sz val="10"/>
            <color indexed="8"/>
            <rFont val="Calibri"/>
            <family val="2"/>
          </rPr>
          <t>-{ SM480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93.8%] - [</t>
        </r>
        <r>
          <rPr>
            <b/>
            <sz val="10"/>
            <color indexed="10"/>
            <rFont val="Calibri"/>
            <family val="2"/>
          </rPr>
          <t>SOLD</t>
        </r>
        <r>
          <rPr>
            <b/>
            <sz val="10"/>
            <color indexed="8"/>
            <rFont val="Calibri"/>
            <family val="2"/>
          </rPr>
          <t xml:space="preserve"> » 168 PAX]</t>
        </r>
        <r>
          <rPr>
            <b/>
            <sz val="8.5"/>
            <color indexed="8"/>
            <rFont val="Calibri"/>
            <family val="2"/>
          </rPr>
          <t>_x000D_
[</t>
        </r>
        <r>
          <rPr>
            <b/>
            <sz val="8.5"/>
            <color indexed="10"/>
            <rFont val="Calibri"/>
            <family val="2"/>
          </rPr>
          <t>WEEKLY</t>
        </r>
        <r>
          <rPr>
            <b/>
            <sz val="8.5"/>
            <color indexed="8"/>
            <rFont val="Calibri"/>
            <family val="2"/>
          </rPr>
          <t xml:space="preserve"> » 27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NIL]_x000D_
[</t>
        </r>
        <r>
          <rPr>
            <b/>
            <sz val="8.5"/>
            <color indexed="10"/>
            <rFont val="Calibri"/>
            <family val="2"/>
          </rPr>
          <t>LOWESTAVAIL</t>
        </r>
        <r>
          <rPr>
            <b/>
            <sz val="8.5"/>
            <color indexed="8"/>
            <rFont val="Calibri"/>
            <family val="2"/>
          </rPr>
          <t xml:space="preserve"> » CLOSED]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18-NOV]_x000D_
{</t>
        </r>
        <r>
          <rPr>
            <b/>
            <sz val="8.5"/>
            <color indexed="12"/>
            <rFont val="Calibri"/>
            <family val="2"/>
          </rPr>
          <t>CLASSES</t>
        </r>
        <r>
          <rPr>
            <b/>
            <sz val="8.5"/>
            <color indexed="8"/>
            <rFont val="Calibri"/>
            <family val="2"/>
          </rPr>
          <t>}_x000D_
S2 &amp; X1 &amp; U15 &amp; O15 &amp; I15 &amp; P117 &amp; N3</t>
        </r>
      </text>
    </comment>
    <comment ref="F77" authorId="0" shapeId="0" xr:uid="{98C61A18-B2A2-4D55-B29B-591717D7862D}">
      <text>
        <r>
          <rPr>
            <b/>
            <sz val="10"/>
            <color indexed="8"/>
            <rFont val="Calibri"/>
            <family val="2"/>
          </rPr>
          <t>-{ SM460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92.2%] - [</t>
        </r>
        <r>
          <rPr>
            <b/>
            <sz val="10"/>
            <color indexed="10"/>
            <rFont val="Calibri"/>
            <family val="2"/>
          </rPr>
          <t>SOLD</t>
        </r>
        <r>
          <rPr>
            <b/>
            <sz val="10"/>
            <color indexed="8"/>
            <rFont val="Calibri"/>
            <family val="2"/>
          </rPr>
          <t xml:space="preserve"> » 165 PAX]</t>
        </r>
        <r>
          <rPr>
            <b/>
            <sz val="8.5"/>
            <color indexed="8"/>
            <rFont val="Calibri"/>
            <family val="2"/>
          </rPr>
          <t>_x000D_
[</t>
        </r>
        <r>
          <rPr>
            <b/>
            <sz val="8.5"/>
            <color indexed="10"/>
            <rFont val="Calibri"/>
            <family val="2"/>
          </rPr>
          <t>WEEKLY</t>
        </r>
        <r>
          <rPr>
            <b/>
            <sz val="8.5"/>
            <color indexed="8"/>
            <rFont val="Calibri"/>
            <family val="2"/>
          </rPr>
          <t xml:space="preserve"> » 24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4]_x000D_
[</t>
        </r>
        <r>
          <rPr>
            <b/>
            <sz val="8.5"/>
            <color indexed="10"/>
            <rFont val="Calibri"/>
            <family val="2"/>
          </rPr>
          <t>LOWESTAVAIL</t>
        </r>
        <r>
          <rPr>
            <b/>
            <sz val="8.5"/>
            <color indexed="8"/>
            <rFont val="Calibri"/>
            <family val="2"/>
          </rPr>
          <t xml:space="preserve"> » CLOSED]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19-NOV]_x000D_
{</t>
        </r>
        <r>
          <rPr>
            <b/>
            <sz val="8.5"/>
            <color indexed="12"/>
            <rFont val="Calibri"/>
            <family val="2"/>
          </rPr>
          <t>CLASSES</t>
        </r>
        <r>
          <rPr>
            <b/>
            <sz val="8.5"/>
            <color indexed="8"/>
            <rFont val="Calibri"/>
            <family val="2"/>
          </rPr>
          <t>}_x000D_
S1 &amp; W2 &amp; X4 &amp; U17 &amp; O15 &amp; I9 &amp; P117</t>
        </r>
      </text>
    </comment>
    <comment ref="F89" authorId="0" shapeId="0" xr:uid="{A0972326-301B-4C7D-B789-5666335A6659}">
      <text>
        <r>
          <rPr>
            <b/>
            <sz val="10"/>
            <color indexed="8"/>
            <rFont val="Calibri"/>
            <family val="2"/>
          </rPr>
          <t>-{ SM460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63.7%] - [</t>
        </r>
        <r>
          <rPr>
            <b/>
            <sz val="10"/>
            <color indexed="10"/>
            <rFont val="Calibri"/>
            <family val="2"/>
          </rPr>
          <t>SOLD</t>
        </r>
        <r>
          <rPr>
            <b/>
            <sz val="10"/>
            <color indexed="8"/>
            <rFont val="Calibri"/>
            <family val="2"/>
          </rPr>
          <t xml:space="preserve"> » 114 PAX]</t>
        </r>
        <r>
          <rPr>
            <b/>
            <sz val="8.5"/>
            <color indexed="8"/>
            <rFont val="Calibri"/>
            <family val="2"/>
          </rPr>
          <t>_x000D_
[</t>
        </r>
        <r>
          <rPr>
            <b/>
            <sz val="8.5"/>
            <color indexed="10"/>
            <rFont val="Calibri"/>
            <family val="2"/>
          </rPr>
          <t>WEEKLY</t>
        </r>
        <r>
          <rPr>
            <b/>
            <sz val="8.5"/>
            <color indexed="8"/>
            <rFont val="Calibri"/>
            <family val="2"/>
          </rPr>
          <t xml:space="preserve"> » 47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5]_x000D_
[</t>
        </r>
        <r>
          <rPr>
            <b/>
            <sz val="8.5"/>
            <color indexed="10"/>
            <rFont val="Calibri"/>
            <family val="2"/>
          </rPr>
          <t>LOWESTAVAIL</t>
        </r>
        <r>
          <rPr>
            <b/>
            <sz val="8.5"/>
            <color indexed="8"/>
            <rFont val="Calibri"/>
            <family val="2"/>
          </rPr>
          <t xml:space="preserve"> » U9]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19-NOV]_x000D_
{</t>
        </r>
        <r>
          <rPr>
            <b/>
            <sz val="8.5"/>
            <color indexed="12"/>
            <rFont val="Calibri"/>
            <family val="2"/>
          </rPr>
          <t>CLASSES</t>
        </r>
        <r>
          <rPr>
            <b/>
            <sz val="8.5"/>
            <color indexed="8"/>
            <rFont val="Calibri"/>
            <family val="2"/>
          </rPr>
          <t>}_x000D_
S3 &amp; W1 &amp; U5 &amp; O18 &amp; I40 &amp; P47</t>
        </r>
      </text>
    </comment>
    <comment ref="F90" authorId="0" shapeId="0" xr:uid="{9B52FA53-B2F7-4E4F-8D89-0B41227EC02B}">
      <text>
        <r>
          <rPr>
            <b/>
            <sz val="10"/>
            <color indexed="8"/>
            <rFont val="Calibri"/>
            <family val="2"/>
          </rPr>
          <t>-{ SM476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36.3%] - [</t>
        </r>
        <r>
          <rPr>
            <b/>
            <sz val="10"/>
            <color indexed="10"/>
            <rFont val="Calibri"/>
            <family val="2"/>
          </rPr>
          <t>SOLD</t>
        </r>
        <r>
          <rPr>
            <b/>
            <sz val="10"/>
            <color indexed="8"/>
            <rFont val="Calibri"/>
            <family val="2"/>
          </rPr>
          <t xml:space="preserve"> » 65 PAX]</t>
        </r>
        <r>
          <rPr>
            <b/>
            <sz val="8.5"/>
            <color indexed="8"/>
            <rFont val="Calibri"/>
            <family val="2"/>
          </rPr>
          <t>_x000D_
[</t>
        </r>
        <r>
          <rPr>
            <b/>
            <sz val="8.5"/>
            <color indexed="10"/>
            <rFont val="Calibri"/>
            <family val="2"/>
          </rPr>
          <t>WEEKLY</t>
        </r>
        <r>
          <rPr>
            <b/>
            <sz val="8.5"/>
            <color indexed="8"/>
            <rFont val="Calibri"/>
            <family val="2"/>
          </rPr>
          <t xml:space="preserve"> » 49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1]_x000D_
[</t>
        </r>
        <r>
          <rPr>
            <b/>
            <sz val="8.5"/>
            <color indexed="10"/>
            <rFont val="Calibri"/>
            <family val="2"/>
          </rPr>
          <t>LOWESTAVAIL</t>
        </r>
        <r>
          <rPr>
            <b/>
            <sz val="8.5"/>
            <color indexed="8"/>
            <rFont val="Calibri"/>
            <family val="2"/>
          </rPr>
          <t xml:space="preserve"> » U9]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19-NOV]_x000D_
{</t>
        </r>
        <r>
          <rPr>
            <b/>
            <sz val="8.5"/>
            <color indexed="12"/>
            <rFont val="Calibri"/>
            <family val="2"/>
          </rPr>
          <t>CLASSES</t>
        </r>
        <r>
          <rPr>
            <b/>
            <sz val="8.5"/>
            <color indexed="8"/>
            <rFont val="Calibri"/>
            <family val="2"/>
          </rPr>
          <t>}_x000D_
U1 &amp; O20 &amp; I44</t>
        </r>
      </text>
    </comment>
    <comment ref="F91" authorId="0" shapeId="0" xr:uid="{5EC892FB-3891-416D-AC8C-3D4DCE549BCF}">
      <text>
        <r>
          <rPr>
            <b/>
            <sz val="10"/>
            <color indexed="8"/>
            <rFont val="Calibri"/>
            <family val="2"/>
          </rPr>
          <t>-{ SM478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60.9%] - [</t>
        </r>
        <r>
          <rPr>
            <b/>
            <sz val="10"/>
            <color indexed="10"/>
            <rFont val="Calibri"/>
            <family val="2"/>
          </rPr>
          <t>SOLD</t>
        </r>
        <r>
          <rPr>
            <b/>
            <sz val="10"/>
            <color indexed="8"/>
            <rFont val="Calibri"/>
            <family val="2"/>
          </rPr>
          <t xml:space="preserve"> » 109 PAX]</t>
        </r>
        <r>
          <rPr>
            <b/>
            <sz val="8.5"/>
            <color indexed="8"/>
            <rFont val="Calibri"/>
            <family val="2"/>
          </rPr>
          <t>_x000D_
[</t>
        </r>
        <r>
          <rPr>
            <b/>
            <sz val="8.5"/>
            <color indexed="10"/>
            <rFont val="Calibri"/>
            <family val="2"/>
          </rPr>
          <t>WEEKLY</t>
        </r>
        <r>
          <rPr>
            <b/>
            <sz val="8.5"/>
            <color indexed="8"/>
            <rFont val="Calibri"/>
            <family val="2"/>
          </rPr>
          <t xml:space="preserve"> » 40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4]_x000D_
[</t>
        </r>
        <r>
          <rPr>
            <b/>
            <sz val="8.5"/>
            <color indexed="10"/>
            <rFont val="Calibri"/>
            <family val="2"/>
          </rPr>
          <t>LOWESTAVAIL</t>
        </r>
        <r>
          <rPr>
            <b/>
            <sz val="8.5"/>
            <color indexed="8"/>
            <rFont val="Calibri"/>
            <family val="2"/>
          </rPr>
          <t xml:space="preserve"> » U1]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19-NOV]_x000D_
{</t>
        </r>
        <r>
          <rPr>
            <b/>
            <sz val="8.5"/>
            <color indexed="12"/>
            <rFont val="Calibri"/>
            <family val="2"/>
          </rPr>
          <t>CLASSES</t>
        </r>
        <r>
          <rPr>
            <b/>
            <sz val="8.5"/>
            <color indexed="8"/>
            <rFont val="Calibri"/>
            <family val="2"/>
          </rPr>
          <t>}_x000D_
S2 &amp; U17 &amp; O18 &amp; I25 &amp; P45 &amp; N2</t>
        </r>
      </text>
    </comment>
    <comment ref="F164" authorId="0" shapeId="0" xr:uid="{3758BA56-4362-4D13-A38B-4787F5371E19}">
      <text>
        <r>
          <rPr>
            <b/>
            <sz val="10"/>
            <color indexed="8"/>
            <rFont val="Calibri"/>
            <family val="2"/>
          </rPr>
          <t>-{ SM432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23.5%] - [</t>
        </r>
        <r>
          <rPr>
            <b/>
            <sz val="10"/>
            <color indexed="10"/>
            <rFont val="Calibri"/>
            <family val="2"/>
          </rPr>
          <t>SOLD</t>
        </r>
        <r>
          <rPr>
            <b/>
            <sz val="10"/>
            <color indexed="8"/>
            <rFont val="Calibri"/>
            <family val="2"/>
          </rPr>
          <t xml:space="preserve"> » 42 PAX]</t>
        </r>
        <r>
          <rPr>
            <b/>
            <sz val="8.5"/>
            <color indexed="8"/>
            <rFont val="Calibri"/>
            <family val="2"/>
          </rPr>
          <t>_x000D_
[</t>
        </r>
        <r>
          <rPr>
            <b/>
            <sz val="8.5"/>
            <color indexed="10"/>
            <rFont val="Calibri"/>
            <family val="2"/>
          </rPr>
          <t>WEEKLY</t>
        </r>
        <r>
          <rPr>
            <b/>
            <sz val="8.5"/>
            <color indexed="8"/>
            <rFont val="Calibri"/>
            <family val="2"/>
          </rPr>
          <t xml:space="preserve"> » 29 PAX] - [</t>
        </r>
        <r>
          <rPr>
            <b/>
            <sz val="8.5"/>
            <color indexed="10"/>
            <rFont val="Calibri"/>
            <family val="2"/>
          </rPr>
          <t>TO-DAY</t>
        </r>
        <r>
          <rPr>
            <b/>
            <sz val="8.5"/>
            <color indexed="8"/>
            <rFont val="Calibri"/>
            <family val="2"/>
          </rPr>
          <t xml:space="preserve"> » 1 PAX] - [</t>
        </r>
        <r>
          <rPr>
            <b/>
            <sz val="8.5"/>
            <color indexed="10"/>
            <rFont val="Calibri"/>
            <family val="2"/>
          </rPr>
          <t>Y-DAY</t>
        </r>
        <r>
          <rPr>
            <b/>
            <sz val="8.5"/>
            <color indexed="8"/>
            <rFont val="Calibri"/>
            <family val="2"/>
          </rPr>
          <t xml:space="preserve"> » 3]_x000D_
[</t>
        </r>
        <r>
          <rPr>
            <b/>
            <sz val="8.5"/>
            <color indexed="10"/>
            <rFont val="Calibri"/>
            <family val="2"/>
          </rPr>
          <t>LOWESTAVAIL</t>
        </r>
        <r>
          <rPr>
            <b/>
            <sz val="8.5"/>
            <color indexed="8"/>
            <rFont val="Calibri"/>
            <family val="2"/>
          </rPr>
          <t xml:space="preserve"> » O9]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20-NOV]_x000D_
{</t>
        </r>
        <r>
          <rPr>
            <b/>
            <sz val="8.5"/>
            <color indexed="12"/>
            <rFont val="Calibri"/>
            <family val="2"/>
          </rPr>
          <t>CLASSES</t>
        </r>
        <r>
          <rPr>
            <b/>
            <sz val="8.5"/>
            <color indexed="8"/>
            <rFont val="Calibri"/>
            <family val="2"/>
          </rPr>
          <t>}_x000D_
O7 &amp; I35</t>
        </r>
      </text>
    </comment>
    <comment ref="F165" authorId="0" shapeId="0" xr:uid="{E3D3C14E-4797-4B39-BB59-16B5825D9958}">
      <text>
        <r>
          <rPr>
            <b/>
            <sz val="10"/>
            <color indexed="8"/>
            <rFont val="Calibri"/>
            <family val="2"/>
          </rPr>
          <t>-{ SM450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29.0%] - [</t>
        </r>
        <r>
          <rPr>
            <b/>
            <sz val="10"/>
            <color indexed="10"/>
            <rFont val="Calibri"/>
            <family val="2"/>
          </rPr>
          <t>SOLD</t>
        </r>
        <r>
          <rPr>
            <b/>
            <sz val="10"/>
            <color indexed="8"/>
            <rFont val="Calibri"/>
            <family val="2"/>
          </rPr>
          <t xml:space="preserve"> » 52 PAX]</t>
        </r>
        <r>
          <rPr>
            <b/>
            <sz val="8.5"/>
            <color indexed="8"/>
            <rFont val="Calibri"/>
            <family val="2"/>
          </rPr>
          <t>_x000D_
[</t>
        </r>
        <r>
          <rPr>
            <b/>
            <sz val="8.5"/>
            <color indexed="10"/>
            <rFont val="Calibri"/>
            <family val="2"/>
          </rPr>
          <t>WEEKLY</t>
        </r>
        <r>
          <rPr>
            <b/>
            <sz val="8.5"/>
            <color indexed="8"/>
            <rFont val="Calibri"/>
            <family val="2"/>
          </rPr>
          <t xml:space="preserve"> » 19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3]_x000D_
[</t>
        </r>
        <r>
          <rPr>
            <b/>
            <sz val="8.5"/>
            <color indexed="10"/>
            <rFont val="Calibri"/>
            <family val="2"/>
          </rPr>
          <t>LOWESTAVAIL</t>
        </r>
        <r>
          <rPr>
            <b/>
            <sz val="8.5"/>
            <color indexed="8"/>
            <rFont val="Calibri"/>
            <family val="2"/>
          </rPr>
          <t xml:space="preserve"> » O5]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19-NOV]_x000D_
{</t>
        </r>
        <r>
          <rPr>
            <b/>
            <sz val="8.5"/>
            <color indexed="12"/>
            <rFont val="Calibri"/>
            <family val="2"/>
          </rPr>
          <t>CLASSES</t>
        </r>
        <r>
          <rPr>
            <b/>
            <sz val="8.5"/>
            <color indexed="8"/>
            <rFont val="Calibri"/>
            <family val="2"/>
          </rPr>
          <t>}_x000D_
I23 &amp; E28 &amp; N1</t>
        </r>
      </text>
    </comment>
    <comment ref="F166" authorId="0" shapeId="0" xr:uid="{E4219B2D-BA2E-4977-A84D-8C80A66763C6}">
      <text>
        <r>
          <rPr>
            <b/>
            <sz val="10"/>
            <color indexed="8"/>
            <rFont val="Calibri"/>
            <family val="2"/>
          </rPr>
          <t>-{ SM476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80.5%] - [</t>
        </r>
        <r>
          <rPr>
            <b/>
            <sz val="10"/>
            <color indexed="10"/>
            <rFont val="Calibri"/>
            <family val="2"/>
          </rPr>
          <t>SOLD</t>
        </r>
        <r>
          <rPr>
            <b/>
            <sz val="10"/>
            <color indexed="8"/>
            <rFont val="Calibri"/>
            <family val="2"/>
          </rPr>
          <t xml:space="preserve"> » 144 PAX]</t>
        </r>
        <r>
          <rPr>
            <b/>
            <sz val="8.5"/>
            <color indexed="8"/>
            <rFont val="Calibri"/>
            <family val="2"/>
          </rPr>
          <t>_x000D_
[</t>
        </r>
        <r>
          <rPr>
            <b/>
            <sz val="8.5"/>
            <color indexed="10"/>
            <rFont val="Calibri"/>
            <family val="2"/>
          </rPr>
          <t>WEEKLY</t>
        </r>
        <r>
          <rPr>
            <b/>
            <sz val="8.5"/>
            <color indexed="8"/>
            <rFont val="Calibri"/>
            <family val="2"/>
          </rPr>
          <t xml:space="preserve"> » 1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NIL]_x000D_
[</t>
        </r>
        <r>
          <rPr>
            <b/>
            <sz val="8.5"/>
            <color indexed="10"/>
            <rFont val="Calibri"/>
            <family val="2"/>
          </rPr>
          <t>LOWESTAVAIL</t>
        </r>
        <r>
          <rPr>
            <b/>
            <sz val="8.5"/>
            <color indexed="8"/>
            <rFont val="Calibri"/>
            <family val="2"/>
          </rPr>
          <t xml:space="preserve"> » O5]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15-NOV]_x000D_
{</t>
        </r>
        <r>
          <rPr>
            <b/>
            <sz val="8.5"/>
            <color indexed="12"/>
            <rFont val="Calibri"/>
            <family val="2"/>
          </rPr>
          <t>CLASSES</t>
        </r>
        <r>
          <rPr>
            <b/>
            <sz val="8.5"/>
            <color indexed="8"/>
            <rFont val="Calibri"/>
            <family val="2"/>
          </rPr>
          <t>}_x000D_
O2 &amp; I10 &amp; P132</t>
        </r>
      </text>
    </comment>
    <comment ref="F167" authorId="0" shapeId="0" xr:uid="{BCA82741-F35A-4ECB-B15B-75FA74E8731F}">
      <text>
        <r>
          <rPr>
            <b/>
            <sz val="10"/>
            <color indexed="8"/>
            <rFont val="Calibri"/>
            <family val="2"/>
          </rPr>
          <t>-{ SM478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72.1%] - [</t>
        </r>
        <r>
          <rPr>
            <b/>
            <sz val="10"/>
            <color indexed="10"/>
            <rFont val="Calibri"/>
            <family val="2"/>
          </rPr>
          <t>SOLD</t>
        </r>
        <r>
          <rPr>
            <b/>
            <sz val="10"/>
            <color indexed="8"/>
            <rFont val="Calibri"/>
            <family val="2"/>
          </rPr>
          <t xml:space="preserve"> » 129 PAX]</t>
        </r>
        <r>
          <rPr>
            <b/>
            <sz val="8.5"/>
            <color indexed="8"/>
            <rFont val="Calibri"/>
            <family val="2"/>
          </rPr>
          <t>_x000D_
[</t>
        </r>
        <r>
          <rPr>
            <b/>
            <sz val="8.5"/>
            <color indexed="10"/>
            <rFont val="Calibri"/>
            <family val="2"/>
          </rPr>
          <t>WEEKLY</t>
        </r>
        <r>
          <rPr>
            <b/>
            <sz val="8.5"/>
            <color indexed="8"/>
            <rFont val="Calibri"/>
            <family val="2"/>
          </rPr>
          <t xml:space="preserve"> » 17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6]_x000D_
[</t>
        </r>
        <r>
          <rPr>
            <b/>
            <sz val="8.5"/>
            <color indexed="10"/>
            <rFont val="Calibri"/>
            <family val="2"/>
          </rPr>
          <t>LOWESTAVAIL</t>
        </r>
        <r>
          <rPr>
            <b/>
            <sz val="8.5"/>
            <color indexed="8"/>
            <rFont val="Calibri"/>
            <family val="2"/>
          </rPr>
          <t xml:space="preserve"> » O5]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19-NOV]_x000D_
{</t>
        </r>
        <r>
          <rPr>
            <b/>
            <sz val="8.5"/>
            <color indexed="12"/>
            <rFont val="Calibri"/>
            <family val="2"/>
          </rPr>
          <t>CLASSES</t>
        </r>
        <r>
          <rPr>
            <b/>
            <sz val="8.5"/>
            <color indexed="8"/>
            <rFont val="Calibri"/>
            <family val="2"/>
          </rPr>
          <t>}_x000D_
S2 &amp; U3 &amp; O20 &amp; I15 &amp; P89</t>
        </r>
      </text>
    </comment>
    <comment ref="F168" authorId="0" shapeId="0" xr:uid="{351A3297-46D3-4B3D-84D6-A48FD92FF108}">
      <text>
        <r>
          <rPr>
            <b/>
            <sz val="10"/>
            <color indexed="8"/>
            <rFont val="Calibri"/>
            <family val="2"/>
          </rPr>
          <t>-{ SM480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45.2%] - [</t>
        </r>
        <r>
          <rPr>
            <b/>
            <sz val="10"/>
            <color indexed="10"/>
            <rFont val="Calibri"/>
            <family val="2"/>
          </rPr>
          <t>SOLD</t>
        </r>
        <r>
          <rPr>
            <b/>
            <sz val="10"/>
            <color indexed="8"/>
            <rFont val="Calibri"/>
            <family val="2"/>
          </rPr>
          <t xml:space="preserve"> » 81 PAX]</t>
        </r>
        <r>
          <rPr>
            <b/>
            <sz val="8.5"/>
            <color indexed="8"/>
            <rFont val="Calibri"/>
            <family val="2"/>
          </rPr>
          <t>_x000D_
[</t>
        </r>
        <r>
          <rPr>
            <b/>
            <sz val="8.5"/>
            <color indexed="10"/>
            <rFont val="Calibri"/>
            <family val="2"/>
          </rPr>
          <t>WEEKLY</t>
        </r>
        <r>
          <rPr>
            <b/>
            <sz val="8.5"/>
            <color indexed="8"/>
            <rFont val="Calibri"/>
            <family val="2"/>
          </rPr>
          <t xml:space="preserve"> » 20 PAX] - [</t>
        </r>
        <r>
          <rPr>
            <b/>
            <sz val="8.5"/>
            <color indexed="10"/>
            <rFont val="Calibri"/>
            <family val="2"/>
          </rPr>
          <t>TO-DAY</t>
        </r>
        <r>
          <rPr>
            <b/>
            <sz val="8.5"/>
            <color indexed="8"/>
            <rFont val="Calibri"/>
            <family val="2"/>
          </rPr>
          <t xml:space="preserve"> » 1 PAX] - [</t>
        </r>
        <r>
          <rPr>
            <b/>
            <sz val="8.5"/>
            <color indexed="10"/>
            <rFont val="Calibri"/>
            <family val="2"/>
          </rPr>
          <t>Y-DAY</t>
        </r>
        <r>
          <rPr>
            <b/>
            <sz val="8.5"/>
            <color indexed="8"/>
            <rFont val="Calibri"/>
            <family val="2"/>
          </rPr>
          <t xml:space="preserve"> » 3]_x000D_
[</t>
        </r>
        <r>
          <rPr>
            <b/>
            <sz val="8.5"/>
            <color indexed="10"/>
            <rFont val="Calibri"/>
            <family val="2"/>
          </rPr>
          <t>LOWESTAVAIL</t>
        </r>
        <r>
          <rPr>
            <b/>
            <sz val="8.5"/>
            <color indexed="8"/>
            <rFont val="Calibri"/>
            <family val="2"/>
          </rPr>
          <t xml:space="preserve"> » O5]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20-NOV]_x000D_
{</t>
        </r>
        <r>
          <rPr>
            <b/>
            <sz val="8.5"/>
            <color indexed="12"/>
            <rFont val="Calibri"/>
            <family val="2"/>
          </rPr>
          <t>CLASSES</t>
        </r>
        <r>
          <rPr>
            <b/>
            <sz val="8.5"/>
            <color indexed="8"/>
            <rFont val="Calibri"/>
            <family val="2"/>
          </rPr>
          <t>}_x000D_
S1 &amp; U4 &amp; O25 &amp; I5 &amp; E44 &amp; N2</t>
        </r>
      </text>
    </comment>
    <comment ref="F171" authorId="0" shapeId="0" xr:uid="{35F4DAB8-5662-4D01-B85F-27DA0CB971F6}">
      <text>
        <r>
          <rPr>
            <b/>
            <sz val="10"/>
            <color indexed="8"/>
            <rFont val="Calibri"/>
            <family val="2"/>
          </rPr>
          <t>-{ SM424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48.0%] - [</t>
        </r>
        <r>
          <rPr>
            <b/>
            <sz val="10"/>
            <color indexed="10"/>
            <rFont val="Calibri"/>
            <family val="2"/>
          </rPr>
          <t>SOLD</t>
        </r>
        <r>
          <rPr>
            <b/>
            <sz val="10"/>
            <color indexed="8"/>
            <rFont val="Calibri"/>
            <family val="2"/>
          </rPr>
          <t xml:space="preserve"> » 86 PAX]</t>
        </r>
        <r>
          <rPr>
            <b/>
            <sz val="8.5"/>
            <color indexed="8"/>
            <rFont val="Calibri"/>
            <family val="2"/>
          </rPr>
          <t>_x000D_
[</t>
        </r>
        <r>
          <rPr>
            <b/>
            <sz val="8.5"/>
            <color indexed="10"/>
            <rFont val="Calibri"/>
            <family val="2"/>
          </rPr>
          <t>WEEKLY</t>
        </r>
        <r>
          <rPr>
            <b/>
            <sz val="8.5"/>
            <color indexed="8"/>
            <rFont val="Calibri"/>
            <family val="2"/>
          </rPr>
          <t xml:space="preserve"> » 2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2]_x000D_
[</t>
        </r>
        <r>
          <rPr>
            <b/>
            <sz val="8.5"/>
            <color indexed="10"/>
            <rFont val="Calibri"/>
            <family val="2"/>
          </rPr>
          <t>LOWESTAVAIL</t>
        </r>
        <r>
          <rPr>
            <b/>
            <sz val="8.5"/>
            <color indexed="8"/>
            <rFont val="Calibri"/>
            <family val="2"/>
          </rPr>
          <t xml:space="preserve"> » U6]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19-NOV]_x000D_
{</t>
        </r>
        <r>
          <rPr>
            <b/>
            <sz val="8.5"/>
            <color indexed="12"/>
            <rFont val="Calibri"/>
            <family val="2"/>
          </rPr>
          <t>CLASSES</t>
        </r>
        <r>
          <rPr>
            <b/>
            <sz val="8.5"/>
            <color indexed="8"/>
            <rFont val="Calibri"/>
            <family val="2"/>
          </rPr>
          <t>}_x000D_
X1 &amp; U1 &amp; P84</t>
        </r>
      </text>
    </comment>
    <comment ref="F172" authorId="0" shapeId="0" xr:uid="{9DD363B1-D048-4BDB-B22D-EA3A7CFAAA9F}">
      <text>
        <r>
          <rPr>
            <b/>
            <sz val="10"/>
            <color indexed="8"/>
            <rFont val="Calibri"/>
            <family val="2"/>
          </rPr>
          <t>-{ SM472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24.6%] - [</t>
        </r>
        <r>
          <rPr>
            <b/>
            <sz val="10"/>
            <color indexed="10"/>
            <rFont val="Calibri"/>
            <family val="2"/>
          </rPr>
          <t>SOLD</t>
        </r>
        <r>
          <rPr>
            <b/>
            <sz val="10"/>
            <color indexed="8"/>
            <rFont val="Calibri"/>
            <family val="2"/>
          </rPr>
          <t xml:space="preserve"> » 44 PAX]</t>
        </r>
        <r>
          <rPr>
            <b/>
            <sz val="8.5"/>
            <color indexed="8"/>
            <rFont val="Calibri"/>
            <family val="2"/>
          </rPr>
          <t>_x000D_
[</t>
        </r>
        <r>
          <rPr>
            <b/>
            <sz val="8.5"/>
            <color indexed="10"/>
            <rFont val="Calibri"/>
            <family val="2"/>
          </rPr>
          <t>WEEKLY</t>
        </r>
        <r>
          <rPr>
            <b/>
            <sz val="8.5"/>
            <color indexed="8"/>
            <rFont val="Calibri"/>
            <family val="2"/>
          </rPr>
          <t xml:space="preserve"> » 32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NIL]_x000D_
[</t>
        </r>
        <r>
          <rPr>
            <b/>
            <sz val="8.5"/>
            <color indexed="10"/>
            <rFont val="Calibri"/>
            <family val="2"/>
          </rPr>
          <t>LOWESTAVAIL</t>
        </r>
        <r>
          <rPr>
            <b/>
            <sz val="8.5"/>
            <color indexed="8"/>
            <rFont val="Calibri"/>
            <family val="2"/>
          </rPr>
          <t xml:space="preserve"> » U9]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18-NOV]_x000D_
{</t>
        </r>
        <r>
          <rPr>
            <b/>
            <sz val="8.5"/>
            <color indexed="12"/>
            <rFont val="Calibri"/>
            <family val="2"/>
          </rPr>
          <t>CLASSES</t>
        </r>
        <r>
          <rPr>
            <b/>
            <sz val="8.5"/>
            <color indexed="8"/>
            <rFont val="Calibri"/>
            <family val="2"/>
          </rPr>
          <t>}_x000D_
S4 &amp; O10 &amp; I30</t>
        </r>
      </text>
    </comment>
    <comment ref="F234" authorId="0" shapeId="0" xr:uid="{A4F10328-5DC5-4634-9E84-A714F1F707A6}">
      <text>
        <r>
          <rPr>
            <b/>
            <sz val="10"/>
            <color indexed="8"/>
            <rFont val="Calibri"/>
            <family val="2"/>
          </rPr>
          <t>-{ SM424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23.5%] - [</t>
        </r>
        <r>
          <rPr>
            <b/>
            <sz val="10"/>
            <color indexed="10"/>
            <rFont val="Calibri"/>
            <family val="2"/>
          </rPr>
          <t>SOLD</t>
        </r>
        <r>
          <rPr>
            <b/>
            <sz val="10"/>
            <color indexed="8"/>
            <rFont val="Calibri"/>
            <family val="2"/>
          </rPr>
          <t xml:space="preserve"> » 42 PAX]</t>
        </r>
        <r>
          <rPr>
            <b/>
            <sz val="8.5"/>
            <color indexed="8"/>
            <rFont val="Calibri"/>
            <family val="2"/>
          </rPr>
          <t>_x000D_
[</t>
        </r>
        <r>
          <rPr>
            <b/>
            <sz val="8.5"/>
            <color indexed="10"/>
            <rFont val="Calibri"/>
            <family val="2"/>
          </rPr>
          <t>WEEKLY</t>
        </r>
        <r>
          <rPr>
            <b/>
            <sz val="8.5"/>
            <color indexed="8"/>
            <rFont val="Calibri"/>
            <family val="2"/>
          </rPr>
          <t xml:space="preserve"> » 23 PAX] - [</t>
        </r>
        <r>
          <rPr>
            <b/>
            <sz val="8.5"/>
            <color indexed="10"/>
            <rFont val="Calibri"/>
            <family val="2"/>
          </rPr>
          <t>TO-DAY</t>
        </r>
        <r>
          <rPr>
            <b/>
            <sz val="8.5"/>
            <color indexed="8"/>
            <rFont val="Calibri"/>
            <family val="2"/>
          </rPr>
          <t xml:space="preserve"> » 1 PAX] - [</t>
        </r>
        <r>
          <rPr>
            <b/>
            <sz val="8.5"/>
            <color indexed="10"/>
            <rFont val="Calibri"/>
            <family val="2"/>
          </rPr>
          <t>Y-DAY</t>
        </r>
        <r>
          <rPr>
            <b/>
            <sz val="8.5"/>
            <color indexed="8"/>
            <rFont val="Calibri"/>
            <family val="2"/>
          </rPr>
          <t xml:space="preserve"> » 4]_x000D_
[</t>
        </r>
        <r>
          <rPr>
            <b/>
            <sz val="8.5"/>
            <color indexed="10"/>
            <rFont val="Calibri"/>
            <family val="2"/>
          </rPr>
          <t>LOWESTAVAIL</t>
        </r>
        <r>
          <rPr>
            <b/>
            <sz val="8.5"/>
            <color indexed="8"/>
            <rFont val="Calibri"/>
            <family val="2"/>
          </rPr>
          <t xml:space="preserve"> » O3]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20-NOV]_x000D_
{</t>
        </r>
        <r>
          <rPr>
            <b/>
            <sz val="8.5"/>
            <color indexed="12"/>
            <rFont val="Calibri"/>
            <family val="2"/>
          </rPr>
          <t>CLASSES</t>
        </r>
        <r>
          <rPr>
            <b/>
            <sz val="8.5"/>
            <color indexed="8"/>
            <rFont val="Calibri"/>
            <family val="2"/>
          </rPr>
          <t>}_x000D_
B1 &amp; U4 &amp; O9 &amp; I28</t>
        </r>
      </text>
    </comment>
    <comment ref="F235" authorId="0" shapeId="0" xr:uid="{C5675F59-54A9-42B9-9208-F3DDDC0CCC43}">
      <text>
        <r>
          <rPr>
            <b/>
            <sz val="10"/>
            <color indexed="8"/>
            <rFont val="Calibri"/>
            <family val="2"/>
          </rPr>
          <t>-{ SM476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25.7%] - [</t>
        </r>
        <r>
          <rPr>
            <b/>
            <sz val="10"/>
            <color indexed="10"/>
            <rFont val="Calibri"/>
            <family val="2"/>
          </rPr>
          <t>SOLD</t>
        </r>
        <r>
          <rPr>
            <b/>
            <sz val="10"/>
            <color indexed="8"/>
            <rFont val="Calibri"/>
            <family val="2"/>
          </rPr>
          <t xml:space="preserve"> » 46 PAX]</t>
        </r>
        <r>
          <rPr>
            <b/>
            <sz val="8.5"/>
            <color indexed="8"/>
            <rFont val="Calibri"/>
            <family val="2"/>
          </rPr>
          <t>_x000D_
[</t>
        </r>
        <r>
          <rPr>
            <b/>
            <sz val="8.5"/>
            <color indexed="10"/>
            <rFont val="Calibri"/>
            <family val="2"/>
          </rPr>
          <t>WEEKLY</t>
        </r>
        <r>
          <rPr>
            <b/>
            <sz val="8.5"/>
            <color indexed="8"/>
            <rFont val="Calibri"/>
            <family val="2"/>
          </rPr>
          <t xml:space="preserve"> » 37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2]_x000D_
[</t>
        </r>
        <r>
          <rPr>
            <b/>
            <sz val="8.5"/>
            <color indexed="10"/>
            <rFont val="Calibri"/>
            <family val="2"/>
          </rPr>
          <t>LOWESTAVAIL</t>
        </r>
        <r>
          <rPr>
            <b/>
            <sz val="8.5"/>
            <color indexed="8"/>
            <rFont val="Calibri"/>
            <family val="2"/>
          </rPr>
          <t xml:space="preserve"> » O1]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19-NOV]_x000D_
{</t>
        </r>
        <r>
          <rPr>
            <b/>
            <sz val="8.5"/>
            <color indexed="12"/>
            <rFont val="Calibri"/>
            <family val="2"/>
          </rPr>
          <t>CLASSES</t>
        </r>
        <r>
          <rPr>
            <b/>
            <sz val="8.5"/>
            <color indexed="8"/>
            <rFont val="Calibri"/>
            <family val="2"/>
          </rPr>
          <t>}_x000D_
S3 &amp; O9 &amp; I34</t>
        </r>
      </text>
    </comment>
    <comment ref="F236" authorId="0" shapeId="0" xr:uid="{A4C5F53D-C3FA-4FEC-8358-A404B3A9DA58}">
      <text>
        <r>
          <rPr>
            <b/>
            <sz val="10"/>
            <color indexed="8"/>
            <rFont val="Calibri"/>
            <family val="2"/>
          </rPr>
          <t>-{ SM478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34.6%] - [</t>
        </r>
        <r>
          <rPr>
            <b/>
            <sz val="10"/>
            <color indexed="10"/>
            <rFont val="Calibri"/>
            <family val="2"/>
          </rPr>
          <t>SOLD</t>
        </r>
        <r>
          <rPr>
            <b/>
            <sz val="10"/>
            <color indexed="8"/>
            <rFont val="Calibri"/>
            <family val="2"/>
          </rPr>
          <t xml:space="preserve"> » 62 PAX]</t>
        </r>
        <r>
          <rPr>
            <b/>
            <sz val="8.5"/>
            <color indexed="8"/>
            <rFont val="Calibri"/>
            <family val="2"/>
          </rPr>
          <t>_x000D_
[</t>
        </r>
        <r>
          <rPr>
            <b/>
            <sz val="8.5"/>
            <color indexed="10"/>
            <rFont val="Calibri"/>
            <family val="2"/>
          </rPr>
          <t>WEEKLY</t>
        </r>
        <r>
          <rPr>
            <b/>
            <sz val="8.5"/>
            <color indexed="8"/>
            <rFont val="Calibri"/>
            <family val="2"/>
          </rPr>
          <t xml:space="preserve"> » 12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6]_x000D_
[</t>
        </r>
        <r>
          <rPr>
            <b/>
            <sz val="8.5"/>
            <color indexed="10"/>
            <rFont val="Calibri"/>
            <family val="2"/>
          </rPr>
          <t>LOWESTAVAIL</t>
        </r>
        <r>
          <rPr>
            <b/>
            <sz val="8.5"/>
            <color indexed="8"/>
            <rFont val="Calibri"/>
            <family val="2"/>
          </rPr>
          <t xml:space="preserve"> » O8]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19-NOV]_x000D_
{</t>
        </r>
        <r>
          <rPr>
            <b/>
            <sz val="8.5"/>
            <color indexed="12"/>
            <rFont val="Calibri"/>
            <family val="2"/>
          </rPr>
          <t>CLASSES</t>
        </r>
        <r>
          <rPr>
            <b/>
            <sz val="8.5"/>
            <color indexed="8"/>
            <rFont val="Calibri"/>
            <family val="2"/>
          </rPr>
          <t>}_x000D_
S1 &amp; O17 &amp; I5 &amp; P39</t>
        </r>
      </text>
    </comment>
    <comment ref="F243" authorId="0" shapeId="0" xr:uid="{142D752E-917E-4B09-BCE7-B63A43D69BD5}">
      <text>
        <r>
          <rPr>
            <b/>
            <sz val="10"/>
            <color indexed="8"/>
            <rFont val="Calibri"/>
            <family val="2"/>
          </rPr>
          <t>-{ SM460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93.3%] - [</t>
        </r>
        <r>
          <rPr>
            <b/>
            <sz val="10"/>
            <color indexed="10"/>
            <rFont val="Calibri"/>
            <family val="2"/>
          </rPr>
          <t>SOLD</t>
        </r>
        <r>
          <rPr>
            <b/>
            <sz val="10"/>
            <color indexed="8"/>
            <rFont val="Calibri"/>
            <family val="2"/>
          </rPr>
          <t xml:space="preserve"> » 167 PAX]</t>
        </r>
        <r>
          <rPr>
            <b/>
            <sz val="8.5"/>
            <color indexed="8"/>
            <rFont val="Calibri"/>
            <family val="2"/>
          </rPr>
          <t>_x000D_
[</t>
        </r>
        <r>
          <rPr>
            <b/>
            <sz val="8.5"/>
            <color indexed="10"/>
            <rFont val="Calibri"/>
            <family val="2"/>
          </rPr>
          <t>WEEKLY</t>
        </r>
        <r>
          <rPr>
            <b/>
            <sz val="8.5"/>
            <color indexed="8"/>
            <rFont val="Calibri"/>
            <family val="2"/>
          </rPr>
          <t xml:space="preserve"> » 21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3]_x000D_
[</t>
        </r>
        <r>
          <rPr>
            <b/>
            <sz val="8.5"/>
            <color indexed="10"/>
            <rFont val="Calibri"/>
            <family val="2"/>
          </rPr>
          <t>LOWESTAVAIL</t>
        </r>
        <r>
          <rPr>
            <b/>
            <sz val="8.5"/>
            <color indexed="8"/>
            <rFont val="Calibri"/>
            <family val="2"/>
          </rPr>
          <t xml:space="preserve"> » U1]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19-NOV]_x000D_
{</t>
        </r>
        <r>
          <rPr>
            <b/>
            <sz val="8.5"/>
            <color indexed="12"/>
            <rFont val="Calibri"/>
            <family val="2"/>
          </rPr>
          <t>CLASSES</t>
        </r>
        <r>
          <rPr>
            <b/>
            <sz val="8.5"/>
            <color indexed="8"/>
            <rFont val="Calibri"/>
            <family val="2"/>
          </rPr>
          <t>}_x000D_
S5 &amp; W3 &amp; U13 &amp; O20 &amp; I10 &amp; P116</t>
        </r>
      </text>
    </comment>
    <comment ref="F244" authorId="0" shapeId="0" xr:uid="{8F3B8C0F-ACB3-479D-93B1-0FD8535A9D04}">
      <text>
        <r>
          <rPr>
            <b/>
            <sz val="10"/>
            <color indexed="8"/>
            <rFont val="Calibri"/>
            <family val="2"/>
          </rPr>
          <t>-{ SM472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33.0%] - [</t>
        </r>
        <r>
          <rPr>
            <b/>
            <sz val="10"/>
            <color indexed="10"/>
            <rFont val="Calibri"/>
            <family val="2"/>
          </rPr>
          <t>SOLD</t>
        </r>
        <r>
          <rPr>
            <b/>
            <sz val="10"/>
            <color indexed="8"/>
            <rFont val="Calibri"/>
            <family val="2"/>
          </rPr>
          <t xml:space="preserve"> » 59 PAX]</t>
        </r>
        <r>
          <rPr>
            <b/>
            <sz val="8.5"/>
            <color indexed="8"/>
            <rFont val="Calibri"/>
            <family val="2"/>
          </rPr>
          <t>_x000D_
[</t>
        </r>
        <r>
          <rPr>
            <b/>
            <sz val="8.5"/>
            <color indexed="10"/>
            <rFont val="Calibri"/>
            <family val="2"/>
          </rPr>
          <t>WEEKLY</t>
        </r>
        <r>
          <rPr>
            <b/>
            <sz val="8.5"/>
            <color indexed="8"/>
            <rFont val="Calibri"/>
            <family val="2"/>
          </rPr>
          <t xml:space="preserve"> » 23 PAX] - [</t>
        </r>
        <r>
          <rPr>
            <b/>
            <sz val="8.5"/>
            <color indexed="10"/>
            <rFont val="Calibri"/>
            <family val="2"/>
          </rPr>
          <t>TO-DAY</t>
        </r>
        <r>
          <rPr>
            <b/>
            <sz val="8.5"/>
            <color indexed="8"/>
            <rFont val="Calibri"/>
            <family val="2"/>
          </rPr>
          <t xml:space="preserve"> » 1 PAX] - [</t>
        </r>
        <r>
          <rPr>
            <b/>
            <sz val="8.5"/>
            <color indexed="10"/>
            <rFont val="Calibri"/>
            <family val="2"/>
          </rPr>
          <t>Y-DAY</t>
        </r>
        <r>
          <rPr>
            <b/>
            <sz val="8.5"/>
            <color indexed="8"/>
            <rFont val="Calibri"/>
            <family val="2"/>
          </rPr>
          <t xml:space="preserve"> » 3]_x000D_
[</t>
        </r>
        <r>
          <rPr>
            <b/>
            <sz val="8.5"/>
            <color indexed="10"/>
            <rFont val="Calibri"/>
            <family val="2"/>
          </rPr>
          <t>LOWESTAVAIL</t>
        </r>
        <r>
          <rPr>
            <b/>
            <sz val="8.5"/>
            <color indexed="8"/>
            <rFont val="Calibri"/>
            <family val="2"/>
          </rPr>
          <t xml:space="preserve"> » U6]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20-NOV]_x000D_
{</t>
        </r>
        <r>
          <rPr>
            <b/>
            <sz val="8.5"/>
            <color indexed="12"/>
            <rFont val="Calibri"/>
            <family val="2"/>
          </rPr>
          <t>CLASSES</t>
        </r>
        <r>
          <rPr>
            <b/>
            <sz val="8.5"/>
            <color indexed="8"/>
            <rFont val="Calibri"/>
            <family val="2"/>
          </rPr>
          <t>}_x000D_
S3 &amp; U11 &amp; O27 &amp; I16 &amp; N2</t>
        </r>
      </text>
    </comment>
    <comment ref="F245" authorId="0" shapeId="0" xr:uid="{0BB9FD2F-8B8C-4838-8313-2D4971F92FEB}">
      <text>
        <r>
          <rPr>
            <b/>
            <sz val="10"/>
            <color indexed="8"/>
            <rFont val="Calibri"/>
            <family val="2"/>
          </rPr>
          <t>-{ SM480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60.9%] - [</t>
        </r>
        <r>
          <rPr>
            <b/>
            <sz val="10"/>
            <color indexed="10"/>
            <rFont val="Calibri"/>
            <family val="2"/>
          </rPr>
          <t>SOLD</t>
        </r>
        <r>
          <rPr>
            <b/>
            <sz val="10"/>
            <color indexed="8"/>
            <rFont val="Calibri"/>
            <family val="2"/>
          </rPr>
          <t xml:space="preserve"> » 109 PAX]</t>
        </r>
        <r>
          <rPr>
            <b/>
            <sz val="8.5"/>
            <color indexed="8"/>
            <rFont val="Calibri"/>
            <family val="2"/>
          </rPr>
          <t>_x000D_
[</t>
        </r>
        <r>
          <rPr>
            <b/>
            <sz val="8.5"/>
            <color indexed="10"/>
            <rFont val="Calibri"/>
            <family val="2"/>
          </rPr>
          <t>WEEKLY</t>
        </r>
        <r>
          <rPr>
            <b/>
            <sz val="8.5"/>
            <color indexed="8"/>
            <rFont val="Calibri"/>
            <family val="2"/>
          </rPr>
          <t xml:space="preserve"> » 26 PAX] - [</t>
        </r>
        <r>
          <rPr>
            <b/>
            <sz val="8.5"/>
            <color indexed="10"/>
            <rFont val="Calibri"/>
            <family val="2"/>
          </rPr>
          <t>TO-DAY</t>
        </r>
        <r>
          <rPr>
            <b/>
            <sz val="8.5"/>
            <color indexed="8"/>
            <rFont val="Calibri"/>
            <family val="2"/>
          </rPr>
          <t xml:space="preserve"> » 1 PAX] - [</t>
        </r>
        <r>
          <rPr>
            <b/>
            <sz val="8.5"/>
            <color indexed="10"/>
            <rFont val="Calibri"/>
            <family val="2"/>
          </rPr>
          <t>Y-DAY</t>
        </r>
        <r>
          <rPr>
            <b/>
            <sz val="8.5"/>
            <color indexed="8"/>
            <rFont val="Calibri"/>
            <family val="2"/>
          </rPr>
          <t xml:space="preserve"> » 3]_x000D_
[</t>
        </r>
        <r>
          <rPr>
            <b/>
            <sz val="8.5"/>
            <color indexed="10"/>
            <rFont val="Calibri"/>
            <family val="2"/>
          </rPr>
          <t>LOWESTAVAIL</t>
        </r>
        <r>
          <rPr>
            <b/>
            <sz val="8.5"/>
            <color indexed="8"/>
            <rFont val="Calibri"/>
            <family val="2"/>
          </rPr>
          <t xml:space="preserve"> » U7]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20-NOV]_x000D_
{</t>
        </r>
        <r>
          <rPr>
            <b/>
            <sz val="8.5"/>
            <color indexed="12"/>
            <rFont val="Calibri"/>
            <family val="2"/>
          </rPr>
          <t>CLASSES</t>
        </r>
        <r>
          <rPr>
            <b/>
            <sz val="8.5"/>
            <color indexed="8"/>
            <rFont val="Calibri"/>
            <family val="2"/>
          </rPr>
          <t>}_x000D_
L1 &amp; G1 &amp; S1 &amp; U3 &amp; O30 &amp; I5 &amp; P68</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CE952447-0E19-49C7-BB41-1DF8093EF90F}">
      <text>
        <r>
          <rPr>
            <b/>
            <sz val="10"/>
            <color indexed="8"/>
            <rFont val="Calibri"/>
            <family val="2"/>
          </rPr>
          <t>-{ SM472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33.5%] - [</t>
        </r>
        <r>
          <rPr>
            <b/>
            <sz val="10"/>
            <color indexed="10"/>
            <rFont val="Calibri"/>
            <family val="2"/>
          </rPr>
          <t>SOLD</t>
        </r>
        <r>
          <rPr>
            <b/>
            <sz val="10"/>
            <color indexed="8"/>
            <rFont val="Calibri"/>
            <family val="2"/>
          </rPr>
          <t xml:space="preserve"> » 60 PAX]</t>
        </r>
        <r>
          <rPr>
            <b/>
            <sz val="8.5"/>
            <color indexed="8"/>
            <rFont val="Calibri"/>
            <family val="2"/>
          </rPr>
          <t>_x000D_
[</t>
        </r>
        <r>
          <rPr>
            <b/>
            <sz val="8.5"/>
            <color indexed="10"/>
            <rFont val="Calibri"/>
            <family val="2"/>
          </rPr>
          <t>WEEKLY</t>
        </r>
        <r>
          <rPr>
            <b/>
            <sz val="8.5"/>
            <color indexed="8"/>
            <rFont val="Calibri"/>
            <family val="2"/>
          </rPr>
          <t xml:space="preserve"> » 43 PAX] - [</t>
        </r>
        <r>
          <rPr>
            <b/>
            <sz val="8.5"/>
            <color indexed="10"/>
            <rFont val="Calibri"/>
            <family val="2"/>
          </rPr>
          <t>TO-DAY</t>
        </r>
        <r>
          <rPr>
            <b/>
            <sz val="8.5"/>
            <color indexed="8"/>
            <rFont val="Calibri"/>
            <family val="2"/>
          </rPr>
          <t xml:space="preserve"> » 5 PAX] - [</t>
        </r>
        <r>
          <rPr>
            <b/>
            <sz val="8.5"/>
            <color indexed="10"/>
            <rFont val="Calibri"/>
            <family val="2"/>
          </rPr>
          <t>Y-DAY</t>
        </r>
        <r>
          <rPr>
            <b/>
            <sz val="8.5"/>
            <color indexed="8"/>
            <rFont val="Calibri"/>
            <family val="2"/>
          </rPr>
          <t xml:space="preserve"> » 1]_x000D_
[</t>
        </r>
        <r>
          <rPr>
            <b/>
            <sz val="8.5"/>
            <color indexed="10"/>
            <rFont val="Calibri"/>
            <family val="2"/>
          </rPr>
          <t>LOWESTAVAIL</t>
        </r>
        <r>
          <rPr>
            <b/>
            <sz val="8.5"/>
            <color indexed="8"/>
            <rFont val="Calibri"/>
            <family val="2"/>
          </rPr>
          <t xml:space="preserve"> » U1]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20-NOV]_x000D_
{</t>
        </r>
        <r>
          <rPr>
            <b/>
            <sz val="8.5"/>
            <color indexed="12"/>
            <rFont val="Calibri"/>
            <family val="2"/>
          </rPr>
          <t>CLASSES</t>
        </r>
        <r>
          <rPr>
            <b/>
            <sz val="8.5"/>
            <color indexed="8"/>
            <rFont val="Calibri"/>
            <family val="2"/>
          </rPr>
          <t>}_x000D_
S8 &amp; X3 &amp; U9 &amp; O10 &amp; I30</t>
        </r>
      </text>
    </comment>
    <comment ref="F3" authorId="0" shapeId="0" xr:uid="{8FE9D07E-656B-4476-A269-0792F7CA5840}">
      <text>
        <r>
          <rPr>
            <b/>
            <sz val="10"/>
            <color indexed="8"/>
            <rFont val="Calibri"/>
            <family val="2"/>
          </rPr>
          <t>-{ SM476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55.9%] - [</t>
        </r>
        <r>
          <rPr>
            <b/>
            <sz val="10"/>
            <color indexed="10"/>
            <rFont val="Calibri"/>
            <family val="2"/>
          </rPr>
          <t>SOLD</t>
        </r>
        <r>
          <rPr>
            <b/>
            <sz val="10"/>
            <color indexed="8"/>
            <rFont val="Calibri"/>
            <family val="2"/>
          </rPr>
          <t xml:space="preserve"> » 100 PAX]</t>
        </r>
        <r>
          <rPr>
            <b/>
            <sz val="8.5"/>
            <color indexed="8"/>
            <rFont val="Calibri"/>
            <family val="2"/>
          </rPr>
          <t>_x000D_
[</t>
        </r>
        <r>
          <rPr>
            <b/>
            <sz val="8.5"/>
            <color indexed="10"/>
            <rFont val="Calibri"/>
            <family val="2"/>
          </rPr>
          <t>WEEKLY</t>
        </r>
        <r>
          <rPr>
            <b/>
            <sz val="8.5"/>
            <color indexed="8"/>
            <rFont val="Calibri"/>
            <family val="2"/>
          </rPr>
          <t xml:space="preserve"> » 31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7]_x000D_
[</t>
        </r>
        <r>
          <rPr>
            <b/>
            <sz val="8.5"/>
            <color indexed="10"/>
            <rFont val="Calibri"/>
            <family val="2"/>
          </rPr>
          <t>LOWESTAVAIL</t>
        </r>
        <r>
          <rPr>
            <b/>
            <sz val="8.5"/>
            <color indexed="8"/>
            <rFont val="Calibri"/>
            <family val="2"/>
          </rPr>
          <t xml:space="preserve"> » U1]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19-NOV]_x000D_
{</t>
        </r>
        <r>
          <rPr>
            <b/>
            <sz val="8.5"/>
            <color indexed="12"/>
            <rFont val="Calibri"/>
            <family val="2"/>
          </rPr>
          <t>CLASSES</t>
        </r>
        <r>
          <rPr>
            <b/>
            <sz val="8.5"/>
            <color indexed="8"/>
            <rFont val="Calibri"/>
            <family val="2"/>
          </rPr>
          <t>}_x000D_
U9 &amp; O15 &amp; I30 &amp; P46</t>
        </r>
      </text>
    </comment>
    <comment ref="F4" authorId="0" shapeId="0" xr:uid="{F6B4E250-4F39-4132-B640-70955FE27E69}">
      <text>
        <r>
          <rPr>
            <b/>
            <sz val="10"/>
            <color indexed="8"/>
            <rFont val="Calibri"/>
            <family val="2"/>
          </rPr>
          <t>-{ SM424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69.3%] - [</t>
        </r>
        <r>
          <rPr>
            <b/>
            <sz val="10"/>
            <color indexed="10"/>
            <rFont val="Calibri"/>
            <family val="2"/>
          </rPr>
          <t>SOLD</t>
        </r>
        <r>
          <rPr>
            <b/>
            <sz val="10"/>
            <color indexed="8"/>
            <rFont val="Calibri"/>
            <family val="2"/>
          </rPr>
          <t xml:space="preserve"> » 124 PAX]</t>
        </r>
        <r>
          <rPr>
            <b/>
            <sz val="8.5"/>
            <color indexed="8"/>
            <rFont val="Calibri"/>
            <family val="2"/>
          </rPr>
          <t>_x000D_
[</t>
        </r>
        <r>
          <rPr>
            <b/>
            <sz val="8.5"/>
            <color indexed="10"/>
            <rFont val="Calibri"/>
            <family val="2"/>
          </rPr>
          <t>WEEKLY</t>
        </r>
        <r>
          <rPr>
            <b/>
            <sz val="8.5"/>
            <color indexed="8"/>
            <rFont val="Calibri"/>
            <family val="2"/>
          </rPr>
          <t xml:space="preserve"> » 26 PAX] - [</t>
        </r>
        <r>
          <rPr>
            <b/>
            <sz val="8.5"/>
            <color indexed="10"/>
            <rFont val="Calibri"/>
            <family val="2"/>
          </rPr>
          <t>TO-DAY</t>
        </r>
        <r>
          <rPr>
            <b/>
            <sz val="8.5"/>
            <color indexed="8"/>
            <rFont val="Calibri"/>
            <family val="2"/>
          </rPr>
          <t xml:space="preserve"> » 2 PAX] - [</t>
        </r>
        <r>
          <rPr>
            <b/>
            <sz val="8.5"/>
            <color indexed="10"/>
            <rFont val="Calibri"/>
            <family val="2"/>
          </rPr>
          <t>Y-DAY</t>
        </r>
        <r>
          <rPr>
            <b/>
            <sz val="8.5"/>
            <color indexed="8"/>
            <rFont val="Calibri"/>
            <family val="2"/>
          </rPr>
          <t xml:space="preserve"> » 2]_x000D_
[</t>
        </r>
        <r>
          <rPr>
            <b/>
            <sz val="8.5"/>
            <color indexed="10"/>
            <rFont val="Calibri"/>
            <family val="2"/>
          </rPr>
          <t>LOWESTAVAIL</t>
        </r>
        <r>
          <rPr>
            <b/>
            <sz val="8.5"/>
            <color indexed="8"/>
            <rFont val="Calibri"/>
            <family val="2"/>
          </rPr>
          <t xml:space="preserve"> » X1]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20-NOV]_x000D_
{</t>
        </r>
        <r>
          <rPr>
            <b/>
            <sz val="8.5"/>
            <color indexed="12"/>
            <rFont val="Calibri"/>
            <family val="2"/>
          </rPr>
          <t>CLASSES</t>
        </r>
        <r>
          <rPr>
            <b/>
            <sz val="8.5"/>
            <color indexed="8"/>
            <rFont val="Calibri"/>
            <family val="2"/>
          </rPr>
          <t>}_x000D_
S2 &amp; X4 &amp; U5 &amp; O10 &amp; I15 &amp; P88</t>
        </r>
      </text>
    </comment>
    <comment ref="F5" authorId="0" shapeId="0" xr:uid="{09D73D26-A73F-45F0-8C09-3BC7F19887DE}">
      <text>
        <r>
          <rPr>
            <b/>
            <sz val="10"/>
            <color indexed="8"/>
            <rFont val="Calibri"/>
            <family val="2"/>
          </rPr>
          <t>-{ SM478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76.0%] - [</t>
        </r>
        <r>
          <rPr>
            <b/>
            <sz val="10"/>
            <color indexed="10"/>
            <rFont val="Calibri"/>
            <family val="2"/>
          </rPr>
          <t>SOLD</t>
        </r>
        <r>
          <rPr>
            <b/>
            <sz val="10"/>
            <color indexed="8"/>
            <rFont val="Calibri"/>
            <family val="2"/>
          </rPr>
          <t xml:space="preserve"> » 136 PAX]</t>
        </r>
        <r>
          <rPr>
            <b/>
            <sz val="8.5"/>
            <color indexed="8"/>
            <rFont val="Calibri"/>
            <family val="2"/>
          </rPr>
          <t>_x000D_
[</t>
        </r>
        <r>
          <rPr>
            <b/>
            <sz val="8.5"/>
            <color indexed="10"/>
            <rFont val="Calibri"/>
            <family val="2"/>
          </rPr>
          <t>WEEKLY</t>
        </r>
        <r>
          <rPr>
            <b/>
            <sz val="8.5"/>
            <color indexed="8"/>
            <rFont val="Calibri"/>
            <family val="2"/>
          </rPr>
          <t xml:space="preserve"> » 25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3]_x000D_
[</t>
        </r>
        <r>
          <rPr>
            <b/>
            <sz val="8.5"/>
            <color indexed="10"/>
            <rFont val="Calibri"/>
            <family val="2"/>
          </rPr>
          <t>LOWESTAVAIL</t>
        </r>
        <r>
          <rPr>
            <b/>
            <sz val="8.5"/>
            <color indexed="8"/>
            <rFont val="Calibri"/>
            <family val="2"/>
          </rPr>
          <t xml:space="preserve"> » X4]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19-NOV]_x000D_
{</t>
        </r>
        <r>
          <rPr>
            <b/>
            <sz val="8.5"/>
            <color indexed="12"/>
            <rFont val="Calibri"/>
            <family val="2"/>
          </rPr>
          <t>CLASSES</t>
        </r>
        <r>
          <rPr>
            <b/>
            <sz val="8.5"/>
            <color indexed="8"/>
            <rFont val="Calibri"/>
            <family val="2"/>
          </rPr>
          <t>}_x000D_
S5 &amp; X6 &amp; U13 &amp; O15 &amp; I15 &amp; P82</t>
        </r>
      </text>
    </comment>
    <comment ref="F6" authorId="0" shapeId="0" xr:uid="{08C34CB3-EA70-428E-A4D1-BDBA25E65436}">
      <text>
        <r>
          <rPr>
            <b/>
            <sz val="10"/>
            <color indexed="8"/>
            <rFont val="Calibri"/>
            <family val="2"/>
          </rPr>
          <t>-{ SM480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93.8%] - [</t>
        </r>
        <r>
          <rPr>
            <b/>
            <sz val="10"/>
            <color indexed="10"/>
            <rFont val="Calibri"/>
            <family val="2"/>
          </rPr>
          <t>SOLD</t>
        </r>
        <r>
          <rPr>
            <b/>
            <sz val="10"/>
            <color indexed="8"/>
            <rFont val="Calibri"/>
            <family val="2"/>
          </rPr>
          <t xml:space="preserve"> » 168 PAX]</t>
        </r>
        <r>
          <rPr>
            <b/>
            <sz val="8.5"/>
            <color indexed="8"/>
            <rFont val="Calibri"/>
            <family val="2"/>
          </rPr>
          <t>_x000D_
[</t>
        </r>
        <r>
          <rPr>
            <b/>
            <sz val="8.5"/>
            <color indexed="10"/>
            <rFont val="Calibri"/>
            <family val="2"/>
          </rPr>
          <t>WEEKLY</t>
        </r>
        <r>
          <rPr>
            <b/>
            <sz val="8.5"/>
            <color indexed="8"/>
            <rFont val="Calibri"/>
            <family val="2"/>
          </rPr>
          <t xml:space="preserve"> » 27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NIL]_x000D_
[</t>
        </r>
        <r>
          <rPr>
            <b/>
            <sz val="8.5"/>
            <color indexed="10"/>
            <rFont val="Calibri"/>
            <family val="2"/>
          </rPr>
          <t>LOWESTAVAIL</t>
        </r>
        <r>
          <rPr>
            <b/>
            <sz val="8.5"/>
            <color indexed="8"/>
            <rFont val="Calibri"/>
            <family val="2"/>
          </rPr>
          <t xml:space="preserve"> » CLOSED]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18-NOV]_x000D_
{</t>
        </r>
        <r>
          <rPr>
            <b/>
            <sz val="8.5"/>
            <color indexed="12"/>
            <rFont val="Calibri"/>
            <family val="2"/>
          </rPr>
          <t>CLASSES</t>
        </r>
        <r>
          <rPr>
            <b/>
            <sz val="8.5"/>
            <color indexed="8"/>
            <rFont val="Calibri"/>
            <family val="2"/>
          </rPr>
          <t>}_x000D_
S2 &amp; X1 &amp; U15 &amp; O15 &amp; I15 &amp; P117 &amp; N3</t>
        </r>
      </text>
    </comment>
    <comment ref="F7" authorId="0" shapeId="0" xr:uid="{F9AE3F93-507B-4F97-948E-414AE0C19D0B}">
      <text>
        <r>
          <rPr>
            <b/>
            <sz val="10"/>
            <color indexed="8"/>
            <rFont val="Calibri"/>
            <family val="2"/>
          </rPr>
          <t>-{ SM460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92.2%] - [</t>
        </r>
        <r>
          <rPr>
            <b/>
            <sz val="10"/>
            <color indexed="10"/>
            <rFont val="Calibri"/>
            <family val="2"/>
          </rPr>
          <t>SOLD</t>
        </r>
        <r>
          <rPr>
            <b/>
            <sz val="10"/>
            <color indexed="8"/>
            <rFont val="Calibri"/>
            <family val="2"/>
          </rPr>
          <t xml:space="preserve"> » 165 PAX]</t>
        </r>
        <r>
          <rPr>
            <b/>
            <sz val="8.5"/>
            <color indexed="8"/>
            <rFont val="Calibri"/>
            <family val="2"/>
          </rPr>
          <t>_x000D_
[</t>
        </r>
        <r>
          <rPr>
            <b/>
            <sz val="8.5"/>
            <color indexed="10"/>
            <rFont val="Calibri"/>
            <family val="2"/>
          </rPr>
          <t>WEEKLY</t>
        </r>
        <r>
          <rPr>
            <b/>
            <sz val="8.5"/>
            <color indexed="8"/>
            <rFont val="Calibri"/>
            <family val="2"/>
          </rPr>
          <t xml:space="preserve"> » 24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4]_x000D_
[</t>
        </r>
        <r>
          <rPr>
            <b/>
            <sz val="8.5"/>
            <color indexed="10"/>
            <rFont val="Calibri"/>
            <family val="2"/>
          </rPr>
          <t>LOWESTAVAIL</t>
        </r>
        <r>
          <rPr>
            <b/>
            <sz val="8.5"/>
            <color indexed="8"/>
            <rFont val="Calibri"/>
            <family val="2"/>
          </rPr>
          <t xml:space="preserve"> » CLOSED]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19-NOV]_x000D_
{</t>
        </r>
        <r>
          <rPr>
            <b/>
            <sz val="8.5"/>
            <color indexed="12"/>
            <rFont val="Calibri"/>
            <family val="2"/>
          </rPr>
          <t>CLASSES</t>
        </r>
        <r>
          <rPr>
            <b/>
            <sz val="8.5"/>
            <color indexed="8"/>
            <rFont val="Calibri"/>
            <family val="2"/>
          </rPr>
          <t>}_x000D_
S1 &amp; W2 &amp; X4 &amp; U17 &amp; O15 &amp; I9 &amp; P117</t>
        </r>
      </text>
    </comment>
    <comment ref="F9" authorId="0" shapeId="0" xr:uid="{A77955E7-C4CF-40CB-A6D9-37F5F7C400D3}">
      <text>
        <r>
          <rPr>
            <b/>
            <sz val="10"/>
            <color indexed="8"/>
            <rFont val="Calibri"/>
            <family val="2"/>
          </rPr>
          <t>-{ SM460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63.7%] - [</t>
        </r>
        <r>
          <rPr>
            <b/>
            <sz val="10"/>
            <color indexed="10"/>
            <rFont val="Calibri"/>
            <family val="2"/>
          </rPr>
          <t>SOLD</t>
        </r>
        <r>
          <rPr>
            <b/>
            <sz val="10"/>
            <color indexed="8"/>
            <rFont val="Calibri"/>
            <family val="2"/>
          </rPr>
          <t xml:space="preserve"> » 114 PAX]</t>
        </r>
        <r>
          <rPr>
            <b/>
            <sz val="8.5"/>
            <color indexed="8"/>
            <rFont val="Calibri"/>
            <family val="2"/>
          </rPr>
          <t>_x000D_
[</t>
        </r>
        <r>
          <rPr>
            <b/>
            <sz val="8.5"/>
            <color indexed="10"/>
            <rFont val="Calibri"/>
            <family val="2"/>
          </rPr>
          <t>WEEKLY</t>
        </r>
        <r>
          <rPr>
            <b/>
            <sz val="8.5"/>
            <color indexed="8"/>
            <rFont val="Calibri"/>
            <family val="2"/>
          </rPr>
          <t xml:space="preserve"> » 47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5]_x000D_
[</t>
        </r>
        <r>
          <rPr>
            <b/>
            <sz val="8.5"/>
            <color indexed="10"/>
            <rFont val="Calibri"/>
            <family val="2"/>
          </rPr>
          <t>LOWESTAVAIL</t>
        </r>
        <r>
          <rPr>
            <b/>
            <sz val="8.5"/>
            <color indexed="8"/>
            <rFont val="Calibri"/>
            <family val="2"/>
          </rPr>
          <t xml:space="preserve"> » U9]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19-NOV]_x000D_
{</t>
        </r>
        <r>
          <rPr>
            <b/>
            <sz val="8.5"/>
            <color indexed="12"/>
            <rFont val="Calibri"/>
            <family val="2"/>
          </rPr>
          <t>CLASSES</t>
        </r>
        <r>
          <rPr>
            <b/>
            <sz val="8.5"/>
            <color indexed="8"/>
            <rFont val="Calibri"/>
            <family val="2"/>
          </rPr>
          <t>}_x000D_
S3 &amp; W1 &amp; U5 &amp; O18 &amp; I40 &amp; P47</t>
        </r>
      </text>
    </comment>
    <comment ref="F10" authorId="0" shapeId="0" xr:uid="{799EB736-B903-4DD7-9F7B-E931613CD0A1}">
      <text>
        <r>
          <rPr>
            <b/>
            <sz val="10"/>
            <color indexed="8"/>
            <rFont val="Calibri"/>
            <family val="2"/>
          </rPr>
          <t>-{ SM476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36.3%] - [</t>
        </r>
        <r>
          <rPr>
            <b/>
            <sz val="10"/>
            <color indexed="10"/>
            <rFont val="Calibri"/>
            <family val="2"/>
          </rPr>
          <t>SOLD</t>
        </r>
        <r>
          <rPr>
            <b/>
            <sz val="10"/>
            <color indexed="8"/>
            <rFont val="Calibri"/>
            <family val="2"/>
          </rPr>
          <t xml:space="preserve"> » 65 PAX]</t>
        </r>
        <r>
          <rPr>
            <b/>
            <sz val="8.5"/>
            <color indexed="8"/>
            <rFont val="Calibri"/>
            <family val="2"/>
          </rPr>
          <t>_x000D_
[</t>
        </r>
        <r>
          <rPr>
            <b/>
            <sz val="8.5"/>
            <color indexed="10"/>
            <rFont val="Calibri"/>
            <family val="2"/>
          </rPr>
          <t>WEEKLY</t>
        </r>
        <r>
          <rPr>
            <b/>
            <sz val="8.5"/>
            <color indexed="8"/>
            <rFont val="Calibri"/>
            <family val="2"/>
          </rPr>
          <t xml:space="preserve"> » 49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1]_x000D_
[</t>
        </r>
        <r>
          <rPr>
            <b/>
            <sz val="8.5"/>
            <color indexed="10"/>
            <rFont val="Calibri"/>
            <family val="2"/>
          </rPr>
          <t>LOWESTAVAIL</t>
        </r>
        <r>
          <rPr>
            <b/>
            <sz val="8.5"/>
            <color indexed="8"/>
            <rFont val="Calibri"/>
            <family val="2"/>
          </rPr>
          <t xml:space="preserve"> » U9]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19-NOV]_x000D_
{</t>
        </r>
        <r>
          <rPr>
            <b/>
            <sz val="8.5"/>
            <color indexed="12"/>
            <rFont val="Calibri"/>
            <family val="2"/>
          </rPr>
          <t>CLASSES</t>
        </r>
        <r>
          <rPr>
            <b/>
            <sz val="8.5"/>
            <color indexed="8"/>
            <rFont val="Calibri"/>
            <family val="2"/>
          </rPr>
          <t>}_x000D_
U1 &amp; O20 &amp; I44</t>
        </r>
      </text>
    </comment>
    <comment ref="F11" authorId="0" shapeId="0" xr:uid="{999F445C-770D-4BAB-97F4-5408F41FD204}">
      <text>
        <r>
          <rPr>
            <b/>
            <sz val="10"/>
            <color indexed="8"/>
            <rFont val="Calibri"/>
            <family val="2"/>
          </rPr>
          <t>-{ SM478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60.9%] - [</t>
        </r>
        <r>
          <rPr>
            <b/>
            <sz val="10"/>
            <color indexed="10"/>
            <rFont val="Calibri"/>
            <family val="2"/>
          </rPr>
          <t>SOLD</t>
        </r>
        <r>
          <rPr>
            <b/>
            <sz val="10"/>
            <color indexed="8"/>
            <rFont val="Calibri"/>
            <family val="2"/>
          </rPr>
          <t xml:space="preserve"> » 109 PAX]</t>
        </r>
        <r>
          <rPr>
            <b/>
            <sz val="8.5"/>
            <color indexed="8"/>
            <rFont val="Calibri"/>
            <family val="2"/>
          </rPr>
          <t>_x000D_
[</t>
        </r>
        <r>
          <rPr>
            <b/>
            <sz val="8.5"/>
            <color indexed="10"/>
            <rFont val="Calibri"/>
            <family val="2"/>
          </rPr>
          <t>WEEKLY</t>
        </r>
        <r>
          <rPr>
            <b/>
            <sz val="8.5"/>
            <color indexed="8"/>
            <rFont val="Calibri"/>
            <family val="2"/>
          </rPr>
          <t xml:space="preserve"> » 40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4]_x000D_
[</t>
        </r>
        <r>
          <rPr>
            <b/>
            <sz val="8.5"/>
            <color indexed="10"/>
            <rFont val="Calibri"/>
            <family val="2"/>
          </rPr>
          <t>LOWESTAVAIL</t>
        </r>
        <r>
          <rPr>
            <b/>
            <sz val="8.5"/>
            <color indexed="8"/>
            <rFont val="Calibri"/>
            <family val="2"/>
          </rPr>
          <t xml:space="preserve"> » U1]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19-NOV]_x000D_
{</t>
        </r>
        <r>
          <rPr>
            <b/>
            <sz val="8.5"/>
            <color indexed="12"/>
            <rFont val="Calibri"/>
            <family val="2"/>
          </rPr>
          <t>CLASSES</t>
        </r>
        <r>
          <rPr>
            <b/>
            <sz val="8.5"/>
            <color indexed="8"/>
            <rFont val="Calibri"/>
            <family val="2"/>
          </rPr>
          <t>}_x000D_
S2 &amp; U17 &amp; O18 &amp; I25 &amp; P45 &amp; N2</t>
        </r>
      </text>
    </comment>
    <comment ref="F14" authorId="0" shapeId="0" xr:uid="{CDE230DB-23F0-4CB2-96B3-C767A59506F9}">
      <text>
        <r>
          <rPr>
            <b/>
            <sz val="10"/>
            <color indexed="8"/>
            <rFont val="Calibri"/>
            <family val="2"/>
          </rPr>
          <t>-{ SM432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23.5%] - [</t>
        </r>
        <r>
          <rPr>
            <b/>
            <sz val="10"/>
            <color indexed="10"/>
            <rFont val="Calibri"/>
            <family val="2"/>
          </rPr>
          <t>SOLD</t>
        </r>
        <r>
          <rPr>
            <b/>
            <sz val="10"/>
            <color indexed="8"/>
            <rFont val="Calibri"/>
            <family val="2"/>
          </rPr>
          <t xml:space="preserve"> » 42 PAX]</t>
        </r>
        <r>
          <rPr>
            <b/>
            <sz val="8.5"/>
            <color indexed="8"/>
            <rFont val="Calibri"/>
            <family val="2"/>
          </rPr>
          <t>_x000D_
[</t>
        </r>
        <r>
          <rPr>
            <b/>
            <sz val="8.5"/>
            <color indexed="10"/>
            <rFont val="Calibri"/>
            <family val="2"/>
          </rPr>
          <t>WEEKLY</t>
        </r>
        <r>
          <rPr>
            <b/>
            <sz val="8.5"/>
            <color indexed="8"/>
            <rFont val="Calibri"/>
            <family val="2"/>
          </rPr>
          <t xml:space="preserve"> » 29 PAX] - [</t>
        </r>
        <r>
          <rPr>
            <b/>
            <sz val="8.5"/>
            <color indexed="10"/>
            <rFont val="Calibri"/>
            <family val="2"/>
          </rPr>
          <t>TO-DAY</t>
        </r>
        <r>
          <rPr>
            <b/>
            <sz val="8.5"/>
            <color indexed="8"/>
            <rFont val="Calibri"/>
            <family val="2"/>
          </rPr>
          <t xml:space="preserve"> » 1 PAX] - [</t>
        </r>
        <r>
          <rPr>
            <b/>
            <sz val="8.5"/>
            <color indexed="10"/>
            <rFont val="Calibri"/>
            <family val="2"/>
          </rPr>
          <t>Y-DAY</t>
        </r>
        <r>
          <rPr>
            <b/>
            <sz val="8.5"/>
            <color indexed="8"/>
            <rFont val="Calibri"/>
            <family val="2"/>
          </rPr>
          <t xml:space="preserve"> » 3]_x000D_
[</t>
        </r>
        <r>
          <rPr>
            <b/>
            <sz val="8.5"/>
            <color indexed="10"/>
            <rFont val="Calibri"/>
            <family val="2"/>
          </rPr>
          <t>LOWESTAVAIL</t>
        </r>
        <r>
          <rPr>
            <b/>
            <sz val="8.5"/>
            <color indexed="8"/>
            <rFont val="Calibri"/>
            <family val="2"/>
          </rPr>
          <t xml:space="preserve"> » O9]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20-NOV]_x000D_
{</t>
        </r>
        <r>
          <rPr>
            <b/>
            <sz val="8.5"/>
            <color indexed="12"/>
            <rFont val="Calibri"/>
            <family val="2"/>
          </rPr>
          <t>CLASSES</t>
        </r>
        <r>
          <rPr>
            <b/>
            <sz val="8.5"/>
            <color indexed="8"/>
            <rFont val="Calibri"/>
            <family val="2"/>
          </rPr>
          <t>}_x000D_
O7 &amp; I35</t>
        </r>
      </text>
    </comment>
    <comment ref="F15" authorId="0" shapeId="0" xr:uid="{08F462F6-7F9A-4B02-90F3-2AEB5960C3F5}">
      <text>
        <r>
          <rPr>
            <b/>
            <sz val="10"/>
            <color indexed="8"/>
            <rFont val="Calibri"/>
            <family val="2"/>
          </rPr>
          <t>-{ SM450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29.0%] - [</t>
        </r>
        <r>
          <rPr>
            <b/>
            <sz val="10"/>
            <color indexed="10"/>
            <rFont val="Calibri"/>
            <family val="2"/>
          </rPr>
          <t>SOLD</t>
        </r>
        <r>
          <rPr>
            <b/>
            <sz val="10"/>
            <color indexed="8"/>
            <rFont val="Calibri"/>
            <family val="2"/>
          </rPr>
          <t xml:space="preserve"> » 52 PAX]</t>
        </r>
        <r>
          <rPr>
            <b/>
            <sz val="8.5"/>
            <color indexed="8"/>
            <rFont val="Calibri"/>
            <family val="2"/>
          </rPr>
          <t>_x000D_
[</t>
        </r>
        <r>
          <rPr>
            <b/>
            <sz val="8.5"/>
            <color indexed="10"/>
            <rFont val="Calibri"/>
            <family val="2"/>
          </rPr>
          <t>WEEKLY</t>
        </r>
        <r>
          <rPr>
            <b/>
            <sz val="8.5"/>
            <color indexed="8"/>
            <rFont val="Calibri"/>
            <family val="2"/>
          </rPr>
          <t xml:space="preserve"> » 19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3]_x000D_
[</t>
        </r>
        <r>
          <rPr>
            <b/>
            <sz val="8.5"/>
            <color indexed="10"/>
            <rFont val="Calibri"/>
            <family val="2"/>
          </rPr>
          <t>LOWESTAVAIL</t>
        </r>
        <r>
          <rPr>
            <b/>
            <sz val="8.5"/>
            <color indexed="8"/>
            <rFont val="Calibri"/>
            <family val="2"/>
          </rPr>
          <t xml:space="preserve"> » O5]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19-NOV]_x000D_
{</t>
        </r>
        <r>
          <rPr>
            <b/>
            <sz val="8.5"/>
            <color indexed="12"/>
            <rFont val="Calibri"/>
            <family val="2"/>
          </rPr>
          <t>CLASSES</t>
        </r>
        <r>
          <rPr>
            <b/>
            <sz val="8.5"/>
            <color indexed="8"/>
            <rFont val="Calibri"/>
            <family val="2"/>
          </rPr>
          <t>}_x000D_
I23 &amp; E28 &amp; N1</t>
        </r>
      </text>
    </comment>
    <comment ref="F16" authorId="0" shapeId="0" xr:uid="{74BAC049-5523-448A-B051-086D23D4613A}">
      <text>
        <r>
          <rPr>
            <b/>
            <sz val="10"/>
            <color indexed="8"/>
            <rFont val="Calibri"/>
            <family val="2"/>
          </rPr>
          <t>-{ SM476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80.5%] - [</t>
        </r>
        <r>
          <rPr>
            <b/>
            <sz val="10"/>
            <color indexed="10"/>
            <rFont val="Calibri"/>
            <family val="2"/>
          </rPr>
          <t>SOLD</t>
        </r>
        <r>
          <rPr>
            <b/>
            <sz val="10"/>
            <color indexed="8"/>
            <rFont val="Calibri"/>
            <family val="2"/>
          </rPr>
          <t xml:space="preserve"> » 144 PAX]</t>
        </r>
        <r>
          <rPr>
            <b/>
            <sz val="8.5"/>
            <color indexed="8"/>
            <rFont val="Calibri"/>
            <family val="2"/>
          </rPr>
          <t>_x000D_
[</t>
        </r>
        <r>
          <rPr>
            <b/>
            <sz val="8.5"/>
            <color indexed="10"/>
            <rFont val="Calibri"/>
            <family val="2"/>
          </rPr>
          <t>WEEKLY</t>
        </r>
        <r>
          <rPr>
            <b/>
            <sz val="8.5"/>
            <color indexed="8"/>
            <rFont val="Calibri"/>
            <family val="2"/>
          </rPr>
          <t xml:space="preserve"> » 1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NIL]_x000D_
[</t>
        </r>
        <r>
          <rPr>
            <b/>
            <sz val="8.5"/>
            <color indexed="10"/>
            <rFont val="Calibri"/>
            <family val="2"/>
          </rPr>
          <t>LOWESTAVAIL</t>
        </r>
        <r>
          <rPr>
            <b/>
            <sz val="8.5"/>
            <color indexed="8"/>
            <rFont val="Calibri"/>
            <family val="2"/>
          </rPr>
          <t xml:space="preserve"> » O5]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15-NOV]_x000D_
{</t>
        </r>
        <r>
          <rPr>
            <b/>
            <sz val="8.5"/>
            <color indexed="12"/>
            <rFont val="Calibri"/>
            <family val="2"/>
          </rPr>
          <t>CLASSES</t>
        </r>
        <r>
          <rPr>
            <b/>
            <sz val="8.5"/>
            <color indexed="8"/>
            <rFont val="Calibri"/>
            <family val="2"/>
          </rPr>
          <t>}_x000D_
O2 &amp; I10 &amp; P132</t>
        </r>
      </text>
    </comment>
    <comment ref="F17" authorId="0" shapeId="0" xr:uid="{CF74A0FC-3F16-4D18-BAB3-0C86CE082061}">
      <text>
        <r>
          <rPr>
            <b/>
            <sz val="10"/>
            <color indexed="8"/>
            <rFont val="Calibri"/>
            <family val="2"/>
          </rPr>
          <t>-{ SM478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72.1%] - [</t>
        </r>
        <r>
          <rPr>
            <b/>
            <sz val="10"/>
            <color indexed="10"/>
            <rFont val="Calibri"/>
            <family val="2"/>
          </rPr>
          <t>SOLD</t>
        </r>
        <r>
          <rPr>
            <b/>
            <sz val="10"/>
            <color indexed="8"/>
            <rFont val="Calibri"/>
            <family val="2"/>
          </rPr>
          <t xml:space="preserve"> » 129 PAX]</t>
        </r>
        <r>
          <rPr>
            <b/>
            <sz val="8.5"/>
            <color indexed="8"/>
            <rFont val="Calibri"/>
            <family val="2"/>
          </rPr>
          <t>_x000D_
[</t>
        </r>
        <r>
          <rPr>
            <b/>
            <sz val="8.5"/>
            <color indexed="10"/>
            <rFont val="Calibri"/>
            <family val="2"/>
          </rPr>
          <t>WEEKLY</t>
        </r>
        <r>
          <rPr>
            <b/>
            <sz val="8.5"/>
            <color indexed="8"/>
            <rFont val="Calibri"/>
            <family val="2"/>
          </rPr>
          <t xml:space="preserve"> » 17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6]_x000D_
[</t>
        </r>
        <r>
          <rPr>
            <b/>
            <sz val="8.5"/>
            <color indexed="10"/>
            <rFont val="Calibri"/>
            <family val="2"/>
          </rPr>
          <t>LOWESTAVAIL</t>
        </r>
        <r>
          <rPr>
            <b/>
            <sz val="8.5"/>
            <color indexed="8"/>
            <rFont val="Calibri"/>
            <family val="2"/>
          </rPr>
          <t xml:space="preserve"> » O5]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19-NOV]_x000D_
{</t>
        </r>
        <r>
          <rPr>
            <b/>
            <sz val="8.5"/>
            <color indexed="12"/>
            <rFont val="Calibri"/>
            <family val="2"/>
          </rPr>
          <t>CLASSES</t>
        </r>
        <r>
          <rPr>
            <b/>
            <sz val="8.5"/>
            <color indexed="8"/>
            <rFont val="Calibri"/>
            <family val="2"/>
          </rPr>
          <t>}_x000D_
S2 &amp; U3 &amp; O20 &amp; I15 &amp; P89</t>
        </r>
      </text>
    </comment>
    <comment ref="F18" authorId="0" shapeId="0" xr:uid="{B26ED2CA-D64A-41D2-A3B4-DF552B488B07}">
      <text>
        <r>
          <rPr>
            <b/>
            <sz val="10"/>
            <color indexed="8"/>
            <rFont val="Calibri"/>
            <family val="2"/>
          </rPr>
          <t>-{ SM480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45.2%] - [</t>
        </r>
        <r>
          <rPr>
            <b/>
            <sz val="10"/>
            <color indexed="10"/>
            <rFont val="Calibri"/>
            <family val="2"/>
          </rPr>
          <t>SOLD</t>
        </r>
        <r>
          <rPr>
            <b/>
            <sz val="10"/>
            <color indexed="8"/>
            <rFont val="Calibri"/>
            <family val="2"/>
          </rPr>
          <t xml:space="preserve"> » 81 PAX]</t>
        </r>
        <r>
          <rPr>
            <b/>
            <sz val="8.5"/>
            <color indexed="8"/>
            <rFont val="Calibri"/>
            <family val="2"/>
          </rPr>
          <t>_x000D_
[</t>
        </r>
        <r>
          <rPr>
            <b/>
            <sz val="8.5"/>
            <color indexed="10"/>
            <rFont val="Calibri"/>
            <family val="2"/>
          </rPr>
          <t>WEEKLY</t>
        </r>
        <r>
          <rPr>
            <b/>
            <sz val="8.5"/>
            <color indexed="8"/>
            <rFont val="Calibri"/>
            <family val="2"/>
          </rPr>
          <t xml:space="preserve"> » 20 PAX] - [</t>
        </r>
        <r>
          <rPr>
            <b/>
            <sz val="8.5"/>
            <color indexed="10"/>
            <rFont val="Calibri"/>
            <family val="2"/>
          </rPr>
          <t>TO-DAY</t>
        </r>
        <r>
          <rPr>
            <b/>
            <sz val="8.5"/>
            <color indexed="8"/>
            <rFont val="Calibri"/>
            <family val="2"/>
          </rPr>
          <t xml:space="preserve"> » 1 PAX] - [</t>
        </r>
        <r>
          <rPr>
            <b/>
            <sz val="8.5"/>
            <color indexed="10"/>
            <rFont val="Calibri"/>
            <family val="2"/>
          </rPr>
          <t>Y-DAY</t>
        </r>
        <r>
          <rPr>
            <b/>
            <sz val="8.5"/>
            <color indexed="8"/>
            <rFont val="Calibri"/>
            <family val="2"/>
          </rPr>
          <t xml:space="preserve"> » 3]_x000D_
[</t>
        </r>
        <r>
          <rPr>
            <b/>
            <sz val="8.5"/>
            <color indexed="10"/>
            <rFont val="Calibri"/>
            <family val="2"/>
          </rPr>
          <t>LOWESTAVAIL</t>
        </r>
        <r>
          <rPr>
            <b/>
            <sz val="8.5"/>
            <color indexed="8"/>
            <rFont val="Calibri"/>
            <family val="2"/>
          </rPr>
          <t xml:space="preserve"> » O5]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20-NOV]_x000D_
{</t>
        </r>
        <r>
          <rPr>
            <b/>
            <sz val="8.5"/>
            <color indexed="12"/>
            <rFont val="Calibri"/>
            <family val="2"/>
          </rPr>
          <t>CLASSES</t>
        </r>
        <r>
          <rPr>
            <b/>
            <sz val="8.5"/>
            <color indexed="8"/>
            <rFont val="Calibri"/>
            <family val="2"/>
          </rPr>
          <t>}_x000D_
S1 &amp; U4 &amp; O25 &amp; I5 &amp; E44 &amp; N2</t>
        </r>
      </text>
    </comment>
    <comment ref="F19" authorId="0" shapeId="0" xr:uid="{F882CDE2-7865-48F3-8ECA-BDCBF815541F}">
      <text>
        <r>
          <rPr>
            <b/>
            <sz val="10"/>
            <color indexed="8"/>
            <rFont val="Calibri"/>
            <family val="2"/>
          </rPr>
          <t>-{ SM424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48.0%] - [</t>
        </r>
        <r>
          <rPr>
            <b/>
            <sz val="10"/>
            <color indexed="10"/>
            <rFont val="Calibri"/>
            <family val="2"/>
          </rPr>
          <t>SOLD</t>
        </r>
        <r>
          <rPr>
            <b/>
            <sz val="10"/>
            <color indexed="8"/>
            <rFont val="Calibri"/>
            <family val="2"/>
          </rPr>
          <t xml:space="preserve"> » 86 PAX]</t>
        </r>
        <r>
          <rPr>
            <b/>
            <sz val="8.5"/>
            <color indexed="8"/>
            <rFont val="Calibri"/>
            <family val="2"/>
          </rPr>
          <t>_x000D_
[</t>
        </r>
        <r>
          <rPr>
            <b/>
            <sz val="8.5"/>
            <color indexed="10"/>
            <rFont val="Calibri"/>
            <family val="2"/>
          </rPr>
          <t>WEEKLY</t>
        </r>
        <r>
          <rPr>
            <b/>
            <sz val="8.5"/>
            <color indexed="8"/>
            <rFont val="Calibri"/>
            <family val="2"/>
          </rPr>
          <t xml:space="preserve"> » 2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2]_x000D_
[</t>
        </r>
        <r>
          <rPr>
            <b/>
            <sz val="8.5"/>
            <color indexed="10"/>
            <rFont val="Calibri"/>
            <family val="2"/>
          </rPr>
          <t>LOWESTAVAIL</t>
        </r>
        <r>
          <rPr>
            <b/>
            <sz val="8.5"/>
            <color indexed="8"/>
            <rFont val="Calibri"/>
            <family val="2"/>
          </rPr>
          <t xml:space="preserve"> » U6]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19-NOV]_x000D_
{</t>
        </r>
        <r>
          <rPr>
            <b/>
            <sz val="8.5"/>
            <color indexed="12"/>
            <rFont val="Calibri"/>
            <family val="2"/>
          </rPr>
          <t>CLASSES</t>
        </r>
        <r>
          <rPr>
            <b/>
            <sz val="8.5"/>
            <color indexed="8"/>
            <rFont val="Calibri"/>
            <family val="2"/>
          </rPr>
          <t>}_x000D_
X1 &amp; U1 &amp; P84</t>
        </r>
      </text>
    </comment>
    <comment ref="F20" authorId="0" shapeId="0" xr:uid="{ED4FAB78-A6E7-48BD-8A72-DA601927B446}">
      <text>
        <r>
          <rPr>
            <b/>
            <sz val="10"/>
            <color indexed="8"/>
            <rFont val="Calibri"/>
            <family val="2"/>
          </rPr>
          <t>-{ SM472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24.6%] - [</t>
        </r>
        <r>
          <rPr>
            <b/>
            <sz val="10"/>
            <color indexed="10"/>
            <rFont val="Calibri"/>
            <family val="2"/>
          </rPr>
          <t>SOLD</t>
        </r>
        <r>
          <rPr>
            <b/>
            <sz val="10"/>
            <color indexed="8"/>
            <rFont val="Calibri"/>
            <family val="2"/>
          </rPr>
          <t xml:space="preserve"> » 44 PAX]</t>
        </r>
        <r>
          <rPr>
            <b/>
            <sz val="8.5"/>
            <color indexed="8"/>
            <rFont val="Calibri"/>
            <family val="2"/>
          </rPr>
          <t>_x000D_
[</t>
        </r>
        <r>
          <rPr>
            <b/>
            <sz val="8.5"/>
            <color indexed="10"/>
            <rFont val="Calibri"/>
            <family val="2"/>
          </rPr>
          <t>WEEKLY</t>
        </r>
        <r>
          <rPr>
            <b/>
            <sz val="8.5"/>
            <color indexed="8"/>
            <rFont val="Calibri"/>
            <family val="2"/>
          </rPr>
          <t xml:space="preserve"> » 32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NIL]_x000D_
[</t>
        </r>
        <r>
          <rPr>
            <b/>
            <sz val="8.5"/>
            <color indexed="10"/>
            <rFont val="Calibri"/>
            <family val="2"/>
          </rPr>
          <t>LOWESTAVAIL</t>
        </r>
        <r>
          <rPr>
            <b/>
            <sz val="8.5"/>
            <color indexed="8"/>
            <rFont val="Calibri"/>
            <family val="2"/>
          </rPr>
          <t xml:space="preserve"> » U9]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18-NOV]_x000D_
{</t>
        </r>
        <r>
          <rPr>
            <b/>
            <sz val="8.5"/>
            <color indexed="12"/>
            <rFont val="Calibri"/>
            <family val="2"/>
          </rPr>
          <t>CLASSES</t>
        </r>
        <r>
          <rPr>
            <b/>
            <sz val="8.5"/>
            <color indexed="8"/>
            <rFont val="Calibri"/>
            <family val="2"/>
          </rPr>
          <t>}_x000D_
S4 &amp; O10 &amp; I30</t>
        </r>
      </text>
    </comment>
    <comment ref="F21" authorId="0" shapeId="0" xr:uid="{4EBC7A23-5272-4927-A6BE-72FBC818BB7B}">
      <text>
        <r>
          <rPr>
            <b/>
            <sz val="10"/>
            <color indexed="8"/>
            <rFont val="Calibri"/>
            <family val="2"/>
          </rPr>
          <t>-{ SM424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23.5%] - [</t>
        </r>
        <r>
          <rPr>
            <b/>
            <sz val="10"/>
            <color indexed="10"/>
            <rFont val="Calibri"/>
            <family val="2"/>
          </rPr>
          <t>SOLD</t>
        </r>
        <r>
          <rPr>
            <b/>
            <sz val="10"/>
            <color indexed="8"/>
            <rFont val="Calibri"/>
            <family val="2"/>
          </rPr>
          <t xml:space="preserve"> » 42 PAX]</t>
        </r>
        <r>
          <rPr>
            <b/>
            <sz val="8.5"/>
            <color indexed="8"/>
            <rFont val="Calibri"/>
            <family val="2"/>
          </rPr>
          <t>_x000D_
[</t>
        </r>
        <r>
          <rPr>
            <b/>
            <sz val="8.5"/>
            <color indexed="10"/>
            <rFont val="Calibri"/>
            <family val="2"/>
          </rPr>
          <t>WEEKLY</t>
        </r>
        <r>
          <rPr>
            <b/>
            <sz val="8.5"/>
            <color indexed="8"/>
            <rFont val="Calibri"/>
            <family val="2"/>
          </rPr>
          <t xml:space="preserve"> » 23 PAX] - [</t>
        </r>
        <r>
          <rPr>
            <b/>
            <sz val="8.5"/>
            <color indexed="10"/>
            <rFont val="Calibri"/>
            <family val="2"/>
          </rPr>
          <t>TO-DAY</t>
        </r>
        <r>
          <rPr>
            <b/>
            <sz val="8.5"/>
            <color indexed="8"/>
            <rFont val="Calibri"/>
            <family val="2"/>
          </rPr>
          <t xml:space="preserve"> » 1 PAX] - [</t>
        </r>
        <r>
          <rPr>
            <b/>
            <sz val="8.5"/>
            <color indexed="10"/>
            <rFont val="Calibri"/>
            <family val="2"/>
          </rPr>
          <t>Y-DAY</t>
        </r>
        <r>
          <rPr>
            <b/>
            <sz val="8.5"/>
            <color indexed="8"/>
            <rFont val="Calibri"/>
            <family val="2"/>
          </rPr>
          <t xml:space="preserve"> » 4]_x000D_
[</t>
        </r>
        <r>
          <rPr>
            <b/>
            <sz val="8.5"/>
            <color indexed="10"/>
            <rFont val="Calibri"/>
            <family val="2"/>
          </rPr>
          <t>LOWESTAVAIL</t>
        </r>
        <r>
          <rPr>
            <b/>
            <sz val="8.5"/>
            <color indexed="8"/>
            <rFont val="Calibri"/>
            <family val="2"/>
          </rPr>
          <t xml:space="preserve"> » O3]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20-NOV]_x000D_
{</t>
        </r>
        <r>
          <rPr>
            <b/>
            <sz val="8.5"/>
            <color indexed="12"/>
            <rFont val="Calibri"/>
            <family val="2"/>
          </rPr>
          <t>CLASSES</t>
        </r>
        <r>
          <rPr>
            <b/>
            <sz val="8.5"/>
            <color indexed="8"/>
            <rFont val="Calibri"/>
            <family val="2"/>
          </rPr>
          <t>}_x000D_
B1 &amp; U4 &amp; O9 &amp; I28</t>
        </r>
      </text>
    </comment>
    <comment ref="F22" authorId="0" shapeId="0" xr:uid="{F4E1360F-B051-4C6B-B822-FCA6E29AEEBD}">
      <text>
        <r>
          <rPr>
            <b/>
            <sz val="10"/>
            <color indexed="8"/>
            <rFont val="Calibri"/>
            <family val="2"/>
          </rPr>
          <t>-{ SM476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25.7%] - [</t>
        </r>
        <r>
          <rPr>
            <b/>
            <sz val="10"/>
            <color indexed="10"/>
            <rFont val="Calibri"/>
            <family val="2"/>
          </rPr>
          <t>SOLD</t>
        </r>
        <r>
          <rPr>
            <b/>
            <sz val="10"/>
            <color indexed="8"/>
            <rFont val="Calibri"/>
            <family val="2"/>
          </rPr>
          <t xml:space="preserve"> » 46 PAX]</t>
        </r>
        <r>
          <rPr>
            <b/>
            <sz val="8.5"/>
            <color indexed="8"/>
            <rFont val="Calibri"/>
            <family val="2"/>
          </rPr>
          <t>_x000D_
[</t>
        </r>
        <r>
          <rPr>
            <b/>
            <sz val="8.5"/>
            <color indexed="10"/>
            <rFont val="Calibri"/>
            <family val="2"/>
          </rPr>
          <t>WEEKLY</t>
        </r>
        <r>
          <rPr>
            <b/>
            <sz val="8.5"/>
            <color indexed="8"/>
            <rFont val="Calibri"/>
            <family val="2"/>
          </rPr>
          <t xml:space="preserve"> » 37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2]_x000D_
[</t>
        </r>
        <r>
          <rPr>
            <b/>
            <sz val="8.5"/>
            <color indexed="10"/>
            <rFont val="Calibri"/>
            <family val="2"/>
          </rPr>
          <t>LOWESTAVAIL</t>
        </r>
        <r>
          <rPr>
            <b/>
            <sz val="8.5"/>
            <color indexed="8"/>
            <rFont val="Calibri"/>
            <family val="2"/>
          </rPr>
          <t xml:space="preserve"> » O1]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19-NOV]_x000D_
{</t>
        </r>
        <r>
          <rPr>
            <b/>
            <sz val="8.5"/>
            <color indexed="12"/>
            <rFont val="Calibri"/>
            <family val="2"/>
          </rPr>
          <t>CLASSES</t>
        </r>
        <r>
          <rPr>
            <b/>
            <sz val="8.5"/>
            <color indexed="8"/>
            <rFont val="Calibri"/>
            <family val="2"/>
          </rPr>
          <t>}_x000D_
S3 &amp; O9 &amp; I34</t>
        </r>
      </text>
    </comment>
    <comment ref="F23" authorId="0" shapeId="0" xr:uid="{C1A4ACAF-5028-4B4D-A1F0-BF4B3069F558}">
      <text>
        <r>
          <rPr>
            <b/>
            <sz val="10"/>
            <color indexed="8"/>
            <rFont val="Calibri"/>
            <family val="2"/>
          </rPr>
          <t>-{ SM478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34.6%] - [</t>
        </r>
        <r>
          <rPr>
            <b/>
            <sz val="10"/>
            <color indexed="10"/>
            <rFont val="Calibri"/>
            <family val="2"/>
          </rPr>
          <t>SOLD</t>
        </r>
        <r>
          <rPr>
            <b/>
            <sz val="10"/>
            <color indexed="8"/>
            <rFont val="Calibri"/>
            <family val="2"/>
          </rPr>
          <t xml:space="preserve"> » 62 PAX]</t>
        </r>
        <r>
          <rPr>
            <b/>
            <sz val="8.5"/>
            <color indexed="8"/>
            <rFont val="Calibri"/>
            <family val="2"/>
          </rPr>
          <t>_x000D_
[</t>
        </r>
        <r>
          <rPr>
            <b/>
            <sz val="8.5"/>
            <color indexed="10"/>
            <rFont val="Calibri"/>
            <family val="2"/>
          </rPr>
          <t>WEEKLY</t>
        </r>
        <r>
          <rPr>
            <b/>
            <sz val="8.5"/>
            <color indexed="8"/>
            <rFont val="Calibri"/>
            <family val="2"/>
          </rPr>
          <t xml:space="preserve"> » 12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6]_x000D_
[</t>
        </r>
        <r>
          <rPr>
            <b/>
            <sz val="8.5"/>
            <color indexed="10"/>
            <rFont val="Calibri"/>
            <family val="2"/>
          </rPr>
          <t>LOWESTAVAIL</t>
        </r>
        <r>
          <rPr>
            <b/>
            <sz val="8.5"/>
            <color indexed="8"/>
            <rFont val="Calibri"/>
            <family val="2"/>
          </rPr>
          <t xml:space="preserve"> » O8]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19-NOV]_x000D_
{</t>
        </r>
        <r>
          <rPr>
            <b/>
            <sz val="8.5"/>
            <color indexed="12"/>
            <rFont val="Calibri"/>
            <family val="2"/>
          </rPr>
          <t>CLASSES</t>
        </r>
        <r>
          <rPr>
            <b/>
            <sz val="8.5"/>
            <color indexed="8"/>
            <rFont val="Calibri"/>
            <family val="2"/>
          </rPr>
          <t>}_x000D_
S1 &amp; O17 &amp; I5 &amp; P39</t>
        </r>
      </text>
    </comment>
    <comment ref="F26" authorId="0" shapeId="0" xr:uid="{46CE6E60-1ED7-451F-B2D1-AF3276173D74}">
      <text>
        <r>
          <rPr>
            <b/>
            <sz val="10"/>
            <color indexed="8"/>
            <rFont val="Calibri"/>
            <family val="2"/>
          </rPr>
          <t>-{ SM460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93.3%] - [</t>
        </r>
        <r>
          <rPr>
            <b/>
            <sz val="10"/>
            <color indexed="10"/>
            <rFont val="Calibri"/>
            <family val="2"/>
          </rPr>
          <t>SOLD</t>
        </r>
        <r>
          <rPr>
            <b/>
            <sz val="10"/>
            <color indexed="8"/>
            <rFont val="Calibri"/>
            <family val="2"/>
          </rPr>
          <t xml:space="preserve"> » 167 PAX]</t>
        </r>
        <r>
          <rPr>
            <b/>
            <sz val="8.5"/>
            <color indexed="8"/>
            <rFont val="Calibri"/>
            <family val="2"/>
          </rPr>
          <t>_x000D_
[</t>
        </r>
        <r>
          <rPr>
            <b/>
            <sz val="8.5"/>
            <color indexed="10"/>
            <rFont val="Calibri"/>
            <family val="2"/>
          </rPr>
          <t>WEEKLY</t>
        </r>
        <r>
          <rPr>
            <b/>
            <sz val="8.5"/>
            <color indexed="8"/>
            <rFont val="Calibri"/>
            <family val="2"/>
          </rPr>
          <t xml:space="preserve"> » 21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3]_x000D_
[</t>
        </r>
        <r>
          <rPr>
            <b/>
            <sz val="8.5"/>
            <color indexed="10"/>
            <rFont val="Calibri"/>
            <family val="2"/>
          </rPr>
          <t>LOWESTAVAIL</t>
        </r>
        <r>
          <rPr>
            <b/>
            <sz val="8.5"/>
            <color indexed="8"/>
            <rFont val="Calibri"/>
            <family val="2"/>
          </rPr>
          <t xml:space="preserve"> » U1]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19-NOV]_x000D_
{</t>
        </r>
        <r>
          <rPr>
            <b/>
            <sz val="8.5"/>
            <color indexed="12"/>
            <rFont val="Calibri"/>
            <family val="2"/>
          </rPr>
          <t>CLASSES</t>
        </r>
        <r>
          <rPr>
            <b/>
            <sz val="8.5"/>
            <color indexed="8"/>
            <rFont val="Calibri"/>
            <family val="2"/>
          </rPr>
          <t>}_x000D_
S5 &amp; W3 &amp; U13 &amp; O20 &amp; I10 &amp; P116</t>
        </r>
      </text>
    </comment>
    <comment ref="F27" authorId="0" shapeId="0" xr:uid="{156B9C04-F908-4B22-BEF0-70FB121AE570}">
      <text>
        <r>
          <rPr>
            <b/>
            <sz val="10"/>
            <color indexed="8"/>
            <rFont val="Calibri"/>
            <family val="2"/>
          </rPr>
          <t>-{ SM472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33.0%] - [</t>
        </r>
        <r>
          <rPr>
            <b/>
            <sz val="10"/>
            <color indexed="10"/>
            <rFont val="Calibri"/>
            <family val="2"/>
          </rPr>
          <t>SOLD</t>
        </r>
        <r>
          <rPr>
            <b/>
            <sz val="10"/>
            <color indexed="8"/>
            <rFont val="Calibri"/>
            <family val="2"/>
          </rPr>
          <t xml:space="preserve"> » 59 PAX]</t>
        </r>
        <r>
          <rPr>
            <b/>
            <sz val="8.5"/>
            <color indexed="8"/>
            <rFont val="Calibri"/>
            <family val="2"/>
          </rPr>
          <t>_x000D_
[</t>
        </r>
        <r>
          <rPr>
            <b/>
            <sz val="8.5"/>
            <color indexed="10"/>
            <rFont val="Calibri"/>
            <family val="2"/>
          </rPr>
          <t>WEEKLY</t>
        </r>
        <r>
          <rPr>
            <b/>
            <sz val="8.5"/>
            <color indexed="8"/>
            <rFont val="Calibri"/>
            <family val="2"/>
          </rPr>
          <t xml:space="preserve"> » 23 PAX] - [</t>
        </r>
        <r>
          <rPr>
            <b/>
            <sz val="8.5"/>
            <color indexed="10"/>
            <rFont val="Calibri"/>
            <family val="2"/>
          </rPr>
          <t>TO-DAY</t>
        </r>
        <r>
          <rPr>
            <b/>
            <sz val="8.5"/>
            <color indexed="8"/>
            <rFont val="Calibri"/>
            <family val="2"/>
          </rPr>
          <t xml:space="preserve"> » 1 PAX] - [</t>
        </r>
        <r>
          <rPr>
            <b/>
            <sz val="8.5"/>
            <color indexed="10"/>
            <rFont val="Calibri"/>
            <family val="2"/>
          </rPr>
          <t>Y-DAY</t>
        </r>
        <r>
          <rPr>
            <b/>
            <sz val="8.5"/>
            <color indexed="8"/>
            <rFont val="Calibri"/>
            <family val="2"/>
          </rPr>
          <t xml:space="preserve"> » 3]_x000D_
[</t>
        </r>
        <r>
          <rPr>
            <b/>
            <sz val="8.5"/>
            <color indexed="10"/>
            <rFont val="Calibri"/>
            <family val="2"/>
          </rPr>
          <t>LOWESTAVAIL</t>
        </r>
        <r>
          <rPr>
            <b/>
            <sz val="8.5"/>
            <color indexed="8"/>
            <rFont val="Calibri"/>
            <family val="2"/>
          </rPr>
          <t xml:space="preserve"> » U6]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20-NOV]_x000D_
{</t>
        </r>
        <r>
          <rPr>
            <b/>
            <sz val="8.5"/>
            <color indexed="12"/>
            <rFont val="Calibri"/>
            <family val="2"/>
          </rPr>
          <t>CLASSES</t>
        </r>
        <r>
          <rPr>
            <b/>
            <sz val="8.5"/>
            <color indexed="8"/>
            <rFont val="Calibri"/>
            <family val="2"/>
          </rPr>
          <t>}_x000D_
S3 &amp; U11 &amp; O27 &amp; I16 &amp; N2</t>
        </r>
      </text>
    </comment>
    <comment ref="F28" authorId="0" shapeId="0" xr:uid="{97224BD5-F3C6-4CA4-832F-58E2A63BC09A}">
      <text>
        <r>
          <rPr>
            <b/>
            <sz val="10"/>
            <color indexed="8"/>
            <rFont val="Calibri"/>
            <family val="2"/>
          </rPr>
          <t>-{ SM480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60.9%] - [</t>
        </r>
        <r>
          <rPr>
            <b/>
            <sz val="10"/>
            <color indexed="10"/>
            <rFont val="Calibri"/>
            <family val="2"/>
          </rPr>
          <t>SOLD</t>
        </r>
        <r>
          <rPr>
            <b/>
            <sz val="10"/>
            <color indexed="8"/>
            <rFont val="Calibri"/>
            <family val="2"/>
          </rPr>
          <t xml:space="preserve"> » 109 PAX]</t>
        </r>
        <r>
          <rPr>
            <b/>
            <sz val="8.5"/>
            <color indexed="8"/>
            <rFont val="Calibri"/>
            <family val="2"/>
          </rPr>
          <t>_x000D_
[</t>
        </r>
        <r>
          <rPr>
            <b/>
            <sz val="8.5"/>
            <color indexed="10"/>
            <rFont val="Calibri"/>
            <family val="2"/>
          </rPr>
          <t>WEEKLY</t>
        </r>
        <r>
          <rPr>
            <b/>
            <sz val="8.5"/>
            <color indexed="8"/>
            <rFont val="Calibri"/>
            <family val="2"/>
          </rPr>
          <t xml:space="preserve"> » 26 PAX] - [</t>
        </r>
        <r>
          <rPr>
            <b/>
            <sz val="8.5"/>
            <color indexed="10"/>
            <rFont val="Calibri"/>
            <family val="2"/>
          </rPr>
          <t>TO-DAY</t>
        </r>
        <r>
          <rPr>
            <b/>
            <sz val="8.5"/>
            <color indexed="8"/>
            <rFont val="Calibri"/>
            <family val="2"/>
          </rPr>
          <t xml:space="preserve"> » 1 PAX] - [</t>
        </r>
        <r>
          <rPr>
            <b/>
            <sz val="8.5"/>
            <color indexed="10"/>
            <rFont val="Calibri"/>
            <family val="2"/>
          </rPr>
          <t>Y-DAY</t>
        </r>
        <r>
          <rPr>
            <b/>
            <sz val="8.5"/>
            <color indexed="8"/>
            <rFont val="Calibri"/>
            <family val="2"/>
          </rPr>
          <t xml:space="preserve"> » 3]_x000D_
[</t>
        </r>
        <r>
          <rPr>
            <b/>
            <sz val="8.5"/>
            <color indexed="10"/>
            <rFont val="Calibri"/>
            <family val="2"/>
          </rPr>
          <t>LOWESTAVAIL</t>
        </r>
        <r>
          <rPr>
            <b/>
            <sz val="8.5"/>
            <color indexed="8"/>
            <rFont val="Calibri"/>
            <family val="2"/>
          </rPr>
          <t xml:space="preserve"> » U7]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20-NOV]_x000D_
{</t>
        </r>
        <r>
          <rPr>
            <b/>
            <sz val="8.5"/>
            <color indexed="12"/>
            <rFont val="Calibri"/>
            <family val="2"/>
          </rPr>
          <t>CLASSES</t>
        </r>
        <r>
          <rPr>
            <b/>
            <sz val="8.5"/>
            <color indexed="8"/>
            <rFont val="Calibri"/>
            <family val="2"/>
          </rPr>
          <t>}_x000D_
L1 &amp; G1 &amp; S1 &amp; U3 &amp; O30 &amp; I5 &amp; P68</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2" authorId="0" shapeId="0" xr:uid="{1610EBAE-A3BA-4862-B886-0FE6386E1843}">
      <text>
        <r>
          <rPr>
            <b/>
            <sz val="10"/>
            <color indexed="8"/>
            <rFont val="Calibri"/>
            <family val="2"/>
          </rPr>
          <t>-{ SM452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99.4%] - [</t>
        </r>
        <r>
          <rPr>
            <b/>
            <sz val="10"/>
            <color indexed="10"/>
            <rFont val="Calibri"/>
            <family val="2"/>
          </rPr>
          <t>SOLD</t>
        </r>
        <r>
          <rPr>
            <b/>
            <sz val="10"/>
            <color indexed="8"/>
            <rFont val="Calibri"/>
            <family val="2"/>
          </rPr>
          <t xml:space="preserve"> » 178 PAX]</t>
        </r>
        <r>
          <rPr>
            <b/>
            <sz val="8.5"/>
            <color indexed="8"/>
            <rFont val="Calibri"/>
            <family val="2"/>
          </rPr>
          <t>_x000D_
[</t>
        </r>
        <r>
          <rPr>
            <b/>
            <sz val="8.5"/>
            <color indexed="10"/>
            <rFont val="Calibri"/>
            <family val="2"/>
          </rPr>
          <t>WEEKLY</t>
        </r>
        <r>
          <rPr>
            <b/>
            <sz val="8.5"/>
            <color indexed="8"/>
            <rFont val="Calibri"/>
            <family val="2"/>
          </rPr>
          <t xml:space="preserve"> » 7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5]_x000D_
[</t>
        </r>
        <r>
          <rPr>
            <b/>
            <sz val="8.5"/>
            <color indexed="10"/>
            <rFont val="Calibri"/>
            <family val="2"/>
          </rPr>
          <t>LOWESTAVAIL</t>
        </r>
        <r>
          <rPr>
            <b/>
            <sz val="8.5"/>
            <color indexed="8"/>
            <rFont val="Calibri"/>
            <family val="2"/>
          </rPr>
          <t xml:space="preserve"> » L1]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19-NOV]_x000D_
{</t>
        </r>
        <r>
          <rPr>
            <b/>
            <sz val="8.5"/>
            <color indexed="12"/>
            <rFont val="Calibri"/>
            <family val="2"/>
          </rPr>
          <t>CLASSES</t>
        </r>
        <r>
          <rPr>
            <b/>
            <sz val="8.5"/>
            <color indexed="8"/>
            <rFont val="Calibri"/>
            <family val="2"/>
          </rPr>
          <t>}_x000D_
L7 &amp; S1 &amp; X11 &amp; P159</t>
        </r>
      </text>
    </comment>
    <comment ref="F33" authorId="0" shapeId="0" xr:uid="{75B03FD4-42BB-4918-9E5E-1C44FD0CF5C0}">
      <text>
        <r>
          <rPr>
            <b/>
            <sz val="10"/>
            <color indexed="8"/>
            <rFont val="Calibri"/>
            <family val="2"/>
          </rPr>
          <t>-{ SM474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97.2%] - [</t>
        </r>
        <r>
          <rPr>
            <b/>
            <sz val="10"/>
            <color indexed="10"/>
            <rFont val="Calibri"/>
            <family val="2"/>
          </rPr>
          <t>SOLD</t>
        </r>
        <r>
          <rPr>
            <b/>
            <sz val="10"/>
            <color indexed="8"/>
            <rFont val="Calibri"/>
            <family val="2"/>
          </rPr>
          <t xml:space="preserve"> » 174 PAX]</t>
        </r>
        <r>
          <rPr>
            <b/>
            <sz val="8.5"/>
            <color indexed="8"/>
            <rFont val="Calibri"/>
            <family val="2"/>
          </rPr>
          <t>_x000D_
[</t>
        </r>
        <r>
          <rPr>
            <b/>
            <sz val="8.5"/>
            <color indexed="10"/>
            <rFont val="Calibri"/>
            <family val="2"/>
          </rPr>
          <t>WEEKLY</t>
        </r>
        <r>
          <rPr>
            <b/>
            <sz val="8.5"/>
            <color indexed="8"/>
            <rFont val="Calibri"/>
            <family val="2"/>
          </rPr>
          <t xml:space="preserve"> » 11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10]_x000D_
[</t>
        </r>
        <r>
          <rPr>
            <b/>
            <sz val="8.5"/>
            <color indexed="10"/>
            <rFont val="Calibri"/>
            <family val="2"/>
          </rPr>
          <t>LOWESTAVAIL</t>
        </r>
        <r>
          <rPr>
            <b/>
            <sz val="8.5"/>
            <color indexed="8"/>
            <rFont val="Calibri"/>
            <family val="2"/>
          </rPr>
          <t xml:space="preserve"> » V5]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19-NOV]_x000D_
{</t>
        </r>
        <r>
          <rPr>
            <b/>
            <sz val="8.5"/>
            <color indexed="12"/>
            <rFont val="Calibri"/>
            <family val="2"/>
          </rPr>
          <t>CLASSES</t>
        </r>
        <r>
          <rPr>
            <b/>
            <sz val="8.5"/>
            <color indexed="8"/>
            <rFont val="Calibri"/>
            <family val="2"/>
          </rPr>
          <t>}_x000D_
L5 &amp; G5 &amp; S3 &amp; X2 &amp; P159</t>
        </r>
      </text>
    </comment>
    <comment ref="F36" authorId="0" shapeId="0" xr:uid="{DBCEE0C7-D09A-4FF9-8FD7-30EF68EEBBB1}">
      <text>
        <r>
          <rPr>
            <b/>
            <sz val="10"/>
            <color indexed="8"/>
            <rFont val="Calibri"/>
            <family val="2"/>
          </rPr>
          <t>-{ SM452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100.0%] - [</t>
        </r>
        <r>
          <rPr>
            <b/>
            <sz val="10"/>
            <color indexed="10"/>
            <rFont val="Calibri"/>
            <family val="2"/>
          </rPr>
          <t>SOLD</t>
        </r>
        <r>
          <rPr>
            <b/>
            <sz val="10"/>
            <color indexed="8"/>
            <rFont val="Calibri"/>
            <family val="2"/>
          </rPr>
          <t xml:space="preserve"> » 179 PAX]</t>
        </r>
        <r>
          <rPr>
            <b/>
            <sz val="8.5"/>
            <color indexed="8"/>
            <rFont val="Calibri"/>
            <family val="2"/>
          </rPr>
          <t>_x000D_
[</t>
        </r>
        <r>
          <rPr>
            <b/>
            <sz val="8.5"/>
            <color indexed="10"/>
            <rFont val="Calibri"/>
            <family val="2"/>
          </rPr>
          <t>WEEKLY</t>
        </r>
        <r>
          <rPr>
            <b/>
            <sz val="8.5"/>
            <color indexed="8"/>
            <rFont val="Calibri"/>
            <family val="2"/>
          </rPr>
          <t xml:space="preserve"> » 16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NIL]_x000D_
[</t>
        </r>
        <r>
          <rPr>
            <b/>
            <sz val="8.5"/>
            <color indexed="10"/>
            <rFont val="Calibri"/>
            <family val="2"/>
          </rPr>
          <t>LOWESTAVAIL</t>
        </r>
        <r>
          <rPr>
            <b/>
            <sz val="8.5"/>
            <color indexed="8"/>
            <rFont val="Calibri"/>
            <family val="2"/>
          </rPr>
          <t xml:space="preserve"> » CLOSED]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18-NOV]_x000D_
{</t>
        </r>
        <r>
          <rPr>
            <b/>
            <sz val="8.5"/>
            <color indexed="12"/>
            <rFont val="Calibri"/>
            <family val="2"/>
          </rPr>
          <t>CLASSES</t>
        </r>
        <r>
          <rPr>
            <b/>
            <sz val="8.5"/>
            <color indexed="8"/>
            <rFont val="Calibri"/>
            <family val="2"/>
          </rPr>
          <t>}_x000D_
G4 &amp; S5 &amp; W10 &amp; X7 &amp; U8 &amp; O10 &amp; I9 &amp; P126</t>
        </r>
      </text>
    </comment>
    <comment ref="F37" authorId="0" shapeId="0" xr:uid="{160B2263-0432-4CC5-BF46-32847300330B}">
      <text>
        <r>
          <rPr>
            <b/>
            <sz val="10"/>
            <color indexed="8"/>
            <rFont val="Calibri"/>
            <family val="2"/>
          </rPr>
          <t>-{ SM458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100.0%] - [</t>
        </r>
        <r>
          <rPr>
            <b/>
            <sz val="10"/>
            <color indexed="10"/>
            <rFont val="Calibri"/>
            <family val="2"/>
          </rPr>
          <t>SOLD</t>
        </r>
        <r>
          <rPr>
            <b/>
            <sz val="10"/>
            <color indexed="8"/>
            <rFont val="Calibri"/>
            <family val="2"/>
          </rPr>
          <t xml:space="preserve"> » 179 PAX]</t>
        </r>
        <r>
          <rPr>
            <b/>
            <sz val="8.5"/>
            <color indexed="8"/>
            <rFont val="Calibri"/>
            <family val="2"/>
          </rPr>
          <t>_x000D_
[</t>
        </r>
        <r>
          <rPr>
            <b/>
            <sz val="8.5"/>
            <color indexed="10"/>
            <rFont val="Calibri"/>
            <family val="2"/>
          </rPr>
          <t>WEEKLY</t>
        </r>
        <r>
          <rPr>
            <b/>
            <sz val="8.5"/>
            <color indexed="8"/>
            <rFont val="Calibri"/>
            <family val="2"/>
          </rPr>
          <t xml:space="preserve"> » 13 PAX] - [</t>
        </r>
        <r>
          <rPr>
            <b/>
            <sz val="8.5"/>
            <color indexed="10"/>
            <rFont val="Calibri"/>
            <family val="2"/>
          </rPr>
          <t>TO-DAY</t>
        </r>
        <r>
          <rPr>
            <b/>
            <sz val="8.5"/>
            <color indexed="8"/>
            <rFont val="Calibri"/>
            <family val="2"/>
          </rPr>
          <t xml:space="preserve"> » 1 PAX] - [</t>
        </r>
        <r>
          <rPr>
            <b/>
            <sz val="8.5"/>
            <color indexed="10"/>
            <rFont val="Calibri"/>
            <family val="2"/>
          </rPr>
          <t>Y-DAY</t>
        </r>
        <r>
          <rPr>
            <b/>
            <sz val="8.5"/>
            <color indexed="8"/>
            <rFont val="Calibri"/>
            <family val="2"/>
          </rPr>
          <t xml:space="preserve"> » 2]_x000D_
[</t>
        </r>
        <r>
          <rPr>
            <b/>
            <sz val="8.5"/>
            <color indexed="10"/>
            <rFont val="Calibri"/>
            <family val="2"/>
          </rPr>
          <t>LOWESTAVAIL</t>
        </r>
        <r>
          <rPr>
            <b/>
            <sz val="8.5"/>
            <color indexed="8"/>
            <rFont val="Calibri"/>
            <family val="2"/>
          </rPr>
          <t xml:space="preserve"> » CLOSED]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20-NOV]_x000D_
{</t>
        </r>
        <r>
          <rPr>
            <b/>
            <sz val="8.5"/>
            <color indexed="12"/>
            <rFont val="Calibri"/>
            <family val="2"/>
          </rPr>
          <t>CLASSES</t>
        </r>
        <r>
          <rPr>
            <b/>
            <sz val="8.5"/>
            <color indexed="8"/>
            <rFont val="Calibri"/>
            <family val="2"/>
          </rPr>
          <t>}_x000D_
S9 &amp; W13 &amp; X7 &amp; U6 &amp; O7 &amp; I8 &amp; P129</t>
        </r>
      </text>
    </comment>
    <comment ref="F58" authorId="0" shapeId="0" xr:uid="{B7E33B9F-BB03-44EA-896F-8A4327E4D5C6}">
      <text>
        <r>
          <rPr>
            <b/>
            <sz val="10"/>
            <color indexed="8"/>
            <rFont val="Calibri"/>
            <family val="2"/>
          </rPr>
          <t>-{ SM452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96.7%] - [</t>
        </r>
        <r>
          <rPr>
            <b/>
            <sz val="10"/>
            <color indexed="10"/>
            <rFont val="Calibri"/>
            <family val="2"/>
          </rPr>
          <t>SOLD</t>
        </r>
        <r>
          <rPr>
            <b/>
            <sz val="10"/>
            <color indexed="8"/>
            <rFont val="Calibri"/>
            <family val="2"/>
          </rPr>
          <t xml:space="preserve"> » 173 PAX]</t>
        </r>
        <r>
          <rPr>
            <b/>
            <sz val="8.5"/>
            <color indexed="8"/>
            <rFont val="Calibri"/>
            <family val="2"/>
          </rPr>
          <t>_x000D_
[</t>
        </r>
        <r>
          <rPr>
            <b/>
            <sz val="8.5"/>
            <color indexed="10"/>
            <rFont val="Calibri"/>
            <family val="2"/>
          </rPr>
          <t>WEEKLY</t>
        </r>
        <r>
          <rPr>
            <b/>
            <sz val="8.5"/>
            <color indexed="8"/>
            <rFont val="Calibri"/>
            <family val="2"/>
          </rPr>
          <t xml:space="preserve"> » NIL]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NIL]_x000D_
[</t>
        </r>
        <r>
          <rPr>
            <b/>
            <sz val="8.5"/>
            <color indexed="10"/>
            <rFont val="Calibri"/>
            <family val="2"/>
          </rPr>
          <t>LOWESTAVAIL</t>
        </r>
        <r>
          <rPr>
            <b/>
            <sz val="8.5"/>
            <color indexed="8"/>
            <rFont val="Calibri"/>
            <family val="2"/>
          </rPr>
          <t xml:space="preserve"> » L6]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10-NOV]_x000D_
{</t>
        </r>
        <r>
          <rPr>
            <b/>
            <sz val="8.5"/>
            <color indexed="12"/>
            <rFont val="Calibri"/>
            <family val="2"/>
          </rPr>
          <t>CLASSES</t>
        </r>
        <r>
          <rPr>
            <b/>
            <sz val="8.5"/>
            <color indexed="8"/>
            <rFont val="Calibri"/>
            <family val="2"/>
          </rPr>
          <t>}_x000D_
S1 &amp; X1 &amp; P171</t>
        </r>
      </text>
    </comment>
    <comment ref="F73" authorId="0" shapeId="0" xr:uid="{1B21A84F-A591-4A4D-B3CB-CE348A6ED66C}">
      <text>
        <r>
          <rPr>
            <b/>
            <sz val="10"/>
            <color indexed="8"/>
            <rFont val="Calibri"/>
            <family val="2"/>
          </rPr>
          <t>-{ SM452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43.5%] - [</t>
        </r>
        <r>
          <rPr>
            <b/>
            <sz val="10"/>
            <color indexed="10"/>
            <rFont val="Calibri"/>
            <family val="2"/>
          </rPr>
          <t>SOLD</t>
        </r>
        <r>
          <rPr>
            <b/>
            <sz val="10"/>
            <color indexed="8"/>
            <rFont val="Calibri"/>
            <family val="2"/>
          </rPr>
          <t xml:space="preserve"> » 73 PAX]</t>
        </r>
        <r>
          <rPr>
            <b/>
            <sz val="8.5"/>
            <color indexed="8"/>
            <rFont val="Calibri"/>
            <family val="2"/>
          </rPr>
          <t>_x000D_
[</t>
        </r>
        <r>
          <rPr>
            <b/>
            <sz val="8.5"/>
            <color indexed="10"/>
            <rFont val="Calibri"/>
            <family val="2"/>
          </rPr>
          <t>WEEKLY</t>
        </r>
        <r>
          <rPr>
            <b/>
            <sz val="8.5"/>
            <color indexed="8"/>
            <rFont val="Calibri"/>
            <family val="2"/>
          </rPr>
          <t xml:space="preserve"> » 47 PAX] - [</t>
        </r>
        <r>
          <rPr>
            <b/>
            <sz val="8.5"/>
            <color indexed="10"/>
            <rFont val="Calibri"/>
            <family val="2"/>
          </rPr>
          <t>TO-DAY</t>
        </r>
        <r>
          <rPr>
            <b/>
            <sz val="8.5"/>
            <color indexed="8"/>
            <rFont val="Calibri"/>
            <family val="2"/>
          </rPr>
          <t xml:space="preserve"> » 8 PAX] - [</t>
        </r>
        <r>
          <rPr>
            <b/>
            <sz val="8.5"/>
            <color indexed="10"/>
            <rFont val="Calibri"/>
            <family val="2"/>
          </rPr>
          <t>Y-DAY</t>
        </r>
        <r>
          <rPr>
            <b/>
            <sz val="8.5"/>
            <color indexed="8"/>
            <rFont val="Calibri"/>
            <family val="2"/>
          </rPr>
          <t xml:space="preserve"> » 12]_x000D_
[</t>
        </r>
        <r>
          <rPr>
            <b/>
            <sz val="8.5"/>
            <color indexed="10"/>
            <rFont val="Calibri"/>
            <family val="2"/>
          </rPr>
          <t>LOWESTAVAIL</t>
        </r>
        <r>
          <rPr>
            <b/>
            <sz val="8.5"/>
            <color indexed="8"/>
            <rFont val="Calibri"/>
            <family val="2"/>
          </rPr>
          <t xml:space="preserve"> » S3] - [</t>
        </r>
        <r>
          <rPr>
            <b/>
            <sz val="8.5"/>
            <color indexed="10"/>
            <rFont val="Calibri"/>
            <family val="2"/>
          </rPr>
          <t>CAPACITY</t>
        </r>
        <r>
          <rPr>
            <b/>
            <sz val="8.5"/>
            <color indexed="8"/>
            <rFont val="Calibri"/>
            <family val="2"/>
          </rPr>
          <t xml:space="preserve"> » 168] - [</t>
        </r>
        <r>
          <rPr>
            <b/>
            <sz val="8.5"/>
            <color indexed="10"/>
            <rFont val="Calibri"/>
            <family val="2"/>
          </rPr>
          <t>LST-SOLD</t>
        </r>
        <r>
          <rPr>
            <b/>
            <sz val="8.5"/>
            <color indexed="8"/>
            <rFont val="Calibri"/>
            <family val="2"/>
          </rPr>
          <t xml:space="preserve"> » 20-NOV]_x000D_
{</t>
        </r>
        <r>
          <rPr>
            <b/>
            <sz val="8.5"/>
            <color indexed="12"/>
            <rFont val="Calibri"/>
            <family val="2"/>
          </rPr>
          <t>CLASSES</t>
        </r>
        <r>
          <rPr>
            <b/>
            <sz val="8.5"/>
            <color indexed="8"/>
            <rFont val="Calibri"/>
            <family val="2"/>
          </rPr>
          <t>}_x000D_
S6 &amp; W8 &amp; T17 &amp; X27 &amp; U15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4CC72425-0582-42CD-B90E-A849AA5FF37E}">
      <text>
        <r>
          <rPr>
            <b/>
            <sz val="10"/>
            <color indexed="8"/>
            <rFont val="Calibri"/>
            <family val="2"/>
          </rPr>
          <t>-{ SM454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93.3%] - [</t>
        </r>
        <r>
          <rPr>
            <b/>
            <sz val="10"/>
            <color indexed="10"/>
            <rFont val="Calibri"/>
            <family val="2"/>
          </rPr>
          <t>SOLD</t>
        </r>
        <r>
          <rPr>
            <b/>
            <sz val="10"/>
            <color indexed="8"/>
            <rFont val="Calibri"/>
            <family val="2"/>
          </rPr>
          <t xml:space="preserve"> » 167 PAX]</t>
        </r>
        <r>
          <rPr>
            <b/>
            <sz val="8.5"/>
            <color indexed="8"/>
            <rFont val="Calibri"/>
            <family val="2"/>
          </rPr>
          <t>_x000D_
[</t>
        </r>
        <r>
          <rPr>
            <b/>
            <sz val="8.5"/>
            <color indexed="10"/>
            <rFont val="Calibri"/>
            <family val="2"/>
          </rPr>
          <t>WEEKLY</t>
        </r>
        <r>
          <rPr>
            <b/>
            <sz val="8.5"/>
            <color indexed="8"/>
            <rFont val="Calibri"/>
            <family val="2"/>
          </rPr>
          <t xml:space="preserve"> » NIL]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NIL]_x000D_
[</t>
        </r>
        <r>
          <rPr>
            <b/>
            <sz val="8.5"/>
            <color indexed="10"/>
            <rFont val="Calibri"/>
            <family val="2"/>
          </rPr>
          <t>LOWESTAVAIL</t>
        </r>
        <r>
          <rPr>
            <b/>
            <sz val="8.5"/>
            <color indexed="8"/>
            <rFont val="Calibri"/>
            <family val="2"/>
          </rPr>
          <t xml:space="preserve"> » G3]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10-NOV]_x000D_
{</t>
        </r>
        <r>
          <rPr>
            <b/>
            <sz val="8.5"/>
            <color indexed="12"/>
            <rFont val="Calibri"/>
            <family val="2"/>
          </rPr>
          <t>CLASSES</t>
        </r>
        <r>
          <rPr>
            <b/>
            <sz val="8.5"/>
            <color indexed="8"/>
            <rFont val="Calibri"/>
            <family val="2"/>
          </rPr>
          <t>}_x000D_
S4 &amp; U8 &amp; P155</t>
        </r>
      </text>
    </comment>
    <comment ref="F3" authorId="0" shapeId="0" xr:uid="{35999E15-CB26-4486-A34B-FE0D0C3113F0}">
      <text>
        <r>
          <rPr>
            <b/>
            <sz val="10"/>
            <color indexed="8"/>
            <rFont val="Calibri"/>
            <family val="2"/>
          </rPr>
          <t>-{ SM456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97.8%] - [</t>
        </r>
        <r>
          <rPr>
            <b/>
            <sz val="10"/>
            <color indexed="10"/>
            <rFont val="Calibri"/>
            <family val="2"/>
          </rPr>
          <t>SOLD</t>
        </r>
        <r>
          <rPr>
            <b/>
            <sz val="10"/>
            <color indexed="8"/>
            <rFont val="Calibri"/>
            <family val="2"/>
          </rPr>
          <t xml:space="preserve"> » 175 PAX]</t>
        </r>
        <r>
          <rPr>
            <b/>
            <sz val="8.5"/>
            <color indexed="8"/>
            <rFont val="Calibri"/>
            <family val="2"/>
          </rPr>
          <t>_x000D_
[</t>
        </r>
        <r>
          <rPr>
            <b/>
            <sz val="8.5"/>
            <color indexed="10"/>
            <rFont val="Calibri"/>
            <family val="2"/>
          </rPr>
          <t>WEEKLY</t>
        </r>
        <r>
          <rPr>
            <b/>
            <sz val="8.5"/>
            <color indexed="8"/>
            <rFont val="Calibri"/>
            <family val="2"/>
          </rPr>
          <t xml:space="preserve"> » NIL]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NIL]_x000D_
[</t>
        </r>
        <r>
          <rPr>
            <b/>
            <sz val="8.5"/>
            <color indexed="10"/>
            <rFont val="Calibri"/>
            <family val="2"/>
          </rPr>
          <t>LOWESTAVAIL</t>
        </r>
        <r>
          <rPr>
            <b/>
            <sz val="8.5"/>
            <color indexed="8"/>
            <rFont val="Calibri"/>
            <family val="2"/>
          </rPr>
          <t xml:space="preserve"> » L4]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12-NOV]_x000D_
{</t>
        </r>
        <r>
          <rPr>
            <b/>
            <sz val="8.5"/>
            <color indexed="12"/>
            <rFont val="Calibri"/>
            <family val="2"/>
          </rPr>
          <t>CLASSES</t>
        </r>
        <r>
          <rPr>
            <b/>
            <sz val="8.5"/>
            <color indexed="8"/>
            <rFont val="Calibri"/>
            <family val="2"/>
          </rPr>
          <t>}_x000D_
L1 &amp; S1 &amp; X3 &amp; I3 &amp; P167</t>
        </r>
      </text>
    </comment>
    <comment ref="F19" authorId="0" shapeId="0" xr:uid="{87F7A3F7-8F12-4BC4-B84B-44C4F20D120C}">
      <text>
        <r>
          <rPr>
            <b/>
            <sz val="10"/>
            <color indexed="8"/>
            <rFont val="Calibri"/>
            <family val="2"/>
          </rPr>
          <t>-{ SM454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61.5%] - [</t>
        </r>
        <r>
          <rPr>
            <b/>
            <sz val="10"/>
            <color indexed="10"/>
            <rFont val="Calibri"/>
            <family val="2"/>
          </rPr>
          <t>SOLD</t>
        </r>
        <r>
          <rPr>
            <b/>
            <sz val="10"/>
            <color indexed="8"/>
            <rFont val="Calibri"/>
            <family val="2"/>
          </rPr>
          <t xml:space="preserve"> » 110 PAX]</t>
        </r>
        <r>
          <rPr>
            <b/>
            <sz val="8.5"/>
            <color indexed="8"/>
            <rFont val="Calibri"/>
            <family val="2"/>
          </rPr>
          <t>_x000D_
[</t>
        </r>
        <r>
          <rPr>
            <b/>
            <sz val="8.5"/>
            <color indexed="10"/>
            <rFont val="Calibri"/>
            <family val="2"/>
          </rPr>
          <t>WEEKLY</t>
        </r>
        <r>
          <rPr>
            <b/>
            <sz val="8.5"/>
            <color indexed="8"/>
            <rFont val="Calibri"/>
            <family val="2"/>
          </rPr>
          <t xml:space="preserve"> » 10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1]_x000D_
[</t>
        </r>
        <r>
          <rPr>
            <b/>
            <sz val="8.5"/>
            <color indexed="10"/>
            <rFont val="Calibri"/>
            <family val="2"/>
          </rPr>
          <t>LOWESTAVAIL</t>
        </r>
        <r>
          <rPr>
            <b/>
            <sz val="8.5"/>
            <color indexed="8"/>
            <rFont val="Calibri"/>
            <family val="2"/>
          </rPr>
          <t xml:space="preserve"> » O9]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19-NOV]_x000D_
{</t>
        </r>
        <r>
          <rPr>
            <b/>
            <sz val="8.5"/>
            <color indexed="12"/>
            <rFont val="Calibri"/>
            <family val="2"/>
          </rPr>
          <t>CLASSES</t>
        </r>
        <r>
          <rPr>
            <b/>
            <sz val="8.5"/>
            <color indexed="8"/>
            <rFont val="Calibri"/>
            <family val="2"/>
          </rPr>
          <t>}_x000D_
U3 &amp; O8 &amp; I15 &amp; E43 &amp; P41</t>
        </r>
      </text>
    </comment>
    <comment ref="F20" authorId="0" shapeId="0" xr:uid="{BADB1742-49F6-4A45-83B8-AF9323B2BAEC}">
      <text>
        <r>
          <rPr>
            <b/>
            <sz val="10"/>
            <color indexed="8"/>
            <rFont val="Calibri"/>
            <family val="2"/>
          </rPr>
          <t>-{ SM492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83.3%] - [</t>
        </r>
        <r>
          <rPr>
            <b/>
            <sz val="10"/>
            <color indexed="10"/>
            <rFont val="Calibri"/>
            <family val="2"/>
          </rPr>
          <t>SOLD</t>
        </r>
        <r>
          <rPr>
            <b/>
            <sz val="10"/>
            <color indexed="8"/>
            <rFont val="Calibri"/>
            <family val="2"/>
          </rPr>
          <t xml:space="preserve"> » 140 PAX]</t>
        </r>
        <r>
          <rPr>
            <b/>
            <sz val="8.5"/>
            <color indexed="8"/>
            <rFont val="Calibri"/>
            <family val="2"/>
          </rPr>
          <t>_x000D_
[</t>
        </r>
        <r>
          <rPr>
            <b/>
            <sz val="8.5"/>
            <color indexed="10"/>
            <rFont val="Calibri"/>
            <family val="2"/>
          </rPr>
          <t>WEEKLY</t>
        </r>
        <r>
          <rPr>
            <b/>
            <sz val="8.5"/>
            <color indexed="8"/>
            <rFont val="Calibri"/>
            <family val="2"/>
          </rPr>
          <t xml:space="preserve"> » 15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NIL]_x000D_
[</t>
        </r>
        <r>
          <rPr>
            <b/>
            <sz val="8.5"/>
            <color indexed="10"/>
            <rFont val="Calibri"/>
            <family val="2"/>
          </rPr>
          <t>LOWESTAVAIL</t>
        </r>
        <r>
          <rPr>
            <b/>
            <sz val="8.5"/>
            <color indexed="8"/>
            <rFont val="Calibri"/>
            <family val="2"/>
          </rPr>
          <t xml:space="preserve"> » O9] - [</t>
        </r>
        <r>
          <rPr>
            <b/>
            <sz val="8.5"/>
            <color indexed="10"/>
            <rFont val="Calibri"/>
            <family val="2"/>
          </rPr>
          <t>CAPACITY</t>
        </r>
        <r>
          <rPr>
            <b/>
            <sz val="8.5"/>
            <color indexed="8"/>
            <rFont val="Calibri"/>
            <family val="2"/>
          </rPr>
          <t xml:space="preserve"> » 168] - [</t>
        </r>
        <r>
          <rPr>
            <b/>
            <sz val="8.5"/>
            <color indexed="10"/>
            <rFont val="Calibri"/>
            <family val="2"/>
          </rPr>
          <t>LST-SOLD</t>
        </r>
        <r>
          <rPr>
            <b/>
            <sz val="8.5"/>
            <color indexed="8"/>
            <rFont val="Calibri"/>
            <family val="2"/>
          </rPr>
          <t xml:space="preserve"> » 18-NOV]_x000D_
{</t>
        </r>
        <r>
          <rPr>
            <b/>
            <sz val="8.5"/>
            <color indexed="12"/>
            <rFont val="Calibri"/>
            <family val="2"/>
          </rPr>
          <t>CLASSES</t>
        </r>
        <r>
          <rPr>
            <b/>
            <sz val="8.5"/>
            <color indexed="8"/>
            <rFont val="Calibri"/>
            <family val="2"/>
          </rPr>
          <t>}_x000D_
U7 &amp; O10 &amp; I15 &amp; E30 &amp; P78</t>
        </r>
      </text>
    </comment>
    <comment ref="F34" authorId="0" shapeId="0" xr:uid="{118561D7-E388-45AC-B214-A541760F0253}">
      <text>
        <r>
          <rPr>
            <b/>
            <sz val="10"/>
            <color indexed="8"/>
            <rFont val="Calibri"/>
            <family val="2"/>
          </rPr>
          <t>-{ SM422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13.7%] - [</t>
        </r>
        <r>
          <rPr>
            <b/>
            <sz val="10"/>
            <color indexed="10"/>
            <rFont val="Calibri"/>
            <family val="2"/>
          </rPr>
          <t>SOLD</t>
        </r>
        <r>
          <rPr>
            <b/>
            <sz val="10"/>
            <color indexed="8"/>
            <rFont val="Calibri"/>
            <family val="2"/>
          </rPr>
          <t xml:space="preserve"> » 23 PAX]</t>
        </r>
        <r>
          <rPr>
            <b/>
            <sz val="8.5"/>
            <color indexed="8"/>
            <rFont val="Calibri"/>
            <family val="2"/>
          </rPr>
          <t>_x000D_
[</t>
        </r>
        <r>
          <rPr>
            <b/>
            <sz val="8.5"/>
            <color indexed="10"/>
            <rFont val="Calibri"/>
            <family val="2"/>
          </rPr>
          <t>WEEKLY</t>
        </r>
        <r>
          <rPr>
            <b/>
            <sz val="8.5"/>
            <color indexed="8"/>
            <rFont val="Calibri"/>
            <family val="2"/>
          </rPr>
          <t xml:space="preserve"> » 4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1]_x000D_
[</t>
        </r>
        <r>
          <rPr>
            <b/>
            <sz val="8.5"/>
            <color indexed="10"/>
            <rFont val="Calibri"/>
            <family val="2"/>
          </rPr>
          <t>LOWESTAVAIL</t>
        </r>
        <r>
          <rPr>
            <b/>
            <sz val="8.5"/>
            <color indexed="8"/>
            <rFont val="Calibri"/>
            <family val="2"/>
          </rPr>
          <t xml:space="preserve"> » I9] - [</t>
        </r>
        <r>
          <rPr>
            <b/>
            <sz val="8.5"/>
            <color indexed="10"/>
            <rFont val="Calibri"/>
            <family val="2"/>
          </rPr>
          <t>CAPACITY</t>
        </r>
        <r>
          <rPr>
            <b/>
            <sz val="8.5"/>
            <color indexed="8"/>
            <rFont val="Calibri"/>
            <family val="2"/>
          </rPr>
          <t xml:space="preserve"> » 168] - [</t>
        </r>
        <r>
          <rPr>
            <b/>
            <sz val="8.5"/>
            <color indexed="10"/>
            <rFont val="Calibri"/>
            <family val="2"/>
          </rPr>
          <t>LST-SOLD</t>
        </r>
        <r>
          <rPr>
            <b/>
            <sz val="8.5"/>
            <color indexed="8"/>
            <rFont val="Calibri"/>
            <family val="2"/>
          </rPr>
          <t xml:space="preserve"> » 19-NOV]_x000D_
{</t>
        </r>
        <r>
          <rPr>
            <b/>
            <sz val="8.5"/>
            <color indexed="12"/>
            <rFont val="Calibri"/>
            <family val="2"/>
          </rPr>
          <t>CLASSES</t>
        </r>
        <r>
          <rPr>
            <b/>
            <sz val="8.5"/>
            <color indexed="8"/>
            <rFont val="Calibri"/>
            <family val="2"/>
          </rPr>
          <t>}_x000D_
S1 &amp; U7 &amp; O2 &amp; I13</t>
        </r>
      </text>
    </comment>
    <comment ref="F35" authorId="0" shapeId="0" xr:uid="{71C877CA-E8A5-40F3-B25A-0C762BAECC3F}">
      <text>
        <r>
          <rPr>
            <b/>
            <sz val="10"/>
            <color indexed="8"/>
            <rFont val="Calibri"/>
            <family val="2"/>
          </rPr>
          <t>-{ SM454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67.9%] - [</t>
        </r>
        <r>
          <rPr>
            <b/>
            <sz val="10"/>
            <color indexed="10"/>
            <rFont val="Calibri"/>
            <family val="2"/>
          </rPr>
          <t>SOLD</t>
        </r>
        <r>
          <rPr>
            <b/>
            <sz val="10"/>
            <color indexed="8"/>
            <rFont val="Calibri"/>
            <family val="2"/>
          </rPr>
          <t xml:space="preserve"> » 114 PAX]</t>
        </r>
        <r>
          <rPr>
            <b/>
            <sz val="8.5"/>
            <color indexed="8"/>
            <rFont val="Calibri"/>
            <family val="2"/>
          </rPr>
          <t>_x000D_
[</t>
        </r>
        <r>
          <rPr>
            <b/>
            <sz val="8.5"/>
            <color indexed="10"/>
            <rFont val="Calibri"/>
            <family val="2"/>
          </rPr>
          <t>WEEKLY</t>
        </r>
        <r>
          <rPr>
            <b/>
            <sz val="8.5"/>
            <color indexed="8"/>
            <rFont val="Calibri"/>
            <family val="2"/>
          </rPr>
          <t xml:space="preserve"> » 14 PAX] - [</t>
        </r>
        <r>
          <rPr>
            <b/>
            <sz val="8.5"/>
            <color indexed="10"/>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1]_x000D_
[</t>
        </r>
        <r>
          <rPr>
            <b/>
            <sz val="8.5"/>
            <color indexed="10"/>
            <rFont val="Calibri"/>
            <family val="2"/>
          </rPr>
          <t>LOWESTAVAIL</t>
        </r>
        <r>
          <rPr>
            <b/>
            <sz val="8.5"/>
            <color indexed="8"/>
            <rFont val="Calibri"/>
            <family val="2"/>
          </rPr>
          <t xml:space="preserve"> » I9] - [</t>
        </r>
        <r>
          <rPr>
            <b/>
            <sz val="8.5"/>
            <color indexed="10"/>
            <rFont val="Calibri"/>
            <family val="2"/>
          </rPr>
          <t>CAPACITY</t>
        </r>
        <r>
          <rPr>
            <b/>
            <sz val="8.5"/>
            <color indexed="8"/>
            <rFont val="Calibri"/>
            <family val="2"/>
          </rPr>
          <t xml:space="preserve"> » 168] - [</t>
        </r>
        <r>
          <rPr>
            <b/>
            <sz val="8.5"/>
            <color indexed="10"/>
            <rFont val="Calibri"/>
            <family val="2"/>
          </rPr>
          <t>LST-SOLD</t>
        </r>
        <r>
          <rPr>
            <b/>
            <sz val="8.5"/>
            <color indexed="8"/>
            <rFont val="Calibri"/>
            <family val="2"/>
          </rPr>
          <t xml:space="preserve"> » 19-NOV]_x000D_
{</t>
        </r>
        <r>
          <rPr>
            <b/>
            <sz val="8.5"/>
            <color indexed="12"/>
            <rFont val="Calibri"/>
            <family val="2"/>
          </rPr>
          <t>CLASSES</t>
        </r>
        <r>
          <rPr>
            <b/>
            <sz val="8.5"/>
            <color indexed="8"/>
            <rFont val="Calibri"/>
            <family val="2"/>
          </rPr>
          <t>}_x000D_
U1 &amp; O8 &amp; I9 &amp; E1 &amp; P95</t>
        </r>
      </text>
    </comment>
    <comment ref="F36" authorId="0" shapeId="0" xr:uid="{27E0D006-B47C-4C5E-ADAC-8121B307D846}">
      <text>
        <r>
          <rPr>
            <b/>
            <sz val="10"/>
            <color indexed="8"/>
            <rFont val="Calibri"/>
            <family val="2"/>
          </rPr>
          <t>-{ SM456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43.0%] - [</t>
        </r>
        <r>
          <rPr>
            <b/>
            <sz val="10"/>
            <color indexed="10"/>
            <rFont val="Calibri"/>
            <family val="2"/>
          </rPr>
          <t>SOLD</t>
        </r>
        <r>
          <rPr>
            <b/>
            <sz val="10"/>
            <color indexed="8"/>
            <rFont val="Calibri"/>
            <family val="2"/>
          </rPr>
          <t xml:space="preserve"> » 77 PAX]</t>
        </r>
        <r>
          <rPr>
            <b/>
            <sz val="8.5"/>
            <color indexed="8"/>
            <rFont val="Calibri"/>
            <family val="2"/>
          </rPr>
          <t>_x000D_
[</t>
        </r>
        <r>
          <rPr>
            <b/>
            <sz val="8.5"/>
            <color indexed="10"/>
            <rFont val="Calibri"/>
            <family val="2"/>
          </rPr>
          <t>WEEKLY</t>
        </r>
        <r>
          <rPr>
            <b/>
            <sz val="8.5"/>
            <color indexed="8"/>
            <rFont val="Calibri"/>
            <family val="2"/>
          </rPr>
          <t xml:space="preserve"> » 28 PAX] - [</t>
        </r>
        <r>
          <rPr>
            <b/>
            <sz val="8.5"/>
            <color indexed="10"/>
            <rFont val="Calibri"/>
            <family val="2"/>
          </rPr>
          <t>TO-DAY</t>
        </r>
        <r>
          <rPr>
            <b/>
            <sz val="8.5"/>
            <color indexed="8"/>
            <rFont val="Calibri"/>
            <family val="2"/>
          </rPr>
          <t xml:space="preserve"> » 1 PAX] - [</t>
        </r>
        <r>
          <rPr>
            <b/>
            <sz val="8.5"/>
            <color indexed="10"/>
            <rFont val="Calibri"/>
            <family val="2"/>
          </rPr>
          <t>Y-DAY</t>
        </r>
        <r>
          <rPr>
            <b/>
            <sz val="8.5"/>
            <color indexed="8"/>
            <rFont val="Calibri"/>
            <family val="2"/>
          </rPr>
          <t xml:space="preserve"> » 5]_x000D_
[</t>
        </r>
        <r>
          <rPr>
            <b/>
            <sz val="8.5"/>
            <color indexed="10"/>
            <rFont val="Calibri"/>
            <family val="2"/>
          </rPr>
          <t>LOWESTAVAIL</t>
        </r>
        <r>
          <rPr>
            <b/>
            <sz val="8.5"/>
            <color indexed="8"/>
            <rFont val="Calibri"/>
            <family val="2"/>
          </rPr>
          <t xml:space="preserve"> » I5] - [</t>
        </r>
        <r>
          <rPr>
            <b/>
            <sz val="8.5"/>
            <color indexed="10"/>
            <rFont val="Calibri"/>
            <family val="2"/>
          </rPr>
          <t>CAPACITY</t>
        </r>
        <r>
          <rPr>
            <b/>
            <sz val="8.5"/>
            <color indexed="8"/>
            <rFont val="Calibri"/>
            <family val="2"/>
          </rPr>
          <t xml:space="preserve"> » 179] - [</t>
        </r>
        <r>
          <rPr>
            <b/>
            <sz val="8.5"/>
            <color indexed="10"/>
            <rFont val="Calibri"/>
            <family val="2"/>
          </rPr>
          <t>LST-SOLD</t>
        </r>
        <r>
          <rPr>
            <b/>
            <sz val="8.5"/>
            <color indexed="8"/>
            <rFont val="Calibri"/>
            <family val="2"/>
          </rPr>
          <t xml:space="preserve"> » 20-NOV]_x000D_
{</t>
        </r>
        <r>
          <rPr>
            <b/>
            <sz val="8.5"/>
            <color indexed="12"/>
            <rFont val="Calibri"/>
            <family val="2"/>
          </rPr>
          <t>CLASSES</t>
        </r>
        <r>
          <rPr>
            <b/>
            <sz val="8.5"/>
            <color indexed="8"/>
            <rFont val="Calibri"/>
            <family val="2"/>
          </rPr>
          <t>}_x000D_
T2 &amp; X2 &amp; U9 &amp; O5 &amp; I15 &amp; P44</t>
        </r>
      </text>
    </comment>
    <comment ref="F49" authorId="0" shapeId="0" xr:uid="{3E203D18-68B5-4699-8420-2AFC90A7970A}">
      <text>
        <r>
          <rPr>
            <b/>
            <sz val="10"/>
            <color indexed="8"/>
            <rFont val="Calibri"/>
            <family val="2"/>
          </rPr>
          <t>-{ SM492 }-</t>
        </r>
        <r>
          <rPr>
            <b/>
            <sz val="8.5"/>
            <color indexed="8"/>
            <rFont val="Calibri"/>
            <family val="2"/>
          </rPr>
          <t xml:space="preserve">_x000D_
</t>
        </r>
        <r>
          <rPr>
            <b/>
            <sz val="10"/>
            <color indexed="8"/>
            <rFont val="Calibri"/>
            <family val="2"/>
          </rPr>
          <t>[</t>
        </r>
        <r>
          <rPr>
            <b/>
            <sz val="10"/>
            <color indexed="10"/>
            <rFont val="Calibri"/>
            <family val="2"/>
          </rPr>
          <t>LF</t>
        </r>
        <r>
          <rPr>
            <b/>
            <sz val="10"/>
            <color indexed="8"/>
            <rFont val="Calibri"/>
            <family val="2"/>
          </rPr>
          <t xml:space="preserve"> » 43.5%] - [</t>
        </r>
        <r>
          <rPr>
            <b/>
            <sz val="10"/>
            <color indexed="10"/>
            <rFont val="Calibri"/>
            <family val="2"/>
          </rPr>
          <t>SOLD</t>
        </r>
        <r>
          <rPr>
            <b/>
            <sz val="10"/>
            <color indexed="8"/>
            <rFont val="Calibri"/>
            <family val="2"/>
          </rPr>
          <t xml:space="preserve"> » 73 PAX]</t>
        </r>
        <r>
          <rPr>
            <b/>
            <sz val="8.5"/>
            <color indexed="8"/>
            <rFont val="Calibri"/>
            <family val="2"/>
          </rPr>
          <t>_x000D_
[</t>
        </r>
        <r>
          <rPr>
            <b/>
            <sz val="8.5"/>
            <color indexed="10"/>
            <rFont val="Calibri"/>
            <family val="2"/>
          </rPr>
          <t>WEEKLY</t>
        </r>
        <r>
          <rPr>
            <b/>
            <sz val="8.5"/>
            <color indexed="8"/>
            <rFont val="Calibri"/>
            <family val="2"/>
          </rPr>
          <t xml:space="preserve"> » 42 PAX] - [</t>
        </r>
        <r>
          <rPr>
            <b/>
            <sz val="8.5"/>
            <color indexed="10"/>
            <rFont val="Calibri"/>
            <family val="2"/>
          </rPr>
          <t>TO-DAY</t>
        </r>
        <r>
          <rPr>
            <b/>
            <sz val="8.5"/>
            <color indexed="8"/>
            <rFont val="Calibri"/>
            <family val="2"/>
          </rPr>
          <t xml:space="preserve"> » 2 PAX] - [</t>
        </r>
        <r>
          <rPr>
            <b/>
            <sz val="8.5"/>
            <color indexed="10"/>
            <rFont val="Calibri"/>
            <family val="2"/>
          </rPr>
          <t>Y-DAY</t>
        </r>
        <r>
          <rPr>
            <b/>
            <sz val="8.5"/>
            <color indexed="8"/>
            <rFont val="Calibri"/>
            <family val="2"/>
          </rPr>
          <t xml:space="preserve"> » 6]_x000D_
[</t>
        </r>
        <r>
          <rPr>
            <b/>
            <sz val="8.5"/>
            <color indexed="10"/>
            <rFont val="Calibri"/>
            <family val="2"/>
          </rPr>
          <t>LOWESTAVAIL</t>
        </r>
        <r>
          <rPr>
            <b/>
            <sz val="8.5"/>
            <color indexed="8"/>
            <rFont val="Calibri"/>
            <family val="2"/>
          </rPr>
          <t xml:space="preserve"> » I4] - [</t>
        </r>
        <r>
          <rPr>
            <b/>
            <sz val="8.5"/>
            <color indexed="10"/>
            <rFont val="Calibri"/>
            <family val="2"/>
          </rPr>
          <t>CAPACITY</t>
        </r>
        <r>
          <rPr>
            <b/>
            <sz val="8.5"/>
            <color indexed="8"/>
            <rFont val="Calibri"/>
            <family val="2"/>
          </rPr>
          <t xml:space="preserve"> » 168] - [</t>
        </r>
        <r>
          <rPr>
            <b/>
            <sz val="8.5"/>
            <color indexed="10"/>
            <rFont val="Calibri"/>
            <family val="2"/>
          </rPr>
          <t>LST-SOLD</t>
        </r>
        <r>
          <rPr>
            <b/>
            <sz val="8.5"/>
            <color indexed="8"/>
            <rFont val="Calibri"/>
            <family val="2"/>
          </rPr>
          <t xml:space="preserve"> » 20-NOV]_x000D_
{</t>
        </r>
        <r>
          <rPr>
            <b/>
            <sz val="8.5"/>
            <color indexed="12"/>
            <rFont val="Calibri"/>
            <family val="2"/>
          </rPr>
          <t>CLASSES</t>
        </r>
        <r>
          <rPr>
            <b/>
            <sz val="8.5"/>
            <color indexed="8"/>
            <rFont val="Calibri"/>
            <family val="2"/>
          </rPr>
          <t>}_x000D_
S3 &amp; W1 &amp; X6 &amp; U11 &amp; O20 &amp; I30 &amp; P2</t>
        </r>
      </text>
    </comment>
  </commentList>
</comments>
</file>

<file path=xl/sharedStrings.xml><?xml version="1.0" encoding="utf-8"?>
<sst xmlns="http://schemas.openxmlformats.org/spreadsheetml/2006/main" count="5157" uniqueCount="512">
  <si>
    <t>COMPREHENSIVE REPORT</t>
  </si>
  <si>
    <t>JED-CAI</t>
  </si>
  <si>
    <t>FROM</t>
  </si>
  <si>
    <t>TO</t>
  </si>
  <si>
    <t>THIS REPORT GENERATED AT</t>
  </si>
  <si>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</si>
  <si>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</si>
  <si>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</si>
  <si>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</si>
  <si>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</si>
  <si>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</si>
  <si>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</si>
  <si>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</si>
  <si>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</si>
  <si>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</si>
  <si>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</si>
  <si>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</si>
  <si>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</si>
  <si>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</si>
  <si>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</si>
  <si>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</si>
  <si>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</si>
  <si>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</si>
  <si>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</si>
  <si>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</si>
  <si>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</si>
  <si>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flyadeal</t>
  </si>
  <si>
    <t>F3-755</t>
  </si>
  <si>
    <t>Check-in: 15 KG</t>
  </si>
  <si>
    <r>
      <rPr>
        <b/>
        <i/>
        <sz val="13"/>
        <color rgb="FFBC0000"/>
        <rFont val="Calibri"/>
        <family val="2"/>
      </rPr>
      <t>1</t>
    </r>
    <r>
      <rPr>
        <b/>
        <i/>
        <sz val="10"/>
        <color rgb="FFBC0000"/>
        <rFont val="Calibri"/>
        <family val="2"/>
      </rPr>
      <t xml:space="preserve"> FOR SAME CLASS</t>
    </r>
  </si>
  <si>
    <t>389 SAR</t>
  </si>
  <si>
    <t>Cabin: 10 KG / Check-in: 25 KG</t>
  </si>
  <si>
    <r>
      <rPr>
        <i/>
        <sz val="13"/>
        <rFont val="Calibri"/>
        <family val="2"/>
      </rPr>
      <t>1</t>
    </r>
    <r>
      <rPr>
        <i/>
        <sz val="10"/>
        <rFont val="Calibri"/>
        <family val="2"/>
      </rPr>
      <t xml:space="preserve"> FOR SAME CLASS</t>
    </r>
  </si>
  <si>
    <t>539 SAR</t>
  </si>
  <si>
    <t>Cabin: 10 KG / Check-in: 2 x 40 KG</t>
  </si>
  <si>
    <t>1,099 SAR</t>
  </si>
  <si>
    <t>F3-753</t>
  </si>
  <si>
    <r>
      <rPr>
        <b/>
        <i/>
        <sz val="13"/>
        <rFont val="Calibri"/>
        <family val="2"/>
      </rPr>
      <t>3</t>
    </r>
    <r>
      <rPr>
        <b/>
        <i/>
        <sz val="10"/>
        <rFont val="Calibri"/>
        <family val="2"/>
      </rPr>
      <t xml:space="preserve"> FOR SAME CLASS</t>
    </r>
  </si>
  <si>
    <t>419 SAR</t>
  </si>
  <si>
    <r>
      <rPr>
        <i/>
        <sz val="13"/>
        <rFont val="Calibri"/>
        <family val="2"/>
      </rPr>
      <t>3</t>
    </r>
    <r>
      <rPr>
        <i/>
        <sz val="10"/>
        <rFont val="Calibri"/>
        <family val="2"/>
      </rPr>
      <t xml:space="preserve"> FOR SAME CLASS</t>
    </r>
  </si>
  <si>
    <t>569 SAR</t>
  </si>
  <si>
    <t>F3-761</t>
  </si>
  <si>
    <r>
      <rPr>
        <b/>
        <i/>
        <sz val="13"/>
        <rFont val="Calibri"/>
        <family val="2"/>
      </rPr>
      <t>7</t>
    </r>
    <r>
      <rPr>
        <b/>
        <i/>
        <sz val="10"/>
        <rFont val="Calibri"/>
        <family val="2"/>
      </rPr>
      <t xml:space="preserve"> FOR SAME CLASS</t>
    </r>
  </si>
  <si>
    <r>
      <rPr>
        <i/>
        <sz val="13"/>
        <rFont val="Calibri"/>
        <family val="2"/>
      </rPr>
      <t>7</t>
    </r>
    <r>
      <rPr>
        <i/>
        <sz val="10"/>
        <rFont val="Calibri"/>
        <family val="2"/>
      </rPr>
      <t xml:space="preserve"> FOR SAME CLASS</t>
    </r>
  </si>
  <si>
    <t>F3-763</t>
  </si>
  <si>
    <r>
      <rPr>
        <b/>
        <i/>
        <sz val="13"/>
        <rFont val="Calibri"/>
        <family val="2"/>
      </rPr>
      <t>10</t>
    </r>
    <r>
      <rPr>
        <b/>
        <i/>
        <sz val="10"/>
        <rFont val="Calibri"/>
        <family val="2"/>
      </rPr>
      <t xml:space="preserve"> FOR SAME CLASS</t>
    </r>
  </si>
  <si>
    <t>459 SAR</t>
  </si>
  <si>
    <r>
      <rPr>
        <i/>
        <sz val="13"/>
        <rFont val="Calibri"/>
        <family val="2"/>
      </rPr>
      <t>10</t>
    </r>
    <r>
      <rPr>
        <i/>
        <sz val="10"/>
        <rFont val="Calibri"/>
        <family val="2"/>
      </rPr>
      <t xml:space="preserve"> FOR SAME CLASS</t>
    </r>
  </si>
  <si>
    <t>609 SAR</t>
  </si>
  <si>
    <t>flynas</t>
  </si>
  <si>
    <t>XY-567</t>
  </si>
  <si>
    <t>Cabin: 7 KG / Check-in: 20 KG</t>
  </si>
  <si>
    <r>
      <rPr>
        <b/>
        <i/>
        <sz val="13"/>
        <color rgb="FFBC0000"/>
        <rFont val="Calibri"/>
        <family val="2"/>
      </rPr>
      <t>3</t>
    </r>
    <r>
      <rPr>
        <b/>
        <i/>
        <sz val="10"/>
        <color rgb="FFBC0000"/>
        <rFont val="Calibri"/>
        <family val="2"/>
      </rPr>
      <t xml:space="preserve"> FOR SAME CLASS</t>
    </r>
  </si>
  <si>
    <t>449 SAR</t>
  </si>
  <si>
    <t>Cabin: 7 KG / Check-in: 30 KG</t>
  </si>
  <si>
    <t>549 SAR</t>
  </si>
  <si>
    <t>Cabin: 7 KG / Check-in: 2 x 40 KG</t>
  </si>
  <si>
    <t>639 SAR</t>
  </si>
  <si>
    <t>XY-569</t>
  </si>
  <si>
    <r>
      <rPr>
        <b/>
        <i/>
        <sz val="13"/>
        <rFont val="Calibri"/>
        <family val="2"/>
      </rPr>
      <t>2</t>
    </r>
    <r>
      <rPr>
        <b/>
        <i/>
        <sz val="10"/>
        <rFont val="Calibri"/>
        <family val="2"/>
      </rPr>
      <t xml:space="preserve"> FOR SAME CLASS</t>
    </r>
  </si>
  <si>
    <r>
      <rPr>
        <i/>
        <sz val="13"/>
        <rFont val="Calibri"/>
        <family val="2"/>
      </rPr>
      <t>2</t>
    </r>
    <r>
      <rPr>
        <i/>
        <sz val="10"/>
        <rFont val="Calibri"/>
        <family val="2"/>
      </rPr>
      <t xml:space="preserve"> FOR SAME CLASS</t>
    </r>
  </si>
  <si>
    <t>XY-571</t>
  </si>
  <si>
    <r>
      <rPr>
        <b/>
        <i/>
        <sz val="13"/>
        <rFont val="Calibri"/>
        <family val="2"/>
      </rPr>
      <t>1</t>
    </r>
    <r>
      <rPr>
        <b/>
        <i/>
        <sz val="10"/>
        <rFont val="Calibri"/>
        <family val="2"/>
      </rPr>
      <t xml:space="preserve"> FOR SAME CLASS</t>
    </r>
  </si>
  <si>
    <t>XY-573</t>
  </si>
  <si>
    <r>
      <rPr>
        <b/>
        <i/>
        <sz val="13"/>
        <rFont val="Calibri"/>
        <family val="2"/>
      </rPr>
      <t>8</t>
    </r>
    <r>
      <rPr>
        <b/>
        <i/>
        <sz val="10"/>
        <rFont val="Calibri"/>
        <family val="2"/>
      </rPr>
      <t xml:space="preserve"> FOR SAME CLASS</t>
    </r>
  </si>
  <si>
    <r>
      <rPr>
        <i/>
        <sz val="13"/>
        <rFont val="Calibri"/>
        <family val="2"/>
      </rPr>
      <t>8</t>
    </r>
    <r>
      <rPr>
        <i/>
        <sz val="10"/>
        <rFont val="Calibri"/>
        <family val="2"/>
      </rPr>
      <t xml:space="preserve"> FOR SAME CLASS</t>
    </r>
  </si>
  <si>
    <t>XY-589</t>
  </si>
  <si>
    <r>
      <rPr>
        <b/>
        <i/>
        <sz val="13"/>
        <rFont val="Calibri"/>
        <family val="2"/>
      </rPr>
      <t>5</t>
    </r>
    <r>
      <rPr>
        <b/>
        <i/>
        <sz val="10"/>
        <rFont val="Calibri"/>
        <family val="2"/>
      </rPr>
      <t xml:space="preserve"> FOR SAME CLASS</t>
    </r>
  </si>
  <si>
    <r>
      <rPr>
        <i/>
        <sz val="13"/>
        <rFont val="Calibri"/>
        <family val="2"/>
      </rPr>
      <t>5</t>
    </r>
    <r>
      <rPr>
        <i/>
        <sz val="10"/>
        <rFont val="Calibri"/>
        <family val="2"/>
      </rPr>
      <t xml:space="preserve"> FOR SAME CLASS</t>
    </r>
  </si>
  <si>
    <t>XY-565</t>
  </si>
  <si>
    <r>
      <rPr>
        <b/>
        <i/>
        <sz val="13"/>
        <rFont val="Calibri"/>
        <family val="2"/>
      </rPr>
      <t>9</t>
    </r>
    <r>
      <rPr>
        <b/>
        <i/>
        <sz val="10"/>
        <rFont val="Calibri"/>
        <family val="2"/>
      </rPr>
      <t xml:space="preserve"> FOR SAME CLASS</t>
    </r>
  </si>
  <si>
    <t>489 SAR</t>
  </si>
  <si>
    <r>
      <rPr>
        <i/>
        <sz val="13"/>
        <rFont val="Calibri"/>
        <family val="2"/>
      </rPr>
      <t>9</t>
    </r>
    <r>
      <rPr>
        <i/>
        <sz val="10"/>
        <rFont val="Calibri"/>
        <family val="2"/>
      </rPr>
      <t xml:space="preserve"> FOR SAME CLASS</t>
    </r>
  </si>
  <si>
    <t>589 SAR</t>
  </si>
  <si>
    <t>679 SAR</t>
  </si>
  <si>
    <t>XY-577</t>
  </si>
  <si>
    <t>XY-583</t>
  </si>
  <si>
    <t>Air Cairo</t>
  </si>
  <si>
    <t>SM-472</t>
  </si>
  <si>
    <t>Cabin: 7 KG | Check-in: 40 KG</t>
  </si>
  <si>
    <t>471 SAR</t>
  </si>
  <si>
    <t>SM472</t>
  </si>
  <si>
    <t>U1</t>
  </si>
  <si>
    <t>S8 &amp; X3 &amp; U9 &amp; O10 &amp; I30</t>
  </si>
  <si>
    <t>SM-476</t>
  </si>
  <si>
    <t>SM476</t>
  </si>
  <si>
    <t>U9 &amp; O15 &amp; I30 &amp; P46</t>
  </si>
  <si>
    <t>SM-424</t>
  </si>
  <si>
    <t>526 SAR</t>
  </si>
  <si>
    <t>SM424</t>
  </si>
  <si>
    <t>X1</t>
  </si>
  <si>
    <t>S2 &amp; X4 &amp; U5 &amp; O10 &amp; I15 &amp; P88</t>
  </si>
  <si>
    <t>SM-478</t>
  </si>
  <si>
    <r>
      <rPr>
        <b/>
        <i/>
        <sz val="13"/>
        <rFont val="Calibri"/>
        <family val="2"/>
      </rPr>
      <t>4</t>
    </r>
    <r>
      <rPr>
        <b/>
        <i/>
        <sz val="10"/>
        <rFont val="Calibri"/>
        <family val="2"/>
      </rPr>
      <t xml:space="preserve"> FOR SAME CLASS</t>
    </r>
  </si>
  <si>
    <t>SM478</t>
  </si>
  <si>
    <t>X4</t>
  </si>
  <si>
    <t>S5 &amp; X6 &amp; U13 &amp; O15 &amp; I15 &amp; P82</t>
  </si>
  <si>
    <t>SM480</t>
  </si>
  <si>
    <t>30KG + 7KG CABIN</t>
  </si>
  <si>
    <t>FULLY BOOKED</t>
  </si>
  <si>
    <t>CLOSED</t>
  </si>
  <si>
    <t>S2 &amp; X1 &amp; U15 &amp; O15 &amp; I15 &amp; P117 &amp; N3</t>
  </si>
  <si>
    <t>SM460</t>
  </si>
  <si>
    <t>S1 &amp; W2 &amp; X4 &amp; U17 &amp; O15 &amp; I9 &amp; P117</t>
  </si>
  <si>
    <t>Air Arabia Egypt</t>
  </si>
  <si>
    <t>E5-362</t>
  </si>
  <si>
    <t>Cabin: 10 KG / Check-in: 30 KG</t>
  </si>
  <si>
    <r>
      <rPr>
        <b/>
        <i/>
        <sz val="13"/>
        <color rgb="FFBC0000"/>
        <rFont val="Calibri"/>
        <family val="2"/>
      </rPr>
      <t>9</t>
    </r>
    <r>
      <rPr>
        <b/>
        <i/>
        <sz val="10"/>
        <color rgb="FFBC0000"/>
        <rFont val="Calibri"/>
        <family val="2"/>
      </rPr>
      <t xml:space="preserve"> FOR SAME CLASS</t>
    </r>
  </si>
  <si>
    <t>536 SAR</t>
  </si>
  <si>
    <t>660 SAR</t>
  </si>
  <si>
    <t>Nesma Airlines</t>
  </si>
  <si>
    <t>NE-171</t>
  </si>
  <si>
    <t>Cabin: 7 KG | Check-in: 30 KG</t>
  </si>
  <si>
    <r>
      <rPr>
        <b/>
        <i/>
        <sz val="13"/>
        <color rgb="FFBC0000"/>
        <rFont val="Calibri"/>
        <family val="2"/>
      </rPr>
      <t>+9</t>
    </r>
    <r>
      <rPr>
        <b/>
        <i/>
        <sz val="10"/>
        <color rgb="FFBC0000"/>
        <rFont val="Calibri"/>
        <family val="2"/>
      </rPr>
      <t xml:space="preserve"> FOR SAME CLASS</t>
    </r>
  </si>
  <si>
    <t>595 SAR</t>
  </si>
  <si>
    <t>NE-173</t>
  </si>
  <si>
    <r>
      <rPr>
        <b/>
        <i/>
        <sz val="13"/>
        <rFont val="Calibri"/>
        <family val="2"/>
      </rPr>
      <t>+9</t>
    </r>
    <r>
      <rPr>
        <b/>
        <i/>
        <sz val="10"/>
        <rFont val="Calibri"/>
        <family val="2"/>
      </rPr>
      <t xml:space="preserve"> FOR SAME CLASS</t>
    </r>
  </si>
  <si>
    <t>645 SAR</t>
  </si>
  <si>
    <t>Nile Air</t>
  </si>
  <si>
    <t>NP-128</t>
  </si>
  <si>
    <r>
      <rPr>
        <b/>
        <i/>
        <sz val="13"/>
        <color rgb="FFBC0000"/>
        <rFont val="Calibri"/>
        <family val="2"/>
      </rPr>
      <t>6</t>
    </r>
    <r>
      <rPr>
        <b/>
        <i/>
        <sz val="10"/>
        <color rgb="FFBC0000"/>
        <rFont val="Calibri"/>
        <family val="2"/>
      </rPr>
      <t xml:space="preserve"> FOR SAME CLASS</t>
    </r>
  </si>
  <si>
    <t>599 SAR</t>
  </si>
  <si>
    <t>NP-228</t>
  </si>
  <si>
    <t>NP-328</t>
  </si>
  <si>
    <r>
      <rPr>
        <b/>
        <i/>
        <sz val="13"/>
        <rFont val="Calibri"/>
        <family val="2"/>
      </rPr>
      <t>6</t>
    </r>
    <r>
      <rPr>
        <b/>
        <i/>
        <sz val="10"/>
        <rFont val="Calibri"/>
        <family val="2"/>
      </rPr>
      <t xml:space="preserve"> FOR SAME CLASS</t>
    </r>
  </si>
  <si>
    <t>Saudia</t>
  </si>
  <si>
    <t>SV-301</t>
  </si>
  <si>
    <t>Cabin: 7 KG / Check-in: 23 KG</t>
  </si>
  <si>
    <t>935 SAR</t>
  </si>
  <si>
    <t>Cabin: 7 KG / Check-in: 2 x 46 KG</t>
  </si>
  <si>
    <r>
      <rPr>
        <i/>
        <sz val="13"/>
        <rFont val="Calibri"/>
        <family val="2"/>
      </rPr>
      <t>+9</t>
    </r>
    <r>
      <rPr>
        <i/>
        <sz val="10"/>
        <rFont val="Calibri"/>
        <family val="2"/>
      </rPr>
      <t xml:space="preserve"> FOR SAME CLASS</t>
    </r>
  </si>
  <si>
    <t>980 SAR</t>
  </si>
  <si>
    <t>SV-309</t>
  </si>
  <si>
    <t>SV-335</t>
  </si>
  <si>
    <t>SV-383</t>
  </si>
  <si>
    <t>SV-387</t>
  </si>
  <si>
    <t>SV-303</t>
  </si>
  <si>
    <t>1,093 SAR</t>
  </si>
  <si>
    <t>1,138 SAR</t>
  </si>
  <si>
    <t>SV-389</t>
  </si>
  <si>
    <t>SV-6664</t>
  </si>
  <si>
    <t>1,349 SAR</t>
  </si>
  <si>
    <t>SV-6891</t>
  </si>
  <si>
    <t>SV-6893</t>
  </si>
  <si>
    <t>SV-6895</t>
  </si>
  <si>
    <t>SV-305</t>
  </si>
  <si>
    <t>2,005 SAR</t>
  </si>
  <si>
    <t>2,050 SAR</t>
  </si>
  <si>
    <t>EgyptAir</t>
  </si>
  <si>
    <t>MS-662</t>
  </si>
  <si>
    <t>Cabin: 7 KG | Check-in: 2 PIECE</t>
  </si>
  <si>
    <t>970 SAR</t>
  </si>
  <si>
    <t>MS-668</t>
  </si>
  <si>
    <t>MS-674</t>
  </si>
  <si>
    <t>1,080 SAR</t>
  </si>
  <si>
    <t>MS-644</t>
  </si>
  <si>
    <t>1,260 SAR</t>
  </si>
  <si>
    <t>MS-664</t>
  </si>
  <si>
    <t>MS-666</t>
  </si>
  <si>
    <t>1,407 SAR</t>
  </si>
  <si>
    <t>MS-672</t>
  </si>
  <si>
    <t>1,844 SAR</t>
  </si>
  <si>
    <r>
      <rPr>
        <b/>
        <i/>
        <sz val="13"/>
        <color rgb="FFBC0000"/>
        <rFont val="Calibri"/>
        <family val="2"/>
      </rPr>
      <t>4</t>
    </r>
    <r>
      <rPr>
        <b/>
        <i/>
        <sz val="10"/>
        <color rgb="FFBC0000"/>
        <rFont val="Calibri"/>
        <family val="2"/>
      </rPr>
      <t xml:space="preserve"> FOR SAME CLASS</t>
    </r>
  </si>
  <si>
    <r>
      <rPr>
        <i/>
        <sz val="13"/>
        <rFont val="Calibri"/>
        <family val="2"/>
      </rPr>
      <t>4</t>
    </r>
    <r>
      <rPr>
        <i/>
        <sz val="10"/>
        <rFont val="Calibri"/>
        <family val="2"/>
      </rPr>
      <t xml:space="preserve"> FOR SAME CLASS</t>
    </r>
  </si>
  <si>
    <r>
      <rPr>
        <i/>
        <sz val="13"/>
        <rFont val="Calibri"/>
        <family val="2"/>
      </rPr>
      <t>6</t>
    </r>
    <r>
      <rPr>
        <i/>
        <sz val="10"/>
        <rFont val="Calibri"/>
        <family val="2"/>
      </rPr>
      <t xml:space="preserve"> FOR SAME CLASS</t>
    </r>
  </si>
  <si>
    <r>
      <rPr>
        <b/>
        <i/>
        <sz val="13"/>
        <color rgb="FFBC0000"/>
        <rFont val="Calibri"/>
        <family val="2"/>
      </rPr>
      <t>2</t>
    </r>
    <r>
      <rPr>
        <b/>
        <i/>
        <sz val="10"/>
        <color rgb="FFBC0000"/>
        <rFont val="Calibri"/>
        <family val="2"/>
      </rPr>
      <t xml:space="preserve"> FOR SAME CLASS</t>
    </r>
  </si>
  <si>
    <t>401 SAR</t>
  </si>
  <si>
    <t>409 SAR</t>
  </si>
  <si>
    <t>509 SAR</t>
  </si>
  <si>
    <t>SM-460</t>
  </si>
  <si>
    <t>U9</t>
  </si>
  <si>
    <t>S3 &amp; W1 &amp; U5 &amp; O18 &amp; I40 &amp; P47</t>
  </si>
  <si>
    <t>U1 &amp; O20 &amp; I44</t>
  </si>
  <si>
    <t>S2 &amp; U17 &amp; O18 &amp; I25 &amp; P45 &amp; N2</t>
  </si>
  <si>
    <t>E5-328</t>
  </si>
  <si>
    <t>695 SAR</t>
  </si>
  <si>
    <t>MS-1672</t>
  </si>
  <si>
    <t>673 SAR</t>
  </si>
  <si>
    <t>765 SAR</t>
  </si>
  <si>
    <t>842 SAR</t>
  </si>
  <si>
    <t>MS-670</t>
  </si>
  <si>
    <r>
      <rPr>
        <b/>
        <i/>
        <sz val="13"/>
        <color rgb="FFBC0000"/>
        <rFont val="Calibri"/>
        <family val="2"/>
      </rPr>
      <t>5</t>
    </r>
    <r>
      <rPr>
        <b/>
        <i/>
        <sz val="10"/>
        <color rgb="FFBC0000"/>
        <rFont val="Calibri"/>
        <family val="2"/>
      </rPr>
      <t xml:space="preserve"> FOR SAME CLASS</t>
    </r>
  </si>
  <si>
    <t>678 SAR</t>
  </si>
  <si>
    <t>723 SAR</t>
  </si>
  <si>
    <t>1,228 SAR</t>
  </si>
  <si>
    <t>1,276 SAR</t>
  </si>
  <si>
    <t>1,321 SAR</t>
  </si>
  <si>
    <t>1,486 SAR</t>
  </si>
  <si>
    <t>1,531 SAR</t>
  </si>
  <si>
    <t>359 SAR</t>
  </si>
  <si>
    <t>400 SAR</t>
  </si>
  <si>
    <t>SM-432</t>
  </si>
  <si>
    <t>436 SAR</t>
  </si>
  <si>
    <t>SM432</t>
  </si>
  <si>
    <t>O9</t>
  </si>
  <si>
    <t>O7 &amp; I35</t>
  </si>
  <si>
    <t>SM-450</t>
  </si>
  <si>
    <t>SM450</t>
  </si>
  <si>
    <t>O5</t>
  </si>
  <si>
    <t>I23 &amp; E28 &amp; N1</t>
  </si>
  <si>
    <t>O2 &amp; I10 &amp; P132</t>
  </si>
  <si>
    <t>S2 &amp; U3 &amp; O20 &amp; I15 &amp; P89</t>
  </si>
  <si>
    <t>SM-480</t>
  </si>
  <si>
    <t>S1 &amp; U4 &amp; O25 &amp; I5 &amp; E44 &amp; N2</t>
  </si>
  <si>
    <t>U6</t>
  </si>
  <si>
    <t>X1 &amp; U1 &amp; P84</t>
  </si>
  <si>
    <t>S4 &amp; O10 &amp; I30</t>
  </si>
  <si>
    <t>477 SAR</t>
  </si>
  <si>
    <t>600 SAR</t>
  </si>
  <si>
    <r>
      <rPr>
        <b/>
        <i/>
        <sz val="13"/>
        <color rgb="FFBC0000"/>
        <rFont val="Calibri"/>
        <family val="2"/>
      </rPr>
      <t>7</t>
    </r>
    <r>
      <rPr>
        <b/>
        <i/>
        <sz val="10"/>
        <color rgb="FFBC0000"/>
        <rFont val="Calibri"/>
        <family val="2"/>
      </rPr>
      <t xml:space="preserve"> FOR SAME CLASS</t>
    </r>
  </si>
  <si>
    <t>1,178 SAR</t>
  </si>
  <si>
    <t>1,225 SAR</t>
  </si>
  <si>
    <t>1,270 SAR</t>
  </si>
  <si>
    <t>1,618 SAR</t>
  </si>
  <si>
    <t>1,663 SAR</t>
  </si>
  <si>
    <r>
      <rPr>
        <b/>
        <i/>
        <sz val="13"/>
        <rFont val="Calibri"/>
        <family val="2"/>
      </rPr>
      <t>11</t>
    </r>
    <r>
      <rPr>
        <b/>
        <i/>
        <sz val="10"/>
        <rFont val="Calibri"/>
        <family val="2"/>
      </rPr>
      <t xml:space="preserve"> FOR SAME CLASS</t>
    </r>
  </si>
  <si>
    <r>
      <rPr>
        <i/>
        <sz val="13"/>
        <rFont val="Calibri"/>
        <family val="2"/>
      </rPr>
      <t>11</t>
    </r>
    <r>
      <rPr>
        <i/>
        <sz val="10"/>
        <rFont val="Calibri"/>
        <family val="2"/>
      </rPr>
      <t xml:space="preserve"> FOR SAME CLASS</t>
    </r>
  </si>
  <si>
    <t>O3</t>
  </si>
  <si>
    <t>B1 &amp; U4 &amp; O9 &amp; I28</t>
  </si>
  <si>
    <t>O1</t>
  </si>
  <si>
    <t>S3 &amp; O9 &amp; I34</t>
  </si>
  <si>
    <t>O8</t>
  </si>
  <si>
    <t>S1 &amp; O17 &amp; I5 &amp; P39</t>
  </si>
  <si>
    <t>S5 &amp; W3 &amp; U13 &amp; O20 &amp; I10 &amp; P116</t>
  </si>
  <si>
    <t>S3 &amp; U11 &amp; O27 &amp; I16 &amp; N2</t>
  </si>
  <si>
    <t>U7</t>
  </si>
  <si>
    <t>L1 &amp; G1 &amp; S1 &amp; U3 &amp; O30 &amp; I5 &amp; P68</t>
  </si>
  <si>
    <t>E5-322</t>
  </si>
  <si>
    <t>437 SAR</t>
  </si>
  <si>
    <t>663 SAR</t>
  </si>
  <si>
    <t>675 SAR</t>
  </si>
  <si>
    <t>Day</t>
  </si>
  <si>
    <t>Flt Dt</t>
  </si>
  <si>
    <t>Flt</t>
  </si>
  <si>
    <t>Brd-Off</t>
  </si>
  <si>
    <t>Eqp</t>
  </si>
  <si>
    <t>CAP</t>
  </si>
  <si>
    <t>BKG(Y)</t>
  </si>
  <si>
    <t>GRP(Y)</t>
  </si>
  <si>
    <t>FLT ST</t>
  </si>
  <si>
    <t>Y</t>
  </si>
  <si>
    <t>B</t>
  </si>
  <si>
    <t>M</t>
  </si>
  <si>
    <t>H</t>
  </si>
  <si>
    <t>Q</t>
  </si>
  <si>
    <t>K</t>
  </si>
  <si>
    <t>V</t>
  </si>
  <si>
    <t>L</t>
  </si>
  <si>
    <t>G</t>
  </si>
  <si>
    <t>S</t>
  </si>
  <si>
    <t>W</t>
  </si>
  <si>
    <t>T</t>
  </si>
  <si>
    <t>X</t>
  </si>
  <si>
    <t>U</t>
  </si>
  <si>
    <t>O</t>
  </si>
  <si>
    <t>I</t>
  </si>
  <si>
    <t>E</t>
  </si>
  <si>
    <t>A</t>
  </si>
  <si>
    <t>P</t>
  </si>
  <si>
    <t>N</t>
  </si>
  <si>
    <t>TUESDAY</t>
  </si>
  <si>
    <t>05:30</t>
  </si>
  <si>
    <t>320</t>
  </si>
  <si>
    <t>UPCOMING</t>
  </si>
  <si>
    <t>S8</t>
  </si>
  <si>
    <t>X3</t>
  </si>
  <si>
    <t>O10</t>
  </si>
  <si>
    <t>I30</t>
  </si>
  <si>
    <t>13:25</t>
  </si>
  <si>
    <t>S2</t>
  </si>
  <si>
    <t>U15</t>
  </si>
  <si>
    <t>O15</t>
  </si>
  <si>
    <t>I15</t>
  </si>
  <si>
    <t>P117</t>
  </si>
  <si>
    <t>N3</t>
  </si>
  <si>
    <t>14:45</t>
  </si>
  <si>
    <t>S5</t>
  </si>
  <si>
    <t>X6</t>
  </si>
  <si>
    <t>U13</t>
  </si>
  <si>
    <t>P82</t>
  </si>
  <si>
    <t>17:30</t>
  </si>
  <si>
    <t>S1</t>
  </si>
  <si>
    <t>W2</t>
  </si>
  <si>
    <t>U17</t>
  </si>
  <si>
    <t>I9</t>
  </si>
  <si>
    <t>22:25</t>
  </si>
  <si>
    <t>U5</t>
  </si>
  <si>
    <t>P88</t>
  </si>
  <si>
    <t>23:15</t>
  </si>
  <si>
    <t>P46</t>
  </si>
  <si>
    <t>WEDNESDAY</t>
  </si>
  <si>
    <t>12:25</t>
  </si>
  <si>
    <t>O20</t>
  </si>
  <si>
    <t>I44</t>
  </si>
  <si>
    <t>12:30</t>
  </si>
  <si>
    <t>S3</t>
  </si>
  <si>
    <t>W1</t>
  </si>
  <si>
    <t>O18</t>
  </si>
  <si>
    <t>I40</t>
  </si>
  <si>
    <t>P47</t>
  </si>
  <si>
    <t>I25</t>
  </si>
  <si>
    <t>P45</t>
  </si>
  <si>
    <t>N2</t>
  </si>
  <si>
    <t>THURSDAY</t>
  </si>
  <si>
    <t>01:10</t>
  </si>
  <si>
    <t>P84</t>
  </si>
  <si>
    <t>02:45</t>
  </si>
  <si>
    <t>S4</t>
  </si>
  <si>
    <t>06:05</t>
  </si>
  <si>
    <t>I23</t>
  </si>
  <si>
    <t>E28</t>
  </si>
  <si>
    <t>N1</t>
  </si>
  <si>
    <t>08:00</t>
  </si>
  <si>
    <t>O2</t>
  </si>
  <si>
    <t>I10</t>
  </si>
  <si>
    <t>P132</t>
  </si>
  <si>
    <t>08:45</t>
  </si>
  <si>
    <t>O7</t>
  </si>
  <si>
    <t>I35</t>
  </si>
  <si>
    <t>14:00</t>
  </si>
  <si>
    <t>U3</t>
  </si>
  <si>
    <t>P89</t>
  </si>
  <si>
    <t>17:45</t>
  </si>
  <si>
    <t>U4</t>
  </si>
  <si>
    <t>O25</t>
  </si>
  <si>
    <t>I5</t>
  </si>
  <si>
    <t>E44</t>
  </si>
  <si>
    <t>FRIDAY</t>
  </si>
  <si>
    <t>B1</t>
  </si>
  <si>
    <t>I28</t>
  </si>
  <si>
    <t>07:40</t>
  </si>
  <si>
    <t>I34</t>
  </si>
  <si>
    <t>11:00</t>
  </si>
  <si>
    <t>O17</t>
  </si>
  <si>
    <t>P39</t>
  </si>
  <si>
    <t>L1</t>
  </si>
  <si>
    <t>G1</t>
  </si>
  <si>
    <t>O30</t>
  </si>
  <si>
    <t>P68</t>
  </si>
  <si>
    <t>17:40</t>
  </si>
  <si>
    <t>U11</t>
  </si>
  <si>
    <t>O27</t>
  </si>
  <si>
    <t>I16</t>
  </si>
  <si>
    <t>22:30</t>
  </si>
  <si>
    <t>W3</t>
  </si>
  <si>
    <t>P116</t>
  </si>
  <si>
    <t>DATE</t>
  </si>
  <si>
    <t>ROUTE</t>
  </si>
  <si>
    <t>2025-11-25</t>
  </si>
  <si>
    <t>03:05</t>
  </si>
  <si>
    <t>07:15</t>
  </si>
  <si>
    <t>18:55</t>
  </si>
  <si>
    <t>21:40</t>
  </si>
  <si>
    <t>15:30</t>
  </si>
  <si>
    <t>20:30</t>
  </si>
  <si>
    <t>19:10</t>
  </si>
  <si>
    <t>21:20</t>
  </si>
  <si>
    <t>JED-HBE</t>
  </si>
  <si>
    <t>E5-392</t>
  </si>
  <si>
    <t>Cabin: 10 KG</t>
  </si>
  <si>
    <t>504 SAR</t>
  </si>
  <si>
    <t>Cabin: 10 KG / Check-in: 20 KG</t>
  </si>
  <si>
    <t>558 SAR</t>
  </si>
  <si>
    <t>627 SAR</t>
  </si>
  <si>
    <t>E5-326</t>
  </si>
  <si>
    <t>726 SAR</t>
  </si>
  <si>
    <t>788 SAR</t>
  </si>
  <si>
    <t>F3-773</t>
  </si>
  <si>
    <t>Hand baggage only</t>
  </si>
  <si>
    <t>519 SAR</t>
  </si>
  <si>
    <t>578 SAR</t>
  </si>
  <si>
    <t>602 SAR</t>
  </si>
  <si>
    <t>Cabin: 10 KG / Check-in: 32 KG</t>
  </si>
  <si>
    <t>769 SAR</t>
  </si>
  <si>
    <t>SM-452</t>
  </si>
  <si>
    <t>856 SAR</t>
  </si>
  <si>
    <t>SM452</t>
  </si>
  <si>
    <t>L7 &amp; S1 &amp; X11 &amp; P159</t>
  </si>
  <si>
    <t>MS-656</t>
  </si>
  <si>
    <t>906 SAR</t>
  </si>
  <si>
    <t>SV-331</t>
  </si>
  <si>
    <t>2,044 SAR</t>
  </si>
  <si>
    <t>2,172 SAR</t>
  </si>
  <si>
    <t>SV-411</t>
  </si>
  <si>
    <t>Indirect competition route JED – CAI - diversion ratio &amp; passenger leakage</t>
  </si>
  <si>
    <t>1 FOR SAME CLASS</t>
  </si>
  <si>
    <t>3 FOR SAME CLASS</t>
  </si>
  <si>
    <t>7 FOR SAME CLASS</t>
  </si>
  <si>
    <t>2 FOR SAME CLASS</t>
  </si>
  <si>
    <t>8 FOR SAME CLASS</t>
  </si>
  <si>
    <t>5 FOR SAME CLASS</t>
  </si>
  <si>
    <t>10 FOR SAME CLASS</t>
  </si>
  <si>
    <t>496 SAR</t>
  </si>
  <si>
    <t>550 SAR</t>
  </si>
  <si>
    <t>620 SAR</t>
  </si>
  <si>
    <t>SM-474</t>
  </si>
  <si>
    <t>952 SAR</t>
  </si>
  <si>
    <t>SM474</t>
  </si>
  <si>
    <t>V5</t>
  </si>
  <si>
    <t>L5 &amp; G5 &amp; S3 &amp; X2 &amp; P159</t>
  </si>
  <si>
    <t>G4 &amp; S5 &amp; W10 &amp; X7 &amp; U8 &amp; O10 &amp; I9 &amp; P126</t>
  </si>
  <si>
    <t>SM458</t>
  </si>
  <si>
    <t>S9 &amp; W13 &amp; X7 &amp; U6 &amp; O7 &amp; I8 &amp; P129</t>
  </si>
  <si>
    <r>
      <rPr>
        <b/>
        <i/>
        <sz val="13"/>
        <color rgb="FFBC0000"/>
        <rFont val="Calibri"/>
        <family val="2"/>
      </rPr>
      <t>8</t>
    </r>
    <r>
      <rPr>
        <b/>
        <i/>
        <sz val="10"/>
        <color rgb="FFBC0000"/>
        <rFont val="Calibri"/>
        <family val="2"/>
      </rPr>
      <t xml:space="preserve"> FOR SAME CLASS</t>
    </r>
  </si>
  <si>
    <t>4 FOR SAME CLASS</t>
  </si>
  <si>
    <t>08:55</t>
  </si>
  <si>
    <t>06:10</t>
  </si>
  <si>
    <t>6 FOR SAME CLASS</t>
  </si>
  <si>
    <t>9 FOR SAME CLASS</t>
  </si>
  <si>
    <t>09:30</t>
  </si>
  <si>
    <t>513 SAR</t>
  </si>
  <si>
    <t>582 SAR</t>
  </si>
  <si>
    <t>E5-394</t>
  </si>
  <si>
    <t>543 SAR</t>
  </si>
  <si>
    <t>612 SAR</t>
  </si>
  <si>
    <t>Cabin: 7 KG</t>
  </si>
  <si>
    <t>560 SAR</t>
  </si>
  <si>
    <t>704 SAR</t>
  </si>
  <si>
    <t>776 SAR</t>
  </si>
  <si>
    <t>L6</t>
  </si>
  <si>
    <t>S1 &amp; X1 &amp; P171</t>
  </si>
  <si>
    <t>07:00</t>
  </si>
  <si>
    <t>+9 FOR SAME CLASS</t>
  </si>
  <si>
    <t>14:15</t>
  </si>
  <si>
    <t>15:50</t>
  </si>
  <si>
    <t>446 SAR</t>
  </si>
  <si>
    <t>491 SAR</t>
  </si>
  <si>
    <t>672 SAR</t>
  </si>
  <si>
    <t>706 SAR</t>
  </si>
  <si>
    <t>S6 &amp; W8 &amp; T17 &amp; X27 &amp; U15</t>
  </si>
  <si>
    <t>11 FOR SAME CLASS</t>
  </si>
  <si>
    <t>23:25</t>
  </si>
  <si>
    <t>17:00</t>
  </si>
  <si>
    <t>L7</t>
  </si>
  <si>
    <t>X11</t>
  </si>
  <si>
    <t>P159</t>
  </si>
  <si>
    <t>09:50</t>
  </si>
  <si>
    <t>L5</t>
  </si>
  <si>
    <t>G5</t>
  </si>
  <si>
    <t>X2</t>
  </si>
  <si>
    <t>15:45</t>
  </si>
  <si>
    <t>G4</t>
  </si>
  <si>
    <t>W10</t>
  </si>
  <si>
    <t>X7</t>
  </si>
  <si>
    <t>U8</t>
  </si>
  <si>
    <t>P126</t>
  </si>
  <si>
    <t>17:15</t>
  </si>
  <si>
    <t>S9</t>
  </si>
  <si>
    <t>W13</t>
  </si>
  <si>
    <t>I8</t>
  </si>
  <si>
    <t>P129</t>
  </si>
  <si>
    <t>06:35</t>
  </si>
  <si>
    <t>P171</t>
  </si>
  <si>
    <t>10:00</t>
  </si>
  <si>
    <t>S6</t>
  </si>
  <si>
    <t>W8</t>
  </si>
  <si>
    <t>T17</t>
  </si>
  <si>
    <t>X27</t>
  </si>
  <si>
    <t>04:30</t>
  </si>
  <si>
    <t>12:40</t>
  </si>
  <si>
    <t>JED-CAI AS ALTERNATIVE ROUTE</t>
  </si>
  <si>
    <t>JED-ATZ</t>
  </si>
  <si>
    <t>SM-454</t>
  </si>
  <si>
    <t>781 SAR</t>
  </si>
  <si>
    <t>SM454</t>
  </si>
  <si>
    <t>G3</t>
  </si>
  <si>
    <t>S4 &amp; U8 &amp; P155</t>
  </si>
  <si>
    <t>SM-456</t>
  </si>
  <si>
    <t>SM456</t>
  </si>
  <si>
    <t>L4</t>
  </si>
  <si>
    <t>L1 &amp; S1 &amp; X3 &amp; I3 &amp; P167</t>
  </si>
  <si>
    <t>MS-8224</t>
  </si>
  <si>
    <t>938 SAR</t>
  </si>
  <si>
    <t>F3-777</t>
  </si>
  <si>
    <r>
      <rPr>
        <b/>
        <i/>
        <sz val="13"/>
        <color rgb="FFBC0000"/>
        <rFont val="Calibri"/>
        <family val="2"/>
      </rPr>
      <t>13</t>
    </r>
    <r>
      <rPr>
        <b/>
        <i/>
        <sz val="10"/>
        <color rgb="FFBC0000"/>
        <rFont val="Calibri"/>
        <family val="2"/>
      </rPr>
      <t xml:space="preserve"> FOR SAME CLASS</t>
    </r>
  </si>
  <si>
    <t>329 SAR</t>
  </si>
  <si>
    <r>
      <rPr>
        <i/>
        <sz val="13"/>
        <rFont val="Calibri"/>
        <family val="2"/>
      </rPr>
      <t>13</t>
    </r>
    <r>
      <rPr>
        <i/>
        <sz val="10"/>
        <rFont val="Calibri"/>
        <family val="2"/>
      </rPr>
      <t xml:space="preserve"> FOR SAME CLASS</t>
    </r>
  </si>
  <si>
    <t>388 SAR</t>
  </si>
  <si>
    <t>412 SAR</t>
  </si>
  <si>
    <t>579 SAR</t>
  </si>
  <si>
    <t>U3 &amp; O8 &amp; I15 &amp; E43 &amp; P41</t>
  </si>
  <si>
    <t>SM-492</t>
  </si>
  <si>
    <t>SM492</t>
  </si>
  <si>
    <t>U7 &amp; O10 &amp; I15 &amp; E30 &amp; P78</t>
  </si>
  <si>
    <t>Cabin: 7 KG | Check-in: 1 PIECE</t>
  </si>
  <si>
    <t>640 SAR</t>
  </si>
  <si>
    <t>SM-422</t>
  </si>
  <si>
    <t>SM422</t>
  </si>
  <si>
    <t>S1 &amp; U7 &amp; O2 &amp; I13</t>
  </si>
  <si>
    <t>U1 &amp; O8 &amp; I9 &amp; E1 &amp; P95</t>
  </si>
  <si>
    <t>T2 &amp; X2 &amp; U9 &amp; O5 &amp; I15 &amp; P44</t>
  </si>
  <si>
    <t>I4</t>
  </si>
  <si>
    <t>S3 &amp; W1 &amp; X6 &amp; U11 &amp; O20 &amp; I30 &amp; P2</t>
  </si>
  <si>
    <t>07:45</t>
  </si>
  <si>
    <t>P155</t>
  </si>
  <si>
    <t>22:50</t>
  </si>
  <si>
    <t>I3</t>
  </si>
  <si>
    <t>P167</t>
  </si>
  <si>
    <t>06:25</t>
  </si>
  <si>
    <t>E43</t>
  </si>
  <si>
    <t>P41</t>
  </si>
  <si>
    <t>E30</t>
  </si>
  <si>
    <t>P78</t>
  </si>
  <si>
    <t>02:00</t>
  </si>
  <si>
    <t>I13</t>
  </si>
  <si>
    <t>11:45</t>
  </si>
  <si>
    <t>E1</t>
  </si>
  <si>
    <t>P95</t>
  </si>
  <si>
    <t>T2</t>
  </si>
  <si>
    <t>P44</t>
  </si>
  <si>
    <t>P2</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</si>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</sst>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5" formatCode="[$-F800]dddd\,\ mmmm\ dd\,\ yyyy"/>
    <numFmt numFmtId="167" formatCode="dddd\,\ mmmm\ dd\,\ yyyy"/>
    <numFmt numFmtId="168" formatCode="h:mm;@"/>
    <numFmt numFmtId="169" formatCode="0.0%"/>
    <numFmt numFmtId="170" formatCode="[$-409]dddd"/>
    <numFmt numFmtId="171" formatCode="#,##0\ &quot;SAR&quot;"/>
    <numFmt numFmtId="172" formatCode="dd\-mmm\-yy"/>
    <numFmt numFmtId="173" formatCode="hh:mm"/>
  </numFmts>
  <fonts count="37" x14ac:knownFonts="1">
    <font>
      <sz val="11"/>
      <color theme="1"/>
      <name val="Calibri"/>
      <family val="2"/>
      <scheme val="minor"/>
    </font>
    <font>
      <b/>
      <i/>
      <sz val="22"/>
      <color rgb="FFFFFFFF"/>
      <name val="Calibri"/>
      <family val="2"/>
    </font>
    <font>
      <b/>
      <i/>
      <sz val="16"/>
      <color rgb="FFED7D31"/>
      <name val="Calibri"/>
      <family val="2"/>
    </font>
    <font>
      <b/>
      <i/>
      <u/>
      <sz val="18"/>
      <name val="Calibri"/>
      <family val="2"/>
    </font>
    <font>
      <b/>
      <i/>
      <sz val="18"/>
      <name val="Calibri"/>
      <family val="2"/>
    </font>
    <font>
      <i/>
      <sz val="13"/>
      <name val="Calibri"/>
      <family val="2"/>
    </font>
    <font>
      <b/>
      <i/>
      <sz val="20"/>
      <color rgb="FFFFFFFF"/>
      <name val="Calibri"/>
      <family val="2"/>
    </font>
    <font>
      <b/>
      <i/>
      <sz val="20"/>
      <name val="Calibri"/>
      <family val="2"/>
    </font>
    <font>
      <b/>
      <i/>
      <sz val="18"/>
      <color rgb="FFFFFFFF"/>
      <name val="Calibri"/>
      <family val="2"/>
    </font>
    <font>
      <b/>
      <i/>
      <sz val="14"/>
      <color rgb="FF000000"/>
      <name val="Calibri"/>
      <family val="2"/>
    </font>
    <font>
      <b/>
      <i/>
      <sz val="16"/>
      <color rgb="FF000000"/>
      <name val="Calibri"/>
      <family val="2"/>
    </font>
    <font>
      <b/>
      <i/>
      <sz val="12"/>
      <color rgb="FFBC0000"/>
      <name val="Calibri"/>
      <family val="2"/>
    </font>
    <font>
      <b/>
      <sz val="13"/>
      <color theme="1"/>
      <name val="Calibri"/>
      <family val="2"/>
    </font>
    <font>
      <b/>
      <sz val="14"/>
      <color theme="1"/>
      <name val="Calibri"/>
      <family val="2"/>
    </font>
    <font>
      <i/>
      <sz val="12"/>
      <name val="Calibri"/>
      <family val="2"/>
    </font>
    <font>
      <b/>
      <i/>
      <sz val="12"/>
      <name val="Calibri"/>
      <family val="2"/>
    </font>
    <font>
      <b/>
      <i/>
      <sz val="13"/>
      <name val="Calibri"/>
      <family val="2"/>
    </font>
    <font>
      <b/>
      <i/>
      <sz val="13"/>
      <color rgb="FF9C0006"/>
      <name val="Calibri"/>
      <family val="2"/>
    </font>
    <font>
      <b/>
      <i/>
      <sz val="14"/>
      <name val="Calibri"/>
      <family val="2"/>
    </font>
    <font>
      <b/>
      <i/>
      <sz val="13"/>
      <color rgb="FF006100"/>
      <name val="Calibri"/>
      <family val="2"/>
    </font>
    <font>
      <sz val="12"/>
      <color theme="1"/>
      <name val="Calibri"/>
      <family val="2"/>
    </font>
    <font>
      <i/>
      <sz val="18"/>
      <color rgb="FFFF0000"/>
      <name val="Calibri"/>
      <family val="2"/>
    </font>
    <font>
      <b/>
      <sz val="14"/>
      <color rgb="FFFFFFFF"/>
      <name val="Calibri"/>
      <family val="2"/>
    </font>
    <font>
      <i/>
      <sz val="12"/>
      <color rgb="FF494529"/>
      <name val="Calibri"/>
      <family val="2"/>
    </font>
    <font>
      <b/>
      <sz val="12"/>
      <color rgb="FF000000"/>
      <name val="Calibri"/>
      <family val="2"/>
    </font>
    <font>
      <b/>
      <i/>
      <sz val="12"/>
      <color rgb="FF0070C0"/>
      <name val="Calibri"/>
      <family val="2"/>
    </font>
    <font>
      <b/>
      <i/>
      <sz val="13"/>
      <color rgb="FFBC0000"/>
      <name val="Calibri"/>
      <family val="2"/>
    </font>
    <font>
      <b/>
      <i/>
      <sz val="10"/>
      <color rgb="FFBC0000"/>
      <name val="Calibri"/>
      <family val="2"/>
    </font>
    <font>
      <i/>
      <sz val="10"/>
      <name val="Calibri"/>
      <family val="2"/>
    </font>
    <font>
      <b/>
      <i/>
      <sz val="10"/>
      <name val="Calibri"/>
      <family val="2"/>
    </font>
    <font>
      <b/>
      <i/>
      <sz val="12"/>
      <color theme="1"/>
      <name val="Calibri"/>
      <family val="2"/>
      <scheme val="minor"/>
    </font>
    <font>
      <b/>
      <i/>
      <sz val="16"/>
      <color rgb="FFFFFFFF"/>
      <name val="Calibri"/>
      <family val="2"/>
      <scheme val="minor"/>
    </font>
    <font>
      <b/>
      <sz val="8.5"/>
      <color indexed="8"/>
      <name val="Calibri"/>
      <family val="2"/>
    </font>
    <font>
      <b/>
      <sz val="8.5"/>
      <color indexed="10"/>
      <name val="Calibri"/>
      <family val="2"/>
    </font>
    <font>
      <b/>
      <sz val="8.5"/>
      <color indexed="12"/>
      <name val="Calibri"/>
      <family val="2"/>
    </font>
    <font>
      <b/>
      <sz val="10"/>
      <color indexed="8"/>
      <name val="Calibri"/>
      <family val="2"/>
    </font>
    <font>
      <b/>
      <sz val="10"/>
      <color indexed="10"/>
      <name val="Calibri"/>
      <family val="2"/>
    </font>
  </fonts>
  <fills count="19">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B5E7D3"/>
      </patternFill>
    </fill>
    <fill>
      <patternFill patternType="solid">
        <fgColor rgb="FFE6D5E6"/>
      </patternFill>
    </fill>
    <fill>
      <patternFill patternType="solid">
        <fgColor rgb="FFD8E4BC"/>
      </patternFill>
    </fill>
    <fill>
      <patternFill patternType="solid">
        <fgColor rgb="FFFFE4B5"/>
      </patternFill>
    </fill>
    <fill>
      <patternFill patternType="solid">
        <fgColor rgb="FFCCCCCC"/>
        <bgColor rgb="FFCCCCCC"/>
      </patternFill>
    </fill>
    <fill>
      <patternFill patternType="solid">
        <fgColor rgb="FFFFFFCC"/>
      </patternFill>
    </fill>
    <fill>
      <patternFill patternType="solid">
        <fgColor rgb="FFC5D9F1"/>
      </patternFill>
    </fill>
    <fill>
      <patternFill patternType="solid">
        <fgColor rgb="FFC7FFFF"/>
      </patternFill>
    </fill>
    <fill>
      <patternFill patternType="solid">
        <fgColor rgb="FFF2CA93"/>
      </patternFill>
    </fill>
    <fill>
      <patternFill patternType="solid">
        <fgColor rgb="FF366092"/>
      </patternFill>
    </fill>
    <fill>
      <patternFill patternType="solid">
        <fgColor rgb="FF365492"/>
        <bgColor indexed="64"/>
      </patternFill>
    </fill>
  </fills>
  <borders count="37">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style="thick">
        <color rgb="FFFFFFFF"/>
      </left>
      <right style="thick">
        <color rgb="FFFFFFFF"/>
      </right>
      <top style="thick">
        <color rgb="FFFFFFFF"/>
      </top>
      <bottom style="thick">
        <color rgb="FFFFFFFF"/>
      </bottom>
      <diagonal/>
    </border>
    <border>
      <left style="medium">
        <color rgb="FF000000"/>
      </left>
      <right style="medium">
        <color rgb="FF000000"/>
      </right>
      <top style="medium">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D040E3"/>
      </left>
      <right style="thick">
        <color rgb="FFD040E3"/>
      </right>
      <top style="thick">
        <color rgb="FFD040E3"/>
      </top>
      <bottom style="thick">
        <color rgb="FFD040E3"/>
      </bottom>
      <diagonal/>
    </border>
    <border>
      <left style="thick">
        <color rgb="FFD040E3"/>
      </left>
      <right style="thick">
        <color rgb="FFD040E3"/>
      </right>
      <top/>
      <bottom/>
      <diagonal/>
    </border>
    <border>
      <left style="thick">
        <color rgb="FFD040E3"/>
      </left>
      <right style="thick">
        <color rgb="FFD040E3"/>
      </right>
      <top/>
      <bottom style="thick">
        <color rgb="FFD040E3"/>
      </bottom>
      <diagonal/>
    </border>
    <border>
      <left style="thick">
        <color rgb="FFFF0000"/>
      </left>
      <right style="thick">
        <color rgb="FFFFFFFF"/>
      </right>
      <top style="thick">
        <color rgb="FFFF0000"/>
      </top>
      <bottom style="thick">
        <color rgb="FFFFFFFF"/>
      </bottom>
      <diagonal/>
    </border>
    <border>
      <left style="thick">
        <color rgb="FFFFFFFF"/>
      </left>
      <right style="thick">
        <color rgb="FFFFFFFF"/>
      </right>
      <top style="thick">
        <color rgb="FFFF0000"/>
      </top>
      <bottom style="thick">
        <color rgb="FFFFFFFF"/>
      </bottom>
      <diagonal/>
    </border>
    <border>
      <left style="thick">
        <color rgb="FFFFFFFF"/>
      </left>
      <right style="thick">
        <color rgb="FFFF0000"/>
      </right>
      <top style="thick">
        <color rgb="FFFF0000"/>
      </top>
      <bottom style="thick">
        <color rgb="FFFFFFFF"/>
      </bottom>
      <diagonal/>
    </border>
    <border>
      <left style="thick">
        <color rgb="FFFF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rgb="FFFF0000"/>
      </right>
      <top style="thin">
        <color auto="1"/>
      </top>
      <bottom style="thin">
        <color auto="1"/>
      </bottom>
      <diagonal/>
    </border>
    <border>
      <left style="thick">
        <color rgb="FFFF0000"/>
      </left>
      <right style="thin">
        <color auto="1"/>
      </right>
      <top style="thin">
        <color auto="1"/>
      </top>
      <bottom style="thick">
        <color rgb="FFFF0000"/>
      </bottom>
      <diagonal/>
    </border>
    <border>
      <left style="thin">
        <color auto="1"/>
      </left>
      <right style="thin">
        <color auto="1"/>
      </right>
      <top style="thin">
        <color auto="1"/>
      </top>
      <bottom style="thick">
        <color rgb="FFFF0000"/>
      </bottom>
      <diagonal/>
    </border>
    <border>
      <left style="thin">
        <color auto="1"/>
      </left>
      <right style="thick">
        <color rgb="FFFF0000"/>
      </right>
      <top style="thin">
        <color auto="1"/>
      </top>
      <bottom style="thick">
        <color rgb="FFFF0000"/>
      </bottom>
      <diagonal/>
    </border>
    <border>
      <left style="medium">
        <color rgb="FF000000"/>
      </left>
      <right style="medium">
        <color rgb="FF000000"/>
      </right>
      <top style="thin">
        <color rgb="FF000000"/>
      </top>
      <bottom style="thin">
        <color rgb="FF000000"/>
      </bottom>
      <diagonal/>
    </border>
    <border>
      <left/>
      <right/>
      <top/>
      <bottom style="medium">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ck">
        <color rgb="FFA0A0A0"/>
      </left>
      <right/>
      <top/>
      <bottom style="thick">
        <color rgb="FFA0A0A0"/>
      </bottom>
      <diagonal/>
    </border>
    <border>
      <left/>
      <right/>
      <top/>
      <bottom style="thick">
        <color rgb="FFA0A0A0"/>
      </bottom>
      <diagonal/>
    </border>
    <border>
      <left/>
      <right style="thick">
        <color rgb="FFA0A0A0"/>
      </right>
      <top/>
      <bottom style="thick">
        <color rgb="FFA0A0A0"/>
      </bottom>
      <diagonal/>
    </border>
  </borders>
  <cellStyleXfs count="1">
    <xf numFmtId="0" fontId="0" fillId="0" borderId="0"/>
  </cellStyleXfs>
  <cellXfs count="214">
    <xf numFmtId="0" fontId="0" fillId="0" borderId="0" xfId="0"/>
    <xf numFmtId="0" fontId="1" fillId="2" borderId="0" xfId="0" applyFont="1" applyFill="1" applyAlignment="1">
      <alignment horizontal="center" vertical="center"/>
    </xf>
    <xf numFmtId="0" fontId="1" fillId="2" borderId="0" xfId="0" applyFont="1" applyFill="1" applyAlignment="1">
      <alignment horizontal="right" vertical="center"/>
    </xf>
    <xf numFmtId="0" fontId="0" fillId="0" borderId="1" xfId="0" applyBorder="1"/>
    <xf numFmtId="167" fontId="7" fillId="5" borderId="2" xfId="0" applyNumberFormat="1" applyFont="1" applyFill="1" applyBorder="1" applyAlignment="1">
      <alignment horizontal="center" vertical="center"/>
    </xf>
    <xf numFmtId="0" fontId="9" fillId="6" borderId="2" xfId="0" applyFont="1" applyFill="1" applyBorder="1" applyAlignment="1">
      <alignment horizontal="center" vertical="center"/>
    </xf>
    <xf numFmtId="0" fontId="10" fillId="6" borderId="2" xfId="0" applyFont="1" applyFill="1" applyBorder="1" applyAlignment="1">
      <alignment horizontal="center" vertical="center"/>
    </xf>
    <xf numFmtId="0" fontId="10" fillId="7" borderId="3" xfId="0" applyFont="1" applyFill="1" applyBorder="1" applyAlignment="1">
      <alignment horizontal="center" vertical="center"/>
    </xf>
    <xf numFmtId="49" fontId="11" fillId="0" borderId="4" xfId="0" applyNumberFormat="1" applyFont="1" applyBorder="1" applyAlignment="1">
      <alignment horizontal="center" vertical="center"/>
    </xf>
    <xf numFmtId="168" fontId="11" fillId="0" borderId="4" xfId="0" applyNumberFormat="1" applyFont="1" applyBorder="1" applyAlignment="1">
      <alignment horizontal="center" vertical="center"/>
    </xf>
    <xf numFmtId="0" fontId="12" fillId="0" borderId="5" xfId="0" applyFont="1" applyBorder="1" applyAlignment="1">
      <alignment horizontal="center" vertical="center"/>
    </xf>
    <xf numFmtId="0" fontId="12" fillId="0" borderId="6" xfId="0" applyFont="1" applyBorder="1" applyAlignment="1">
      <alignment horizontal="center" vertical="center"/>
    </xf>
    <xf numFmtId="0" fontId="13" fillId="0" borderId="6" xfId="0" applyFon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49" fontId="14" fillId="0" borderId="8" xfId="0" applyNumberFormat="1" applyFont="1" applyBorder="1" applyAlignment="1">
      <alignment horizontal="center" vertical="center"/>
    </xf>
    <xf numFmtId="168" fontId="14" fillId="0" borderId="8" xfId="0" applyNumberFormat="1" applyFont="1" applyBorder="1" applyAlignment="1">
      <alignment horizontal="center" vertical="center"/>
    </xf>
    <xf numFmtId="49" fontId="15" fillId="0" borderId="8" xfId="0" applyNumberFormat="1" applyFont="1" applyBorder="1" applyAlignment="1">
      <alignment horizontal="center" vertical="center"/>
    </xf>
    <xf numFmtId="168" fontId="15" fillId="0" borderId="8" xfId="0" applyNumberFormat="1" applyFont="1" applyBorder="1" applyAlignment="1">
      <alignment horizontal="center" vertical="center"/>
    </xf>
    <xf numFmtId="49" fontId="11" fillId="0" borderId="8" xfId="0" applyNumberFormat="1" applyFont="1" applyBorder="1" applyAlignment="1">
      <alignment horizontal="center" vertical="center"/>
    </xf>
    <xf numFmtId="168" fontId="11" fillId="0" borderId="8" xfId="0" applyNumberFormat="1" applyFont="1" applyBorder="1" applyAlignment="1">
      <alignment horizontal="center" vertical="center"/>
    </xf>
    <xf numFmtId="49" fontId="11" fillId="8" borderId="2" xfId="0" applyNumberFormat="1" applyFont="1" applyFill="1" applyBorder="1" applyAlignment="1">
      <alignment horizontal="center" vertical="center"/>
    </xf>
    <xf numFmtId="168" fontId="11" fillId="8" borderId="2" xfId="0" applyNumberFormat="1" applyFont="1" applyFill="1" applyBorder="1" applyAlignment="1">
      <alignment horizontal="center" vertical="center"/>
    </xf>
    <xf numFmtId="49" fontId="16" fillId="8" borderId="9" xfId="0" applyNumberFormat="1" applyFont="1" applyFill="1" applyBorder="1" applyAlignment="1">
      <alignment horizontal="center" vertical="center"/>
    </xf>
    <xf numFmtId="169" fontId="17" fillId="8" borderId="10" xfId="0" applyNumberFormat="1" applyFont="1" applyFill="1" applyBorder="1" applyAlignment="1">
      <alignment horizontal="center" vertical="center"/>
    </xf>
    <xf numFmtId="1" fontId="16" fillId="8" borderId="10" xfId="0" applyNumberFormat="1" applyFont="1" applyFill="1" applyBorder="1" applyAlignment="1">
      <alignment horizontal="center" vertical="center"/>
    </xf>
    <xf numFmtId="16" fontId="16" fillId="8" borderId="10" xfId="0" applyNumberFormat="1" applyFont="1" applyFill="1" applyBorder="1" applyAlignment="1">
      <alignment horizontal="center" vertical="center"/>
    </xf>
    <xf numFmtId="49" fontId="18" fillId="8" borderId="10" xfId="0" applyNumberFormat="1" applyFont="1" applyFill="1" applyBorder="1" applyAlignment="1">
      <alignment horizontal="center" vertical="center"/>
    </xf>
    <xf numFmtId="168" fontId="16" fillId="8" borderId="10" xfId="0" applyNumberFormat="1" applyFont="1" applyFill="1" applyBorder="1" applyAlignment="1">
      <alignment horizontal="center" vertical="center"/>
    </xf>
    <xf numFmtId="49" fontId="16" fillId="8" borderId="11" xfId="0" applyNumberFormat="1" applyFont="1" applyFill="1" applyBorder="1" applyAlignment="1">
      <alignment horizontal="center" vertical="center"/>
    </xf>
    <xf numFmtId="49" fontId="15" fillId="9" borderId="2" xfId="0" applyNumberFormat="1" applyFont="1" applyFill="1" applyBorder="1" applyAlignment="1">
      <alignment horizontal="center" vertical="center"/>
    </xf>
    <xf numFmtId="168" fontId="15" fillId="9" borderId="2" xfId="0" applyNumberFormat="1" applyFont="1" applyFill="1" applyBorder="1" applyAlignment="1">
      <alignment horizontal="center" vertical="center"/>
    </xf>
    <xf numFmtId="49" fontId="16" fillId="9" borderId="9" xfId="0" applyNumberFormat="1" applyFont="1" applyFill="1" applyBorder="1" applyAlignment="1">
      <alignment horizontal="center" vertical="center"/>
    </xf>
    <xf numFmtId="169" fontId="16" fillId="9" borderId="10" xfId="0" applyNumberFormat="1" applyFont="1" applyFill="1" applyBorder="1" applyAlignment="1">
      <alignment horizontal="center" vertical="center"/>
    </xf>
    <xf numFmtId="1" fontId="16" fillId="9" borderId="10" xfId="0" applyNumberFormat="1" applyFont="1" applyFill="1" applyBorder="1" applyAlignment="1">
      <alignment horizontal="center" vertical="center"/>
    </xf>
    <xf numFmtId="16" fontId="16" fillId="9" borderId="10" xfId="0" applyNumberFormat="1" applyFont="1" applyFill="1" applyBorder="1" applyAlignment="1">
      <alignment horizontal="center" vertical="center"/>
    </xf>
    <xf numFmtId="49" fontId="18" fillId="9" borderId="10" xfId="0" applyNumberFormat="1" applyFont="1" applyFill="1" applyBorder="1" applyAlignment="1">
      <alignment horizontal="center" vertical="center"/>
    </xf>
    <xf numFmtId="168" fontId="16" fillId="9" borderId="10" xfId="0" applyNumberFormat="1" applyFont="1" applyFill="1" applyBorder="1" applyAlignment="1">
      <alignment horizontal="center" vertical="center"/>
    </xf>
    <xf numFmtId="49" fontId="16" fillId="9" borderId="11" xfId="0" applyNumberFormat="1" applyFont="1" applyFill="1" applyBorder="1" applyAlignment="1">
      <alignment horizontal="center" vertical="center"/>
    </xf>
    <xf numFmtId="49" fontId="15" fillId="10" borderId="2" xfId="0" applyNumberFormat="1" applyFont="1" applyFill="1" applyBorder="1" applyAlignment="1">
      <alignment horizontal="center" vertical="center"/>
    </xf>
    <xf numFmtId="168" fontId="15" fillId="10" borderId="2" xfId="0" applyNumberFormat="1" applyFont="1" applyFill="1" applyBorder="1" applyAlignment="1">
      <alignment horizontal="center" vertical="center"/>
    </xf>
    <xf numFmtId="49" fontId="16" fillId="10" borderId="9" xfId="0" applyNumberFormat="1" applyFont="1" applyFill="1" applyBorder="1" applyAlignment="1">
      <alignment horizontal="center" vertical="center"/>
    </xf>
    <xf numFmtId="169" fontId="16" fillId="10" borderId="10" xfId="0" applyNumberFormat="1" applyFont="1" applyFill="1" applyBorder="1" applyAlignment="1">
      <alignment horizontal="center" vertical="center"/>
    </xf>
    <xf numFmtId="1" fontId="16" fillId="10" borderId="10" xfId="0" applyNumberFormat="1" applyFont="1" applyFill="1" applyBorder="1" applyAlignment="1">
      <alignment horizontal="center" vertical="center"/>
    </xf>
    <xf numFmtId="16" fontId="16" fillId="10" borderId="10" xfId="0" applyNumberFormat="1" applyFont="1" applyFill="1" applyBorder="1" applyAlignment="1">
      <alignment horizontal="center" vertical="center"/>
    </xf>
    <xf numFmtId="49" fontId="18" fillId="10" borderId="10" xfId="0" applyNumberFormat="1" applyFont="1" applyFill="1" applyBorder="1" applyAlignment="1">
      <alignment horizontal="center" vertical="center"/>
    </xf>
    <xf numFmtId="168" fontId="16" fillId="10" borderId="10" xfId="0" applyNumberFormat="1" applyFont="1" applyFill="1" applyBorder="1" applyAlignment="1">
      <alignment horizontal="center" vertical="center"/>
    </xf>
    <xf numFmtId="49" fontId="16" fillId="10" borderId="11" xfId="0" applyNumberFormat="1" applyFont="1" applyFill="1" applyBorder="1" applyAlignment="1">
      <alignment horizontal="center" vertical="center"/>
    </xf>
    <xf numFmtId="49" fontId="15" fillId="11" borderId="2" xfId="0" applyNumberFormat="1" applyFont="1" applyFill="1" applyBorder="1" applyAlignment="1">
      <alignment horizontal="center" vertical="center"/>
    </xf>
    <xf numFmtId="168" fontId="15" fillId="11" borderId="2" xfId="0" applyNumberFormat="1" applyFont="1" applyFill="1" applyBorder="1" applyAlignment="1">
      <alignment horizontal="center" vertical="center"/>
    </xf>
    <xf numFmtId="0" fontId="15" fillId="11" borderId="2" xfId="0" applyFont="1" applyFill="1" applyBorder="1" applyAlignment="1">
      <alignment horizontal="center" vertical="center"/>
    </xf>
    <xf numFmtId="49" fontId="16" fillId="11" borderId="9" xfId="0" applyNumberFormat="1" applyFont="1" applyFill="1" applyBorder="1" applyAlignment="1">
      <alignment horizontal="center" vertical="center"/>
    </xf>
    <xf numFmtId="169" fontId="19" fillId="11" borderId="10" xfId="0" applyNumberFormat="1" applyFont="1" applyFill="1" applyBorder="1" applyAlignment="1">
      <alignment horizontal="center" vertical="center"/>
    </xf>
    <xf numFmtId="1" fontId="16" fillId="11" borderId="10" xfId="0" applyNumberFormat="1" applyFont="1" applyFill="1" applyBorder="1" applyAlignment="1">
      <alignment horizontal="center" vertical="center"/>
    </xf>
    <xf numFmtId="16" fontId="16" fillId="11" borderId="10" xfId="0" applyNumberFormat="1" applyFont="1" applyFill="1" applyBorder="1" applyAlignment="1">
      <alignment horizontal="center" vertical="center"/>
    </xf>
    <xf numFmtId="49" fontId="18" fillId="11" borderId="10" xfId="0" applyNumberFormat="1" applyFont="1" applyFill="1" applyBorder="1" applyAlignment="1">
      <alignment horizontal="center" vertical="center"/>
    </xf>
    <xf numFmtId="168" fontId="16" fillId="11" borderId="10" xfId="0" applyNumberFormat="1" applyFont="1" applyFill="1" applyBorder="1" applyAlignment="1">
      <alignment horizontal="center" vertical="center"/>
    </xf>
    <xf numFmtId="49" fontId="16" fillId="11" borderId="11" xfId="0" applyNumberFormat="1" applyFont="1" applyFill="1" applyBorder="1" applyAlignment="1">
      <alignment horizontal="center" vertical="center"/>
    </xf>
    <xf numFmtId="0" fontId="15" fillId="9" borderId="2" xfId="0" applyFont="1" applyFill="1" applyBorder="1" applyAlignment="1">
      <alignment horizontal="center" vertical="center"/>
    </xf>
    <xf numFmtId="169" fontId="19" fillId="9" borderId="10" xfId="0" applyNumberFormat="1" applyFont="1" applyFill="1" applyBorder="1" applyAlignment="1">
      <alignment horizontal="center" vertical="center"/>
    </xf>
    <xf numFmtId="49" fontId="15" fillId="0" borderId="12" xfId="0" applyNumberFormat="1" applyFont="1" applyBorder="1" applyAlignment="1">
      <alignment horizontal="center" vertical="center"/>
    </xf>
    <xf numFmtId="168" fontId="15" fillId="0" borderId="12" xfId="0" applyNumberFormat="1" applyFont="1" applyBorder="1" applyAlignment="1">
      <alignment horizontal="center" vertical="center"/>
    </xf>
    <xf numFmtId="0" fontId="12" fillId="0" borderId="13" xfId="0" applyFont="1" applyBorder="1" applyAlignment="1">
      <alignment horizontal="center" vertical="center"/>
    </xf>
    <xf numFmtId="0" fontId="12" fillId="0" borderId="14" xfId="0" applyFont="1" applyBorder="1" applyAlignment="1">
      <alignment horizontal="center" vertical="center"/>
    </xf>
    <xf numFmtId="0" fontId="13" fillId="0" borderId="14" xfId="0" applyFon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167" fontId="4" fillId="5" borderId="2" xfId="0" applyNumberFormat="1" applyFont="1" applyFill="1" applyBorder="1" applyAlignment="1">
      <alignment horizontal="center" vertical="center"/>
    </xf>
    <xf numFmtId="49" fontId="9" fillId="6" borderId="2" xfId="0" applyNumberFormat="1" applyFont="1" applyFill="1" applyBorder="1" applyAlignment="1">
      <alignment horizontal="center" vertical="center"/>
    </xf>
    <xf numFmtId="168" fontId="9" fillId="6" borderId="2" xfId="0" applyNumberFormat="1" applyFont="1" applyFill="1" applyBorder="1" applyAlignment="1">
      <alignment horizontal="center" vertical="center"/>
    </xf>
    <xf numFmtId="49" fontId="10" fillId="6" borderId="2" xfId="0" applyNumberFormat="1" applyFont="1" applyFill="1" applyBorder="1" applyAlignment="1">
      <alignment horizontal="center" vertical="center"/>
    </xf>
    <xf numFmtId="49" fontId="10" fillId="7" borderId="3" xfId="0" applyNumberFormat="1" applyFont="1" applyFill="1" applyBorder="1" applyAlignment="1">
      <alignment horizontal="center" vertical="center"/>
    </xf>
    <xf numFmtId="169" fontId="9" fillId="6" borderId="2" xfId="0" applyNumberFormat="1" applyFont="1" applyFill="1" applyBorder="1" applyAlignment="1">
      <alignment horizontal="center" vertical="center"/>
    </xf>
    <xf numFmtId="1" fontId="9" fillId="6" borderId="2" xfId="0" applyNumberFormat="1" applyFont="1" applyFill="1" applyBorder="1" applyAlignment="1">
      <alignment horizontal="center" vertical="center"/>
    </xf>
    <xf numFmtId="16" fontId="9" fillId="6" borderId="2" xfId="0" applyNumberFormat="1" applyFont="1" applyFill="1" applyBorder="1" applyAlignment="1">
      <alignment horizontal="center" vertical="center"/>
    </xf>
    <xf numFmtId="49" fontId="11" fillId="10" borderId="2" xfId="0" applyNumberFormat="1" applyFont="1" applyFill="1" applyBorder="1" applyAlignment="1">
      <alignment horizontal="center" vertical="center"/>
    </xf>
    <xf numFmtId="168" fontId="11" fillId="10" borderId="2" xfId="0" applyNumberFormat="1" applyFont="1" applyFill="1" applyBorder="1" applyAlignment="1">
      <alignment horizontal="center" vertical="center"/>
    </xf>
    <xf numFmtId="49" fontId="15" fillId="13" borderId="2" xfId="0" applyNumberFormat="1" applyFont="1" applyFill="1" applyBorder="1" applyAlignment="1">
      <alignment horizontal="center" vertical="center"/>
    </xf>
    <xf numFmtId="168" fontId="15" fillId="13" borderId="2" xfId="0" applyNumberFormat="1" applyFont="1" applyFill="1" applyBorder="1" applyAlignment="1">
      <alignment horizontal="center" vertical="center"/>
    </xf>
    <xf numFmtId="49" fontId="16" fillId="13" borderId="9" xfId="0" applyNumberFormat="1" applyFont="1" applyFill="1" applyBorder="1" applyAlignment="1">
      <alignment horizontal="center" vertical="center"/>
    </xf>
    <xf numFmtId="169" fontId="17" fillId="13" borderId="10" xfId="0" applyNumberFormat="1" applyFont="1" applyFill="1" applyBorder="1" applyAlignment="1">
      <alignment horizontal="center" vertical="center"/>
    </xf>
    <xf numFmtId="1" fontId="16" fillId="13" borderId="10" xfId="0" applyNumberFormat="1" applyFont="1" applyFill="1" applyBorder="1" applyAlignment="1">
      <alignment horizontal="center" vertical="center"/>
    </xf>
    <xf numFmtId="16" fontId="16" fillId="13" borderId="10" xfId="0" applyNumberFormat="1" applyFont="1" applyFill="1" applyBorder="1" applyAlignment="1">
      <alignment horizontal="center" vertical="center"/>
    </xf>
    <xf numFmtId="49" fontId="18" fillId="13" borderId="10" xfId="0" applyNumberFormat="1" applyFont="1" applyFill="1" applyBorder="1" applyAlignment="1">
      <alignment horizontal="center" vertical="center"/>
    </xf>
    <xf numFmtId="168" fontId="16" fillId="13" borderId="10" xfId="0" applyNumberFormat="1" applyFont="1" applyFill="1" applyBorder="1" applyAlignment="1">
      <alignment horizontal="center" vertical="center"/>
    </xf>
    <xf numFmtId="49" fontId="16" fillId="13" borderId="11" xfId="0" applyNumberFormat="1" applyFont="1" applyFill="1" applyBorder="1" applyAlignment="1">
      <alignment horizontal="center" vertical="center"/>
    </xf>
    <xf numFmtId="49" fontId="15" fillId="14" borderId="2" xfId="0" applyNumberFormat="1" applyFont="1" applyFill="1" applyBorder="1" applyAlignment="1">
      <alignment horizontal="center" vertical="center"/>
    </xf>
    <xf numFmtId="168" fontId="15" fillId="14" borderId="2" xfId="0" applyNumberFormat="1" applyFont="1" applyFill="1" applyBorder="1" applyAlignment="1">
      <alignment horizontal="center" vertical="center"/>
    </xf>
    <xf numFmtId="49" fontId="16" fillId="14" borderId="9" xfId="0" applyNumberFormat="1" applyFont="1" applyFill="1" applyBorder="1" applyAlignment="1">
      <alignment horizontal="center" vertical="center"/>
    </xf>
    <xf numFmtId="169" fontId="16" fillId="14" borderId="10" xfId="0" applyNumberFormat="1" applyFont="1" applyFill="1" applyBorder="1" applyAlignment="1">
      <alignment horizontal="center" vertical="center"/>
    </xf>
    <xf numFmtId="1" fontId="16" fillId="14" borderId="10" xfId="0" applyNumberFormat="1" applyFont="1" applyFill="1" applyBorder="1" applyAlignment="1">
      <alignment horizontal="center" vertical="center"/>
    </xf>
    <xf numFmtId="16" fontId="16" fillId="14" borderId="10" xfId="0" applyNumberFormat="1" applyFont="1" applyFill="1" applyBorder="1" applyAlignment="1">
      <alignment horizontal="center" vertical="center"/>
    </xf>
    <xf numFmtId="49" fontId="18" fillId="14" borderId="10" xfId="0" applyNumberFormat="1" applyFont="1" applyFill="1" applyBorder="1" applyAlignment="1">
      <alignment horizontal="center" vertical="center"/>
    </xf>
    <xf numFmtId="168" fontId="16" fillId="14" borderId="10" xfId="0" applyNumberFormat="1" applyFont="1" applyFill="1" applyBorder="1" applyAlignment="1">
      <alignment horizontal="center" vertical="center"/>
    </xf>
    <xf numFmtId="49" fontId="16" fillId="14" borderId="11" xfId="0" applyNumberFormat="1" applyFont="1" applyFill="1" applyBorder="1" applyAlignment="1">
      <alignment horizontal="center" vertical="center"/>
    </xf>
    <xf numFmtId="49" fontId="14" fillId="0" borderId="12" xfId="0" applyNumberFormat="1" applyFont="1" applyBorder="1" applyAlignment="1">
      <alignment horizontal="center" vertical="center"/>
    </xf>
    <xf numFmtId="168" fontId="14" fillId="0" borderId="12" xfId="0" applyNumberFormat="1" applyFont="1" applyBorder="1" applyAlignment="1">
      <alignment horizontal="center" vertical="center"/>
    </xf>
    <xf numFmtId="49" fontId="11" fillId="15" borderId="2" xfId="0" applyNumberFormat="1" applyFont="1" applyFill="1" applyBorder="1" applyAlignment="1">
      <alignment horizontal="center" vertical="center"/>
    </xf>
    <xf numFmtId="168" fontId="11" fillId="15" borderId="2" xfId="0" applyNumberFormat="1" applyFont="1" applyFill="1" applyBorder="1" applyAlignment="1">
      <alignment horizontal="center" vertical="center"/>
    </xf>
    <xf numFmtId="49" fontId="16" fillId="15" borderId="9" xfId="0" applyNumberFormat="1" applyFont="1" applyFill="1" applyBorder="1" applyAlignment="1">
      <alignment horizontal="center" vertical="center"/>
    </xf>
    <xf numFmtId="169" fontId="17" fillId="15" borderId="10" xfId="0" applyNumberFormat="1" applyFont="1" applyFill="1" applyBorder="1" applyAlignment="1">
      <alignment horizontal="center" vertical="center"/>
    </xf>
    <xf numFmtId="1" fontId="16" fillId="15" borderId="10" xfId="0" applyNumberFormat="1" applyFont="1" applyFill="1" applyBorder="1" applyAlignment="1">
      <alignment horizontal="center" vertical="center"/>
    </xf>
    <xf numFmtId="16" fontId="16" fillId="15" borderId="10" xfId="0" applyNumberFormat="1" applyFont="1" applyFill="1" applyBorder="1" applyAlignment="1">
      <alignment horizontal="center" vertical="center"/>
    </xf>
    <xf numFmtId="49" fontId="18" fillId="15" borderId="10" xfId="0" applyNumberFormat="1" applyFont="1" applyFill="1" applyBorder="1" applyAlignment="1">
      <alignment horizontal="center" vertical="center"/>
    </xf>
    <xf numFmtId="168" fontId="16" fillId="15" borderId="10" xfId="0" applyNumberFormat="1" applyFont="1" applyFill="1" applyBorder="1" applyAlignment="1">
      <alignment horizontal="center" vertical="center"/>
    </xf>
    <xf numFmtId="49" fontId="16" fillId="15" borderId="11" xfId="0" applyNumberFormat="1" applyFont="1" applyFill="1" applyBorder="1" applyAlignment="1">
      <alignment horizontal="center" vertical="center"/>
    </xf>
    <xf numFmtId="49" fontId="15" fillId="16" borderId="2" xfId="0" applyNumberFormat="1" applyFont="1" applyFill="1" applyBorder="1" applyAlignment="1">
      <alignment horizontal="center" vertical="center"/>
    </xf>
    <xf numFmtId="168" fontId="15" fillId="16" borderId="2" xfId="0" applyNumberFormat="1" applyFont="1" applyFill="1" applyBorder="1" applyAlignment="1">
      <alignment horizontal="center" vertical="center"/>
    </xf>
    <xf numFmtId="49" fontId="16" fillId="16" borderId="9" xfId="0" applyNumberFormat="1" applyFont="1" applyFill="1" applyBorder="1" applyAlignment="1">
      <alignment horizontal="center" vertical="center"/>
    </xf>
    <xf numFmtId="169" fontId="17" fillId="16" borderId="10" xfId="0" applyNumberFormat="1" applyFont="1" applyFill="1" applyBorder="1" applyAlignment="1">
      <alignment horizontal="center" vertical="center"/>
    </xf>
    <xf numFmtId="1" fontId="16" fillId="16" borderId="10" xfId="0" applyNumberFormat="1" applyFont="1" applyFill="1" applyBorder="1" applyAlignment="1">
      <alignment horizontal="center" vertical="center"/>
    </xf>
    <xf numFmtId="16" fontId="16" fillId="16" borderId="10" xfId="0" applyNumberFormat="1" applyFont="1" applyFill="1" applyBorder="1" applyAlignment="1">
      <alignment horizontal="center" vertical="center"/>
    </xf>
    <xf numFmtId="49" fontId="18" fillId="16" borderId="10" xfId="0" applyNumberFormat="1" applyFont="1" applyFill="1" applyBorder="1" applyAlignment="1">
      <alignment horizontal="center" vertical="center"/>
    </xf>
    <xf numFmtId="168" fontId="16" fillId="16" borderId="10" xfId="0" applyNumberFormat="1" applyFont="1" applyFill="1" applyBorder="1" applyAlignment="1">
      <alignment horizontal="center" vertical="center"/>
    </xf>
    <xf numFmtId="49" fontId="16" fillId="16" borderId="11" xfId="0" applyNumberFormat="1" applyFont="1" applyFill="1" applyBorder="1" applyAlignment="1">
      <alignment horizontal="center" vertical="center"/>
    </xf>
    <xf numFmtId="169" fontId="16" fillId="16" borderId="10" xfId="0" applyNumberFormat="1" applyFont="1" applyFill="1" applyBorder="1" applyAlignment="1">
      <alignment horizontal="center" vertical="center"/>
    </xf>
    <xf numFmtId="169" fontId="17" fillId="11" borderId="10" xfId="0" applyNumberFormat="1" applyFont="1" applyFill="1" applyBorder="1" applyAlignment="1">
      <alignment horizontal="center" vertical="center"/>
    </xf>
    <xf numFmtId="169" fontId="17" fillId="9" borderId="10" xfId="0" applyNumberFormat="1" applyFont="1" applyFill="1" applyBorder="1" applyAlignment="1">
      <alignment horizontal="center" vertical="center"/>
    </xf>
    <xf numFmtId="169" fontId="17" fillId="10" borderId="10" xfId="0" applyNumberFormat="1" applyFont="1" applyFill="1" applyBorder="1" applyAlignment="1">
      <alignment horizontal="center" vertical="center"/>
    </xf>
    <xf numFmtId="169" fontId="17" fillId="14" borderId="10" xfId="0" applyNumberFormat="1" applyFont="1" applyFill="1" applyBorder="1" applyAlignment="1">
      <alignment horizontal="center" vertical="center"/>
    </xf>
    <xf numFmtId="169" fontId="19" fillId="10" borderId="10" xfId="0" applyNumberFormat="1" applyFont="1" applyFill="1" applyBorder="1" applyAlignment="1">
      <alignment horizontal="center" vertical="center"/>
    </xf>
    <xf numFmtId="49" fontId="15" fillId="8" borderId="2" xfId="0" applyNumberFormat="1" applyFont="1" applyFill="1" applyBorder="1" applyAlignment="1">
      <alignment horizontal="center" vertical="center"/>
    </xf>
    <xf numFmtId="168" fontId="15" fillId="8" borderId="2" xfId="0" applyNumberFormat="1" applyFont="1" applyFill="1" applyBorder="1" applyAlignment="1">
      <alignment horizontal="center" vertical="center"/>
    </xf>
    <xf numFmtId="169" fontId="16" fillId="8" borderId="10" xfId="0" applyNumberFormat="1" applyFont="1" applyFill="1" applyBorder="1" applyAlignment="1">
      <alignment horizontal="center" vertical="center"/>
    </xf>
    <xf numFmtId="0" fontId="0" fillId="0" borderId="0" xfId="0" applyAlignment="1">
      <alignment horizontal="center" vertical="center"/>
    </xf>
    <xf numFmtId="0" fontId="22" fillId="17" borderId="21" xfId="0" applyFont="1" applyFill="1" applyBorder="1" applyAlignment="1">
      <alignment horizontal="center" vertical="center"/>
    </xf>
    <xf numFmtId="0" fontId="22" fillId="17" borderId="22" xfId="0" applyFont="1" applyFill="1" applyBorder="1" applyAlignment="1">
      <alignment horizontal="center" vertical="center"/>
    </xf>
    <xf numFmtId="0" fontId="22" fillId="17" borderId="23" xfId="0" applyFont="1" applyFill="1" applyBorder="1" applyAlignment="1">
      <alignment horizontal="center" vertical="center"/>
    </xf>
    <xf numFmtId="0" fontId="23" fillId="0" borderId="24" xfId="0" applyFont="1" applyBorder="1" applyAlignment="1">
      <alignment horizontal="center" vertical="center"/>
    </xf>
    <xf numFmtId="0" fontId="23" fillId="0" borderId="25" xfId="0" applyFont="1" applyBorder="1" applyAlignment="1">
      <alignment horizontal="center" vertical="center"/>
    </xf>
    <xf numFmtId="49" fontId="23" fillId="0" borderId="25" xfId="0" applyNumberFormat="1" applyFont="1" applyBorder="1" applyAlignment="1">
      <alignment horizontal="center" vertical="center"/>
    </xf>
    <xf numFmtId="1" fontId="23" fillId="0" borderId="25" xfId="0" applyNumberFormat="1" applyFont="1" applyBorder="1" applyAlignment="1">
      <alignment horizontal="center" vertical="center"/>
    </xf>
    <xf numFmtId="171" fontId="23" fillId="0" borderId="26" xfId="0" applyNumberFormat="1" applyFont="1" applyBorder="1" applyAlignment="1">
      <alignment horizontal="center" vertical="center"/>
    </xf>
    <xf numFmtId="0" fontId="24" fillId="0" borderId="24" xfId="0" applyFont="1" applyBorder="1" applyAlignment="1">
      <alignment horizontal="center" vertical="center"/>
    </xf>
    <xf numFmtId="0" fontId="24" fillId="0" borderId="25" xfId="0" applyFont="1" applyBorder="1" applyAlignment="1">
      <alignment horizontal="center" vertical="center"/>
    </xf>
    <xf numFmtId="49" fontId="24" fillId="0" borderId="25" xfId="0" applyNumberFormat="1" applyFont="1" applyBorder="1" applyAlignment="1">
      <alignment horizontal="center" vertical="center"/>
    </xf>
    <xf numFmtId="1" fontId="24" fillId="0" borderId="25" xfId="0" applyNumberFormat="1" applyFont="1" applyBorder="1" applyAlignment="1">
      <alignment horizontal="center" vertical="center"/>
    </xf>
    <xf numFmtId="171" fontId="24" fillId="0" borderId="26" xfId="0" applyNumberFormat="1" applyFont="1" applyBorder="1" applyAlignment="1">
      <alignment horizontal="center" vertical="center"/>
    </xf>
    <xf numFmtId="172" fontId="24" fillId="0" borderId="24" xfId="0" applyNumberFormat="1" applyFont="1" applyBorder="1" applyAlignment="1">
      <alignment horizontal="center" vertical="center"/>
    </xf>
    <xf numFmtId="173" fontId="24" fillId="0" borderId="25" xfId="0" applyNumberFormat="1" applyFont="1" applyBorder="1" applyAlignment="1">
      <alignment horizontal="center" vertical="center"/>
    </xf>
    <xf numFmtId="172" fontId="23" fillId="0" borderId="24" xfId="0" applyNumberFormat="1" applyFont="1" applyBorder="1" applyAlignment="1">
      <alignment horizontal="center" vertical="center"/>
    </xf>
    <xf numFmtId="173" fontId="23" fillId="0" borderId="25" xfId="0" applyNumberFormat="1" applyFont="1" applyBorder="1" applyAlignment="1">
      <alignment horizontal="center" vertical="center"/>
    </xf>
    <xf numFmtId="0" fontId="23" fillId="0" borderId="26" xfId="0" applyFont="1" applyBorder="1" applyAlignment="1">
      <alignment horizontal="center" vertical="center"/>
    </xf>
    <xf numFmtId="0" fontId="24" fillId="0" borderId="26" xfId="0" applyFont="1" applyBorder="1" applyAlignment="1">
      <alignment horizontal="center" vertical="center"/>
    </xf>
    <xf numFmtId="172" fontId="24" fillId="0" borderId="27" xfId="0" applyNumberFormat="1" applyFont="1" applyBorder="1" applyAlignment="1">
      <alignment horizontal="center" vertical="center"/>
    </xf>
    <xf numFmtId="0" fontId="24" fillId="0" borderId="28" xfId="0" applyFont="1" applyBorder="1" applyAlignment="1">
      <alignment horizontal="center" vertical="center"/>
    </xf>
    <xf numFmtId="49" fontId="24" fillId="0" borderId="28" xfId="0" applyNumberFormat="1" applyFont="1" applyBorder="1" applyAlignment="1">
      <alignment horizontal="center" vertical="center"/>
    </xf>
    <xf numFmtId="173" fontId="24" fillId="0" borderId="28" xfId="0" applyNumberFormat="1" applyFont="1" applyBorder="1" applyAlignment="1">
      <alignment horizontal="center" vertical="center"/>
    </xf>
    <xf numFmtId="0" fontId="24" fillId="0" borderId="29" xfId="0" applyFont="1" applyBorder="1" applyAlignment="1">
      <alignment horizontal="center" vertical="center"/>
    </xf>
    <xf numFmtId="172" fontId="23" fillId="0" borderId="27" xfId="0" applyNumberFormat="1" applyFont="1" applyBorder="1" applyAlignment="1">
      <alignment horizontal="center" vertical="center"/>
    </xf>
    <xf numFmtId="0" fontId="23" fillId="0" borderId="28" xfId="0" applyFont="1" applyBorder="1" applyAlignment="1">
      <alignment horizontal="center" vertical="center"/>
    </xf>
    <xf numFmtId="49" fontId="23" fillId="0" borderId="28" xfId="0" applyNumberFormat="1" applyFont="1" applyBorder="1" applyAlignment="1">
      <alignment horizontal="center" vertical="center"/>
    </xf>
    <xf numFmtId="173" fontId="23" fillId="0" borderId="28" xfId="0" applyNumberFormat="1" applyFont="1" applyBorder="1" applyAlignment="1">
      <alignment horizontal="center" vertical="center"/>
    </xf>
    <xf numFmtId="1" fontId="23" fillId="0" borderId="28" xfId="0" applyNumberFormat="1" applyFont="1" applyBorder="1" applyAlignment="1">
      <alignment horizontal="center" vertical="center"/>
    </xf>
    <xf numFmtId="0" fontId="23" fillId="0" borderId="29" xfId="0" applyFont="1" applyBorder="1" applyAlignment="1">
      <alignment horizontal="center" vertical="center"/>
    </xf>
    <xf numFmtId="1" fontId="24" fillId="0" borderId="28" xfId="0" applyNumberFormat="1" applyFont="1" applyBorder="1" applyAlignment="1">
      <alignment horizontal="center" vertical="center"/>
    </xf>
    <xf numFmtId="171" fontId="24" fillId="0" borderId="29" xfId="0" applyNumberFormat="1" applyFont="1" applyBorder="1" applyAlignment="1">
      <alignment horizontal="center" vertical="center"/>
    </xf>
    <xf numFmtId="49" fontId="11" fillId="14" borderId="2" xfId="0" applyNumberFormat="1" applyFont="1" applyFill="1" applyBorder="1" applyAlignment="1">
      <alignment horizontal="center" vertical="center"/>
    </xf>
    <xf numFmtId="168" fontId="11" fillId="14" borderId="2" xfId="0" applyNumberFormat="1" applyFont="1" applyFill="1" applyBorder="1" applyAlignment="1">
      <alignment horizontal="center" vertical="center"/>
    </xf>
    <xf numFmtId="169" fontId="19" fillId="14" borderId="10" xfId="0" applyNumberFormat="1" applyFont="1" applyFill="1" applyBorder="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12" fillId="0" borderId="31" xfId="0" applyFont="1" applyBorder="1" applyAlignment="1">
      <alignment horizontal="center" vertical="center"/>
    </xf>
    <xf numFmtId="0" fontId="13" fillId="0" borderId="31" xfId="0" applyFont="1" applyBorder="1" applyAlignment="1">
      <alignment horizontal="center" vertical="center"/>
    </xf>
    <xf numFmtId="0" fontId="0" fillId="0" borderId="31" xfId="0" applyBorder="1" applyAlignment="1">
      <alignment horizontal="center" vertical="center"/>
    </xf>
    <xf numFmtId="49" fontId="11" fillId="13" borderId="2" xfId="0" applyNumberFormat="1" applyFont="1" applyFill="1" applyBorder="1" applyAlignment="1">
      <alignment horizontal="center" vertical="center"/>
    </xf>
    <xf numFmtId="168" fontId="11" fillId="13" borderId="2" xfId="0" applyNumberFormat="1" applyFont="1" applyFill="1" applyBorder="1" applyAlignment="1">
      <alignment horizontal="center" vertical="center"/>
    </xf>
    <xf numFmtId="169" fontId="19" fillId="13" borderId="10" xfId="0" applyNumberFormat="1" applyFont="1" applyFill="1" applyBorder="1" applyAlignment="1">
      <alignment horizontal="center" vertical="center"/>
    </xf>
    <xf numFmtId="0" fontId="0" fillId="0" borderId="24" xfId="0" applyBorder="1"/>
    <xf numFmtId="0" fontId="0" fillId="0" borderId="25" xfId="0" applyBorder="1"/>
    <xf numFmtId="0" fontId="25" fillId="0" borderId="25" xfId="0" applyFont="1" applyBorder="1" applyAlignment="1">
      <alignment horizontal="center" vertical="center"/>
    </xf>
    <xf numFmtId="0" fontId="0" fillId="0" borderId="26" xfId="0" applyBorder="1"/>
    <xf numFmtId="171" fontId="23" fillId="0" borderId="29" xfId="0" applyNumberFormat="1" applyFont="1" applyBorder="1" applyAlignment="1">
      <alignment horizontal="center" vertical="center"/>
    </xf>
    <xf numFmtId="169" fontId="16" fillId="13" borderId="10" xfId="0" applyNumberFormat="1" applyFont="1" applyFill="1" applyBorder="1" applyAlignment="1">
      <alignment horizontal="center" vertical="center"/>
    </xf>
    <xf numFmtId="49" fontId="15" fillId="15" borderId="2" xfId="0" applyNumberFormat="1" applyFont="1" applyFill="1" applyBorder="1" applyAlignment="1">
      <alignment horizontal="center" vertical="center"/>
    </xf>
    <xf numFmtId="168" fontId="15" fillId="15" borderId="2" xfId="0" applyNumberFormat="1" applyFont="1" applyFill="1" applyBorder="1" applyAlignment="1">
      <alignment horizontal="center" vertical="center"/>
    </xf>
    <xf numFmtId="165" fontId="2" fillId="2" borderId="0" xfId="0" applyNumberFormat="1" applyFont="1" applyFill="1" applyAlignment="1">
      <alignment horizontal="center" vertical="center"/>
    </xf>
    <xf numFmtId="0" fontId="0" fillId="0" borderId="0" xfId="0"/>
    <xf numFmtId="0" fontId="1" fillId="2" borderId="0" xfId="0" applyFont="1" applyFill="1" applyAlignment="1">
      <alignment horizontal="center" vertical="center"/>
    </xf>
    <xf numFmtId="0" fontId="8" fillId="4" borderId="2" xfId="0" applyFont="1" applyFill="1" applyBorder="1" applyAlignment="1">
      <alignment horizontal="center" vertical="center"/>
    </xf>
    <xf numFmtId="0" fontId="0" fillId="0" borderId="16" xfId="0" applyBorder="1"/>
    <xf numFmtId="0" fontId="0" fillId="0" borderId="17" xfId="0" applyBorder="1"/>
    <xf numFmtId="49" fontId="6" fillId="4" borderId="2" xfId="0" applyNumberFormat="1" applyFont="1" applyFill="1" applyBorder="1" applyAlignment="1">
      <alignment horizontal="center" vertical="center"/>
    </xf>
    <xf numFmtId="0" fontId="3" fillId="3" borderId="0" xfId="0" applyFont="1" applyFill="1" applyAlignment="1">
      <alignment horizontal="right" vertical="center"/>
    </xf>
    <xf numFmtId="0" fontId="5" fillId="0" borderId="0" xfId="0" applyFont="1" applyAlignment="1">
      <alignment horizontal="right" vertical="center" readingOrder="2"/>
    </xf>
    <xf numFmtId="49" fontId="8" fillId="4" borderId="2" xfId="0" applyNumberFormat="1" applyFont="1" applyFill="1" applyBorder="1" applyAlignment="1">
      <alignment horizontal="center" vertical="center"/>
    </xf>
    <xf numFmtId="167" fontId="3" fillId="3" borderId="0" xfId="0" applyNumberFormat="1" applyFont="1" applyFill="1" applyAlignment="1">
      <alignment horizontal="left" vertical="center"/>
    </xf>
    <xf numFmtId="0" fontId="6" fillId="4" borderId="2" xfId="0" applyFont="1" applyFill="1" applyBorder="1" applyAlignment="1">
      <alignment horizontal="center" vertical="center"/>
    </xf>
    <xf numFmtId="165" fontId="2" fillId="2" borderId="0" xfId="0" applyNumberFormat="1" applyFont="1" applyFill="1" applyAlignment="1">
      <alignment horizontal="left" vertical="center"/>
    </xf>
    <xf numFmtId="0" fontId="21" fillId="0" borderId="18" xfId="0" applyFont="1" applyBorder="1"/>
    <xf numFmtId="0" fontId="0" fillId="0" borderId="19" xfId="0" applyBorder="1"/>
    <xf numFmtId="0" fontId="0" fillId="0" borderId="20" xfId="0" applyBorder="1"/>
    <xf numFmtId="18" fontId="3" fillId="3" borderId="0" xfId="0" applyNumberFormat="1" applyFont="1" applyFill="1" applyAlignment="1">
      <alignment horizontal="left" vertical="center"/>
    </xf>
    <xf numFmtId="0" fontId="0" fillId="0" borderId="18" xfId="0" applyBorder="1"/>
    <xf numFmtId="49" fontId="25" fillId="0" borderId="30" xfId="0" applyNumberFormat="1" applyFont="1" applyBorder="1" applyAlignment="1">
      <alignment horizontal="center" vertical="center"/>
    </xf>
    <xf numFmtId="0" fontId="0" fillId="0" borderId="32" xfId="0" applyBorder="1"/>
    <xf numFmtId="0" fontId="0" fillId="0" borderId="33" xfId="0" applyBorder="1"/>
    <xf numFmtId="0" fontId="30" fillId="0" borderId="0" xfId="0" applyFont="1" applyAlignment="1">
      <alignment horizontal="center" vertical="center"/>
    </xf>
    <xf numFmtId="0" fontId="30" fillId="0" borderId="0" xfId="0" applyFont="1"/>
    <xf numFmtId="170" fontId="30" fillId="0" borderId="0" xfId="0" applyNumberFormat="1" applyFont="1" applyAlignment="1">
      <alignment horizontal="center" vertical="center"/>
    </xf>
    <xf numFmtId="15" fontId="30" fillId="0" borderId="0" xfId="0" applyNumberFormat="1" applyFont="1" applyAlignment="1">
      <alignment horizontal="center" vertical="center"/>
    </xf>
    <xf numFmtId="49" fontId="30" fillId="0" borderId="0" xfId="0" applyNumberFormat="1" applyFont="1" applyAlignment="1">
      <alignment horizontal="center" vertical="center"/>
    </xf>
    <xf numFmtId="168" fontId="30" fillId="0" borderId="0" xfId="0" applyNumberFormat="1" applyFont="1" applyAlignment="1">
      <alignment horizontal="center" vertical="center"/>
    </xf>
    <xf numFmtId="169" fontId="30" fillId="0" borderId="0" xfId="0" applyNumberFormat="1" applyFont="1" applyAlignment="1">
      <alignment horizontal="center" vertical="center"/>
    </xf>
    <xf numFmtId="1" fontId="30" fillId="0" borderId="0" xfId="0" applyNumberFormat="1" applyFont="1" applyAlignment="1">
      <alignment horizontal="center" vertical="center"/>
    </xf>
    <xf numFmtId="16" fontId="30" fillId="0" borderId="0" xfId="0" applyNumberFormat="1" applyFont="1" applyAlignment="1">
      <alignment horizontal="center" vertical="center"/>
    </xf>
    <xf numFmtId="0" fontId="31" fillId="18" borderId="0" xfId="0" applyFont="1" applyFill="1" applyAlignment="1">
      <alignment horizontal="center" vertical="center"/>
    </xf>
    <xf numFmtId="15" fontId="31" fillId="18" borderId="0" xfId="0" applyNumberFormat="1" applyFont="1" applyFill="1" applyAlignment="1">
      <alignment horizontal="center" vertical="center"/>
    </xf>
    <xf numFmtId="169" fontId="31" fillId="18" borderId="0" xfId="0" applyNumberFormat="1" applyFont="1" applyFill="1" applyAlignment="1">
      <alignment horizontal="center" vertical="center"/>
    </xf>
    <xf numFmtId="1" fontId="31" fillId="18" borderId="0" xfId="0" applyNumberFormat="1" applyFont="1" applyFill="1" applyAlignment="1">
      <alignment horizontal="center" vertical="center"/>
    </xf>
    <xf numFmtId="0" fontId="31" fillId="18" borderId="0" xfId="0" applyNumberFormat="1" applyFont="1" applyFill="1" applyAlignment="1">
      <alignment horizontal="center" vertical="center"/>
    </xf>
    <xf numFmtId="0" fontId="20" fillId="12" borderId="34" xfId="0" applyFont="1" applyFill="1" applyBorder="1" applyAlignment="1">
      <alignment horizontal="center" vertical="center"/>
    </xf>
    <xf numFmtId="0" fontId="20" fillId="12" borderId="35" xfId="0" applyFont="1" applyFill="1" applyBorder="1" applyAlignment="1">
      <alignment horizontal="center" vertical="center"/>
    </xf>
    <xf numFmtId="0" fontId="20" fillId="12" borderId="36" xfId="0" applyFont="1" applyFill="1" applyBorder="1" applyAlignment="1">
      <alignment horizontal="center" vertical="center"/>
    </xf>
  </cellXfs>
  <cellStyles count="1">
    <cellStyle name="Normal" xfId="0" builtinId="0"/>
  </cellStyles>
  <dxfs count="225">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JED_CAI_LF_LEGACY" displayName="JED_CAI_LF_LEGACY" ref="A1:AJ24" totalsRowCount="1" headerRowDxfId="224" dataDxfId="187" totalsRowDxfId="150">
  <tableColumns count="36">
    <tableColumn id="1" xr3:uid="{00000000-0010-0000-0000-000001000000}" name="Day" totalsRowLabel="TOTAL" dataDxfId="223" totalsRowDxfId="186"/>
    <tableColumn id="2" xr3:uid="{00000000-0010-0000-0000-000002000000}" name="Flt Dt" dataDxfId="222" totalsRowDxfId="185"/>
    <tableColumn id="3" xr3:uid="{00000000-0010-0000-0000-000003000000}" name="Flt" totalsRowFunction="count" dataDxfId="221" totalsRowDxfId="184"/>
    <tableColumn id="4" xr3:uid="{00000000-0010-0000-0000-000004000000}" name="DEP" dataDxfId="220" totalsRowDxfId="183"/>
    <tableColumn id="5" xr3:uid="{00000000-0010-0000-0000-000005000000}" name="Brd-Off" totalsRowFunction="count" dataDxfId="219" totalsRowDxfId="182"/>
    <tableColumn id="6" xr3:uid="{00000000-0010-0000-0000-000006000000}" name="Eqp" dataDxfId="218" totalsRowDxfId="181"/>
    <tableColumn id="7" xr3:uid="{00000000-0010-0000-0000-000007000000}" name="LF%" totalsRowFunction="average" dataDxfId="217" totalsRowDxfId="180"/>
    <tableColumn id="8" xr3:uid="{00000000-0010-0000-0000-000008000000}" name="CAP" totalsRowFunction="sum" dataDxfId="216" totalsRowDxfId="179"/>
    <tableColumn id="9" xr3:uid="{00000000-0010-0000-0000-000009000000}" name="BKG(Y)" totalsRowFunction="sum" dataDxfId="215" totalsRowDxfId="178"/>
    <tableColumn id="10" xr3:uid="{00000000-0010-0000-0000-00000A000000}" name="GRP(Y)" totalsRowFunction="sum" dataDxfId="214" totalsRowDxfId="177"/>
    <tableColumn id="11" xr3:uid="{00000000-0010-0000-0000-00000B000000}" name="FLT ST" dataDxfId="213" totalsRowDxfId="176"/>
    <tableColumn id="12" xr3:uid="{00000000-0010-0000-0000-00000C000000}" name="LST-SOLD" dataDxfId="212" totalsRowDxfId="175"/>
    <tableColumn id="13" xr3:uid="{00000000-0010-0000-0000-00000D000000}" name="TO-DAY" totalsRowFunction="sum" dataDxfId="211" totalsRowDxfId="174"/>
    <tableColumn id="14" xr3:uid="{00000000-0010-0000-0000-00000E000000}" name="Y-DAY" totalsRowFunction="sum" dataDxfId="210" totalsRowDxfId="173"/>
    <tableColumn id="15" xr3:uid="{00000000-0010-0000-0000-00000F000000}" name="WEEKLY" totalsRowFunction="sum" dataDxfId="209" totalsRowDxfId="172"/>
    <tableColumn id="16" xr3:uid="{00000000-0010-0000-0000-000010000000}" name="LOWEST AVAIL" dataDxfId="208" totalsRowDxfId="171"/>
    <tableColumn id="17" xr3:uid="{00000000-0010-0000-0000-000011000000}" name="Y" totalsRowFunction="sum" dataDxfId="207" totalsRowDxfId="170"/>
    <tableColumn id="18" xr3:uid="{00000000-0010-0000-0000-000012000000}" name="B" totalsRowFunction="sum" dataDxfId="206" totalsRowDxfId="169"/>
    <tableColumn id="19" xr3:uid="{00000000-0010-0000-0000-000013000000}" name="M" totalsRowFunction="sum" dataDxfId="205" totalsRowDxfId="168"/>
    <tableColumn id="20" xr3:uid="{00000000-0010-0000-0000-000014000000}" name="H" totalsRowFunction="sum" dataDxfId="204" totalsRowDxfId="167"/>
    <tableColumn id="21" xr3:uid="{00000000-0010-0000-0000-000015000000}" name="Q" totalsRowFunction="sum" dataDxfId="203" totalsRowDxfId="166"/>
    <tableColumn id="22" xr3:uid="{00000000-0010-0000-0000-000016000000}" name="K" totalsRowFunction="sum" dataDxfId="202" totalsRowDxfId="165"/>
    <tableColumn id="23" xr3:uid="{00000000-0010-0000-0000-000017000000}" name="V" totalsRowFunction="sum" dataDxfId="201" totalsRowDxfId="164"/>
    <tableColumn id="24" xr3:uid="{00000000-0010-0000-0000-000018000000}" name="L" totalsRowFunction="sum" dataDxfId="200" totalsRowDxfId="163"/>
    <tableColumn id="25" xr3:uid="{00000000-0010-0000-0000-000019000000}" name="G" totalsRowFunction="sum" dataDxfId="199" totalsRowDxfId="162"/>
    <tableColumn id="26" xr3:uid="{00000000-0010-0000-0000-00001A000000}" name="S" totalsRowFunction="sum" dataDxfId="198" totalsRowDxfId="161"/>
    <tableColumn id="27" xr3:uid="{00000000-0010-0000-0000-00001B000000}" name="W" totalsRowFunction="sum" dataDxfId="197" totalsRowDxfId="160"/>
    <tableColumn id="28" xr3:uid="{00000000-0010-0000-0000-00001C000000}" name="T" totalsRowFunction="sum" dataDxfId="196" totalsRowDxfId="159"/>
    <tableColumn id="29" xr3:uid="{00000000-0010-0000-0000-00001D000000}" name="X" totalsRowFunction="sum" dataDxfId="195" totalsRowDxfId="158"/>
    <tableColumn id="30" xr3:uid="{00000000-0010-0000-0000-00001E000000}" name="U" totalsRowFunction="sum" dataDxfId="194" totalsRowDxfId="157"/>
    <tableColumn id="31" xr3:uid="{00000000-0010-0000-0000-00001F000000}" name="O" totalsRowFunction="sum" dataDxfId="193" totalsRowDxfId="156"/>
    <tableColumn id="32" xr3:uid="{00000000-0010-0000-0000-000020000000}" name="I" totalsRowFunction="sum" dataDxfId="192" totalsRowDxfId="155"/>
    <tableColumn id="33" xr3:uid="{00000000-0010-0000-0000-000021000000}" name="E" totalsRowFunction="sum" dataDxfId="191" totalsRowDxfId="154"/>
    <tableColumn id="34" xr3:uid="{00000000-0010-0000-0000-000022000000}" name="A" totalsRowFunction="sum" dataDxfId="190" totalsRowDxfId="153"/>
    <tableColumn id="35" xr3:uid="{00000000-0010-0000-0000-000023000000}" name="P" totalsRowFunction="sum" dataDxfId="189" totalsRowDxfId="152"/>
    <tableColumn id="36" xr3:uid="{00000000-0010-0000-0000-000024000000}" name="N" totalsRowFunction="count" dataDxfId="188" totalsRowDxfId="15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JED_CAI" displayName="FocusMode_JED_CAI" ref="A1:H298" totalsRowShown="0">
  <autoFilter ref="A1:H298"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hreatsAlert_JED_CAI" displayName="ThreatsAlert_JED_CAI" ref="A1:H28" totalsRowShown="0">
  <autoFilter ref="A1:H28"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JED_HBE_LF_LEGACY" displayName="JED_HBE_LF_LEGACY" ref="A1:AJ8" totalsRowCount="1" headerRowDxfId="149" dataDxfId="112" totalsRowDxfId="75">
  <tableColumns count="36">
    <tableColumn id="1" xr3:uid="{00000000-0010-0000-0300-000001000000}" name="Day" totalsRowLabel="TOTAL" dataDxfId="148" totalsRowDxfId="111"/>
    <tableColumn id="2" xr3:uid="{00000000-0010-0000-0300-000002000000}" name="Flt Dt" dataDxfId="147" totalsRowDxfId="110"/>
    <tableColumn id="3" xr3:uid="{00000000-0010-0000-0300-000003000000}" name="Flt" totalsRowFunction="count" dataDxfId="146" totalsRowDxfId="109"/>
    <tableColumn id="4" xr3:uid="{00000000-0010-0000-0300-000004000000}" name="DEP" dataDxfId="145" totalsRowDxfId="108"/>
    <tableColumn id="5" xr3:uid="{00000000-0010-0000-0300-000005000000}" name="Brd-Off" totalsRowFunction="count" dataDxfId="144" totalsRowDxfId="107"/>
    <tableColumn id="6" xr3:uid="{00000000-0010-0000-0300-000006000000}" name="Eqp" dataDxfId="143" totalsRowDxfId="106"/>
    <tableColumn id="7" xr3:uid="{00000000-0010-0000-0300-000007000000}" name="LF%" totalsRowFunction="average" dataDxfId="142" totalsRowDxfId="105"/>
    <tableColumn id="8" xr3:uid="{00000000-0010-0000-0300-000008000000}" name="CAP" totalsRowFunction="sum" dataDxfId="141" totalsRowDxfId="104"/>
    <tableColumn id="9" xr3:uid="{00000000-0010-0000-0300-000009000000}" name="BKG(Y)" totalsRowFunction="sum" dataDxfId="140" totalsRowDxfId="103"/>
    <tableColumn id="10" xr3:uid="{00000000-0010-0000-0300-00000A000000}" name="GRP(Y)" totalsRowFunction="sum" dataDxfId="139" totalsRowDxfId="102"/>
    <tableColumn id="11" xr3:uid="{00000000-0010-0000-0300-00000B000000}" name="FLT ST" dataDxfId="138" totalsRowDxfId="101"/>
    <tableColumn id="12" xr3:uid="{00000000-0010-0000-0300-00000C000000}" name="LST-SOLD" dataDxfId="137" totalsRowDxfId="100"/>
    <tableColumn id="13" xr3:uid="{00000000-0010-0000-0300-00000D000000}" name="TO-DAY" totalsRowFunction="sum" dataDxfId="136" totalsRowDxfId="99"/>
    <tableColumn id="14" xr3:uid="{00000000-0010-0000-0300-00000E000000}" name="Y-DAY" totalsRowFunction="sum" dataDxfId="135" totalsRowDxfId="98"/>
    <tableColumn id="15" xr3:uid="{00000000-0010-0000-0300-00000F000000}" name="WEEKLY" totalsRowFunction="sum" dataDxfId="134" totalsRowDxfId="97"/>
    <tableColumn id="16" xr3:uid="{00000000-0010-0000-0300-000010000000}" name="LOWEST AVAIL" dataDxfId="133" totalsRowDxfId="96"/>
    <tableColumn id="17" xr3:uid="{00000000-0010-0000-0300-000011000000}" name="Y" totalsRowFunction="sum" dataDxfId="132" totalsRowDxfId="95"/>
    <tableColumn id="18" xr3:uid="{00000000-0010-0000-0300-000012000000}" name="B" totalsRowFunction="sum" dataDxfId="131" totalsRowDxfId="94"/>
    <tableColumn id="19" xr3:uid="{00000000-0010-0000-0300-000013000000}" name="M" totalsRowFunction="sum" dataDxfId="130" totalsRowDxfId="93"/>
    <tableColumn id="20" xr3:uid="{00000000-0010-0000-0300-000014000000}" name="H" totalsRowFunction="sum" dataDxfId="129" totalsRowDxfId="92"/>
    <tableColumn id="21" xr3:uid="{00000000-0010-0000-0300-000015000000}" name="Q" totalsRowFunction="sum" dataDxfId="128" totalsRowDxfId="91"/>
    <tableColumn id="22" xr3:uid="{00000000-0010-0000-0300-000016000000}" name="K" totalsRowFunction="sum" dataDxfId="127" totalsRowDxfId="90"/>
    <tableColumn id="23" xr3:uid="{00000000-0010-0000-0300-000017000000}" name="V" totalsRowFunction="sum" dataDxfId="126" totalsRowDxfId="89"/>
    <tableColumn id="24" xr3:uid="{00000000-0010-0000-0300-000018000000}" name="L" totalsRowFunction="sum" dataDxfId="125" totalsRowDxfId="88"/>
    <tableColumn id="25" xr3:uid="{00000000-0010-0000-0300-000019000000}" name="G" totalsRowFunction="sum" dataDxfId="124" totalsRowDxfId="87"/>
    <tableColumn id="26" xr3:uid="{00000000-0010-0000-0300-00001A000000}" name="S" totalsRowFunction="sum" dataDxfId="123" totalsRowDxfId="86"/>
    <tableColumn id="27" xr3:uid="{00000000-0010-0000-0300-00001B000000}" name="W" totalsRowFunction="sum" dataDxfId="122" totalsRowDxfId="85"/>
    <tableColumn id="28" xr3:uid="{00000000-0010-0000-0300-00001C000000}" name="T" totalsRowFunction="sum" dataDxfId="121" totalsRowDxfId="84"/>
    <tableColumn id="29" xr3:uid="{00000000-0010-0000-0300-00001D000000}" name="X" totalsRowFunction="sum" dataDxfId="120" totalsRowDxfId="83"/>
    <tableColumn id="30" xr3:uid="{00000000-0010-0000-0300-00001E000000}" name="U" totalsRowFunction="sum" dataDxfId="119" totalsRowDxfId="82"/>
    <tableColumn id="31" xr3:uid="{00000000-0010-0000-0300-00001F000000}" name="O" totalsRowFunction="sum" dataDxfId="118" totalsRowDxfId="81"/>
    <tableColumn id="32" xr3:uid="{00000000-0010-0000-0300-000020000000}" name="I" totalsRowFunction="sum" dataDxfId="117" totalsRowDxfId="80"/>
    <tableColumn id="33" xr3:uid="{00000000-0010-0000-0300-000021000000}" name="E" totalsRowFunction="sum" dataDxfId="116" totalsRowDxfId="79"/>
    <tableColumn id="34" xr3:uid="{00000000-0010-0000-0300-000022000000}" name="A" totalsRowFunction="sum" dataDxfId="115" totalsRowDxfId="78"/>
    <tableColumn id="35" xr3:uid="{00000000-0010-0000-0300-000023000000}" name="P" totalsRowFunction="sum" dataDxfId="114" totalsRowDxfId="77"/>
    <tableColumn id="36" xr3:uid="{00000000-0010-0000-0300-000024000000}" name="N" totalsRowFunction="count" dataDxfId="113" totalsRowDxfId="7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cusMode_JED_HBE" displayName="FocusMode_JED_HBE" ref="A1:H86" totalsRowShown="0">
  <autoFilter ref="A1:H86" xr:uid="{00000000-0009-0000-0100-000005000000}"/>
  <tableColumns count="8">
    <tableColumn id="1" xr3:uid="{00000000-0010-0000-0400-000001000000}" name="DATE"/>
    <tableColumn id="2" xr3:uid="{00000000-0010-0000-0400-000002000000}" name="AIRLINE"/>
    <tableColumn id="3" xr3:uid="{00000000-0010-0000-0400-000003000000}" name="FLIGHT NUM"/>
    <tableColumn id="4" xr3:uid="{00000000-0010-0000-0400-000004000000}" name="ROUTE"/>
    <tableColumn id="5" xr3:uid="{00000000-0010-0000-0400-000005000000}" name="DEPARTURE"/>
    <tableColumn id="6" xr3:uid="{00000000-0010-0000-0400-000006000000}" name="BAGGAGE"/>
    <tableColumn id="7" xr3:uid="{00000000-0010-0000-0400-000007000000}" name="AVAILABILITY"/>
    <tableColumn id="8" xr3:uid="{00000000-0010-0000-0400-000008000000}" name="PUBLISHED FA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JED_ATZ_LF_LEGACY" displayName="JED_ATZ_LF_LEGACY" ref="A1:AJ10" totalsRowCount="1" headerRowDxfId="74" dataDxfId="37" totalsRowDxfId="0">
  <tableColumns count="36">
    <tableColumn id="1" xr3:uid="{00000000-0010-0000-0500-000001000000}" name="Day" totalsRowLabel="TOTAL" dataDxfId="73" totalsRowDxfId="36"/>
    <tableColumn id="2" xr3:uid="{00000000-0010-0000-0500-000002000000}" name="Flt Dt" dataDxfId="72" totalsRowDxfId="35"/>
    <tableColumn id="3" xr3:uid="{00000000-0010-0000-0500-000003000000}" name="Flt" totalsRowFunction="count" dataDxfId="71" totalsRowDxfId="34"/>
    <tableColumn id="4" xr3:uid="{00000000-0010-0000-0500-000004000000}" name="DEP" dataDxfId="70" totalsRowDxfId="33"/>
    <tableColumn id="5" xr3:uid="{00000000-0010-0000-0500-000005000000}" name="Brd-Off" totalsRowFunction="count" dataDxfId="69" totalsRowDxfId="32"/>
    <tableColumn id="6" xr3:uid="{00000000-0010-0000-0500-000006000000}" name="Eqp" dataDxfId="68" totalsRowDxfId="31"/>
    <tableColumn id="7" xr3:uid="{00000000-0010-0000-0500-000007000000}" name="LF%" totalsRowFunction="average" dataDxfId="67" totalsRowDxfId="30"/>
    <tableColumn id="8" xr3:uid="{00000000-0010-0000-0500-000008000000}" name="CAP" totalsRowFunction="sum" dataDxfId="66" totalsRowDxfId="29"/>
    <tableColumn id="9" xr3:uid="{00000000-0010-0000-0500-000009000000}" name="BKG(Y)" totalsRowFunction="sum" dataDxfId="65" totalsRowDxfId="28"/>
    <tableColumn id="10" xr3:uid="{00000000-0010-0000-0500-00000A000000}" name="GRP(Y)" totalsRowFunction="sum" dataDxfId="64" totalsRowDxfId="27"/>
    <tableColumn id="11" xr3:uid="{00000000-0010-0000-0500-00000B000000}" name="FLT ST" dataDxfId="63" totalsRowDxfId="26"/>
    <tableColumn id="12" xr3:uid="{00000000-0010-0000-0500-00000C000000}" name="LST-SOLD" dataDxfId="62" totalsRowDxfId="25"/>
    <tableColumn id="13" xr3:uid="{00000000-0010-0000-0500-00000D000000}" name="TO-DAY" totalsRowFunction="sum" dataDxfId="61" totalsRowDxfId="24"/>
    <tableColumn id="14" xr3:uid="{00000000-0010-0000-0500-00000E000000}" name="Y-DAY" totalsRowFunction="sum" dataDxfId="60" totalsRowDxfId="23"/>
    <tableColumn id="15" xr3:uid="{00000000-0010-0000-0500-00000F000000}" name="WEEKLY" totalsRowFunction="sum" dataDxfId="59" totalsRowDxfId="22"/>
    <tableColumn id="16" xr3:uid="{00000000-0010-0000-0500-000010000000}" name="LOWEST AVAIL" dataDxfId="58" totalsRowDxfId="21"/>
    <tableColumn id="17" xr3:uid="{00000000-0010-0000-0500-000011000000}" name="Y" totalsRowFunction="sum" dataDxfId="57" totalsRowDxfId="20"/>
    <tableColumn id="18" xr3:uid="{00000000-0010-0000-0500-000012000000}" name="B" totalsRowFunction="sum" dataDxfId="56" totalsRowDxfId="19"/>
    <tableColumn id="19" xr3:uid="{00000000-0010-0000-0500-000013000000}" name="M" totalsRowFunction="sum" dataDxfId="55" totalsRowDxfId="18"/>
    <tableColumn id="20" xr3:uid="{00000000-0010-0000-0500-000014000000}" name="H" totalsRowFunction="sum" dataDxfId="54" totalsRowDxfId="17"/>
    <tableColumn id="21" xr3:uid="{00000000-0010-0000-0500-000015000000}" name="Q" totalsRowFunction="sum" dataDxfId="53" totalsRowDxfId="16"/>
    <tableColumn id="22" xr3:uid="{00000000-0010-0000-0500-000016000000}" name="K" totalsRowFunction="sum" dataDxfId="52" totalsRowDxfId="15"/>
    <tableColumn id="23" xr3:uid="{00000000-0010-0000-0500-000017000000}" name="V" totalsRowFunction="sum" dataDxfId="51" totalsRowDxfId="14"/>
    <tableColumn id="24" xr3:uid="{00000000-0010-0000-0500-000018000000}" name="L" totalsRowFunction="sum" dataDxfId="50" totalsRowDxfId="13"/>
    <tableColumn id="25" xr3:uid="{00000000-0010-0000-0500-000019000000}" name="G" totalsRowFunction="sum" dataDxfId="49" totalsRowDxfId="12"/>
    <tableColumn id="26" xr3:uid="{00000000-0010-0000-0500-00001A000000}" name="S" totalsRowFunction="sum" dataDxfId="48" totalsRowDxfId="11"/>
    <tableColumn id="27" xr3:uid="{00000000-0010-0000-0500-00001B000000}" name="W" totalsRowFunction="sum" dataDxfId="47" totalsRowDxfId="10"/>
    <tableColumn id="28" xr3:uid="{00000000-0010-0000-0500-00001C000000}" name="T" totalsRowFunction="sum" dataDxfId="46" totalsRowDxfId="9"/>
    <tableColumn id="29" xr3:uid="{00000000-0010-0000-0500-00001D000000}" name="X" totalsRowFunction="sum" dataDxfId="45" totalsRowDxfId="8"/>
    <tableColumn id="30" xr3:uid="{00000000-0010-0000-0500-00001E000000}" name="U" totalsRowFunction="sum" dataDxfId="44" totalsRowDxfId="7"/>
    <tableColumn id="31" xr3:uid="{00000000-0010-0000-0500-00001F000000}" name="O" totalsRowFunction="sum" dataDxfId="43" totalsRowDxfId="6"/>
    <tableColumn id="32" xr3:uid="{00000000-0010-0000-0500-000020000000}" name="I" totalsRowFunction="sum" dataDxfId="42" totalsRowDxfId="5"/>
    <tableColumn id="33" xr3:uid="{00000000-0010-0000-0500-000021000000}" name="E" totalsRowFunction="sum" dataDxfId="41" totalsRowDxfId="4"/>
    <tableColumn id="34" xr3:uid="{00000000-0010-0000-0500-000022000000}" name="A" totalsRowFunction="sum" dataDxfId="40" totalsRowDxfId="3"/>
    <tableColumn id="35" xr3:uid="{00000000-0010-0000-0500-000023000000}" name="P" totalsRowFunction="sum" dataDxfId="39" totalsRowDxfId="2"/>
    <tableColumn id="36" xr3:uid="{00000000-0010-0000-0500-000024000000}" name="N" totalsRowFunction="count" dataDxfId="38" totalsRowDxfId="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FocusMode_JED_ATZ" displayName="FocusMode_JED_ATZ" ref="A1:H60" totalsRowShown="0">
  <autoFilter ref="A1:H60" xr:uid="{00000000-0009-0000-0100-000007000000}"/>
  <tableColumns count="8">
    <tableColumn id="1" xr3:uid="{00000000-0010-0000-0600-000001000000}" name="DATE"/>
    <tableColumn id="2" xr3:uid="{00000000-0010-0000-0600-000002000000}" name="AIRLINE"/>
    <tableColumn id="3" xr3:uid="{00000000-0010-0000-0600-000003000000}" name="FLIGHT NUM"/>
    <tableColumn id="4" xr3:uid="{00000000-0010-0000-0600-000004000000}" name="ROUTE"/>
    <tableColumn id="5" xr3:uid="{00000000-0010-0000-0600-000005000000}" name="DEPARTURE"/>
    <tableColumn id="6" xr3:uid="{00000000-0010-0000-0600-000006000000}" name="BAGGAGE"/>
    <tableColumn id="7" xr3:uid="{00000000-0010-0000-0600-000007000000}" name="AVAILABILITY"/>
    <tableColumn id="8" xr3:uid="{00000000-0010-0000-0600-000008000000}" name="PUBLISHED FA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5.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7.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311"/>
  <sheetViews>
    <sheetView tabSelected="1" workbookViewId="0">
      <selection sqref="A1:E1"/>
    </sheetView>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8.3320312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44" bestFit="1" customWidth="1"/>
  </cols>
  <sheetData>
    <row r="1" spans="1:92" ht="28.8" customHeight="1" x14ac:dyDescent="0.3">
      <c r="A1" s="178" t="s">
        <v>0</v>
      </c>
      <c r="B1" s="177"/>
      <c r="C1" s="177"/>
      <c r="D1" s="177"/>
      <c r="E1" s="177"/>
      <c r="F1" s="1" t="s">
        <v>1</v>
      </c>
      <c r="G1" s="2" t="s">
        <v>2</v>
      </c>
      <c r="H1" s="176">
        <v>45986</v>
      </c>
      <c r="I1" s="177"/>
      <c r="J1" s="177"/>
      <c r="K1" s="177"/>
      <c r="L1" s="177"/>
      <c r="M1" s="1" t="s">
        <v>3</v>
      </c>
      <c r="N1" s="188">
        <v>45989</v>
      </c>
      <c r="O1" s="177"/>
      <c r="P1" s="177"/>
      <c r="Q1" s="177"/>
      <c r="R1" s="177"/>
      <c r="CA1" s="3"/>
      <c r="CB1" s="3"/>
      <c r="CC1" s="3"/>
      <c r="CD1" s="3"/>
      <c r="CE1" s="3"/>
      <c r="CF1" s="3"/>
      <c r="CG1" s="3"/>
      <c r="CH1" s="3"/>
      <c r="CI1" s="3"/>
      <c r="CJ1" s="3"/>
      <c r="CK1" s="3"/>
      <c r="CL1" s="3"/>
      <c r="CM1" s="3"/>
      <c r="CN1" s="3"/>
    </row>
    <row r="2" spans="1:92" ht="23.4" customHeight="1" x14ac:dyDescent="0.3">
      <c r="A2" s="183" t="s">
        <v>4</v>
      </c>
      <c r="B2" s="177"/>
      <c r="C2" s="177"/>
      <c r="D2" s="177"/>
      <c r="E2" s="177"/>
      <c r="F2" s="177"/>
      <c r="G2" s="186">
        <v>45981.457474863892</v>
      </c>
      <c r="H2" s="177"/>
      <c r="I2" s="177"/>
      <c r="J2" s="177"/>
      <c r="K2" s="192">
        <v>45981.457474864277</v>
      </c>
      <c r="L2" s="177"/>
      <c r="M2" s="177"/>
      <c r="N2" s="177"/>
      <c r="O2" s="177"/>
      <c r="P2" s="177"/>
      <c r="Q2" s="177"/>
      <c r="R2" s="177"/>
      <c r="CA2" s="3"/>
      <c r="CB2" s="3"/>
      <c r="CC2" s="3"/>
      <c r="CD2" s="3"/>
      <c r="CE2" s="3"/>
      <c r="CF2" s="3"/>
      <c r="CG2" s="3"/>
      <c r="CH2" s="3"/>
      <c r="CI2" s="3"/>
      <c r="CJ2" s="3"/>
      <c r="CK2" s="3"/>
      <c r="CL2" s="3"/>
      <c r="CM2" s="3"/>
      <c r="CN2" s="3"/>
    </row>
    <row r="3" spans="1:92" ht="24" customHeight="1" x14ac:dyDescent="0.3">
      <c r="A3" s="184" t="s">
        <v>5</v>
      </c>
      <c r="B3" s="177"/>
      <c r="C3" s="177"/>
      <c r="D3" s="177"/>
      <c r="E3" s="177"/>
      <c r="F3" s="177"/>
      <c r="G3" s="177"/>
      <c r="H3" s="177"/>
      <c r="I3" s="177"/>
      <c r="J3" s="177"/>
      <c r="K3" s="177"/>
      <c r="L3" s="177"/>
      <c r="M3" s="177"/>
      <c r="N3" s="177"/>
      <c r="O3" s="177"/>
      <c r="P3" s="177"/>
      <c r="Q3" s="177"/>
      <c r="R3" s="177"/>
      <c r="CA3" s="3"/>
      <c r="CB3" s="3"/>
      <c r="CC3" s="3"/>
      <c r="CD3" s="3"/>
      <c r="CE3" s="3"/>
      <c r="CF3" s="3"/>
      <c r="CG3" s="3"/>
      <c r="CH3" s="3"/>
      <c r="CI3" s="3"/>
      <c r="CJ3" s="3"/>
      <c r="CK3" s="3"/>
      <c r="CL3" s="3"/>
      <c r="CM3" s="3"/>
      <c r="CN3" s="3"/>
    </row>
    <row r="4" spans="1:92" ht="22.05" customHeight="1" x14ac:dyDescent="0.3">
      <c r="A4" s="187" t="s">
        <v>6</v>
      </c>
      <c r="B4" s="180"/>
      <c r="C4" s="180"/>
      <c r="D4" s="180"/>
      <c r="E4" s="180"/>
      <c r="F4" s="181"/>
      <c r="G4" s="4">
        <v>45986</v>
      </c>
      <c r="H4" s="179" t="s">
        <v>7</v>
      </c>
      <c r="I4" s="180"/>
      <c r="J4" s="180"/>
      <c r="K4" s="180"/>
      <c r="L4" s="180"/>
      <c r="M4" s="180"/>
      <c r="N4" s="180"/>
      <c r="O4" s="180"/>
      <c r="P4" s="180"/>
      <c r="Q4" s="180"/>
      <c r="R4" s="18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27</v>
      </c>
      <c r="C6" s="9">
        <v>0.12847222222222221</v>
      </c>
      <c r="D6" s="8" t="s">
        <v>28</v>
      </c>
      <c r="E6" s="8" t="s">
        <v>29</v>
      </c>
      <c r="F6" s="8" t="s">
        <v>30</v>
      </c>
      <c r="G6" s="193"/>
      <c r="H6" s="10"/>
      <c r="I6" s="11"/>
      <c r="J6" s="11"/>
      <c r="K6" s="11"/>
      <c r="L6" s="11"/>
      <c r="M6" s="11"/>
      <c r="N6" s="11"/>
      <c r="O6" s="12"/>
      <c r="P6" s="11"/>
      <c r="Q6" s="13"/>
      <c r="R6" s="14"/>
    </row>
    <row r="7" spans="1:92" ht="15" customHeight="1" x14ac:dyDescent="0.3">
      <c r="A7" s="15" t="s">
        <v>26</v>
      </c>
      <c r="B7" s="15" t="s">
        <v>27</v>
      </c>
      <c r="C7" s="16">
        <v>0.12847222222222221</v>
      </c>
      <c r="D7" s="15" t="s">
        <v>31</v>
      </c>
      <c r="E7" s="15" t="s">
        <v>32</v>
      </c>
      <c r="F7" s="15" t="s">
        <v>33</v>
      </c>
      <c r="G7" s="190"/>
      <c r="H7" s="10"/>
      <c r="I7" s="11"/>
      <c r="J7" s="11"/>
      <c r="K7" s="11"/>
      <c r="L7" s="11"/>
      <c r="M7" s="11"/>
      <c r="N7" s="11"/>
      <c r="O7" s="12"/>
      <c r="P7" s="11"/>
      <c r="Q7" s="13"/>
      <c r="R7" s="14"/>
    </row>
    <row r="8" spans="1:92" ht="15" customHeight="1" x14ac:dyDescent="0.3">
      <c r="A8" s="15" t="s">
        <v>26</v>
      </c>
      <c r="B8" s="15" t="s">
        <v>27</v>
      </c>
      <c r="C8" s="16">
        <v>0.12847222222222221</v>
      </c>
      <c r="D8" s="15" t="s">
        <v>34</v>
      </c>
      <c r="E8" s="15" t="s">
        <v>32</v>
      </c>
      <c r="F8" s="15" t="s">
        <v>35</v>
      </c>
      <c r="G8" s="190"/>
      <c r="H8" s="10"/>
      <c r="I8" s="11"/>
      <c r="J8" s="11"/>
      <c r="K8" s="11"/>
      <c r="L8" s="11"/>
      <c r="M8" s="11"/>
      <c r="N8" s="11"/>
      <c r="O8" s="12"/>
      <c r="P8" s="11"/>
      <c r="Q8" s="13"/>
      <c r="R8" s="14"/>
    </row>
    <row r="9" spans="1:92" ht="15" customHeight="1" x14ac:dyDescent="0.3">
      <c r="A9" s="17" t="s">
        <v>26</v>
      </c>
      <c r="B9" s="17" t="s">
        <v>36</v>
      </c>
      <c r="C9" s="18">
        <v>0.30208333333333331</v>
      </c>
      <c r="D9" s="17" t="s">
        <v>28</v>
      </c>
      <c r="E9" s="17" t="s">
        <v>37</v>
      </c>
      <c r="F9" s="17" t="s">
        <v>38</v>
      </c>
      <c r="G9" s="190"/>
      <c r="H9" s="10"/>
      <c r="I9" s="11"/>
      <c r="J9" s="11"/>
      <c r="K9" s="11"/>
      <c r="L9" s="11"/>
      <c r="M9" s="11"/>
      <c r="N9" s="11"/>
      <c r="O9" s="12"/>
      <c r="P9" s="11"/>
      <c r="Q9" s="13"/>
      <c r="R9" s="14"/>
    </row>
    <row r="10" spans="1:92" ht="15" customHeight="1" x14ac:dyDescent="0.3">
      <c r="A10" s="15" t="s">
        <v>26</v>
      </c>
      <c r="B10" s="15" t="s">
        <v>36</v>
      </c>
      <c r="C10" s="16">
        <v>0.30208333333333331</v>
      </c>
      <c r="D10" s="15" t="s">
        <v>31</v>
      </c>
      <c r="E10" s="15" t="s">
        <v>39</v>
      </c>
      <c r="F10" s="15" t="s">
        <v>40</v>
      </c>
      <c r="G10" s="190"/>
      <c r="H10" s="10"/>
      <c r="I10" s="11"/>
      <c r="J10" s="11"/>
      <c r="K10" s="11"/>
      <c r="L10" s="11"/>
      <c r="M10" s="11"/>
      <c r="N10" s="11"/>
      <c r="O10" s="12"/>
      <c r="P10" s="11"/>
      <c r="Q10" s="13"/>
      <c r="R10" s="14"/>
    </row>
    <row r="11" spans="1:92" ht="15" customHeight="1" x14ac:dyDescent="0.3">
      <c r="A11" s="15" t="s">
        <v>26</v>
      </c>
      <c r="B11" s="15" t="s">
        <v>36</v>
      </c>
      <c r="C11" s="16">
        <v>0.30208333333333331</v>
      </c>
      <c r="D11" s="15" t="s">
        <v>34</v>
      </c>
      <c r="E11" s="15" t="s">
        <v>39</v>
      </c>
      <c r="F11" s="15" t="s">
        <v>35</v>
      </c>
      <c r="G11" s="190"/>
      <c r="H11" s="10"/>
      <c r="I11" s="11"/>
      <c r="J11" s="11"/>
      <c r="K11" s="11"/>
      <c r="L11" s="11"/>
      <c r="M11" s="11"/>
      <c r="N11" s="11"/>
      <c r="O11" s="12"/>
      <c r="P11" s="11"/>
      <c r="Q11" s="13"/>
      <c r="R11" s="14"/>
    </row>
    <row r="12" spans="1:92" ht="15" customHeight="1" x14ac:dyDescent="0.3">
      <c r="A12" s="17" t="s">
        <v>26</v>
      </c>
      <c r="B12" s="17" t="s">
        <v>41</v>
      </c>
      <c r="C12" s="18">
        <v>0.78819444444444453</v>
      </c>
      <c r="D12" s="17" t="s">
        <v>28</v>
      </c>
      <c r="E12" s="17" t="s">
        <v>42</v>
      </c>
      <c r="F12" s="17" t="s">
        <v>38</v>
      </c>
      <c r="G12" s="190"/>
      <c r="H12" s="10"/>
      <c r="I12" s="11"/>
      <c r="J12" s="11"/>
      <c r="K12" s="11"/>
      <c r="L12" s="11"/>
      <c r="M12" s="11"/>
      <c r="N12" s="11"/>
      <c r="O12" s="12"/>
      <c r="P12" s="11"/>
      <c r="Q12" s="13"/>
      <c r="R12" s="14"/>
    </row>
    <row r="13" spans="1:92" ht="15" customHeight="1" x14ac:dyDescent="0.3">
      <c r="A13" s="15" t="s">
        <v>26</v>
      </c>
      <c r="B13" s="15" t="s">
        <v>41</v>
      </c>
      <c r="C13" s="16">
        <v>0.78819444444444453</v>
      </c>
      <c r="D13" s="15" t="s">
        <v>31</v>
      </c>
      <c r="E13" s="15" t="s">
        <v>43</v>
      </c>
      <c r="F13" s="15" t="s">
        <v>40</v>
      </c>
      <c r="G13" s="190"/>
      <c r="H13" s="10"/>
      <c r="I13" s="11"/>
      <c r="J13" s="11"/>
      <c r="K13" s="11"/>
      <c r="L13" s="11"/>
      <c r="M13" s="11"/>
      <c r="N13" s="11"/>
      <c r="O13" s="12"/>
      <c r="P13" s="11"/>
      <c r="Q13" s="13"/>
      <c r="R13" s="14"/>
    </row>
    <row r="14" spans="1:92" ht="15" customHeight="1" x14ac:dyDescent="0.3">
      <c r="A14" s="15" t="s">
        <v>26</v>
      </c>
      <c r="B14" s="15" t="s">
        <v>41</v>
      </c>
      <c r="C14" s="16">
        <v>0.78819444444444453</v>
      </c>
      <c r="D14" s="15" t="s">
        <v>34</v>
      </c>
      <c r="E14" s="15" t="s">
        <v>43</v>
      </c>
      <c r="F14" s="15" t="s">
        <v>35</v>
      </c>
      <c r="G14" s="190"/>
      <c r="H14" s="10"/>
      <c r="I14" s="11"/>
      <c r="J14" s="11"/>
      <c r="K14" s="11"/>
      <c r="L14" s="11"/>
      <c r="M14" s="11"/>
      <c r="N14" s="11"/>
      <c r="O14" s="12"/>
      <c r="P14" s="11"/>
      <c r="Q14" s="13"/>
      <c r="R14" s="14"/>
    </row>
    <row r="15" spans="1:92" ht="15" customHeight="1" x14ac:dyDescent="0.3">
      <c r="A15" s="17" t="s">
        <v>26</v>
      </c>
      <c r="B15" s="17" t="s">
        <v>44</v>
      </c>
      <c r="C15" s="18">
        <v>0.88888888888888884</v>
      </c>
      <c r="D15" s="17" t="s">
        <v>28</v>
      </c>
      <c r="E15" s="17" t="s">
        <v>45</v>
      </c>
      <c r="F15" s="17" t="s">
        <v>46</v>
      </c>
      <c r="G15" s="190"/>
      <c r="H15" s="10"/>
      <c r="I15" s="11"/>
      <c r="J15" s="11"/>
      <c r="K15" s="11"/>
      <c r="L15" s="11"/>
      <c r="M15" s="11"/>
      <c r="N15" s="11"/>
      <c r="O15" s="12"/>
      <c r="P15" s="11"/>
      <c r="Q15" s="13"/>
      <c r="R15" s="14"/>
    </row>
    <row r="16" spans="1:92" ht="15" customHeight="1" x14ac:dyDescent="0.3">
      <c r="A16" s="15" t="s">
        <v>26</v>
      </c>
      <c r="B16" s="15" t="s">
        <v>44</v>
      </c>
      <c r="C16" s="16">
        <v>0.88888888888888884</v>
      </c>
      <c r="D16" s="15" t="s">
        <v>31</v>
      </c>
      <c r="E16" s="15" t="s">
        <v>47</v>
      </c>
      <c r="F16" s="15" t="s">
        <v>48</v>
      </c>
      <c r="G16" s="190"/>
      <c r="H16" s="10"/>
      <c r="I16" s="11"/>
      <c r="J16" s="11"/>
      <c r="K16" s="11"/>
      <c r="L16" s="11"/>
      <c r="M16" s="11"/>
      <c r="N16" s="11"/>
      <c r="O16" s="12"/>
      <c r="P16" s="11"/>
      <c r="Q16" s="13"/>
      <c r="R16" s="14"/>
    </row>
    <row r="17" spans="1:18" ht="15" customHeight="1" x14ac:dyDescent="0.3">
      <c r="A17" s="15" t="s">
        <v>26</v>
      </c>
      <c r="B17" s="15" t="s">
        <v>44</v>
      </c>
      <c r="C17" s="16">
        <v>0.88888888888888884</v>
      </c>
      <c r="D17" s="15" t="s">
        <v>34</v>
      </c>
      <c r="E17" s="15" t="s">
        <v>47</v>
      </c>
      <c r="F17" s="15" t="s">
        <v>35</v>
      </c>
      <c r="G17" s="190"/>
      <c r="H17" s="10"/>
      <c r="I17" s="11"/>
      <c r="J17" s="11"/>
      <c r="K17" s="11"/>
      <c r="L17" s="11"/>
      <c r="M17" s="11"/>
      <c r="N17" s="11"/>
      <c r="O17" s="12"/>
      <c r="P17" s="11"/>
      <c r="Q17" s="13"/>
      <c r="R17" s="14"/>
    </row>
    <row r="18" spans="1:18" ht="15" customHeight="1" x14ac:dyDescent="0.3">
      <c r="A18" s="19" t="s">
        <v>49</v>
      </c>
      <c r="B18" s="19" t="s">
        <v>50</v>
      </c>
      <c r="C18" s="20">
        <v>0.90277777777777779</v>
      </c>
      <c r="D18" s="19" t="s">
        <v>51</v>
      </c>
      <c r="E18" s="19" t="s">
        <v>52</v>
      </c>
      <c r="F18" s="19" t="s">
        <v>53</v>
      </c>
      <c r="G18" s="190"/>
      <c r="H18" s="10"/>
      <c r="I18" s="11"/>
      <c r="J18" s="11"/>
      <c r="K18" s="11"/>
      <c r="L18" s="11"/>
      <c r="M18" s="11"/>
      <c r="N18" s="11"/>
      <c r="O18" s="12"/>
      <c r="P18" s="11"/>
      <c r="Q18" s="13"/>
      <c r="R18" s="14"/>
    </row>
    <row r="19" spans="1:18" ht="15" customHeight="1" x14ac:dyDescent="0.3">
      <c r="A19" s="15" t="s">
        <v>49</v>
      </c>
      <c r="B19" s="15" t="s">
        <v>50</v>
      </c>
      <c r="C19" s="16">
        <v>0.90277777777777779</v>
      </c>
      <c r="D19" s="15" t="s">
        <v>54</v>
      </c>
      <c r="E19" s="15" t="s">
        <v>39</v>
      </c>
      <c r="F19" s="15" t="s">
        <v>55</v>
      </c>
      <c r="G19" s="190"/>
      <c r="H19" s="10"/>
      <c r="I19" s="11"/>
      <c r="J19" s="11"/>
      <c r="K19" s="11"/>
      <c r="L19" s="11"/>
      <c r="M19" s="11"/>
      <c r="N19" s="11"/>
      <c r="O19" s="12"/>
      <c r="P19" s="11"/>
      <c r="Q19" s="13"/>
      <c r="R19" s="14"/>
    </row>
    <row r="20" spans="1:18" ht="15" customHeight="1" x14ac:dyDescent="0.3">
      <c r="A20" s="15" t="s">
        <v>49</v>
      </c>
      <c r="B20" s="15" t="s">
        <v>50</v>
      </c>
      <c r="C20" s="16">
        <v>0.90277777777777779</v>
      </c>
      <c r="D20" s="15" t="s">
        <v>56</v>
      </c>
      <c r="E20" s="15" t="s">
        <v>39</v>
      </c>
      <c r="F20" s="15" t="s">
        <v>57</v>
      </c>
      <c r="G20" s="190"/>
      <c r="H20" s="10"/>
      <c r="I20" s="11"/>
      <c r="J20" s="11"/>
      <c r="K20" s="11"/>
      <c r="L20" s="11"/>
      <c r="M20" s="11"/>
      <c r="N20" s="11"/>
      <c r="O20" s="12"/>
      <c r="P20" s="11"/>
      <c r="Q20" s="13"/>
      <c r="R20" s="14"/>
    </row>
    <row r="21" spans="1:18" ht="15" customHeight="1" x14ac:dyDescent="0.3">
      <c r="A21" s="17" t="s">
        <v>49</v>
      </c>
      <c r="B21" s="17" t="s">
        <v>58</v>
      </c>
      <c r="C21" s="18">
        <v>0.64583333333333337</v>
      </c>
      <c r="D21" s="17" t="s">
        <v>51</v>
      </c>
      <c r="E21" s="17" t="s">
        <v>59</v>
      </c>
      <c r="F21" s="17" t="s">
        <v>53</v>
      </c>
      <c r="G21" s="190"/>
      <c r="H21" s="10"/>
      <c r="I21" s="11"/>
      <c r="J21" s="11"/>
      <c r="K21" s="11"/>
      <c r="L21" s="11"/>
      <c r="M21" s="11"/>
      <c r="N21" s="11"/>
      <c r="O21" s="12"/>
      <c r="P21" s="11"/>
      <c r="Q21" s="13"/>
      <c r="R21" s="14"/>
    </row>
    <row r="22" spans="1:18" ht="15" customHeight="1" x14ac:dyDescent="0.3">
      <c r="A22" s="15" t="s">
        <v>49</v>
      </c>
      <c r="B22" s="15" t="s">
        <v>58</v>
      </c>
      <c r="C22" s="16">
        <v>0.64583333333333337</v>
      </c>
      <c r="D22" s="15" t="s">
        <v>54</v>
      </c>
      <c r="E22" s="15" t="s">
        <v>60</v>
      </c>
      <c r="F22" s="15" t="s">
        <v>55</v>
      </c>
      <c r="G22" s="190"/>
      <c r="H22" s="10"/>
      <c r="I22" s="11"/>
      <c r="J22" s="11"/>
      <c r="K22" s="11"/>
      <c r="L22" s="11"/>
      <c r="M22" s="11"/>
      <c r="N22" s="11"/>
      <c r="O22" s="12"/>
      <c r="P22" s="11"/>
      <c r="Q22" s="13"/>
      <c r="R22" s="14"/>
    </row>
    <row r="23" spans="1:18" ht="15" customHeight="1" x14ac:dyDescent="0.3">
      <c r="A23" s="15" t="s">
        <v>49</v>
      </c>
      <c r="B23" s="15" t="s">
        <v>58</v>
      </c>
      <c r="C23" s="16">
        <v>0.64583333333333337</v>
      </c>
      <c r="D23" s="15" t="s">
        <v>56</v>
      </c>
      <c r="E23" s="15" t="s">
        <v>60</v>
      </c>
      <c r="F23" s="15" t="s">
        <v>57</v>
      </c>
      <c r="G23" s="190"/>
      <c r="H23" s="10"/>
      <c r="I23" s="11"/>
      <c r="J23" s="11"/>
      <c r="K23" s="11"/>
      <c r="L23" s="11"/>
      <c r="M23" s="11"/>
      <c r="N23" s="11"/>
      <c r="O23" s="12"/>
      <c r="P23" s="11"/>
      <c r="Q23" s="13"/>
      <c r="R23" s="14"/>
    </row>
    <row r="24" spans="1:18" ht="15" customHeight="1" x14ac:dyDescent="0.3">
      <c r="A24" s="17" t="s">
        <v>49</v>
      </c>
      <c r="B24" s="17" t="s">
        <v>61</v>
      </c>
      <c r="C24" s="18">
        <v>0.51736111111111105</v>
      </c>
      <c r="D24" s="17" t="s">
        <v>51</v>
      </c>
      <c r="E24" s="17" t="s">
        <v>62</v>
      </c>
      <c r="F24" s="17" t="s">
        <v>53</v>
      </c>
      <c r="G24" s="190"/>
      <c r="H24" s="10"/>
      <c r="I24" s="11"/>
      <c r="J24" s="11"/>
      <c r="K24" s="11"/>
      <c r="L24" s="11"/>
      <c r="M24" s="11"/>
      <c r="N24" s="11"/>
      <c r="O24" s="12"/>
      <c r="P24" s="11"/>
      <c r="Q24" s="13"/>
      <c r="R24" s="14"/>
    </row>
    <row r="25" spans="1:18" ht="15" customHeight="1" x14ac:dyDescent="0.3">
      <c r="A25" s="15" t="s">
        <v>49</v>
      </c>
      <c r="B25" s="15" t="s">
        <v>61</v>
      </c>
      <c r="C25" s="16">
        <v>0.51736111111111105</v>
      </c>
      <c r="D25" s="15" t="s">
        <v>54</v>
      </c>
      <c r="E25" s="15" t="s">
        <v>32</v>
      </c>
      <c r="F25" s="15" t="s">
        <v>55</v>
      </c>
      <c r="G25" s="190"/>
      <c r="H25" s="10"/>
      <c r="I25" s="11"/>
      <c r="J25" s="11"/>
      <c r="K25" s="11"/>
      <c r="L25" s="11"/>
      <c r="M25" s="11"/>
      <c r="N25" s="11"/>
      <c r="O25" s="12"/>
      <c r="P25" s="11"/>
      <c r="Q25" s="13"/>
      <c r="R25" s="14"/>
    </row>
    <row r="26" spans="1:18" ht="15" customHeight="1" x14ac:dyDescent="0.3">
      <c r="A26" s="15" t="s">
        <v>49</v>
      </c>
      <c r="B26" s="15" t="s">
        <v>61</v>
      </c>
      <c r="C26" s="16">
        <v>0.51736111111111105</v>
      </c>
      <c r="D26" s="15" t="s">
        <v>56</v>
      </c>
      <c r="E26" s="15" t="s">
        <v>32</v>
      </c>
      <c r="F26" s="15" t="s">
        <v>57</v>
      </c>
      <c r="G26" s="190"/>
      <c r="H26" s="10"/>
      <c r="I26" s="11"/>
      <c r="J26" s="11"/>
      <c r="K26" s="11"/>
      <c r="L26" s="11"/>
      <c r="M26" s="11"/>
      <c r="N26" s="11"/>
      <c r="O26" s="12"/>
      <c r="P26" s="11"/>
      <c r="Q26" s="13"/>
      <c r="R26" s="14"/>
    </row>
    <row r="27" spans="1:18" ht="15" customHeight="1" x14ac:dyDescent="0.3">
      <c r="A27" s="17" t="s">
        <v>49</v>
      </c>
      <c r="B27" s="17" t="s">
        <v>63</v>
      </c>
      <c r="C27" s="18">
        <v>0.85416666666666663</v>
      </c>
      <c r="D27" s="17" t="s">
        <v>51</v>
      </c>
      <c r="E27" s="17" t="s">
        <v>64</v>
      </c>
      <c r="F27" s="17" t="s">
        <v>53</v>
      </c>
      <c r="G27" s="190"/>
      <c r="H27" s="10"/>
      <c r="I27" s="11"/>
      <c r="J27" s="11"/>
      <c r="K27" s="11"/>
      <c r="L27" s="11"/>
      <c r="M27" s="11"/>
      <c r="N27" s="11"/>
      <c r="O27" s="12"/>
      <c r="P27" s="11"/>
      <c r="Q27" s="13"/>
      <c r="R27" s="14"/>
    </row>
    <row r="28" spans="1:18" ht="15" customHeight="1" x14ac:dyDescent="0.3">
      <c r="A28" s="15" t="s">
        <v>49</v>
      </c>
      <c r="B28" s="15" t="s">
        <v>63</v>
      </c>
      <c r="C28" s="16">
        <v>0.85416666666666663</v>
      </c>
      <c r="D28" s="15" t="s">
        <v>54</v>
      </c>
      <c r="E28" s="15" t="s">
        <v>65</v>
      </c>
      <c r="F28" s="15" t="s">
        <v>55</v>
      </c>
      <c r="G28" s="190"/>
      <c r="H28" s="10"/>
      <c r="I28" s="11"/>
      <c r="J28" s="11"/>
      <c r="K28" s="11"/>
      <c r="L28" s="11"/>
      <c r="M28" s="11"/>
      <c r="N28" s="11"/>
      <c r="O28" s="12"/>
      <c r="P28" s="11"/>
      <c r="Q28" s="13"/>
      <c r="R28" s="14"/>
    </row>
    <row r="29" spans="1:18" ht="15" customHeight="1" x14ac:dyDescent="0.3">
      <c r="A29" s="15" t="s">
        <v>49</v>
      </c>
      <c r="B29" s="15" t="s">
        <v>63</v>
      </c>
      <c r="C29" s="16">
        <v>0.85416666666666663</v>
      </c>
      <c r="D29" s="15" t="s">
        <v>56</v>
      </c>
      <c r="E29" s="15" t="s">
        <v>65</v>
      </c>
      <c r="F29" s="15" t="s">
        <v>57</v>
      </c>
      <c r="G29" s="190"/>
      <c r="H29" s="10"/>
      <c r="I29" s="11"/>
      <c r="J29" s="11"/>
      <c r="K29" s="11"/>
      <c r="L29" s="11"/>
      <c r="M29" s="11"/>
      <c r="N29" s="11"/>
      <c r="O29" s="12"/>
      <c r="P29" s="11"/>
      <c r="Q29" s="13"/>
      <c r="R29" s="14"/>
    </row>
    <row r="30" spans="1:18" ht="15" customHeight="1" x14ac:dyDescent="0.3">
      <c r="A30" s="17" t="s">
        <v>49</v>
      </c>
      <c r="B30" s="17" t="s">
        <v>66</v>
      </c>
      <c r="C30" s="18">
        <v>0.79861111111111116</v>
      </c>
      <c r="D30" s="17" t="s">
        <v>51</v>
      </c>
      <c r="E30" s="17" t="s">
        <v>67</v>
      </c>
      <c r="F30" s="17" t="s">
        <v>53</v>
      </c>
      <c r="G30" s="190"/>
      <c r="H30" s="10"/>
      <c r="I30" s="11"/>
      <c r="J30" s="11"/>
      <c r="K30" s="11"/>
      <c r="L30" s="11"/>
      <c r="M30" s="11"/>
      <c r="N30" s="11"/>
      <c r="O30" s="12"/>
      <c r="P30" s="11"/>
      <c r="Q30" s="13"/>
      <c r="R30" s="14"/>
    </row>
    <row r="31" spans="1:18" ht="15" customHeight="1" x14ac:dyDescent="0.3">
      <c r="A31" s="15" t="s">
        <v>49</v>
      </c>
      <c r="B31" s="15" t="s">
        <v>66</v>
      </c>
      <c r="C31" s="16">
        <v>0.79861111111111116</v>
      </c>
      <c r="D31" s="15" t="s">
        <v>54</v>
      </c>
      <c r="E31" s="15" t="s">
        <v>68</v>
      </c>
      <c r="F31" s="15" t="s">
        <v>55</v>
      </c>
      <c r="G31" s="190"/>
      <c r="H31" s="10"/>
      <c r="I31" s="11"/>
      <c r="J31" s="11"/>
      <c r="K31" s="11"/>
      <c r="L31" s="11"/>
      <c r="M31" s="11"/>
      <c r="N31" s="11"/>
      <c r="O31" s="12"/>
      <c r="P31" s="11"/>
      <c r="Q31" s="13"/>
      <c r="R31" s="14"/>
    </row>
    <row r="32" spans="1:18" ht="15" customHeight="1" x14ac:dyDescent="0.3">
      <c r="A32" s="15" t="s">
        <v>49</v>
      </c>
      <c r="B32" s="15" t="s">
        <v>66</v>
      </c>
      <c r="C32" s="16">
        <v>0.79861111111111116</v>
      </c>
      <c r="D32" s="15" t="s">
        <v>56</v>
      </c>
      <c r="E32" s="15" t="s">
        <v>68</v>
      </c>
      <c r="F32" s="15" t="s">
        <v>57</v>
      </c>
      <c r="G32" s="190"/>
      <c r="H32" s="10"/>
      <c r="I32" s="11"/>
      <c r="J32" s="11"/>
      <c r="K32" s="11"/>
      <c r="L32" s="11"/>
      <c r="M32" s="11"/>
      <c r="N32" s="11"/>
      <c r="O32" s="12"/>
      <c r="P32" s="11"/>
      <c r="Q32" s="13"/>
      <c r="R32" s="14"/>
    </row>
    <row r="33" spans="1:18" ht="15" customHeight="1" x14ac:dyDescent="0.3">
      <c r="A33" s="17" t="s">
        <v>49</v>
      </c>
      <c r="B33" s="17" t="s">
        <v>69</v>
      </c>
      <c r="C33" s="18">
        <v>0.25694444444444448</v>
      </c>
      <c r="D33" s="17" t="s">
        <v>51</v>
      </c>
      <c r="E33" s="17" t="s">
        <v>70</v>
      </c>
      <c r="F33" s="17" t="s">
        <v>71</v>
      </c>
      <c r="G33" s="190"/>
      <c r="H33" s="10"/>
      <c r="I33" s="11"/>
      <c r="J33" s="11"/>
      <c r="K33" s="11"/>
      <c r="L33" s="11"/>
      <c r="M33" s="11"/>
      <c r="N33" s="11"/>
      <c r="O33" s="12"/>
      <c r="P33" s="11"/>
      <c r="Q33" s="13"/>
      <c r="R33" s="14"/>
    </row>
    <row r="34" spans="1:18" ht="15" customHeight="1" x14ac:dyDescent="0.3">
      <c r="A34" s="15" t="s">
        <v>49</v>
      </c>
      <c r="B34" s="15" t="s">
        <v>69</v>
      </c>
      <c r="C34" s="16">
        <v>0.25694444444444448</v>
      </c>
      <c r="D34" s="15" t="s">
        <v>54</v>
      </c>
      <c r="E34" s="15" t="s">
        <v>72</v>
      </c>
      <c r="F34" s="15" t="s">
        <v>73</v>
      </c>
      <c r="G34" s="190"/>
      <c r="H34" s="10"/>
      <c r="I34" s="11"/>
      <c r="J34" s="11"/>
      <c r="K34" s="11"/>
      <c r="L34" s="11"/>
      <c r="M34" s="11"/>
      <c r="N34" s="11"/>
      <c r="O34" s="12"/>
      <c r="P34" s="11"/>
      <c r="Q34" s="13"/>
      <c r="R34" s="14"/>
    </row>
    <row r="35" spans="1:18" ht="15" customHeight="1" x14ac:dyDescent="0.3">
      <c r="A35" s="15" t="s">
        <v>49</v>
      </c>
      <c r="B35" s="15" t="s">
        <v>69</v>
      </c>
      <c r="C35" s="16">
        <v>0.25694444444444448</v>
      </c>
      <c r="D35" s="15" t="s">
        <v>56</v>
      </c>
      <c r="E35" s="15" t="s">
        <v>72</v>
      </c>
      <c r="F35" s="15" t="s">
        <v>74</v>
      </c>
      <c r="G35" s="190"/>
      <c r="H35" s="10"/>
      <c r="I35" s="11"/>
      <c r="J35" s="11"/>
      <c r="K35" s="11"/>
      <c r="L35" s="11"/>
      <c r="M35" s="11"/>
      <c r="N35" s="11"/>
      <c r="O35" s="12"/>
      <c r="P35" s="11"/>
      <c r="Q35" s="13"/>
      <c r="R35" s="14"/>
    </row>
    <row r="36" spans="1:18" ht="15" customHeight="1" x14ac:dyDescent="0.3">
      <c r="A36" s="17" t="s">
        <v>49</v>
      </c>
      <c r="B36" s="17" t="s">
        <v>75</v>
      </c>
      <c r="C36" s="18">
        <v>0.39583333333333331</v>
      </c>
      <c r="D36" s="17" t="s">
        <v>51</v>
      </c>
      <c r="E36" s="17" t="s">
        <v>59</v>
      </c>
      <c r="F36" s="17" t="s">
        <v>71</v>
      </c>
      <c r="G36" s="190"/>
      <c r="H36" s="10"/>
      <c r="I36" s="11"/>
      <c r="J36" s="11"/>
      <c r="K36" s="11"/>
      <c r="L36" s="11"/>
      <c r="M36" s="11"/>
      <c r="N36" s="11"/>
      <c r="O36" s="12"/>
      <c r="P36" s="11"/>
      <c r="Q36" s="13"/>
      <c r="R36" s="14"/>
    </row>
    <row r="37" spans="1:18" ht="15" customHeight="1" x14ac:dyDescent="0.3">
      <c r="A37" s="15" t="s">
        <v>49</v>
      </c>
      <c r="B37" s="15" t="s">
        <v>75</v>
      </c>
      <c r="C37" s="16">
        <v>0.39583333333333331</v>
      </c>
      <c r="D37" s="15" t="s">
        <v>54</v>
      </c>
      <c r="E37" s="15" t="s">
        <v>60</v>
      </c>
      <c r="F37" s="15" t="s">
        <v>73</v>
      </c>
      <c r="G37" s="190"/>
      <c r="H37" s="10"/>
      <c r="I37" s="11"/>
      <c r="J37" s="11"/>
      <c r="K37" s="11"/>
      <c r="L37" s="11"/>
      <c r="M37" s="11"/>
      <c r="N37" s="11"/>
      <c r="O37" s="12"/>
      <c r="P37" s="11"/>
      <c r="Q37" s="13"/>
      <c r="R37" s="14"/>
    </row>
    <row r="38" spans="1:18" ht="15" customHeight="1" x14ac:dyDescent="0.3">
      <c r="A38" s="15" t="s">
        <v>49</v>
      </c>
      <c r="B38" s="15" t="s">
        <v>75</v>
      </c>
      <c r="C38" s="16">
        <v>0.39583333333333331</v>
      </c>
      <c r="D38" s="15" t="s">
        <v>56</v>
      </c>
      <c r="E38" s="15" t="s">
        <v>60</v>
      </c>
      <c r="F38" s="15" t="s">
        <v>74</v>
      </c>
      <c r="G38" s="190"/>
      <c r="H38" s="10"/>
      <c r="I38" s="11"/>
      <c r="J38" s="11"/>
      <c r="K38" s="11"/>
      <c r="L38" s="11"/>
      <c r="M38" s="11"/>
      <c r="N38" s="11"/>
      <c r="O38" s="12"/>
      <c r="P38" s="11"/>
      <c r="Q38" s="13"/>
      <c r="R38" s="14"/>
    </row>
    <row r="39" spans="1:18" ht="15" customHeight="1" x14ac:dyDescent="0.3">
      <c r="A39" s="17" t="s">
        <v>49</v>
      </c>
      <c r="B39" s="17" t="s">
        <v>76</v>
      </c>
      <c r="C39" s="18">
        <v>0.30208333333333331</v>
      </c>
      <c r="D39" s="17" t="s">
        <v>51</v>
      </c>
      <c r="E39" s="17" t="s">
        <v>70</v>
      </c>
      <c r="F39" s="17" t="s">
        <v>71</v>
      </c>
      <c r="G39" s="190"/>
      <c r="H39" s="10"/>
      <c r="I39" s="11"/>
      <c r="J39" s="11"/>
      <c r="K39" s="11"/>
      <c r="L39" s="11"/>
      <c r="M39" s="11"/>
      <c r="N39" s="11"/>
      <c r="O39" s="12"/>
      <c r="P39" s="11"/>
      <c r="Q39" s="13"/>
      <c r="R39" s="14"/>
    </row>
    <row r="40" spans="1:18" ht="15" customHeight="1" x14ac:dyDescent="0.3">
      <c r="A40" s="15" t="s">
        <v>49</v>
      </c>
      <c r="B40" s="15" t="s">
        <v>76</v>
      </c>
      <c r="C40" s="16">
        <v>0.30208333333333331</v>
      </c>
      <c r="D40" s="15" t="s">
        <v>54</v>
      </c>
      <c r="E40" s="15" t="s">
        <v>72</v>
      </c>
      <c r="F40" s="15" t="s">
        <v>73</v>
      </c>
      <c r="G40" s="190"/>
      <c r="H40" s="10"/>
      <c r="I40" s="11"/>
      <c r="J40" s="11"/>
      <c r="K40" s="11"/>
      <c r="L40" s="11"/>
      <c r="M40" s="11"/>
      <c r="N40" s="11"/>
      <c r="O40" s="12"/>
      <c r="P40" s="11"/>
      <c r="Q40" s="13"/>
      <c r="R40" s="14"/>
    </row>
    <row r="41" spans="1:18" ht="15" customHeight="1" x14ac:dyDescent="0.3">
      <c r="A41" s="15" t="s">
        <v>49</v>
      </c>
      <c r="B41" s="15" t="s">
        <v>76</v>
      </c>
      <c r="C41" s="16">
        <v>0.30208333333333331</v>
      </c>
      <c r="D41" s="15" t="s">
        <v>56</v>
      </c>
      <c r="E41" s="15" t="s">
        <v>72</v>
      </c>
      <c r="F41" s="15" t="s">
        <v>74</v>
      </c>
      <c r="G41" s="190"/>
      <c r="H41" s="10"/>
      <c r="I41" s="11"/>
      <c r="J41" s="11"/>
      <c r="K41" s="11"/>
      <c r="L41" s="11"/>
      <c r="M41" s="11"/>
      <c r="N41" s="11"/>
      <c r="O41" s="12"/>
      <c r="P41" s="11"/>
      <c r="Q41" s="13"/>
      <c r="R41" s="14"/>
    </row>
    <row r="42" spans="1:18" ht="15" customHeight="1" x14ac:dyDescent="0.3">
      <c r="A42" s="21" t="s">
        <v>77</v>
      </c>
      <c r="B42" s="21" t="s">
        <v>78</v>
      </c>
      <c r="C42" s="22">
        <v>0.22916666666666671</v>
      </c>
      <c r="D42" s="21" t="s">
        <v>79</v>
      </c>
      <c r="E42" s="21" t="s">
        <v>29</v>
      </c>
      <c r="F42" s="21" t="s">
        <v>80</v>
      </c>
      <c r="G42" s="190"/>
      <c r="H42" s="23" t="s">
        <v>81</v>
      </c>
      <c r="I42" s="24">
        <v>0.3352</v>
      </c>
      <c r="J42" s="25">
        <v>60</v>
      </c>
      <c r="K42" s="26">
        <v>45981</v>
      </c>
      <c r="L42" s="25">
        <v>43</v>
      </c>
      <c r="M42" s="25">
        <v>5</v>
      </c>
      <c r="N42" s="25">
        <v>1</v>
      </c>
      <c r="O42" s="27" t="s">
        <v>82</v>
      </c>
      <c r="P42" s="28">
        <v>0.22916666666666671</v>
      </c>
      <c r="Q42" s="25">
        <v>179</v>
      </c>
      <c r="R42" s="29" t="s">
        <v>83</v>
      </c>
    </row>
    <row r="43" spans="1:18" ht="15" customHeight="1" x14ac:dyDescent="0.3">
      <c r="A43" s="30" t="s">
        <v>77</v>
      </c>
      <c r="B43" s="30" t="s">
        <v>84</v>
      </c>
      <c r="C43" s="31">
        <v>0.96875</v>
      </c>
      <c r="D43" s="30" t="s">
        <v>79</v>
      </c>
      <c r="E43" s="30" t="s">
        <v>62</v>
      </c>
      <c r="F43" s="30" t="s">
        <v>80</v>
      </c>
      <c r="G43" s="190"/>
      <c r="H43" s="32" t="s">
        <v>85</v>
      </c>
      <c r="I43" s="33">
        <v>0.55869999999999997</v>
      </c>
      <c r="J43" s="34">
        <v>100</v>
      </c>
      <c r="K43" s="35">
        <v>45980</v>
      </c>
      <c r="L43" s="34">
        <v>31</v>
      </c>
      <c r="M43" s="34">
        <v>0</v>
      </c>
      <c r="N43" s="34">
        <v>7</v>
      </c>
      <c r="O43" s="36" t="s">
        <v>82</v>
      </c>
      <c r="P43" s="37">
        <v>0.96875</v>
      </c>
      <c r="Q43" s="34">
        <v>179</v>
      </c>
      <c r="R43" s="38" t="s">
        <v>86</v>
      </c>
    </row>
    <row r="44" spans="1:18" ht="15" customHeight="1" x14ac:dyDescent="0.3">
      <c r="A44" s="39" t="s">
        <v>77</v>
      </c>
      <c r="B44" s="39" t="s">
        <v>87</v>
      </c>
      <c r="C44" s="40">
        <v>0.93402777777777779</v>
      </c>
      <c r="D44" s="39" t="s">
        <v>79</v>
      </c>
      <c r="E44" s="39" t="s">
        <v>62</v>
      </c>
      <c r="F44" s="39" t="s">
        <v>88</v>
      </c>
      <c r="G44" s="190"/>
      <c r="H44" s="41" t="s">
        <v>89</v>
      </c>
      <c r="I44" s="42">
        <v>0.69269999999999998</v>
      </c>
      <c r="J44" s="43">
        <v>124</v>
      </c>
      <c r="K44" s="44">
        <v>45981</v>
      </c>
      <c r="L44" s="43">
        <v>26</v>
      </c>
      <c r="M44" s="43">
        <v>2</v>
      </c>
      <c r="N44" s="43">
        <v>2</v>
      </c>
      <c r="O44" s="45" t="s">
        <v>90</v>
      </c>
      <c r="P44" s="46">
        <v>0.93402777777777779</v>
      </c>
      <c r="Q44" s="43">
        <v>179</v>
      </c>
      <c r="R44" s="47" t="s">
        <v>91</v>
      </c>
    </row>
    <row r="45" spans="1:18" ht="15" customHeight="1" x14ac:dyDescent="0.3">
      <c r="A45" s="30" t="s">
        <v>77</v>
      </c>
      <c r="B45" s="30" t="s">
        <v>92</v>
      </c>
      <c r="C45" s="31">
        <v>0.61458333333333337</v>
      </c>
      <c r="D45" s="30" t="s">
        <v>79</v>
      </c>
      <c r="E45" s="30" t="s">
        <v>93</v>
      </c>
      <c r="F45" s="30" t="s">
        <v>88</v>
      </c>
      <c r="G45" s="190"/>
      <c r="H45" s="32" t="s">
        <v>94</v>
      </c>
      <c r="I45" s="33">
        <v>0.75980000000000003</v>
      </c>
      <c r="J45" s="34">
        <v>136</v>
      </c>
      <c r="K45" s="35">
        <v>45980</v>
      </c>
      <c r="L45" s="34">
        <v>25</v>
      </c>
      <c r="M45" s="34">
        <v>0</v>
      </c>
      <c r="N45" s="34">
        <v>3</v>
      </c>
      <c r="O45" s="36" t="s">
        <v>95</v>
      </c>
      <c r="P45" s="37">
        <v>0.61458333333333337</v>
      </c>
      <c r="Q45" s="34">
        <v>179</v>
      </c>
      <c r="R45" s="38" t="s">
        <v>96</v>
      </c>
    </row>
    <row r="46" spans="1:18" ht="15" customHeight="1" x14ac:dyDescent="0.3">
      <c r="A46" s="48" t="s">
        <v>77</v>
      </c>
      <c r="B46" s="48" t="s">
        <v>97</v>
      </c>
      <c r="C46" s="49">
        <v>0.55902777777777779</v>
      </c>
      <c r="D46" s="48" t="s">
        <v>98</v>
      </c>
      <c r="E46" s="50"/>
      <c r="F46" s="48" t="s">
        <v>99</v>
      </c>
      <c r="G46" s="190"/>
      <c r="H46" s="51" t="s">
        <v>97</v>
      </c>
      <c r="I46" s="52">
        <v>0.9385</v>
      </c>
      <c r="J46" s="53">
        <v>168</v>
      </c>
      <c r="K46" s="54">
        <v>45979</v>
      </c>
      <c r="L46" s="53">
        <v>27</v>
      </c>
      <c r="M46" s="53">
        <v>0</v>
      </c>
      <c r="N46" s="53">
        <v>0</v>
      </c>
      <c r="O46" s="55" t="s">
        <v>100</v>
      </c>
      <c r="P46" s="56">
        <v>0.55902777777777779</v>
      </c>
      <c r="Q46" s="53">
        <v>179</v>
      </c>
      <c r="R46" s="57" t="s">
        <v>101</v>
      </c>
    </row>
    <row r="47" spans="1:18" ht="15" customHeight="1" x14ac:dyDescent="0.3">
      <c r="A47" s="30" t="s">
        <v>77</v>
      </c>
      <c r="B47" s="30" t="s">
        <v>102</v>
      </c>
      <c r="C47" s="31">
        <v>0.72916666666666663</v>
      </c>
      <c r="D47" s="30" t="s">
        <v>98</v>
      </c>
      <c r="E47" s="58"/>
      <c r="F47" s="30" t="s">
        <v>99</v>
      </c>
      <c r="G47" s="190"/>
      <c r="H47" s="32" t="s">
        <v>102</v>
      </c>
      <c r="I47" s="59">
        <v>0.92179999999999995</v>
      </c>
      <c r="J47" s="34">
        <v>165</v>
      </c>
      <c r="K47" s="35">
        <v>45980</v>
      </c>
      <c r="L47" s="34">
        <v>24</v>
      </c>
      <c r="M47" s="34">
        <v>0</v>
      </c>
      <c r="N47" s="34">
        <v>4</v>
      </c>
      <c r="O47" s="36" t="s">
        <v>100</v>
      </c>
      <c r="P47" s="37">
        <v>0.72916666666666663</v>
      </c>
      <c r="Q47" s="34">
        <v>179</v>
      </c>
      <c r="R47" s="38" t="s">
        <v>103</v>
      </c>
    </row>
    <row r="48" spans="1:18" ht="15" customHeight="1" x14ac:dyDescent="0.3">
      <c r="A48" s="19" t="s">
        <v>104</v>
      </c>
      <c r="B48" s="19" t="s">
        <v>105</v>
      </c>
      <c r="C48" s="20">
        <v>0.22222222222222221</v>
      </c>
      <c r="D48" s="19" t="s">
        <v>106</v>
      </c>
      <c r="E48" s="19" t="s">
        <v>107</v>
      </c>
      <c r="F48" s="19" t="s">
        <v>108</v>
      </c>
      <c r="G48" s="190"/>
      <c r="H48" s="10"/>
      <c r="I48" s="11"/>
      <c r="J48" s="11"/>
      <c r="K48" s="11"/>
      <c r="L48" s="11"/>
      <c r="M48" s="11"/>
      <c r="N48" s="11"/>
      <c r="O48" s="12"/>
      <c r="P48" s="11"/>
      <c r="Q48" s="13"/>
      <c r="R48" s="14"/>
    </row>
    <row r="49" spans="1:18" ht="15" customHeight="1" x14ac:dyDescent="0.3">
      <c r="A49" s="15" t="s">
        <v>104</v>
      </c>
      <c r="B49" s="15" t="s">
        <v>105</v>
      </c>
      <c r="C49" s="16">
        <v>0.22222222222222221</v>
      </c>
      <c r="D49" s="15" t="s">
        <v>34</v>
      </c>
      <c r="E49" s="15" t="s">
        <v>72</v>
      </c>
      <c r="F49" s="15" t="s">
        <v>109</v>
      </c>
      <c r="G49" s="190"/>
      <c r="H49" s="10"/>
      <c r="I49" s="11"/>
      <c r="J49" s="11"/>
      <c r="K49" s="11"/>
      <c r="L49" s="11"/>
      <c r="M49" s="11"/>
      <c r="N49" s="11"/>
      <c r="O49" s="12"/>
      <c r="P49" s="11"/>
      <c r="Q49" s="13"/>
      <c r="R49" s="14"/>
    </row>
    <row r="50" spans="1:18" ht="15" customHeight="1" x14ac:dyDescent="0.3">
      <c r="A50" s="19" t="s">
        <v>110</v>
      </c>
      <c r="B50" s="19" t="s">
        <v>111</v>
      </c>
      <c r="C50" s="20">
        <v>0.27430555555555552</v>
      </c>
      <c r="D50" s="19" t="s">
        <v>112</v>
      </c>
      <c r="E50" s="19" t="s">
        <v>113</v>
      </c>
      <c r="F50" s="19" t="s">
        <v>114</v>
      </c>
      <c r="G50" s="190"/>
      <c r="H50" s="10"/>
      <c r="I50" s="11"/>
      <c r="J50" s="11"/>
      <c r="K50" s="11"/>
      <c r="L50" s="11"/>
      <c r="M50" s="11"/>
      <c r="N50" s="11"/>
      <c r="O50" s="12"/>
      <c r="P50" s="11"/>
      <c r="Q50" s="13"/>
      <c r="R50" s="14"/>
    </row>
    <row r="51" spans="1:18" ht="15" customHeight="1" x14ac:dyDescent="0.3">
      <c r="A51" s="17" t="s">
        <v>110</v>
      </c>
      <c r="B51" s="17" t="s">
        <v>115</v>
      </c>
      <c r="C51" s="18">
        <v>0.73958333333333337</v>
      </c>
      <c r="D51" s="17" t="s">
        <v>112</v>
      </c>
      <c r="E51" s="17" t="s">
        <v>116</v>
      </c>
      <c r="F51" s="17" t="s">
        <v>117</v>
      </c>
      <c r="G51" s="190"/>
      <c r="H51" s="10"/>
      <c r="I51" s="11"/>
      <c r="J51" s="11"/>
      <c r="K51" s="11"/>
      <c r="L51" s="11"/>
      <c r="M51" s="11"/>
      <c r="N51" s="11"/>
      <c r="O51" s="12"/>
      <c r="P51" s="11"/>
      <c r="Q51" s="13"/>
      <c r="R51" s="14"/>
    </row>
    <row r="52" spans="1:18" ht="15" customHeight="1" x14ac:dyDescent="0.3">
      <c r="A52" s="19" t="s">
        <v>118</v>
      </c>
      <c r="B52" s="19" t="s">
        <v>119</v>
      </c>
      <c r="C52" s="20">
        <v>0.66666666666666663</v>
      </c>
      <c r="D52" s="19" t="s">
        <v>112</v>
      </c>
      <c r="E52" s="19" t="s">
        <v>120</v>
      </c>
      <c r="F52" s="19" t="s">
        <v>121</v>
      </c>
      <c r="G52" s="190"/>
      <c r="H52" s="10"/>
      <c r="I52" s="11"/>
      <c r="J52" s="11"/>
      <c r="K52" s="11"/>
      <c r="L52" s="11"/>
      <c r="M52" s="11"/>
      <c r="N52" s="11"/>
      <c r="O52" s="12"/>
      <c r="P52" s="11"/>
      <c r="Q52" s="13"/>
      <c r="R52" s="14"/>
    </row>
    <row r="53" spans="1:18" ht="15" customHeight="1" x14ac:dyDescent="0.3">
      <c r="A53" s="17" t="s">
        <v>118</v>
      </c>
      <c r="B53" s="17" t="s">
        <v>122</v>
      </c>
      <c r="C53" s="18">
        <v>0.36458333333333331</v>
      </c>
      <c r="D53" s="17" t="s">
        <v>112</v>
      </c>
      <c r="E53" s="17" t="s">
        <v>42</v>
      </c>
      <c r="F53" s="17" t="s">
        <v>121</v>
      </c>
      <c r="G53" s="190"/>
      <c r="H53" s="10"/>
      <c r="I53" s="11"/>
      <c r="J53" s="11"/>
      <c r="K53" s="11"/>
      <c r="L53" s="11"/>
      <c r="M53" s="11"/>
      <c r="N53" s="11"/>
      <c r="O53" s="12"/>
      <c r="P53" s="11"/>
      <c r="Q53" s="13"/>
      <c r="R53" s="14"/>
    </row>
    <row r="54" spans="1:18" ht="15" customHeight="1" x14ac:dyDescent="0.3">
      <c r="A54" s="17" t="s">
        <v>118</v>
      </c>
      <c r="B54" s="17" t="s">
        <v>123</v>
      </c>
      <c r="C54" s="18">
        <v>4.5138888888888888E-2</v>
      </c>
      <c r="D54" s="17" t="s">
        <v>112</v>
      </c>
      <c r="E54" s="17" t="s">
        <v>124</v>
      </c>
      <c r="F54" s="17" t="s">
        <v>121</v>
      </c>
      <c r="G54" s="190"/>
      <c r="H54" s="10"/>
      <c r="I54" s="11"/>
      <c r="J54" s="11"/>
      <c r="K54" s="11"/>
      <c r="L54" s="11"/>
      <c r="M54" s="11"/>
      <c r="N54" s="11"/>
      <c r="O54" s="12"/>
      <c r="P54" s="11"/>
      <c r="Q54" s="13"/>
      <c r="R54" s="14"/>
    </row>
    <row r="55" spans="1:18" ht="15" customHeight="1" x14ac:dyDescent="0.3">
      <c r="A55" s="19" t="s">
        <v>125</v>
      </c>
      <c r="B55" s="19" t="s">
        <v>126</v>
      </c>
      <c r="C55" s="20">
        <v>0.37847222222222232</v>
      </c>
      <c r="D55" s="19" t="s">
        <v>127</v>
      </c>
      <c r="E55" s="19" t="s">
        <v>113</v>
      </c>
      <c r="F55" s="19" t="s">
        <v>128</v>
      </c>
      <c r="G55" s="190"/>
      <c r="H55" s="10"/>
      <c r="I55" s="11"/>
      <c r="J55" s="11"/>
      <c r="K55" s="11"/>
      <c r="L55" s="11"/>
      <c r="M55" s="11"/>
      <c r="N55" s="11"/>
      <c r="O55" s="12"/>
      <c r="P55" s="11"/>
      <c r="Q55" s="13"/>
      <c r="R55" s="14"/>
    </row>
    <row r="56" spans="1:18" ht="15" customHeight="1" x14ac:dyDescent="0.3">
      <c r="A56" s="15" t="s">
        <v>125</v>
      </c>
      <c r="B56" s="15" t="s">
        <v>126</v>
      </c>
      <c r="C56" s="16">
        <v>0.37847222222222232</v>
      </c>
      <c r="D56" s="15" t="s">
        <v>129</v>
      </c>
      <c r="E56" s="15" t="s">
        <v>130</v>
      </c>
      <c r="F56" s="15" t="s">
        <v>131</v>
      </c>
      <c r="G56" s="190"/>
      <c r="H56" s="10"/>
      <c r="I56" s="11"/>
      <c r="J56" s="11"/>
      <c r="K56" s="11"/>
      <c r="L56" s="11"/>
      <c r="M56" s="11"/>
      <c r="N56" s="11"/>
      <c r="O56" s="12"/>
      <c r="P56" s="11"/>
      <c r="Q56" s="13"/>
      <c r="R56" s="14"/>
    </row>
    <row r="57" spans="1:18" ht="15" customHeight="1" x14ac:dyDescent="0.3">
      <c r="A57" s="17" t="s">
        <v>125</v>
      </c>
      <c r="B57" s="17" t="s">
        <v>132</v>
      </c>
      <c r="C57" s="18">
        <v>6.9444444444444441E-3</v>
      </c>
      <c r="D57" s="17" t="s">
        <v>127</v>
      </c>
      <c r="E57" s="17" t="s">
        <v>116</v>
      </c>
      <c r="F57" s="17" t="s">
        <v>128</v>
      </c>
      <c r="G57" s="190"/>
      <c r="H57" s="10"/>
      <c r="I57" s="11"/>
      <c r="J57" s="11"/>
      <c r="K57" s="11"/>
      <c r="L57" s="11"/>
      <c r="M57" s="11"/>
      <c r="N57" s="11"/>
      <c r="O57" s="12"/>
      <c r="P57" s="11"/>
      <c r="Q57" s="13"/>
      <c r="R57" s="14"/>
    </row>
    <row r="58" spans="1:18" ht="15" customHeight="1" x14ac:dyDescent="0.3">
      <c r="A58" s="15" t="s">
        <v>125</v>
      </c>
      <c r="B58" s="15" t="s">
        <v>132</v>
      </c>
      <c r="C58" s="16">
        <v>6.9444444444444441E-3</v>
      </c>
      <c r="D58" s="15" t="s">
        <v>129</v>
      </c>
      <c r="E58" s="15" t="s">
        <v>130</v>
      </c>
      <c r="F58" s="15" t="s">
        <v>131</v>
      </c>
      <c r="G58" s="190"/>
      <c r="H58" s="10"/>
      <c r="I58" s="11"/>
      <c r="J58" s="11"/>
      <c r="K58" s="11"/>
      <c r="L58" s="11"/>
      <c r="M58" s="11"/>
      <c r="N58" s="11"/>
      <c r="O58" s="12"/>
      <c r="P58" s="11"/>
      <c r="Q58" s="13"/>
      <c r="R58" s="14"/>
    </row>
    <row r="59" spans="1:18" ht="15" customHeight="1" x14ac:dyDescent="0.3">
      <c r="A59" s="17" t="s">
        <v>125</v>
      </c>
      <c r="B59" s="17" t="s">
        <v>133</v>
      </c>
      <c r="C59" s="18">
        <v>0.23958333333333329</v>
      </c>
      <c r="D59" s="17" t="s">
        <v>127</v>
      </c>
      <c r="E59" s="17" t="s">
        <v>116</v>
      </c>
      <c r="F59" s="17" t="s">
        <v>128</v>
      </c>
      <c r="G59" s="190"/>
      <c r="H59" s="10"/>
      <c r="I59" s="11"/>
      <c r="J59" s="11"/>
      <c r="K59" s="11"/>
      <c r="L59" s="11"/>
      <c r="M59" s="11"/>
      <c r="N59" s="11"/>
      <c r="O59" s="12"/>
      <c r="P59" s="11"/>
      <c r="Q59" s="13"/>
      <c r="R59" s="14"/>
    </row>
    <row r="60" spans="1:18" ht="15" customHeight="1" x14ac:dyDescent="0.3">
      <c r="A60" s="15" t="s">
        <v>125</v>
      </c>
      <c r="B60" s="15" t="s">
        <v>133</v>
      </c>
      <c r="C60" s="16">
        <v>0.23958333333333329</v>
      </c>
      <c r="D60" s="15" t="s">
        <v>129</v>
      </c>
      <c r="E60" s="15" t="s">
        <v>130</v>
      </c>
      <c r="F60" s="15" t="s">
        <v>131</v>
      </c>
      <c r="G60" s="190"/>
      <c r="H60" s="10"/>
      <c r="I60" s="11"/>
      <c r="J60" s="11"/>
      <c r="K60" s="11"/>
      <c r="L60" s="11"/>
      <c r="M60" s="11"/>
      <c r="N60" s="11"/>
      <c r="O60" s="12"/>
      <c r="P60" s="11"/>
      <c r="Q60" s="13"/>
      <c r="R60" s="14"/>
    </row>
    <row r="61" spans="1:18" ht="15" customHeight="1" x14ac:dyDescent="0.3">
      <c r="A61" s="17" t="s">
        <v>125</v>
      </c>
      <c r="B61" s="17" t="s">
        <v>134</v>
      </c>
      <c r="C61" s="18">
        <v>0.1423611111111111</v>
      </c>
      <c r="D61" s="17" t="s">
        <v>127</v>
      </c>
      <c r="E61" s="17" t="s">
        <v>116</v>
      </c>
      <c r="F61" s="17" t="s">
        <v>128</v>
      </c>
      <c r="G61" s="190"/>
      <c r="H61" s="10"/>
      <c r="I61" s="11"/>
      <c r="J61" s="11"/>
      <c r="K61" s="11"/>
      <c r="L61" s="11"/>
      <c r="M61" s="11"/>
      <c r="N61" s="11"/>
      <c r="O61" s="12"/>
      <c r="P61" s="11"/>
      <c r="Q61" s="13"/>
      <c r="R61" s="14"/>
    </row>
    <row r="62" spans="1:18" ht="15" customHeight="1" x14ac:dyDescent="0.3">
      <c r="A62" s="15" t="s">
        <v>125</v>
      </c>
      <c r="B62" s="15" t="s">
        <v>134</v>
      </c>
      <c r="C62" s="16">
        <v>0.1423611111111111</v>
      </c>
      <c r="D62" s="15" t="s">
        <v>129</v>
      </c>
      <c r="E62" s="15" t="s">
        <v>130</v>
      </c>
      <c r="F62" s="15" t="s">
        <v>131</v>
      </c>
      <c r="G62" s="190"/>
      <c r="H62" s="10"/>
      <c r="I62" s="11"/>
      <c r="J62" s="11"/>
      <c r="K62" s="11"/>
      <c r="L62" s="11"/>
      <c r="M62" s="11"/>
      <c r="N62" s="11"/>
      <c r="O62" s="12"/>
      <c r="P62" s="11"/>
      <c r="Q62" s="13"/>
      <c r="R62" s="14"/>
    </row>
    <row r="63" spans="1:18" ht="15" customHeight="1" x14ac:dyDescent="0.3">
      <c r="A63" s="17" t="s">
        <v>125</v>
      </c>
      <c r="B63" s="17" t="s">
        <v>135</v>
      </c>
      <c r="C63" s="18">
        <v>0.93055555555555547</v>
      </c>
      <c r="D63" s="17" t="s">
        <v>127</v>
      </c>
      <c r="E63" s="17" t="s">
        <v>116</v>
      </c>
      <c r="F63" s="17" t="s">
        <v>128</v>
      </c>
      <c r="G63" s="190"/>
      <c r="H63" s="10"/>
      <c r="I63" s="11"/>
      <c r="J63" s="11"/>
      <c r="K63" s="11"/>
      <c r="L63" s="11"/>
      <c r="M63" s="11"/>
      <c r="N63" s="11"/>
      <c r="O63" s="12"/>
      <c r="P63" s="11"/>
      <c r="Q63" s="13"/>
      <c r="R63" s="14"/>
    </row>
    <row r="64" spans="1:18" ht="15" customHeight="1" x14ac:dyDescent="0.3">
      <c r="A64" s="15" t="s">
        <v>125</v>
      </c>
      <c r="B64" s="15" t="s">
        <v>135</v>
      </c>
      <c r="C64" s="16">
        <v>0.93055555555555547</v>
      </c>
      <c r="D64" s="15" t="s">
        <v>129</v>
      </c>
      <c r="E64" s="15" t="s">
        <v>130</v>
      </c>
      <c r="F64" s="15" t="s">
        <v>131</v>
      </c>
      <c r="G64" s="190"/>
      <c r="H64" s="10"/>
      <c r="I64" s="11"/>
      <c r="J64" s="11"/>
      <c r="K64" s="11"/>
      <c r="L64" s="11"/>
      <c r="M64" s="11"/>
      <c r="N64" s="11"/>
      <c r="O64" s="12"/>
      <c r="P64" s="11"/>
      <c r="Q64" s="13"/>
      <c r="R64" s="14"/>
    </row>
    <row r="65" spans="1:18" ht="15" customHeight="1" x14ac:dyDescent="0.3">
      <c r="A65" s="17" t="s">
        <v>125</v>
      </c>
      <c r="B65" s="17" t="s">
        <v>136</v>
      </c>
      <c r="C65" s="18">
        <v>0.71875</v>
      </c>
      <c r="D65" s="17" t="s">
        <v>127</v>
      </c>
      <c r="E65" s="17" t="s">
        <v>116</v>
      </c>
      <c r="F65" s="17" t="s">
        <v>137</v>
      </c>
      <c r="G65" s="190"/>
      <c r="H65" s="10"/>
      <c r="I65" s="11"/>
      <c r="J65" s="11"/>
      <c r="K65" s="11"/>
      <c r="L65" s="11"/>
      <c r="M65" s="11"/>
      <c r="N65" s="11"/>
      <c r="O65" s="12"/>
      <c r="P65" s="11"/>
      <c r="Q65" s="13"/>
      <c r="R65" s="14"/>
    </row>
    <row r="66" spans="1:18" ht="15" customHeight="1" x14ac:dyDescent="0.3">
      <c r="A66" s="15" t="s">
        <v>125</v>
      </c>
      <c r="B66" s="15" t="s">
        <v>136</v>
      </c>
      <c r="C66" s="16">
        <v>0.71875</v>
      </c>
      <c r="D66" s="15" t="s">
        <v>129</v>
      </c>
      <c r="E66" s="15" t="s">
        <v>130</v>
      </c>
      <c r="F66" s="15" t="s">
        <v>138</v>
      </c>
      <c r="G66" s="190"/>
      <c r="H66" s="10"/>
      <c r="I66" s="11"/>
      <c r="J66" s="11"/>
      <c r="K66" s="11"/>
      <c r="L66" s="11"/>
      <c r="M66" s="11"/>
      <c r="N66" s="11"/>
      <c r="O66" s="12"/>
      <c r="P66" s="11"/>
      <c r="Q66" s="13"/>
      <c r="R66" s="14"/>
    </row>
    <row r="67" spans="1:18" ht="15" customHeight="1" x14ac:dyDescent="0.3">
      <c r="A67" s="17" t="s">
        <v>125</v>
      </c>
      <c r="B67" s="17" t="s">
        <v>139</v>
      </c>
      <c r="C67" s="18">
        <v>0.82986111111111116</v>
      </c>
      <c r="D67" s="17" t="s">
        <v>127</v>
      </c>
      <c r="E67" s="17" t="s">
        <v>116</v>
      </c>
      <c r="F67" s="17" t="s">
        <v>137</v>
      </c>
      <c r="G67" s="190"/>
      <c r="H67" s="10"/>
      <c r="I67" s="11"/>
      <c r="J67" s="11"/>
      <c r="K67" s="11"/>
      <c r="L67" s="11"/>
      <c r="M67" s="11"/>
      <c r="N67" s="11"/>
      <c r="O67" s="12"/>
      <c r="P67" s="11"/>
      <c r="Q67" s="13"/>
      <c r="R67" s="14"/>
    </row>
    <row r="68" spans="1:18" ht="15" customHeight="1" x14ac:dyDescent="0.3">
      <c r="A68" s="15" t="s">
        <v>125</v>
      </c>
      <c r="B68" s="15" t="s">
        <v>139</v>
      </c>
      <c r="C68" s="16">
        <v>0.82986111111111116</v>
      </c>
      <c r="D68" s="15" t="s">
        <v>129</v>
      </c>
      <c r="E68" s="15" t="s">
        <v>130</v>
      </c>
      <c r="F68" s="15" t="s">
        <v>138</v>
      </c>
      <c r="G68" s="190"/>
      <c r="H68" s="10"/>
      <c r="I68" s="11"/>
      <c r="J68" s="11"/>
      <c r="K68" s="11"/>
      <c r="L68" s="11"/>
      <c r="M68" s="11"/>
      <c r="N68" s="11"/>
      <c r="O68" s="12"/>
      <c r="P68" s="11"/>
      <c r="Q68" s="13"/>
      <c r="R68" s="14"/>
    </row>
    <row r="69" spans="1:18" ht="15" customHeight="1" x14ac:dyDescent="0.3">
      <c r="A69" s="17" t="s">
        <v>125</v>
      </c>
      <c r="B69" s="17" t="s">
        <v>140</v>
      </c>
      <c r="C69" s="18">
        <v>0.88888888888888884</v>
      </c>
      <c r="D69" s="17" t="s">
        <v>129</v>
      </c>
      <c r="E69" s="17" t="s">
        <v>93</v>
      </c>
      <c r="F69" s="17" t="s">
        <v>141</v>
      </c>
      <c r="G69" s="190"/>
      <c r="H69" s="10"/>
      <c r="I69" s="11"/>
      <c r="J69" s="11"/>
      <c r="K69" s="11"/>
      <c r="L69" s="11"/>
      <c r="M69" s="11"/>
      <c r="N69" s="11"/>
      <c r="O69" s="12"/>
      <c r="P69" s="11"/>
      <c r="Q69" s="13"/>
      <c r="R69" s="14"/>
    </row>
    <row r="70" spans="1:18" ht="15" customHeight="1" x14ac:dyDescent="0.3">
      <c r="A70" s="17" t="s">
        <v>125</v>
      </c>
      <c r="B70" s="17" t="s">
        <v>142</v>
      </c>
      <c r="C70" s="18">
        <v>0.30208333333333331</v>
      </c>
      <c r="D70" s="17" t="s">
        <v>129</v>
      </c>
      <c r="E70" s="17" t="s">
        <v>93</v>
      </c>
      <c r="F70" s="17" t="s">
        <v>141</v>
      </c>
      <c r="G70" s="190"/>
      <c r="H70" s="10"/>
      <c r="I70" s="11"/>
      <c r="J70" s="11"/>
      <c r="K70" s="11"/>
      <c r="L70" s="11"/>
      <c r="M70" s="11"/>
      <c r="N70" s="11"/>
      <c r="O70" s="12"/>
      <c r="P70" s="11"/>
      <c r="Q70" s="13"/>
      <c r="R70" s="14"/>
    </row>
    <row r="71" spans="1:18" ht="15" customHeight="1" x14ac:dyDescent="0.3">
      <c r="A71" s="17" t="s">
        <v>125</v>
      </c>
      <c r="B71" s="17" t="s">
        <v>143</v>
      </c>
      <c r="C71" s="18">
        <v>0.12847222222222221</v>
      </c>
      <c r="D71" s="17" t="s">
        <v>129</v>
      </c>
      <c r="E71" s="17" t="s">
        <v>93</v>
      </c>
      <c r="F71" s="17" t="s">
        <v>141</v>
      </c>
      <c r="G71" s="190"/>
      <c r="H71" s="10"/>
      <c r="I71" s="11"/>
      <c r="J71" s="11"/>
      <c r="K71" s="11"/>
      <c r="L71" s="11"/>
      <c r="M71" s="11"/>
      <c r="N71" s="11"/>
      <c r="O71" s="12"/>
      <c r="P71" s="11"/>
      <c r="Q71" s="13"/>
      <c r="R71" s="14"/>
    </row>
    <row r="72" spans="1:18" ht="15" customHeight="1" x14ac:dyDescent="0.3">
      <c r="A72" s="17" t="s">
        <v>125</v>
      </c>
      <c r="B72" s="17" t="s">
        <v>144</v>
      </c>
      <c r="C72" s="18">
        <v>0.78819444444444453</v>
      </c>
      <c r="D72" s="17" t="s">
        <v>129</v>
      </c>
      <c r="E72" s="17" t="s">
        <v>93</v>
      </c>
      <c r="F72" s="17" t="s">
        <v>141</v>
      </c>
      <c r="G72" s="190"/>
      <c r="H72" s="10"/>
      <c r="I72" s="11"/>
      <c r="J72" s="11"/>
      <c r="K72" s="11"/>
      <c r="L72" s="11"/>
      <c r="M72" s="11"/>
      <c r="N72" s="11"/>
      <c r="O72" s="12"/>
      <c r="P72" s="11"/>
      <c r="Q72" s="13"/>
      <c r="R72" s="14"/>
    </row>
    <row r="73" spans="1:18" ht="15" customHeight="1" x14ac:dyDescent="0.3">
      <c r="A73" s="17" t="s">
        <v>125</v>
      </c>
      <c r="B73" s="17" t="s">
        <v>145</v>
      </c>
      <c r="C73" s="18">
        <v>0.61111111111111105</v>
      </c>
      <c r="D73" s="17" t="s">
        <v>127</v>
      </c>
      <c r="E73" s="17" t="s">
        <v>62</v>
      </c>
      <c r="F73" s="17" t="s">
        <v>146</v>
      </c>
      <c r="G73" s="190"/>
      <c r="H73" s="10"/>
      <c r="I73" s="11"/>
      <c r="J73" s="11"/>
      <c r="K73" s="11"/>
      <c r="L73" s="11"/>
      <c r="M73" s="11"/>
      <c r="N73" s="11"/>
      <c r="O73" s="12"/>
      <c r="P73" s="11"/>
      <c r="Q73" s="13"/>
      <c r="R73" s="14"/>
    </row>
    <row r="74" spans="1:18" ht="15" customHeight="1" x14ac:dyDescent="0.3">
      <c r="A74" s="15" t="s">
        <v>125</v>
      </c>
      <c r="B74" s="15" t="s">
        <v>145</v>
      </c>
      <c r="C74" s="16">
        <v>0.61111111111111105</v>
      </c>
      <c r="D74" s="15" t="s">
        <v>129</v>
      </c>
      <c r="E74" s="15" t="s">
        <v>32</v>
      </c>
      <c r="F74" s="15" t="s">
        <v>147</v>
      </c>
      <c r="G74" s="190"/>
      <c r="H74" s="10"/>
      <c r="I74" s="11"/>
      <c r="J74" s="11"/>
      <c r="K74" s="11"/>
      <c r="L74" s="11"/>
      <c r="M74" s="11"/>
      <c r="N74" s="11"/>
      <c r="O74" s="12"/>
      <c r="P74" s="11"/>
      <c r="Q74" s="13"/>
      <c r="R74" s="14"/>
    </row>
    <row r="75" spans="1:18" ht="15" customHeight="1" x14ac:dyDescent="0.3">
      <c r="A75" s="19" t="s">
        <v>148</v>
      </c>
      <c r="B75" s="19" t="s">
        <v>149</v>
      </c>
      <c r="C75" s="20">
        <v>0.4861111111111111</v>
      </c>
      <c r="D75" s="19" t="s">
        <v>150</v>
      </c>
      <c r="E75" s="19" t="s">
        <v>113</v>
      </c>
      <c r="F75" s="19" t="s">
        <v>151</v>
      </c>
      <c r="G75" s="190"/>
      <c r="H75" s="10"/>
      <c r="I75" s="11"/>
      <c r="J75" s="11"/>
      <c r="K75" s="11"/>
      <c r="L75" s="11"/>
      <c r="M75" s="11"/>
      <c r="N75" s="11"/>
      <c r="O75" s="12"/>
      <c r="P75" s="11"/>
      <c r="Q75" s="13"/>
      <c r="R75" s="14"/>
    </row>
    <row r="76" spans="1:18" ht="15" customHeight="1" x14ac:dyDescent="0.3">
      <c r="A76" s="17" t="s">
        <v>148</v>
      </c>
      <c r="B76" s="17" t="s">
        <v>152</v>
      </c>
      <c r="C76" s="18">
        <v>0.51388888888888895</v>
      </c>
      <c r="D76" s="17" t="s">
        <v>150</v>
      </c>
      <c r="E76" s="17" t="s">
        <v>116</v>
      </c>
      <c r="F76" s="17" t="s">
        <v>151</v>
      </c>
      <c r="G76" s="190"/>
      <c r="H76" s="10"/>
      <c r="I76" s="11"/>
      <c r="J76" s="11"/>
      <c r="K76" s="11"/>
      <c r="L76" s="11"/>
      <c r="M76" s="11"/>
      <c r="N76" s="11"/>
      <c r="O76" s="12"/>
      <c r="P76" s="11"/>
      <c r="Q76" s="13"/>
      <c r="R76" s="14"/>
    </row>
    <row r="77" spans="1:18" ht="15" customHeight="1" x14ac:dyDescent="0.3">
      <c r="A77" s="17" t="s">
        <v>148</v>
      </c>
      <c r="B77" s="17" t="s">
        <v>153</v>
      </c>
      <c r="C77" s="18">
        <v>0.22222222222222221</v>
      </c>
      <c r="D77" s="17" t="s">
        <v>150</v>
      </c>
      <c r="E77" s="17" t="s">
        <v>116</v>
      </c>
      <c r="F77" s="17" t="s">
        <v>154</v>
      </c>
      <c r="G77" s="190"/>
      <c r="H77" s="10"/>
      <c r="I77" s="11"/>
      <c r="J77" s="11"/>
      <c r="K77" s="11"/>
      <c r="L77" s="11"/>
      <c r="M77" s="11"/>
      <c r="N77" s="11"/>
      <c r="O77" s="12"/>
      <c r="P77" s="11"/>
      <c r="Q77" s="13"/>
      <c r="R77" s="14"/>
    </row>
    <row r="78" spans="1:18" ht="15" customHeight="1" x14ac:dyDescent="0.3">
      <c r="A78" s="17" t="s">
        <v>148</v>
      </c>
      <c r="B78" s="17" t="s">
        <v>155</v>
      </c>
      <c r="C78" s="18">
        <v>1.388888888888889E-2</v>
      </c>
      <c r="D78" s="17" t="s">
        <v>150</v>
      </c>
      <c r="E78" s="17" t="s">
        <v>116</v>
      </c>
      <c r="F78" s="17" t="s">
        <v>156</v>
      </c>
      <c r="G78" s="190"/>
      <c r="H78" s="10"/>
      <c r="I78" s="11"/>
      <c r="J78" s="11"/>
      <c r="K78" s="11"/>
      <c r="L78" s="11"/>
      <c r="M78" s="11"/>
      <c r="N78" s="11"/>
      <c r="O78" s="12"/>
      <c r="P78" s="11"/>
      <c r="Q78" s="13"/>
      <c r="R78" s="14"/>
    </row>
    <row r="79" spans="1:18" ht="15" customHeight="1" x14ac:dyDescent="0.3">
      <c r="A79" s="17" t="s">
        <v>148</v>
      </c>
      <c r="B79" s="17" t="s">
        <v>157</v>
      </c>
      <c r="C79" s="18">
        <v>0.14583333333333329</v>
      </c>
      <c r="D79" s="17" t="s">
        <v>150</v>
      </c>
      <c r="E79" s="17" t="s">
        <v>116</v>
      </c>
      <c r="F79" s="17" t="s">
        <v>156</v>
      </c>
      <c r="G79" s="190"/>
      <c r="H79" s="10"/>
      <c r="I79" s="11"/>
      <c r="J79" s="11"/>
      <c r="K79" s="11"/>
      <c r="L79" s="11"/>
      <c r="M79" s="11"/>
      <c r="N79" s="11"/>
      <c r="O79" s="12"/>
      <c r="P79" s="11"/>
      <c r="Q79" s="13"/>
      <c r="R79" s="14"/>
    </row>
    <row r="80" spans="1:18" ht="15" customHeight="1" x14ac:dyDescent="0.3">
      <c r="A80" s="17" t="s">
        <v>148</v>
      </c>
      <c r="B80" s="17" t="s">
        <v>158</v>
      </c>
      <c r="C80" s="18">
        <v>0.27777777777777779</v>
      </c>
      <c r="D80" s="17" t="s">
        <v>150</v>
      </c>
      <c r="E80" s="17" t="s">
        <v>116</v>
      </c>
      <c r="F80" s="17" t="s">
        <v>159</v>
      </c>
      <c r="G80" s="190"/>
      <c r="H80" s="10"/>
      <c r="I80" s="11"/>
      <c r="J80" s="11"/>
      <c r="K80" s="11"/>
      <c r="L80" s="11"/>
      <c r="M80" s="11"/>
      <c r="N80" s="11"/>
      <c r="O80" s="12"/>
      <c r="P80" s="11"/>
      <c r="Q80" s="13"/>
      <c r="R80" s="14"/>
    </row>
    <row r="81" spans="1:18" ht="15" customHeight="1" thickBot="1" x14ac:dyDescent="0.35">
      <c r="A81" s="60" t="s">
        <v>148</v>
      </c>
      <c r="B81" s="60" t="s">
        <v>160</v>
      </c>
      <c r="C81" s="61">
        <v>0.77430555555555547</v>
      </c>
      <c r="D81" s="60" t="s">
        <v>150</v>
      </c>
      <c r="E81" s="60" t="s">
        <v>116</v>
      </c>
      <c r="F81" s="60" t="s">
        <v>161</v>
      </c>
      <c r="G81" s="191"/>
      <c r="H81" s="62"/>
      <c r="I81" s="63"/>
      <c r="J81" s="63"/>
      <c r="K81" s="63"/>
      <c r="L81" s="63"/>
      <c r="M81" s="63"/>
      <c r="N81" s="63"/>
      <c r="O81" s="64"/>
      <c r="P81" s="63"/>
      <c r="Q81" s="65"/>
      <c r="R81" s="66"/>
    </row>
    <row r="82" spans="1:18" ht="17.399999999999999" customHeight="1" thickBot="1" x14ac:dyDescent="0.35">
      <c r="A82" s="211"/>
      <c r="B82" s="212"/>
      <c r="C82" s="212"/>
      <c r="D82" s="212"/>
      <c r="E82" s="212"/>
      <c r="F82" s="212"/>
      <c r="G82" s="212"/>
      <c r="H82" s="212"/>
      <c r="I82" s="212"/>
      <c r="J82" s="212"/>
      <c r="K82" s="212"/>
      <c r="L82" s="212"/>
      <c r="M82" s="212"/>
      <c r="N82" s="212"/>
      <c r="O82" s="212"/>
      <c r="P82" s="212"/>
      <c r="Q82" s="212"/>
      <c r="R82" s="213"/>
    </row>
    <row r="83" spans="1:18" ht="22.05" customHeight="1" thickTop="1" thickBot="1" x14ac:dyDescent="0.35">
      <c r="A83" s="182" t="s">
        <v>6</v>
      </c>
      <c r="B83" s="180"/>
      <c r="C83" s="180"/>
      <c r="D83" s="180"/>
      <c r="E83" s="180"/>
      <c r="F83" s="181"/>
      <c r="G83" s="67">
        <v>45987</v>
      </c>
      <c r="H83" s="185" t="s">
        <v>7</v>
      </c>
      <c r="I83" s="180"/>
      <c r="J83" s="180"/>
      <c r="K83" s="180"/>
      <c r="L83" s="180"/>
      <c r="M83" s="180"/>
      <c r="N83" s="180"/>
      <c r="O83" s="180"/>
      <c r="P83" s="180"/>
      <c r="Q83" s="180"/>
      <c r="R83" s="181"/>
    </row>
    <row r="84" spans="1:18" ht="24" customHeight="1" x14ac:dyDescent="0.3">
      <c r="A84" s="68" t="s">
        <v>8</v>
      </c>
      <c r="B84" s="68" t="s">
        <v>9</v>
      </c>
      <c r="C84" s="69" t="s">
        <v>10</v>
      </c>
      <c r="D84" s="68" t="s">
        <v>11</v>
      </c>
      <c r="E84" s="68" t="s">
        <v>12</v>
      </c>
      <c r="F84" s="70" t="s">
        <v>13</v>
      </c>
      <c r="G84" s="71" t="s">
        <v>14</v>
      </c>
      <c r="H84" s="68" t="s">
        <v>15</v>
      </c>
      <c r="I84" s="72" t="s">
        <v>16</v>
      </c>
      <c r="J84" s="73" t="s">
        <v>17</v>
      </c>
      <c r="K84" s="74" t="s">
        <v>18</v>
      </c>
      <c r="L84" s="73" t="s">
        <v>19</v>
      </c>
      <c r="M84" s="73" t="s">
        <v>20</v>
      </c>
      <c r="N84" s="73" t="s">
        <v>21</v>
      </c>
      <c r="O84" s="68" t="s">
        <v>22</v>
      </c>
      <c r="P84" s="69" t="s">
        <v>23</v>
      </c>
      <c r="Q84" s="73" t="s">
        <v>24</v>
      </c>
      <c r="R84" s="68" t="s">
        <v>25</v>
      </c>
    </row>
    <row r="85" spans="1:18" ht="15" customHeight="1" x14ac:dyDescent="0.3">
      <c r="A85" s="8" t="s">
        <v>26</v>
      </c>
      <c r="B85" s="8" t="s">
        <v>44</v>
      </c>
      <c r="C85" s="9">
        <v>0.88888888888888884</v>
      </c>
      <c r="D85" s="8" t="s">
        <v>28</v>
      </c>
      <c r="E85" s="8" t="s">
        <v>162</v>
      </c>
      <c r="F85" s="8" t="s">
        <v>30</v>
      </c>
      <c r="G85" s="193"/>
      <c r="H85" s="10"/>
      <c r="I85" s="11"/>
      <c r="J85" s="11"/>
      <c r="K85" s="11"/>
      <c r="L85" s="11"/>
      <c r="M85" s="11"/>
      <c r="N85" s="11"/>
      <c r="O85" s="12"/>
      <c r="P85" s="11"/>
      <c r="Q85" s="13"/>
      <c r="R85" s="14"/>
    </row>
    <row r="86" spans="1:18" ht="15" customHeight="1" x14ac:dyDescent="0.3">
      <c r="A86" s="15" t="s">
        <v>26</v>
      </c>
      <c r="B86" s="15" t="s">
        <v>44</v>
      </c>
      <c r="C86" s="16">
        <v>0.88888888888888884</v>
      </c>
      <c r="D86" s="15" t="s">
        <v>31</v>
      </c>
      <c r="E86" s="15" t="s">
        <v>163</v>
      </c>
      <c r="F86" s="15" t="s">
        <v>33</v>
      </c>
      <c r="G86" s="190"/>
      <c r="H86" s="10"/>
      <c r="I86" s="11"/>
      <c r="J86" s="11"/>
      <c r="K86" s="11"/>
      <c r="L86" s="11"/>
      <c r="M86" s="11"/>
      <c r="N86" s="11"/>
      <c r="O86" s="12"/>
      <c r="P86" s="11"/>
      <c r="Q86" s="13"/>
      <c r="R86" s="14"/>
    </row>
    <row r="87" spans="1:18" ht="15" customHeight="1" x14ac:dyDescent="0.3">
      <c r="A87" s="15" t="s">
        <v>26</v>
      </c>
      <c r="B87" s="15" t="s">
        <v>44</v>
      </c>
      <c r="C87" s="16">
        <v>0.88888888888888884</v>
      </c>
      <c r="D87" s="15" t="s">
        <v>34</v>
      </c>
      <c r="E87" s="15" t="s">
        <v>163</v>
      </c>
      <c r="F87" s="15" t="s">
        <v>35</v>
      </c>
      <c r="G87" s="190"/>
      <c r="H87" s="10"/>
      <c r="I87" s="11"/>
      <c r="J87" s="11"/>
      <c r="K87" s="11"/>
      <c r="L87" s="11"/>
      <c r="M87" s="11"/>
      <c r="N87" s="11"/>
      <c r="O87" s="12"/>
      <c r="P87" s="11"/>
      <c r="Q87" s="13"/>
      <c r="R87" s="14"/>
    </row>
    <row r="88" spans="1:18" ht="15" customHeight="1" x14ac:dyDescent="0.3">
      <c r="A88" s="17" t="s">
        <v>26</v>
      </c>
      <c r="B88" s="17" t="s">
        <v>36</v>
      </c>
      <c r="C88" s="18">
        <v>0.30208333333333331</v>
      </c>
      <c r="D88" s="17" t="s">
        <v>28</v>
      </c>
      <c r="E88" s="17" t="s">
        <v>124</v>
      </c>
      <c r="F88" s="17" t="s">
        <v>38</v>
      </c>
      <c r="G88" s="190"/>
      <c r="H88" s="10"/>
      <c r="I88" s="11"/>
      <c r="J88" s="11"/>
      <c r="K88" s="11"/>
      <c r="L88" s="11"/>
      <c r="M88" s="11"/>
      <c r="N88" s="11"/>
      <c r="O88" s="12"/>
      <c r="P88" s="11"/>
      <c r="Q88" s="13"/>
      <c r="R88" s="14"/>
    </row>
    <row r="89" spans="1:18" ht="15" customHeight="1" x14ac:dyDescent="0.3">
      <c r="A89" s="15" t="s">
        <v>26</v>
      </c>
      <c r="B89" s="15" t="s">
        <v>36</v>
      </c>
      <c r="C89" s="16">
        <v>0.30208333333333331</v>
      </c>
      <c r="D89" s="15" t="s">
        <v>31</v>
      </c>
      <c r="E89" s="15" t="s">
        <v>164</v>
      </c>
      <c r="F89" s="15" t="s">
        <v>40</v>
      </c>
      <c r="G89" s="190"/>
      <c r="H89" s="10"/>
      <c r="I89" s="11"/>
      <c r="J89" s="11"/>
      <c r="K89" s="11"/>
      <c r="L89" s="11"/>
      <c r="M89" s="11"/>
      <c r="N89" s="11"/>
      <c r="O89" s="12"/>
      <c r="P89" s="11"/>
      <c r="Q89" s="13"/>
      <c r="R89" s="14"/>
    </row>
    <row r="90" spans="1:18" ht="15" customHeight="1" x14ac:dyDescent="0.3">
      <c r="A90" s="15" t="s">
        <v>26</v>
      </c>
      <c r="B90" s="15" t="s">
        <v>36</v>
      </c>
      <c r="C90" s="16">
        <v>0.30208333333333331</v>
      </c>
      <c r="D90" s="15" t="s">
        <v>34</v>
      </c>
      <c r="E90" s="15" t="s">
        <v>164</v>
      </c>
      <c r="F90" s="15" t="s">
        <v>35</v>
      </c>
      <c r="G90" s="190"/>
      <c r="H90" s="10"/>
      <c r="I90" s="11"/>
      <c r="J90" s="11"/>
      <c r="K90" s="11"/>
      <c r="L90" s="11"/>
      <c r="M90" s="11"/>
      <c r="N90" s="11"/>
      <c r="O90" s="12"/>
      <c r="P90" s="11"/>
      <c r="Q90" s="13"/>
      <c r="R90" s="14"/>
    </row>
    <row r="91" spans="1:18" ht="15" customHeight="1" x14ac:dyDescent="0.3">
      <c r="A91" s="17" t="s">
        <v>26</v>
      </c>
      <c r="B91" s="17" t="s">
        <v>27</v>
      </c>
      <c r="C91" s="18">
        <v>0.12847222222222221</v>
      </c>
      <c r="D91" s="17" t="s">
        <v>28</v>
      </c>
      <c r="E91" s="17" t="s">
        <v>124</v>
      </c>
      <c r="F91" s="17" t="s">
        <v>38</v>
      </c>
      <c r="G91" s="190"/>
      <c r="H91" s="10"/>
      <c r="I91" s="11"/>
      <c r="J91" s="11"/>
      <c r="K91" s="11"/>
      <c r="L91" s="11"/>
      <c r="M91" s="11"/>
      <c r="N91" s="11"/>
      <c r="O91" s="12"/>
      <c r="P91" s="11"/>
      <c r="Q91" s="13"/>
      <c r="R91" s="14"/>
    </row>
    <row r="92" spans="1:18" ht="15" customHeight="1" x14ac:dyDescent="0.3">
      <c r="A92" s="15" t="s">
        <v>26</v>
      </c>
      <c r="B92" s="15" t="s">
        <v>27</v>
      </c>
      <c r="C92" s="16">
        <v>0.12847222222222221</v>
      </c>
      <c r="D92" s="15" t="s">
        <v>31</v>
      </c>
      <c r="E92" s="15" t="s">
        <v>164</v>
      </c>
      <c r="F92" s="15" t="s">
        <v>40</v>
      </c>
      <c r="G92" s="190"/>
      <c r="H92" s="10"/>
      <c r="I92" s="11"/>
      <c r="J92" s="11"/>
      <c r="K92" s="11"/>
      <c r="L92" s="11"/>
      <c r="M92" s="11"/>
      <c r="N92" s="11"/>
      <c r="O92" s="12"/>
      <c r="P92" s="11"/>
      <c r="Q92" s="13"/>
      <c r="R92" s="14"/>
    </row>
    <row r="93" spans="1:18" ht="15" customHeight="1" x14ac:dyDescent="0.3">
      <c r="A93" s="15" t="s">
        <v>26</v>
      </c>
      <c r="B93" s="15" t="s">
        <v>27</v>
      </c>
      <c r="C93" s="16">
        <v>0.12847222222222221</v>
      </c>
      <c r="D93" s="15" t="s">
        <v>34</v>
      </c>
      <c r="E93" s="15" t="s">
        <v>164</v>
      </c>
      <c r="F93" s="15" t="s">
        <v>35</v>
      </c>
      <c r="G93" s="190"/>
      <c r="H93" s="10"/>
      <c r="I93" s="11"/>
      <c r="J93" s="11"/>
      <c r="K93" s="11"/>
      <c r="L93" s="11"/>
      <c r="M93" s="11"/>
      <c r="N93" s="11"/>
      <c r="O93" s="12"/>
      <c r="P93" s="11"/>
      <c r="Q93" s="13"/>
      <c r="R93" s="14"/>
    </row>
    <row r="94" spans="1:18" ht="15" customHeight="1" x14ac:dyDescent="0.3">
      <c r="A94" s="17" t="s">
        <v>26</v>
      </c>
      <c r="B94" s="17" t="s">
        <v>41</v>
      </c>
      <c r="C94" s="18">
        <v>0.78819444444444453</v>
      </c>
      <c r="D94" s="17" t="s">
        <v>28</v>
      </c>
      <c r="E94" s="17" t="s">
        <v>70</v>
      </c>
      <c r="F94" s="17" t="s">
        <v>38</v>
      </c>
      <c r="G94" s="190"/>
      <c r="H94" s="10"/>
      <c r="I94" s="11"/>
      <c r="J94" s="11"/>
      <c r="K94" s="11"/>
      <c r="L94" s="11"/>
      <c r="M94" s="11"/>
      <c r="N94" s="11"/>
      <c r="O94" s="12"/>
      <c r="P94" s="11"/>
      <c r="Q94" s="13"/>
      <c r="R94" s="14"/>
    </row>
    <row r="95" spans="1:18" ht="15" customHeight="1" x14ac:dyDescent="0.3">
      <c r="A95" s="15" t="s">
        <v>26</v>
      </c>
      <c r="B95" s="15" t="s">
        <v>41</v>
      </c>
      <c r="C95" s="16">
        <v>0.78819444444444453</v>
      </c>
      <c r="D95" s="15" t="s">
        <v>31</v>
      </c>
      <c r="E95" s="15" t="s">
        <v>72</v>
      </c>
      <c r="F95" s="15" t="s">
        <v>40</v>
      </c>
      <c r="G95" s="190"/>
      <c r="H95" s="10"/>
      <c r="I95" s="11"/>
      <c r="J95" s="11"/>
      <c r="K95" s="11"/>
      <c r="L95" s="11"/>
      <c r="M95" s="11"/>
      <c r="N95" s="11"/>
      <c r="O95" s="12"/>
      <c r="P95" s="11"/>
      <c r="Q95" s="13"/>
      <c r="R95" s="14"/>
    </row>
    <row r="96" spans="1:18" ht="15" customHeight="1" x14ac:dyDescent="0.3">
      <c r="A96" s="15" t="s">
        <v>26</v>
      </c>
      <c r="B96" s="15" t="s">
        <v>41</v>
      </c>
      <c r="C96" s="16">
        <v>0.78819444444444453</v>
      </c>
      <c r="D96" s="15" t="s">
        <v>34</v>
      </c>
      <c r="E96" s="15" t="s">
        <v>72</v>
      </c>
      <c r="F96" s="15" t="s">
        <v>35</v>
      </c>
      <c r="G96" s="190"/>
      <c r="H96" s="10"/>
      <c r="I96" s="11"/>
      <c r="J96" s="11"/>
      <c r="K96" s="11"/>
      <c r="L96" s="11"/>
      <c r="M96" s="11"/>
      <c r="N96" s="11"/>
      <c r="O96" s="12"/>
      <c r="P96" s="11"/>
      <c r="Q96" s="13"/>
      <c r="R96" s="14"/>
    </row>
    <row r="97" spans="1:18" ht="15" customHeight="1" x14ac:dyDescent="0.3">
      <c r="A97" s="19" t="s">
        <v>118</v>
      </c>
      <c r="B97" s="19" t="s">
        <v>122</v>
      </c>
      <c r="C97" s="20">
        <v>0.37152777777777768</v>
      </c>
      <c r="D97" s="19" t="s">
        <v>112</v>
      </c>
      <c r="E97" s="19" t="s">
        <v>165</v>
      </c>
      <c r="F97" s="19" t="s">
        <v>166</v>
      </c>
      <c r="G97" s="190"/>
      <c r="H97" s="10"/>
      <c r="I97" s="11"/>
      <c r="J97" s="11"/>
      <c r="K97" s="11"/>
      <c r="L97" s="11"/>
      <c r="M97" s="11"/>
      <c r="N97" s="11"/>
      <c r="O97" s="12"/>
      <c r="P97" s="11"/>
      <c r="Q97" s="13"/>
      <c r="R97" s="14"/>
    </row>
    <row r="98" spans="1:18" ht="15" customHeight="1" x14ac:dyDescent="0.3">
      <c r="A98" s="17" t="s">
        <v>118</v>
      </c>
      <c r="B98" s="17" t="s">
        <v>119</v>
      </c>
      <c r="C98" s="18">
        <v>0.9375</v>
      </c>
      <c r="D98" s="17" t="s">
        <v>112</v>
      </c>
      <c r="E98" s="17" t="s">
        <v>64</v>
      </c>
      <c r="F98" s="17" t="s">
        <v>121</v>
      </c>
      <c r="G98" s="190"/>
      <c r="H98" s="10"/>
      <c r="I98" s="11"/>
      <c r="J98" s="11"/>
      <c r="K98" s="11"/>
      <c r="L98" s="11"/>
      <c r="M98" s="11"/>
      <c r="N98" s="11"/>
      <c r="O98" s="12"/>
      <c r="P98" s="11"/>
      <c r="Q98" s="13"/>
      <c r="R98" s="14"/>
    </row>
    <row r="99" spans="1:18" ht="15" customHeight="1" x14ac:dyDescent="0.3">
      <c r="A99" s="19" t="s">
        <v>49</v>
      </c>
      <c r="B99" s="19" t="s">
        <v>69</v>
      </c>
      <c r="C99" s="20">
        <v>0.25694444444444448</v>
      </c>
      <c r="D99" s="19" t="s">
        <v>51</v>
      </c>
      <c r="E99" s="19" t="s">
        <v>52</v>
      </c>
      <c r="F99" s="19" t="s">
        <v>167</v>
      </c>
      <c r="G99" s="190"/>
      <c r="H99" s="10"/>
      <c r="I99" s="11"/>
      <c r="J99" s="11"/>
      <c r="K99" s="11"/>
      <c r="L99" s="11"/>
      <c r="M99" s="11"/>
      <c r="N99" s="11"/>
      <c r="O99" s="12"/>
      <c r="P99" s="11"/>
      <c r="Q99" s="13"/>
      <c r="R99" s="14"/>
    </row>
    <row r="100" spans="1:18" ht="15" customHeight="1" x14ac:dyDescent="0.3">
      <c r="A100" s="15" t="s">
        <v>49</v>
      </c>
      <c r="B100" s="15" t="s">
        <v>69</v>
      </c>
      <c r="C100" s="16">
        <v>0.25694444444444448</v>
      </c>
      <c r="D100" s="15" t="s">
        <v>54</v>
      </c>
      <c r="E100" s="15" t="s">
        <v>39</v>
      </c>
      <c r="F100" s="15" t="s">
        <v>168</v>
      </c>
      <c r="G100" s="190"/>
      <c r="H100" s="10"/>
      <c r="I100" s="11"/>
      <c r="J100" s="11"/>
      <c r="K100" s="11"/>
      <c r="L100" s="11"/>
      <c r="M100" s="11"/>
      <c r="N100" s="11"/>
      <c r="O100" s="12"/>
      <c r="P100" s="11"/>
      <c r="Q100" s="13"/>
      <c r="R100" s="14"/>
    </row>
    <row r="101" spans="1:18" ht="15" customHeight="1" x14ac:dyDescent="0.3">
      <c r="A101" s="15" t="s">
        <v>49</v>
      </c>
      <c r="B101" s="15" t="s">
        <v>69</v>
      </c>
      <c r="C101" s="16">
        <v>0.25694444444444448</v>
      </c>
      <c r="D101" s="15" t="s">
        <v>56</v>
      </c>
      <c r="E101" s="15" t="s">
        <v>39</v>
      </c>
      <c r="F101" s="15" t="s">
        <v>121</v>
      </c>
      <c r="G101" s="190"/>
      <c r="H101" s="10"/>
      <c r="I101" s="11"/>
      <c r="J101" s="11"/>
      <c r="K101" s="11"/>
      <c r="L101" s="11"/>
      <c r="M101" s="11"/>
      <c r="N101" s="11"/>
      <c r="O101" s="12"/>
      <c r="P101" s="11"/>
      <c r="Q101" s="13"/>
      <c r="R101" s="14"/>
    </row>
    <row r="102" spans="1:18" ht="15" customHeight="1" x14ac:dyDescent="0.3">
      <c r="A102" s="17" t="s">
        <v>49</v>
      </c>
      <c r="B102" s="17" t="s">
        <v>76</v>
      </c>
      <c r="C102" s="18">
        <v>0.30208333333333331</v>
      </c>
      <c r="D102" s="17" t="s">
        <v>51</v>
      </c>
      <c r="E102" s="17" t="s">
        <v>59</v>
      </c>
      <c r="F102" s="17" t="s">
        <v>167</v>
      </c>
      <c r="G102" s="190"/>
      <c r="H102" s="10"/>
      <c r="I102" s="11"/>
      <c r="J102" s="11"/>
      <c r="K102" s="11"/>
      <c r="L102" s="11"/>
      <c r="M102" s="11"/>
      <c r="N102" s="11"/>
      <c r="O102" s="12"/>
      <c r="P102" s="11"/>
      <c r="Q102" s="13"/>
      <c r="R102" s="14"/>
    </row>
    <row r="103" spans="1:18" ht="15" customHeight="1" x14ac:dyDescent="0.3">
      <c r="A103" s="15" t="s">
        <v>49</v>
      </c>
      <c r="B103" s="15" t="s">
        <v>76</v>
      </c>
      <c r="C103" s="16">
        <v>0.30208333333333331</v>
      </c>
      <c r="D103" s="15" t="s">
        <v>54</v>
      </c>
      <c r="E103" s="15" t="s">
        <v>60</v>
      </c>
      <c r="F103" s="15" t="s">
        <v>168</v>
      </c>
      <c r="G103" s="190"/>
      <c r="H103" s="10"/>
      <c r="I103" s="11"/>
      <c r="J103" s="11"/>
      <c r="K103" s="11"/>
      <c r="L103" s="11"/>
      <c r="M103" s="11"/>
      <c r="N103" s="11"/>
      <c r="O103" s="12"/>
      <c r="P103" s="11"/>
      <c r="Q103" s="13"/>
      <c r="R103" s="14"/>
    </row>
    <row r="104" spans="1:18" ht="15" customHeight="1" x14ac:dyDescent="0.3">
      <c r="A104" s="15" t="s">
        <v>49</v>
      </c>
      <c r="B104" s="15" t="s">
        <v>76</v>
      </c>
      <c r="C104" s="16">
        <v>0.30208333333333331</v>
      </c>
      <c r="D104" s="15" t="s">
        <v>56</v>
      </c>
      <c r="E104" s="15" t="s">
        <v>60</v>
      </c>
      <c r="F104" s="15" t="s">
        <v>121</v>
      </c>
      <c r="G104" s="190"/>
      <c r="H104" s="10"/>
      <c r="I104" s="11"/>
      <c r="J104" s="11"/>
      <c r="K104" s="11"/>
      <c r="L104" s="11"/>
      <c r="M104" s="11"/>
      <c r="N104" s="11"/>
      <c r="O104" s="12"/>
      <c r="P104" s="11"/>
      <c r="Q104" s="13"/>
      <c r="R104" s="14"/>
    </row>
    <row r="105" spans="1:18" ht="15" customHeight="1" x14ac:dyDescent="0.3">
      <c r="A105" s="17" t="s">
        <v>49</v>
      </c>
      <c r="B105" s="17" t="s">
        <v>50</v>
      </c>
      <c r="C105" s="18">
        <v>0.90277777777777779</v>
      </c>
      <c r="D105" s="17" t="s">
        <v>51</v>
      </c>
      <c r="E105" s="17" t="s">
        <v>37</v>
      </c>
      <c r="F105" s="17" t="s">
        <v>53</v>
      </c>
      <c r="G105" s="190"/>
      <c r="H105" s="10"/>
      <c r="I105" s="11"/>
      <c r="J105" s="11"/>
      <c r="K105" s="11"/>
      <c r="L105" s="11"/>
      <c r="M105" s="11"/>
      <c r="N105" s="11"/>
      <c r="O105" s="12"/>
      <c r="P105" s="11"/>
      <c r="Q105" s="13"/>
      <c r="R105" s="14"/>
    </row>
    <row r="106" spans="1:18" ht="15" customHeight="1" x14ac:dyDescent="0.3">
      <c r="A106" s="15" t="s">
        <v>49</v>
      </c>
      <c r="B106" s="15" t="s">
        <v>50</v>
      </c>
      <c r="C106" s="16">
        <v>0.90277777777777779</v>
      </c>
      <c r="D106" s="15" t="s">
        <v>54</v>
      </c>
      <c r="E106" s="15" t="s">
        <v>39</v>
      </c>
      <c r="F106" s="15" t="s">
        <v>55</v>
      </c>
      <c r="G106" s="190"/>
      <c r="H106" s="10"/>
      <c r="I106" s="11"/>
      <c r="J106" s="11"/>
      <c r="K106" s="11"/>
      <c r="L106" s="11"/>
      <c r="M106" s="11"/>
      <c r="N106" s="11"/>
      <c r="O106" s="12"/>
      <c r="P106" s="11"/>
      <c r="Q106" s="13"/>
      <c r="R106" s="14"/>
    </row>
    <row r="107" spans="1:18" ht="15" customHeight="1" x14ac:dyDescent="0.3">
      <c r="A107" s="15" t="s">
        <v>49</v>
      </c>
      <c r="B107" s="15" t="s">
        <v>50</v>
      </c>
      <c r="C107" s="16">
        <v>0.90277777777777779</v>
      </c>
      <c r="D107" s="15" t="s">
        <v>56</v>
      </c>
      <c r="E107" s="15" t="s">
        <v>39</v>
      </c>
      <c r="F107" s="15" t="s">
        <v>57</v>
      </c>
      <c r="G107" s="190"/>
      <c r="H107" s="10"/>
      <c r="I107" s="11"/>
      <c r="J107" s="11"/>
      <c r="K107" s="11"/>
      <c r="L107" s="11"/>
      <c r="M107" s="11"/>
      <c r="N107" s="11"/>
      <c r="O107" s="12"/>
      <c r="P107" s="11"/>
      <c r="Q107" s="13"/>
      <c r="R107" s="14"/>
    </row>
    <row r="108" spans="1:18" ht="15" customHeight="1" x14ac:dyDescent="0.3">
      <c r="A108" s="17" t="s">
        <v>49</v>
      </c>
      <c r="B108" s="17" t="s">
        <v>61</v>
      </c>
      <c r="C108" s="18">
        <v>0.51736111111111105</v>
      </c>
      <c r="D108" s="17" t="s">
        <v>51</v>
      </c>
      <c r="E108" s="17" t="s">
        <v>59</v>
      </c>
      <c r="F108" s="17" t="s">
        <v>53</v>
      </c>
      <c r="G108" s="190"/>
      <c r="H108" s="10"/>
      <c r="I108" s="11"/>
      <c r="J108" s="11"/>
      <c r="K108" s="11"/>
      <c r="L108" s="11"/>
      <c r="M108" s="11"/>
      <c r="N108" s="11"/>
      <c r="O108" s="12"/>
      <c r="P108" s="11"/>
      <c r="Q108" s="13"/>
      <c r="R108" s="14"/>
    </row>
    <row r="109" spans="1:18" ht="15" customHeight="1" x14ac:dyDescent="0.3">
      <c r="A109" s="15" t="s">
        <v>49</v>
      </c>
      <c r="B109" s="15" t="s">
        <v>61</v>
      </c>
      <c r="C109" s="16">
        <v>0.51736111111111105</v>
      </c>
      <c r="D109" s="15" t="s">
        <v>54</v>
      </c>
      <c r="E109" s="15" t="s">
        <v>60</v>
      </c>
      <c r="F109" s="15" t="s">
        <v>55</v>
      </c>
      <c r="G109" s="190"/>
      <c r="H109" s="10"/>
      <c r="I109" s="11"/>
      <c r="J109" s="11"/>
      <c r="K109" s="11"/>
      <c r="L109" s="11"/>
      <c r="M109" s="11"/>
      <c r="N109" s="11"/>
      <c r="O109" s="12"/>
      <c r="P109" s="11"/>
      <c r="Q109" s="13"/>
      <c r="R109" s="14"/>
    </row>
    <row r="110" spans="1:18" ht="15" customHeight="1" x14ac:dyDescent="0.3">
      <c r="A110" s="15" t="s">
        <v>49</v>
      </c>
      <c r="B110" s="15" t="s">
        <v>61</v>
      </c>
      <c r="C110" s="16">
        <v>0.51736111111111105</v>
      </c>
      <c r="D110" s="15" t="s">
        <v>56</v>
      </c>
      <c r="E110" s="15" t="s">
        <v>60</v>
      </c>
      <c r="F110" s="15" t="s">
        <v>57</v>
      </c>
      <c r="G110" s="190"/>
      <c r="H110" s="10"/>
      <c r="I110" s="11"/>
      <c r="J110" s="11"/>
      <c r="K110" s="11"/>
      <c r="L110" s="11"/>
      <c r="M110" s="11"/>
      <c r="N110" s="11"/>
      <c r="O110" s="12"/>
      <c r="P110" s="11"/>
      <c r="Q110" s="13"/>
      <c r="R110" s="14"/>
    </row>
    <row r="111" spans="1:18" ht="15" customHeight="1" x14ac:dyDescent="0.3">
      <c r="A111" s="17" t="s">
        <v>49</v>
      </c>
      <c r="B111" s="17" t="s">
        <v>75</v>
      </c>
      <c r="C111" s="18">
        <v>0.39583333333333331</v>
      </c>
      <c r="D111" s="17" t="s">
        <v>51</v>
      </c>
      <c r="E111" s="17" t="s">
        <v>59</v>
      </c>
      <c r="F111" s="17" t="s">
        <v>53</v>
      </c>
      <c r="G111" s="190"/>
      <c r="H111" s="10"/>
      <c r="I111" s="11"/>
      <c r="J111" s="11"/>
      <c r="K111" s="11"/>
      <c r="L111" s="11"/>
      <c r="M111" s="11"/>
      <c r="N111" s="11"/>
      <c r="O111" s="12"/>
      <c r="P111" s="11"/>
      <c r="Q111" s="13"/>
      <c r="R111" s="14"/>
    </row>
    <row r="112" spans="1:18" ht="15" customHeight="1" x14ac:dyDescent="0.3">
      <c r="A112" s="15" t="s">
        <v>49</v>
      </c>
      <c r="B112" s="15" t="s">
        <v>75</v>
      </c>
      <c r="C112" s="16">
        <v>0.39583333333333331</v>
      </c>
      <c r="D112" s="15" t="s">
        <v>54</v>
      </c>
      <c r="E112" s="15" t="s">
        <v>60</v>
      </c>
      <c r="F112" s="15" t="s">
        <v>55</v>
      </c>
      <c r="G112" s="190"/>
      <c r="H112" s="10"/>
      <c r="I112" s="11"/>
      <c r="J112" s="11"/>
      <c r="K112" s="11"/>
      <c r="L112" s="11"/>
      <c r="M112" s="11"/>
      <c r="N112" s="11"/>
      <c r="O112" s="12"/>
      <c r="P112" s="11"/>
      <c r="Q112" s="13"/>
      <c r="R112" s="14"/>
    </row>
    <row r="113" spans="1:18" ht="15" customHeight="1" x14ac:dyDescent="0.3">
      <c r="A113" s="15" t="s">
        <v>49</v>
      </c>
      <c r="B113" s="15" t="s">
        <v>75</v>
      </c>
      <c r="C113" s="16">
        <v>0.39583333333333331</v>
      </c>
      <c r="D113" s="15" t="s">
        <v>56</v>
      </c>
      <c r="E113" s="15" t="s">
        <v>60</v>
      </c>
      <c r="F113" s="15" t="s">
        <v>57</v>
      </c>
      <c r="G113" s="190"/>
      <c r="H113" s="10"/>
      <c r="I113" s="11"/>
      <c r="J113" s="11"/>
      <c r="K113" s="11"/>
      <c r="L113" s="11"/>
      <c r="M113" s="11"/>
      <c r="N113" s="11"/>
      <c r="O113" s="12"/>
      <c r="P113" s="11"/>
      <c r="Q113" s="13"/>
      <c r="R113" s="14"/>
    </row>
    <row r="114" spans="1:18" ht="15" customHeight="1" x14ac:dyDescent="0.3">
      <c r="A114" s="17" t="s">
        <v>49</v>
      </c>
      <c r="B114" s="17" t="s">
        <v>66</v>
      </c>
      <c r="C114" s="18">
        <v>0.79861111111111116</v>
      </c>
      <c r="D114" s="17" t="s">
        <v>51</v>
      </c>
      <c r="E114" s="17" t="s">
        <v>59</v>
      </c>
      <c r="F114" s="17" t="s">
        <v>53</v>
      </c>
      <c r="G114" s="190"/>
      <c r="H114" s="10"/>
      <c r="I114" s="11"/>
      <c r="J114" s="11"/>
      <c r="K114" s="11"/>
      <c r="L114" s="11"/>
      <c r="M114" s="11"/>
      <c r="N114" s="11"/>
      <c r="O114" s="12"/>
      <c r="P114" s="11"/>
      <c r="Q114" s="13"/>
      <c r="R114" s="14"/>
    </row>
    <row r="115" spans="1:18" ht="15" customHeight="1" x14ac:dyDescent="0.3">
      <c r="A115" s="15" t="s">
        <v>49</v>
      </c>
      <c r="B115" s="15" t="s">
        <v>66</v>
      </c>
      <c r="C115" s="16">
        <v>0.79861111111111116</v>
      </c>
      <c r="D115" s="15" t="s">
        <v>54</v>
      </c>
      <c r="E115" s="15" t="s">
        <v>60</v>
      </c>
      <c r="F115" s="15" t="s">
        <v>55</v>
      </c>
      <c r="G115" s="190"/>
      <c r="H115" s="10"/>
      <c r="I115" s="11"/>
      <c r="J115" s="11"/>
      <c r="K115" s="11"/>
      <c r="L115" s="11"/>
      <c r="M115" s="11"/>
      <c r="N115" s="11"/>
      <c r="O115" s="12"/>
      <c r="P115" s="11"/>
      <c r="Q115" s="13"/>
      <c r="R115" s="14"/>
    </row>
    <row r="116" spans="1:18" ht="15" customHeight="1" x14ac:dyDescent="0.3">
      <c r="A116" s="15" t="s">
        <v>49</v>
      </c>
      <c r="B116" s="15" t="s">
        <v>66</v>
      </c>
      <c r="C116" s="16">
        <v>0.79861111111111116</v>
      </c>
      <c r="D116" s="15" t="s">
        <v>56</v>
      </c>
      <c r="E116" s="15" t="s">
        <v>60</v>
      </c>
      <c r="F116" s="15" t="s">
        <v>57</v>
      </c>
      <c r="G116" s="190"/>
      <c r="H116" s="10"/>
      <c r="I116" s="11"/>
      <c r="J116" s="11"/>
      <c r="K116" s="11"/>
      <c r="L116" s="11"/>
      <c r="M116" s="11"/>
      <c r="N116" s="11"/>
      <c r="O116" s="12"/>
      <c r="P116" s="11"/>
      <c r="Q116" s="13"/>
      <c r="R116" s="14"/>
    </row>
    <row r="117" spans="1:18" ht="15" customHeight="1" x14ac:dyDescent="0.3">
      <c r="A117" s="17" t="s">
        <v>49</v>
      </c>
      <c r="B117" s="17" t="s">
        <v>58</v>
      </c>
      <c r="C117" s="18">
        <v>0.64583333333333337</v>
      </c>
      <c r="D117" s="17" t="s">
        <v>51</v>
      </c>
      <c r="E117" s="17" t="s">
        <v>124</v>
      </c>
      <c r="F117" s="17" t="s">
        <v>71</v>
      </c>
      <c r="G117" s="190"/>
      <c r="H117" s="10"/>
      <c r="I117" s="11"/>
      <c r="J117" s="11"/>
      <c r="K117" s="11"/>
      <c r="L117" s="11"/>
      <c r="M117" s="11"/>
      <c r="N117" s="11"/>
      <c r="O117" s="12"/>
      <c r="P117" s="11"/>
      <c r="Q117" s="13"/>
      <c r="R117" s="14"/>
    </row>
    <row r="118" spans="1:18" ht="15" customHeight="1" x14ac:dyDescent="0.3">
      <c r="A118" s="15" t="s">
        <v>49</v>
      </c>
      <c r="B118" s="15" t="s">
        <v>58</v>
      </c>
      <c r="C118" s="16">
        <v>0.64583333333333337</v>
      </c>
      <c r="D118" s="15" t="s">
        <v>54</v>
      </c>
      <c r="E118" s="15" t="s">
        <v>164</v>
      </c>
      <c r="F118" s="15" t="s">
        <v>73</v>
      </c>
      <c r="G118" s="190"/>
      <c r="H118" s="10"/>
      <c r="I118" s="11"/>
      <c r="J118" s="11"/>
      <c r="K118" s="11"/>
      <c r="L118" s="11"/>
      <c r="M118" s="11"/>
      <c r="N118" s="11"/>
      <c r="O118" s="12"/>
      <c r="P118" s="11"/>
      <c r="Q118" s="13"/>
      <c r="R118" s="14"/>
    </row>
    <row r="119" spans="1:18" ht="15" customHeight="1" x14ac:dyDescent="0.3">
      <c r="A119" s="15" t="s">
        <v>49</v>
      </c>
      <c r="B119" s="15" t="s">
        <v>58</v>
      </c>
      <c r="C119" s="16">
        <v>0.64583333333333337</v>
      </c>
      <c r="D119" s="15" t="s">
        <v>56</v>
      </c>
      <c r="E119" s="15" t="s">
        <v>164</v>
      </c>
      <c r="F119" s="15" t="s">
        <v>74</v>
      </c>
      <c r="G119" s="190"/>
      <c r="H119" s="10"/>
      <c r="I119" s="11"/>
      <c r="J119" s="11"/>
      <c r="K119" s="11"/>
      <c r="L119" s="11"/>
      <c r="M119" s="11"/>
      <c r="N119" s="11"/>
      <c r="O119" s="12"/>
      <c r="P119" s="11"/>
      <c r="Q119" s="13"/>
      <c r="R119" s="14"/>
    </row>
    <row r="120" spans="1:18" ht="15" customHeight="1" x14ac:dyDescent="0.3">
      <c r="A120" s="17" t="s">
        <v>49</v>
      </c>
      <c r="B120" s="17" t="s">
        <v>63</v>
      </c>
      <c r="C120" s="18">
        <v>0.85416666666666663</v>
      </c>
      <c r="D120" s="17" t="s">
        <v>51</v>
      </c>
      <c r="E120" s="17" t="s">
        <v>67</v>
      </c>
      <c r="F120" s="17" t="s">
        <v>71</v>
      </c>
      <c r="G120" s="190"/>
      <c r="H120" s="10"/>
      <c r="I120" s="11"/>
      <c r="J120" s="11"/>
      <c r="K120" s="11"/>
      <c r="L120" s="11"/>
      <c r="M120" s="11"/>
      <c r="N120" s="11"/>
      <c r="O120" s="12"/>
      <c r="P120" s="11"/>
      <c r="Q120" s="13"/>
      <c r="R120" s="14"/>
    </row>
    <row r="121" spans="1:18" ht="15" customHeight="1" x14ac:dyDescent="0.3">
      <c r="A121" s="15" t="s">
        <v>49</v>
      </c>
      <c r="B121" s="15" t="s">
        <v>63</v>
      </c>
      <c r="C121" s="16">
        <v>0.85416666666666663</v>
      </c>
      <c r="D121" s="15" t="s">
        <v>54</v>
      </c>
      <c r="E121" s="15" t="s">
        <v>68</v>
      </c>
      <c r="F121" s="15" t="s">
        <v>73</v>
      </c>
      <c r="G121" s="190"/>
      <c r="H121" s="10"/>
      <c r="I121" s="11"/>
      <c r="J121" s="11"/>
      <c r="K121" s="11"/>
      <c r="L121" s="11"/>
      <c r="M121" s="11"/>
      <c r="N121" s="11"/>
      <c r="O121" s="12"/>
      <c r="P121" s="11"/>
      <c r="Q121" s="13"/>
      <c r="R121" s="14"/>
    </row>
    <row r="122" spans="1:18" ht="15" customHeight="1" x14ac:dyDescent="0.3">
      <c r="A122" s="15" t="s">
        <v>49</v>
      </c>
      <c r="B122" s="15" t="s">
        <v>63</v>
      </c>
      <c r="C122" s="16">
        <v>0.85416666666666663</v>
      </c>
      <c r="D122" s="15" t="s">
        <v>56</v>
      </c>
      <c r="E122" s="15" t="s">
        <v>68</v>
      </c>
      <c r="F122" s="15" t="s">
        <v>74</v>
      </c>
      <c r="G122" s="190"/>
      <c r="H122" s="10"/>
      <c r="I122" s="11"/>
      <c r="J122" s="11"/>
      <c r="K122" s="11"/>
      <c r="L122" s="11"/>
      <c r="M122" s="11"/>
      <c r="N122" s="11"/>
      <c r="O122" s="12"/>
      <c r="P122" s="11"/>
      <c r="Q122" s="13"/>
      <c r="R122" s="14"/>
    </row>
    <row r="123" spans="1:18" ht="15" customHeight="1" x14ac:dyDescent="0.3">
      <c r="A123" s="75" t="s">
        <v>77</v>
      </c>
      <c r="B123" s="75" t="s">
        <v>169</v>
      </c>
      <c r="C123" s="76">
        <v>0.52083333333333337</v>
      </c>
      <c r="D123" s="75" t="s">
        <v>79</v>
      </c>
      <c r="E123" s="75" t="s">
        <v>113</v>
      </c>
      <c r="F123" s="75" t="s">
        <v>80</v>
      </c>
      <c r="G123" s="190"/>
      <c r="H123" s="41" t="s">
        <v>102</v>
      </c>
      <c r="I123" s="42">
        <v>0.63690000000000002</v>
      </c>
      <c r="J123" s="43">
        <v>114</v>
      </c>
      <c r="K123" s="44">
        <v>45980</v>
      </c>
      <c r="L123" s="43">
        <v>47</v>
      </c>
      <c r="M123" s="43">
        <v>0</v>
      </c>
      <c r="N123" s="43">
        <v>5</v>
      </c>
      <c r="O123" s="45" t="s">
        <v>170</v>
      </c>
      <c r="P123" s="46">
        <v>0.52083333333333337</v>
      </c>
      <c r="Q123" s="43">
        <v>179</v>
      </c>
      <c r="R123" s="47" t="s">
        <v>171</v>
      </c>
    </row>
    <row r="124" spans="1:18" ht="15" customHeight="1" x14ac:dyDescent="0.3">
      <c r="A124" s="77" t="s">
        <v>77</v>
      </c>
      <c r="B124" s="77" t="s">
        <v>84</v>
      </c>
      <c r="C124" s="78">
        <v>0.51736111111111105</v>
      </c>
      <c r="D124" s="77" t="s">
        <v>79</v>
      </c>
      <c r="E124" s="77" t="s">
        <v>116</v>
      </c>
      <c r="F124" s="77" t="s">
        <v>80</v>
      </c>
      <c r="G124" s="190"/>
      <c r="H124" s="79" t="s">
        <v>85</v>
      </c>
      <c r="I124" s="80">
        <v>0.36309999999999998</v>
      </c>
      <c r="J124" s="81">
        <v>65</v>
      </c>
      <c r="K124" s="82">
        <v>45980</v>
      </c>
      <c r="L124" s="81">
        <v>49</v>
      </c>
      <c r="M124" s="81">
        <v>0</v>
      </c>
      <c r="N124" s="81">
        <v>1</v>
      </c>
      <c r="O124" s="83" t="s">
        <v>170</v>
      </c>
      <c r="P124" s="84">
        <v>0.51736111111111105</v>
      </c>
      <c r="Q124" s="81">
        <v>179</v>
      </c>
      <c r="R124" s="85" t="s">
        <v>172</v>
      </c>
    </row>
    <row r="125" spans="1:18" ht="15" customHeight="1" x14ac:dyDescent="0.3">
      <c r="A125" s="86" t="s">
        <v>77</v>
      </c>
      <c r="B125" s="86" t="s">
        <v>92</v>
      </c>
      <c r="C125" s="87">
        <v>0.61458333333333337</v>
      </c>
      <c r="D125" s="86" t="s">
        <v>79</v>
      </c>
      <c r="E125" s="86" t="s">
        <v>62</v>
      </c>
      <c r="F125" s="86" t="s">
        <v>80</v>
      </c>
      <c r="G125" s="190"/>
      <c r="H125" s="88" t="s">
        <v>94</v>
      </c>
      <c r="I125" s="89">
        <v>0.6089</v>
      </c>
      <c r="J125" s="90">
        <v>109</v>
      </c>
      <c r="K125" s="91">
        <v>45980</v>
      </c>
      <c r="L125" s="90">
        <v>40</v>
      </c>
      <c r="M125" s="90">
        <v>0</v>
      </c>
      <c r="N125" s="90">
        <v>4</v>
      </c>
      <c r="O125" s="92" t="s">
        <v>82</v>
      </c>
      <c r="P125" s="93">
        <v>0.61458333333333337</v>
      </c>
      <c r="Q125" s="90">
        <v>179</v>
      </c>
      <c r="R125" s="94" t="s">
        <v>173</v>
      </c>
    </row>
    <row r="126" spans="1:18" ht="15" customHeight="1" x14ac:dyDescent="0.3">
      <c r="A126" s="19" t="s">
        <v>104</v>
      </c>
      <c r="B126" s="19" t="s">
        <v>174</v>
      </c>
      <c r="C126" s="20">
        <v>0.3923611111111111</v>
      </c>
      <c r="D126" s="19" t="s">
        <v>106</v>
      </c>
      <c r="E126" s="19" t="s">
        <v>107</v>
      </c>
      <c r="F126" s="19" t="s">
        <v>108</v>
      </c>
      <c r="G126" s="190"/>
      <c r="H126" s="10"/>
      <c r="I126" s="11"/>
      <c r="J126" s="11"/>
      <c r="K126" s="11"/>
      <c r="L126" s="11"/>
      <c r="M126" s="11"/>
      <c r="N126" s="11"/>
      <c r="O126" s="12"/>
      <c r="P126" s="11"/>
      <c r="Q126" s="13"/>
      <c r="R126" s="14"/>
    </row>
    <row r="127" spans="1:18" ht="15" customHeight="1" x14ac:dyDescent="0.3">
      <c r="A127" s="15" t="s">
        <v>104</v>
      </c>
      <c r="B127" s="15" t="s">
        <v>174</v>
      </c>
      <c r="C127" s="16">
        <v>0.3923611111111111</v>
      </c>
      <c r="D127" s="15" t="s">
        <v>34</v>
      </c>
      <c r="E127" s="15" t="s">
        <v>72</v>
      </c>
      <c r="F127" s="15" t="s">
        <v>109</v>
      </c>
      <c r="G127" s="190"/>
      <c r="H127" s="10"/>
      <c r="I127" s="11"/>
      <c r="J127" s="11"/>
      <c r="K127" s="11"/>
      <c r="L127" s="11"/>
      <c r="M127" s="11"/>
      <c r="N127" s="11"/>
      <c r="O127" s="12"/>
      <c r="P127" s="11"/>
      <c r="Q127" s="13"/>
      <c r="R127" s="14"/>
    </row>
    <row r="128" spans="1:18" ht="15" customHeight="1" x14ac:dyDescent="0.3">
      <c r="A128" s="19" t="s">
        <v>110</v>
      </c>
      <c r="B128" s="19" t="s">
        <v>111</v>
      </c>
      <c r="C128" s="20">
        <v>0.27083333333333331</v>
      </c>
      <c r="D128" s="19" t="s">
        <v>112</v>
      </c>
      <c r="E128" s="19" t="s">
        <v>113</v>
      </c>
      <c r="F128" s="19" t="s">
        <v>114</v>
      </c>
      <c r="G128" s="190"/>
      <c r="H128" s="10"/>
      <c r="I128" s="11"/>
      <c r="J128" s="11"/>
      <c r="K128" s="11"/>
      <c r="L128" s="11"/>
      <c r="M128" s="11"/>
      <c r="N128" s="11"/>
      <c r="O128" s="12"/>
      <c r="P128" s="11"/>
      <c r="Q128" s="13"/>
      <c r="R128" s="14"/>
    </row>
    <row r="129" spans="1:18" ht="15" customHeight="1" x14ac:dyDescent="0.3">
      <c r="A129" s="17" t="s">
        <v>110</v>
      </c>
      <c r="B129" s="17" t="s">
        <v>115</v>
      </c>
      <c r="C129" s="18">
        <v>0.86111111111111116</v>
      </c>
      <c r="D129" s="17" t="s">
        <v>112</v>
      </c>
      <c r="E129" s="17" t="s">
        <v>37</v>
      </c>
      <c r="F129" s="17" t="s">
        <v>175</v>
      </c>
      <c r="G129" s="190"/>
      <c r="H129" s="10"/>
      <c r="I129" s="11"/>
      <c r="J129" s="11"/>
      <c r="K129" s="11"/>
      <c r="L129" s="11"/>
      <c r="M129" s="11"/>
      <c r="N129" s="11"/>
      <c r="O129" s="12"/>
      <c r="P129" s="11"/>
      <c r="Q129" s="13"/>
      <c r="R129" s="14"/>
    </row>
    <row r="130" spans="1:18" ht="15" customHeight="1" x14ac:dyDescent="0.3">
      <c r="A130" s="19" t="s">
        <v>148</v>
      </c>
      <c r="B130" s="19" t="s">
        <v>176</v>
      </c>
      <c r="C130" s="20">
        <v>0.78472222222222221</v>
      </c>
      <c r="D130" s="19" t="s">
        <v>150</v>
      </c>
      <c r="E130" s="19" t="s">
        <v>113</v>
      </c>
      <c r="F130" s="19" t="s">
        <v>177</v>
      </c>
      <c r="G130" s="190"/>
      <c r="H130" s="10"/>
      <c r="I130" s="11"/>
      <c r="J130" s="11"/>
      <c r="K130" s="11"/>
      <c r="L130" s="11"/>
      <c r="M130" s="11"/>
      <c r="N130" s="11"/>
      <c r="O130" s="12"/>
      <c r="P130" s="11"/>
      <c r="Q130" s="13"/>
      <c r="R130" s="14"/>
    </row>
    <row r="131" spans="1:18" ht="15" customHeight="1" x14ac:dyDescent="0.3">
      <c r="A131" s="17" t="s">
        <v>148</v>
      </c>
      <c r="B131" s="17" t="s">
        <v>157</v>
      </c>
      <c r="C131" s="18">
        <v>0.14583333333333329</v>
      </c>
      <c r="D131" s="17" t="s">
        <v>150</v>
      </c>
      <c r="E131" s="17" t="s">
        <v>116</v>
      </c>
      <c r="F131" s="17" t="s">
        <v>178</v>
      </c>
      <c r="G131" s="190"/>
      <c r="H131" s="10"/>
      <c r="I131" s="11"/>
      <c r="J131" s="11"/>
      <c r="K131" s="11"/>
      <c r="L131" s="11"/>
      <c r="M131" s="11"/>
      <c r="N131" s="11"/>
      <c r="O131" s="12"/>
      <c r="P131" s="11"/>
      <c r="Q131" s="13"/>
      <c r="R131" s="14"/>
    </row>
    <row r="132" spans="1:18" ht="15" customHeight="1" x14ac:dyDescent="0.3">
      <c r="A132" s="17" t="s">
        <v>148</v>
      </c>
      <c r="B132" s="17" t="s">
        <v>149</v>
      </c>
      <c r="C132" s="18">
        <v>0.4861111111111111</v>
      </c>
      <c r="D132" s="17" t="s">
        <v>150</v>
      </c>
      <c r="E132" s="17" t="s">
        <v>116</v>
      </c>
      <c r="F132" s="17" t="s">
        <v>179</v>
      </c>
      <c r="G132" s="190"/>
      <c r="H132" s="10"/>
      <c r="I132" s="11"/>
      <c r="J132" s="11"/>
      <c r="K132" s="11"/>
      <c r="L132" s="11"/>
      <c r="M132" s="11"/>
      <c r="N132" s="11"/>
      <c r="O132" s="12"/>
      <c r="P132" s="11"/>
      <c r="Q132" s="13"/>
      <c r="R132" s="14"/>
    </row>
    <row r="133" spans="1:18" ht="15" customHeight="1" x14ac:dyDescent="0.3">
      <c r="A133" s="17" t="s">
        <v>148</v>
      </c>
      <c r="B133" s="17" t="s">
        <v>158</v>
      </c>
      <c r="C133" s="18">
        <v>0.27430555555555552</v>
      </c>
      <c r="D133" s="17" t="s">
        <v>150</v>
      </c>
      <c r="E133" s="17" t="s">
        <v>116</v>
      </c>
      <c r="F133" s="17" t="s">
        <v>179</v>
      </c>
      <c r="G133" s="190"/>
      <c r="H133" s="10"/>
      <c r="I133" s="11"/>
      <c r="J133" s="11"/>
      <c r="K133" s="11"/>
      <c r="L133" s="11"/>
      <c r="M133" s="11"/>
      <c r="N133" s="11"/>
      <c r="O133" s="12"/>
      <c r="P133" s="11"/>
      <c r="Q133" s="13"/>
      <c r="R133" s="14"/>
    </row>
    <row r="134" spans="1:18" ht="15" customHeight="1" x14ac:dyDescent="0.3">
      <c r="A134" s="17" t="s">
        <v>148</v>
      </c>
      <c r="B134" s="17" t="s">
        <v>152</v>
      </c>
      <c r="C134" s="18">
        <v>0.50694444444444442</v>
      </c>
      <c r="D134" s="17" t="s">
        <v>150</v>
      </c>
      <c r="E134" s="17" t="s">
        <v>116</v>
      </c>
      <c r="F134" s="17" t="s">
        <v>179</v>
      </c>
      <c r="G134" s="190"/>
      <c r="H134" s="10"/>
      <c r="I134" s="11"/>
      <c r="J134" s="11"/>
      <c r="K134" s="11"/>
      <c r="L134" s="11"/>
      <c r="M134" s="11"/>
      <c r="N134" s="11"/>
      <c r="O134" s="12"/>
      <c r="P134" s="11"/>
      <c r="Q134" s="13"/>
      <c r="R134" s="14"/>
    </row>
    <row r="135" spans="1:18" ht="15" customHeight="1" x14ac:dyDescent="0.3">
      <c r="A135" s="17" t="s">
        <v>148</v>
      </c>
      <c r="B135" s="17" t="s">
        <v>153</v>
      </c>
      <c r="C135" s="18">
        <v>0.22222222222222221</v>
      </c>
      <c r="D135" s="17" t="s">
        <v>150</v>
      </c>
      <c r="E135" s="17" t="s">
        <v>116</v>
      </c>
      <c r="F135" s="17" t="s">
        <v>179</v>
      </c>
      <c r="G135" s="190"/>
      <c r="H135" s="10"/>
      <c r="I135" s="11"/>
      <c r="J135" s="11"/>
      <c r="K135" s="11"/>
      <c r="L135" s="11"/>
      <c r="M135" s="11"/>
      <c r="N135" s="11"/>
      <c r="O135" s="12"/>
      <c r="P135" s="11"/>
      <c r="Q135" s="13"/>
      <c r="R135" s="14"/>
    </row>
    <row r="136" spans="1:18" ht="15" customHeight="1" x14ac:dyDescent="0.3">
      <c r="A136" s="17" t="s">
        <v>148</v>
      </c>
      <c r="B136" s="17" t="s">
        <v>180</v>
      </c>
      <c r="C136" s="18">
        <v>0.95833333333333337</v>
      </c>
      <c r="D136" s="17" t="s">
        <v>150</v>
      </c>
      <c r="E136" s="17" t="s">
        <v>116</v>
      </c>
      <c r="F136" s="17" t="s">
        <v>151</v>
      </c>
      <c r="G136" s="190"/>
      <c r="H136" s="10"/>
      <c r="I136" s="11"/>
      <c r="J136" s="11"/>
      <c r="K136" s="11"/>
      <c r="L136" s="11"/>
      <c r="M136" s="11"/>
      <c r="N136" s="11"/>
      <c r="O136" s="12"/>
      <c r="P136" s="11"/>
      <c r="Q136" s="13"/>
      <c r="R136" s="14"/>
    </row>
    <row r="137" spans="1:18" ht="15" customHeight="1" x14ac:dyDescent="0.3">
      <c r="A137" s="17" t="s">
        <v>148</v>
      </c>
      <c r="B137" s="17" t="s">
        <v>155</v>
      </c>
      <c r="C137" s="18">
        <v>1.388888888888889E-2</v>
      </c>
      <c r="D137" s="17" t="s">
        <v>150</v>
      </c>
      <c r="E137" s="17" t="s">
        <v>116</v>
      </c>
      <c r="F137" s="17" t="s">
        <v>156</v>
      </c>
      <c r="G137" s="190"/>
      <c r="H137" s="10"/>
      <c r="I137" s="11"/>
      <c r="J137" s="11"/>
      <c r="K137" s="11"/>
      <c r="L137" s="11"/>
      <c r="M137" s="11"/>
      <c r="N137" s="11"/>
      <c r="O137" s="12"/>
      <c r="P137" s="11"/>
      <c r="Q137" s="13"/>
      <c r="R137" s="14"/>
    </row>
    <row r="138" spans="1:18" ht="15" customHeight="1" x14ac:dyDescent="0.3">
      <c r="A138" s="17" t="s">
        <v>148</v>
      </c>
      <c r="B138" s="17" t="s">
        <v>160</v>
      </c>
      <c r="C138" s="18">
        <v>0.77430555555555547</v>
      </c>
      <c r="D138" s="17" t="s">
        <v>150</v>
      </c>
      <c r="E138" s="17" t="s">
        <v>37</v>
      </c>
      <c r="F138" s="17" t="s">
        <v>161</v>
      </c>
      <c r="G138" s="190"/>
      <c r="H138" s="10"/>
      <c r="I138" s="11"/>
      <c r="J138" s="11"/>
      <c r="K138" s="11"/>
      <c r="L138" s="11"/>
      <c r="M138" s="11"/>
      <c r="N138" s="11"/>
      <c r="O138" s="12"/>
      <c r="P138" s="11"/>
      <c r="Q138" s="13"/>
      <c r="R138" s="14"/>
    </row>
    <row r="139" spans="1:18" ht="15" customHeight="1" x14ac:dyDescent="0.3">
      <c r="A139" s="19" t="s">
        <v>125</v>
      </c>
      <c r="B139" s="19" t="s">
        <v>134</v>
      </c>
      <c r="C139" s="20">
        <v>0.1423611111111111</v>
      </c>
      <c r="D139" s="19" t="s">
        <v>127</v>
      </c>
      <c r="E139" s="19" t="s">
        <v>181</v>
      </c>
      <c r="F139" s="19" t="s">
        <v>182</v>
      </c>
      <c r="G139" s="190"/>
      <c r="H139" s="10"/>
      <c r="I139" s="11"/>
      <c r="J139" s="11"/>
      <c r="K139" s="11"/>
      <c r="L139" s="11"/>
      <c r="M139" s="11"/>
      <c r="N139" s="11"/>
      <c r="O139" s="12"/>
      <c r="P139" s="11"/>
      <c r="Q139" s="13"/>
      <c r="R139" s="14"/>
    </row>
    <row r="140" spans="1:18" ht="15" customHeight="1" x14ac:dyDescent="0.3">
      <c r="A140" s="15" t="s">
        <v>125</v>
      </c>
      <c r="B140" s="15" t="s">
        <v>134</v>
      </c>
      <c r="C140" s="16">
        <v>0.1423611111111111</v>
      </c>
      <c r="D140" s="15" t="s">
        <v>129</v>
      </c>
      <c r="E140" s="15" t="s">
        <v>68</v>
      </c>
      <c r="F140" s="15" t="s">
        <v>183</v>
      </c>
      <c r="G140" s="190"/>
      <c r="H140" s="10"/>
      <c r="I140" s="11"/>
      <c r="J140" s="11"/>
      <c r="K140" s="11"/>
      <c r="L140" s="11"/>
      <c r="M140" s="11"/>
      <c r="N140" s="11"/>
      <c r="O140" s="12"/>
      <c r="P140" s="11"/>
      <c r="Q140" s="13"/>
      <c r="R140" s="14"/>
    </row>
    <row r="141" spans="1:18" ht="15" customHeight="1" x14ac:dyDescent="0.3">
      <c r="A141" s="17" t="s">
        <v>125</v>
      </c>
      <c r="B141" s="17" t="s">
        <v>126</v>
      </c>
      <c r="C141" s="18">
        <v>0.37847222222222232</v>
      </c>
      <c r="D141" s="17" t="s">
        <v>127</v>
      </c>
      <c r="E141" s="17" t="s">
        <v>116</v>
      </c>
      <c r="F141" s="17" t="s">
        <v>128</v>
      </c>
      <c r="G141" s="190"/>
      <c r="H141" s="10"/>
      <c r="I141" s="11"/>
      <c r="J141" s="11"/>
      <c r="K141" s="11"/>
      <c r="L141" s="11"/>
      <c r="M141" s="11"/>
      <c r="N141" s="11"/>
      <c r="O141" s="12"/>
      <c r="P141" s="11"/>
      <c r="Q141" s="13"/>
      <c r="R141" s="14"/>
    </row>
    <row r="142" spans="1:18" ht="15" customHeight="1" x14ac:dyDescent="0.3">
      <c r="A142" s="15" t="s">
        <v>125</v>
      </c>
      <c r="B142" s="15" t="s">
        <v>126</v>
      </c>
      <c r="C142" s="16">
        <v>0.37847222222222232</v>
      </c>
      <c r="D142" s="15" t="s">
        <v>129</v>
      </c>
      <c r="E142" s="15" t="s">
        <v>130</v>
      </c>
      <c r="F142" s="15" t="s">
        <v>131</v>
      </c>
      <c r="G142" s="190"/>
      <c r="H142" s="10"/>
      <c r="I142" s="11"/>
      <c r="J142" s="11"/>
      <c r="K142" s="11"/>
      <c r="L142" s="11"/>
      <c r="M142" s="11"/>
      <c r="N142" s="11"/>
      <c r="O142" s="12"/>
      <c r="P142" s="11"/>
      <c r="Q142" s="13"/>
      <c r="R142" s="14"/>
    </row>
    <row r="143" spans="1:18" ht="15" customHeight="1" x14ac:dyDescent="0.3">
      <c r="A143" s="17" t="s">
        <v>125</v>
      </c>
      <c r="B143" s="17" t="s">
        <v>132</v>
      </c>
      <c r="C143" s="18">
        <v>6.9444444444444441E-3</v>
      </c>
      <c r="D143" s="17" t="s">
        <v>127</v>
      </c>
      <c r="E143" s="17" t="s">
        <v>116</v>
      </c>
      <c r="F143" s="17" t="s">
        <v>128</v>
      </c>
      <c r="G143" s="190"/>
      <c r="H143" s="10"/>
      <c r="I143" s="11"/>
      <c r="J143" s="11"/>
      <c r="K143" s="11"/>
      <c r="L143" s="11"/>
      <c r="M143" s="11"/>
      <c r="N143" s="11"/>
      <c r="O143" s="12"/>
      <c r="P143" s="11"/>
      <c r="Q143" s="13"/>
      <c r="R143" s="14"/>
    </row>
    <row r="144" spans="1:18" ht="15" customHeight="1" x14ac:dyDescent="0.3">
      <c r="A144" s="15" t="s">
        <v>125</v>
      </c>
      <c r="B144" s="15" t="s">
        <v>132</v>
      </c>
      <c r="C144" s="16">
        <v>6.9444444444444441E-3</v>
      </c>
      <c r="D144" s="15" t="s">
        <v>129</v>
      </c>
      <c r="E144" s="15" t="s">
        <v>130</v>
      </c>
      <c r="F144" s="15" t="s">
        <v>131</v>
      </c>
      <c r="G144" s="190"/>
      <c r="H144" s="10"/>
      <c r="I144" s="11"/>
      <c r="J144" s="11"/>
      <c r="K144" s="11"/>
      <c r="L144" s="11"/>
      <c r="M144" s="11"/>
      <c r="N144" s="11"/>
      <c r="O144" s="12"/>
      <c r="P144" s="11"/>
      <c r="Q144" s="13"/>
      <c r="R144" s="14"/>
    </row>
    <row r="145" spans="1:18" ht="15" customHeight="1" x14ac:dyDescent="0.3">
      <c r="A145" s="17" t="s">
        <v>125</v>
      </c>
      <c r="B145" s="17" t="s">
        <v>133</v>
      </c>
      <c r="C145" s="18">
        <v>0.23958333333333329</v>
      </c>
      <c r="D145" s="17" t="s">
        <v>127</v>
      </c>
      <c r="E145" s="17" t="s">
        <v>116</v>
      </c>
      <c r="F145" s="17" t="s">
        <v>128</v>
      </c>
      <c r="G145" s="190"/>
      <c r="H145" s="10"/>
      <c r="I145" s="11"/>
      <c r="J145" s="11"/>
      <c r="K145" s="11"/>
      <c r="L145" s="11"/>
      <c r="M145" s="11"/>
      <c r="N145" s="11"/>
      <c r="O145" s="12"/>
      <c r="P145" s="11"/>
      <c r="Q145" s="13"/>
      <c r="R145" s="14"/>
    </row>
    <row r="146" spans="1:18" ht="15" customHeight="1" x14ac:dyDescent="0.3">
      <c r="A146" s="15" t="s">
        <v>125</v>
      </c>
      <c r="B146" s="15" t="s">
        <v>133</v>
      </c>
      <c r="C146" s="16">
        <v>0.23958333333333329</v>
      </c>
      <c r="D146" s="15" t="s">
        <v>129</v>
      </c>
      <c r="E146" s="15" t="s">
        <v>130</v>
      </c>
      <c r="F146" s="15" t="s">
        <v>131</v>
      </c>
      <c r="G146" s="190"/>
      <c r="H146" s="10"/>
      <c r="I146" s="11"/>
      <c r="J146" s="11"/>
      <c r="K146" s="11"/>
      <c r="L146" s="11"/>
      <c r="M146" s="11"/>
      <c r="N146" s="11"/>
      <c r="O146" s="12"/>
      <c r="P146" s="11"/>
      <c r="Q146" s="13"/>
      <c r="R146" s="14"/>
    </row>
    <row r="147" spans="1:18" ht="15" customHeight="1" x14ac:dyDescent="0.3">
      <c r="A147" s="17" t="s">
        <v>125</v>
      </c>
      <c r="B147" s="17" t="s">
        <v>140</v>
      </c>
      <c r="C147" s="18">
        <v>0.88888888888888884</v>
      </c>
      <c r="D147" s="17" t="s">
        <v>129</v>
      </c>
      <c r="E147" s="17" t="s">
        <v>93</v>
      </c>
      <c r="F147" s="17" t="s">
        <v>184</v>
      </c>
      <c r="G147" s="190"/>
      <c r="H147" s="10"/>
      <c r="I147" s="11"/>
      <c r="J147" s="11"/>
      <c r="K147" s="11"/>
      <c r="L147" s="11"/>
      <c r="M147" s="11"/>
      <c r="N147" s="11"/>
      <c r="O147" s="12"/>
      <c r="P147" s="11"/>
      <c r="Q147" s="13"/>
      <c r="R147" s="14"/>
    </row>
    <row r="148" spans="1:18" ht="15" customHeight="1" x14ac:dyDescent="0.3">
      <c r="A148" s="17" t="s">
        <v>125</v>
      </c>
      <c r="B148" s="17" t="s">
        <v>135</v>
      </c>
      <c r="C148" s="18">
        <v>0.93055555555555547</v>
      </c>
      <c r="D148" s="17" t="s">
        <v>127</v>
      </c>
      <c r="E148" s="17" t="s">
        <v>116</v>
      </c>
      <c r="F148" s="17" t="s">
        <v>185</v>
      </c>
      <c r="G148" s="190"/>
      <c r="H148" s="10"/>
      <c r="I148" s="11"/>
      <c r="J148" s="11"/>
      <c r="K148" s="11"/>
      <c r="L148" s="11"/>
      <c r="M148" s="11"/>
      <c r="N148" s="11"/>
      <c r="O148" s="12"/>
      <c r="P148" s="11"/>
      <c r="Q148" s="13"/>
      <c r="R148" s="14"/>
    </row>
    <row r="149" spans="1:18" ht="15" customHeight="1" x14ac:dyDescent="0.3">
      <c r="A149" s="15" t="s">
        <v>125</v>
      </c>
      <c r="B149" s="15" t="s">
        <v>135</v>
      </c>
      <c r="C149" s="16">
        <v>0.93055555555555547</v>
      </c>
      <c r="D149" s="15" t="s">
        <v>129</v>
      </c>
      <c r="E149" s="15" t="s">
        <v>130</v>
      </c>
      <c r="F149" s="15" t="s">
        <v>186</v>
      </c>
      <c r="G149" s="190"/>
      <c r="H149" s="10"/>
      <c r="I149" s="11"/>
      <c r="J149" s="11"/>
      <c r="K149" s="11"/>
      <c r="L149" s="11"/>
      <c r="M149" s="11"/>
      <c r="N149" s="11"/>
      <c r="O149" s="12"/>
      <c r="P149" s="11"/>
      <c r="Q149" s="13"/>
      <c r="R149" s="14"/>
    </row>
    <row r="150" spans="1:18" ht="15" customHeight="1" x14ac:dyDescent="0.3">
      <c r="A150" s="17" t="s">
        <v>125</v>
      </c>
      <c r="B150" s="17" t="s">
        <v>142</v>
      </c>
      <c r="C150" s="18">
        <v>0.30208333333333331</v>
      </c>
      <c r="D150" s="17" t="s">
        <v>129</v>
      </c>
      <c r="E150" s="17" t="s">
        <v>93</v>
      </c>
      <c r="F150" s="17" t="s">
        <v>141</v>
      </c>
      <c r="G150" s="190"/>
      <c r="H150" s="10"/>
      <c r="I150" s="11"/>
      <c r="J150" s="11"/>
      <c r="K150" s="11"/>
      <c r="L150" s="11"/>
      <c r="M150" s="11"/>
      <c r="N150" s="11"/>
      <c r="O150" s="12"/>
      <c r="P150" s="11"/>
      <c r="Q150" s="13"/>
      <c r="R150" s="14"/>
    </row>
    <row r="151" spans="1:18" ht="15" customHeight="1" x14ac:dyDescent="0.3">
      <c r="A151" s="17" t="s">
        <v>125</v>
      </c>
      <c r="B151" s="17" t="s">
        <v>143</v>
      </c>
      <c r="C151" s="18">
        <v>0.12847222222222221</v>
      </c>
      <c r="D151" s="17" t="s">
        <v>129</v>
      </c>
      <c r="E151" s="17" t="s">
        <v>93</v>
      </c>
      <c r="F151" s="17" t="s">
        <v>141</v>
      </c>
      <c r="G151" s="190"/>
      <c r="H151" s="10"/>
      <c r="I151" s="11"/>
      <c r="J151" s="11"/>
      <c r="K151" s="11"/>
      <c r="L151" s="11"/>
      <c r="M151" s="11"/>
      <c r="N151" s="11"/>
      <c r="O151" s="12"/>
      <c r="P151" s="11"/>
      <c r="Q151" s="13"/>
      <c r="R151" s="14"/>
    </row>
    <row r="152" spans="1:18" ht="15" customHeight="1" x14ac:dyDescent="0.3">
      <c r="A152" s="17" t="s">
        <v>125</v>
      </c>
      <c r="B152" s="17" t="s">
        <v>144</v>
      </c>
      <c r="C152" s="18">
        <v>0.78819444444444453</v>
      </c>
      <c r="D152" s="17" t="s">
        <v>129</v>
      </c>
      <c r="E152" s="17" t="s">
        <v>93</v>
      </c>
      <c r="F152" s="17" t="s">
        <v>141</v>
      </c>
      <c r="G152" s="190"/>
      <c r="H152" s="10"/>
      <c r="I152" s="11"/>
      <c r="J152" s="11"/>
      <c r="K152" s="11"/>
      <c r="L152" s="11"/>
      <c r="M152" s="11"/>
      <c r="N152" s="11"/>
      <c r="O152" s="12"/>
      <c r="P152" s="11"/>
      <c r="Q152" s="13"/>
      <c r="R152" s="14"/>
    </row>
    <row r="153" spans="1:18" ht="15" customHeight="1" x14ac:dyDescent="0.3">
      <c r="A153" s="17" t="s">
        <v>125</v>
      </c>
      <c r="B153" s="17" t="s">
        <v>136</v>
      </c>
      <c r="C153" s="18">
        <v>0.71875</v>
      </c>
      <c r="D153" s="17" t="s">
        <v>127</v>
      </c>
      <c r="E153" s="17" t="s">
        <v>116</v>
      </c>
      <c r="F153" s="17" t="s">
        <v>187</v>
      </c>
      <c r="G153" s="190"/>
      <c r="H153" s="10"/>
      <c r="I153" s="11"/>
      <c r="J153" s="11"/>
      <c r="K153" s="11"/>
      <c r="L153" s="11"/>
      <c r="M153" s="11"/>
      <c r="N153" s="11"/>
      <c r="O153" s="12"/>
      <c r="P153" s="11"/>
      <c r="Q153" s="13"/>
      <c r="R153" s="14"/>
    </row>
    <row r="154" spans="1:18" ht="15" customHeight="1" x14ac:dyDescent="0.3">
      <c r="A154" s="15" t="s">
        <v>125</v>
      </c>
      <c r="B154" s="15" t="s">
        <v>136</v>
      </c>
      <c r="C154" s="16">
        <v>0.71875</v>
      </c>
      <c r="D154" s="15" t="s">
        <v>129</v>
      </c>
      <c r="E154" s="15" t="s">
        <v>130</v>
      </c>
      <c r="F154" s="15" t="s">
        <v>188</v>
      </c>
      <c r="G154" s="190"/>
      <c r="H154" s="10"/>
      <c r="I154" s="11"/>
      <c r="J154" s="11"/>
      <c r="K154" s="11"/>
      <c r="L154" s="11"/>
      <c r="M154" s="11"/>
      <c r="N154" s="11"/>
      <c r="O154" s="12"/>
      <c r="P154" s="11"/>
      <c r="Q154" s="13"/>
      <c r="R154" s="14"/>
    </row>
    <row r="155" spans="1:18" ht="15" customHeight="1" x14ac:dyDescent="0.3">
      <c r="A155" s="17" t="s">
        <v>125</v>
      </c>
      <c r="B155" s="17" t="s">
        <v>145</v>
      </c>
      <c r="C155" s="18">
        <v>0.61111111111111105</v>
      </c>
      <c r="D155" s="17" t="s">
        <v>127</v>
      </c>
      <c r="E155" s="17" t="s">
        <v>116</v>
      </c>
      <c r="F155" s="17" t="s">
        <v>187</v>
      </c>
      <c r="G155" s="190"/>
      <c r="H155" s="10"/>
      <c r="I155" s="11"/>
      <c r="J155" s="11"/>
      <c r="K155" s="11"/>
      <c r="L155" s="11"/>
      <c r="M155" s="11"/>
      <c r="N155" s="11"/>
      <c r="O155" s="12"/>
      <c r="P155" s="11"/>
      <c r="Q155" s="13"/>
      <c r="R155" s="14"/>
    </row>
    <row r="156" spans="1:18" ht="15" customHeight="1" x14ac:dyDescent="0.3">
      <c r="A156" s="15" t="s">
        <v>125</v>
      </c>
      <c r="B156" s="15" t="s">
        <v>145</v>
      </c>
      <c r="C156" s="16">
        <v>0.61111111111111105</v>
      </c>
      <c r="D156" s="15" t="s">
        <v>129</v>
      </c>
      <c r="E156" s="15" t="s">
        <v>130</v>
      </c>
      <c r="F156" s="15" t="s">
        <v>188</v>
      </c>
      <c r="G156" s="190"/>
      <c r="H156" s="10"/>
      <c r="I156" s="11"/>
      <c r="J156" s="11"/>
      <c r="K156" s="11"/>
      <c r="L156" s="11"/>
      <c r="M156" s="11"/>
      <c r="N156" s="11"/>
      <c r="O156" s="12"/>
      <c r="P156" s="11"/>
      <c r="Q156" s="13"/>
      <c r="R156" s="14"/>
    </row>
    <row r="157" spans="1:18" ht="15" customHeight="1" x14ac:dyDescent="0.3">
      <c r="A157" s="17" t="s">
        <v>125</v>
      </c>
      <c r="B157" s="17" t="s">
        <v>139</v>
      </c>
      <c r="C157" s="18">
        <v>0.82986111111111116</v>
      </c>
      <c r="D157" s="17" t="s">
        <v>127</v>
      </c>
      <c r="E157" s="17" t="s">
        <v>116</v>
      </c>
      <c r="F157" s="17" t="s">
        <v>187</v>
      </c>
      <c r="G157" s="190"/>
      <c r="H157" s="10"/>
      <c r="I157" s="11"/>
      <c r="J157" s="11"/>
      <c r="K157" s="11"/>
      <c r="L157" s="11"/>
      <c r="M157" s="11"/>
      <c r="N157" s="11"/>
      <c r="O157" s="12"/>
      <c r="P157" s="11"/>
      <c r="Q157" s="13"/>
      <c r="R157" s="14"/>
    </row>
    <row r="158" spans="1:18" ht="15" customHeight="1" thickBot="1" x14ac:dyDescent="0.35">
      <c r="A158" s="95" t="s">
        <v>125</v>
      </c>
      <c r="B158" s="95" t="s">
        <v>139</v>
      </c>
      <c r="C158" s="96">
        <v>0.82986111111111116</v>
      </c>
      <c r="D158" s="95" t="s">
        <v>129</v>
      </c>
      <c r="E158" s="95" t="s">
        <v>130</v>
      </c>
      <c r="F158" s="95" t="s">
        <v>188</v>
      </c>
      <c r="G158" s="191"/>
      <c r="H158" s="62"/>
      <c r="I158" s="63"/>
      <c r="J158" s="63"/>
      <c r="K158" s="63"/>
      <c r="L158" s="63"/>
      <c r="M158" s="63"/>
      <c r="N158" s="63"/>
      <c r="O158" s="64"/>
      <c r="P158" s="63"/>
      <c r="Q158" s="65"/>
      <c r="R158" s="66"/>
    </row>
    <row r="159" spans="1:18" ht="17.399999999999999" customHeight="1" thickBot="1" x14ac:dyDescent="0.35">
      <c r="A159" s="211"/>
      <c r="B159" s="212"/>
      <c r="C159" s="212"/>
      <c r="D159" s="212"/>
      <c r="E159" s="212"/>
      <c r="F159" s="212"/>
      <c r="G159" s="212"/>
      <c r="H159" s="212"/>
      <c r="I159" s="212"/>
      <c r="J159" s="212"/>
      <c r="K159" s="212"/>
      <c r="L159" s="212"/>
      <c r="M159" s="212"/>
      <c r="N159" s="212"/>
      <c r="O159" s="212"/>
      <c r="P159" s="212"/>
      <c r="Q159" s="212"/>
      <c r="R159" s="213"/>
    </row>
    <row r="160" spans="1:18" ht="22.05" customHeight="1" thickTop="1" thickBot="1" x14ac:dyDescent="0.35">
      <c r="A160" s="182" t="s">
        <v>6</v>
      </c>
      <c r="B160" s="180"/>
      <c r="C160" s="180"/>
      <c r="D160" s="180"/>
      <c r="E160" s="180"/>
      <c r="F160" s="181"/>
      <c r="G160" s="67">
        <v>45988</v>
      </c>
      <c r="H160" s="185" t="s">
        <v>7</v>
      </c>
      <c r="I160" s="180"/>
      <c r="J160" s="180"/>
      <c r="K160" s="180"/>
      <c r="L160" s="180"/>
      <c r="M160" s="180"/>
      <c r="N160" s="180"/>
      <c r="O160" s="180"/>
      <c r="P160" s="180"/>
      <c r="Q160" s="180"/>
      <c r="R160" s="181"/>
    </row>
    <row r="161" spans="1:18" ht="24" customHeight="1" x14ac:dyDescent="0.3">
      <c r="A161" s="68" t="s">
        <v>8</v>
      </c>
      <c r="B161" s="68" t="s">
        <v>9</v>
      </c>
      <c r="C161" s="69" t="s">
        <v>10</v>
      </c>
      <c r="D161" s="68" t="s">
        <v>11</v>
      </c>
      <c r="E161" s="68" t="s">
        <v>12</v>
      </c>
      <c r="F161" s="70" t="s">
        <v>13</v>
      </c>
      <c r="G161" s="71" t="s">
        <v>14</v>
      </c>
      <c r="H161" s="68" t="s">
        <v>15</v>
      </c>
      <c r="I161" s="72" t="s">
        <v>16</v>
      </c>
      <c r="J161" s="73" t="s">
        <v>17</v>
      </c>
      <c r="K161" s="74" t="s">
        <v>18</v>
      </c>
      <c r="L161" s="73" t="s">
        <v>19</v>
      </c>
      <c r="M161" s="73" t="s">
        <v>20</v>
      </c>
      <c r="N161" s="73" t="s">
        <v>21</v>
      </c>
      <c r="O161" s="68" t="s">
        <v>22</v>
      </c>
      <c r="P161" s="69" t="s">
        <v>23</v>
      </c>
      <c r="Q161" s="73" t="s">
        <v>24</v>
      </c>
      <c r="R161" s="68" t="s">
        <v>25</v>
      </c>
    </row>
    <row r="162" spans="1:18" ht="15" customHeight="1" x14ac:dyDescent="0.3">
      <c r="A162" s="8" t="s">
        <v>26</v>
      </c>
      <c r="B162" s="8" t="s">
        <v>36</v>
      </c>
      <c r="C162" s="9">
        <v>0.30208333333333331</v>
      </c>
      <c r="D162" s="8" t="s">
        <v>28</v>
      </c>
      <c r="E162" s="8" t="s">
        <v>165</v>
      </c>
      <c r="F162" s="8" t="s">
        <v>189</v>
      </c>
      <c r="G162" s="189"/>
      <c r="H162" s="10"/>
      <c r="I162" s="11"/>
      <c r="J162" s="11"/>
      <c r="K162" s="11"/>
      <c r="L162" s="11"/>
      <c r="M162" s="11"/>
      <c r="N162" s="11"/>
      <c r="O162" s="12"/>
      <c r="P162" s="11"/>
      <c r="Q162" s="13"/>
      <c r="R162" s="14"/>
    </row>
    <row r="163" spans="1:18" ht="15" customHeight="1" x14ac:dyDescent="0.3">
      <c r="A163" s="15" t="s">
        <v>26</v>
      </c>
      <c r="B163" s="15" t="s">
        <v>36</v>
      </c>
      <c r="C163" s="16">
        <v>0.30208333333333331</v>
      </c>
      <c r="D163" s="15" t="s">
        <v>31</v>
      </c>
      <c r="E163" s="15" t="s">
        <v>60</v>
      </c>
      <c r="F163" s="15" t="s">
        <v>168</v>
      </c>
      <c r="G163" s="190"/>
      <c r="H163" s="10"/>
      <c r="I163" s="11"/>
      <c r="J163" s="11"/>
      <c r="K163" s="11"/>
      <c r="L163" s="11"/>
      <c r="M163" s="11"/>
      <c r="N163" s="11"/>
      <c r="O163" s="12"/>
      <c r="P163" s="11"/>
      <c r="Q163" s="13"/>
      <c r="R163" s="14"/>
    </row>
    <row r="164" spans="1:18" ht="15" customHeight="1" x14ac:dyDescent="0.3">
      <c r="A164" s="15" t="s">
        <v>26</v>
      </c>
      <c r="B164" s="15" t="s">
        <v>36</v>
      </c>
      <c r="C164" s="16">
        <v>0.30208333333333331</v>
      </c>
      <c r="D164" s="15" t="s">
        <v>34</v>
      </c>
      <c r="E164" s="15" t="s">
        <v>60</v>
      </c>
      <c r="F164" s="15" t="s">
        <v>35</v>
      </c>
      <c r="G164" s="190"/>
      <c r="H164" s="10"/>
      <c r="I164" s="11"/>
      <c r="J164" s="11"/>
      <c r="K164" s="11"/>
      <c r="L164" s="11"/>
      <c r="M164" s="11"/>
      <c r="N164" s="11"/>
      <c r="O164" s="12"/>
      <c r="P164" s="11"/>
      <c r="Q164" s="13"/>
      <c r="R164" s="14"/>
    </row>
    <row r="165" spans="1:18" ht="15" customHeight="1" x14ac:dyDescent="0.3">
      <c r="A165" s="17" t="s">
        <v>26</v>
      </c>
      <c r="B165" s="17" t="s">
        <v>27</v>
      </c>
      <c r="C165" s="18">
        <v>0.12847222222222221</v>
      </c>
      <c r="D165" s="17" t="s">
        <v>28</v>
      </c>
      <c r="E165" s="17" t="s">
        <v>124</v>
      </c>
      <c r="F165" s="17" t="s">
        <v>189</v>
      </c>
      <c r="G165" s="190"/>
      <c r="H165" s="10"/>
      <c r="I165" s="11"/>
      <c r="J165" s="11"/>
      <c r="K165" s="11"/>
      <c r="L165" s="11"/>
      <c r="M165" s="11"/>
      <c r="N165" s="11"/>
      <c r="O165" s="12"/>
      <c r="P165" s="11"/>
      <c r="Q165" s="13"/>
      <c r="R165" s="14"/>
    </row>
    <row r="166" spans="1:18" ht="15" customHeight="1" x14ac:dyDescent="0.3">
      <c r="A166" s="15" t="s">
        <v>26</v>
      </c>
      <c r="B166" s="15" t="s">
        <v>27</v>
      </c>
      <c r="C166" s="16">
        <v>0.12847222222222221</v>
      </c>
      <c r="D166" s="15" t="s">
        <v>31</v>
      </c>
      <c r="E166" s="15" t="s">
        <v>164</v>
      </c>
      <c r="F166" s="15" t="s">
        <v>168</v>
      </c>
      <c r="G166" s="190"/>
      <c r="H166" s="10"/>
      <c r="I166" s="11"/>
      <c r="J166" s="11"/>
      <c r="K166" s="11"/>
      <c r="L166" s="11"/>
      <c r="M166" s="11"/>
      <c r="N166" s="11"/>
      <c r="O166" s="12"/>
      <c r="P166" s="11"/>
      <c r="Q166" s="13"/>
      <c r="R166" s="14"/>
    </row>
    <row r="167" spans="1:18" ht="15" customHeight="1" x14ac:dyDescent="0.3">
      <c r="A167" s="15" t="s">
        <v>26</v>
      </c>
      <c r="B167" s="15" t="s">
        <v>27</v>
      </c>
      <c r="C167" s="16">
        <v>0.12847222222222221</v>
      </c>
      <c r="D167" s="15" t="s">
        <v>34</v>
      </c>
      <c r="E167" s="15" t="s">
        <v>164</v>
      </c>
      <c r="F167" s="15" t="s">
        <v>35</v>
      </c>
      <c r="G167" s="190"/>
      <c r="H167" s="10"/>
      <c r="I167" s="11"/>
      <c r="J167" s="11"/>
      <c r="K167" s="11"/>
      <c r="L167" s="11"/>
      <c r="M167" s="11"/>
      <c r="N167" s="11"/>
      <c r="O167" s="12"/>
      <c r="P167" s="11"/>
      <c r="Q167" s="13"/>
      <c r="R167" s="14"/>
    </row>
    <row r="168" spans="1:18" ht="15" customHeight="1" x14ac:dyDescent="0.3">
      <c r="A168" s="17" t="s">
        <v>26</v>
      </c>
      <c r="B168" s="17" t="s">
        <v>41</v>
      </c>
      <c r="C168" s="18">
        <v>0.78819444444444453</v>
      </c>
      <c r="D168" s="17" t="s">
        <v>28</v>
      </c>
      <c r="E168" s="17" t="s">
        <v>45</v>
      </c>
      <c r="F168" s="17" t="s">
        <v>38</v>
      </c>
      <c r="G168" s="190"/>
      <c r="H168" s="10"/>
      <c r="I168" s="11"/>
      <c r="J168" s="11"/>
      <c r="K168" s="11"/>
      <c r="L168" s="11"/>
      <c r="M168" s="11"/>
      <c r="N168" s="11"/>
      <c r="O168" s="12"/>
      <c r="P168" s="11"/>
      <c r="Q168" s="13"/>
      <c r="R168" s="14"/>
    </row>
    <row r="169" spans="1:18" ht="15" customHeight="1" x14ac:dyDescent="0.3">
      <c r="A169" s="15" t="s">
        <v>26</v>
      </c>
      <c r="B169" s="15" t="s">
        <v>41</v>
      </c>
      <c r="C169" s="16">
        <v>0.78819444444444453</v>
      </c>
      <c r="D169" s="15" t="s">
        <v>31</v>
      </c>
      <c r="E169" s="15" t="s">
        <v>47</v>
      </c>
      <c r="F169" s="15" t="s">
        <v>40</v>
      </c>
      <c r="G169" s="190"/>
      <c r="H169" s="10"/>
      <c r="I169" s="11"/>
      <c r="J169" s="11"/>
      <c r="K169" s="11"/>
      <c r="L169" s="11"/>
      <c r="M169" s="11"/>
      <c r="N169" s="11"/>
      <c r="O169" s="12"/>
      <c r="P169" s="11"/>
      <c r="Q169" s="13"/>
      <c r="R169" s="14"/>
    </row>
    <row r="170" spans="1:18" ht="15" customHeight="1" x14ac:dyDescent="0.3">
      <c r="A170" s="15" t="s">
        <v>26</v>
      </c>
      <c r="B170" s="15" t="s">
        <v>41</v>
      </c>
      <c r="C170" s="16">
        <v>0.78819444444444453</v>
      </c>
      <c r="D170" s="15" t="s">
        <v>34</v>
      </c>
      <c r="E170" s="15" t="s">
        <v>47</v>
      </c>
      <c r="F170" s="15" t="s">
        <v>35</v>
      </c>
      <c r="G170" s="190"/>
      <c r="H170" s="10"/>
      <c r="I170" s="11"/>
      <c r="J170" s="11"/>
      <c r="K170" s="11"/>
      <c r="L170" s="11"/>
      <c r="M170" s="11"/>
      <c r="N170" s="11"/>
      <c r="O170" s="12"/>
      <c r="P170" s="11"/>
      <c r="Q170" s="13"/>
      <c r="R170" s="14"/>
    </row>
    <row r="171" spans="1:18" ht="15" customHeight="1" x14ac:dyDescent="0.3">
      <c r="A171" s="17" t="s">
        <v>26</v>
      </c>
      <c r="B171" s="17" t="s">
        <v>44</v>
      </c>
      <c r="C171" s="18">
        <v>0.88888888888888884</v>
      </c>
      <c r="D171" s="17" t="s">
        <v>28</v>
      </c>
      <c r="E171" s="17" t="s">
        <v>70</v>
      </c>
      <c r="F171" s="17" t="s">
        <v>38</v>
      </c>
      <c r="G171" s="190"/>
      <c r="H171" s="10"/>
      <c r="I171" s="11"/>
      <c r="J171" s="11"/>
      <c r="K171" s="11"/>
      <c r="L171" s="11"/>
      <c r="M171" s="11"/>
      <c r="N171" s="11"/>
      <c r="O171" s="12"/>
      <c r="P171" s="11"/>
      <c r="Q171" s="13"/>
      <c r="R171" s="14"/>
    </row>
    <row r="172" spans="1:18" ht="15" customHeight="1" x14ac:dyDescent="0.3">
      <c r="A172" s="15" t="s">
        <v>26</v>
      </c>
      <c r="B172" s="15" t="s">
        <v>44</v>
      </c>
      <c r="C172" s="16">
        <v>0.88888888888888884</v>
      </c>
      <c r="D172" s="15" t="s">
        <v>31</v>
      </c>
      <c r="E172" s="15" t="s">
        <v>72</v>
      </c>
      <c r="F172" s="15" t="s">
        <v>40</v>
      </c>
      <c r="G172" s="190"/>
      <c r="H172" s="10"/>
      <c r="I172" s="11"/>
      <c r="J172" s="11"/>
      <c r="K172" s="11"/>
      <c r="L172" s="11"/>
      <c r="M172" s="11"/>
      <c r="N172" s="11"/>
      <c r="O172" s="12"/>
      <c r="P172" s="11"/>
      <c r="Q172" s="13"/>
      <c r="R172" s="14"/>
    </row>
    <row r="173" spans="1:18" ht="15" customHeight="1" x14ac:dyDescent="0.3">
      <c r="A173" s="15" t="s">
        <v>26</v>
      </c>
      <c r="B173" s="15" t="s">
        <v>44</v>
      </c>
      <c r="C173" s="16">
        <v>0.88888888888888884</v>
      </c>
      <c r="D173" s="15" t="s">
        <v>34</v>
      </c>
      <c r="E173" s="15" t="s">
        <v>72</v>
      </c>
      <c r="F173" s="15" t="s">
        <v>35</v>
      </c>
      <c r="G173" s="190"/>
      <c r="H173" s="10"/>
      <c r="I173" s="11"/>
      <c r="J173" s="11"/>
      <c r="K173" s="11"/>
      <c r="L173" s="11"/>
      <c r="M173" s="11"/>
      <c r="N173" s="11"/>
      <c r="O173" s="12"/>
      <c r="P173" s="11"/>
      <c r="Q173" s="13"/>
      <c r="R173" s="14"/>
    </row>
    <row r="174" spans="1:18" ht="15" customHeight="1" x14ac:dyDescent="0.3">
      <c r="A174" s="19" t="s">
        <v>110</v>
      </c>
      <c r="B174" s="19" t="s">
        <v>111</v>
      </c>
      <c r="C174" s="20">
        <v>0.29166666666666669</v>
      </c>
      <c r="D174" s="19" t="s">
        <v>112</v>
      </c>
      <c r="E174" s="19" t="s">
        <v>113</v>
      </c>
      <c r="F174" s="19" t="s">
        <v>190</v>
      </c>
      <c r="G174" s="190"/>
      <c r="H174" s="10"/>
      <c r="I174" s="11"/>
      <c r="J174" s="11"/>
      <c r="K174" s="11"/>
      <c r="L174" s="11"/>
      <c r="M174" s="11"/>
      <c r="N174" s="11"/>
      <c r="O174" s="12"/>
      <c r="P174" s="11"/>
      <c r="Q174" s="13"/>
      <c r="R174" s="14"/>
    </row>
    <row r="175" spans="1:18" ht="15" customHeight="1" x14ac:dyDescent="0.3">
      <c r="A175" s="17" t="s">
        <v>110</v>
      </c>
      <c r="B175" s="17" t="s">
        <v>115</v>
      </c>
      <c r="C175" s="18">
        <v>0.59375</v>
      </c>
      <c r="D175" s="17" t="s">
        <v>112</v>
      </c>
      <c r="E175" s="17" t="s">
        <v>116</v>
      </c>
      <c r="F175" s="17" t="s">
        <v>190</v>
      </c>
      <c r="G175" s="190"/>
      <c r="H175" s="10"/>
      <c r="I175" s="11"/>
      <c r="J175" s="11"/>
      <c r="K175" s="11"/>
      <c r="L175" s="11"/>
      <c r="M175" s="11"/>
      <c r="N175" s="11"/>
      <c r="O175" s="12"/>
      <c r="P175" s="11"/>
      <c r="Q175" s="13"/>
      <c r="R175" s="14"/>
    </row>
    <row r="176" spans="1:18" ht="15" customHeight="1" x14ac:dyDescent="0.3">
      <c r="A176" s="19" t="s">
        <v>49</v>
      </c>
      <c r="B176" s="19" t="s">
        <v>50</v>
      </c>
      <c r="C176" s="20">
        <v>0.90277777777777779</v>
      </c>
      <c r="D176" s="19" t="s">
        <v>51</v>
      </c>
      <c r="E176" s="19" t="s">
        <v>29</v>
      </c>
      <c r="F176" s="19" t="s">
        <v>167</v>
      </c>
      <c r="G176" s="190"/>
      <c r="H176" s="10"/>
      <c r="I176" s="11"/>
      <c r="J176" s="11"/>
      <c r="K176" s="11"/>
      <c r="L176" s="11"/>
      <c r="M176" s="11"/>
      <c r="N176" s="11"/>
      <c r="O176" s="12"/>
      <c r="P176" s="11"/>
      <c r="Q176" s="13"/>
      <c r="R176" s="14"/>
    </row>
    <row r="177" spans="1:18" ht="15" customHeight="1" x14ac:dyDescent="0.3">
      <c r="A177" s="15" t="s">
        <v>49</v>
      </c>
      <c r="B177" s="15" t="s">
        <v>50</v>
      </c>
      <c r="C177" s="16">
        <v>0.90277777777777779</v>
      </c>
      <c r="D177" s="15" t="s">
        <v>54</v>
      </c>
      <c r="E177" s="15" t="s">
        <v>32</v>
      </c>
      <c r="F177" s="15" t="s">
        <v>168</v>
      </c>
      <c r="G177" s="190"/>
      <c r="H177" s="10"/>
      <c r="I177" s="11"/>
      <c r="J177" s="11"/>
      <c r="K177" s="11"/>
      <c r="L177" s="11"/>
      <c r="M177" s="11"/>
      <c r="N177" s="11"/>
      <c r="O177" s="12"/>
      <c r="P177" s="11"/>
      <c r="Q177" s="13"/>
      <c r="R177" s="14"/>
    </row>
    <row r="178" spans="1:18" ht="15" customHeight="1" x14ac:dyDescent="0.3">
      <c r="A178" s="15" t="s">
        <v>49</v>
      </c>
      <c r="B178" s="15" t="s">
        <v>50</v>
      </c>
      <c r="C178" s="16">
        <v>0.90277777777777779</v>
      </c>
      <c r="D178" s="15" t="s">
        <v>56</v>
      </c>
      <c r="E178" s="15" t="s">
        <v>32</v>
      </c>
      <c r="F178" s="15" t="s">
        <v>121</v>
      </c>
      <c r="G178" s="190"/>
      <c r="H178" s="10"/>
      <c r="I178" s="11"/>
      <c r="J178" s="11"/>
      <c r="K178" s="11"/>
      <c r="L178" s="11"/>
      <c r="M178" s="11"/>
      <c r="N178" s="11"/>
      <c r="O178" s="12"/>
      <c r="P178" s="11"/>
      <c r="Q178" s="13"/>
      <c r="R178" s="14"/>
    </row>
    <row r="179" spans="1:18" ht="15" customHeight="1" x14ac:dyDescent="0.3">
      <c r="A179" s="17" t="s">
        <v>49</v>
      </c>
      <c r="B179" s="17" t="s">
        <v>58</v>
      </c>
      <c r="C179" s="18">
        <v>0.65972222222222221</v>
      </c>
      <c r="D179" s="17" t="s">
        <v>51</v>
      </c>
      <c r="E179" s="17" t="s">
        <v>70</v>
      </c>
      <c r="F179" s="17" t="s">
        <v>167</v>
      </c>
      <c r="G179" s="190"/>
      <c r="H179" s="10"/>
      <c r="I179" s="11"/>
      <c r="J179" s="11"/>
      <c r="K179" s="11"/>
      <c r="L179" s="11"/>
      <c r="M179" s="11"/>
      <c r="N179" s="11"/>
      <c r="O179" s="12"/>
      <c r="P179" s="11"/>
      <c r="Q179" s="13"/>
      <c r="R179" s="14"/>
    </row>
    <row r="180" spans="1:18" ht="15" customHeight="1" x14ac:dyDescent="0.3">
      <c r="A180" s="15" t="s">
        <v>49</v>
      </c>
      <c r="B180" s="15" t="s">
        <v>58</v>
      </c>
      <c r="C180" s="16">
        <v>0.65972222222222221</v>
      </c>
      <c r="D180" s="15" t="s">
        <v>54</v>
      </c>
      <c r="E180" s="15" t="s">
        <v>72</v>
      </c>
      <c r="F180" s="15" t="s">
        <v>168</v>
      </c>
      <c r="G180" s="190"/>
      <c r="H180" s="10"/>
      <c r="I180" s="11"/>
      <c r="J180" s="11"/>
      <c r="K180" s="11"/>
      <c r="L180" s="11"/>
      <c r="M180" s="11"/>
      <c r="N180" s="11"/>
      <c r="O180" s="12"/>
      <c r="P180" s="11"/>
      <c r="Q180" s="13"/>
      <c r="R180" s="14"/>
    </row>
    <row r="181" spans="1:18" ht="15" customHeight="1" x14ac:dyDescent="0.3">
      <c r="A181" s="15" t="s">
        <v>49</v>
      </c>
      <c r="B181" s="15" t="s">
        <v>58</v>
      </c>
      <c r="C181" s="16">
        <v>0.65972222222222221</v>
      </c>
      <c r="D181" s="15" t="s">
        <v>56</v>
      </c>
      <c r="E181" s="15" t="s">
        <v>72</v>
      </c>
      <c r="F181" s="15" t="s">
        <v>121</v>
      </c>
      <c r="G181" s="190"/>
      <c r="H181" s="10"/>
      <c r="I181" s="11"/>
      <c r="J181" s="11"/>
      <c r="K181" s="11"/>
      <c r="L181" s="11"/>
      <c r="M181" s="11"/>
      <c r="N181" s="11"/>
      <c r="O181" s="12"/>
      <c r="P181" s="11"/>
      <c r="Q181" s="13"/>
      <c r="R181" s="14"/>
    </row>
    <row r="182" spans="1:18" ht="15" customHeight="1" x14ac:dyDescent="0.3">
      <c r="A182" s="17" t="s">
        <v>49</v>
      </c>
      <c r="B182" s="17" t="s">
        <v>61</v>
      </c>
      <c r="C182" s="18">
        <v>0.51736111111111105</v>
      </c>
      <c r="D182" s="17" t="s">
        <v>51</v>
      </c>
      <c r="E182" s="17" t="s">
        <v>70</v>
      </c>
      <c r="F182" s="17" t="s">
        <v>167</v>
      </c>
      <c r="G182" s="190"/>
      <c r="H182" s="10"/>
      <c r="I182" s="11"/>
      <c r="J182" s="11"/>
      <c r="K182" s="11"/>
      <c r="L182" s="11"/>
      <c r="M182" s="11"/>
      <c r="N182" s="11"/>
      <c r="O182" s="12"/>
      <c r="P182" s="11"/>
      <c r="Q182" s="13"/>
      <c r="R182" s="14"/>
    </row>
    <row r="183" spans="1:18" ht="15" customHeight="1" x14ac:dyDescent="0.3">
      <c r="A183" s="15" t="s">
        <v>49</v>
      </c>
      <c r="B183" s="15" t="s">
        <v>61</v>
      </c>
      <c r="C183" s="16">
        <v>0.51736111111111105</v>
      </c>
      <c r="D183" s="15" t="s">
        <v>54</v>
      </c>
      <c r="E183" s="15" t="s">
        <v>72</v>
      </c>
      <c r="F183" s="15" t="s">
        <v>168</v>
      </c>
      <c r="G183" s="190"/>
      <c r="H183" s="10"/>
      <c r="I183" s="11"/>
      <c r="J183" s="11"/>
      <c r="K183" s="11"/>
      <c r="L183" s="11"/>
      <c r="M183" s="11"/>
      <c r="N183" s="11"/>
      <c r="O183" s="12"/>
      <c r="P183" s="11"/>
      <c r="Q183" s="13"/>
      <c r="R183" s="14"/>
    </row>
    <row r="184" spans="1:18" ht="15" customHeight="1" x14ac:dyDescent="0.3">
      <c r="A184" s="15" t="s">
        <v>49</v>
      </c>
      <c r="B184" s="15" t="s">
        <v>61</v>
      </c>
      <c r="C184" s="16">
        <v>0.51736111111111105</v>
      </c>
      <c r="D184" s="15" t="s">
        <v>56</v>
      </c>
      <c r="E184" s="15" t="s">
        <v>72</v>
      </c>
      <c r="F184" s="15" t="s">
        <v>121</v>
      </c>
      <c r="G184" s="190"/>
      <c r="H184" s="10"/>
      <c r="I184" s="11"/>
      <c r="J184" s="11"/>
      <c r="K184" s="11"/>
      <c r="L184" s="11"/>
      <c r="M184" s="11"/>
      <c r="N184" s="11"/>
      <c r="O184" s="12"/>
      <c r="P184" s="11"/>
      <c r="Q184" s="13"/>
      <c r="R184" s="14"/>
    </row>
    <row r="185" spans="1:18" ht="15" customHeight="1" x14ac:dyDescent="0.3">
      <c r="A185" s="17" t="s">
        <v>49</v>
      </c>
      <c r="B185" s="17" t="s">
        <v>63</v>
      </c>
      <c r="C185" s="18">
        <v>0.85416666666666663</v>
      </c>
      <c r="D185" s="17" t="s">
        <v>51</v>
      </c>
      <c r="E185" s="17" t="s">
        <v>59</v>
      </c>
      <c r="F185" s="17" t="s">
        <v>167</v>
      </c>
      <c r="G185" s="190"/>
      <c r="H185" s="10"/>
      <c r="I185" s="11"/>
      <c r="J185" s="11"/>
      <c r="K185" s="11"/>
      <c r="L185" s="11"/>
      <c r="M185" s="11"/>
      <c r="N185" s="11"/>
      <c r="O185" s="12"/>
      <c r="P185" s="11"/>
      <c r="Q185" s="13"/>
      <c r="R185" s="14"/>
    </row>
    <row r="186" spans="1:18" ht="15" customHeight="1" x14ac:dyDescent="0.3">
      <c r="A186" s="15" t="s">
        <v>49</v>
      </c>
      <c r="B186" s="15" t="s">
        <v>63</v>
      </c>
      <c r="C186" s="16">
        <v>0.85416666666666663</v>
      </c>
      <c r="D186" s="15" t="s">
        <v>54</v>
      </c>
      <c r="E186" s="15" t="s">
        <v>60</v>
      </c>
      <c r="F186" s="15" t="s">
        <v>168</v>
      </c>
      <c r="G186" s="190"/>
      <c r="H186" s="10"/>
      <c r="I186" s="11"/>
      <c r="J186" s="11"/>
      <c r="K186" s="11"/>
      <c r="L186" s="11"/>
      <c r="M186" s="11"/>
      <c r="N186" s="11"/>
      <c r="O186" s="12"/>
      <c r="P186" s="11"/>
      <c r="Q186" s="13"/>
      <c r="R186" s="14"/>
    </row>
    <row r="187" spans="1:18" ht="15" customHeight="1" x14ac:dyDescent="0.3">
      <c r="A187" s="15" t="s">
        <v>49</v>
      </c>
      <c r="B187" s="15" t="s">
        <v>63</v>
      </c>
      <c r="C187" s="16">
        <v>0.85416666666666663</v>
      </c>
      <c r="D187" s="15" t="s">
        <v>56</v>
      </c>
      <c r="E187" s="15" t="s">
        <v>60</v>
      </c>
      <c r="F187" s="15" t="s">
        <v>121</v>
      </c>
      <c r="G187" s="190"/>
      <c r="H187" s="10"/>
      <c r="I187" s="11"/>
      <c r="J187" s="11"/>
      <c r="K187" s="11"/>
      <c r="L187" s="11"/>
      <c r="M187" s="11"/>
      <c r="N187" s="11"/>
      <c r="O187" s="12"/>
      <c r="P187" s="11"/>
      <c r="Q187" s="13"/>
      <c r="R187" s="14"/>
    </row>
    <row r="188" spans="1:18" ht="15" customHeight="1" x14ac:dyDescent="0.3">
      <c r="A188" s="17" t="s">
        <v>49</v>
      </c>
      <c r="B188" s="17" t="s">
        <v>76</v>
      </c>
      <c r="C188" s="18">
        <v>0.30208333333333331</v>
      </c>
      <c r="D188" s="17" t="s">
        <v>51</v>
      </c>
      <c r="E188" s="17" t="s">
        <v>67</v>
      </c>
      <c r="F188" s="17" t="s">
        <v>167</v>
      </c>
      <c r="G188" s="190"/>
      <c r="H188" s="10"/>
      <c r="I188" s="11"/>
      <c r="J188" s="11"/>
      <c r="K188" s="11"/>
      <c r="L188" s="11"/>
      <c r="M188" s="11"/>
      <c r="N188" s="11"/>
      <c r="O188" s="12"/>
      <c r="P188" s="11"/>
      <c r="Q188" s="13"/>
      <c r="R188" s="14"/>
    </row>
    <row r="189" spans="1:18" ht="15" customHeight="1" x14ac:dyDescent="0.3">
      <c r="A189" s="15" t="s">
        <v>49</v>
      </c>
      <c r="B189" s="15" t="s">
        <v>76</v>
      </c>
      <c r="C189" s="16">
        <v>0.30208333333333331</v>
      </c>
      <c r="D189" s="15" t="s">
        <v>54</v>
      </c>
      <c r="E189" s="15" t="s">
        <v>68</v>
      </c>
      <c r="F189" s="15" t="s">
        <v>168</v>
      </c>
      <c r="G189" s="190"/>
      <c r="H189" s="10"/>
      <c r="I189" s="11"/>
      <c r="J189" s="11"/>
      <c r="K189" s="11"/>
      <c r="L189" s="11"/>
      <c r="M189" s="11"/>
      <c r="N189" s="11"/>
      <c r="O189" s="12"/>
      <c r="P189" s="11"/>
      <c r="Q189" s="13"/>
      <c r="R189" s="14"/>
    </row>
    <row r="190" spans="1:18" ht="15" customHeight="1" x14ac:dyDescent="0.3">
      <c r="A190" s="15" t="s">
        <v>49</v>
      </c>
      <c r="B190" s="15" t="s">
        <v>76</v>
      </c>
      <c r="C190" s="16">
        <v>0.30208333333333331</v>
      </c>
      <c r="D190" s="15" t="s">
        <v>56</v>
      </c>
      <c r="E190" s="15" t="s">
        <v>68</v>
      </c>
      <c r="F190" s="15" t="s">
        <v>121</v>
      </c>
      <c r="G190" s="190"/>
      <c r="H190" s="10"/>
      <c r="I190" s="11"/>
      <c r="J190" s="11"/>
      <c r="K190" s="11"/>
      <c r="L190" s="11"/>
      <c r="M190" s="11"/>
      <c r="N190" s="11"/>
      <c r="O190" s="12"/>
      <c r="P190" s="11"/>
      <c r="Q190" s="13"/>
      <c r="R190" s="14"/>
    </row>
    <row r="191" spans="1:18" ht="15" customHeight="1" x14ac:dyDescent="0.3">
      <c r="A191" s="17" t="s">
        <v>49</v>
      </c>
      <c r="B191" s="17" t="s">
        <v>66</v>
      </c>
      <c r="C191" s="18">
        <v>0.79861111111111116</v>
      </c>
      <c r="D191" s="17" t="s">
        <v>51</v>
      </c>
      <c r="E191" s="17" t="s">
        <v>124</v>
      </c>
      <c r="F191" s="17" t="s">
        <v>167</v>
      </c>
      <c r="G191" s="190"/>
      <c r="H191" s="10"/>
      <c r="I191" s="11"/>
      <c r="J191" s="11"/>
      <c r="K191" s="11"/>
      <c r="L191" s="11"/>
      <c r="M191" s="11"/>
      <c r="N191" s="11"/>
      <c r="O191" s="12"/>
      <c r="P191" s="11"/>
      <c r="Q191" s="13"/>
      <c r="R191" s="14"/>
    </row>
    <row r="192" spans="1:18" ht="15" customHeight="1" x14ac:dyDescent="0.3">
      <c r="A192" s="15" t="s">
        <v>49</v>
      </c>
      <c r="B192" s="15" t="s">
        <v>66</v>
      </c>
      <c r="C192" s="16">
        <v>0.79861111111111116</v>
      </c>
      <c r="D192" s="15" t="s">
        <v>54</v>
      </c>
      <c r="E192" s="15" t="s">
        <v>164</v>
      </c>
      <c r="F192" s="15" t="s">
        <v>168</v>
      </c>
      <c r="G192" s="190"/>
      <c r="H192" s="10"/>
      <c r="I192" s="11"/>
      <c r="J192" s="11"/>
      <c r="K192" s="11"/>
      <c r="L192" s="11"/>
      <c r="M192" s="11"/>
      <c r="N192" s="11"/>
      <c r="O192" s="12"/>
      <c r="P192" s="11"/>
      <c r="Q192" s="13"/>
      <c r="R192" s="14"/>
    </row>
    <row r="193" spans="1:18" ht="15" customHeight="1" x14ac:dyDescent="0.3">
      <c r="A193" s="15" t="s">
        <v>49</v>
      </c>
      <c r="B193" s="15" t="s">
        <v>66</v>
      </c>
      <c r="C193" s="16">
        <v>0.79861111111111116</v>
      </c>
      <c r="D193" s="15" t="s">
        <v>56</v>
      </c>
      <c r="E193" s="15" t="s">
        <v>164</v>
      </c>
      <c r="F193" s="15" t="s">
        <v>121</v>
      </c>
      <c r="G193" s="190"/>
      <c r="H193" s="10"/>
      <c r="I193" s="11"/>
      <c r="J193" s="11"/>
      <c r="K193" s="11"/>
      <c r="L193" s="11"/>
      <c r="M193" s="11"/>
      <c r="N193" s="11"/>
      <c r="O193" s="12"/>
      <c r="P193" s="11"/>
      <c r="Q193" s="13"/>
      <c r="R193" s="14"/>
    </row>
    <row r="194" spans="1:18" ht="15" customHeight="1" x14ac:dyDescent="0.3">
      <c r="A194" s="17" t="s">
        <v>49</v>
      </c>
      <c r="B194" s="17" t="s">
        <v>69</v>
      </c>
      <c r="C194" s="18">
        <v>0.25694444444444448</v>
      </c>
      <c r="D194" s="17" t="s">
        <v>51</v>
      </c>
      <c r="E194" s="17" t="s">
        <v>70</v>
      </c>
      <c r="F194" s="17" t="s">
        <v>53</v>
      </c>
      <c r="G194" s="190"/>
      <c r="H194" s="10"/>
      <c r="I194" s="11"/>
      <c r="J194" s="11"/>
      <c r="K194" s="11"/>
      <c r="L194" s="11"/>
      <c r="M194" s="11"/>
      <c r="N194" s="11"/>
      <c r="O194" s="12"/>
      <c r="P194" s="11"/>
      <c r="Q194" s="13"/>
      <c r="R194" s="14"/>
    </row>
    <row r="195" spans="1:18" ht="15" customHeight="1" x14ac:dyDescent="0.3">
      <c r="A195" s="15" t="s">
        <v>49</v>
      </c>
      <c r="B195" s="15" t="s">
        <v>69</v>
      </c>
      <c r="C195" s="16">
        <v>0.25694444444444448</v>
      </c>
      <c r="D195" s="15" t="s">
        <v>54</v>
      </c>
      <c r="E195" s="15" t="s">
        <v>72</v>
      </c>
      <c r="F195" s="15" t="s">
        <v>55</v>
      </c>
      <c r="G195" s="190"/>
      <c r="H195" s="10"/>
      <c r="I195" s="11"/>
      <c r="J195" s="11"/>
      <c r="K195" s="11"/>
      <c r="L195" s="11"/>
      <c r="M195" s="11"/>
      <c r="N195" s="11"/>
      <c r="O195" s="12"/>
      <c r="P195" s="11"/>
      <c r="Q195" s="13"/>
      <c r="R195" s="14"/>
    </row>
    <row r="196" spans="1:18" ht="15" customHeight="1" x14ac:dyDescent="0.3">
      <c r="A196" s="15" t="s">
        <v>49</v>
      </c>
      <c r="B196" s="15" t="s">
        <v>69</v>
      </c>
      <c r="C196" s="16">
        <v>0.25694444444444448</v>
      </c>
      <c r="D196" s="15" t="s">
        <v>56</v>
      </c>
      <c r="E196" s="15" t="s">
        <v>72</v>
      </c>
      <c r="F196" s="15" t="s">
        <v>57</v>
      </c>
      <c r="G196" s="190"/>
      <c r="H196" s="10"/>
      <c r="I196" s="11"/>
      <c r="J196" s="11"/>
      <c r="K196" s="11"/>
      <c r="L196" s="11"/>
      <c r="M196" s="11"/>
      <c r="N196" s="11"/>
      <c r="O196" s="12"/>
      <c r="P196" s="11"/>
      <c r="Q196" s="13"/>
      <c r="R196" s="14"/>
    </row>
    <row r="197" spans="1:18" ht="15" customHeight="1" x14ac:dyDescent="0.3">
      <c r="A197" s="17" t="s">
        <v>49</v>
      </c>
      <c r="B197" s="17" t="s">
        <v>75</v>
      </c>
      <c r="C197" s="18">
        <v>0.39583333333333331</v>
      </c>
      <c r="D197" s="17" t="s">
        <v>51</v>
      </c>
      <c r="E197" s="17" t="s">
        <v>70</v>
      </c>
      <c r="F197" s="17" t="s">
        <v>53</v>
      </c>
      <c r="G197" s="190"/>
      <c r="H197" s="10"/>
      <c r="I197" s="11"/>
      <c r="J197" s="11"/>
      <c r="K197" s="11"/>
      <c r="L197" s="11"/>
      <c r="M197" s="11"/>
      <c r="N197" s="11"/>
      <c r="O197" s="12"/>
      <c r="P197" s="11"/>
      <c r="Q197" s="13"/>
      <c r="R197" s="14"/>
    </row>
    <row r="198" spans="1:18" ht="15" customHeight="1" x14ac:dyDescent="0.3">
      <c r="A198" s="15" t="s">
        <v>49</v>
      </c>
      <c r="B198" s="15" t="s">
        <v>75</v>
      </c>
      <c r="C198" s="16">
        <v>0.39583333333333331</v>
      </c>
      <c r="D198" s="15" t="s">
        <v>54</v>
      </c>
      <c r="E198" s="15" t="s">
        <v>72</v>
      </c>
      <c r="F198" s="15" t="s">
        <v>55</v>
      </c>
      <c r="G198" s="190"/>
      <c r="H198" s="10"/>
      <c r="I198" s="11"/>
      <c r="J198" s="11"/>
      <c r="K198" s="11"/>
      <c r="L198" s="11"/>
      <c r="M198" s="11"/>
      <c r="N198" s="11"/>
      <c r="O198" s="12"/>
      <c r="P198" s="11"/>
      <c r="Q198" s="13"/>
      <c r="R198" s="14"/>
    </row>
    <row r="199" spans="1:18" ht="15" customHeight="1" x14ac:dyDescent="0.3">
      <c r="A199" s="15" t="s">
        <v>49</v>
      </c>
      <c r="B199" s="15" t="s">
        <v>75</v>
      </c>
      <c r="C199" s="16">
        <v>0.39583333333333331</v>
      </c>
      <c r="D199" s="15" t="s">
        <v>56</v>
      </c>
      <c r="E199" s="15" t="s">
        <v>72</v>
      </c>
      <c r="F199" s="15" t="s">
        <v>57</v>
      </c>
      <c r="G199" s="190"/>
      <c r="H199" s="10"/>
      <c r="I199" s="11"/>
      <c r="J199" s="11"/>
      <c r="K199" s="11"/>
      <c r="L199" s="11"/>
      <c r="M199" s="11"/>
      <c r="N199" s="11"/>
      <c r="O199" s="12"/>
      <c r="P199" s="11"/>
      <c r="Q199" s="13"/>
      <c r="R199" s="14"/>
    </row>
    <row r="200" spans="1:18" ht="15" customHeight="1" x14ac:dyDescent="0.3">
      <c r="A200" s="97" t="s">
        <v>77</v>
      </c>
      <c r="B200" s="97" t="s">
        <v>191</v>
      </c>
      <c r="C200" s="98">
        <v>0.36458333333333331</v>
      </c>
      <c r="D200" s="97" t="s">
        <v>79</v>
      </c>
      <c r="E200" s="97" t="s">
        <v>113</v>
      </c>
      <c r="F200" s="97" t="s">
        <v>192</v>
      </c>
      <c r="G200" s="190"/>
      <c r="H200" s="99" t="s">
        <v>193</v>
      </c>
      <c r="I200" s="100">
        <v>0.2346</v>
      </c>
      <c r="J200" s="101">
        <v>42</v>
      </c>
      <c r="K200" s="102">
        <v>45981</v>
      </c>
      <c r="L200" s="101">
        <v>29</v>
      </c>
      <c r="M200" s="101">
        <v>1</v>
      </c>
      <c r="N200" s="101">
        <v>3</v>
      </c>
      <c r="O200" s="103" t="s">
        <v>194</v>
      </c>
      <c r="P200" s="104">
        <v>0.36458333333333331</v>
      </c>
      <c r="Q200" s="101">
        <v>179</v>
      </c>
      <c r="R200" s="105" t="s">
        <v>195</v>
      </c>
    </row>
    <row r="201" spans="1:18" ht="15" customHeight="1" x14ac:dyDescent="0.3">
      <c r="A201" s="106" t="s">
        <v>77</v>
      </c>
      <c r="B201" s="106" t="s">
        <v>196</v>
      </c>
      <c r="C201" s="107">
        <v>0.25347222222222221</v>
      </c>
      <c r="D201" s="106" t="s">
        <v>79</v>
      </c>
      <c r="E201" s="106" t="s">
        <v>67</v>
      </c>
      <c r="F201" s="106" t="s">
        <v>192</v>
      </c>
      <c r="G201" s="190"/>
      <c r="H201" s="108" t="s">
        <v>197</v>
      </c>
      <c r="I201" s="109">
        <v>0.29049999999999998</v>
      </c>
      <c r="J201" s="110">
        <v>52</v>
      </c>
      <c r="K201" s="111">
        <v>45980</v>
      </c>
      <c r="L201" s="110">
        <v>19</v>
      </c>
      <c r="M201" s="110">
        <v>0</v>
      </c>
      <c r="N201" s="110">
        <v>3</v>
      </c>
      <c r="O201" s="112" t="s">
        <v>198</v>
      </c>
      <c r="P201" s="113">
        <v>0.25347222222222221</v>
      </c>
      <c r="Q201" s="110">
        <v>179</v>
      </c>
      <c r="R201" s="114" t="s">
        <v>199</v>
      </c>
    </row>
    <row r="202" spans="1:18" ht="15" customHeight="1" x14ac:dyDescent="0.3">
      <c r="A202" s="39" t="s">
        <v>77</v>
      </c>
      <c r="B202" s="39" t="s">
        <v>84</v>
      </c>
      <c r="C202" s="40">
        <v>0.33333333333333331</v>
      </c>
      <c r="D202" s="39" t="s">
        <v>79</v>
      </c>
      <c r="E202" s="39" t="s">
        <v>124</v>
      </c>
      <c r="F202" s="39" t="s">
        <v>192</v>
      </c>
      <c r="G202" s="190"/>
      <c r="H202" s="41" t="s">
        <v>85</v>
      </c>
      <c r="I202" s="42">
        <v>0.80449999999999999</v>
      </c>
      <c r="J202" s="43">
        <v>144</v>
      </c>
      <c r="K202" s="44">
        <v>45976</v>
      </c>
      <c r="L202" s="43">
        <v>1</v>
      </c>
      <c r="M202" s="43">
        <v>0</v>
      </c>
      <c r="N202" s="43">
        <v>0</v>
      </c>
      <c r="O202" s="45" t="s">
        <v>198</v>
      </c>
      <c r="P202" s="46">
        <v>0.33333333333333331</v>
      </c>
      <c r="Q202" s="43">
        <v>179</v>
      </c>
      <c r="R202" s="47" t="s">
        <v>200</v>
      </c>
    </row>
    <row r="203" spans="1:18" ht="15" customHeight="1" x14ac:dyDescent="0.3">
      <c r="A203" s="106" t="s">
        <v>77</v>
      </c>
      <c r="B203" s="106" t="s">
        <v>92</v>
      </c>
      <c r="C203" s="107">
        <v>0.58333333333333337</v>
      </c>
      <c r="D203" s="106" t="s">
        <v>79</v>
      </c>
      <c r="E203" s="106" t="s">
        <v>67</v>
      </c>
      <c r="F203" s="106" t="s">
        <v>192</v>
      </c>
      <c r="G203" s="190"/>
      <c r="H203" s="108" t="s">
        <v>94</v>
      </c>
      <c r="I203" s="115">
        <v>0.72070000000000001</v>
      </c>
      <c r="J203" s="110">
        <v>129</v>
      </c>
      <c r="K203" s="111">
        <v>45980</v>
      </c>
      <c r="L203" s="110">
        <v>17</v>
      </c>
      <c r="M203" s="110">
        <v>0</v>
      </c>
      <c r="N203" s="110">
        <v>6</v>
      </c>
      <c r="O203" s="112" t="s">
        <v>198</v>
      </c>
      <c r="P203" s="113">
        <v>0.58333333333333337</v>
      </c>
      <c r="Q203" s="110">
        <v>179</v>
      </c>
      <c r="R203" s="114" t="s">
        <v>201</v>
      </c>
    </row>
    <row r="204" spans="1:18" ht="15" customHeight="1" x14ac:dyDescent="0.3">
      <c r="A204" s="48" t="s">
        <v>77</v>
      </c>
      <c r="B204" s="48" t="s">
        <v>202</v>
      </c>
      <c r="C204" s="49">
        <v>0.73958333333333337</v>
      </c>
      <c r="D204" s="48" t="s">
        <v>79</v>
      </c>
      <c r="E204" s="48" t="s">
        <v>67</v>
      </c>
      <c r="F204" s="48" t="s">
        <v>192</v>
      </c>
      <c r="G204" s="190"/>
      <c r="H204" s="51" t="s">
        <v>97</v>
      </c>
      <c r="I204" s="116">
        <v>0.45250000000000001</v>
      </c>
      <c r="J204" s="53">
        <v>81</v>
      </c>
      <c r="K204" s="54">
        <v>45981</v>
      </c>
      <c r="L204" s="53">
        <v>20</v>
      </c>
      <c r="M204" s="53">
        <v>1</v>
      </c>
      <c r="N204" s="53">
        <v>3</v>
      </c>
      <c r="O204" s="55" t="s">
        <v>198</v>
      </c>
      <c r="P204" s="56">
        <v>0.73958333333333337</v>
      </c>
      <c r="Q204" s="53">
        <v>179</v>
      </c>
      <c r="R204" s="57" t="s">
        <v>203</v>
      </c>
    </row>
    <row r="205" spans="1:18" ht="15" customHeight="1" x14ac:dyDescent="0.3">
      <c r="A205" s="30" t="s">
        <v>77</v>
      </c>
      <c r="B205" s="30" t="s">
        <v>87</v>
      </c>
      <c r="C205" s="31">
        <v>4.8611111111111112E-2</v>
      </c>
      <c r="D205" s="30" t="s">
        <v>79</v>
      </c>
      <c r="E205" s="30" t="s">
        <v>124</v>
      </c>
      <c r="F205" s="30" t="s">
        <v>80</v>
      </c>
      <c r="G205" s="190"/>
      <c r="H205" s="32" t="s">
        <v>89</v>
      </c>
      <c r="I205" s="117">
        <v>0.48039999999999999</v>
      </c>
      <c r="J205" s="34">
        <v>86</v>
      </c>
      <c r="K205" s="35">
        <v>45980</v>
      </c>
      <c r="L205" s="34">
        <v>2</v>
      </c>
      <c r="M205" s="34">
        <v>0</v>
      </c>
      <c r="N205" s="34">
        <v>2</v>
      </c>
      <c r="O205" s="36" t="s">
        <v>204</v>
      </c>
      <c r="P205" s="37">
        <v>4.8611111111111112E-2</v>
      </c>
      <c r="Q205" s="34">
        <v>179</v>
      </c>
      <c r="R205" s="38" t="s">
        <v>205</v>
      </c>
    </row>
    <row r="206" spans="1:18" ht="15" customHeight="1" x14ac:dyDescent="0.3">
      <c r="A206" s="48" t="s">
        <v>77</v>
      </c>
      <c r="B206" s="48" t="s">
        <v>78</v>
      </c>
      <c r="C206" s="49">
        <v>0.1145833333333333</v>
      </c>
      <c r="D206" s="48" t="s">
        <v>79</v>
      </c>
      <c r="E206" s="48" t="s">
        <v>116</v>
      </c>
      <c r="F206" s="48" t="s">
        <v>80</v>
      </c>
      <c r="G206" s="190"/>
      <c r="H206" s="51" t="s">
        <v>81</v>
      </c>
      <c r="I206" s="116">
        <v>0.24579999999999999</v>
      </c>
      <c r="J206" s="53">
        <v>44</v>
      </c>
      <c r="K206" s="54">
        <v>45979</v>
      </c>
      <c r="L206" s="53">
        <v>32</v>
      </c>
      <c r="M206" s="53">
        <v>0</v>
      </c>
      <c r="N206" s="53">
        <v>0</v>
      </c>
      <c r="O206" s="55" t="s">
        <v>170</v>
      </c>
      <c r="P206" s="56">
        <v>0.1145833333333333</v>
      </c>
      <c r="Q206" s="53">
        <v>179</v>
      </c>
      <c r="R206" s="57" t="s">
        <v>206</v>
      </c>
    </row>
    <row r="207" spans="1:18" ht="15" customHeight="1" x14ac:dyDescent="0.3">
      <c r="A207" s="19" t="s">
        <v>104</v>
      </c>
      <c r="B207" s="19" t="s">
        <v>174</v>
      </c>
      <c r="C207" s="20">
        <v>0.3298611111111111</v>
      </c>
      <c r="D207" s="19" t="s">
        <v>106</v>
      </c>
      <c r="E207" s="19" t="s">
        <v>107</v>
      </c>
      <c r="F207" s="19" t="s">
        <v>207</v>
      </c>
      <c r="G207" s="190"/>
      <c r="H207" s="10"/>
      <c r="I207" s="11"/>
      <c r="J207" s="11"/>
      <c r="K207" s="11"/>
      <c r="L207" s="11"/>
      <c r="M207" s="11"/>
      <c r="N207" s="11"/>
      <c r="O207" s="12"/>
      <c r="P207" s="11"/>
      <c r="Q207" s="13"/>
      <c r="R207" s="14"/>
    </row>
    <row r="208" spans="1:18" ht="15" customHeight="1" x14ac:dyDescent="0.3">
      <c r="A208" s="15" t="s">
        <v>104</v>
      </c>
      <c r="B208" s="15" t="s">
        <v>174</v>
      </c>
      <c r="C208" s="16">
        <v>0.3298611111111111</v>
      </c>
      <c r="D208" s="15" t="s">
        <v>34</v>
      </c>
      <c r="E208" s="15" t="s">
        <v>72</v>
      </c>
      <c r="F208" s="15" t="s">
        <v>208</v>
      </c>
      <c r="G208" s="190"/>
      <c r="H208" s="10"/>
      <c r="I208" s="11"/>
      <c r="J208" s="11"/>
      <c r="K208" s="11"/>
      <c r="L208" s="11"/>
      <c r="M208" s="11"/>
      <c r="N208" s="11"/>
      <c r="O208" s="12"/>
      <c r="P208" s="11"/>
      <c r="Q208" s="13"/>
      <c r="R208" s="14"/>
    </row>
    <row r="209" spans="1:18" ht="15" customHeight="1" x14ac:dyDescent="0.3">
      <c r="A209" s="19" t="s">
        <v>118</v>
      </c>
      <c r="B209" s="19" t="s">
        <v>119</v>
      </c>
      <c r="C209" s="20">
        <v>0.66666666666666663</v>
      </c>
      <c r="D209" s="19" t="s">
        <v>112</v>
      </c>
      <c r="E209" s="19" t="s">
        <v>209</v>
      </c>
      <c r="F209" s="19" t="s">
        <v>121</v>
      </c>
      <c r="G209" s="190"/>
      <c r="H209" s="10"/>
      <c r="I209" s="11"/>
      <c r="J209" s="11"/>
      <c r="K209" s="11"/>
      <c r="L209" s="11"/>
      <c r="M209" s="11"/>
      <c r="N209" s="11"/>
      <c r="O209" s="12"/>
      <c r="P209" s="11"/>
      <c r="Q209" s="13"/>
      <c r="R209" s="14"/>
    </row>
    <row r="210" spans="1:18" ht="15" customHeight="1" x14ac:dyDescent="0.3">
      <c r="A210" s="19" t="s">
        <v>148</v>
      </c>
      <c r="B210" s="19" t="s">
        <v>149</v>
      </c>
      <c r="C210" s="20">
        <v>0.4861111111111111</v>
      </c>
      <c r="D210" s="19" t="s">
        <v>150</v>
      </c>
      <c r="E210" s="19" t="s">
        <v>113</v>
      </c>
      <c r="F210" s="19" t="s">
        <v>177</v>
      </c>
      <c r="G210" s="190"/>
      <c r="H210" s="10"/>
      <c r="I210" s="11"/>
      <c r="J210" s="11"/>
      <c r="K210" s="11"/>
      <c r="L210" s="11"/>
      <c r="M210" s="11"/>
      <c r="N210" s="11"/>
      <c r="O210" s="12"/>
      <c r="P210" s="11"/>
      <c r="Q210" s="13"/>
      <c r="R210" s="14"/>
    </row>
    <row r="211" spans="1:18" ht="15" customHeight="1" x14ac:dyDescent="0.3">
      <c r="A211" s="17" t="s">
        <v>148</v>
      </c>
      <c r="B211" s="17" t="s">
        <v>157</v>
      </c>
      <c r="C211" s="18">
        <v>0.14583333333333329</v>
      </c>
      <c r="D211" s="17" t="s">
        <v>150</v>
      </c>
      <c r="E211" s="17" t="s">
        <v>116</v>
      </c>
      <c r="F211" s="17" t="s">
        <v>177</v>
      </c>
      <c r="G211" s="190"/>
      <c r="H211" s="10"/>
      <c r="I211" s="11"/>
      <c r="J211" s="11"/>
      <c r="K211" s="11"/>
      <c r="L211" s="11"/>
      <c r="M211" s="11"/>
      <c r="N211" s="11"/>
      <c r="O211" s="12"/>
      <c r="P211" s="11"/>
      <c r="Q211" s="13"/>
      <c r="R211" s="14"/>
    </row>
    <row r="212" spans="1:18" ht="15" customHeight="1" x14ac:dyDescent="0.3">
      <c r="A212" s="17" t="s">
        <v>148</v>
      </c>
      <c r="B212" s="17" t="s">
        <v>153</v>
      </c>
      <c r="C212" s="18">
        <v>0.22222222222222221</v>
      </c>
      <c r="D212" s="17" t="s">
        <v>150</v>
      </c>
      <c r="E212" s="17" t="s">
        <v>116</v>
      </c>
      <c r="F212" s="17" t="s">
        <v>177</v>
      </c>
      <c r="G212" s="190"/>
      <c r="H212" s="10"/>
      <c r="I212" s="11"/>
      <c r="J212" s="11"/>
      <c r="K212" s="11"/>
      <c r="L212" s="11"/>
      <c r="M212" s="11"/>
      <c r="N212" s="11"/>
      <c r="O212" s="12"/>
      <c r="P212" s="11"/>
      <c r="Q212" s="13"/>
      <c r="R212" s="14"/>
    </row>
    <row r="213" spans="1:18" ht="15" customHeight="1" x14ac:dyDescent="0.3">
      <c r="A213" s="17" t="s">
        <v>148</v>
      </c>
      <c r="B213" s="17" t="s">
        <v>152</v>
      </c>
      <c r="C213" s="18">
        <v>0.51388888888888895</v>
      </c>
      <c r="D213" s="17" t="s">
        <v>150</v>
      </c>
      <c r="E213" s="17" t="s">
        <v>116</v>
      </c>
      <c r="F213" s="17" t="s">
        <v>178</v>
      </c>
      <c r="G213" s="190"/>
      <c r="H213" s="10"/>
      <c r="I213" s="11"/>
      <c r="J213" s="11"/>
      <c r="K213" s="11"/>
      <c r="L213" s="11"/>
      <c r="M213" s="11"/>
      <c r="N213" s="11"/>
      <c r="O213" s="12"/>
      <c r="P213" s="11"/>
      <c r="Q213" s="13"/>
      <c r="R213" s="14"/>
    </row>
    <row r="214" spans="1:18" ht="15" customHeight="1" x14ac:dyDescent="0.3">
      <c r="A214" s="17" t="s">
        <v>148</v>
      </c>
      <c r="B214" s="17" t="s">
        <v>180</v>
      </c>
      <c r="C214" s="18">
        <v>0.95833333333333337</v>
      </c>
      <c r="D214" s="17" t="s">
        <v>150</v>
      </c>
      <c r="E214" s="17" t="s">
        <v>116</v>
      </c>
      <c r="F214" s="17" t="s">
        <v>179</v>
      </c>
      <c r="G214" s="190"/>
      <c r="H214" s="10"/>
      <c r="I214" s="11"/>
      <c r="J214" s="11"/>
      <c r="K214" s="11"/>
      <c r="L214" s="11"/>
      <c r="M214" s="11"/>
      <c r="N214" s="11"/>
      <c r="O214" s="12"/>
      <c r="P214" s="11"/>
      <c r="Q214" s="13"/>
      <c r="R214" s="14"/>
    </row>
    <row r="215" spans="1:18" ht="15" customHeight="1" x14ac:dyDescent="0.3">
      <c r="A215" s="17" t="s">
        <v>148</v>
      </c>
      <c r="B215" s="17" t="s">
        <v>155</v>
      </c>
      <c r="C215" s="18">
        <v>1.388888888888889E-2</v>
      </c>
      <c r="D215" s="17" t="s">
        <v>150</v>
      </c>
      <c r="E215" s="17" t="s">
        <v>116</v>
      </c>
      <c r="F215" s="17" t="s">
        <v>151</v>
      </c>
      <c r="G215" s="190"/>
      <c r="H215" s="10"/>
      <c r="I215" s="11"/>
      <c r="J215" s="11"/>
      <c r="K215" s="11"/>
      <c r="L215" s="11"/>
      <c r="M215" s="11"/>
      <c r="N215" s="11"/>
      <c r="O215" s="12"/>
      <c r="P215" s="11"/>
      <c r="Q215" s="13"/>
      <c r="R215" s="14"/>
    </row>
    <row r="216" spans="1:18" ht="15" customHeight="1" x14ac:dyDescent="0.3">
      <c r="A216" s="17" t="s">
        <v>148</v>
      </c>
      <c r="B216" s="17" t="s">
        <v>158</v>
      </c>
      <c r="C216" s="18">
        <v>0.27777777777777779</v>
      </c>
      <c r="D216" s="17" t="s">
        <v>150</v>
      </c>
      <c r="E216" s="17" t="s">
        <v>116</v>
      </c>
      <c r="F216" s="17" t="s">
        <v>151</v>
      </c>
      <c r="G216" s="190"/>
      <c r="H216" s="10"/>
      <c r="I216" s="11"/>
      <c r="J216" s="11"/>
      <c r="K216" s="11"/>
      <c r="L216" s="11"/>
      <c r="M216" s="11"/>
      <c r="N216" s="11"/>
      <c r="O216" s="12"/>
      <c r="P216" s="11"/>
      <c r="Q216" s="13"/>
      <c r="R216" s="14"/>
    </row>
    <row r="217" spans="1:18" ht="15" customHeight="1" x14ac:dyDescent="0.3">
      <c r="A217" s="17" t="s">
        <v>148</v>
      </c>
      <c r="B217" s="17" t="s">
        <v>160</v>
      </c>
      <c r="C217" s="18">
        <v>0.77430555555555547</v>
      </c>
      <c r="D217" s="17" t="s">
        <v>150</v>
      </c>
      <c r="E217" s="17" t="s">
        <v>116</v>
      </c>
      <c r="F217" s="17" t="s">
        <v>151</v>
      </c>
      <c r="G217" s="190"/>
      <c r="H217" s="10"/>
      <c r="I217" s="11"/>
      <c r="J217" s="11"/>
      <c r="K217" s="11"/>
      <c r="L217" s="11"/>
      <c r="M217" s="11"/>
      <c r="N217" s="11"/>
      <c r="O217" s="12"/>
      <c r="P217" s="11"/>
      <c r="Q217" s="13"/>
      <c r="R217" s="14"/>
    </row>
    <row r="218" spans="1:18" ht="15" customHeight="1" x14ac:dyDescent="0.3">
      <c r="A218" s="19" t="s">
        <v>125</v>
      </c>
      <c r="B218" s="19" t="s">
        <v>126</v>
      </c>
      <c r="C218" s="20">
        <v>0.37847222222222232</v>
      </c>
      <c r="D218" s="19" t="s">
        <v>127</v>
      </c>
      <c r="E218" s="19" t="s">
        <v>113</v>
      </c>
      <c r="F218" s="19" t="s">
        <v>182</v>
      </c>
      <c r="G218" s="190"/>
      <c r="H218" s="10"/>
      <c r="I218" s="11"/>
      <c r="J218" s="11"/>
      <c r="K218" s="11"/>
      <c r="L218" s="11"/>
      <c r="M218" s="11"/>
      <c r="N218" s="11"/>
      <c r="O218" s="12"/>
      <c r="P218" s="11"/>
      <c r="Q218" s="13"/>
      <c r="R218" s="14"/>
    </row>
    <row r="219" spans="1:18" ht="15" customHeight="1" x14ac:dyDescent="0.3">
      <c r="A219" s="15" t="s">
        <v>125</v>
      </c>
      <c r="B219" s="15" t="s">
        <v>126</v>
      </c>
      <c r="C219" s="16">
        <v>0.37847222222222232</v>
      </c>
      <c r="D219" s="15" t="s">
        <v>129</v>
      </c>
      <c r="E219" s="15" t="s">
        <v>130</v>
      </c>
      <c r="F219" s="15" t="s">
        <v>183</v>
      </c>
      <c r="G219" s="190"/>
      <c r="H219" s="10"/>
      <c r="I219" s="11"/>
      <c r="J219" s="11"/>
      <c r="K219" s="11"/>
      <c r="L219" s="11"/>
      <c r="M219" s="11"/>
      <c r="N219" s="11"/>
      <c r="O219" s="12"/>
      <c r="P219" s="11"/>
      <c r="Q219" s="13"/>
      <c r="R219" s="14"/>
    </row>
    <row r="220" spans="1:18" ht="15" customHeight="1" x14ac:dyDescent="0.3">
      <c r="A220" s="17" t="s">
        <v>125</v>
      </c>
      <c r="B220" s="17" t="s">
        <v>133</v>
      </c>
      <c r="C220" s="18">
        <v>0.24305555555555561</v>
      </c>
      <c r="D220" s="17" t="s">
        <v>127</v>
      </c>
      <c r="E220" s="17" t="s">
        <v>116</v>
      </c>
      <c r="F220" s="17" t="s">
        <v>182</v>
      </c>
      <c r="G220" s="190"/>
      <c r="H220" s="10"/>
      <c r="I220" s="11"/>
      <c r="J220" s="11"/>
      <c r="K220" s="11"/>
      <c r="L220" s="11"/>
      <c r="M220" s="11"/>
      <c r="N220" s="11"/>
      <c r="O220" s="12"/>
      <c r="P220" s="11"/>
      <c r="Q220" s="13"/>
      <c r="R220" s="14"/>
    </row>
    <row r="221" spans="1:18" ht="15" customHeight="1" x14ac:dyDescent="0.3">
      <c r="A221" s="15" t="s">
        <v>125</v>
      </c>
      <c r="B221" s="15" t="s">
        <v>133</v>
      </c>
      <c r="C221" s="16">
        <v>0.24305555555555561</v>
      </c>
      <c r="D221" s="15" t="s">
        <v>129</v>
      </c>
      <c r="E221" s="15" t="s">
        <v>130</v>
      </c>
      <c r="F221" s="15" t="s">
        <v>183</v>
      </c>
      <c r="G221" s="190"/>
      <c r="H221" s="10"/>
      <c r="I221" s="11"/>
      <c r="J221" s="11"/>
      <c r="K221" s="11"/>
      <c r="L221" s="11"/>
      <c r="M221" s="11"/>
      <c r="N221" s="11"/>
      <c r="O221" s="12"/>
      <c r="P221" s="11"/>
      <c r="Q221" s="13"/>
      <c r="R221" s="14"/>
    </row>
    <row r="222" spans="1:18" ht="15" customHeight="1" x14ac:dyDescent="0.3">
      <c r="A222" s="17" t="s">
        <v>125</v>
      </c>
      <c r="B222" s="17" t="s">
        <v>134</v>
      </c>
      <c r="C222" s="18">
        <v>0.1423611111111111</v>
      </c>
      <c r="D222" s="17" t="s">
        <v>127</v>
      </c>
      <c r="E222" s="17" t="s">
        <v>116</v>
      </c>
      <c r="F222" s="17" t="s">
        <v>182</v>
      </c>
      <c r="G222" s="190"/>
      <c r="H222" s="10"/>
      <c r="I222" s="11"/>
      <c r="J222" s="11"/>
      <c r="K222" s="11"/>
      <c r="L222" s="11"/>
      <c r="M222" s="11"/>
      <c r="N222" s="11"/>
      <c r="O222" s="12"/>
      <c r="P222" s="11"/>
      <c r="Q222" s="13"/>
      <c r="R222" s="14"/>
    </row>
    <row r="223" spans="1:18" ht="15" customHeight="1" x14ac:dyDescent="0.3">
      <c r="A223" s="15" t="s">
        <v>125</v>
      </c>
      <c r="B223" s="15" t="s">
        <v>134</v>
      </c>
      <c r="C223" s="16">
        <v>0.1423611111111111</v>
      </c>
      <c r="D223" s="15" t="s">
        <v>129</v>
      </c>
      <c r="E223" s="15" t="s">
        <v>130</v>
      </c>
      <c r="F223" s="15" t="s">
        <v>183</v>
      </c>
      <c r="G223" s="190"/>
      <c r="H223" s="10"/>
      <c r="I223" s="11"/>
      <c r="J223" s="11"/>
      <c r="K223" s="11"/>
      <c r="L223" s="11"/>
      <c r="M223" s="11"/>
      <c r="N223" s="11"/>
      <c r="O223" s="12"/>
      <c r="P223" s="11"/>
      <c r="Q223" s="13"/>
      <c r="R223" s="14"/>
    </row>
    <row r="224" spans="1:18" ht="15" customHeight="1" x14ac:dyDescent="0.3">
      <c r="A224" s="17" t="s">
        <v>125</v>
      </c>
      <c r="B224" s="17" t="s">
        <v>132</v>
      </c>
      <c r="C224" s="18">
        <v>6.9444444444444441E-3</v>
      </c>
      <c r="D224" s="17" t="s">
        <v>127</v>
      </c>
      <c r="E224" s="17" t="s">
        <v>116</v>
      </c>
      <c r="F224" s="17" t="s">
        <v>128</v>
      </c>
      <c r="G224" s="190"/>
      <c r="H224" s="10"/>
      <c r="I224" s="11"/>
      <c r="J224" s="11"/>
      <c r="K224" s="11"/>
      <c r="L224" s="11"/>
      <c r="M224" s="11"/>
      <c r="N224" s="11"/>
      <c r="O224" s="12"/>
      <c r="P224" s="11"/>
      <c r="Q224" s="13"/>
      <c r="R224" s="14"/>
    </row>
    <row r="225" spans="1:18" ht="15" customHeight="1" x14ac:dyDescent="0.3">
      <c r="A225" s="15" t="s">
        <v>125</v>
      </c>
      <c r="B225" s="15" t="s">
        <v>132</v>
      </c>
      <c r="C225" s="16">
        <v>6.9444444444444441E-3</v>
      </c>
      <c r="D225" s="15" t="s">
        <v>129</v>
      </c>
      <c r="E225" s="15" t="s">
        <v>130</v>
      </c>
      <c r="F225" s="15" t="s">
        <v>131</v>
      </c>
      <c r="G225" s="190"/>
      <c r="H225" s="10"/>
      <c r="I225" s="11"/>
      <c r="J225" s="11"/>
      <c r="K225" s="11"/>
      <c r="L225" s="11"/>
      <c r="M225" s="11"/>
      <c r="N225" s="11"/>
      <c r="O225" s="12"/>
      <c r="P225" s="11"/>
      <c r="Q225" s="13"/>
      <c r="R225" s="14"/>
    </row>
    <row r="226" spans="1:18" ht="15" customHeight="1" x14ac:dyDescent="0.3">
      <c r="A226" s="17" t="s">
        <v>125</v>
      </c>
      <c r="B226" s="17" t="s">
        <v>145</v>
      </c>
      <c r="C226" s="18">
        <v>0.61111111111111105</v>
      </c>
      <c r="D226" s="17" t="s">
        <v>127</v>
      </c>
      <c r="E226" s="17" t="s">
        <v>116</v>
      </c>
      <c r="F226" s="17" t="s">
        <v>137</v>
      </c>
      <c r="G226" s="190"/>
      <c r="H226" s="10"/>
      <c r="I226" s="11"/>
      <c r="J226" s="11"/>
      <c r="K226" s="11"/>
      <c r="L226" s="11"/>
      <c r="M226" s="11"/>
      <c r="N226" s="11"/>
      <c r="O226" s="12"/>
      <c r="P226" s="11"/>
      <c r="Q226" s="13"/>
      <c r="R226" s="14"/>
    </row>
    <row r="227" spans="1:18" ht="15" customHeight="1" x14ac:dyDescent="0.3">
      <c r="A227" s="15" t="s">
        <v>125</v>
      </c>
      <c r="B227" s="15" t="s">
        <v>145</v>
      </c>
      <c r="C227" s="16">
        <v>0.61111111111111105</v>
      </c>
      <c r="D227" s="15" t="s">
        <v>129</v>
      </c>
      <c r="E227" s="15" t="s">
        <v>130</v>
      </c>
      <c r="F227" s="15" t="s">
        <v>138</v>
      </c>
      <c r="G227" s="190"/>
      <c r="H227" s="10"/>
      <c r="I227" s="11"/>
      <c r="J227" s="11"/>
      <c r="K227" s="11"/>
      <c r="L227" s="11"/>
      <c r="M227" s="11"/>
      <c r="N227" s="11"/>
      <c r="O227" s="12"/>
      <c r="P227" s="11"/>
      <c r="Q227" s="13"/>
      <c r="R227" s="14"/>
    </row>
    <row r="228" spans="1:18" ht="15" customHeight="1" x14ac:dyDescent="0.3">
      <c r="A228" s="17" t="s">
        <v>125</v>
      </c>
      <c r="B228" s="17" t="s">
        <v>142</v>
      </c>
      <c r="C228" s="18">
        <v>0.30208333333333331</v>
      </c>
      <c r="D228" s="17" t="s">
        <v>129</v>
      </c>
      <c r="E228" s="17" t="s">
        <v>93</v>
      </c>
      <c r="F228" s="17" t="s">
        <v>210</v>
      </c>
      <c r="G228" s="190"/>
      <c r="H228" s="10"/>
      <c r="I228" s="11"/>
      <c r="J228" s="11"/>
      <c r="K228" s="11"/>
      <c r="L228" s="11"/>
      <c r="M228" s="11"/>
      <c r="N228" s="11"/>
      <c r="O228" s="12"/>
      <c r="P228" s="11"/>
      <c r="Q228" s="13"/>
      <c r="R228" s="14"/>
    </row>
    <row r="229" spans="1:18" ht="15" customHeight="1" x14ac:dyDescent="0.3">
      <c r="A229" s="17" t="s">
        <v>125</v>
      </c>
      <c r="B229" s="17" t="s">
        <v>143</v>
      </c>
      <c r="C229" s="18">
        <v>0.12847222222222221</v>
      </c>
      <c r="D229" s="17" t="s">
        <v>129</v>
      </c>
      <c r="E229" s="17" t="s">
        <v>93</v>
      </c>
      <c r="F229" s="17" t="s">
        <v>210</v>
      </c>
      <c r="G229" s="190"/>
      <c r="H229" s="10"/>
      <c r="I229" s="11"/>
      <c r="J229" s="11"/>
      <c r="K229" s="11"/>
      <c r="L229" s="11"/>
      <c r="M229" s="11"/>
      <c r="N229" s="11"/>
      <c r="O229" s="12"/>
      <c r="P229" s="11"/>
      <c r="Q229" s="13"/>
      <c r="R229" s="14"/>
    </row>
    <row r="230" spans="1:18" ht="15" customHeight="1" x14ac:dyDescent="0.3">
      <c r="A230" s="17" t="s">
        <v>125</v>
      </c>
      <c r="B230" s="17" t="s">
        <v>136</v>
      </c>
      <c r="C230" s="18">
        <v>0.71875</v>
      </c>
      <c r="D230" s="17" t="s">
        <v>127</v>
      </c>
      <c r="E230" s="17" t="s">
        <v>116</v>
      </c>
      <c r="F230" s="17" t="s">
        <v>211</v>
      </c>
      <c r="G230" s="190"/>
      <c r="H230" s="10"/>
      <c r="I230" s="11"/>
      <c r="J230" s="11"/>
      <c r="K230" s="11"/>
      <c r="L230" s="11"/>
      <c r="M230" s="11"/>
      <c r="N230" s="11"/>
      <c r="O230" s="12"/>
      <c r="P230" s="11"/>
      <c r="Q230" s="13"/>
      <c r="R230" s="14"/>
    </row>
    <row r="231" spans="1:18" ht="15" customHeight="1" x14ac:dyDescent="0.3">
      <c r="A231" s="15" t="s">
        <v>125</v>
      </c>
      <c r="B231" s="15" t="s">
        <v>136</v>
      </c>
      <c r="C231" s="16">
        <v>0.71875</v>
      </c>
      <c r="D231" s="15" t="s">
        <v>129</v>
      </c>
      <c r="E231" s="15" t="s">
        <v>130</v>
      </c>
      <c r="F231" s="15" t="s">
        <v>212</v>
      </c>
      <c r="G231" s="190"/>
      <c r="H231" s="10"/>
      <c r="I231" s="11"/>
      <c r="J231" s="11"/>
      <c r="K231" s="11"/>
      <c r="L231" s="11"/>
      <c r="M231" s="11"/>
      <c r="N231" s="11"/>
      <c r="O231" s="12"/>
      <c r="P231" s="11"/>
      <c r="Q231" s="13"/>
      <c r="R231" s="14"/>
    </row>
    <row r="232" spans="1:18" ht="15" customHeight="1" x14ac:dyDescent="0.3">
      <c r="A232" s="17" t="s">
        <v>125</v>
      </c>
      <c r="B232" s="17" t="s">
        <v>140</v>
      </c>
      <c r="C232" s="18">
        <v>0.88888888888888884</v>
      </c>
      <c r="D232" s="17" t="s">
        <v>129</v>
      </c>
      <c r="E232" s="17" t="s">
        <v>93</v>
      </c>
      <c r="F232" s="17" t="s">
        <v>184</v>
      </c>
      <c r="G232" s="190"/>
      <c r="H232" s="10"/>
      <c r="I232" s="11"/>
      <c r="J232" s="11"/>
      <c r="K232" s="11"/>
      <c r="L232" s="11"/>
      <c r="M232" s="11"/>
      <c r="N232" s="11"/>
      <c r="O232" s="12"/>
      <c r="P232" s="11"/>
      <c r="Q232" s="13"/>
      <c r="R232" s="14"/>
    </row>
    <row r="233" spans="1:18" ht="15" customHeight="1" x14ac:dyDescent="0.3">
      <c r="A233" s="17" t="s">
        <v>125</v>
      </c>
      <c r="B233" s="17" t="s">
        <v>135</v>
      </c>
      <c r="C233" s="18">
        <v>0.93055555555555547</v>
      </c>
      <c r="D233" s="17" t="s">
        <v>127</v>
      </c>
      <c r="E233" s="17" t="s">
        <v>116</v>
      </c>
      <c r="F233" s="17" t="s">
        <v>185</v>
      </c>
      <c r="G233" s="190"/>
      <c r="H233" s="10"/>
      <c r="I233" s="11"/>
      <c r="J233" s="11"/>
      <c r="K233" s="11"/>
      <c r="L233" s="11"/>
      <c r="M233" s="11"/>
      <c r="N233" s="11"/>
      <c r="O233" s="12"/>
      <c r="P233" s="11"/>
      <c r="Q233" s="13"/>
      <c r="R233" s="14"/>
    </row>
    <row r="234" spans="1:18" ht="15" customHeight="1" x14ac:dyDescent="0.3">
      <c r="A234" s="15" t="s">
        <v>125</v>
      </c>
      <c r="B234" s="15" t="s">
        <v>135</v>
      </c>
      <c r="C234" s="16">
        <v>0.93055555555555547</v>
      </c>
      <c r="D234" s="15" t="s">
        <v>129</v>
      </c>
      <c r="E234" s="15" t="s">
        <v>130</v>
      </c>
      <c r="F234" s="15" t="s">
        <v>186</v>
      </c>
      <c r="G234" s="190"/>
      <c r="H234" s="10"/>
      <c r="I234" s="11"/>
      <c r="J234" s="11"/>
      <c r="K234" s="11"/>
      <c r="L234" s="11"/>
      <c r="M234" s="11"/>
      <c r="N234" s="11"/>
      <c r="O234" s="12"/>
      <c r="P234" s="11"/>
      <c r="Q234" s="13"/>
      <c r="R234" s="14"/>
    </row>
    <row r="235" spans="1:18" ht="15" customHeight="1" x14ac:dyDescent="0.3">
      <c r="A235" s="17" t="s">
        <v>125</v>
      </c>
      <c r="B235" s="17" t="s">
        <v>144</v>
      </c>
      <c r="C235" s="18">
        <v>0.78819444444444453</v>
      </c>
      <c r="D235" s="17" t="s">
        <v>129</v>
      </c>
      <c r="E235" s="17" t="s">
        <v>93</v>
      </c>
      <c r="F235" s="17" t="s">
        <v>141</v>
      </c>
      <c r="G235" s="190"/>
      <c r="H235" s="10"/>
      <c r="I235" s="11"/>
      <c r="J235" s="11"/>
      <c r="K235" s="11"/>
      <c r="L235" s="11"/>
      <c r="M235" s="11"/>
      <c r="N235" s="11"/>
      <c r="O235" s="12"/>
      <c r="P235" s="11"/>
      <c r="Q235" s="13"/>
      <c r="R235" s="14"/>
    </row>
    <row r="236" spans="1:18" ht="15" customHeight="1" x14ac:dyDescent="0.3">
      <c r="A236" s="17" t="s">
        <v>125</v>
      </c>
      <c r="B236" s="17" t="s">
        <v>139</v>
      </c>
      <c r="C236" s="18">
        <v>0.82986111111111116</v>
      </c>
      <c r="D236" s="17" t="s">
        <v>127</v>
      </c>
      <c r="E236" s="17" t="s">
        <v>116</v>
      </c>
      <c r="F236" s="17" t="s">
        <v>213</v>
      </c>
      <c r="G236" s="190"/>
      <c r="H236" s="10"/>
      <c r="I236" s="11"/>
      <c r="J236" s="11"/>
      <c r="K236" s="11"/>
      <c r="L236" s="11"/>
      <c r="M236" s="11"/>
      <c r="N236" s="11"/>
      <c r="O236" s="12"/>
      <c r="P236" s="11"/>
      <c r="Q236" s="13"/>
      <c r="R236" s="14"/>
    </row>
    <row r="237" spans="1:18" ht="15" customHeight="1" thickBot="1" x14ac:dyDescent="0.35">
      <c r="A237" s="95" t="s">
        <v>125</v>
      </c>
      <c r="B237" s="95" t="s">
        <v>139</v>
      </c>
      <c r="C237" s="96">
        <v>0.82986111111111116</v>
      </c>
      <c r="D237" s="95" t="s">
        <v>129</v>
      </c>
      <c r="E237" s="95" t="s">
        <v>130</v>
      </c>
      <c r="F237" s="95" t="s">
        <v>214</v>
      </c>
      <c r="G237" s="191"/>
      <c r="H237" s="62"/>
      <c r="I237" s="63"/>
      <c r="J237" s="63"/>
      <c r="K237" s="63"/>
      <c r="L237" s="63"/>
      <c r="M237" s="63"/>
      <c r="N237" s="63"/>
      <c r="O237" s="64"/>
      <c r="P237" s="63"/>
      <c r="Q237" s="65"/>
      <c r="R237" s="66"/>
    </row>
    <row r="238" spans="1:18" ht="17.399999999999999" customHeight="1" thickBot="1" x14ac:dyDescent="0.35">
      <c r="A238" s="211"/>
      <c r="B238" s="212"/>
      <c r="C238" s="212"/>
      <c r="D238" s="212"/>
      <c r="E238" s="212"/>
      <c r="F238" s="212"/>
      <c r="G238" s="212"/>
      <c r="H238" s="212"/>
      <c r="I238" s="212"/>
      <c r="J238" s="212"/>
      <c r="K238" s="212"/>
      <c r="L238" s="212"/>
      <c r="M238" s="212"/>
      <c r="N238" s="212"/>
      <c r="O238" s="212"/>
      <c r="P238" s="212"/>
      <c r="Q238" s="212"/>
      <c r="R238" s="213"/>
    </row>
    <row r="239" spans="1:18" ht="22.05" customHeight="1" thickTop="1" thickBot="1" x14ac:dyDescent="0.35">
      <c r="A239" s="182" t="s">
        <v>6</v>
      </c>
      <c r="B239" s="180"/>
      <c r="C239" s="180"/>
      <c r="D239" s="180"/>
      <c r="E239" s="180"/>
      <c r="F239" s="181"/>
      <c r="G239" s="67">
        <v>45989</v>
      </c>
      <c r="H239" s="185" t="s">
        <v>7</v>
      </c>
      <c r="I239" s="180"/>
      <c r="J239" s="180"/>
      <c r="K239" s="180"/>
      <c r="L239" s="180"/>
      <c r="M239" s="180"/>
      <c r="N239" s="180"/>
      <c r="O239" s="180"/>
      <c r="P239" s="180"/>
      <c r="Q239" s="180"/>
      <c r="R239" s="181"/>
    </row>
    <row r="240" spans="1:18" ht="24" customHeight="1" x14ac:dyDescent="0.3">
      <c r="A240" s="68" t="s">
        <v>8</v>
      </c>
      <c r="B240" s="68" t="s">
        <v>9</v>
      </c>
      <c r="C240" s="69" t="s">
        <v>10</v>
      </c>
      <c r="D240" s="68" t="s">
        <v>11</v>
      </c>
      <c r="E240" s="68" t="s">
        <v>12</v>
      </c>
      <c r="F240" s="70" t="s">
        <v>13</v>
      </c>
      <c r="G240" s="71" t="s">
        <v>14</v>
      </c>
      <c r="H240" s="68" t="s">
        <v>15</v>
      </c>
      <c r="I240" s="72" t="s">
        <v>16</v>
      </c>
      <c r="J240" s="73" t="s">
        <v>17</v>
      </c>
      <c r="K240" s="74" t="s">
        <v>18</v>
      </c>
      <c r="L240" s="73" t="s">
        <v>19</v>
      </c>
      <c r="M240" s="73" t="s">
        <v>20</v>
      </c>
      <c r="N240" s="73" t="s">
        <v>21</v>
      </c>
      <c r="O240" s="68" t="s">
        <v>22</v>
      </c>
      <c r="P240" s="69" t="s">
        <v>23</v>
      </c>
      <c r="Q240" s="73" t="s">
        <v>24</v>
      </c>
      <c r="R240" s="68" t="s">
        <v>25</v>
      </c>
    </row>
    <row r="241" spans="1:18" ht="15" customHeight="1" x14ac:dyDescent="0.3">
      <c r="A241" s="8" t="s">
        <v>26</v>
      </c>
      <c r="B241" s="8" t="s">
        <v>27</v>
      </c>
      <c r="C241" s="9">
        <v>0.12847222222222221</v>
      </c>
      <c r="D241" s="8" t="s">
        <v>28</v>
      </c>
      <c r="E241" s="8" t="s">
        <v>162</v>
      </c>
      <c r="F241" s="8" t="s">
        <v>189</v>
      </c>
      <c r="G241" s="189"/>
      <c r="H241" s="10"/>
      <c r="I241" s="11"/>
      <c r="J241" s="11"/>
      <c r="K241" s="11"/>
      <c r="L241" s="11"/>
      <c r="M241" s="11"/>
      <c r="N241" s="11"/>
      <c r="O241" s="12"/>
      <c r="P241" s="11"/>
      <c r="Q241" s="13"/>
      <c r="R241" s="14"/>
    </row>
    <row r="242" spans="1:18" ht="15" customHeight="1" x14ac:dyDescent="0.3">
      <c r="A242" s="15" t="s">
        <v>26</v>
      </c>
      <c r="B242" s="15" t="s">
        <v>27</v>
      </c>
      <c r="C242" s="16">
        <v>0.12847222222222221</v>
      </c>
      <c r="D242" s="15" t="s">
        <v>31</v>
      </c>
      <c r="E242" s="15" t="s">
        <v>163</v>
      </c>
      <c r="F242" s="15" t="s">
        <v>168</v>
      </c>
      <c r="G242" s="190"/>
      <c r="H242" s="10"/>
      <c r="I242" s="11"/>
      <c r="J242" s="11"/>
      <c r="K242" s="11"/>
      <c r="L242" s="11"/>
      <c r="M242" s="11"/>
      <c r="N242" s="11"/>
      <c r="O242" s="12"/>
      <c r="P242" s="11"/>
      <c r="Q242" s="13"/>
      <c r="R242" s="14"/>
    </row>
    <row r="243" spans="1:18" ht="15" customHeight="1" x14ac:dyDescent="0.3">
      <c r="A243" s="15" t="s">
        <v>26</v>
      </c>
      <c r="B243" s="15" t="s">
        <v>27</v>
      </c>
      <c r="C243" s="16">
        <v>0.12847222222222221</v>
      </c>
      <c r="D243" s="15" t="s">
        <v>34</v>
      </c>
      <c r="E243" s="15" t="s">
        <v>163</v>
      </c>
      <c r="F243" s="15" t="s">
        <v>35</v>
      </c>
      <c r="G243" s="190"/>
      <c r="H243" s="10"/>
      <c r="I243" s="11"/>
      <c r="J243" s="11"/>
      <c r="K243" s="11"/>
      <c r="L243" s="11"/>
      <c r="M243" s="11"/>
      <c r="N243" s="11"/>
      <c r="O243" s="12"/>
      <c r="P243" s="11"/>
      <c r="Q243" s="13"/>
      <c r="R243" s="14"/>
    </row>
    <row r="244" spans="1:18" ht="15" customHeight="1" x14ac:dyDescent="0.3">
      <c r="A244" s="17" t="s">
        <v>26</v>
      </c>
      <c r="B244" s="17" t="s">
        <v>36</v>
      </c>
      <c r="C244" s="18">
        <v>0.30208333333333331</v>
      </c>
      <c r="D244" s="17" t="s">
        <v>28</v>
      </c>
      <c r="E244" s="17" t="s">
        <v>45</v>
      </c>
      <c r="F244" s="17" t="s">
        <v>30</v>
      </c>
      <c r="G244" s="190"/>
      <c r="H244" s="10"/>
      <c r="I244" s="11"/>
      <c r="J244" s="11"/>
      <c r="K244" s="11"/>
      <c r="L244" s="11"/>
      <c r="M244" s="11"/>
      <c r="N244" s="11"/>
      <c r="O244" s="12"/>
      <c r="P244" s="11"/>
      <c r="Q244" s="13"/>
      <c r="R244" s="14"/>
    </row>
    <row r="245" spans="1:18" ht="15" customHeight="1" x14ac:dyDescent="0.3">
      <c r="A245" s="15" t="s">
        <v>26</v>
      </c>
      <c r="B245" s="15" t="s">
        <v>36</v>
      </c>
      <c r="C245" s="16">
        <v>0.30208333333333331</v>
      </c>
      <c r="D245" s="15" t="s">
        <v>31</v>
      </c>
      <c r="E245" s="15" t="s">
        <v>47</v>
      </c>
      <c r="F245" s="15" t="s">
        <v>33</v>
      </c>
      <c r="G245" s="190"/>
      <c r="H245" s="10"/>
      <c r="I245" s="11"/>
      <c r="J245" s="11"/>
      <c r="K245" s="11"/>
      <c r="L245" s="11"/>
      <c r="M245" s="11"/>
      <c r="N245" s="11"/>
      <c r="O245" s="12"/>
      <c r="P245" s="11"/>
      <c r="Q245" s="13"/>
      <c r="R245" s="14"/>
    </row>
    <row r="246" spans="1:18" ht="15" customHeight="1" x14ac:dyDescent="0.3">
      <c r="A246" s="15" t="s">
        <v>26</v>
      </c>
      <c r="B246" s="15" t="s">
        <v>36</v>
      </c>
      <c r="C246" s="16">
        <v>0.30208333333333331</v>
      </c>
      <c r="D246" s="15" t="s">
        <v>34</v>
      </c>
      <c r="E246" s="15" t="s">
        <v>47</v>
      </c>
      <c r="F246" s="15" t="s">
        <v>35</v>
      </c>
      <c r="G246" s="190"/>
      <c r="H246" s="10"/>
      <c r="I246" s="11"/>
      <c r="J246" s="11"/>
      <c r="K246" s="11"/>
      <c r="L246" s="11"/>
      <c r="M246" s="11"/>
      <c r="N246" s="11"/>
      <c r="O246" s="12"/>
      <c r="P246" s="11"/>
      <c r="Q246" s="13"/>
      <c r="R246" s="14"/>
    </row>
    <row r="247" spans="1:18" ht="15" customHeight="1" x14ac:dyDescent="0.3">
      <c r="A247" s="17" t="s">
        <v>26</v>
      </c>
      <c r="B247" s="17" t="s">
        <v>41</v>
      </c>
      <c r="C247" s="18">
        <v>0.78819444444444453</v>
      </c>
      <c r="D247" s="17" t="s">
        <v>28</v>
      </c>
      <c r="E247" s="17" t="s">
        <v>215</v>
      </c>
      <c r="F247" s="17" t="s">
        <v>38</v>
      </c>
      <c r="G247" s="190"/>
      <c r="H247" s="10"/>
      <c r="I247" s="11"/>
      <c r="J247" s="11"/>
      <c r="K247" s="11"/>
      <c r="L247" s="11"/>
      <c r="M247" s="11"/>
      <c r="N247" s="11"/>
      <c r="O247" s="12"/>
      <c r="P247" s="11"/>
      <c r="Q247" s="13"/>
      <c r="R247" s="14"/>
    </row>
    <row r="248" spans="1:18" ht="15" customHeight="1" x14ac:dyDescent="0.3">
      <c r="A248" s="15" t="s">
        <v>26</v>
      </c>
      <c r="B248" s="15" t="s">
        <v>41</v>
      </c>
      <c r="C248" s="16">
        <v>0.78819444444444453</v>
      </c>
      <c r="D248" s="15" t="s">
        <v>31</v>
      </c>
      <c r="E248" s="15" t="s">
        <v>216</v>
      </c>
      <c r="F248" s="15" t="s">
        <v>40</v>
      </c>
      <c r="G248" s="190"/>
      <c r="H248" s="10"/>
      <c r="I248" s="11"/>
      <c r="J248" s="11"/>
      <c r="K248" s="11"/>
      <c r="L248" s="11"/>
      <c r="M248" s="11"/>
      <c r="N248" s="11"/>
      <c r="O248" s="12"/>
      <c r="P248" s="11"/>
      <c r="Q248" s="13"/>
      <c r="R248" s="14"/>
    </row>
    <row r="249" spans="1:18" ht="15" customHeight="1" x14ac:dyDescent="0.3">
      <c r="A249" s="15" t="s">
        <v>26</v>
      </c>
      <c r="B249" s="15" t="s">
        <v>41</v>
      </c>
      <c r="C249" s="16">
        <v>0.78819444444444453</v>
      </c>
      <c r="D249" s="15" t="s">
        <v>34</v>
      </c>
      <c r="E249" s="15" t="s">
        <v>216</v>
      </c>
      <c r="F249" s="15" t="s">
        <v>35</v>
      </c>
      <c r="G249" s="190"/>
      <c r="H249" s="10"/>
      <c r="I249" s="11"/>
      <c r="J249" s="11"/>
      <c r="K249" s="11"/>
      <c r="L249" s="11"/>
      <c r="M249" s="11"/>
      <c r="N249" s="11"/>
      <c r="O249" s="12"/>
      <c r="P249" s="11"/>
      <c r="Q249" s="13"/>
      <c r="R249" s="14"/>
    </row>
    <row r="250" spans="1:18" ht="15" customHeight="1" x14ac:dyDescent="0.3">
      <c r="A250" s="17" t="s">
        <v>26</v>
      </c>
      <c r="B250" s="17" t="s">
        <v>44</v>
      </c>
      <c r="C250" s="18">
        <v>0.88888888888888884</v>
      </c>
      <c r="D250" s="17" t="s">
        <v>28</v>
      </c>
      <c r="E250" s="17" t="s">
        <v>70</v>
      </c>
      <c r="F250" s="17" t="s">
        <v>38</v>
      </c>
      <c r="G250" s="190"/>
      <c r="H250" s="10"/>
      <c r="I250" s="11"/>
      <c r="J250" s="11"/>
      <c r="K250" s="11"/>
      <c r="L250" s="11"/>
      <c r="M250" s="11"/>
      <c r="N250" s="11"/>
      <c r="O250" s="12"/>
      <c r="P250" s="11"/>
      <c r="Q250" s="13"/>
      <c r="R250" s="14"/>
    </row>
    <row r="251" spans="1:18" ht="15" customHeight="1" x14ac:dyDescent="0.3">
      <c r="A251" s="15" t="s">
        <v>26</v>
      </c>
      <c r="B251" s="15" t="s">
        <v>44</v>
      </c>
      <c r="C251" s="16">
        <v>0.88888888888888884</v>
      </c>
      <c r="D251" s="15" t="s">
        <v>31</v>
      </c>
      <c r="E251" s="15" t="s">
        <v>72</v>
      </c>
      <c r="F251" s="15" t="s">
        <v>40</v>
      </c>
      <c r="G251" s="190"/>
      <c r="H251" s="10"/>
      <c r="I251" s="11"/>
      <c r="J251" s="11"/>
      <c r="K251" s="11"/>
      <c r="L251" s="11"/>
      <c r="M251" s="11"/>
      <c r="N251" s="11"/>
      <c r="O251" s="12"/>
      <c r="P251" s="11"/>
      <c r="Q251" s="13"/>
      <c r="R251" s="14"/>
    </row>
    <row r="252" spans="1:18" ht="15" customHeight="1" x14ac:dyDescent="0.3">
      <c r="A252" s="15" t="s">
        <v>26</v>
      </c>
      <c r="B252" s="15" t="s">
        <v>44</v>
      </c>
      <c r="C252" s="16">
        <v>0.88888888888888884</v>
      </c>
      <c r="D252" s="15" t="s">
        <v>34</v>
      </c>
      <c r="E252" s="15" t="s">
        <v>72</v>
      </c>
      <c r="F252" s="15" t="s">
        <v>35</v>
      </c>
      <c r="G252" s="190"/>
      <c r="H252" s="10"/>
      <c r="I252" s="11"/>
      <c r="J252" s="11"/>
      <c r="K252" s="11"/>
      <c r="L252" s="11"/>
      <c r="M252" s="11"/>
      <c r="N252" s="11"/>
      <c r="O252" s="12"/>
      <c r="P252" s="11"/>
      <c r="Q252" s="13"/>
      <c r="R252" s="14"/>
    </row>
    <row r="253" spans="1:18" ht="15" customHeight="1" x14ac:dyDescent="0.3">
      <c r="A253" s="19" t="s">
        <v>49</v>
      </c>
      <c r="B253" s="19" t="s">
        <v>50</v>
      </c>
      <c r="C253" s="20">
        <v>0.90277777777777779</v>
      </c>
      <c r="D253" s="19" t="s">
        <v>51</v>
      </c>
      <c r="E253" s="19" t="s">
        <v>29</v>
      </c>
      <c r="F253" s="19" t="s">
        <v>167</v>
      </c>
      <c r="G253" s="190"/>
      <c r="H253" s="10"/>
      <c r="I253" s="11"/>
      <c r="J253" s="11"/>
      <c r="K253" s="11"/>
      <c r="L253" s="11"/>
      <c r="M253" s="11"/>
      <c r="N253" s="11"/>
      <c r="O253" s="12"/>
      <c r="P253" s="11"/>
      <c r="Q253" s="13"/>
      <c r="R253" s="14"/>
    </row>
    <row r="254" spans="1:18" ht="15" customHeight="1" x14ac:dyDescent="0.3">
      <c r="A254" s="15" t="s">
        <v>49</v>
      </c>
      <c r="B254" s="15" t="s">
        <v>50</v>
      </c>
      <c r="C254" s="16">
        <v>0.90277777777777779</v>
      </c>
      <c r="D254" s="15" t="s">
        <v>54</v>
      </c>
      <c r="E254" s="15" t="s">
        <v>32</v>
      </c>
      <c r="F254" s="15" t="s">
        <v>168</v>
      </c>
      <c r="G254" s="190"/>
      <c r="H254" s="10"/>
      <c r="I254" s="11"/>
      <c r="J254" s="11"/>
      <c r="K254" s="11"/>
      <c r="L254" s="11"/>
      <c r="M254" s="11"/>
      <c r="N254" s="11"/>
      <c r="O254" s="12"/>
      <c r="P254" s="11"/>
      <c r="Q254" s="13"/>
      <c r="R254" s="14"/>
    </row>
    <row r="255" spans="1:18" ht="15" customHeight="1" x14ac:dyDescent="0.3">
      <c r="A255" s="15" t="s">
        <v>49</v>
      </c>
      <c r="B255" s="15" t="s">
        <v>50</v>
      </c>
      <c r="C255" s="16">
        <v>0.90277777777777779</v>
      </c>
      <c r="D255" s="15" t="s">
        <v>56</v>
      </c>
      <c r="E255" s="15" t="s">
        <v>32</v>
      </c>
      <c r="F255" s="15" t="s">
        <v>121</v>
      </c>
      <c r="G255" s="190"/>
      <c r="H255" s="10"/>
      <c r="I255" s="11"/>
      <c r="J255" s="11"/>
      <c r="K255" s="11"/>
      <c r="L255" s="11"/>
      <c r="M255" s="11"/>
      <c r="N255" s="11"/>
      <c r="O255" s="12"/>
      <c r="P255" s="11"/>
      <c r="Q255" s="13"/>
      <c r="R255" s="14"/>
    </row>
    <row r="256" spans="1:18" ht="15" customHeight="1" x14ac:dyDescent="0.3">
      <c r="A256" s="17" t="s">
        <v>49</v>
      </c>
      <c r="B256" s="17" t="s">
        <v>63</v>
      </c>
      <c r="C256" s="18">
        <v>0.85416666666666663</v>
      </c>
      <c r="D256" s="17" t="s">
        <v>51</v>
      </c>
      <c r="E256" s="17" t="s">
        <v>67</v>
      </c>
      <c r="F256" s="17" t="s">
        <v>167</v>
      </c>
      <c r="G256" s="190"/>
      <c r="H256" s="10"/>
      <c r="I256" s="11"/>
      <c r="J256" s="11"/>
      <c r="K256" s="11"/>
      <c r="L256" s="11"/>
      <c r="M256" s="11"/>
      <c r="N256" s="11"/>
      <c r="O256" s="12"/>
      <c r="P256" s="11"/>
      <c r="Q256" s="13"/>
      <c r="R256" s="14"/>
    </row>
    <row r="257" spans="1:18" ht="15" customHeight="1" x14ac:dyDescent="0.3">
      <c r="A257" s="15" t="s">
        <v>49</v>
      </c>
      <c r="B257" s="15" t="s">
        <v>63</v>
      </c>
      <c r="C257" s="16">
        <v>0.85416666666666663</v>
      </c>
      <c r="D257" s="15" t="s">
        <v>54</v>
      </c>
      <c r="E257" s="15" t="s">
        <v>68</v>
      </c>
      <c r="F257" s="15" t="s">
        <v>168</v>
      </c>
      <c r="G257" s="190"/>
      <c r="H257" s="10"/>
      <c r="I257" s="11"/>
      <c r="J257" s="11"/>
      <c r="K257" s="11"/>
      <c r="L257" s="11"/>
      <c r="M257" s="11"/>
      <c r="N257" s="11"/>
      <c r="O257" s="12"/>
      <c r="P257" s="11"/>
      <c r="Q257" s="13"/>
      <c r="R257" s="14"/>
    </row>
    <row r="258" spans="1:18" ht="15" customHeight="1" x14ac:dyDescent="0.3">
      <c r="A258" s="15" t="s">
        <v>49</v>
      </c>
      <c r="B258" s="15" t="s">
        <v>63</v>
      </c>
      <c r="C258" s="16">
        <v>0.85416666666666663</v>
      </c>
      <c r="D258" s="15" t="s">
        <v>56</v>
      </c>
      <c r="E258" s="15" t="s">
        <v>68</v>
      </c>
      <c r="F258" s="15" t="s">
        <v>121</v>
      </c>
      <c r="G258" s="190"/>
      <c r="H258" s="10"/>
      <c r="I258" s="11"/>
      <c r="J258" s="11"/>
      <c r="K258" s="11"/>
      <c r="L258" s="11"/>
      <c r="M258" s="11"/>
      <c r="N258" s="11"/>
      <c r="O258" s="12"/>
      <c r="P258" s="11"/>
      <c r="Q258" s="13"/>
      <c r="R258" s="14"/>
    </row>
    <row r="259" spans="1:18" ht="15" customHeight="1" x14ac:dyDescent="0.3">
      <c r="A259" s="17" t="s">
        <v>49</v>
      </c>
      <c r="B259" s="17" t="s">
        <v>69</v>
      </c>
      <c r="C259" s="18">
        <v>0.25694444444444448</v>
      </c>
      <c r="D259" s="17" t="s">
        <v>51</v>
      </c>
      <c r="E259" s="17" t="s">
        <v>37</v>
      </c>
      <c r="F259" s="17" t="s">
        <v>53</v>
      </c>
      <c r="G259" s="190"/>
      <c r="H259" s="10"/>
      <c r="I259" s="11"/>
      <c r="J259" s="11"/>
      <c r="K259" s="11"/>
      <c r="L259" s="11"/>
      <c r="M259" s="11"/>
      <c r="N259" s="11"/>
      <c r="O259" s="12"/>
      <c r="P259" s="11"/>
      <c r="Q259" s="13"/>
      <c r="R259" s="14"/>
    </row>
    <row r="260" spans="1:18" ht="15" customHeight="1" x14ac:dyDescent="0.3">
      <c r="A260" s="15" t="s">
        <v>49</v>
      </c>
      <c r="B260" s="15" t="s">
        <v>69</v>
      </c>
      <c r="C260" s="16">
        <v>0.25694444444444448</v>
      </c>
      <c r="D260" s="15" t="s">
        <v>54</v>
      </c>
      <c r="E260" s="15" t="s">
        <v>39</v>
      </c>
      <c r="F260" s="15" t="s">
        <v>55</v>
      </c>
      <c r="G260" s="190"/>
      <c r="H260" s="10"/>
      <c r="I260" s="11"/>
      <c r="J260" s="11"/>
      <c r="K260" s="11"/>
      <c r="L260" s="11"/>
      <c r="M260" s="11"/>
      <c r="N260" s="11"/>
      <c r="O260" s="12"/>
      <c r="P260" s="11"/>
      <c r="Q260" s="13"/>
      <c r="R260" s="14"/>
    </row>
    <row r="261" spans="1:18" ht="15" customHeight="1" x14ac:dyDescent="0.3">
      <c r="A261" s="15" t="s">
        <v>49</v>
      </c>
      <c r="B261" s="15" t="s">
        <v>69</v>
      </c>
      <c r="C261" s="16">
        <v>0.25694444444444448</v>
      </c>
      <c r="D261" s="15" t="s">
        <v>56</v>
      </c>
      <c r="E261" s="15" t="s">
        <v>39</v>
      </c>
      <c r="F261" s="15" t="s">
        <v>57</v>
      </c>
      <c r="G261" s="190"/>
      <c r="H261" s="10"/>
      <c r="I261" s="11"/>
      <c r="J261" s="11"/>
      <c r="K261" s="11"/>
      <c r="L261" s="11"/>
      <c r="M261" s="11"/>
      <c r="N261" s="11"/>
      <c r="O261" s="12"/>
      <c r="P261" s="11"/>
      <c r="Q261" s="13"/>
      <c r="R261" s="14"/>
    </row>
    <row r="262" spans="1:18" ht="15" customHeight="1" x14ac:dyDescent="0.3">
      <c r="A262" s="17" t="s">
        <v>49</v>
      </c>
      <c r="B262" s="17" t="s">
        <v>58</v>
      </c>
      <c r="C262" s="18">
        <v>0.64583333333333337</v>
      </c>
      <c r="D262" s="17" t="s">
        <v>51</v>
      </c>
      <c r="E262" s="17" t="s">
        <v>124</v>
      </c>
      <c r="F262" s="17" t="s">
        <v>53</v>
      </c>
      <c r="G262" s="190"/>
      <c r="H262" s="10"/>
      <c r="I262" s="11"/>
      <c r="J262" s="11"/>
      <c r="K262" s="11"/>
      <c r="L262" s="11"/>
      <c r="M262" s="11"/>
      <c r="N262" s="11"/>
      <c r="O262" s="12"/>
      <c r="P262" s="11"/>
      <c r="Q262" s="13"/>
      <c r="R262" s="14"/>
    </row>
    <row r="263" spans="1:18" ht="15" customHeight="1" x14ac:dyDescent="0.3">
      <c r="A263" s="15" t="s">
        <v>49</v>
      </c>
      <c r="B263" s="15" t="s">
        <v>58</v>
      </c>
      <c r="C263" s="16">
        <v>0.64583333333333337</v>
      </c>
      <c r="D263" s="15" t="s">
        <v>54</v>
      </c>
      <c r="E263" s="15" t="s">
        <v>164</v>
      </c>
      <c r="F263" s="15" t="s">
        <v>55</v>
      </c>
      <c r="G263" s="190"/>
      <c r="H263" s="10"/>
      <c r="I263" s="11"/>
      <c r="J263" s="11"/>
      <c r="K263" s="11"/>
      <c r="L263" s="11"/>
      <c r="M263" s="11"/>
      <c r="N263" s="11"/>
      <c r="O263" s="12"/>
      <c r="P263" s="11"/>
      <c r="Q263" s="13"/>
      <c r="R263" s="14"/>
    </row>
    <row r="264" spans="1:18" ht="15" customHeight="1" x14ac:dyDescent="0.3">
      <c r="A264" s="15" t="s">
        <v>49</v>
      </c>
      <c r="B264" s="15" t="s">
        <v>58</v>
      </c>
      <c r="C264" s="16">
        <v>0.64583333333333337</v>
      </c>
      <c r="D264" s="15" t="s">
        <v>56</v>
      </c>
      <c r="E264" s="15" t="s">
        <v>164</v>
      </c>
      <c r="F264" s="15" t="s">
        <v>57</v>
      </c>
      <c r="G264" s="190"/>
      <c r="H264" s="10"/>
      <c r="I264" s="11"/>
      <c r="J264" s="11"/>
      <c r="K264" s="11"/>
      <c r="L264" s="11"/>
      <c r="M264" s="11"/>
      <c r="N264" s="11"/>
      <c r="O264" s="12"/>
      <c r="P264" s="11"/>
      <c r="Q264" s="13"/>
      <c r="R264" s="14"/>
    </row>
    <row r="265" spans="1:18" ht="15" customHeight="1" x14ac:dyDescent="0.3">
      <c r="A265" s="17" t="s">
        <v>49</v>
      </c>
      <c r="B265" s="17" t="s">
        <v>61</v>
      </c>
      <c r="C265" s="18">
        <v>0.51736111111111105</v>
      </c>
      <c r="D265" s="17" t="s">
        <v>51</v>
      </c>
      <c r="E265" s="17" t="s">
        <v>70</v>
      </c>
      <c r="F265" s="17" t="s">
        <v>53</v>
      </c>
      <c r="G265" s="190"/>
      <c r="H265" s="10"/>
      <c r="I265" s="11"/>
      <c r="J265" s="11"/>
      <c r="K265" s="11"/>
      <c r="L265" s="11"/>
      <c r="M265" s="11"/>
      <c r="N265" s="11"/>
      <c r="O265" s="12"/>
      <c r="P265" s="11"/>
      <c r="Q265" s="13"/>
      <c r="R265" s="14"/>
    </row>
    <row r="266" spans="1:18" ht="15" customHeight="1" x14ac:dyDescent="0.3">
      <c r="A266" s="15" t="s">
        <v>49</v>
      </c>
      <c r="B266" s="15" t="s">
        <v>61</v>
      </c>
      <c r="C266" s="16">
        <v>0.51736111111111105</v>
      </c>
      <c r="D266" s="15" t="s">
        <v>54</v>
      </c>
      <c r="E266" s="15" t="s">
        <v>72</v>
      </c>
      <c r="F266" s="15" t="s">
        <v>55</v>
      </c>
      <c r="G266" s="190"/>
      <c r="H266" s="10"/>
      <c r="I266" s="11"/>
      <c r="J266" s="11"/>
      <c r="K266" s="11"/>
      <c r="L266" s="11"/>
      <c r="M266" s="11"/>
      <c r="N266" s="11"/>
      <c r="O266" s="12"/>
      <c r="P266" s="11"/>
      <c r="Q266" s="13"/>
      <c r="R266" s="14"/>
    </row>
    <row r="267" spans="1:18" ht="15" customHeight="1" x14ac:dyDescent="0.3">
      <c r="A267" s="15" t="s">
        <v>49</v>
      </c>
      <c r="B267" s="15" t="s">
        <v>61</v>
      </c>
      <c r="C267" s="16">
        <v>0.51736111111111105</v>
      </c>
      <c r="D267" s="15" t="s">
        <v>56</v>
      </c>
      <c r="E267" s="15" t="s">
        <v>72</v>
      </c>
      <c r="F267" s="15" t="s">
        <v>57</v>
      </c>
      <c r="G267" s="190"/>
      <c r="H267" s="10"/>
      <c r="I267" s="11"/>
      <c r="J267" s="11"/>
      <c r="K267" s="11"/>
      <c r="L267" s="11"/>
      <c r="M267" s="11"/>
      <c r="N267" s="11"/>
      <c r="O267" s="12"/>
      <c r="P267" s="11"/>
      <c r="Q267" s="13"/>
      <c r="R267" s="14"/>
    </row>
    <row r="268" spans="1:18" ht="15" customHeight="1" x14ac:dyDescent="0.3">
      <c r="A268" s="17" t="s">
        <v>49</v>
      </c>
      <c r="B268" s="17" t="s">
        <v>75</v>
      </c>
      <c r="C268" s="18">
        <v>0.39583333333333331</v>
      </c>
      <c r="D268" s="17" t="s">
        <v>51</v>
      </c>
      <c r="E268" s="17" t="s">
        <v>67</v>
      </c>
      <c r="F268" s="17" t="s">
        <v>53</v>
      </c>
      <c r="G268" s="190"/>
      <c r="H268" s="10"/>
      <c r="I268" s="11"/>
      <c r="J268" s="11"/>
      <c r="K268" s="11"/>
      <c r="L268" s="11"/>
      <c r="M268" s="11"/>
      <c r="N268" s="11"/>
      <c r="O268" s="12"/>
      <c r="P268" s="11"/>
      <c r="Q268" s="13"/>
      <c r="R268" s="14"/>
    </row>
    <row r="269" spans="1:18" ht="15" customHeight="1" x14ac:dyDescent="0.3">
      <c r="A269" s="15" t="s">
        <v>49</v>
      </c>
      <c r="B269" s="15" t="s">
        <v>75</v>
      </c>
      <c r="C269" s="16">
        <v>0.39583333333333331</v>
      </c>
      <c r="D269" s="15" t="s">
        <v>54</v>
      </c>
      <c r="E269" s="15" t="s">
        <v>68</v>
      </c>
      <c r="F269" s="15" t="s">
        <v>55</v>
      </c>
      <c r="G269" s="190"/>
      <c r="H269" s="10"/>
      <c r="I269" s="11"/>
      <c r="J269" s="11"/>
      <c r="K269" s="11"/>
      <c r="L269" s="11"/>
      <c r="M269" s="11"/>
      <c r="N269" s="11"/>
      <c r="O269" s="12"/>
      <c r="P269" s="11"/>
      <c r="Q269" s="13"/>
      <c r="R269" s="14"/>
    </row>
    <row r="270" spans="1:18" ht="15" customHeight="1" x14ac:dyDescent="0.3">
      <c r="A270" s="15" t="s">
        <v>49</v>
      </c>
      <c r="B270" s="15" t="s">
        <v>75</v>
      </c>
      <c r="C270" s="16">
        <v>0.39583333333333331</v>
      </c>
      <c r="D270" s="15" t="s">
        <v>56</v>
      </c>
      <c r="E270" s="15" t="s">
        <v>68</v>
      </c>
      <c r="F270" s="15" t="s">
        <v>57</v>
      </c>
      <c r="G270" s="190"/>
      <c r="H270" s="10"/>
      <c r="I270" s="11"/>
      <c r="J270" s="11"/>
      <c r="K270" s="11"/>
      <c r="L270" s="11"/>
      <c r="M270" s="11"/>
      <c r="N270" s="11"/>
      <c r="O270" s="12"/>
      <c r="P270" s="11"/>
      <c r="Q270" s="13"/>
      <c r="R270" s="14"/>
    </row>
    <row r="271" spans="1:18" ht="15" customHeight="1" x14ac:dyDescent="0.3">
      <c r="A271" s="17" t="s">
        <v>49</v>
      </c>
      <c r="B271" s="17" t="s">
        <v>66</v>
      </c>
      <c r="C271" s="18">
        <v>0.79861111111111116</v>
      </c>
      <c r="D271" s="17" t="s">
        <v>51</v>
      </c>
      <c r="E271" s="17" t="s">
        <v>70</v>
      </c>
      <c r="F271" s="17" t="s">
        <v>71</v>
      </c>
      <c r="G271" s="190"/>
      <c r="H271" s="10"/>
      <c r="I271" s="11"/>
      <c r="J271" s="11"/>
      <c r="K271" s="11"/>
      <c r="L271" s="11"/>
      <c r="M271" s="11"/>
      <c r="N271" s="11"/>
      <c r="O271" s="12"/>
      <c r="P271" s="11"/>
      <c r="Q271" s="13"/>
      <c r="R271" s="14"/>
    </row>
    <row r="272" spans="1:18" ht="15" customHeight="1" x14ac:dyDescent="0.3">
      <c r="A272" s="15" t="s">
        <v>49</v>
      </c>
      <c r="B272" s="15" t="s">
        <v>66</v>
      </c>
      <c r="C272" s="16">
        <v>0.79861111111111116</v>
      </c>
      <c r="D272" s="15" t="s">
        <v>54</v>
      </c>
      <c r="E272" s="15" t="s">
        <v>72</v>
      </c>
      <c r="F272" s="15" t="s">
        <v>73</v>
      </c>
      <c r="G272" s="190"/>
      <c r="H272" s="10"/>
      <c r="I272" s="11"/>
      <c r="J272" s="11"/>
      <c r="K272" s="11"/>
      <c r="L272" s="11"/>
      <c r="M272" s="11"/>
      <c r="N272" s="11"/>
      <c r="O272" s="12"/>
      <c r="P272" s="11"/>
      <c r="Q272" s="13"/>
      <c r="R272" s="14"/>
    </row>
    <row r="273" spans="1:18" ht="15" customHeight="1" x14ac:dyDescent="0.3">
      <c r="A273" s="15" t="s">
        <v>49</v>
      </c>
      <c r="B273" s="15" t="s">
        <v>66</v>
      </c>
      <c r="C273" s="16">
        <v>0.79861111111111116</v>
      </c>
      <c r="D273" s="15" t="s">
        <v>56</v>
      </c>
      <c r="E273" s="15" t="s">
        <v>72</v>
      </c>
      <c r="F273" s="15" t="s">
        <v>74</v>
      </c>
      <c r="G273" s="190"/>
      <c r="H273" s="10"/>
      <c r="I273" s="11"/>
      <c r="J273" s="11"/>
      <c r="K273" s="11"/>
      <c r="L273" s="11"/>
      <c r="M273" s="11"/>
      <c r="N273" s="11"/>
      <c r="O273" s="12"/>
      <c r="P273" s="11"/>
      <c r="Q273" s="13"/>
      <c r="R273" s="14"/>
    </row>
    <row r="274" spans="1:18" ht="15" customHeight="1" x14ac:dyDescent="0.3">
      <c r="A274" s="75" t="s">
        <v>77</v>
      </c>
      <c r="B274" s="75" t="s">
        <v>87</v>
      </c>
      <c r="C274" s="76">
        <v>0.1145833333333333</v>
      </c>
      <c r="D274" s="75" t="s">
        <v>79</v>
      </c>
      <c r="E274" s="75" t="s">
        <v>52</v>
      </c>
      <c r="F274" s="75" t="s">
        <v>192</v>
      </c>
      <c r="G274" s="190"/>
      <c r="H274" s="41" t="s">
        <v>89</v>
      </c>
      <c r="I274" s="118">
        <v>0.2346</v>
      </c>
      <c r="J274" s="43">
        <v>42</v>
      </c>
      <c r="K274" s="44">
        <v>45981</v>
      </c>
      <c r="L274" s="43">
        <v>23</v>
      </c>
      <c r="M274" s="43">
        <v>1</v>
      </c>
      <c r="N274" s="43">
        <v>4</v>
      </c>
      <c r="O274" s="45" t="s">
        <v>217</v>
      </c>
      <c r="P274" s="46">
        <v>0.1145833333333333</v>
      </c>
      <c r="Q274" s="43">
        <v>179</v>
      </c>
      <c r="R274" s="47" t="s">
        <v>218</v>
      </c>
    </row>
    <row r="275" spans="1:18" ht="15" customHeight="1" x14ac:dyDescent="0.3">
      <c r="A275" s="48" t="s">
        <v>77</v>
      </c>
      <c r="B275" s="48" t="s">
        <v>84</v>
      </c>
      <c r="C275" s="49">
        <v>0.31944444444444448</v>
      </c>
      <c r="D275" s="48" t="s">
        <v>79</v>
      </c>
      <c r="E275" s="48" t="s">
        <v>62</v>
      </c>
      <c r="F275" s="48" t="s">
        <v>192</v>
      </c>
      <c r="G275" s="190"/>
      <c r="H275" s="51" t="s">
        <v>85</v>
      </c>
      <c r="I275" s="116">
        <v>0.25700000000000001</v>
      </c>
      <c r="J275" s="53">
        <v>46</v>
      </c>
      <c r="K275" s="54">
        <v>45980</v>
      </c>
      <c r="L275" s="53">
        <v>37</v>
      </c>
      <c r="M275" s="53">
        <v>0</v>
      </c>
      <c r="N275" s="53">
        <v>2</v>
      </c>
      <c r="O275" s="55" t="s">
        <v>219</v>
      </c>
      <c r="P275" s="56">
        <v>0.31944444444444448</v>
      </c>
      <c r="Q275" s="53">
        <v>179</v>
      </c>
      <c r="R275" s="57" t="s">
        <v>220</v>
      </c>
    </row>
    <row r="276" spans="1:18" ht="15" customHeight="1" x14ac:dyDescent="0.3">
      <c r="A276" s="86" t="s">
        <v>77</v>
      </c>
      <c r="B276" s="86" t="s">
        <v>92</v>
      </c>
      <c r="C276" s="87">
        <v>0.45833333333333331</v>
      </c>
      <c r="D276" s="86" t="s">
        <v>79</v>
      </c>
      <c r="E276" s="86" t="s">
        <v>64</v>
      </c>
      <c r="F276" s="86" t="s">
        <v>192</v>
      </c>
      <c r="G276" s="190"/>
      <c r="H276" s="88" t="s">
        <v>94</v>
      </c>
      <c r="I276" s="119">
        <v>0.34639999999999999</v>
      </c>
      <c r="J276" s="90">
        <v>62</v>
      </c>
      <c r="K276" s="91">
        <v>45980</v>
      </c>
      <c r="L276" s="90">
        <v>12</v>
      </c>
      <c r="M276" s="90">
        <v>0</v>
      </c>
      <c r="N276" s="90">
        <v>6</v>
      </c>
      <c r="O276" s="92" t="s">
        <v>221</v>
      </c>
      <c r="P276" s="93">
        <v>0.45833333333333331</v>
      </c>
      <c r="Q276" s="90">
        <v>179</v>
      </c>
      <c r="R276" s="94" t="s">
        <v>222</v>
      </c>
    </row>
    <row r="277" spans="1:18" ht="15" customHeight="1" x14ac:dyDescent="0.3">
      <c r="A277" s="39" t="s">
        <v>77</v>
      </c>
      <c r="B277" s="39" t="s">
        <v>169</v>
      </c>
      <c r="C277" s="40">
        <v>0.9375</v>
      </c>
      <c r="D277" s="39" t="s">
        <v>79</v>
      </c>
      <c r="E277" s="39" t="s">
        <v>62</v>
      </c>
      <c r="F277" s="39" t="s">
        <v>80</v>
      </c>
      <c r="G277" s="190"/>
      <c r="H277" s="41" t="s">
        <v>102</v>
      </c>
      <c r="I277" s="120">
        <v>0.93300000000000005</v>
      </c>
      <c r="J277" s="43">
        <v>167</v>
      </c>
      <c r="K277" s="44">
        <v>45980</v>
      </c>
      <c r="L277" s="43">
        <v>21</v>
      </c>
      <c r="M277" s="43">
        <v>0</v>
      </c>
      <c r="N277" s="43">
        <v>3</v>
      </c>
      <c r="O277" s="45" t="s">
        <v>82</v>
      </c>
      <c r="P277" s="46">
        <v>0.9375</v>
      </c>
      <c r="Q277" s="43">
        <v>179</v>
      </c>
      <c r="R277" s="47" t="s">
        <v>223</v>
      </c>
    </row>
    <row r="278" spans="1:18" ht="15" customHeight="1" x14ac:dyDescent="0.3">
      <c r="A278" s="30" t="s">
        <v>77</v>
      </c>
      <c r="B278" s="30" t="s">
        <v>78</v>
      </c>
      <c r="C278" s="31">
        <v>0.73611111111111116</v>
      </c>
      <c r="D278" s="30" t="s">
        <v>79</v>
      </c>
      <c r="E278" s="30" t="s">
        <v>124</v>
      </c>
      <c r="F278" s="30" t="s">
        <v>80</v>
      </c>
      <c r="G278" s="190"/>
      <c r="H278" s="32" t="s">
        <v>81</v>
      </c>
      <c r="I278" s="117">
        <v>0.3296</v>
      </c>
      <c r="J278" s="34">
        <v>59</v>
      </c>
      <c r="K278" s="35">
        <v>45981</v>
      </c>
      <c r="L278" s="34">
        <v>23</v>
      </c>
      <c r="M278" s="34">
        <v>1</v>
      </c>
      <c r="N278" s="34">
        <v>3</v>
      </c>
      <c r="O278" s="36" t="s">
        <v>204</v>
      </c>
      <c r="P278" s="37">
        <v>0.73611111111111116</v>
      </c>
      <c r="Q278" s="34">
        <v>179</v>
      </c>
      <c r="R278" s="38" t="s">
        <v>224</v>
      </c>
    </row>
    <row r="279" spans="1:18" ht="15" customHeight="1" x14ac:dyDescent="0.3">
      <c r="A279" s="121" t="s">
        <v>77</v>
      </c>
      <c r="B279" s="121" t="s">
        <v>202</v>
      </c>
      <c r="C279" s="122">
        <v>0.61458333333333337</v>
      </c>
      <c r="D279" s="121" t="s">
        <v>79</v>
      </c>
      <c r="E279" s="121" t="s">
        <v>42</v>
      </c>
      <c r="F279" s="121" t="s">
        <v>80</v>
      </c>
      <c r="G279" s="190"/>
      <c r="H279" s="23" t="s">
        <v>97</v>
      </c>
      <c r="I279" s="123">
        <v>0.6089</v>
      </c>
      <c r="J279" s="25">
        <v>109</v>
      </c>
      <c r="K279" s="26">
        <v>45981</v>
      </c>
      <c r="L279" s="25">
        <v>26</v>
      </c>
      <c r="M279" s="25">
        <v>1</v>
      </c>
      <c r="N279" s="25">
        <v>3</v>
      </c>
      <c r="O279" s="27" t="s">
        <v>225</v>
      </c>
      <c r="P279" s="28">
        <v>0.61458333333333337</v>
      </c>
      <c r="Q279" s="25">
        <v>179</v>
      </c>
      <c r="R279" s="29" t="s">
        <v>226</v>
      </c>
    </row>
    <row r="280" spans="1:18" ht="15" customHeight="1" x14ac:dyDescent="0.3">
      <c r="A280" s="19" t="s">
        <v>104</v>
      </c>
      <c r="B280" s="19" t="s">
        <v>227</v>
      </c>
      <c r="C280" s="20">
        <v>0.97569444444444453</v>
      </c>
      <c r="D280" s="19" t="s">
        <v>106</v>
      </c>
      <c r="E280" s="19" t="s">
        <v>107</v>
      </c>
      <c r="F280" s="19" t="s">
        <v>228</v>
      </c>
      <c r="G280" s="190"/>
      <c r="H280" s="10"/>
      <c r="I280" s="11"/>
      <c r="J280" s="11"/>
      <c r="K280" s="11"/>
      <c r="L280" s="11"/>
      <c r="M280" s="11"/>
      <c r="N280" s="11"/>
      <c r="O280" s="12"/>
      <c r="P280" s="11"/>
      <c r="Q280" s="13"/>
      <c r="R280" s="14"/>
    </row>
    <row r="281" spans="1:18" ht="15" customHeight="1" x14ac:dyDescent="0.3">
      <c r="A281" s="15" t="s">
        <v>104</v>
      </c>
      <c r="B281" s="15" t="s">
        <v>227</v>
      </c>
      <c r="C281" s="16">
        <v>0.97569444444444453</v>
      </c>
      <c r="D281" s="15" t="s">
        <v>34</v>
      </c>
      <c r="E281" s="15" t="s">
        <v>72</v>
      </c>
      <c r="F281" s="15" t="s">
        <v>229</v>
      </c>
      <c r="G281" s="190"/>
      <c r="H281" s="10"/>
      <c r="I281" s="11"/>
      <c r="J281" s="11"/>
      <c r="K281" s="11"/>
      <c r="L281" s="11"/>
      <c r="M281" s="11"/>
      <c r="N281" s="11"/>
      <c r="O281" s="12"/>
      <c r="P281" s="11"/>
      <c r="Q281" s="13"/>
      <c r="R281" s="14"/>
    </row>
    <row r="282" spans="1:18" ht="15" customHeight="1" x14ac:dyDescent="0.3">
      <c r="A282" s="17" t="s">
        <v>104</v>
      </c>
      <c r="B282" s="17" t="s">
        <v>174</v>
      </c>
      <c r="C282" s="18">
        <v>0.3923611111111111</v>
      </c>
      <c r="D282" s="17" t="s">
        <v>106</v>
      </c>
      <c r="E282" s="17" t="s">
        <v>70</v>
      </c>
      <c r="F282" s="17" t="s">
        <v>53</v>
      </c>
      <c r="G282" s="190"/>
      <c r="H282" s="10"/>
      <c r="I282" s="11"/>
      <c r="J282" s="11"/>
      <c r="K282" s="11"/>
      <c r="L282" s="11"/>
      <c r="M282" s="11"/>
      <c r="N282" s="11"/>
      <c r="O282" s="12"/>
      <c r="P282" s="11"/>
      <c r="Q282" s="13"/>
      <c r="R282" s="14"/>
    </row>
    <row r="283" spans="1:18" ht="15" customHeight="1" x14ac:dyDescent="0.3">
      <c r="A283" s="15" t="s">
        <v>104</v>
      </c>
      <c r="B283" s="15" t="s">
        <v>174</v>
      </c>
      <c r="C283" s="16">
        <v>0.3923611111111111</v>
      </c>
      <c r="D283" s="15" t="s">
        <v>34</v>
      </c>
      <c r="E283" s="15" t="s">
        <v>72</v>
      </c>
      <c r="F283" s="15" t="s">
        <v>230</v>
      </c>
      <c r="G283" s="190"/>
      <c r="H283" s="10"/>
      <c r="I283" s="11"/>
      <c r="J283" s="11"/>
      <c r="K283" s="11"/>
      <c r="L283" s="11"/>
      <c r="M283" s="11"/>
      <c r="N283" s="11"/>
      <c r="O283" s="12"/>
      <c r="P283" s="11"/>
      <c r="Q283" s="13"/>
      <c r="R283" s="14"/>
    </row>
    <row r="284" spans="1:18" ht="15" customHeight="1" x14ac:dyDescent="0.3">
      <c r="A284" s="19" t="s">
        <v>118</v>
      </c>
      <c r="B284" s="19" t="s">
        <v>119</v>
      </c>
      <c r="C284" s="20">
        <v>0.66666666666666663</v>
      </c>
      <c r="D284" s="19" t="s">
        <v>112</v>
      </c>
      <c r="E284" s="19" t="s">
        <v>113</v>
      </c>
      <c r="F284" s="19" t="s">
        <v>121</v>
      </c>
      <c r="G284" s="190"/>
      <c r="H284" s="10"/>
      <c r="I284" s="11"/>
      <c r="J284" s="11"/>
      <c r="K284" s="11"/>
      <c r="L284" s="11"/>
      <c r="M284" s="11"/>
      <c r="N284" s="11"/>
      <c r="O284" s="12"/>
      <c r="P284" s="11"/>
      <c r="Q284" s="13"/>
      <c r="R284" s="14"/>
    </row>
    <row r="285" spans="1:18" ht="15" customHeight="1" x14ac:dyDescent="0.3">
      <c r="A285" s="19" t="s">
        <v>125</v>
      </c>
      <c r="B285" s="19" t="s">
        <v>126</v>
      </c>
      <c r="C285" s="20">
        <v>0.37847222222222232</v>
      </c>
      <c r="D285" s="19" t="s">
        <v>127</v>
      </c>
      <c r="E285" s="19" t="s">
        <v>113</v>
      </c>
      <c r="F285" s="19" t="s">
        <v>182</v>
      </c>
      <c r="G285" s="190"/>
      <c r="H285" s="10"/>
      <c r="I285" s="11"/>
      <c r="J285" s="11"/>
      <c r="K285" s="11"/>
      <c r="L285" s="11"/>
      <c r="M285" s="11"/>
      <c r="N285" s="11"/>
      <c r="O285" s="12"/>
      <c r="P285" s="11"/>
      <c r="Q285" s="13"/>
      <c r="R285" s="14"/>
    </row>
    <row r="286" spans="1:18" ht="15" customHeight="1" x14ac:dyDescent="0.3">
      <c r="A286" s="15" t="s">
        <v>125</v>
      </c>
      <c r="B286" s="15" t="s">
        <v>126</v>
      </c>
      <c r="C286" s="16">
        <v>0.37847222222222232</v>
      </c>
      <c r="D286" s="15" t="s">
        <v>129</v>
      </c>
      <c r="E286" s="15" t="s">
        <v>130</v>
      </c>
      <c r="F286" s="15" t="s">
        <v>183</v>
      </c>
      <c r="G286" s="190"/>
      <c r="H286" s="10"/>
      <c r="I286" s="11"/>
      <c r="J286" s="11"/>
      <c r="K286" s="11"/>
      <c r="L286" s="11"/>
      <c r="M286" s="11"/>
      <c r="N286" s="11"/>
      <c r="O286" s="12"/>
      <c r="P286" s="11"/>
      <c r="Q286" s="13"/>
      <c r="R286" s="14"/>
    </row>
    <row r="287" spans="1:18" ht="15" customHeight="1" x14ac:dyDescent="0.3">
      <c r="A287" s="17" t="s">
        <v>125</v>
      </c>
      <c r="B287" s="17" t="s">
        <v>136</v>
      </c>
      <c r="C287" s="18">
        <v>0.71875</v>
      </c>
      <c r="D287" s="17" t="s">
        <v>127</v>
      </c>
      <c r="E287" s="17" t="s">
        <v>67</v>
      </c>
      <c r="F287" s="17" t="s">
        <v>182</v>
      </c>
      <c r="G287" s="190"/>
      <c r="H287" s="10"/>
      <c r="I287" s="11"/>
      <c r="J287" s="11"/>
      <c r="K287" s="11"/>
      <c r="L287" s="11"/>
      <c r="M287" s="11"/>
      <c r="N287" s="11"/>
      <c r="O287" s="12"/>
      <c r="P287" s="11"/>
      <c r="Q287" s="13"/>
      <c r="R287" s="14"/>
    </row>
    <row r="288" spans="1:18" ht="15" customHeight="1" x14ac:dyDescent="0.3">
      <c r="A288" s="15" t="s">
        <v>125</v>
      </c>
      <c r="B288" s="15" t="s">
        <v>136</v>
      </c>
      <c r="C288" s="16">
        <v>0.71875</v>
      </c>
      <c r="D288" s="15" t="s">
        <v>129</v>
      </c>
      <c r="E288" s="15" t="s">
        <v>68</v>
      </c>
      <c r="F288" s="15" t="s">
        <v>183</v>
      </c>
      <c r="G288" s="190"/>
      <c r="H288" s="10"/>
      <c r="I288" s="11"/>
      <c r="J288" s="11"/>
      <c r="K288" s="11"/>
      <c r="L288" s="11"/>
      <c r="M288" s="11"/>
      <c r="N288" s="11"/>
      <c r="O288" s="12"/>
      <c r="P288" s="11"/>
      <c r="Q288" s="13"/>
      <c r="R288" s="14"/>
    </row>
    <row r="289" spans="1:18" ht="15" customHeight="1" x14ac:dyDescent="0.3">
      <c r="A289" s="17" t="s">
        <v>125</v>
      </c>
      <c r="B289" s="17" t="s">
        <v>145</v>
      </c>
      <c r="C289" s="18">
        <v>0.61111111111111105</v>
      </c>
      <c r="D289" s="17" t="s">
        <v>127</v>
      </c>
      <c r="E289" s="17" t="s">
        <v>116</v>
      </c>
      <c r="F289" s="17" t="s">
        <v>182</v>
      </c>
      <c r="G289" s="190"/>
      <c r="H289" s="10"/>
      <c r="I289" s="11"/>
      <c r="J289" s="11"/>
      <c r="K289" s="11"/>
      <c r="L289" s="11"/>
      <c r="M289" s="11"/>
      <c r="N289" s="11"/>
      <c r="O289" s="12"/>
      <c r="P289" s="11"/>
      <c r="Q289" s="13"/>
      <c r="R289" s="14"/>
    </row>
    <row r="290" spans="1:18" ht="15" customHeight="1" x14ac:dyDescent="0.3">
      <c r="A290" s="15" t="s">
        <v>125</v>
      </c>
      <c r="B290" s="15" t="s">
        <v>145</v>
      </c>
      <c r="C290" s="16">
        <v>0.61111111111111105</v>
      </c>
      <c r="D290" s="15" t="s">
        <v>129</v>
      </c>
      <c r="E290" s="15" t="s">
        <v>130</v>
      </c>
      <c r="F290" s="15" t="s">
        <v>183</v>
      </c>
      <c r="G290" s="190"/>
      <c r="H290" s="10"/>
      <c r="I290" s="11"/>
      <c r="J290" s="11"/>
      <c r="K290" s="11"/>
      <c r="L290" s="11"/>
      <c r="M290" s="11"/>
      <c r="N290" s="11"/>
      <c r="O290" s="12"/>
      <c r="P290" s="11"/>
      <c r="Q290" s="13"/>
      <c r="R290" s="14"/>
    </row>
    <row r="291" spans="1:18" ht="15" customHeight="1" x14ac:dyDescent="0.3">
      <c r="A291" s="17" t="s">
        <v>125</v>
      </c>
      <c r="B291" s="17" t="s">
        <v>133</v>
      </c>
      <c r="C291" s="18">
        <v>0.23958333333333329</v>
      </c>
      <c r="D291" s="17" t="s">
        <v>127</v>
      </c>
      <c r="E291" s="17" t="s">
        <v>116</v>
      </c>
      <c r="F291" s="17" t="s">
        <v>182</v>
      </c>
      <c r="G291" s="190"/>
      <c r="H291" s="10"/>
      <c r="I291" s="11"/>
      <c r="J291" s="11"/>
      <c r="K291" s="11"/>
      <c r="L291" s="11"/>
      <c r="M291" s="11"/>
      <c r="N291" s="11"/>
      <c r="O291" s="12"/>
      <c r="P291" s="11"/>
      <c r="Q291" s="13"/>
      <c r="R291" s="14"/>
    </row>
    <row r="292" spans="1:18" ht="15" customHeight="1" x14ac:dyDescent="0.3">
      <c r="A292" s="15" t="s">
        <v>125</v>
      </c>
      <c r="B292" s="15" t="s">
        <v>133</v>
      </c>
      <c r="C292" s="16">
        <v>0.23958333333333329</v>
      </c>
      <c r="D292" s="15" t="s">
        <v>129</v>
      </c>
      <c r="E292" s="15" t="s">
        <v>130</v>
      </c>
      <c r="F292" s="15" t="s">
        <v>183</v>
      </c>
      <c r="G292" s="190"/>
      <c r="H292" s="10"/>
      <c r="I292" s="11"/>
      <c r="J292" s="11"/>
      <c r="K292" s="11"/>
      <c r="L292" s="11"/>
      <c r="M292" s="11"/>
      <c r="N292" s="11"/>
      <c r="O292" s="12"/>
      <c r="P292" s="11"/>
      <c r="Q292" s="13"/>
      <c r="R292" s="14"/>
    </row>
    <row r="293" spans="1:18" ht="15" customHeight="1" x14ac:dyDescent="0.3">
      <c r="A293" s="17" t="s">
        <v>125</v>
      </c>
      <c r="B293" s="17" t="s">
        <v>134</v>
      </c>
      <c r="C293" s="18">
        <v>0.1423611111111111</v>
      </c>
      <c r="D293" s="17" t="s">
        <v>127</v>
      </c>
      <c r="E293" s="17" t="s">
        <v>116</v>
      </c>
      <c r="F293" s="17" t="s">
        <v>182</v>
      </c>
      <c r="G293" s="190"/>
      <c r="H293" s="10"/>
      <c r="I293" s="11"/>
      <c r="J293" s="11"/>
      <c r="K293" s="11"/>
      <c r="L293" s="11"/>
      <c r="M293" s="11"/>
      <c r="N293" s="11"/>
      <c r="O293" s="12"/>
      <c r="P293" s="11"/>
      <c r="Q293" s="13"/>
      <c r="R293" s="14"/>
    </row>
    <row r="294" spans="1:18" ht="15" customHeight="1" x14ac:dyDescent="0.3">
      <c r="A294" s="15" t="s">
        <v>125</v>
      </c>
      <c r="B294" s="15" t="s">
        <v>134</v>
      </c>
      <c r="C294" s="16">
        <v>0.1423611111111111</v>
      </c>
      <c r="D294" s="15" t="s">
        <v>129</v>
      </c>
      <c r="E294" s="15" t="s">
        <v>130</v>
      </c>
      <c r="F294" s="15" t="s">
        <v>183</v>
      </c>
      <c r="G294" s="190"/>
      <c r="H294" s="10"/>
      <c r="I294" s="11"/>
      <c r="J294" s="11"/>
      <c r="K294" s="11"/>
      <c r="L294" s="11"/>
      <c r="M294" s="11"/>
      <c r="N294" s="11"/>
      <c r="O294" s="12"/>
      <c r="P294" s="11"/>
      <c r="Q294" s="13"/>
      <c r="R294" s="14"/>
    </row>
    <row r="295" spans="1:18" ht="15" customHeight="1" x14ac:dyDescent="0.3">
      <c r="A295" s="17" t="s">
        <v>125</v>
      </c>
      <c r="B295" s="17" t="s">
        <v>132</v>
      </c>
      <c r="C295" s="18">
        <v>6.9444444444444441E-3</v>
      </c>
      <c r="D295" s="17" t="s">
        <v>127</v>
      </c>
      <c r="E295" s="17" t="s">
        <v>116</v>
      </c>
      <c r="F295" s="17" t="s">
        <v>128</v>
      </c>
      <c r="G295" s="190"/>
      <c r="H295" s="10"/>
      <c r="I295" s="11"/>
      <c r="J295" s="11"/>
      <c r="K295" s="11"/>
      <c r="L295" s="11"/>
      <c r="M295" s="11"/>
      <c r="N295" s="11"/>
      <c r="O295" s="12"/>
      <c r="P295" s="11"/>
      <c r="Q295" s="13"/>
      <c r="R295" s="14"/>
    </row>
    <row r="296" spans="1:18" ht="15" customHeight="1" x14ac:dyDescent="0.3">
      <c r="A296" s="15" t="s">
        <v>125</v>
      </c>
      <c r="B296" s="15" t="s">
        <v>132</v>
      </c>
      <c r="C296" s="16">
        <v>6.9444444444444441E-3</v>
      </c>
      <c r="D296" s="15" t="s">
        <v>129</v>
      </c>
      <c r="E296" s="15" t="s">
        <v>130</v>
      </c>
      <c r="F296" s="15" t="s">
        <v>131</v>
      </c>
      <c r="G296" s="190"/>
      <c r="H296" s="10"/>
      <c r="I296" s="11"/>
      <c r="J296" s="11"/>
      <c r="K296" s="11"/>
      <c r="L296" s="11"/>
      <c r="M296" s="11"/>
      <c r="N296" s="11"/>
      <c r="O296" s="12"/>
      <c r="P296" s="11"/>
      <c r="Q296" s="13"/>
      <c r="R296" s="14"/>
    </row>
    <row r="297" spans="1:18" ht="15" customHeight="1" x14ac:dyDescent="0.3">
      <c r="A297" s="17" t="s">
        <v>125</v>
      </c>
      <c r="B297" s="17" t="s">
        <v>135</v>
      </c>
      <c r="C297" s="18">
        <v>0.93055555555555547</v>
      </c>
      <c r="D297" s="17" t="s">
        <v>127</v>
      </c>
      <c r="E297" s="17" t="s">
        <v>116</v>
      </c>
      <c r="F297" s="17" t="s">
        <v>128</v>
      </c>
      <c r="G297" s="190"/>
      <c r="H297" s="10"/>
      <c r="I297" s="11"/>
      <c r="J297" s="11"/>
      <c r="K297" s="11"/>
      <c r="L297" s="11"/>
      <c r="M297" s="11"/>
      <c r="N297" s="11"/>
      <c r="O297" s="12"/>
      <c r="P297" s="11"/>
      <c r="Q297" s="13"/>
      <c r="R297" s="14"/>
    </row>
    <row r="298" spans="1:18" ht="15" customHeight="1" x14ac:dyDescent="0.3">
      <c r="A298" s="15" t="s">
        <v>125</v>
      </c>
      <c r="B298" s="15" t="s">
        <v>135</v>
      </c>
      <c r="C298" s="16">
        <v>0.93055555555555547</v>
      </c>
      <c r="D298" s="15" t="s">
        <v>129</v>
      </c>
      <c r="E298" s="15" t="s">
        <v>130</v>
      </c>
      <c r="F298" s="15" t="s">
        <v>131</v>
      </c>
      <c r="G298" s="190"/>
      <c r="H298" s="10"/>
      <c r="I298" s="11"/>
      <c r="J298" s="11"/>
      <c r="K298" s="11"/>
      <c r="L298" s="11"/>
      <c r="M298" s="11"/>
      <c r="N298" s="11"/>
      <c r="O298" s="12"/>
      <c r="P298" s="11"/>
      <c r="Q298" s="13"/>
      <c r="R298" s="14"/>
    </row>
    <row r="299" spans="1:18" ht="15" customHeight="1" x14ac:dyDescent="0.3">
      <c r="A299" s="17" t="s">
        <v>125</v>
      </c>
      <c r="B299" s="17" t="s">
        <v>139</v>
      </c>
      <c r="C299" s="18">
        <v>0.82986111111111116</v>
      </c>
      <c r="D299" s="17" t="s">
        <v>127</v>
      </c>
      <c r="E299" s="17" t="s">
        <v>116</v>
      </c>
      <c r="F299" s="17" t="s">
        <v>128</v>
      </c>
      <c r="G299" s="190"/>
      <c r="H299" s="10"/>
      <c r="I299" s="11"/>
      <c r="J299" s="11"/>
      <c r="K299" s="11"/>
      <c r="L299" s="11"/>
      <c r="M299" s="11"/>
      <c r="N299" s="11"/>
      <c r="O299" s="12"/>
      <c r="P299" s="11"/>
      <c r="Q299" s="13"/>
      <c r="R299" s="14"/>
    </row>
    <row r="300" spans="1:18" ht="15" customHeight="1" x14ac:dyDescent="0.3">
      <c r="A300" s="15" t="s">
        <v>125</v>
      </c>
      <c r="B300" s="15" t="s">
        <v>139</v>
      </c>
      <c r="C300" s="16">
        <v>0.82986111111111116</v>
      </c>
      <c r="D300" s="15" t="s">
        <v>129</v>
      </c>
      <c r="E300" s="15" t="s">
        <v>130</v>
      </c>
      <c r="F300" s="15" t="s">
        <v>131</v>
      </c>
      <c r="G300" s="190"/>
      <c r="H300" s="10"/>
      <c r="I300" s="11"/>
      <c r="J300" s="11"/>
      <c r="K300" s="11"/>
      <c r="L300" s="11"/>
      <c r="M300" s="11"/>
      <c r="N300" s="11"/>
      <c r="O300" s="12"/>
      <c r="P300" s="11"/>
      <c r="Q300" s="13"/>
      <c r="R300" s="14"/>
    </row>
    <row r="301" spans="1:18" ht="15" customHeight="1" x14ac:dyDescent="0.3">
      <c r="A301" s="17" t="s">
        <v>125</v>
      </c>
      <c r="B301" s="17" t="s">
        <v>143</v>
      </c>
      <c r="C301" s="18">
        <v>0.12847222222222221</v>
      </c>
      <c r="D301" s="17" t="s">
        <v>129</v>
      </c>
      <c r="E301" s="17" t="s">
        <v>93</v>
      </c>
      <c r="F301" s="17" t="s">
        <v>210</v>
      </c>
      <c r="G301" s="190"/>
      <c r="H301" s="10"/>
      <c r="I301" s="11"/>
      <c r="J301" s="11"/>
      <c r="K301" s="11"/>
      <c r="L301" s="11"/>
      <c r="M301" s="11"/>
      <c r="N301" s="11"/>
      <c r="O301" s="12"/>
      <c r="P301" s="11"/>
      <c r="Q301" s="13"/>
      <c r="R301" s="14"/>
    </row>
    <row r="302" spans="1:18" ht="15" customHeight="1" x14ac:dyDescent="0.3">
      <c r="A302" s="17" t="s">
        <v>125</v>
      </c>
      <c r="B302" s="17" t="s">
        <v>142</v>
      </c>
      <c r="C302" s="18">
        <v>0.30208333333333331</v>
      </c>
      <c r="D302" s="17" t="s">
        <v>129</v>
      </c>
      <c r="E302" s="17" t="s">
        <v>93</v>
      </c>
      <c r="F302" s="17" t="s">
        <v>184</v>
      </c>
      <c r="G302" s="190"/>
      <c r="H302" s="10"/>
      <c r="I302" s="11"/>
      <c r="J302" s="11"/>
      <c r="K302" s="11"/>
      <c r="L302" s="11"/>
      <c r="M302" s="11"/>
      <c r="N302" s="11"/>
      <c r="O302" s="12"/>
      <c r="P302" s="11"/>
      <c r="Q302" s="13"/>
      <c r="R302" s="14"/>
    </row>
    <row r="303" spans="1:18" ht="15" customHeight="1" x14ac:dyDescent="0.3">
      <c r="A303" s="17" t="s">
        <v>125</v>
      </c>
      <c r="B303" s="17" t="s">
        <v>140</v>
      </c>
      <c r="C303" s="18">
        <v>0.88888888888888884</v>
      </c>
      <c r="D303" s="17" t="s">
        <v>129</v>
      </c>
      <c r="E303" s="17" t="s">
        <v>93</v>
      </c>
      <c r="F303" s="17" t="s">
        <v>141</v>
      </c>
      <c r="G303" s="190"/>
      <c r="H303" s="10"/>
      <c r="I303" s="11"/>
      <c r="J303" s="11"/>
      <c r="K303" s="11"/>
      <c r="L303" s="11"/>
      <c r="M303" s="11"/>
      <c r="N303" s="11"/>
      <c r="O303" s="12"/>
      <c r="P303" s="11"/>
      <c r="Q303" s="13"/>
      <c r="R303" s="14"/>
    </row>
    <row r="304" spans="1:18" ht="15" customHeight="1" x14ac:dyDescent="0.3">
      <c r="A304" s="17" t="s">
        <v>125</v>
      </c>
      <c r="B304" s="17" t="s">
        <v>144</v>
      </c>
      <c r="C304" s="18">
        <v>0.78819444444444453</v>
      </c>
      <c r="D304" s="17" t="s">
        <v>129</v>
      </c>
      <c r="E304" s="17" t="s">
        <v>93</v>
      </c>
      <c r="F304" s="17" t="s">
        <v>141</v>
      </c>
      <c r="G304" s="190"/>
      <c r="H304" s="10"/>
      <c r="I304" s="11"/>
      <c r="J304" s="11"/>
      <c r="K304" s="11"/>
      <c r="L304" s="11"/>
      <c r="M304" s="11"/>
      <c r="N304" s="11"/>
      <c r="O304" s="12"/>
      <c r="P304" s="11"/>
      <c r="Q304" s="13"/>
      <c r="R304" s="14"/>
    </row>
    <row r="305" spans="1:18" ht="15" customHeight="1" x14ac:dyDescent="0.3">
      <c r="A305" s="19" t="s">
        <v>148</v>
      </c>
      <c r="B305" s="19" t="s">
        <v>155</v>
      </c>
      <c r="C305" s="20">
        <v>1.388888888888889E-2</v>
      </c>
      <c r="D305" s="19" t="s">
        <v>150</v>
      </c>
      <c r="E305" s="19" t="s">
        <v>113</v>
      </c>
      <c r="F305" s="19" t="s">
        <v>179</v>
      </c>
      <c r="G305" s="190"/>
      <c r="H305" s="10"/>
      <c r="I305" s="11"/>
      <c r="J305" s="11"/>
      <c r="K305" s="11"/>
      <c r="L305" s="11"/>
      <c r="M305" s="11"/>
      <c r="N305" s="11"/>
      <c r="O305" s="12"/>
      <c r="P305" s="11"/>
      <c r="Q305" s="13"/>
      <c r="R305" s="14"/>
    </row>
    <row r="306" spans="1:18" ht="15" customHeight="1" x14ac:dyDescent="0.3">
      <c r="A306" s="17" t="s">
        <v>148</v>
      </c>
      <c r="B306" s="17" t="s">
        <v>149</v>
      </c>
      <c r="C306" s="18">
        <v>0.47222222222222232</v>
      </c>
      <c r="D306" s="17" t="s">
        <v>150</v>
      </c>
      <c r="E306" s="17" t="s">
        <v>116</v>
      </c>
      <c r="F306" s="17" t="s">
        <v>179</v>
      </c>
      <c r="G306" s="190"/>
      <c r="H306" s="10"/>
      <c r="I306" s="11"/>
      <c r="J306" s="11"/>
      <c r="K306" s="11"/>
      <c r="L306" s="11"/>
      <c r="M306" s="11"/>
      <c r="N306" s="11"/>
      <c r="O306" s="12"/>
      <c r="P306" s="11"/>
      <c r="Q306" s="13"/>
      <c r="R306" s="14"/>
    </row>
    <row r="307" spans="1:18" ht="15" customHeight="1" x14ac:dyDescent="0.3">
      <c r="A307" s="17" t="s">
        <v>148</v>
      </c>
      <c r="B307" s="17" t="s">
        <v>157</v>
      </c>
      <c r="C307" s="18">
        <v>0.14583333333333329</v>
      </c>
      <c r="D307" s="17" t="s">
        <v>150</v>
      </c>
      <c r="E307" s="17" t="s">
        <v>116</v>
      </c>
      <c r="F307" s="17" t="s">
        <v>179</v>
      </c>
      <c r="G307" s="190"/>
      <c r="H307" s="10"/>
      <c r="I307" s="11"/>
      <c r="J307" s="11"/>
      <c r="K307" s="11"/>
      <c r="L307" s="11"/>
      <c r="M307" s="11"/>
      <c r="N307" s="11"/>
      <c r="O307" s="12"/>
      <c r="P307" s="11"/>
      <c r="Q307" s="13"/>
      <c r="R307" s="14"/>
    </row>
    <row r="308" spans="1:18" ht="15" customHeight="1" x14ac:dyDescent="0.3">
      <c r="A308" s="17" t="s">
        <v>148</v>
      </c>
      <c r="B308" s="17" t="s">
        <v>158</v>
      </c>
      <c r="C308" s="18">
        <v>0.27777777777777779</v>
      </c>
      <c r="D308" s="17" t="s">
        <v>150</v>
      </c>
      <c r="E308" s="17" t="s">
        <v>116</v>
      </c>
      <c r="F308" s="17" t="s">
        <v>179</v>
      </c>
      <c r="G308" s="190"/>
      <c r="H308" s="10"/>
      <c r="I308" s="11"/>
      <c r="J308" s="11"/>
      <c r="K308" s="11"/>
      <c r="L308" s="11"/>
      <c r="M308" s="11"/>
      <c r="N308" s="11"/>
      <c r="O308" s="12"/>
      <c r="P308" s="11"/>
      <c r="Q308" s="13"/>
      <c r="R308" s="14"/>
    </row>
    <row r="309" spans="1:18" ht="15" customHeight="1" x14ac:dyDescent="0.3">
      <c r="A309" s="17" t="s">
        <v>148</v>
      </c>
      <c r="B309" s="17" t="s">
        <v>153</v>
      </c>
      <c r="C309" s="18">
        <v>0.22916666666666671</v>
      </c>
      <c r="D309" s="17" t="s">
        <v>150</v>
      </c>
      <c r="E309" s="17" t="s">
        <v>116</v>
      </c>
      <c r="F309" s="17" t="s">
        <v>179</v>
      </c>
      <c r="G309" s="190"/>
      <c r="H309" s="10"/>
      <c r="I309" s="11"/>
      <c r="J309" s="11"/>
      <c r="K309" s="11"/>
      <c r="L309" s="11"/>
      <c r="M309" s="11"/>
      <c r="N309" s="11"/>
      <c r="O309" s="12"/>
      <c r="P309" s="11"/>
      <c r="Q309" s="13"/>
      <c r="R309" s="14"/>
    </row>
    <row r="310" spans="1:18" ht="15" customHeight="1" x14ac:dyDescent="0.3">
      <c r="A310" s="17" t="s">
        <v>148</v>
      </c>
      <c r="B310" s="17" t="s">
        <v>160</v>
      </c>
      <c r="C310" s="18">
        <v>0.77083333333333337</v>
      </c>
      <c r="D310" s="17" t="s">
        <v>150</v>
      </c>
      <c r="E310" s="17" t="s">
        <v>116</v>
      </c>
      <c r="F310" s="17" t="s">
        <v>156</v>
      </c>
      <c r="G310" s="190"/>
      <c r="H310" s="10"/>
      <c r="I310" s="11"/>
      <c r="J310" s="11"/>
      <c r="K310" s="11"/>
      <c r="L310" s="11"/>
      <c r="M310" s="11"/>
      <c r="N310" s="11"/>
      <c r="O310" s="12"/>
      <c r="P310" s="11"/>
      <c r="Q310" s="13"/>
      <c r="R310" s="14"/>
    </row>
    <row r="311" spans="1:18" ht="15" customHeight="1" x14ac:dyDescent="0.3">
      <c r="A311" s="60" t="s">
        <v>148</v>
      </c>
      <c r="B311" s="60" t="s">
        <v>180</v>
      </c>
      <c r="C311" s="61">
        <v>0.95833333333333337</v>
      </c>
      <c r="D311" s="60" t="s">
        <v>150</v>
      </c>
      <c r="E311" s="60" t="s">
        <v>116</v>
      </c>
      <c r="F311" s="60" t="s">
        <v>159</v>
      </c>
      <c r="G311" s="191"/>
      <c r="H311" s="62"/>
      <c r="I311" s="63"/>
      <c r="J311" s="63"/>
      <c r="K311" s="63"/>
      <c r="L311" s="63"/>
      <c r="M311" s="63"/>
      <c r="N311" s="63"/>
      <c r="O311" s="64"/>
      <c r="P311" s="63"/>
      <c r="Q311" s="65"/>
      <c r="R311" s="66"/>
    </row>
  </sheetData>
  <mergeCells count="22">
    <mergeCell ref="G241:G311"/>
    <mergeCell ref="K2:R2"/>
    <mergeCell ref="A83:F83"/>
    <mergeCell ref="G6:G81"/>
    <mergeCell ref="G162:G237"/>
    <mergeCell ref="A82:R82"/>
    <mergeCell ref="H239:R239"/>
    <mergeCell ref="G85:G158"/>
    <mergeCell ref="H160:R160"/>
    <mergeCell ref="H1:L1"/>
    <mergeCell ref="A1:E1"/>
    <mergeCell ref="H4:R4"/>
    <mergeCell ref="A238:R238"/>
    <mergeCell ref="A239:F239"/>
    <mergeCell ref="A2:F2"/>
    <mergeCell ref="A3:R3"/>
    <mergeCell ref="A160:F160"/>
    <mergeCell ref="H83:R83"/>
    <mergeCell ref="G2:J2"/>
    <mergeCell ref="A4:F4"/>
    <mergeCell ref="A159:R159"/>
    <mergeCell ref="N1:R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24"/>
  <sheetViews>
    <sheetView workbookViewId="0"/>
  </sheetViews>
  <sheetFormatPr defaultRowHeight="15.6" outlineLevelCol="1" x14ac:dyDescent="0.3"/>
  <cols>
    <col min="1" max="1" width="11.5546875" style="198" bestFit="1" customWidth="1"/>
    <col min="2" max="2" width="10.44140625" style="198" bestFit="1" customWidth="1"/>
    <col min="3" max="3" width="6.77734375" style="198" bestFit="1" customWidth="1"/>
    <col min="4" max="4" width="5.5546875" style="198" bestFit="1" customWidth="1"/>
    <col min="5" max="5" width="7.5546875" style="198" bestFit="1" customWidth="1"/>
    <col min="6" max="6" width="4.21875" style="198" bestFit="1" customWidth="1"/>
    <col min="7" max="7" width="10" style="198" bestFit="1" customWidth="1"/>
    <col min="8" max="10" width="8.5546875" style="198" bestFit="1" customWidth="1"/>
    <col min="11" max="11" width="10.5546875" style="198" bestFit="1" customWidth="1"/>
    <col min="12" max="12" width="9.109375" style="198" bestFit="1" customWidth="1"/>
    <col min="13" max="13" width="7.6640625" style="198" bestFit="1" customWidth="1" outlineLevel="1"/>
    <col min="14" max="14" width="6.33203125" style="198" bestFit="1" customWidth="1" outlineLevel="1"/>
    <col min="15" max="15" width="8" style="198" bestFit="1" customWidth="1" outlineLevel="1"/>
    <col min="16" max="16" width="13.6640625" style="198" bestFit="1" customWidth="1"/>
    <col min="17" max="26" width="3.88671875" style="198" bestFit="1" customWidth="1"/>
    <col min="27" max="27" width="4" style="198" bestFit="1" customWidth="1"/>
    <col min="28" max="29" width="3.88671875" style="198" bestFit="1" customWidth="1"/>
    <col min="30" max="31" width="4.5546875" style="198" bestFit="1" customWidth="1"/>
    <col min="32" max="32" width="3.88671875" style="198" bestFit="1" customWidth="1"/>
    <col min="33" max="33" width="4.21875" style="198" bestFit="1" customWidth="1"/>
    <col min="34" max="34" width="3.88671875" style="198" bestFit="1" customWidth="1"/>
    <col min="35" max="35" width="5.21875" style="198" bestFit="1" customWidth="1"/>
    <col min="36" max="36" width="3.88671875" style="198" bestFit="1" customWidth="1"/>
    <col min="37" max="16384" width="8.88671875" style="198"/>
  </cols>
  <sheetData>
    <row r="1" spans="1:36" x14ac:dyDescent="0.3">
      <c r="A1" s="197" t="s">
        <v>231</v>
      </c>
      <c r="B1" s="197" t="s">
        <v>232</v>
      </c>
      <c r="C1" s="197" t="s">
        <v>233</v>
      </c>
      <c r="D1" s="197" t="s">
        <v>23</v>
      </c>
      <c r="E1" s="197" t="s">
        <v>234</v>
      </c>
      <c r="F1" s="197" t="s">
        <v>235</v>
      </c>
      <c r="G1" s="197" t="s">
        <v>16</v>
      </c>
      <c r="H1" s="197" t="s">
        <v>236</v>
      </c>
      <c r="I1" s="197" t="s">
        <v>237</v>
      </c>
      <c r="J1" s="197" t="s">
        <v>238</v>
      </c>
      <c r="K1" s="197" t="s">
        <v>239</v>
      </c>
      <c r="L1" s="197" t="s">
        <v>18</v>
      </c>
      <c r="M1" s="197" t="s">
        <v>20</v>
      </c>
      <c r="N1" s="197" t="s">
        <v>21</v>
      </c>
      <c r="O1" s="197" t="s">
        <v>19</v>
      </c>
      <c r="P1" s="197" t="s">
        <v>22</v>
      </c>
      <c r="Q1" s="197" t="s">
        <v>240</v>
      </c>
      <c r="R1" s="197" t="s">
        <v>241</v>
      </c>
      <c r="S1" s="197" t="s">
        <v>242</v>
      </c>
      <c r="T1" s="197" t="s">
        <v>243</v>
      </c>
      <c r="U1" s="197" t="s">
        <v>244</v>
      </c>
      <c r="V1" s="197" t="s">
        <v>245</v>
      </c>
      <c r="W1" s="197" t="s">
        <v>246</v>
      </c>
      <c r="X1" s="197" t="s">
        <v>247</v>
      </c>
      <c r="Y1" s="197" t="s">
        <v>248</v>
      </c>
      <c r="Z1" s="197" t="s">
        <v>249</v>
      </c>
      <c r="AA1" s="197" t="s">
        <v>250</v>
      </c>
      <c r="AB1" s="197" t="s">
        <v>251</v>
      </c>
      <c r="AC1" s="197" t="s">
        <v>252</v>
      </c>
      <c r="AD1" s="197" t="s">
        <v>253</v>
      </c>
      <c r="AE1" s="197" t="s">
        <v>254</v>
      </c>
      <c r="AF1" s="197" t="s">
        <v>255</v>
      </c>
      <c r="AG1" s="197" t="s">
        <v>256</v>
      </c>
      <c r="AH1" s="197" t="s">
        <v>257</v>
      </c>
      <c r="AI1" s="197" t="s">
        <v>258</v>
      </c>
      <c r="AJ1" s="197" t="s">
        <v>259</v>
      </c>
    </row>
    <row r="2" spans="1:36" x14ac:dyDescent="0.3">
      <c r="A2" s="199" t="s">
        <v>260</v>
      </c>
      <c r="B2" s="200">
        <v>45986</v>
      </c>
      <c r="C2" s="201" t="s">
        <v>81</v>
      </c>
      <c r="D2" s="202" t="s">
        <v>261</v>
      </c>
      <c r="E2" s="201" t="s">
        <v>1</v>
      </c>
      <c r="F2" s="201" t="s">
        <v>262</v>
      </c>
      <c r="G2" s="203">
        <v>0.3352</v>
      </c>
      <c r="H2" s="204">
        <v>179</v>
      </c>
      <c r="I2" s="204">
        <v>60</v>
      </c>
      <c r="J2" s="204">
        <v>0</v>
      </c>
      <c r="K2" s="201" t="s">
        <v>263</v>
      </c>
      <c r="L2" s="205">
        <v>45981</v>
      </c>
      <c r="M2" s="204">
        <v>5</v>
      </c>
      <c r="N2" s="204">
        <v>1</v>
      </c>
      <c r="O2" s="204">
        <v>43</v>
      </c>
      <c r="P2" s="201" t="s">
        <v>82</v>
      </c>
      <c r="Q2" s="197"/>
      <c r="R2" s="197"/>
      <c r="S2" s="197"/>
      <c r="T2" s="197"/>
      <c r="U2" s="197"/>
      <c r="V2" s="197"/>
      <c r="W2" s="197"/>
      <c r="X2" s="197"/>
      <c r="Y2" s="197"/>
      <c r="Z2" s="204" t="s">
        <v>264</v>
      </c>
      <c r="AA2" s="197"/>
      <c r="AB2" s="197"/>
      <c r="AC2" s="204" t="s">
        <v>265</v>
      </c>
      <c r="AD2" s="204" t="s">
        <v>170</v>
      </c>
      <c r="AE2" s="204" t="s">
        <v>266</v>
      </c>
      <c r="AF2" s="204" t="s">
        <v>267</v>
      </c>
      <c r="AG2" s="197"/>
      <c r="AH2" s="197"/>
      <c r="AI2" s="197"/>
      <c r="AJ2" s="197"/>
    </row>
    <row r="3" spans="1:36" x14ac:dyDescent="0.3">
      <c r="A3" s="199" t="s">
        <v>260</v>
      </c>
      <c r="B3" s="200">
        <v>45986</v>
      </c>
      <c r="C3" s="201" t="s">
        <v>97</v>
      </c>
      <c r="D3" s="202" t="s">
        <v>268</v>
      </c>
      <c r="E3" s="201" t="s">
        <v>1</v>
      </c>
      <c r="F3" s="201" t="s">
        <v>262</v>
      </c>
      <c r="G3" s="203">
        <v>0.9385</v>
      </c>
      <c r="H3" s="204">
        <v>179</v>
      </c>
      <c r="I3" s="204">
        <v>168</v>
      </c>
      <c r="J3" s="204">
        <v>117</v>
      </c>
      <c r="K3" s="201" t="s">
        <v>263</v>
      </c>
      <c r="L3" s="205">
        <v>45979</v>
      </c>
      <c r="M3" s="204">
        <v>0</v>
      </c>
      <c r="N3" s="204">
        <v>0</v>
      </c>
      <c r="O3" s="204">
        <v>27</v>
      </c>
      <c r="P3" s="201" t="s">
        <v>100</v>
      </c>
      <c r="Q3" s="197"/>
      <c r="R3" s="197"/>
      <c r="S3" s="197"/>
      <c r="T3" s="197"/>
      <c r="U3" s="197"/>
      <c r="V3" s="197"/>
      <c r="W3" s="197"/>
      <c r="X3" s="197"/>
      <c r="Y3" s="197"/>
      <c r="Z3" s="204" t="s">
        <v>269</v>
      </c>
      <c r="AA3" s="197"/>
      <c r="AB3" s="197"/>
      <c r="AC3" s="204" t="s">
        <v>90</v>
      </c>
      <c r="AD3" s="204" t="s">
        <v>270</v>
      </c>
      <c r="AE3" s="204" t="s">
        <v>271</v>
      </c>
      <c r="AF3" s="204" t="s">
        <v>272</v>
      </c>
      <c r="AG3" s="197"/>
      <c r="AH3" s="197"/>
      <c r="AI3" s="204" t="s">
        <v>273</v>
      </c>
      <c r="AJ3" s="204" t="s">
        <v>274</v>
      </c>
    </row>
    <row r="4" spans="1:36" x14ac:dyDescent="0.3">
      <c r="A4" s="199" t="s">
        <v>260</v>
      </c>
      <c r="B4" s="200">
        <v>45986</v>
      </c>
      <c r="C4" s="201" t="s">
        <v>94</v>
      </c>
      <c r="D4" s="202" t="s">
        <v>275</v>
      </c>
      <c r="E4" s="201" t="s">
        <v>1</v>
      </c>
      <c r="F4" s="201" t="s">
        <v>262</v>
      </c>
      <c r="G4" s="203">
        <v>0.75980000000000003</v>
      </c>
      <c r="H4" s="204">
        <v>179</v>
      </c>
      <c r="I4" s="204">
        <v>136</v>
      </c>
      <c r="J4" s="204">
        <v>82</v>
      </c>
      <c r="K4" s="201" t="s">
        <v>263</v>
      </c>
      <c r="L4" s="205">
        <v>45980</v>
      </c>
      <c r="M4" s="204">
        <v>0</v>
      </c>
      <c r="N4" s="204">
        <v>3</v>
      </c>
      <c r="O4" s="204">
        <v>25</v>
      </c>
      <c r="P4" s="201" t="s">
        <v>95</v>
      </c>
      <c r="Q4" s="197"/>
      <c r="R4" s="197"/>
      <c r="S4" s="197"/>
      <c r="T4" s="197"/>
      <c r="U4" s="197"/>
      <c r="V4" s="197"/>
      <c r="W4" s="197"/>
      <c r="X4" s="197"/>
      <c r="Y4" s="197"/>
      <c r="Z4" s="204" t="s">
        <v>276</v>
      </c>
      <c r="AA4" s="197"/>
      <c r="AB4" s="197"/>
      <c r="AC4" s="204" t="s">
        <v>277</v>
      </c>
      <c r="AD4" s="204" t="s">
        <v>278</v>
      </c>
      <c r="AE4" s="204" t="s">
        <v>271</v>
      </c>
      <c r="AF4" s="204" t="s">
        <v>272</v>
      </c>
      <c r="AG4" s="197"/>
      <c r="AH4" s="197"/>
      <c r="AI4" s="204" t="s">
        <v>279</v>
      </c>
      <c r="AJ4" s="197"/>
    </row>
    <row r="5" spans="1:36" x14ac:dyDescent="0.3">
      <c r="A5" s="199" t="s">
        <v>260</v>
      </c>
      <c r="B5" s="200">
        <v>45986</v>
      </c>
      <c r="C5" s="201" t="s">
        <v>102</v>
      </c>
      <c r="D5" s="202" t="s">
        <v>280</v>
      </c>
      <c r="E5" s="201" t="s">
        <v>1</v>
      </c>
      <c r="F5" s="201" t="s">
        <v>262</v>
      </c>
      <c r="G5" s="203">
        <v>0.92179999999999995</v>
      </c>
      <c r="H5" s="204">
        <v>179</v>
      </c>
      <c r="I5" s="204">
        <v>165</v>
      </c>
      <c r="J5" s="204">
        <v>117</v>
      </c>
      <c r="K5" s="201" t="s">
        <v>263</v>
      </c>
      <c r="L5" s="205">
        <v>45980</v>
      </c>
      <c r="M5" s="204">
        <v>0</v>
      </c>
      <c r="N5" s="204">
        <v>4</v>
      </c>
      <c r="O5" s="204">
        <v>24</v>
      </c>
      <c r="P5" s="201" t="s">
        <v>100</v>
      </c>
      <c r="Q5" s="197"/>
      <c r="R5" s="197"/>
      <c r="S5" s="197"/>
      <c r="T5" s="197"/>
      <c r="U5" s="197"/>
      <c r="V5" s="197"/>
      <c r="W5" s="197"/>
      <c r="X5" s="197"/>
      <c r="Y5" s="197"/>
      <c r="Z5" s="204" t="s">
        <v>281</v>
      </c>
      <c r="AA5" s="204" t="s">
        <v>282</v>
      </c>
      <c r="AB5" s="197"/>
      <c r="AC5" s="204" t="s">
        <v>95</v>
      </c>
      <c r="AD5" s="204" t="s">
        <v>283</v>
      </c>
      <c r="AE5" s="204" t="s">
        <v>271</v>
      </c>
      <c r="AF5" s="204" t="s">
        <v>284</v>
      </c>
      <c r="AG5" s="197"/>
      <c r="AH5" s="197"/>
      <c r="AI5" s="204" t="s">
        <v>273</v>
      </c>
      <c r="AJ5" s="197"/>
    </row>
    <row r="6" spans="1:36" x14ac:dyDescent="0.3">
      <c r="A6" s="199" t="s">
        <v>260</v>
      </c>
      <c r="B6" s="200">
        <v>45986</v>
      </c>
      <c r="C6" s="201" t="s">
        <v>89</v>
      </c>
      <c r="D6" s="202" t="s">
        <v>285</v>
      </c>
      <c r="E6" s="201" t="s">
        <v>1</v>
      </c>
      <c r="F6" s="201" t="s">
        <v>262</v>
      </c>
      <c r="G6" s="203">
        <v>0.69269999999999998</v>
      </c>
      <c r="H6" s="204">
        <v>179</v>
      </c>
      <c r="I6" s="204">
        <v>124</v>
      </c>
      <c r="J6" s="204">
        <v>88</v>
      </c>
      <c r="K6" s="201" t="s">
        <v>263</v>
      </c>
      <c r="L6" s="205">
        <v>45981</v>
      </c>
      <c r="M6" s="204">
        <v>2</v>
      </c>
      <c r="N6" s="204">
        <v>2</v>
      </c>
      <c r="O6" s="204">
        <v>26</v>
      </c>
      <c r="P6" s="201" t="s">
        <v>90</v>
      </c>
      <c r="Q6" s="197"/>
      <c r="R6" s="197"/>
      <c r="S6" s="197"/>
      <c r="T6" s="197"/>
      <c r="U6" s="197"/>
      <c r="V6" s="197"/>
      <c r="W6" s="197"/>
      <c r="X6" s="197"/>
      <c r="Y6" s="197"/>
      <c r="Z6" s="204" t="s">
        <v>269</v>
      </c>
      <c r="AA6" s="197"/>
      <c r="AB6" s="197"/>
      <c r="AC6" s="204" t="s">
        <v>95</v>
      </c>
      <c r="AD6" s="204" t="s">
        <v>286</v>
      </c>
      <c r="AE6" s="204" t="s">
        <v>266</v>
      </c>
      <c r="AF6" s="204" t="s">
        <v>272</v>
      </c>
      <c r="AG6" s="197"/>
      <c r="AH6" s="197"/>
      <c r="AI6" s="204" t="s">
        <v>287</v>
      </c>
      <c r="AJ6" s="197"/>
    </row>
    <row r="7" spans="1:36" x14ac:dyDescent="0.3">
      <c r="A7" s="199" t="s">
        <v>260</v>
      </c>
      <c r="B7" s="200">
        <v>45986</v>
      </c>
      <c r="C7" s="201" t="s">
        <v>85</v>
      </c>
      <c r="D7" s="202" t="s">
        <v>288</v>
      </c>
      <c r="E7" s="201" t="s">
        <v>1</v>
      </c>
      <c r="F7" s="201" t="s">
        <v>262</v>
      </c>
      <c r="G7" s="203">
        <v>0.55869999999999997</v>
      </c>
      <c r="H7" s="204">
        <v>179</v>
      </c>
      <c r="I7" s="204">
        <v>100</v>
      </c>
      <c r="J7" s="204">
        <v>46</v>
      </c>
      <c r="K7" s="201" t="s">
        <v>263</v>
      </c>
      <c r="L7" s="205">
        <v>45980</v>
      </c>
      <c r="M7" s="204">
        <v>0</v>
      </c>
      <c r="N7" s="204">
        <v>7</v>
      </c>
      <c r="O7" s="204">
        <v>31</v>
      </c>
      <c r="P7" s="201" t="s">
        <v>82</v>
      </c>
      <c r="Q7" s="197"/>
      <c r="R7" s="197"/>
      <c r="S7" s="197"/>
      <c r="T7" s="197"/>
      <c r="U7" s="197"/>
      <c r="V7" s="197"/>
      <c r="W7" s="197"/>
      <c r="X7" s="197"/>
      <c r="Y7" s="197"/>
      <c r="Z7" s="197"/>
      <c r="AA7" s="197"/>
      <c r="AB7" s="197"/>
      <c r="AC7" s="197"/>
      <c r="AD7" s="204" t="s">
        <v>170</v>
      </c>
      <c r="AE7" s="204" t="s">
        <v>271</v>
      </c>
      <c r="AF7" s="204" t="s">
        <v>267</v>
      </c>
      <c r="AG7" s="197"/>
      <c r="AH7" s="197"/>
      <c r="AI7" s="204" t="s">
        <v>289</v>
      </c>
      <c r="AJ7" s="197"/>
    </row>
    <row r="8" spans="1:36" x14ac:dyDescent="0.3">
      <c r="A8" s="199" t="s">
        <v>290</v>
      </c>
      <c r="B8" s="200">
        <v>45987</v>
      </c>
      <c r="C8" s="201" t="s">
        <v>85</v>
      </c>
      <c r="D8" s="202" t="s">
        <v>291</v>
      </c>
      <c r="E8" s="201" t="s">
        <v>1</v>
      </c>
      <c r="F8" s="201" t="s">
        <v>262</v>
      </c>
      <c r="G8" s="203">
        <v>0.36309999999999998</v>
      </c>
      <c r="H8" s="204">
        <v>179</v>
      </c>
      <c r="I8" s="204">
        <v>65</v>
      </c>
      <c r="J8" s="204">
        <v>0</v>
      </c>
      <c r="K8" s="201" t="s">
        <v>263</v>
      </c>
      <c r="L8" s="205">
        <v>45980</v>
      </c>
      <c r="M8" s="204">
        <v>0</v>
      </c>
      <c r="N8" s="204">
        <v>1</v>
      </c>
      <c r="O8" s="204">
        <v>49</v>
      </c>
      <c r="P8" s="201" t="s">
        <v>170</v>
      </c>
      <c r="Q8" s="197"/>
      <c r="R8" s="197"/>
      <c r="S8" s="197"/>
      <c r="T8" s="197"/>
      <c r="U8" s="197"/>
      <c r="V8" s="197"/>
      <c r="W8" s="197"/>
      <c r="X8" s="197"/>
      <c r="Y8" s="197"/>
      <c r="Z8" s="197"/>
      <c r="AA8" s="197"/>
      <c r="AB8" s="197"/>
      <c r="AC8" s="197"/>
      <c r="AD8" s="204" t="s">
        <v>82</v>
      </c>
      <c r="AE8" s="204" t="s">
        <v>292</v>
      </c>
      <c r="AF8" s="204" t="s">
        <v>293</v>
      </c>
      <c r="AG8" s="197"/>
      <c r="AH8" s="197"/>
      <c r="AI8" s="197"/>
      <c r="AJ8" s="197"/>
    </row>
    <row r="9" spans="1:36" x14ac:dyDescent="0.3">
      <c r="A9" s="199" t="s">
        <v>290</v>
      </c>
      <c r="B9" s="200">
        <v>45987</v>
      </c>
      <c r="C9" s="201" t="s">
        <v>102</v>
      </c>
      <c r="D9" s="202" t="s">
        <v>294</v>
      </c>
      <c r="E9" s="201" t="s">
        <v>1</v>
      </c>
      <c r="F9" s="201" t="s">
        <v>262</v>
      </c>
      <c r="G9" s="203">
        <v>0.63690000000000002</v>
      </c>
      <c r="H9" s="204">
        <v>179</v>
      </c>
      <c r="I9" s="204">
        <v>114</v>
      </c>
      <c r="J9" s="204">
        <v>47</v>
      </c>
      <c r="K9" s="201" t="s">
        <v>263</v>
      </c>
      <c r="L9" s="205">
        <v>45980</v>
      </c>
      <c r="M9" s="204">
        <v>0</v>
      </c>
      <c r="N9" s="204">
        <v>5</v>
      </c>
      <c r="O9" s="204">
        <v>47</v>
      </c>
      <c r="P9" s="201" t="s">
        <v>170</v>
      </c>
      <c r="Q9" s="197"/>
      <c r="R9" s="197"/>
      <c r="S9" s="197"/>
      <c r="T9" s="197"/>
      <c r="U9" s="197"/>
      <c r="V9" s="197"/>
      <c r="W9" s="197"/>
      <c r="X9" s="197"/>
      <c r="Y9" s="197"/>
      <c r="Z9" s="204" t="s">
        <v>295</v>
      </c>
      <c r="AA9" s="204" t="s">
        <v>296</v>
      </c>
      <c r="AB9" s="197"/>
      <c r="AC9" s="197"/>
      <c r="AD9" s="204" t="s">
        <v>286</v>
      </c>
      <c r="AE9" s="204" t="s">
        <v>297</v>
      </c>
      <c r="AF9" s="204" t="s">
        <v>298</v>
      </c>
      <c r="AG9" s="197"/>
      <c r="AH9" s="197"/>
      <c r="AI9" s="204" t="s">
        <v>299</v>
      </c>
      <c r="AJ9" s="197"/>
    </row>
    <row r="10" spans="1:36" x14ac:dyDescent="0.3">
      <c r="A10" s="199" t="s">
        <v>290</v>
      </c>
      <c r="B10" s="200">
        <v>45987</v>
      </c>
      <c r="C10" s="201" t="s">
        <v>94</v>
      </c>
      <c r="D10" s="202" t="s">
        <v>275</v>
      </c>
      <c r="E10" s="201" t="s">
        <v>1</v>
      </c>
      <c r="F10" s="201" t="s">
        <v>262</v>
      </c>
      <c r="G10" s="203">
        <v>0.6089</v>
      </c>
      <c r="H10" s="204">
        <v>179</v>
      </c>
      <c r="I10" s="204">
        <v>109</v>
      </c>
      <c r="J10" s="204">
        <v>45</v>
      </c>
      <c r="K10" s="201" t="s">
        <v>263</v>
      </c>
      <c r="L10" s="205">
        <v>45980</v>
      </c>
      <c r="M10" s="204">
        <v>0</v>
      </c>
      <c r="N10" s="204">
        <v>4</v>
      </c>
      <c r="O10" s="204">
        <v>40</v>
      </c>
      <c r="P10" s="201" t="s">
        <v>82</v>
      </c>
      <c r="Q10" s="197"/>
      <c r="R10" s="197"/>
      <c r="S10" s="197"/>
      <c r="T10" s="197"/>
      <c r="U10" s="197"/>
      <c r="V10" s="197"/>
      <c r="W10" s="197"/>
      <c r="X10" s="197"/>
      <c r="Y10" s="197"/>
      <c r="Z10" s="204" t="s">
        <v>269</v>
      </c>
      <c r="AA10" s="197"/>
      <c r="AB10" s="197"/>
      <c r="AC10" s="197"/>
      <c r="AD10" s="204" t="s">
        <v>283</v>
      </c>
      <c r="AE10" s="204" t="s">
        <v>297</v>
      </c>
      <c r="AF10" s="204" t="s">
        <v>300</v>
      </c>
      <c r="AG10" s="197"/>
      <c r="AH10" s="197"/>
      <c r="AI10" s="204" t="s">
        <v>301</v>
      </c>
      <c r="AJ10" s="204" t="s">
        <v>302</v>
      </c>
    </row>
    <row r="11" spans="1:36" x14ac:dyDescent="0.3">
      <c r="A11" s="199" t="s">
        <v>303</v>
      </c>
      <c r="B11" s="200">
        <v>45988</v>
      </c>
      <c r="C11" s="201" t="s">
        <v>89</v>
      </c>
      <c r="D11" s="202" t="s">
        <v>304</v>
      </c>
      <c r="E11" s="201" t="s">
        <v>1</v>
      </c>
      <c r="F11" s="201" t="s">
        <v>262</v>
      </c>
      <c r="G11" s="203">
        <v>0.48039999999999999</v>
      </c>
      <c r="H11" s="204">
        <v>179</v>
      </c>
      <c r="I11" s="204">
        <v>86</v>
      </c>
      <c r="J11" s="204">
        <v>84</v>
      </c>
      <c r="K11" s="201" t="s">
        <v>263</v>
      </c>
      <c r="L11" s="205">
        <v>45980</v>
      </c>
      <c r="M11" s="204">
        <v>0</v>
      </c>
      <c r="N11" s="204">
        <v>2</v>
      </c>
      <c r="O11" s="204">
        <v>2</v>
      </c>
      <c r="P11" s="201" t="s">
        <v>204</v>
      </c>
      <c r="Q11" s="197"/>
      <c r="R11" s="197"/>
      <c r="S11" s="197"/>
      <c r="T11" s="197"/>
      <c r="U11" s="197"/>
      <c r="V11" s="197"/>
      <c r="W11" s="197"/>
      <c r="X11" s="197"/>
      <c r="Y11" s="197"/>
      <c r="Z11" s="197"/>
      <c r="AA11" s="197"/>
      <c r="AB11" s="197"/>
      <c r="AC11" s="204" t="s">
        <v>90</v>
      </c>
      <c r="AD11" s="204" t="s">
        <v>82</v>
      </c>
      <c r="AE11" s="197"/>
      <c r="AF11" s="197"/>
      <c r="AG11" s="197"/>
      <c r="AH11" s="197"/>
      <c r="AI11" s="204" t="s">
        <v>305</v>
      </c>
      <c r="AJ11" s="197"/>
    </row>
    <row r="12" spans="1:36" x14ac:dyDescent="0.3">
      <c r="A12" s="199" t="s">
        <v>303</v>
      </c>
      <c r="B12" s="200">
        <v>45988</v>
      </c>
      <c r="C12" s="201" t="s">
        <v>81</v>
      </c>
      <c r="D12" s="202" t="s">
        <v>306</v>
      </c>
      <c r="E12" s="201" t="s">
        <v>1</v>
      </c>
      <c r="F12" s="201" t="s">
        <v>262</v>
      </c>
      <c r="G12" s="203">
        <v>0.24579999999999999</v>
      </c>
      <c r="H12" s="204">
        <v>179</v>
      </c>
      <c r="I12" s="204">
        <v>44</v>
      </c>
      <c r="J12" s="204">
        <v>0</v>
      </c>
      <c r="K12" s="201" t="s">
        <v>263</v>
      </c>
      <c r="L12" s="205">
        <v>45979</v>
      </c>
      <c r="M12" s="204">
        <v>0</v>
      </c>
      <c r="N12" s="204">
        <v>0</v>
      </c>
      <c r="O12" s="204">
        <v>32</v>
      </c>
      <c r="P12" s="201" t="s">
        <v>170</v>
      </c>
      <c r="Q12" s="197"/>
      <c r="R12" s="197"/>
      <c r="S12" s="197"/>
      <c r="T12" s="197"/>
      <c r="U12" s="197"/>
      <c r="V12" s="197"/>
      <c r="W12" s="197"/>
      <c r="X12" s="197"/>
      <c r="Y12" s="197"/>
      <c r="Z12" s="204" t="s">
        <v>307</v>
      </c>
      <c r="AA12" s="197"/>
      <c r="AB12" s="197"/>
      <c r="AC12" s="197"/>
      <c r="AD12" s="197"/>
      <c r="AE12" s="204" t="s">
        <v>266</v>
      </c>
      <c r="AF12" s="204" t="s">
        <v>267</v>
      </c>
      <c r="AG12" s="197"/>
      <c r="AH12" s="197"/>
      <c r="AI12" s="197"/>
      <c r="AJ12" s="197"/>
    </row>
    <row r="13" spans="1:36" x14ac:dyDescent="0.3">
      <c r="A13" s="199" t="s">
        <v>303</v>
      </c>
      <c r="B13" s="200">
        <v>45988</v>
      </c>
      <c r="C13" s="201" t="s">
        <v>197</v>
      </c>
      <c r="D13" s="202" t="s">
        <v>308</v>
      </c>
      <c r="E13" s="201" t="s">
        <v>1</v>
      </c>
      <c r="F13" s="201" t="s">
        <v>262</v>
      </c>
      <c r="G13" s="203">
        <v>0.29049999999999998</v>
      </c>
      <c r="H13" s="204">
        <v>179</v>
      </c>
      <c r="I13" s="204">
        <v>52</v>
      </c>
      <c r="J13" s="204">
        <v>29</v>
      </c>
      <c r="K13" s="201" t="s">
        <v>263</v>
      </c>
      <c r="L13" s="205">
        <v>45980</v>
      </c>
      <c r="M13" s="204">
        <v>0</v>
      </c>
      <c r="N13" s="204">
        <v>3</v>
      </c>
      <c r="O13" s="204">
        <v>19</v>
      </c>
      <c r="P13" s="201" t="s">
        <v>198</v>
      </c>
      <c r="Q13" s="197"/>
      <c r="R13" s="197"/>
      <c r="S13" s="197"/>
      <c r="T13" s="197"/>
      <c r="U13" s="197"/>
      <c r="V13" s="197"/>
      <c r="W13" s="197"/>
      <c r="X13" s="197"/>
      <c r="Y13" s="197"/>
      <c r="Z13" s="197"/>
      <c r="AA13" s="197"/>
      <c r="AB13" s="197"/>
      <c r="AC13" s="197"/>
      <c r="AD13" s="197"/>
      <c r="AE13" s="197"/>
      <c r="AF13" s="204" t="s">
        <v>309</v>
      </c>
      <c r="AG13" s="204" t="s">
        <v>310</v>
      </c>
      <c r="AH13" s="197"/>
      <c r="AI13" s="197"/>
      <c r="AJ13" s="204" t="s">
        <v>311</v>
      </c>
    </row>
    <row r="14" spans="1:36" x14ac:dyDescent="0.3">
      <c r="A14" s="199" t="s">
        <v>303</v>
      </c>
      <c r="B14" s="200">
        <v>45988</v>
      </c>
      <c r="C14" s="201" t="s">
        <v>85</v>
      </c>
      <c r="D14" s="202" t="s">
        <v>312</v>
      </c>
      <c r="E14" s="201" t="s">
        <v>1</v>
      </c>
      <c r="F14" s="201" t="s">
        <v>262</v>
      </c>
      <c r="G14" s="203">
        <v>0.80449999999999999</v>
      </c>
      <c r="H14" s="204">
        <v>179</v>
      </c>
      <c r="I14" s="204">
        <v>144</v>
      </c>
      <c r="J14" s="204">
        <v>132</v>
      </c>
      <c r="K14" s="201" t="s">
        <v>263</v>
      </c>
      <c r="L14" s="205">
        <v>45976</v>
      </c>
      <c r="M14" s="204">
        <v>0</v>
      </c>
      <c r="N14" s="204">
        <v>0</v>
      </c>
      <c r="O14" s="204">
        <v>1</v>
      </c>
      <c r="P14" s="201" t="s">
        <v>198</v>
      </c>
      <c r="Q14" s="197"/>
      <c r="R14" s="197"/>
      <c r="S14" s="197"/>
      <c r="T14" s="197"/>
      <c r="U14" s="197"/>
      <c r="V14" s="197"/>
      <c r="W14" s="197"/>
      <c r="X14" s="197"/>
      <c r="Y14" s="197"/>
      <c r="Z14" s="197"/>
      <c r="AA14" s="197"/>
      <c r="AB14" s="197"/>
      <c r="AC14" s="197"/>
      <c r="AD14" s="197"/>
      <c r="AE14" s="204" t="s">
        <v>313</v>
      </c>
      <c r="AF14" s="204" t="s">
        <v>314</v>
      </c>
      <c r="AG14" s="197"/>
      <c r="AH14" s="197"/>
      <c r="AI14" s="204" t="s">
        <v>315</v>
      </c>
      <c r="AJ14" s="197"/>
    </row>
    <row r="15" spans="1:36" x14ac:dyDescent="0.3">
      <c r="A15" s="199" t="s">
        <v>303</v>
      </c>
      <c r="B15" s="200">
        <v>45988</v>
      </c>
      <c r="C15" s="201" t="s">
        <v>193</v>
      </c>
      <c r="D15" s="202" t="s">
        <v>316</v>
      </c>
      <c r="E15" s="201" t="s">
        <v>1</v>
      </c>
      <c r="F15" s="201" t="s">
        <v>262</v>
      </c>
      <c r="G15" s="203">
        <v>0.2346</v>
      </c>
      <c r="H15" s="204">
        <v>179</v>
      </c>
      <c r="I15" s="204">
        <v>42</v>
      </c>
      <c r="J15" s="204">
        <v>0</v>
      </c>
      <c r="K15" s="201" t="s">
        <v>263</v>
      </c>
      <c r="L15" s="205">
        <v>45981</v>
      </c>
      <c r="M15" s="204">
        <v>1</v>
      </c>
      <c r="N15" s="204">
        <v>3</v>
      </c>
      <c r="O15" s="204">
        <v>29</v>
      </c>
      <c r="P15" s="201" t="s">
        <v>194</v>
      </c>
      <c r="Q15" s="197"/>
      <c r="R15" s="197"/>
      <c r="S15" s="197"/>
      <c r="T15" s="197"/>
      <c r="U15" s="197"/>
      <c r="V15" s="197"/>
      <c r="W15" s="197"/>
      <c r="X15" s="197"/>
      <c r="Y15" s="197"/>
      <c r="Z15" s="197"/>
      <c r="AA15" s="197"/>
      <c r="AB15" s="197"/>
      <c r="AC15" s="197"/>
      <c r="AD15" s="197"/>
      <c r="AE15" s="204" t="s">
        <v>317</v>
      </c>
      <c r="AF15" s="204" t="s">
        <v>318</v>
      </c>
      <c r="AG15" s="197"/>
      <c r="AH15" s="197"/>
      <c r="AI15" s="197"/>
      <c r="AJ15" s="197"/>
    </row>
    <row r="16" spans="1:36" x14ac:dyDescent="0.3">
      <c r="A16" s="199" t="s">
        <v>303</v>
      </c>
      <c r="B16" s="200">
        <v>45988</v>
      </c>
      <c r="C16" s="201" t="s">
        <v>94</v>
      </c>
      <c r="D16" s="202" t="s">
        <v>319</v>
      </c>
      <c r="E16" s="201" t="s">
        <v>1</v>
      </c>
      <c r="F16" s="201" t="s">
        <v>262</v>
      </c>
      <c r="G16" s="203">
        <v>0.72070000000000001</v>
      </c>
      <c r="H16" s="204">
        <v>179</v>
      </c>
      <c r="I16" s="204">
        <v>129</v>
      </c>
      <c r="J16" s="204">
        <v>89</v>
      </c>
      <c r="K16" s="201" t="s">
        <v>263</v>
      </c>
      <c r="L16" s="205">
        <v>45980</v>
      </c>
      <c r="M16" s="204">
        <v>0</v>
      </c>
      <c r="N16" s="204">
        <v>6</v>
      </c>
      <c r="O16" s="204">
        <v>17</v>
      </c>
      <c r="P16" s="201" t="s">
        <v>198</v>
      </c>
      <c r="Q16" s="197"/>
      <c r="R16" s="197"/>
      <c r="S16" s="197"/>
      <c r="T16" s="197"/>
      <c r="U16" s="197"/>
      <c r="V16" s="197"/>
      <c r="W16" s="197"/>
      <c r="X16" s="197"/>
      <c r="Y16" s="197"/>
      <c r="Z16" s="204" t="s">
        <v>269</v>
      </c>
      <c r="AA16" s="197"/>
      <c r="AB16" s="197"/>
      <c r="AC16" s="197"/>
      <c r="AD16" s="204" t="s">
        <v>320</v>
      </c>
      <c r="AE16" s="204" t="s">
        <v>292</v>
      </c>
      <c r="AF16" s="204" t="s">
        <v>272</v>
      </c>
      <c r="AG16" s="197"/>
      <c r="AH16" s="197"/>
      <c r="AI16" s="204" t="s">
        <v>321</v>
      </c>
      <c r="AJ16" s="197"/>
    </row>
    <row r="17" spans="1:36" x14ac:dyDescent="0.3">
      <c r="A17" s="199" t="s">
        <v>303</v>
      </c>
      <c r="B17" s="200">
        <v>45988</v>
      </c>
      <c r="C17" s="201" t="s">
        <v>97</v>
      </c>
      <c r="D17" s="202" t="s">
        <v>322</v>
      </c>
      <c r="E17" s="201" t="s">
        <v>1</v>
      </c>
      <c r="F17" s="201" t="s">
        <v>262</v>
      </c>
      <c r="G17" s="203">
        <v>0.45250000000000001</v>
      </c>
      <c r="H17" s="204">
        <v>179</v>
      </c>
      <c r="I17" s="204">
        <v>81</v>
      </c>
      <c r="J17" s="204">
        <v>44</v>
      </c>
      <c r="K17" s="201" t="s">
        <v>263</v>
      </c>
      <c r="L17" s="205">
        <v>45981</v>
      </c>
      <c r="M17" s="204">
        <v>1</v>
      </c>
      <c r="N17" s="204">
        <v>3</v>
      </c>
      <c r="O17" s="204">
        <v>20</v>
      </c>
      <c r="P17" s="201" t="s">
        <v>198</v>
      </c>
      <c r="Q17" s="197"/>
      <c r="R17" s="197"/>
      <c r="S17" s="197"/>
      <c r="T17" s="197"/>
      <c r="U17" s="197"/>
      <c r="V17" s="197"/>
      <c r="W17" s="197"/>
      <c r="X17" s="197"/>
      <c r="Y17" s="197"/>
      <c r="Z17" s="204" t="s">
        <v>281</v>
      </c>
      <c r="AA17" s="197"/>
      <c r="AB17" s="197"/>
      <c r="AC17" s="197"/>
      <c r="AD17" s="204" t="s">
        <v>323</v>
      </c>
      <c r="AE17" s="204" t="s">
        <v>324</v>
      </c>
      <c r="AF17" s="204" t="s">
        <v>325</v>
      </c>
      <c r="AG17" s="204" t="s">
        <v>326</v>
      </c>
      <c r="AH17" s="197"/>
      <c r="AI17" s="197"/>
      <c r="AJ17" s="204" t="s">
        <v>302</v>
      </c>
    </row>
    <row r="18" spans="1:36" x14ac:dyDescent="0.3">
      <c r="A18" s="199" t="s">
        <v>327</v>
      </c>
      <c r="B18" s="200">
        <v>45989</v>
      </c>
      <c r="C18" s="201" t="s">
        <v>89</v>
      </c>
      <c r="D18" s="202" t="s">
        <v>306</v>
      </c>
      <c r="E18" s="201" t="s">
        <v>1</v>
      </c>
      <c r="F18" s="201" t="s">
        <v>262</v>
      </c>
      <c r="G18" s="203">
        <v>0.2346</v>
      </c>
      <c r="H18" s="204">
        <v>179</v>
      </c>
      <c r="I18" s="204">
        <v>42</v>
      </c>
      <c r="J18" s="204">
        <v>0</v>
      </c>
      <c r="K18" s="201" t="s">
        <v>263</v>
      </c>
      <c r="L18" s="205">
        <v>45981</v>
      </c>
      <c r="M18" s="204">
        <v>1</v>
      </c>
      <c r="N18" s="204">
        <v>4</v>
      </c>
      <c r="O18" s="204">
        <v>23</v>
      </c>
      <c r="P18" s="201" t="s">
        <v>217</v>
      </c>
      <c r="Q18" s="197"/>
      <c r="R18" s="204" t="s">
        <v>328</v>
      </c>
      <c r="S18" s="197"/>
      <c r="T18" s="197"/>
      <c r="U18" s="197"/>
      <c r="V18" s="197"/>
      <c r="W18" s="197"/>
      <c r="X18" s="197"/>
      <c r="Y18" s="197"/>
      <c r="Z18" s="197"/>
      <c r="AA18" s="197"/>
      <c r="AB18" s="197"/>
      <c r="AC18" s="197"/>
      <c r="AD18" s="204" t="s">
        <v>323</v>
      </c>
      <c r="AE18" s="204" t="s">
        <v>194</v>
      </c>
      <c r="AF18" s="204" t="s">
        <v>329</v>
      </c>
      <c r="AG18" s="197"/>
      <c r="AH18" s="197"/>
      <c r="AI18" s="197"/>
      <c r="AJ18" s="197"/>
    </row>
    <row r="19" spans="1:36" x14ac:dyDescent="0.3">
      <c r="A19" s="199" t="s">
        <v>327</v>
      </c>
      <c r="B19" s="200">
        <v>45989</v>
      </c>
      <c r="C19" s="201" t="s">
        <v>85</v>
      </c>
      <c r="D19" s="202" t="s">
        <v>330</v>
      </c>
      <c r="E19" s="201" t="s">
        <v>1</v>
      </c>
      <c r="F19" s="201" t="s">
        <v>262</v>
      </c>
      <c r="G19" s="203">
        <v>0.25700000000000001</v>
      </c>
      <c r="H19" s="204">
        <v>179</v>
      </c>
      <c r="I19" s="204">
        <v>46</v>
      </c>
      <c r="J19" s="204">
        <v>0</v>
      </c>
      <c r="K19" s="201" t="s">
        <v>263</v>
      </c>
      <c r="L19" s="205">
        <v>45980</v>
      </c>
      <c r="M19" s="204">
        <v>0</v>
      </c>
      <c r="N19" s="204">
        <v>2</v>
      </c>
      <c r="O19" s="204">
        <v>37</v>
      </c>
      <c r="P19" s="201" t="s">
        <v>219</v>
      </c>
      <c r="Q19" s="197"/>
      <c r="R19" s="197"/>
      <c r="S19" s="197"/>
      <c r="T19" s="197"/>
      <c r="U19" s="197"/>
      <c r="V19" s="197"/>
      <c r="W19" s="197"/>
      <c r="X19" s="197"/>
      <c r="Y19" s="197"/>
      <c r="Z19" s="204" t="s">
        <v>295</v>
      </c>
      <c r="AA19" s="197"/>
      <c r="AB19" s="197"/>
      <c r="AC19" s="197"/>
      <c r="AD19" s="197"/>
      <c r="AE19" s="204" t="s">
        <v>194</v>
      </c>
      <c r="AF19" s="204" t="s">
        <v>331</v>
      </c>
      <c r="AG19" s="197"/>
      <c r="AH19" s="197"/>
      <c r="AI19" s="197"/>
      <c r="AJ19" s="197"/>
    </row>
    <row r="20" spans="1:36" x14ac:dyDescent="0.3">
      <c r="A20" s="199" t="s">
        <v>327</v>
      </c>
      <c r="B20" s="200">
        <v>45989</v>
      </c>
      <c r="C20" s="201" t="s">
        <v>94</v>
      </c>
      <c r="D20" s="202" t="s">
        <v>332</v>
      </c>
      <c r="E20" s="201" t="s">
        <v>1</v>
      </c>
      <c r="F20" s="201" t="s">
        <v>262</v>
      </c>
      <c r="G20" s="203">
        <v>0.34639999999999999</v>
      </c>
      <c r="H20" s="204">
        <v>179</v>
      </c>
      <c r="I20" s="204">
        <v>62</v>
      </c>
      <c r="J20" s="204">
        <v>39</v>
      </c>
      <c r="K20" s="201" t="s">
        <v>263</v>
      </c>
      <c r="L20" s="205">
        <v>45980</v>
      </c>
      <c r="M20" s="204">
        <v>0</v>
      </c>
      <c r="N20" s="204">
        <v>6</v>
      </c>
      <c r="O20" s="204">
        <v>12</v>
      </c>
      <c r="P20" s="201" t="s">
        <v>221</v>
      </c>
      <c r="Q20" s="197"/>
      <c r="R20" s="197"/>
      <c r="S20" s="197"/>
      <c r="T20" s="197"/>
      <c r="U20" s="197"/>
      <c r="V20" s="197"/>
      <c r="W20" s="197"/>
      <c r="X20" s="197"/>
      <c r="Y20" s="197"/>
      <c r="Z20" s="204" t="s">
        <v>281</v>
      </c>
      <c r="AA20" s="197"/>
      <c r="AB20" s="197"/>
      <c r="AC20" s="197"/>
      <c r="AD20" s="197"/>
      <c r="AE20" s="204" t="s">
        <v>333</v>
      </c>
      <c r="AF20" s="204" t="s">
        <v>325</v>
      </c>
      <c r="AG20" s="197"/>
      <c r="AH20" s="197"/>
      <c r="AI20" s="204" t="s">
        <v>334</v>
      </c>
      <c r="AJ20" s="197"/>
    </row>
    <row r="21" spans="1:36" x14ac:dyDescent="0.3">
      <c r="A21" s="199" t="s">
        <v>327</v>
      </c>
      <c r="B21" s="200">
        <v>45989</v>
      </c>
      <c r="C21" s="201" t="s">
        <v>97</v>
      </c>
      <c r="D21" s="202" t="s">
        <v>275</v>
      </c>
      <c r="E21" s="201" t="s">
        <v>1</v>
      </c>
      <c r="F21" s="201" t="s">
        <v>262</v>
      </c>
      <c r="G21" s="203">
        <v>0.6089</v>
      </c>
      <c r="H21" s="204">
        <v>179</v>
      </c>
      <c r="I21" s="204">
        <v>109</v>
      </c>
      <c r="J21" s="204">
        <v>68</v>
      </c>
      <c r="K21" s="201" t="s">
        <v>263</v>
      </c>
      <c r="L21" s="205">
        <v>45981</v>
      </c>
      <c r="M21" s="204">
        <v>1</v>
      </c>
      <c r="N21" s="204">
        <v>3</v>
      </c>
      <c r="O21" s="204">
        <v>26</v>
      </c>
      <c r="P21" s="201" t="s">
        <v>225</v>
      </c>
      <c r="Q21" s="197"/>
      <c r="R21" s="197"/>
      <c r="S21" s="197"/>
      <c r="T21" s="197"/>
      <c r="U21" s="197"/>
      <c r="V21" s="197"/>
      <c r="W21" s="197"/>
      <c r="X21" s="204" t="s">
        <v>335</v>
      </c>
      <c r="Y21" s="204" t="s">
        <v>336</v>
      </c>
      <c r="Z21" s="204" t="s">
        <v>281</v>
      </c>
      <c r="AA21" s="197"/>
      <c r="AB21" s="197"/>
      <c r="AC21" s="197"/>
      <c r="AD21" s="204" t="s">
        <v>320</v>
      </c>
      <c r="AE21" s="204" t="s">
        <v>337</v>
      </c>
      <c r="AF21" s="204" t="s">
        <v>325</v>
      </c>
      <c r="AG21" s="197"/>
      <c r="AH21" s="197"/>
      <c r="AI21" s="204" t="s">
        <v>338</v>
      </c>
      <c r="AJ21" s="197"/>
    </row>
    <row r="22" spans="1:36" x14ac:dyDescent="0.3">
      <c r="A22" s="199" t="s">
        <v>327</v>
      </c>
      <c r="B22" s="200">
        <v>45989</v>
      </c>
      <c r="C22" s="201" t="s">
        <v>81</v>
      </c>
      <c r="D22" s="202" t="s">
        <v>339</v>
      </c>
      <c r="E22" s="201" t="s">
        <v>1</v>
      </c>
      <c r="F22" s="201" t="s">
        <v>262</v>
      </c>
      <c r="G22" s="203">
        <v>0.3296</v>
      </c>
      <c r="H22" s="204">
        <v>179</v>
      </c>
      <c r="I22" s="204">
        <v>59</v>
      </c>
      <c r="J22" s="204">
        <v>0</v>
      </c>
      <c r="K22" s="201" t="s">
        <v>263</v>
      </c>
      <c r="L22" s="205">
        <v>45981</v>
      </c>
      <c r="M22" s="204">
        <v>1</v>
      </c>
      <c r="N22" s="204">
        <v>3</v>
      </c>
      <c r="O22" s="204">
        <v>23</v>
      </c>
      <c r="P22" s="201" t="s">
        <v>204</v>
      </c>
      <c r="Q22" s="197"/>
      <c r="R22" s="197"/>
      <c r="S22" s="197"/>
      <c r="T22" s="197"/>
      <c r="U22" s="197"/>
      <c r="V22" s="197"/>
      <c r="W22" s="197"/>
      <c r="X22" s="197"/>
      <c r="Y22" s="197"/>
      <c r="Z22" s="204" t="s">
        <v>295</v>
      </c>
      <c r="AA22" s="197"/>
      <c r="AB22" s="197"/>
      <c r="AC22" s="197"/>
      <c r="AD22" s="204" t="s">
        <v>340</v>
      </c>
      <c r="AE22" s="204" t="s">
        <v>341</v>
      </c>
      <c r="AF22" s="204" t="s">
        <v>342</v>
      </c>
      <c r="AG22" s="197"/>
      <c r="AH22" s="197"/>
      <c r="AI22" s="197"/>
      <c r="AJ22" s="204" t="s">
        <v>302</v>
      </c>
    </row>
    <row r="23" spans="1:36" x14ac:dyDescent="0.3">
      <c r="A23" s="199" t="s">
        <v>327</v>
      </c>
      <c r="B23" s="200">
        <v>45989</v>
      </c>
      <c r="C23" s="201" t="s">
        <v>102</v>
      </c>
      <c r="D23" s="202" t="s">
        <v>343</v>
      </c>
      <c r="E23" s="201" t="s">
        <v>1</v>
      </c>
      <c r="F23" s="201" t="s">
        <v>262</v>
      </c>
      <c r="G23" s="203">
        <v>0.93300000000000005</v>
      </c>
      <c r="H23" s="204">
        <v>179</v>
      </c>
      <c r="I23" s="204">
        <v>167</v>
      </c>
      <c r="J23" s="204">
        <v>116</v>
      </c>
      <c r="K23" s="201" t="s">
        <v>263</v>
      </c>
      <c r="L23" s="205">
        <v>45980</v>
      </c>
      <c r="M23" s="204">
        <v>0</v>
      </c>
      <c r="N23" s="204">
        <v>3</v>
      </c>
      <c r="O23" s="204">
        <v>21</v>
      </c>
      <c r="P23" s="201" t="s">
        <v>82</v>
      </c>
      <c r="Q23" s="197"/>
      <c r="R23" s="197"/>
      <c r="S23" s="197"/>
      <c r="T23" s="197"/>
      <c r="U23" s="197"/>
      <c r="V23" s="197"/>
      <c r="W23" s="197"/>
      <c r="X23" s="197"/>
      <c r="Y23" s="197"/>
      <c r="Z23" s="204" t="s">
        <v>276</v>
      </c>
      <c r="AA23" s="204" t="s">
        <v>344</v>
      </c>
      <c r="AB23" s="197"/>
      <c r="AC23" s="197"/>
      <c r="AD23" s="204" t="s">
        <v>278</v>
      </c>
      <c r="AE23" s="204" t="s">
        <v>292</v>
      </c>
      <c r="AF23" s="204" t="s">
        <v>314</v>
      </c>
      <c r="AG23" s="197"/>
      <c r="AH23" s="197"/>
      <c r="AI23" s="204" t="s">
        <v>345</v>
      </c>
      <c r="AJ23" s="197"/>
    </row>
    <row r="24" spans="1:36" ht="21" x14ac:dyDescent="0.3">
      <c r="A24" s="206" t="s">
        <v>511</v>
      </c>
      <c r="B24" s="207"/>
      <c r="C24" s="206">
        <f>SUBTOTAL(103,JED_CAI_LF_LEGACY[Flt])</f>
        <v>22</v>
      </c>
      <c r="D24" s="206"/>
      <c r="E24" s="206">
        <f>SUBTOTAL(103,JED_CAI_LF_LEGACY[Brd-Off])</f>
        <v>22</v>
      </c>
      <c r="F24" s="206"/>
      <c r="G24" s="208">
        <f>SUBTOTAL(101,JED_CAI_LF_LEGACY[LF%])</f>
        <v>0.53427727272727266</v>
      </c>
      <c r="H24" s="209">
        <f>SUBTOTAL(109,JED_CAI_LF_LEGACY[CAP])</f>
        <v>3938</v>
      </c>
      <c r="I24" s="209">
        <f>SUBTOTAL(109,JED_CAI_LF_LEGACY[BKG(Y)])</f>
        <v>2104</v>
      </c>
      <c r="J24" s="209">
        <f>SUBTOTAL(109,JED_CAI_LF_LEGACY[GRP(Y)])</f>
        <v>1143</v>
      </c>
      <c r="K24" s="206"/>
      <c r="L24" s="207"/>
      <c r="M24" s="209">
        <f>SUBTOTAL(109,JED_CAI_LF_LEGACY[TO-DAY])</f>
        <v>12</v>
      </c>
      <c r="N24" s="209">
        <f>SUBTOTAL(109,JED_CAI_LF_LEGACY[Y-DAY])</f>
        <v>65</v>
      </c>
      <c r="O24" s="209">
        <f>SUBTOTAL(109,JED_CAI_LF_LEGACY[WEEKLY])</f>
        <v>574</v>
      </c>
      <c r="P24" s="210"/>
      <c r="Q24" s="209">
        <f>SUBTOTAL(109,JED_CAI_LF_LEGACY[Y])</f>
        <v>0</v>
      </c>
      <c r="R24" s="209">
        <f>SUBTOTAL(109,JED_CAI_LF_LEGACY[B])</f>
        <v>0</v>
      </c>
      <c r="S24" s="209">
        <f>SUBTOTAL(109,JED_CAI_LF_LEGACY[M])</f>
        <v>0</v>
      </c>
      <c r="T24" s="209">
        <f>SUBTOTAL(109,JED_CAI_LF_LEGACY[H])</f>
        <v>0</v>
      </c>
      <c r="U24" s="209">
        <f>SUBTOTAL(109,JED_CAI_LF_LEGACY[Q])</f>
        <v>0</v>
      </c>
      <c r="V24" s="209">
        <f>SUBTOTAL(109,JED_CAI_LF_LEGACY[K])</f>
        <v>0</v>
      </c>
      <c r="W24" s="209">
        <f>SUBTOTAL(109,JED_CAI_LF_LEGACY[V])</f>
        <v>0</v>
      </c>
      <c r="X24" s="209">
        <f>SUBTOTAL(109,JED_CAI_LF_LEGACY[L])</f>
        <v>0</v>
      </c>
      <c r="Y24" s="209">
        <f>SUBTOTAL(109,JED_CAI_LF_LEGACY[G])</f>
        <v>0</v>
      </c>
      <c r="Z24" s="209">
        <f>SUBTOTAL(109,JED_CAI_LF_LEGACY[S])</f>
        <v>0</v>
      </c>
      <c r="AA24" s="209">
        <f>SUBTOTAL(109,JED_CAI_LF_LEGACY[W])</f>
        <v>0</v>
      </c>
      <c r="AB24" s="209">
        <f>SUBTOTAL(109,JED_CAI_LF_LEGACY[T])</f>
        <v>0</v>
      </c>
      <c r="AC24" s="209">
        <f>SUBTOTAL(109,JED_CAI_LF_LEGACY[X])</f>
        <v>0</v>
      </c>
      <c r="AD24" s="209">
        <f>SUBTOTAL(109,JED_CAI_LF_LEGACY[U])</f>
        <v>0</v>
      </c>
      <c r="AE24" s="209">
        <f>SUBTOTAL(109,JED_CAI_LF_LEGACY[O])</f>
        <v>0</v>
      </c>
      <c r="AF24" s="209">
        <f>SUBTOTAL(109,JED_CAI_LF_LEGACY[I])</f>
        <v>0</v>
      </c>
      <c r="AG24" s="209">
        <f>SUBTOTAL(109,JED_CAI_LF_LEGACY[E])</f>
        <v>0</v>
      </c>
      <c r="AH24" s="209">
        <f>SUBTOTAL(109,JED_CAI_LF_LEGACY[A])</f>
        <v>0</v>
      </c>
      <c r="AI24" s="209">
        <f>SUBTOTAL(109,JED_CAI_LF_LEGACY[P])</f>
        <v>0</v>
      </c>
      <c r="AJ24" s="209">
        <f>SUBTOTAL(103,JED_CAI_LF_LEGACY[N])</f>
        <v>5</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98"/>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85.5546875" hidden="1" customWidth="1"/>
  </cols>
  <sheetData>
    <row r="1" spans="1:8" ht="18" x14ac:dyDescent="0.3">
      <c r="A1" s="125" t="s">
        <v>346</v>
      </c>
      <c r="B1" s="126" t="s">
        <v>8</v>
      </c>
      <c r="C1" s="126" t="s">
        <v>9</v>
      </c>
      <c r="D1" s="126" t="s">
        <v>347</v>
      </c>
      <c r="E1" s="126" t="s">
        <v>10</v>
      </c>
      <c r="F1" s="126" t="s">
        <v>11</v>
      </c>
      <c r="G1" s="126" t="s">
        <v>12</v>
      </c>
      <c r="H1" s="127" t="s">
        <v>13</v>
      </c>
    </row>
    <row r="2" spans="1:8" ht="19.8" customHeight="1" x14ac:dyDescent="0.3">
      <c r="A2" s="128" t="s">
        <v>348</v>
      </c>
      <c r="B2" s="129" t="s">
        <v>26</v>
      </c>
      <c r="C2" s="130" t="s">
        <v>27</v>
      </c>
      <c r="D2" s="129" t="s">
        <v>1</v>
      </c>
      <c r="E2" s="129" t="s">
        <v>349</v>
      </c>
      <c r="F2" s="129" t="s">
        <v>28</v>
      </c>
      <c r="G2" s="131">
        <v>1</v>
      </c>
      <c r="H2" s="132">
        <v>389</v>
      </c>
    </row>
    <row r="3" spans="1:8" ht="19.8" customHeight="1" x14ac:dyDescent="0.3">
      <c r="A3" s="128" t="s">
        <v>348</v>
      </c>
      <c r="B3" s="129" t="s">
        <v>26</v>
      </c>
      <c r="C3" s="130" t="s">
        <v>36</v>
      </c>
      <c r="D3" s="129" t="s">
        <v>1</v>
      </c>
      <c r="E3" s="129" t="s">
        <v>350</v>
      </c>
      <c r="F3" s="129" t="s">
        <v>28</v>
      </c>
      <c r="G3" s="131">
        <v>3</v>
      </c>
      <c r="H3" s="132">
        <v>419</v>
      </c>
    </row>
    <row r="4" spans="1:8" ht="19.8" customHeight="1" x14ac:dyDescent="0.3">
      <c r="A4" s="128" t="s">
        <v>348</v>
      </c>
      <c r="B4" s="129" t="s">
        <v>26</v>
      </c>
      <c r="C4" s="130" t="s">
        <v>41</v>
      </c>
      <c r="D4" s="129" t="s">
        <v>1</v>
      </c>
      <c r="E4" s="129" t="s">
        <v>351</v>
      </c>
      <c r="F4" s="129" t="s">
        <v>28</v>
      </c>
      <c r="G4" s="131">
        <v>7</v>
      </c>
      <c r="H4" s="132">
        <v>419</v>
      </c>
    </row>
    <row r="5" spans="1:8" ht="19.8" customHeight="1" x14ac:dyDescent="0.3">
      <c r="A5" s="128" t="s">
        <v>348</v>
      </c>
      <c r="B5" s="129" t="s">
        <v>49</v>
      </c>
      <c r="C5" s="130" t="s">
        <v>50</v>
      </c>
      <c r="D5" s="129" t="s">
        <v>1</v>
      </c>
      <c r="E5" s="129" t="s">
        <v>352</v>
      </c>
      <c r="F5" s="129" t="s">
        <v>51</v>
      </c>
      <c r="G5" s="131">
        <v>3</v>
      </c>
      <c r="H5" s="132">
        <v>449</v>
      </c>
    </row>
    <row r="6" spans="1:8" ht="19.8" customHeight="1" x14ac:dyDescent="0.3">
      <c r="A6" s="128" t="s">
        <v>348</v>
      </c>
      <c r="B6" s="129" t="s">
        <v>49</v>
      </c>
      <c r="C6" s="130" t="s">
        <v>58</v>
      </c>
      <c r="D6" s="129" t="s">
        <v>1</v>
      </c>
      <c r="E6" s="129" t="s">
        <v>353</v>
      </c>
      <c r="F6" s="129" t="s">
        <v>51</v>
      </c>
      <c r="G6" s="131">
        <v>2</v>
      </c>
      <c r="H6" s="132">
        <v>449</v>
      </c>
    </row>
    <row r="7" spans="1:8" ht="19.8" customHeight="1" x14ac:dyDescent="0.3">
      <c r="A7" s="128" t="s">
        <v>348</v>
      </c>
      <c r="B7" s="129" t="s">
        <v>49</v>
      </c>
      <c r="C7" s="130" t="s">
        <v>61</v>
      </c>
      <c r="D7" s="129" t="s">
        <v>1</v>
      </c>
      <c r="E7" s="129" t="s">
        <v>291</v>
      </c>
      <c r="F7" s="129" t="s">
        <v>51</v>
      </c>
      <c r="G7" s="131">
        <v>1</v>
      </c>
      <c r="H7" s="132">
        <v>449</v>
      </c>
    </row>
    <row r="8" spans="1:8" ht="19.8" customHeight="1" x14ac:dyDescent="0.3">
      <c r="A8" s="128" t="s">
        <v>348</v>
      </c>
      <c r="B8" s="129" t="s">
        <v>49</v>
      </c>
      <c r="C8" s="130" t="s">
        <v>63</v>
      </c>
      <c r="D8" s="129" t="s">
        <v>1</v>
      </c>
      <c r="E8" s="129" t="s">
        <v>354</v>
      </c>
      <c r="F8" s="129" t="s">
        <v>51</v>
      </c>
      <c r="G8" s="131">
        <v>8</v>
      </c>
      <c r="H8" s="132">
        <v>449</v>
      </c>
    </row>
    <row r="9" spans="1:8" ht="19.8" customHeight="1" x14ac:dyDescent="0.3">
      <c r="A9" s="128" t="s">
        <v>348</v>
      </c>
      <c r="B9" s="129" t="s">
        <v>49</v>
      </c>
      <c r="C9" s="130" t="s">
        <v>66</v>
      </c>
      <c r="D9" s="129" t="s">
        <v>1</v>
      </c>
      <c r="E9" s="129" t="s">
        <v>355</v>
      </c>
      <c r="F9" s="129" t="s">
        <v>51</v>
      </c>
      <c r="G9" s="131">
        <v>5</v>
      </c>
      <c r="H9" s="132">
        <v>449</v>
      </c>
    </row>
    <row r="10" spans="1:8" ht="19.8" customHeight="1" x14ac:dyDescent="0.3">
      <c r="A10" s="128" t="s">
        <v>348</v>
      </c>
      <c r="B10" s="129" t="s">
        <v>26</v>
      </c>
      <c r="C10" s="130" t="s">
        <v>44</v>
      </c>
      <c r="D10" s="129" t="s">
        <v>1</v>
      </c>
      <c r="E10" s="129" t="s">
        <v>356</v>
      </c>
      <c r="F10" s="129" t="s">
        <v>28</v>
      </c>
      <c r="G10" s="131">
        <v>10</v>
      </c>
      <c r="H10" s="132">
        <v>459</v>
      </c>
    </row>
    <row r="11" spans="1:8" ht="19.8" customHeight="1" x14ac:dyDescent="0.3">
      <c r="A11" s="133" t="s">
        <v>348</v>
      </c>
      <c r="B11" s="134" t="s">
        <v>77</v>
      </c>
      <c r="C11" s="135" t="s">
        <v>78</v>
      </c>
      <c r="D11" s="134" t="s">
        <v>1</v>
      </c>
      <c r="E11" s="134" t="s">
        <v>261</v>
      </c>
      <c r="F11" s="134" t="s">
        <v>79</v>
      </c>
      <c r="G11" s="136">
        <v>1</v>
      </c>
      <c r="H11" s="137">
        <v>471</v>
      </c>
    </row>
    <row r="12" spans="1:8" ht="19.8" customHeight="1" x14ac:dyDescent="0.3">
      <c r="A12" s="138">
        <v>45986</v>
      </c>
      <c r="B12" s="134" t="s">
        <v>77</v>
      </c>
      <c r="C12" s="135" t="s">
        <v>84</v>
      </c>
      <c r="D12" s="134" t="s">
        <v>1</v>
      </c>
      <c r="E12" s="139">
        <v>1.96875</v>
      </c>
      <c r="F12" s="134" t="s">
        <v>79</v>
      </c>
      <c r="G12" s="136">
        <v>1</v>
      </c>
      <c r="H12" s="137">
        <v>471</v>
      </c>
    </row>
    <row r="13" spans="1:8" ht="19.8" customHeight="1" x14ac:dyDescent="0.3">
      <c r="A13" s="140">
        <v>45986</v>
      </c>
      <c r="B13" s="129" t="s">
        <v>49</v>
      </c>
      <c r="C13" s="130" t="s">
        <v>69</v>
      </c>
      <c r="D13" s="129" t="s">
        <v>1</v>
      </c>
      <c r="E13" s="141">
        <v>1.256944444444444</v>
      </c>
      <c r="F13" s="129" t="s">
        <v>51</v>
      </c>
      <c r="G13" s="131">
        <v>9</v>
      </c>
      <c r="H13" s="132">
        <v>489</v>
      </c>
    </row>
    <row r="14" spans="1:8" ht="19.8" customHeight="1" x14ac:dyDescent="0.3">
      <c r="A14" s="140">
        <v>45986</v>
      </c>
      <c r="B14" s="129" t="s">
        <v>49</v>
      </c>
      <c r="C14" s="130" t="s">
        <v>75</v>
      </c>
      <c r="D14" s="129" t="s">
        <v>1</v>
      </c>
      <c r="E14" s="141">
        <v>1.395833333333333</v>
      </c>
      <c r="F14" s="129" t="s">
        <v>51</v>
      </c>
      <c r="G14" s="131">
        <v>2</v>
      </c>
      <c r="H14" s="132">
        <v>489</v>
      </c>
    </row>
    <row r="15" spans="1:8" ht="19.8" customHeight="1" x14ac:dyDescent="0.3">
      <c r="A15" s="140">
        <v>45986</v>
      </c>
      <c r="B15" s="129" t="s">
        <v>49</v>
      </c>
      <c r="C15" s="130" t="s">
        <v>76</v>
      </c>
      <c r="D15" s="129" t="s">
        <v>1</v>
      </c>
      <c r="E15" s="141">
        <v>1.302083333333333</v>
      </c>
      <c r="F15" s="129" t="s">
        <v>51</v>
      </c>
      <c r="G15" s="131">
        <v>9</v>
      </c>
      <c r="H15" s="132">
        <v>489</v>
      </c>
    </row>
    <row r="16" spans="1:8" ht="19.8" customHeight="1" x14ac:dyDescent="0.3">
      <c r="A16" s="138">
        <v>45986</v>
      </c>
      <c r="B16" s="134" t="s">
        <v>77</v>
      </c>
      <c r="C16" s="135" t="s">
        <v>87</v>
      </c>
      <c r="D16" s="134" t="s">
        <v>1</v>
      </c>
      <c r="E16" s="139">
        <v>1.9340277777777779</v>
      </c>
      <c r="F16" s="134" t="s">
        <v>79</v>
      </c>
      <c r="G16" s="136">
        <v>1</v>
      </c>
      <c r="H16" s="137">
        <v>526</v>
      </c>
    </row>
    <row r="17" spans="1:8" ht="19.8" customHeight="1" x14ac:dyDescent="0.3">
      <c r="A17" s="138">
        <v>45986</v>
      </c>
      <c r="B17" s="134" t="s">
        <v>77</v>
      </c>
      <c r="C17" s="135" t="s">
        <v>92</v>
      </c>
      <c r="D17" s="134" t="s">
        <v>1</v>
      </c>
      <c r="E17" s="139">
        <v>1.614583333333333</v>
      </c>
      <c r="F17" s="134" t="s">
        <v>79</v>
      </c>
      <c r="G17" s="136">
        <v>4</v>
      </c>
      <c r="H17" s="137">
        <v>526</v>
      </c>
    </row>
    <row r="18" spans="1:8" ht="19.8" customHeight="1" x14ac:dyDescent="0.3">
      <c r="A18" s="140">
        <v>45986</v>
      </c>
      <c r="B18" s="129" t="s">
        <v>104</v>
      </c>
      <c r="C18" s="130" t="s">
        <v>105</v>
      </c>
      <c r="D18" s="129" t="s">
        <v>1</v>
      </c>
      <c r="E18" s="141">
        <v>1.2222222222222221</v>
      </c>
      <c r="F18" s="129" t="s">
        <v>106</v>
      </c>
      <c r="G18" s="131">
        <v>9</v>
      </c>
      <c r="H18" s="132">
        <v>536</v>
      </c>
    </row>
    <row r="19" spans="1:8" ht="19.8" customHeight="1" x14ac:dyDescent="0.3">
      <c r="A19" s="140">
        <v>45986</v>
      </c>
      <c r="B19" s="129" t="s">
        <v>26</v>
      </c>
      <c r="C19" s="130" t="s">
        <v>27</v>
      </c>
      <c r="D19" s="129" t="s">
        <v>1</v>
      </c>
      <c r="E19" s="141">
        <v>1.1284722222222221</v>
      </c>
      <c r="F19" s="129" t="s">
        <v>31</v>
      </c>
      <c r="G19" s="131">
        <v>1</v>
      </c>
      <c r="H19" s="132">
        <v>539</v>
      </c>
    </row>
    <row r="20" spans="1:8" ht="19.8" customHeight="1" x14ac:dyDescent="0.3">
      <c r="A20" s="140">
        <v>45986</v>
      </c>
      <c r="B20" s="129" t="s">
        <v>49</v>
      </c>
      <c r="C20" s="130" t="s">
        <v>50</v>
      </c>
      <c r="D20" s="129" t="s">
        <v>1</v>
      </c>
      <c r="E20" s="141">
        <v>1.9027777777777779</v>
      </c>
      <c r="F20" s="129" t="s">
        <v>54</v>
      </c>
      <c r="G20" s="131">
        <v>3</v>
      </c>
      <c r="H20" s="132">
        <v>549</v>
      </c>
    </row>
    <row r="21" spans="1:8" ht="19.8" customHeight="1" x14ac:dyDescent="0.3">
      <c r="A21" s="140">
        <v>45986</v>
      </c>
      <c r="B21" s="129" t="s">
        <v>49</v>
      </c>
      <c r="C21" s="130" t="s">
        <v>58</v>
      </c>
      <c r="D21" s="129" t="s">
        <v>1</v>
      </c>
      <c r="E21" s="141">
        <v>1.645833333333333</v>
      </c>
      <c r="F21" s="129" t="s">
        <v>54</v>
      </c>
      <c r="G21" s="131">
        <v>2</v>
      </c>
      <c r="H21" s="132">
        <v>549</v>
      </c>
    </row>
    <row r="22" spans="1:8" ht="19.8" customHeight="1" x14ac:dyDescent="0.3">
      <c r="A22" s="140">
        <v>45986</v>
      </c>
      <c r="B22" s="129" t="s">
        <v>49</v>
      </c>
      <c r="C22" s="130" t="s">
        <v>61</v>
      </c>
      <c r="D22" s="129" t="s">
        <v>1</v>
      </c>
      <c r="E22" s="141">
        <v>1.5173611111111109</v>
      </c>
      <c r="F22" s="129" t="s">
        <v>54</v>
      </c>
      <c r="G22" s="131">
        <v>1</v>
      </c>
      <c r="H22" s="132">
        <v>549</v>
      </c>
    </row>
    <row r="23" spans="1:8" ht="19.8" customHeight="1" x14ac:dyDescent="0.3">
      <c r="A23" s="140">
        <v>45986</v>
      </c>
      <c r="B23" s="129" t="s">
        <v>49</v>
      </c>
      <c r="C23" s="130" t="s">
        <v>63</v>
      </c>
      <c r="D23" s="129" t="s">
        <v>1</v>
      </c>
      <c r="E23" s="141">
        <v>1.854166666666667</v>
      </c>
      <c r="F23" s="129" t="s">
        <v>54</v>
      </c>
      <c r="G23" s="131">
        <v>8</v>
      </c>
      <c r="H23" s="132">
        <v>549</v>
      </c>
    </row>
    <row r="24" spans="1:8" ht="19.8" customHeight="1" x14ac:dyDescent="0.3">
      <c r="A24" s="140">
        <v>45986</v>
      </c>
      <c r="B24" s="129" t="s">
        <v>49</v>
      </c>
      <c r="C24" s="130" t="s">
        <v>66</v>
      </c>
      <c r="D24" s="129" t="s">
        <v>1</v>
      </c>
      <c r="E24" s="141">
        <v>1.7986111111111109</v>
      </c>
      <c r="F24" s="129" t="s">
        <v>54</v>
      </c>
      <c r="G24" s="131">
        <v>5</v>
      </c>
      <c r="H24" s="132">
        <v>549</v>
      </c>
    </row>
    <row r="25" spans="1:8" ht="19.8" customHeight="1" x14ac:dyDescent="0.3">
      <c r="A25" s="140">
        <v>45986</v>
      </c>
      <c r="B25" s="129" t="s">
        <v>26</v>
      </c>
      <c r="C25" s="130" t="s">
        <v>36</v>
      </c>
      <c r="D25" s="129" t="s">
        <v>1</v>
      </c>
      <c r="E25" s="141">
        <v>1.302083333333333</v>
      </c>
      <c r="F25" s="129" t="s">
        <v>31</v>
      </c>
      <c r="G25" s="131">
        <v>3</v>
      </c>
      <c r="H25" s="132">
        <v>569</v>
      </c>
    </row>
    <row r="26" spans="1:8" ht="19.8" customHeight="1" x14ac:dyDescent="0.3">
      <c r="A26" s="140">
        <v>45986</v>
      </c>
      <c r="B26" s="129" t="s">
        <v>26</v>
      </c>
      <c r="C26" s="130" t="s">
        <v>41</v>
      </c>
      <c r="D26" s="129" t="s">
        <v>1</v>
      </c>
      <c r="E26" s="141">
        <v>1.788194444444444</v>
      </c>
      <c r="F26" s="129" t="s">
        <v>31</v>
      </c>
      <c r="G26" s="131">
        <v>7</v>
      </c>
      <c r="H26" s="132">
        <v>569</v>
      </c>
    </row>
    <row r="27" spans="1:8" ht="19.8" customHeight="1" x14ac:dyDescent="0.3">
      <c r="A27" s="140">
        <v>45986</v>
      </c>
      <c r="B27" s="129" t="s">
        <v>49</v>
      </c>
      <c r="C27" s="130" t="s">
        <v>69</v>
      </c>
      <c r="D27" s="129" t="s">
        <v>1</v>
      </c>
      <c r="E27" s="141">
        <v>1.256944444444444</v>
      </c>
      <c r="F27" s="129" t="s">
        <v>54</v>
      </c>
      <c r="G27" s="131">
        <v>9</v>
      </c>
      <c r="H27" s="132">
        <v>589</v>
      </c>
    </row>
    <row r="28" spans="1:8" ht="19.8" customHeight="1" x14ac:dyDescent="0.3">
      <c r="A28" s="140">
        <v>45986</v>
      </c>
      <c r="B28" s="129" t="s">
        <v>49</v>
      </c>
      <c r="C28" s="130" t="s">
        <v>75</v>
      </c>
      <c r="D28" s="129" t="s">
        <v>1</v>
      </c>
      <c r="E28" s="141">
        <v>1.395833333333333</v>
      </c>
      <c r="F28" s="129" t="s">
        <v>54</v>
      </c>
      <c r="G28" s="131">
        <v>2</v>
      </c>
      <c r="H28" s="132">
        <v>589</v>
      </c>
    </row>
    <row r="29" spans="1:8" ht="19.8" customHeight="1" x14ac:dyDescent="0.3">
      <c r="A29" s="140">
        <v>45986</v>
      </c>
      <c r="B29" s="129" t="s">
        <v>49</v>
      </c>
      <c r="C29" s="130" t="s">
        <v>76</v>
      </c>
      <c r="D29" s="129" t="s">
        <v>1</v>
      </c>
      <c r="E29" s="141">
        <v>1.302083333333333</v>
      </c>
      <c r="F29" s="129" t="s">
        <v>54</v>
      </c>
      <c r="G29" s="131">
        <v>9</v>
      </c>
      <c r="H29" s="132">
        <v>589</v>
      </c>
    </row>
    <row r="30" spans="1:8" ht="19.8" customHeight="1" x14ac:dyDescent="0.3">
      <c r="A30" s="140">
        <v>45986</v>
      </c>
      <c r="B30" s="129" t="s">
        <v>110</v>
      </c>
      <c r="C30" s="130" t="s">
        <v>111</v>
      </c>
      <c r="D30" s="129" t="s">
        <v>1</v>
      </c>
      <c r="E30" s="141">
        <v>1.274305555555556</v>
      </c>
      <c r="F30" s="129" t="s">
        <v>112</v>
      </c>
      <c r="G30" s="131">
        <v>9</v>
      </c>
      <c r="H30" s="132">
        <v>595</v>
      </c>
    </row>
    <row r="31" spans="1:8" ht="19.8" customHeight="1" x14ac:dyDescent="0.3">
      <c r="A31" s="140">
        <v>45986</v>
      </c>
      <c r="B31" s="129" t="s">
        <v>118</v>
      </c>
      <c r="C31" s="130" t="s">
        <v>119</v>
      </c>
      <c r="D31" s="129" t="s">
        <v>1</v>
      </c>
      <c r="E31" s="141">
        <v>1.666666666666667</v>
      </c>
      <c r="F31" s="129" t="s">
        <v>112</v>
      </c>
      <c r="G31" s="131">
        <v>6</v>
      </c>
      <c r="H31" s="132">
        <v>599</v>
      </c>
    </row>
    <row r="32" spans="1:8" ht="19.8" customHeight="1" x14ac:dyDescent="0.3">
      <c r="A32" s="140">
        <v>45986</v>
      </c>
      <c r="B32" s="129" t="s">
        <v>118</v>
      </c>
      <c r="C32" s="130" t="s">
        <v>122</v>
      </c>
      <c r="D32" s="129" t="s">
        <v>1</v>
      </c>
      <c r="E32" s="141">
        <v>1.364583333333333</v>
      </c>
      <c r="F32" s="129" t="s">
        <v>112</v>
      </c>
      <c r="G32" s="131">
        <v>7</v>
      </c>
      <c r="H32" s="132">
        <v>599</v>
      </c>
    </row>
    <row r="33" spans="1:8" ht="19.8" customHeight="1" x14ac:dyDescent="0.3">
      <c r="A33" s="140">
        <v>45986</v>
      </c>
      <c r="B33" s="129" t="s">
        <v>118</v>
      </c>
      <c r="C33" s="130" t="s">
        <v>123</v>
      </c>
      <c r="D33" s="129" t="s">
        <v>1</v>
      </c>
      <c r="E33" s="141">
        <v>1.0451388888888891</v>
      </c>
      <c r="F33" s="129" t="s">
        <v>112</v>
      </c>
      <c r="G33" s="131">
        <v>6</v>
      </c>
      <c r="H33" s="132">
        <v>599</v>
      </c>
    </row>
    <row r="34" spans="1:8" ht="19.8" customHeight="1" x14ac:dyDescent="0.3">
      <c r="A34" s="140">
        <v>45986</v>
      </c>
      <c r="B34" s="129" t="s">
        <v>26</v>
      </c>
      <c r="C34" s="130" t="s">
        <v>44</v>
      </c>
      <c r="D34" s="129" t="s">
        <v>1</v>
      </c>
      <c r="E34" s="141">
        <v>1.8888888888888891</v>
      </c>
      <c r="F34" s="129" t="s">
        <v>31</v>
      </c>
      <c r="G34" s="131">
        <v>10</v>
      </c>
      <c r="H34" s="132">
        <v>609</v>
      </c>
    </row>
    <row r="35" spans="1:8" ht="19.8" customHeight="1" x14ac:dyDescent="0.3">
      <c r="A35" s="140">
        <v>45986</v>
      </c>
      <c r="B35" s="129" t="s">
        <v>49</v>
      </c>
      <c r="C35" s="130" t="s">
        <v>50</v>
      </c>
      <c r="D35" s="129" t="s">
        <v>1</v>
      </c>
      <c r="E35" s="141">
        <v>1.9027777777777779</v>
      </c>
      <c r="F35" s="129" t="s">
        <v>56</v>
      </c>
      <c r="G35" s="131">
        <v>3</v>
      </c>
      <c r="H35" s="132">
        <v>639</v>
      </c>
    </row>
    <row r="36" spans="1:8" ht="19.8" customHeight="1" x14ac:dyDescent="0.3">
      <c r="A36" s="140">
        <v>45986</v>
      </c>
      <c r="B36" s="129" t="s">
        <v>49</v>
      </c>
      <c r="C36" s="130" t="s">
        <v>58</v>
      </c>
      <c r="D36" s="129" t="s">
        <v>1</v>
      </c>
      <c r="E36" s="141">
        <v>1.645833333333333</v>
      </c>
      <c r="F36" s="129" t="s">
        <v>56</v>
      </c>
      <c r="G36" s="131">
        <v>2</v>
      </c>
      <c r="H36" s="132">
        <v>639</v>
      </c>
    </row>
    <row r="37" spans="1:8" ht="19.8" customHeight="1" x14ac:dyDescent="0.3">
      <c r="A37" s="140">
        <v>45986</v>
      </c>
      <c r="B37" s="129" t="s">
        <v>49</v>
      </c>
      <c r="C37" s="130" t="s">
        <v>61</v>
      </c>
      <c r="D37" s="129" t="s">
        <v>1</v>
      </c>
      <c r="E37" s="141">
        <v>1.5173611111111109</v>
      </c>
      <c r="F37" s="129" t="s">
        <v>56</v>
      </c>
      <c r="G37" s="131">
        <v>1</v>
      </c>
      <c r="H37" s="132">
        <v>639</v>
      </c>
    </row>
    <row r="38" spans="1:8" ht="19.8" customHeight="1" x14ac:dyDescent="0.3">
      <c r="A38" s="140">
        <v>45986</v>
      </c>
      <c r="B38" s="129" t="s">
        <v>49</v>
      </c>
      <c r="C38" s="130" t="s">
        <v>63</v>
      </c>
      <c r="D38" s="129" t="s">
        <v>1</v>
      </c>
      <c r="E38" s="141">
        <v>1.854166666666667</v>
      </c>
      <c r="F38" s="129" t="s">
        <v>56</v>
      </c>
      <c r="G38" s="131">
        <v>8</v>
      </c>
      <c r="H38" s="132">
        <v>639</v>
      </c>
    </row>
    <row r="39" spans="1:8" ht="19.8" customHeight="1" x14ac:dyDescent="0.3">
      <c r="A39" s="140">
        <v>45986</v>
      </c>
      <c r="B39" s="129" t="s">
        <v>49</v>
      </c>
      <c r="C39" s="130" t="s">
        <v>66</v>
      </c>
      <c r="D39" s="129" t="s">
        <v>1</v>
      </c>
      <c r="E39" s="141">
        <v>1.7986111111111109</v>
      </c>
      <c r="F39" s="129" t="s">
        <v>56</v>
      </c>
      <c r="G39" s="131">
        <v>5</v>
      </c>
      <c r="H39" s="132">
        <v>639</v>
      </c>
    </row>
    <row r="40" spans="1:8" ht="19.8" customHeight="1" x14ac:dyDescent="0.3">
      <c r="A40" s="140">
        <v>45986</v>
      </c>
      <c r="B40" s="129" t="s">
        <v>110</v>
      </c>
      <c r="C40" s="130" t="s">
        <v>115</v>
      </c>
      <c r="D40" s="129" t="s">
        <v>1</v>
      </c>
      <c r="E40" s="141">
        <v>1.739583333333333</v>
      </c>
      <c r="F40" s="129" t="s">
        <v>112</v>
      </c>
      <c r="G40" s="131">
        <v>9</v>
      </c>
      <c r="H40" s="132">
        <v>645</v>
      </c>
    </row>
    <row r="41" spans="1:8" ht="19.8" customHeight="1" x14ac:dyDescent="0.3">
      <c r="A41" s="140">
        <v>45986</v>
      </c>
      <c r="B41" s="129" t="s">
        <v>104</v>
      </c>
      <c r="C41" s="130" t="s">
        <v>105</v>
      </c>
      <c r="D41" s="129" t="s">
        <v>1</v>
      </c>
      <c r="E41" s="141">
        <v>1.2222222222222221</v>
      </c>
      <c r="F41" s="129" t="s">
        <v>34</v>
      </c>
      <c r="G41" s="131">
        <v>9</v>
      </c>
      <c r="H41" s="132">
        <v>660</v>
      </c>
    </row>
    <row r="42" spans="1:8" ht="19.8" customHeight="1" x14ac:dyDescent="0.3">
      <c r="A42" s="140">
        <v>45986</v>
      </c>
      <c r="B42" s="129" t="s">
        <v>49</v>
      </c>
      <c r="C42" s="130" t="s">
        <v>69</v>
      </c>
      <c r="D42" s="129" t="s">
        <v>1</v>
      </c>
      <c r="E42" s="141">
        <v>1.256944444444444</v>
      </c>
      <c r="F42" s="129" t="s">
        <v>56</v>
      </c>
      <c r="G42" s="131">
        <v>9</v>
      </c>
      <c r="H42" s="132">
        <v>679</v>
      </c>
    </row>
    <row r="43" spans="1:8" ht="19.8" customHeight="1" x14ac:dyDescent="0.3">
      <c r="A43" s="140">
        <v>45986</v>
      </c>
      <c r="B43" s="129" t="s">
        <v>49</v>
      </c>
      <c r="C43" s="130" t="s">
        <v>75</v>
      </c>
      <c r="D43" s="129" t="s">
        <v>1</v>
      </c>
      <c r="E43" s="141">
        <v>1.395833333333333</v>
      </c>
      <c r="F43" s="129" t="s">
        <v>56</v>
      </c>
      <c r="G43" s="131">
        <v>2</v>
      </c>
      <c r="H43" s="132">
        <v>679</v>
      </c>
    </row>
    <row r="44" spans="1:8" ht="19.8" customHeight="1" x14ac:dyDescent="0.3">
      <c r="A44" s="140">
        <v>45986</v>
      </c>
      <c r="B44" s="129" t="s">
        <v>49</v>
      </c>
      <c r="C44" s="130" t="s">
        <v>76</v>
      </c>
      <c r="D44" s="129" t="s">
        <v>1</v>
      </c>
      <c r="E44" s="141">
        <v>1.302083333333333</v>
      </c>
      <c r="F44" s="129" t="s">
        <v>56</v>
      </c>
      <c r="G44" s="131">
        <v>9</v>
      </c>
      <c r="H44" s="132">
        <v>679</v>
      </c>
    </row>
    <row r="45" spans="1:8" ht="19.8" customHeight="1" x14ac:dyDescent="0.3">
      <c r="A45" s="140">
        <v>45986</v>
      </c>
      <c r="B45" s="129" t="s">
        <v>125</v>
      </c>
      <c r="C45" s="130" t="s">
        <v>126</v>
      </c>
      <c r="D45" s="129" t="s">
        <v>1</v>
      </c>
      <c r="E45" s="141">
        <v>1.3784722222222221</v>
      </c>
      <c r="F45" s="129" t="s">
        <v>127</v>
      </c>
      <c r="G45" s="131">
        <v>9</v>
      </c>
      <c r="H45" s="132">
        <v>935</v>
      </c>
    </row>
    <row r="46" spans="1:8" ht="19.8" customHeight="1" x14ac:dyDescent="0.3">
      <c r="A46" s="140">
        <v>45986</v>
      </c>
      <c r="B46" s="129" t="s">
        <v>125</v>
      </c>
      <c r="C46" s="130" t="s">
        <v>132</v>
      </c>
      <c r="D46" s="129" t="s">
        <v>1</v>
      </c>
      <c r="E46" s="141">
        <v>1.006944444444444</v>
      </c>
      <c r="F46" s="129" t="s">
        <v>127</v>
      </c>
      <c r="G46" s="131">
        <v>9</v>
      </c>
      <c r="H46" s="132">
        <v>935</v>
      </c>
    </row>
    <row r="47" spans="1:8" ht="19.8" customHeight="1" x14ac:dyDescent="0.3">
      <c r="A47" s="140">
        <v>45986</v>
      </c>
      <c r="B47" s="129" t="s">
        <v>125</v>
      </c>
      <c r="C47" s="130" t="s">
        <v>133</v>
      </c>
      <c r="D47" s="129" t="s">
        <v>1</v>
      </c>
      <c r="E47" s="141">
        <v>1.239583333333333</v>
      </c>
      <c r="F47" s="129" t="s">
        <v>127</v>
      </c>
      <c r="G47" s="131">
        <v>9</v>
      </c>
      <c r="H47" s="132">
        <v>935</v>
      </c>
    </row>
    <row r="48" spans="1:8" ht="19.8" customHeight="1" x14ac:dyDescent="0.3">
      <c r="A48" s="140">
        <v>45986</v>
      </c>
      <c r="B48" s="129" t="s">
        <v>125</v>
      </c>
      <c r="C48" s="130" t="s">
        <v>134</v>
      </c>
      <c r="D48" s="129" t="s">
        <v>1</v>
      </c>
      <c r="E48" s="141">
        <v>1.1423611111111109</v>
      </c>
      <c r="F48" s="129" t="s">
        <v>127</v>
      </c>
      <c r="G48" s="131">
        <v>9</v>
      </c>
      <c r="H48" s="132">
        <v>935</v>
      </c>
    </row>
    <row r="49" spans="1:8" ht="19.8" customHeight="1" x14ac:dyDescent="0.3">
      <c r="A49" s="140">
        <v>45986</v>
      </c>
      <c r="B49" s="129" t="s">
        <v>125</v>
      </c>
      <c r="C49" s="130" t="s">
        <v>135</v>
      </c>
      <c r="D49" s="129" t="s">
        <v>1</v>
      </c>
      <c r="E49" s="141">
        <v>1.930555555555556</v>
      </c>
      <c r="F49" s="129" t="s">
        <v>127</v>
      </c>
      <c r="G49" s="131">
        <v>9</v>
      </c>
      <c r="H49" s="132">
        <v>935</v>
      </c>
    </row>
    <row r="50" spans="1:8" ht="19.8" customHeight="1" x14ac:dyDescent="0.3">
      <c r="A50" s="140">
        <v>45986</v>
      </c>
      <c r="B50" s="129" t="s">
        <v>148</v>
      </c>
      <c r="C50" s="130" t="s">
        <v>149</v>
      </c>
      <c r="D50" s="129" t="s">
        <v>1</v>
      </c>
      <c r="E50" s="141">
        <v>1.4861111111111109</v>
      </c>
      <c r="F50" s="129" t="s">
        <v>150</v>
      </c>
      <c r="G50" s="131">
        <v>9</v>
      </c>
      <c r="H50" s="132">
        <v>970</v>
      </c>
    </row>
    <row r="51" spans="1:8" ht="19.8" customHeight="1" x14ac:dyDescent="0.3">
      <c r="A51" s="140">
        <v>45986</v>
      </c>
      <c r="B51" s="129" t="s">
        <v>148</v>
      </c>
      <c r="C51" s="130" t="s">
        <v>152</v>
      </c>
      <c r="D51" s="129" t="s">
        <v>1</v>
      </c>
      <c r="E51" s="141">
        <v>1.5138888888888891</v>
      </c>
      <c r="F51" s="129" t="s">
        <v>150</v>
      </c>
      <c r="G51" s="131">
        <v>9</v>
      </c>
      <c r="H51" s="132">
        <v>970</v>
      </c>
    </row>
    <row r="52" spans="1:8" ht="19.8" customHeight="1" x14ac:dyDescent="0.3">
      <c r="A52" s="140">
        <v>45986</v>
      </c>
      <c r="B52" s="129" t="s">
        <v>125</v>
      </c>
      <c r="C52" s="130" t="s">
        <v>126</v>
      </c>
      <c r="D52" s="129" t="s">
        <v>1</v>
      </c>
      <c r="E52" s="141">
        <v>1.3784722222222221</v>
      </c>
      <c r="F52" s="129" t="s">
        <v>129</v>
      </c>
      <c r="G52" s="131">
        <v>9</v>
      </c>
      <c r="H52" s="132">
        <v>980</v>
      </c>
    </row>
    <row r="53" spans="1:8" ht="19.8" customHeight="1" x14ac:dyDescent="0.3">
      <c r="A53" s="140">
        <v>45986</v>
      </c>
      <c r="B53" s="129" t="s">
        <v>125</v>
      </c>
      <c r="C53" s="130" t="s">
        <v>132</v>
      </c>
      <c r="D53" s="129" t="s">
        <v>1</v>
      </c>
      <c r="E53" s="141">
        <v>1.006944444444444</v>
      </c>
      <c r="F53" s="129" t="s">
        <v>129</v>
      </c>
      <c r="G53" s="131">
        <v>9</v>
      </c>
      <c r="H53" s="132">
        <v>980</v>
      </c>
    </row>
    <row r="54" spans="1:8" ht="19.8" customHeight="1" x14ac:dyDescent="0.3">
      <c r="A54" s="140">
        <v>45986</v>
      </c>
      <c r="B54" s="129" t="s">
        <v>125</v>
      </c>
      <c r="C54" s="130" t="s">
        <v>133</v>
      </c>
      <c r="D54" s="129" t="s">
        <v>1</v>
      </c>
      <c r="E54" s="141">
        <v>1.239583333333333</v>
      </c>
      <c r="F54" s="129" t="s">
        <v>129</v>
      </c>
      <c r="G54" s="131">
        <v>9</v>
      </c>
      <c r="H54" s="132">
        <v>980</v>
      </c>
    </row>
    <row r="55" spans="1:8" ht="19.8" customHeight="1" x14ac:dyDescent="0.3">
      <c r="A55" s="140">
        <v>45986</v>
      </c>
      <c r="B55" s="129" t="s">
        <v>125</v>
      </c>
      <c r="C55" s="130" t="s">
        <v>134</v>
      </c>
      <c r="D55" s="129" t="s">
        <v>1</v>
      </c>
      <c r="E55" s="141">
        <v>1.1423611111111109</v>
      </c>
      <c r="F55" s="129" t="s">
        <v>129</v>
      </c>
      <c r="G55" s="131">
        <v>9</v>
      </c>
      <c r="H55" s="132">
        <v>980</v>
      </c>
    </row>
    <row r="56" spans="1:8" ht="19.8" customHeight="1" x14ac:dyDescent="0.3">
      <c r="A56" s="140">
        <v>45986</v>
      </c>
      <c r="B56" s="129" t="s">
        <v>125</v>
      </c>
      <c r="C56" s="130" t="s">
        <v>135</v>
      </c>
      <c r="D56" s="129" t="s">
        <v>1</v>
      </c>
      <c r="E56" s="141">
        <v>1.930555555555556</v>
      </c>
      <c r="F56" s="129" t="s">
        <v>129</v>
      </c>
      <c r="G56" s="131">
        <v>9</v>
      </c>
      <c r="H56" s="132">
        <v>980</v>
      </c>
    </row>
    <row r="57" spans="1:8" ht="19.8" customHeight="1" x14ac:dyDescent="0.3">
      <c r="A57" s="140">
        <v>45986</v>
      </c>
      <c r="B57" s="129" t="s">
        <v>148</v>
      </c>
      <c r="C57" s="130" t="s">
        <v>153</v>
      </c>
      <c r="D57" s="129" t="s">
        <v>1</v>
      </c>
      <c r="E57" s="141">
        <v>1.2222222222222221</v>
      </c>
      <c r="F57" s="129" t="s">
        <v>150</v>
      </c>
      <c r="G57" s="131">
        <v>9</v>
      </c>
      <c r="H57" s="142" t="s">
        <v>154</v>
      </c>
    </row>
    <row r="58" spans="1:8" ht="19.8" customHeight="1" x14ac:dyDescent="0.3">
      <c r="A58" s="140">
        <v>45986</v>
      </c>
      <c r="B58" s="129" t="s">
        <v>125</v>
      </c>
      <c r="C58" s="130" t="s">
        <v>136</v>
      </c>
      <c r="D58" s="129" t="s">
        <v>1</v>
      </c>
      <c r="E58" s="141">
        <v>1.71875</v>
      </c>
      <c r="F58" s="129" t="s">
        <v>127</v>
      </c>
      <c r="G58" s="131">
        <v>9</v>
      </c>
      <c r="H58" s="142" t="s">
        <v>137</v>
      </c>
    </row>
    <row r="59" spans="1:8" ht="19.8" customHeight="1" x14ac:dyDescent="0.3">
      <c r="A59" s="140">
        <v>45986</v>
      </c>
      <c r="B59" s="129" t="s">
        <v>125</v>
      </c>
      <c r="C59" s="130" t="s">
        <v>139</v>
      </c>
      <c r="D59" s="129" t="s">
        <v>1</v>
      </c>
      <c r="E59" s="141">
        <v>1.8298611111111109</v>
      </c>
      <c r="F59" s="129" t="s">
        <v>127</v>
      </c>
      <c r="G59" s="131">
        <v>9</v>
      </c>
      <c r="H59" s="142" t="s">
        <v>137</v>
      </c>
    </row>
    <row r="60" spans="1:8" ht="19.8" customHeight="1" x14ac:dyDescent="0.3">
      <c r="A60" s="140">
        <v>45986</v>
      </c>
      <c r="B60" s="129" t="s">
        <v>26</v>
      </c>
      <c r="C60" s="130" t="s">
        <v>36</v>
      </c>
      <c r="D60" s="129" t="s">
        <v>1</v>
      </c>
      <c r="E60" s="141">
        <v>1.302083333333333</v>
      </c>
      <c r="F60" s="129" t="s">
        <v>34</v>
      </c>
      <c r="G60" s="131">
        <v>3</v>
      </c>
      <c r="H60" s="142" t="s">
        <v>35</v>
      </c>
    </row>
    <row r="61" spans="1:8" ht="19.8" customHeight="1" x14ac:dyDescent="0.3">
      <c r="A61" s="140">
        <v>45986</v>
      </c>
      <c r="B61" s="129" t="s">
        <v>26</v>
      </c>
      <c r="C61" s="130" t="s">
        <v>27</v>
      </c>
      <c r="D61" s="129" t="s">
        <v>1</v>
      </c>
      <c r="E61" s="141">
        <v>1.1284722222222221</v>
      </c>
      <c r="F61" s="129" t="s">
        <v>34</v>
      </c>
      <c r="G61" s="131">
        <v>1</v>
      </c>
      <c r="H61" s="142" t="s">
        <v>35</v>
      </c>
    </row>
    <row r="62" spans="1:8" ht="19.8" customHeight="1" x14ac:dyDescent="0.3">
      <c r="A62" s="140">
        <v>45986</v>
      </c>
      <c r="B62" s="129" t="s">
        <v>26</v>
      </c>
      <c r="C62" s="130" t="s">
        <v>41</v>
      </c>
      <c r="D62" s="129" t="s">
        <v>1</v>
      </c>
      <c r="E62" s="141">
        <v>1.788194444444444</v>
      </c>
      <c r="F62" s="129" t="s">
        <v>34</v>
      </c>
      <c r="G62" s="131">
        <v>7</v>
      </c>
      <c r="H62" s="142" t="s">
        <v>35</v>
      </c>
    </row>
    <row r="63" spans="1:8" ht="19.8" customHeight="1" x14ac:dyDescent="0.3">
      <c r="A63" s="140">
        <v>45986</v>
      </c>
      <c r="B63" s="129" t="s">
        <v>26</v>
      </c>
      <c r="C63" s="130" t="s">
        <v>44</v>
      </c>
      <c r="D63" s="129" t="s">
        <v>1</v>
      </c>
      <c r="E63" s="141">
        <v>1.8888888888888891</v>
      </c>
      <c r="F63" s="129" t="s">
        <v>34</v>
      </c>
      <c r="G63" s="131">
        <v>10</v>
      </c>
      <c r="H63" s="142" t="s">
        <v>35</v>
      </c>
    </row>
    <row r="64" spans="1:8" ht="19.8" customHeight="1" x14ac:dyDescent="0.3">
      <c r="A64" s="140">
        <v>45986</v>
      </c>
      <c r="B64" s="129" t="s">
        <v>125</v>
      </c>
      <c r="C64" s="130" t="s">
        <v>136</v>
      </c>
      <c r="D64" s="129" t="s">
        <v>1</v>
      </c>
      <c r="E64" s="141">
        <v>1.71875</v>
      </c>
      <c r="F64" s="129" t="s">
        <v>129</v>
      </c>
      <c r="G64" s="131">
        <v>9</v>
      </c>
      <c r="H64" s="142" t="s">
        <v>138</v>
      </c>
    </row>
    <row r="65" spans="1:8" ht="19.8" customHeight="1" x14ac:dyDescent="0.3">
      <c r="A65" s="140">
        <v>45986</v>
      </c>
      <c r="B65" s="129" t="s">
        <v>125</v>
      </c>
      <c r="C65" s="130" t="s">
        <v>139</v>
      </c>
      <c r="D65" s="129" t="s">
        <v>1</v>
      </c>
      <c r="E65" s="141">
        <v>1.8298611111111109</v>
      </c>
      <c r="F65" s="129" t="s">
        <v>129</v>
      </c>
      <c r="G65" s="131">
        <v>9</v>
      </c>
      <c r="H65" s="142" t="s">
        <v>138</v>
      </c>
    </row>
    <row r="66" spans="1:8" ht="19.8" customHeight="1" x14ac:dyDescent="0.3">
      <c r="A66" s="140">
        <v>45986</v>
      </c>
      <c r="B66" s="129" t="s">
        <v>148</v>
      </c>
      <c r="C66" s="130" t="s">
        <v>155</v>
      </c>
      <c r="D66" s="129" t="s">
        <v>1</v>
      </c>
      <c r="E66" s="141">
        <v>1.0138888888888891</v>
      </c>
      <c r="F66" s="129" t="s">
        <v>150</v>
      </c>
      <c r="G66" s="131">
        <v>9</v>
      </c>
      <c r="H66" s="142" t="s">
        <v>156</v>
      </c>
    </row>
    <row r="67" spans="1:8" ht="19.8" customHeight="1" x14ac:dyDescent="0.3">
      <c r="A67" s="140">
        <v>45986</v>
      </c>
      <c r="B67" s="129" t="s">
        <v>148</v>
      </c>
      <c r="C67" s="130" t="s">
        <v>157</v>
      </c>
      <c r="D67" s="129" t="s">
        <v>1</v>
      </c>
      <c r="E67" s="141">
        <v>1.145833333333333</v>
      </c>
      <c r="F67" s="129" t="s">
        <v>150</v>
      </c>
      <c r="G67" s="131">
        <v>9</v>
      </c>
      <c r="H67" s="142" t="s">
        <v>156</v>
      </c>
    </row>
    <row r="68" spans="1:8" ht="19.8" customHeight="1" x14ac:dyDescent="0.3">
      <c r="A68" s="140">
        <v>45986</v>
      </c>
      <c r="B68" s="129" t="s">
        <v>125</v>
      </c>
      <c r="C68" s="130" t="s">
        <v>140</v>
      </c>
      <c r="D68" s="129" t="s">
        <v>1</v>
      </c>
      <c r="E68" s="141">
        <v>1.8888888888888891</v>
      </c>
      <c r="F68" s="129" t="s">
        <v>129</v>
      </c>
      <c r="G68" s="131">
        <v>4</v>
      </c>
      <c r="H68" s="142" t="s">
        <v>141</v>
      </c>
    </row>
    <row r="69" spans="1:8" ht="19.8" customHeight="1" x14ac:dyDescent="0.3">
      <c r="A69" s="140">
        <v>45986</v>
      </c>
      <c r="B69" s="129" t="s">
        <v>125</v>
      </c>
      <c r="C69" s="130" t="s">
        <v>142</v>
      </c>
      <c r="D69" s="129" t="s">
        <v>1</v>
      </c>
      <c r="E69" s="141">
        <v>1.302083333333333</v>
      </c>
      <c r="F69" s="129" t="s">
        <v>129</v>
      </c>
      <c r="G69" s="131">
        <v>4</v>
      </c>
      <c r="H69" s="142" t="s">
        <v>141</v>
      </c>
    </row>
    <row r="70" spans="1:8" ht="19.8" customHeight="1" x14ac:dyDescent="0.3">
      <c r="A70" s="140">
        <v>45986</v>
      </c>
      <c r="B70" s="129" t="s">
        <v>125</v>
      </c>
      <c r="C70" s="130" t="s">
        <v>143</v>
      </c>
      <c r="D70" s="129" t="s">
        <v>1</v>
      </c>
      <c r="E70" s="141">
        <v>1.1284722222222221</v>
      </c>
      <c r="F70" s="129" t="s">
        <v>129</v>
      </c>
      <c r="G70" s="131">
        <v>4</v>
      </c>
      <c r="H70" s="142" t="s">
        <v>141</v>
      </c>
    </row>
    <row r="71" spans="1:8" ht="19.8" customHeight="1" x14ac:dyDescent="0.3">
      <c r="A71" s="140">
        <v>45986</v>
      </c>
      <c r="B71" s="129" t="s">
        <v>125</v>
      </c>
      <c r="C71" s="130" t="s">
        <v>144</v>
      </c>
      <c r="D71" s="129" t="s">
        <v>1</v>
      </c>
      <c r="E71" s="141">
        <v>1.788194444444444</v>
      </c>
      <c r="F71" s="129" t="s">
        <v>129</v>
      </c>
      <c r="G71" s="131">
        <v>4</v>
      </c>
      <c r="H71" s="142" t="s">
        <v>141</v>
      </c>
    </row>
    <row r="72" spans="1:8" ht="19.8" customHeight="1" x14ac:dyDescent="0.3">
      <c r="A72" s="140">
        <v>45986</v>
      </c>
      <c r="B72" s="129" t="s">
        <v>148</v>
      </c>
      <c r="C72" s="130" t="s">
        <v>158</v>
      </c>
      <c r="D72" s="129" t="s">
        <v>1</v>
      </c>
      <c r="E72" s="141">
        <v>1.2777777777777779</v>
      </c>
      <c r="F72" s="129" t="s">
        <v>150</v>
      </c>
      <c r="G72" s="131">
        <v>9</v>
      </c>
      <c r="H72" s="142" t="s">
        <v>159</v>
      </c>
    </row>
    <row r="73" spans="1:8" ht="19.8" customHeight="1" x14ac:dyDescent="0.3">
      <c r="A73" s="140">
        <v>45986</v>
      </c>
      <c r="B73" s="129" t="s">
        <v>148</v>
      </c>
      <c r="C73" s="130" t="s">
        <v>160</v>
      </c>
      <c r="D73" s="129" t="s">
        <v>1</v>
      </c>
      <c r="E73" s="141">
        <v>1.774305555555556</v>
      </c>
      <c r="F73" s="129" t="s">
        <v>150</v>
      </c>
      <c r="G73" s="131">
        <v>9</v>
      </c>
      <c r="H73" s="142" t="s">
        <v>161</v>
      </c>
    </row>
    <row r="74" spans="1:8" ht="19.8" customHeight="1" x14ac:dyDescent="0.3">
      <c r="A74" s="140">
        <v>45986</v>
      </c>
      <c r="B74" s="129" t="s">
        <v>125</v>
      </c>
      <c r="C74" s="130" t="s">
        <v>145</v>
      </c>
      <c r="D74" s="129" t="s">
        <v>1</v>
      </c>
      <c r="E74" s="141">
        <v>1.6111111111111109</v>
      </c>
      <c r="F74" s="129" t="s">
        <v>127</v>
      </c>
      <c r="G74" s="131">
        <v>1</v>
      </c>
      <c r="H74" s="142" t="s">
        <v>146</v>
      </c>
    </row>
    <row r="75" spans="1:8" ht="19.8" customHeight="1" x14ac:dyDescent="0.3">
      <c r="A75" s="140">
        <v>45986</v>
      </c>
      <c r="B75" s="129" t="s">
        <v>125</v>
      </c>
      <c r="C75" s="130" t="s">
        <v>145</v>
      </c>
      <c r="D75" s="129" t="s">
        <v>1</v>
      </c>
      <c r="E75" s="141">
        <v>1.6111111111111109</v>
      </c>
      <c r="F75" s="129" t="s">
        <v>129</v>
      </c>
      <c r="G75" s="131">
        <v>1</v>
      </c>
      <c r="H75" s="142" t="s">
        <v>147</v>
      </c>
    </row>
    <row r="76" spans="1:8" ht="19.8" customHeight="1" x14ac:dyDescent="0.3">
      <c r="A76" s="138">
        <v>45986</v>
      </c>
      <c r="B76" s="134" t="s">
        <v>77</v>
      </c>
      <c r="C76" s="135" t="s">
        <v>97</v>
      </c>
      <c r="D76" s="134" t="s">
        <v>1</v>
      </c>
      <c r="E76" s="139">
        <v>1.5590277777777779</v>
      </c>
      <c r="F76" s="134" t="s">
        <v>98</v>
      </c>
      <c r="G76" s="134"/>
      <c r="H76" s="143" t="s">
        <v>99</v>
      </c>
    </row>
    <row r="77" spans="1:8" ht="19.8" customHeight="1" x14ac:dyDescent="0.3">
      <c r="A77" s="144">
        <v>45986</v>
      </c>
      <c r="B77" s="145" t="s">
        <v>77</v>
      </c>
      <c r="C77" s="146" t="s">
        <v>102</v>
      </c>
      <c r="D77" s="145" t="s">
        <v>1</v>
      </c>
      <c r="E77" s="147">
        <v>1.729166666666667</v>
      </c>
      <c r="F77" s="145" t="s">
        <v>98</v>
      </c>
      <c r="G77" s="145"/>
      <c r="H77" s="148" t="s">
        <v>99</v>
      </c>
    </row>
    <row r="78" spans="1:8" ht="19.8" customHeight="1" x14ac:dyDescent="0.3">
      <c r="A78" s="140">
        <v>45987</v>
      </c>
      <c r="B78" s="129" t="s">
        <v>26</v>
      </c>
      <c r="C78" s="130" t="s">
        <v>44</v>
      </c>
      <c r="D78" s="129" t="s">
        <v>1</v>
      </c>
      <c r="E78" s="141">
        <v>1.8888888888888891</v>
      </c>
      <c r="F78" s="129" t="s">
        <v>28</v>
      </c>
      <c r="G78" s="131">
        <v>4</v>
      </c>
      <c r="H78" s="132">
        <v>389</v>
      </c>
    </row>
    <row r="79" spans="1:8" ht="19.8" customHeight="1" x14ac:dyDescent="0.3">
      <c r="A79" s="140">
        <v>45987</v>
      </c>
      <c r="B79" s="129" t="s">
        <v>118</v>
      </c>
      <c r="C79" s="130" t="s">
        <v>122</v>
      </c>
      <c r="D79" s="129" t="s">
        <v>1</v>
      </c>
      <c r="E79" s="141">
        <v>1.3715277777777779</v>
      </c>
      <c r="F79" s="129" t="s">
        <v>112</v>
      </c>
      <c r="G79" s="131">
        <v>2</v>
      </c>
      <c r="H79" s="132">
        <v>401</v>
      </c>
    </row>
    <row r="80" spans="1:8" ht="19.8" customHeight="1" x14ac:dyDescent="0.3">
      <c r="A80" s="140">
        <v>45987</v>
      </c>
      <c r="B80" s="129" t="s">
        <v>49</v>
      </c>
      <c r="C80" s="130" t="s">
        <v>69</v>
      </c>
      <c r="D80" s="129" t="s">
        <v>1</v>
      </c>
      <c r="E80" s="141">
        <v>1.256944444444444</v>
      </c>
      <c r="F80" s="129" t="s">
        <v>51</v>
      </c>
      <c r="G80" s="131">
        <v>3</v>
      </c>
      <c r="H80" s="132">
        <v>409</v>
      </c>
    </row>
    <row r="81" spans="1:8" ht="19.8" customHeight="1" x14ac:dyDescent="0.3">
      <c r="A81" s="140">
        <v>45987</v>
      </c>
      <c r="B81" s="129" t="s">
        <v>49</v>
      </c>
      <c r="C81" s="130" t="s">
        <v>76</v>
      </c>
      <c r="D81" s="129" t="s">
        <v>1</v>
      </c>
      <c r="E81" s="141">
        <v>1.302083333333333</v>
      </c>
      <c r="F81" s="129" t="s">
        <v>51</v>
      </c>
      <c r="G81" s="131">
        <v>2</v>
      </c>
      <c r="H81" s="132">
        <v>409</v>
      </c>
    </row>
    <row r="82" spans="1:8" ht="19.8" customHeight="1" x14ac:dyDescent="0.3">
      <c r="A82" s="140">
        <v>45987</v>
      </c>
      <c r="B82" s="129" t="s">
        <v>26</v>
      </c>
      <c r="C82" s="130" t="s">
        <v>36</v>
      </c>
      <c r="D82" s="129" t="s">
        <v>1</v>
      </c>
      <c r="E82" s="141">
        <v>1.302083333333333</v>
      </c>
      <c r="F82" s="129" t="s">
        <v>28</v>
      </c>
      <c r="G82" s="131">
        <v>6</v>
      </c>
      <c r="H82" s="132">
        <v>419</v>
      </c>
    </row>
    <row r="83" spans="1:8" ht="19.8" customHeight="1" x14ac:dyDescent="0.3">
      <c r="A83" s="140">
        <v>45987</v>
      </c>
      <c r="B83" s="129" t="s">
        <v>26</v>
      </c>
      <c r="C83" s="130" t="s">
        <v>27</v>
      </c>
      <c r="D83" s="129" t="s">
        <v>1</v>
      </c>
      <c r="E83" s="141">
        <v>1.1284722222222221</v>
      </c>
      <c r="F83" s="129" t="s">
        <v>28</v>
      </c>
      <c r="G83" s="131">
        <v>6</v>
      </c>
      <c r="H83" s="132">
        <v>419</v>
      </c>
    </row>
    <row r="84" spans="1:8" ht="19.8" customHeight="1" x14ac:dyDescent="0.3">
      <c r="A84" s="140">
        <v>45987</v>
      </c>
      <c r="B84" s="129" t="s">
        <v>26</v>
      </c>
      <c r="C84" s="130" t="s">
        <v>41</v>
      </c>
      <c r="D84" s="129" t="s">
        <v>1</v>
      </c>
      <c r="E84" s="141">
        <v>1.788194444444444</v>
      </c>
      <c r="F84" s="129" t="s">
        <v>28</v>
      </c>
      <c r="G84" s="131">
        <v>9</v>
      </c>
      <c r="H84" s="132">
        <v>419</v>
      </c>
    </row>
    <row r="85" spans="1:8" ht="19.8" customHeight="1" x14ac:dyDescent="0.3">
      <c r="A85" s="140">
        <v>45987</v>
      </c>
      <c r="B85" s="129" t="s">
        <v>49</v>
      </c>
      <c r="C85" s="130" t="s">
        <v>50</v>
      </c>
      <c r="D85" s="129" t="s">
        <v>1</v>
      </c>
      <c r="E85" s="141">
        <v>1.9027777777777779</v>
      </c>
      <c r="F85" s="129" t="s">
        <v>51</v>
      </c>
      <c r="G85" s="131">
        <v>3</v>
      </c>
      <c r="H85" s="132">
        <v>449</v>
      </c>
    </row>
    <row r="86" spans="1:8" ht="19.8" customHeight="1" x14ac:dyDescent="0.3">
      <c r="A86" s="140">
        <v>45987</v>
      </c>
      <c r="B86" s="129" t="s">
        <v>49</v>
      </c>
      <c r="C86" s="130" t="s">
        <v>61</v>
      </c>
      <c r="D86" s="129" t="s">
        <v>1</v>
      </c>
      <c r="E86" s="141">
        <v>1.5173611111111109</v>
      </c>
      <c r="F86" s="129" t="s">
        <v>51</v>
      </c>
      <c r="G86" s="131">
        <v>2</v>
      </c>
      <c r="H86" s="132">
        <v>449</v>
      </c>
    </row>
    <row r="87" spans="1:8" ht="19.8" customHeight="1" x14ac:dyDescent="0.3">
      <c r="A87" s="140">
        <v>45987</v>
      </c>
      <c r="B87" s="129" t="s">
        <v>49</v>
      </c>
      <c r="C87" s="130" t="s">
        <v>75</v>
      </c>
      <c r="D87" s="129" t="s">
        <v>1</v>
      </c>
      <c r="E87" s="141">
        <v>1.395833333333333</v>
      </c>
      <c r="F87" s="129" t="s">
        <v>51</v>
      </c>
      <c r="G87" s="131">
        <v>2</v>
      </c>
      <c r="H87" s="132">
        <v>449</v>
      </c>
    </row>
    <row r="88" spans="1:8" ht="19.8" customHeight="1" x14ac:dyDescent="0.3">
      <c r="A88" s="140">
        <v>45987</v>
      </c>
      <c r="B88" s="129" t="s">
        <v>49</v>
      </c>
      <c r="C88" s="130" t="s">
        <v>66</v>
      </c>
      <c r="D88" s="129" t="s">
        <v>1</v>
      </c>
      <c r="E88" s="141">
        <v>1.7986111111111109</v>
      </c>
      <c r="F88" s="129" t="s">
        <v>51</v>
      </c>
      <c r="G88" s="131">
        <v>2</v>
      </c>
      <c r="H88" s="132">
        <v>449</v>
      </c>
    </row>
    <row r="89" spans="1:8" ht="19.8" customHeight="1" x14ac:dyDescent="0.3">
      <c r="A89" s="138">
        <v>45987</v>
      </c>
      <c r="B89" s="134" t="s">
        <v>77</v>
      </c>
      <c r="C89" s="135" t="s">
        <v>169</v>
      </c>
      <c r="D89" s="134" t="s">
        <v>1</v>
      </c>
      <c r="E89" s="139">
        <v>1.520833333333333</v>
      </c>
      <c r="F89" s="134" t="s">
        <v>79</v>
      </c>
      <c r="G89" s="136">
        <v>9</v>
      </c>
      <c r="H89" s="137">
        <v>471</v>
      </c>
    </row>
    <row r="90" spans="1:8" ht="19.8" customHeight="1" x14ac:dyDescent="0.3">
      <c r="A90" s="138">
        <v>45987</v>
      </c>
      <c r="B90" s="134" t="s">
        <v>77</v>
      </c>
      <c r="C90" s="135" t="s">
        <v>84</v>
      </c>
      <c r="D90" s="134" t="s">
        <v>1</v>
      </c>
      <c r="E90" s="139">
        <v>1.5173611111111109</v>
      </c>
      <c r="F90" s="134" t="s">
        <v>79</v>
      </c>
      <c r="G90" s="136">
        <v>9</v>
      </c>
      <c r="H90" s="137">
        <v>471</v>
      </c>
    </row>
    <row r="91" spans="1:8" ht="19.8" customHeight="1" x14ac:dyDescent="0.3">
      <c r="A91" s="138">
        <v>45987</v>
      </c>
      <c r="B91" s="134" t="s">
        <v>77</v>
      </c>
      <c r="C91" s="135" t="s">
        <v>92</v>
      </c>
      <c r="D91" s="134" t="s">
        <v>1</v>
      </c>
      <c r="E91" s="139">
        <v>1.614583333333333</v>
      </c>
      <c r="F91" s="134" t="s">
        <v>79</v>
      </c>
      <c r="G91" s="136">
        <v>1</v>
      </c>
      <c r="H91" s="137">
        <v>471</v>
      </c>
    </row>
    <row r="92" spans="1:8" ht="19.8" customHeight="1" x14ac:dyDescent="0.3">
      <c r="A92" s="140">
        <v>45987</v>
      </c>
      <c r="B92" s="129" t="s">
        <v>49</v>
      </c>
      <c r="C92" s="130" t="s">
        <v>58</v>
      </c>
      <c r="D92" s="129" t="s">
        <v>1</v>
      </c>
      <c r="E92" s="141">
        <v>1.645833333333333</v>
      </c>
      <c r="F92" s="129" t="s">
        <v>51</v>
      </c>
      <c r="G92" s="131">
        <v>6</v>
      </c>
      <c r="H92" s="132">
        <v>489</v>
      </c>
    </row>
    <row r="93" spans="1:8" ht="19.8" customHeight="1" x14ac:dyDescent="0.3">
      <c r="A93" s="140">
        <v>45987</v>
      </c>
      <c r="B93" s="129" t="s">
        <v>49</v>
      </c>
      <c r="C93" s="130" t="s">
        <v>63</v>
      </c>
      <c r="D93" s="129" t="s">
        <v>1</v>
      </c>
      <c r="E93" s="141">
        <v>1.854166666666667</v>
      </c>
      <c r="F93" s="129" t="s">
        <v>51</v>
      </c>
      <c r="G93" s="131">
        <v>5</v>
      </c>
      <c r="H93" s="132">
        <v>489</v>
      </c>
    </row>
    <row r="94" spans="1:8" ht="19.8" customHeight="1" x14ac:dyDescent="0.3">
      <c r="A94" s="140">
        <v>45987</v>
      </c>
      <c r="B94" s="129" t="s">
        <v>49</v>
      </c>
      <c r="C94" s="130" t="s">
        <v>69</v>
      </c>
      <c r="D94" s="129" t="s">
        <v>1</v>
      </c>
      <c r="E94" s="141">
        <v>1.256944444444444</v>
      </c>
      <c r="F94" s="129" t="s">
        <v>54</v>
      </c>
      <c r="G94" s="131">
        <v>3</v>
      </c>
      <c r="H94" s="132">
        <v>509</v>
      </c>
    </row>
    <row r="95" spans="1:8" ht="19.8" customHeight="1" x14ac:dyDescent="0.3">
      <c r="A95" s="140">
        <v>45987</v>
      </c>
      <c r="B95" s="129" t="s">
        <v>49</v>
      </c>
      <c r="C95" s="130" t="s">
        <v>76</v>
      </c>
      <c r="D95" s="129" t="s">
        <v>1</v>
      </c>
      <c r="E95" s="141">
        <v>1.302083333333333</v>
      </c>
      <c r="F95" s="129" t="s">
        <v>54</v>
      </c>
      <c r="G95" s="131">
        <v>2</v>
      </c>
      <c r="H95" s="132">
        <v>509</v>
      </c>
    </row>
    <row r="96" spans="1:8" ht="19.8" customHeight="1" x14ac:dyDescent="0.3">
      <c r="A96" s="140">
        <v>45987</v>
      </c>
      <c r="B96" s="129" t="s">
        <v>104</v>
      </c>
      <c r="C96" s="130" t="s">
        <v>174</v>
      </c>
      <c r="D96" s="129" t="s">
        <v>1</v>
      </c>
      <c r="E96" s="141">
        <v>1.3923611111111109</v>
      </c>
      <c r="F96" s="129" t="s">
        <v>106</v>
      </c>
      <c r="G96" s="131">
        <v>9</v>
      </c>
      <c r="H96" s="132">
        <v>536</v>
      </c>
    </row>
    <row r="97" spans="1:8" ht="19.8" customHeight="1" x14ac:dyDescent="0.3">
      <c r="A97" s="140">
        <v>45987</v>
      </c>
      <c r="B97" s="129" t="s">
        <v>26</v>
      </c>
      <c r="C97" s="130" t="s">
        <v>44</v>
      </c>
      <c r="D97" s="129" t="s">
        <v>1</v>
      </c>
      <c r="E97" s="141">
        <v>1.8888888888888891</v>
      </c>
      <c r="F97" s="129" t="s">
        <v>31</v>
      </c>
      <c r="G97" s="131">
        <v>4</v>
      </c>
      <c r="H97" s="132">
        <v>539</v>
      </c>
    </row>
    <row r="98" spans="1:8" ht="19.8" customHeight="1" x14ac:dyDescent="0.3">
      <c r="A98" s="140">
        <v>45987</v>
      </c>
      <c r="B98" s="129" t="s">
        <v>49</v>
      </c>
      <c r="C98" s="130" t="s">
        <v>50</v>
      </c>
      <c r="D98" s="129" t="s">
        <v>1</v>
      </c>
      <c r="E98" s="141">
        <v>1.9027777777777779</v>
      </c>
      <c r="F98" s="129" t="s">
        <v>54</v>
      </c>
      <c r="G98" s="131">
        <v>3</v>
      </c>
      <c r="H98" s="132">
        <v>549</v>
      </c>
    </row>
    <row r="99" spans="1:8" ht="19.8" customHeight="1" x14ac:dyDescent="0.3">
      <c r="A99" s="140">
        <v>45987</v>
      </c>
      <c r="B99" s="129" t="s">
        <v>49</v>
      </c>
      <c r="C99" s="130" t="s">
        <v>61</v>
      </c>
      <c r="D99" s="129" t="s">
        <v>1</v>
      </c>
      <c r="E99" s="141">
        <v>1.5173611111111109</v>
      </c>
      <c r="F99" s="129" t="s">
        <v>54</v>
      </c>
      <c r="G99" s="131">
        <v>2</v>
      </c>
      <c r="H99" s="132">
        <v>549</v>
      </c>
    </row>
    <row r="100" spans="1:8" ht="19.8" customHeight="1" x14ac:dyDescent="0.3">
      <c r="A100" s="140">
        <v>45987</v>
      </c>
      <c r="B100" s="129" t="s">
        <v>49</v>
      </c>
      <c r="C100" s="130" t="s">
        <v>75</v>
      </c>
      <c r="D100" s="129" t="s">
        <v>1</v>
      </c>
      <c r="E100" s="141">
        <v>1.395833333333333</v>
      </c>
      <c r="F100" s="129" t="s">
        <v>54</v>
      </c>
      <c r="G100" s="131">
        <v>2</v>
      </c>
      <c r="H100" s="132">
        <v>549</v>
      </c>
    </row>
    <row r="101" spans="1:8" ht="19.8" customHeight="1" x14ac:dyDescent="0.3">
      <c r="A101" s="140">
        <v>45987</v>
      </c>
      <c r="B101" s="129" t="s">
        <v>49</v>
      </c>
      <c r="C101" s="130" t="s">
        <v>66</v>
      </c>
      <c r="D101" s="129" t="s">
        <v>1</v>
      </c>
      <c r="E101" s="141">
        <v>1.7986111111111109</v>
      </c>
      <c r="F101" s="129" t="s">
        <v>54</v>
      </c>
      <c r="G101" s="131">
        <v>2</v>
      </c>
      <c r="H101" s="132">
        <v>549</v>
      </c>
    </row>
    <row r="102" spans="1:8" ht="19.8" customHeight="1" x14ac:dyDescent="0.3">
      <c r="A102" s="140">
        <v>45987</v>
      </c>
      <c r="B102" s="129" t="s">
        <v>26</v>
      </c>
      <c r="C102" s="130" t="s">
        <v>36</v>
      </c>
      <c r="D102" s="129" t="s">
        <v>1</v>
      </c>
      <c r="E102" s="141">
        <v>1.302083333333333</v>
      </c>
      <c r="F102" s="129" t="s">
        <v>31</v>
      </c>
      <c r="G102" s="131">
        <v>6</v>
      </c>
      <c r="H102" s="132">
        <v>569</v>
      </c>
    </row>
    <row r="103" spans="1:8" ht="19.8" customHeight="1" x14ac:dyDescent="0.3">
      <c r="A103" s="140">
        <v>45987</v>
      </c>
      <c r="B103" s="129" t="s">
        <v>26</v>
      </c>
      <c r="C103" s="130" t="s">
        <v>27</v>
      </c>
      <c r="D103" s="129" t="s">
        <v>1</v>
      </c>
      <c r="E103" s="141">
        <v>1.1284722222222221</v>
      </c>
      <c r="F103" s="129" t="s">
        <v>31</v>
      </c>
      <c r="G103" s="131">
        <v>6</v>
      </c>
      <c r="H103" s="132">
        <v>569</v>
      </c>
    </row>
    <row r="104" spans="1:8" ht="19.8" customHeight="1" x14ac:dyDescent="0.3">
      <c r="A104" s="140">
        <v>45987</v>
      </c>
      <c r="B104" s="129" t="s">
        <v>26</v>
      </c>
      <c r="C104" s="130" t="s">
        <v>41</v>
      </c>
      <c r="D104" s="129" t="s">
        <v>1</v>
      </c>
      <c r="E104" s="141">
        <v>1.788194444444444</v>
      </c>
      <c r="F104" s="129" t="s">
        <v>31</v>
      </c>
      <c r="G104" s="131">
        <v>9</v>
      </c>
      <c r="H104" s="132">
        <v>569</v>
      </c>
    </row>
    <row r="105" spans="1:8" ht="19.8" customHeight="1" x14ac:dyDescent="0.3">
      <c r="A105" s="140">
        <v>45987</v>
      </c>
      <c r="B105" s="129" t="s">
        <v>49</v>
      </c>
      <c r="C105" s="130" t="s">
        <v>58</v>
      </c>
      <c r="D105" s="129" t="s">
        <v>1</v>
      </c>
      <c r="E105" s="141">
        <v>1.645833333333333</v>
      </c>
      <c r="F105" s="129" t="s">
        <v>54</v>
      </c>
      <c r="G105" s="131">
        <v>6</v>
      </c>
      <c r="H105" s="132">
        <v>589</v>
      </c>
    </row>
    <row r="106" spans="1:8" ht="19.8" customHeight="1" x14ac:dyDescent="0.3">
      <c r="A106" s="140">
        <v>45987</v>
      </c>
      <c r="B106" s="129" t="s">
        <v>49</v>
      </c>
      <c r="C106" s="130" t="s">
        <v>63</v>
      </c>
      <c r="D106" s="129" t="s">
        <v>1</v>
      </c>
      <c r="E106" s="141">
        <v>1.854166666666667</v>
      </c>
      <c r="F106" s="129" t="s">
        <v>54</v>
      </c>
      <c r="G106" s="131">
        <v>5</v>
      </c>
      <c r="H106" s="132">
        <v>589</v>
      </c>
    </row>
    <row r="107" spans="1:8" ht="19.8" customHeight="1" x14ac:dyDescent="0.3">
      <c r="A107" s="140">
        <v>45987</v>
      </c>
      <c r="B107" s="129" t="s">
        <v>110</v>
      </c>
      <c r="C107" s="130" t="s">
        <v>111</v>
      </c>
      <c r="D107" s="129" t="s">
        <v>1</v>
      </c>
      <c r="E107" s="141">
        <v>1.270833333333333</v>
      </c>
      <c r="F107" s="129" t="s">
        <v>112</v>
      </c>
      <c r="G107" s="131">
        <v>9</v>
      </c>
      <c r="H107" s="132">
        <v>595</v>
      </c>
    </row>
    <row r="108" spans="1:8" ht="19.8" customHeight="1" x14ac:dyDescent="0.3">
      <c r="A108" s="140">
        <v>45987</v>
      </c>
      <c r="B108" s="129" t="s">
        <v>118</v>
      </c>
      <c r="C108" s="130" t="s">
        <v>119</v>
      </c>
      <c r="D108" s="129" t="s">
        <v>1</v>
      </c>
      <c r="E108" s="141">
        <v>1.9375</v>
      </c>
      <c r="F108" s="129" t="s">
        <v>112</v>
      </c>
      <c r="G108" s="131">
        <v>8</v>
      </c>
      <c r="H108" s="132">
        <v>599</v>
      </c>
    </row>
    <row r="109" spans="1:8" ht="19.8" customHeight="1" x14ac:dyDescent="0.3">
      <c r="A109" s="140">
        <v>45987</v>
      </c>
      <c r="B109" s="129" t="s">
        <v>49</v>
      </c>
      <c r="C109" s="130" t="s">
        <v>69</v>
      </c>
      <c r="D109" s="129" t="s">
        <v>1</v>
      </c>
      <c r="E109" s="141">
        <v>1.256944444444444</v>
      </c>
      <c r="F109" s="129" t="s">
        <v>56</v>
      </c>
      <c r="G109" s="131">
        <v>3</v>
      </c>
      <c r="H109" s="132">
        <v>599</v>
      </c>
    </row>
    <row r="110" spans="1:8" ht="19.8" customHeight="1" x14ac:dyDescent="0.3">
      <c r="A110" s="140">
        <v>45987</v>
      </c>
      <c r="B110" s="129" t="s">
        <v>49</v>
      </c>
      <c r="C110" s="130" t="s">
        <v>76</v>
      </c>
      <c r="D110" s="129" t="s">
        <v>1</v>
      </c>
      <c r="E110" s="141">
        <v>1.302083333333333</v>
      </c>
      <c r="F110" s="129" t="s">
        <v>56</v>
      </c>
      <c r="G110" s="131">
        <v>2</v>
      </c>
      <c r="H110" s="132">
        <v>599</v>
      </c>
    </row>
    <row r="111" spans="1:8" ht="19.8" customHeight="1" x14ac:dyDescent="0.3">
      <c r="A111" s="140">
        <v>45987</v>
      </c>
      <c r="B111" s="129" t="s">
        <v>49</v>
      </c>
      <c r="C111" s="130" t="s">
        <v>50</v>
      </c>
      <c r="D111" s="129" t="s">
        <v>1</v>
      </c>
      <c r="E111" s="141">
        <v>1.9027777777777779</v>
      </c>
      <c r="F111" s="129" t="s">
        <v>56</v>
      </c>
      <c r="G111" s="131">
        <v>3</v>
      </c>
      <c r="H111" s="132">
        <v>639</v>
      </c>
    </row>
    <row r="112" spans="1:8" ht="19.8" customHeight="1" x14ac:dyDescent="0.3">
      <c r="A112" s="140">
        <v>45987</v>
      </c>
      <c r="B112" s="129" t="s">
        <v>49</v>
      </c>
      <c r="C112" s="130" t="s">
        <v>61</v>
      </c>
      <c r="D112" s="129" t="s">
        <v>1</v>
      </c>
      <c r="E112" s="141">
        <v>1.5173611111111109</v>
      </c>
      <c r="F112" s="129" t="s">
        <v>56</v>
      </c>
      <c r="G112" s="131">
        <v>2</v>
      </c>
      <c r="H112" s="132">
        <v>639</v>
      </c>
    </row>
    <row r="113" spans="1:8" ht="19.8" customHeight="1" x14ac:dyDescent="0.3">
      <c r="A113" s="140">
        <v>45987</v>
      </c>
      <c r="B113" s="129" t="s">
        <v>49</v>
      </c>
      <c r="C113" s="130" t="s">
        <v>75</v>
      </c>
      <c r="D113" s="129" t="s">
        <v>1</v>
      </c>
      <c r="E113" s="141">
        <v>1.395833333333333</v>
      </c>
      <c r="F113" s="129" t="s">
        <v>56</v>
      </c>
      <c r="G113" s="131">
        <v>2</v>
      </c>
      <c r="H113" s="132">
        <v>639</v>
      </c>
    </row>
    <row r="114" spans="1:8" ht="19.8" customHeight="1" x14ac:dyDescent="0.3">
      <c r="A114" s="140">
        <v>45987</v>
      </c>
      <c r="B114" s="129" t="s">
        <v>49</v>
      </c>
      <c r="C114" s="130" t="s">
        <v>66</v>
      </c>
      <c r="D114" s="129" t="s">
        <v>1</v>
      </c>
      <c r="E114" s="141">
        <v>1.7986111111111109</v>
      </c>
      <c r="F114" s="129" t="s">
        <v>56</v>
      </c>
      <c r="G114" s="131">
        <v>2</v>
      </c>
      <c r="H114" s="132">
        <v>639</v>
      </c>
    </row>
    <row r="115" spans="1:8" ht="19.8" customHeight="1" x14ac:dyDescent="0.3">
      <c r="A115" s="140">
        <v>45987</v>
      </c>
      <c r="B115" s="129" t="s">
        <v>104</v>
      </c>
      <c r="C115" s="130" t="s">
        <v>174</v>
      </c>
      <c r="D115" s="129" t="s">
        <v>1</v>
      </c>
      <c r="E115" s="141">
        <v>1.3923611111111109</v>
      </c>
      <c r="F115" s="129" t="s">
        <v>34</v>
      </c>
      <c r="G115" s="131">
        <v>9</v>
      </c>
      <c r="H115" s="132">
        <v>660</v>
      </c>
    </row>
    <row r="116" spans="1:8" ht="19.8" customHeight="1" x14ac:dyDescent="0.3">
      <c r="A116" s="140">
        <v>45987</v>
      </c>
      <c r="B116" s="129" t="s">
        <v>148</v>
      </c>
      <c r="C116" s="130" t="s">
        <v>176</v>
      </c>
      <c r="D116" s="129" t="s">
        <v>1</v>
      </c>
      <c r="E116" s="141">
        <v>1.7847222222222221</v>
      </c>
      <c r="F116" s="129" t="s">
        <v>150</v>
      </c>
      <c r="G116" s="131">
        <v>9</v>
      </c>
      <c r="H116" s="132">
        <v>673</v>
      </c>
    </row>
    <row r="117" spans="1:8" ht="19.8" customHeight="1" x14ac:dyDescent="0.3">
      <c r="A117" s="140">
        <v>45987</v>
      </c>
      <c r="B117" s="129" t="s">
        <v>125</v>
      </c>
      <c r="C117" s="130" t="s">
        <v>134</v>
      </c>
      <c r="D117" s="129" t="s">
        <v>1</v>
      </c>
      <c r="E117" s="141">
        <v>1.1423611111111109</v>
      </c>
      <c r="F117" s="129" t="s">
        <v>127</v>
      </c>
      <c r="G117" s="131">
        <v>5</v>
      </c>
      <c r="H117" s="132">
        <v>678</v>
      </c>
    </row>
    <row r="118" spans="1:8" ht="19.8" customHeight="1" x14ac:dyDescent="0.3">
      <c r="A118" s="140">
        <v>45987</v>
      </c>
      <c r="B118" s="129" t="s">
        <v>49</v>
      </c>
      <c r="C118" s="130" t="s">
        <v>58</v>
      </c>
      <c r="D118" s="129" t="s">
        <v>1</v>
      </c>
      <c r="E118" s="141">
        <v>1.645833333333333</v>
      </c>
      <c r="F118" s="129" t="s">
        <v>56</v>
      </c>
      <c r="G118" s="131">
        <v>6</v>
      </c>
      <c r="H118" s="132">
        <v>679</v>
      </c>
    </row>
    <row r="119" spans="1:8" ht="19.8" customHeight="1" x14ac:dyDescent="0.3">
      <c r="A119" s="140">
        <v>45987</v>
      </c>
      <c r="B119" s="129" t="s">
        <v>49</v>
      </c>
      <c r="C119" s="130" t="s">
        <v>63</v>
      </c>
      <c r="D119" s="129" t="s">
        <v>1</v>
      </c>
      <c r="E119" s="141">
        <v>1.854166666666667</v>
      </c>
      <c r="F119" s="129" t="s">
        <v>56</v>
      </c>
      <c r="G119" s="131">
        <v>5</v>
      </c>
      <c r="H119" s="132">
        <v>679</v>
      </c>
    </row>
    <row r="120" spans="1:8" ht="19.8" customHeight="1" x14ac:dyDescent="0.3">
      <c r="A120" s="140">
        <v>45987</v>
      </c>
      <c r="B120" s="129" t="s">
        <v>110</v>
      </c>
      <c r="C120" s="130" t="s">
        <v>115</v>
      </c>
      <c r="D120" s="129" t="s">
        <v>1</v>
      </c>
      <c r="E120" s="141">
        <v>1.8611111111111109</v>
      </c>
      <c r="F120" s="129" t="s">
        <v>112</v>
      </c>
      <c r="G120" s="131">
        <v>3</v>
      </c>
      <c r="H120" s="132">
        <v>695</v>
      </c>
    </row>
    <row r="121" spans="1:8" ht="19.8" customHeight="1" x14ac:dyDescent="0.3">
      <c r="A121" s="140">
        <v>45987</v>
      </c>
      <c r="B121" s="129" t="s">
        <v>125</v>
      </c>
      <c r="C121" s="130" t="s">
        <v>134</v>
      </c>
      <c r="D121" s="129" t="s">
        <v>1</v>
      </c>
      <c r="E121" s="141">
        <v>1.1423611111111109</v>
      </c>
      <c r="F121" s="129" t="s">
        <v>129</v>
      </c>
      <c r="G121" s="131">
        <v>5</v>
      </c>
      <c r="H121" s="132">
        <v>723</v>
      </c>
    </row>
    <row r="122" spans="1:8" ht="19.8" customHeight="1" x14ac:dyDescent="0.3">
      <c r="A122" s="140">
        <v>45987</v>
      </c>
      <c r="B122" s="129" t="s">
        <v>148</v>
      </c>
      <c r="C122" s="130" t="s">
        <v>157</v>
      </c>
      <c r="D122" s="129" t="s">
        <v>1</v>
      </c>
      <c r="E122" s="141">
        <v>1.145833333333333</v>
      </c>
      <c r="F122" s="129" t="s">
        <v>150</v>
      </c>
      <c r="G122" s="131">
        <v>9</v>
      </c>
      <c r="H122" s="132">
        <v>765</v>
      </c>
    </row>
    <row r="123" spans="1:8" ht="19.8" customHeight="1" x14ac:dyDescent="0.3">
      <c r="A123" s="140">
        <v>45987</v>
      </c>
      <c r="B123" s="129" t="s">
        <v>148</v>
      </c>
      <c r="C123" s="130" t="s">
        <v>149</v>
      </c>
      <c r="D123" s="129" t="s">
        <v>1</v>
      </c>
      <c r="E123" s="141">
        <v>1.4861111111111109</v>
      </c>
      <c r="F123" s="129" t="s">
        <v>150</v>
      </c>
      <c r="G123" s="131">
        <v>9</v>
      </c>
      <c r="H123" s="132">
        <v>842</v>
      </c>
    </row>
    <row r="124" spans="1:8" ht="19.8" customHeight="1" x14ac:dyDescent="0.3">
      <c r="A124" s="140">
        <v>45987</v>
      </c>
      <c r="B124" s="129" t="s">
        <v>148</v>
      </c>
      <c r="C124" s="130" t="s">
        <v>158</v>
      </c>
      <c r="D124" s="129" t="s">
        <v>1</v>
      </c>
      <c r="E124" s="141">
        <v>1.274305555555556</v>
      </c>
      <c r="F124" s="129" t="s">
        <v>150</v>
      </c>
      <c r="G124" s="131">
        <v>9</v>
      </c>
      <c r="H124" s="132">
        <v>842</v>
      </c>
    </row>
    <row r="125" spans="1:8" ht="19.8" customHeight="1" x14ac:dyDescent="0.3">
      <c r="A125" s="140">
        <v>45987</v>
      </c>
      <c r="B125" s="129" t="s">
        <v>148</v>
      </c>
      <c r="C125" s="130" t="s">
        <v>152</v>
      </c>
      <c r="D125" s="129" t="s">
        <v>1</v>
      </c>
      <c r="E125" s="141">
        <v>1.506944444444444</v>
      </c>
      <c r="F125" s="129" t="s">
        <v>150</v>
      </c>
      <c r="G125" s="131">
        <v>9</v>
      </c>
      <c r="H125" s="132">
        <v>842</v>
      </c>
    </row>
    <row r="126" spans="1:8" ht="19.8" customHeight="1" x14ac:dyDescent="0.3">
      <c r="A126" s="140">
        <v>45987</v>
      </c>
      <c r="B126" s="129" t="s">
        <v>148</v>
      </c>
      <c r="C126" s="130" t="s">
        <v>153</v>
      </c>
      <c r="D126" s="129" t="s">
        <v>1</v>
      </c>
      <c r="E126" s="141">
        <v>1.2222222222222221</v>
      </c>
      <c r="F126" s="129" t="s">
        <v>150</v>
      </c>
      <c r="G126" s="131">
        <v>9</v>
      </c>
      <c r="H126" s="132">
        <v>842</v>
      </c>
    </row>
    <row r="127" spans="1:8" ht="19.8" customHeight="1" x14ac:dyDescent="0.3">
      <c r="A127" s="140">
        <v>45987</v>
      </c>
      <c r="B127" s="129" t="s">
        <v>125</v>
      </c>
      <c r="C127" s="130" t="s">
        <v>126</v>
      </c>
      <c r="D127" s="129" t="s">
        <v>1</v>
      </c>
      <c r="E127" s="141">
        <v>1.3784722222222221</v>
      </c>
      <c r="F127" s="129" t="s">
        <v>127</v>
      </c>
      <c r="G127" s="131">
        <v>9</v>
      </c>
      <c r="H127" s="132">
        <v>935</v>
      </c>
    </row>
    <row r="128" spans="1:8" ht="19.8" customHeight="1" x14ac:dyDescent="0.3">
      <c r="A128" s="140">
        <v>45987</v>
      </c>
      <c r="B128" s="129" t="s">
        <v>125</v>
      </c>
      <c r="C128" s="130" t="s">
        <v>132</v>
      </c>
      <c r="D128" s="129" t="s">
        <v>1</v>
      </c>
      <c r="E128" s="141">
        <v>1.006944444444444</v>
      </c>
      <c r="F128" s="129" t="s">
        <v>127</v>
      </c>
      <c r="G128" s="131">
        <v>9</v>
      </c>
      <c r="H128" s="132">
        <v>935</v>
      </c>
    </row>
    <row r="129" spans="1:8" ht="19.8" customHeight="1" x14ac:dyDescent="0.3">
      <c r="A129" s="140">
        <v>45987</v>
      </c>
      <c r="B129" s="129" t="s">
        <v>125</v>
      </c>
      <c r="C129" s="130" t="s">
        <v>133</v>
      </c>
      <c r="D129" s="129" t="s">
        <v>1</v>
      </c>
      <c r="E129" s="141">
        <v>1.239583333333333</v>
      </c>
      <c r="F129" s="129" t="s">
        <v>127</v>
      </c>
      <c r="G129" s="131">
        <v>9</v>
      </c>
      <c r="H129" s="132">
        <v>935</v>
      </c>
    </row>
    <row r="130" spans="1:8" ht="19.8" customHeight="1" x14ac:dyDescent="0.3">
      <c r="A130" s="140">
        <v>45987</v>
      </c>
      <c r="B130" s="129" t="s">
        <v>148</v>
      </c>
      <c r="C130" s="130" t="s">
        <v>180</v>
      </c>
      <c r="D130" s="129" t="s">
        <v>1</v>
      </c>
      <c r="E130" s="141">
        <v>1.958333333333333</v>
      </c>
      <c r="F130" s="129" t="s">
        <v>150</v>
      </c>
      <c r="G130" s="131">
        <v>9</v>
      </c>
      <c r="H130" s="132">
        <v>970</v>
      </c>
    </row>
    <row r="131" spans="1:8" ht="19.8" customHeight="1" x14ac:dyDescent="0.3">
      <c r="A131" s="140">
        <v>45987</v>
      </c>
      <c r="B131" s="129" t="s">
        <v>125</v>
      </c>
      <c r="C131" s="130" t="s">
        <v>126</v>
      </c>
      <c r="D131" s="129" t="s">
        <v>1</v>
      </c>
      <c r="E131" s="141">
        <v>1.3784722222222221</v>
      </c>
      <c r="F131" s="129" t="s">
        <v>129</v>
      </c>
      <c r="G131" s="131">
        <v>9</v>
      </c>
      <c r="H131" s="132">
        <v>980</v>
      </c>
    </row>
    <row r="132" spans="1:8" ht="19.8" customHeight="1" x14ac:dyDescent="0.3">
      <c r="A132" s="140">
        <v>45987</v>
      </c>
      <c r="B132" s="129" t="s">
        <v>125</v>
      </c>
      <c r="C132" s="130" t="s">
        <v>132</v>
      </c>
      <c r="D132" s="129" t="s">
        <v>1</v>
      </c>
      <c r="E132" s="141">
        <v>1.006944444444444</v>
      </c>
      <c r="F132" s="129" t="s">
        <v>129</v>
      </c>
      <c r="G132" s="131">
        <v>9</v>
      </c>
      <c r="H132" s="132">
        <v>980</v>
      </c>
    </row>
    <row r="133" spans="1:8" ht="19.8" customHeight="1" x14ac:dyDescent="0.3">
      <c r="A133" s="140">
        <v>45987</v>
      </c>
      <c r="B133" s="129" t="s">
        <v>125</v>
      </c>
      <c r="C133" s="130" t="s">
        <v>133</v>
      </c>
      <c r="D133" s="129" t="s">
        <v>1</v>
      </c>
      <c r="E133" s="141">
        <v>1.239583333333333</v>
      </c>
      <c r="F133" s="129" t="s">
        <v>129</v>
      </c>
      <c r="G133" s="131">
        <v>9</v>
      </c>
      <c r="H133" s="132">
        <v>980</v>
      </c>
    </row>
    <row r="134" spans="1:8" ht="19.8" customHeight="1" x14ac:dyDescent="0.3">
      <c r="A134" s="140">
        <v>45987</v>
      </c>
      <c r="B134" s="129" t="s">
        <v>26</v>
      </c>
      <c r="C134" s="130" t="s">
        <v>36</v>
      </c>
      <c r="D134" s="129" t="s">
        <v>1</v>
      </c>
      <c r="E134" s="141">
        <v>1.302083333333333</v>
      </c>
      <c r="F134" s="129" t="s">
        <v>34</v>
      </c>
      <c r="G134" s="131">
        <v>6</v>
      </c>
      <c r="H134" s="142" t="s">
        <v>35</v>
      </c>
    </row>
    <row r="135" spans="1:8" ht="19.8" customHeight="1" x14ac:dyDescent="0.3">
      <c r="A135" s="140">
        <v>45987</v>
      </c>
      <c r="B135" s="129" t="s">
        <v>26</v>
      </c>
      <c r="C135" s="130" t="s">
        <v>27</v>
      </c>
      <c r="D135" s="129" t="s">
        <v>1</v>
      </c>
      <c r="E135" s="141">
        <v>1.1284722222222221</v>
      </c>
      <c r="F135" s="129" t="s">
        <v>34</v>
      </c>
      <c r="G135" s="131">
        <v>6</v>
      </c>
      <c r="H135" s="142" t="s">
        <v>35</v>
      </c>
    </row>
    <row r="136" spans="1:8" ht="19.8" customHeight="1" x14ac:dyDescent="0.3">
      <c r="A136" s="140">
        <v>45987</v>
      </c>
      <c r="B136" s="129" t="s">
        <v>26</v>
      </c>
      <c r="C136" s="130" t="s">
        <v>41</v>
      </c>
      <c r="D136" s="129" t="s">
        <v>1</v>
      </c>
      <c r="E136" s="141">
        <v>1.788194444444444</v>
      </c>
      <c r="F136" s="129" t="s">
        <v>34</v>
      </c>
      <c r="G136" s="131">
        <v>9</v>
      </c>
      <c r="H136" s="142" t="s">
        <v>35</v>
      </c>
    </row>
    <row r="137" spans="1:8" ht="19.8" customHeight="1" x14ac:dyDescent="0.3">
      <c r="A137" s="140">
        <v>45987</v>
      </c>
      <c r="B137" s="129" t="s">
        <v>26</v>
      </c>
      <c r="C137" s="130" t="s">
        <v>44</v>
      </c>
      <c r="D137" s="129" t="s">
        <v>1</v>
      </c>
      <c r="E137" s="141">
        <v>1.8888888888888891</v>
      </c>
      <c r="F137" s="129" t="s">
        <v>34</v>
      </c>
      <c r="G137" s="131">
        <v>4</v>
      </c>
      <c r="H137" s="142" t="s">
        <v>35</v>
      </c>
    </row>
    <row r="138" spans="1:8" ht="19.8" customHeight="1" x14ac:dyDescent="0.3">
      <c r="A138" s="140">
        <v>45987</v>
      </c>
      <c r="B138" s="129" t="s">
        <v>125</v>
      </c>
      <c r="C138" s="130" t="s">
        <v>140</v>
      </c>
      <c r="D138" s="129" t="s">
        <v>1</v>
      </c>
      <c r="E138" s="141">
        <v>1.8888888888888891</v>
      </c>
      <c r="F138" s="129" t="s">
        <v>129</v>
      </c>
      <c r="G138" s="131">
        <v>4</v>
      </c>
      <c r="H138" s="142" t="s">
        <v>184</v>
      </c>
    </row>
    <row r="139" spans="1:8" ht="19.8" customHeight="1" x14ac:dyDescent="0.3">
      <c r="A139" s="140">
        <v>45987</v>
      </c>
      <c r="B139" s="129" t="s">
        <v>148</v>
      </c>
      <c r="C139" s="130" t="s">
        <v>155</v>
      </c>
      <c r="D139" s="129" t="s">
        <v>1</v>
      </c>
      <c r="E139" s="141">
        <v>1.0138888888888891</v>
      </c>
      <c r="F139" s="129" t="s">
        <v>150</v>
      </c>
      <c r="G139" s="131">
        <v>9</v>
      </c>
      <c r="H139" s="142" t="s">
        <v>156</v>
      </c>
    </row>
    <row r="140" spans="1:8" ht="19.8" customHeight="1" x14ac:dyDescent="0.3">
      <c r="A140" s="140">
        <v>45987</v>
      </c>
      <c r="B140" s="129" t="s">
        <v>125</v>
      </c>
      <c r="C140" s="130" t="s">
        <v>135</v>
      </c>
      <c r="D140" s="129" t="s">
        <v>1</v>
      </c>
      <c r="E140" s="141">
        <v>1.930555555555556</v>
      </c>
      <c r="F140" s="129" t="s">
        <v>127</v>
      </c>
      <c r="G140" s="131">
        <v>9</v>
      </c>
      <c r="H140" s="142" t="s">
        <v>185</v>
      </c>
    </row>
    <row r="141" spans="1:8" ht="19.8" customHeight="1" x14ac:dyDescent="0.3">
      <c r="A141" s="140">
        <v>45987</v>
      </c>
      <c r="B141" s="129" t="s">
        <v>125</v>
      </c>
      <c r="C141" s="130" t="s">
        <v>135</v>
      </c>
      <c r="D141" s="129" t="s">
        <v>1</v>
      </c>
      <c r="E141" s="141">
        <v>1.930555555555556</v>
      </c>
      <c r="F141" s="129" t="s">
        <v>129</v>
      </c>
      <c r="G141" s="131">
        <v>9</v>
      </c>
      <c r="H141" s="142" t="s">
        <v>186</v>
      </c>
    </row>
    <row r="142" spans="1:8" ht="19.8" customHeight="1" x14ac:dyDescent="0.3">
      <c r="A142" s="140">
        <v>45987</v>
      </c>
      <c r="B142" s="129" t="s">
        <v>125</v>
      </c>
      <c r="C142" s="130" t="s">
        <v>142</v>
      </c>
      <c r="D142" s="129" t="s">
        <v>1</v>
      </c>
      <c r="E142" s="141">
        <v>1.302083333333333</v>
      </c>
      <c r="F142" s="129" t="s">
        <v>129</v>
      </c>
      <c r="G142" s="131">
        <v>4</v>
      </c>
      <c r="H142" s="142" t="s">
        <v>141</v>
      </c>
    </row>
    <row r="143" spans="1:8" ht="19.8" customHeight="1" x14ac:dyDescent="0.3">
      <c r="A143" s="140">
        <v>45987</v>
      </c>
      <c r="B143" s="129" t="s">
        <v>125</v>
      </c>
      <c r="C143" s="130" t="s">
        <v>143</v>
      </c>
      <c r="D143" s="129" t="s">
        <v>1</v>
      </c>
      <c r="E143" s="141">
        <v>1.1284722222222221</v>
      </c>
      <c r="F143" s="129" t="s">
        <v>129</v>
      </c>
      <c r="G143" s="131">
        <v>4</v>
      </c>
      <c r="H143" s="142" t="s">
        <v>141</v>
      </c>
    </row>
    <row r="144" spans="1:8" ht="19.8" customHeight="1" x14ac:dyDescent="0.3">
      <c r="A144" s="140">
        <v>45987</v>
      </c>
      <c r="B144" s="129" t="s">
        <v>125</v>
      </c>
      <c r="C144" s="130" t="s">
        <v>144</v>
      </c>
      <c r="D144" s="129" t="s">
        <v>1</v>
      </c>
      <c r="E144" s="141">
        <v>1.788194444444444</v>
      </c>
      <c r="F144" s="129" t="s">
        <v>129</v>
      </c>
      <c r="G144" s="131">
        <v>4</v>
      </c>
      <c r="H144" s="142" t="s">
        <v>141</v>
      </c>
    </row>
    <row r="145" spans="1:8" ht="19.8" customHeight="1" x14ac:dyDescent="0.3">
      <c r="A145" s="140">
        <v>45987</v>
      </c>
      <c r="B145" s="129" t="s">
        <v>125</v>
      </c>
      <c r="C145" s="130" t="s">
        <v>136</v>
      </c>
      <c r="D145" s="129" t="s">
        <v>1</v>
      </c>
      <c r="E145" s="141">
        <v>1.71875</v>
      </c>
      <c r="F145" s="129" t="s">
        <v>127</v>
      </c>
      <c r="G145" s="131">
        <v>9</v>
      </c>
      <c r="H145" s="142" t="s">
        <v>187</v>
      </c>
    </row>
    <row r="146" spans="1:8" ht="19.8" customHeight="1" x14ac:dyDescent="0.3">
      <c r="A146" s="140">
        <v>45987</v>
      </c>
      <c r="B146" s="129" t="s">
        <v>125</v>
      </c>
      <c r="C146" s="130" t="s">
        <v>145</v>
      </c>
      <c r="D146" s="129" t="s">
        <v>1</v>
      </c>
      <c r="E146" s="141">
        <v>1.6111111111111109</v>
      </c>
      <c r="F146" s="129" t="s">
        <v>127</v>
      </c>
      <c r="G146" s="131">
        <v>9</v>
      </c>
      <c r="H146" s="142" t="s">
        <v>187</v>
      </c>
    </row>
    <row r="147" spans="1:8" ht="19.8" customHeight="1" x14ac:dyDescent="0.3">
      <c r="A147" s="140">
        <v>45987</v>
      </c>
      <c r="B147" s="129" t="s">
        <v>125</v>
      </c>
      <c r="C147" s="130" t="s">
        <v>139</v>
      </c>
      <c r="D147" s="129" t="s">
        <v>1</v>
      </c>
      <c r="E147" s="141">
        <v>1.8298611111111109</v>
      </c>
      <c r="F147" s="129" t="s">
        <v>127</v>
      </c>
      <c r="G147" s="131">
        <v>9</v>
      </c>
      <c r="H147" s="142" t="s">
        <v>187</v>
      </c>
    </row>
    <row r="148" spans="1:8" ht="19.8" customHeight="1" x14ac:dyDescent="0.3">
      <c r="A148" s="140">
        <v>45987</v>
      </c>
      <c r="B148" s="129" t="s">
        <v>125</v>
      </c>
      <c r="C148" s="130" t="s">
        <v>136</v>
      </c>
      <c r="D148" s="129" t="s">
        <v>1</v>
      </c>
      <c r="E148" s="141">
        <v>1.71875</v>
      </c>
      <c r="F148" s="129" t="s">
        <v>129</v>
      </c>
      <c r="G148" s="131">
        <v>9</v>
      </c>
      <c r="H148" s="142" t="s">
        <v>188</v>
      </c>
    </row>
    <row r="149" spans="1:8" ht="19.8" customHeight="1" x14ac:dyDescent="0.3">
      <c r="A149" s="140">
        <v>45987</v>
      </c>
      <c r="B149" s="129" t="s">
        <v>125</v>
      </c>
      <c r="C149" s="130" t="s">
        <v>145</v>
      </c>
      <c r="D149" s="129" t="s">
        <v>1</v>
      </c>
      <c r="E149" s="141">
        <v>1.6111111111111109</v>
      </c>
      <c r="F149" s="129" t="s">
        <v>129</v>
      </c>
      <c r="G149" s="131">
        <v>9</v>
      </c>
      <c r="H149" s="142" t="s">
        <v>188</v>
      </c>
    </row>
    <row r="150" spans="1:8" ht="19.8" customHeight="1" x14ac:dyDescent="0.3">
      <c r="A150" s="140">
        <v>45987</v>
      </c>
      <c r="B150" s="129" t="s">
        <v>125</v>
      </c>
      <c r="C150" s="130" t="s">
        <v>139</v>
      </c>
      <c r="D150" s="129" t="s">
        <v>1</v>
      </c>
      <c r="E150" s="141">
        <v>1.8298611111111109</v>
      </c>
      <c r="F150" s="129" t="s">
        <v>129</v>
      </c>
      <c r="G150" s="131">
        <v>9</v>
      </c>
      <c r="H150" s="142" t="s">
        <v>188</v>
      </c>
    </row>
    <row r="151" spans="1:8" ht="19.8" customHeight="1" x14ac:dyDescent="0.3">
      <c r="A151" s="149">
        <v>45987</v>
      </c>
      <c r="B151" s="150" t="s">
        <v>148</v>
      </c>
      <c r="C151" s="151" t="s">
        <v>160</v>
      </c>
      <c r="D151" s="150" t="s">
        <v>1</v>
      </c>
      <c r="E151" s="152">
        <v>1.774305555555556</v>
      </c>
      <c r="F151" s="150" t="s">
        <v>150</v>
      </c>
      <c r="G151" s="153">
        <v>3</v>
      </c>
      <c r="H151" s="154" t="s">
        <v>161</v>
      </c>
    </row>
    <row r="152" spans="1:8" ht="19.8" customHeight="1" x14ac:dyDescent="0.3">
      <c r="A152" s="140">
        <v>45988</v>
      </c>
      <c r="B152" s="129" t="s">
        <v>26</v>
      </c>
      <c r="C152" s="130" t="s">
        <v>36</v>
      </c>
      <c r="D152" s="129" t="s">
        <v>1</v>
      </c>
      <c r="E152" s="141">
        <v>1.302083333333333</v>
      </c>
      <c r="F152" s="129" t="s">
        <v>28</v>
      </c>
      <c r="G152" s="131">
        <v>2</v>
      </c>
      <c r="H152" s="132">
        <v>359</v>
      </c>
    </row>
    <row r="153" spans="1:8" ht="19.8" customHeight="1" x14ac:dyDescent="0.3">
      <c r="A153" s="140">
        <v>45988</v>
      </c>
      <c r="B153" s="129" t="s">
        <v>26</v>
      </c>
      <c r="C153" s="130" t="s">
        <v>27</v>
      </c>
      <c r="D153" s="129" t="s">
        <v>1</v>
      </c>
      <c r="E153" s="141">
        <v>1.1284722222222221</v>
      </c>
      <c r="F153" s="129" t="s">
        <v>28</v>
      </c>
      <c r="G153" s="131">
        <v>6</v>
      </c>
      <c r="H153" s="132">
        <v>359</v>
      </c>
    </row>
    <row r="154" spans="1:8" ht="19.8" customHeight="1" x14ac:dyDescent="0.3">
      <c r="A154" s="140">
        <v>45988</v>
      </c>
      <c r="B154" s="129" t="s">
        <v>110</v>
      </c>
      <c r="C154" s="130" t="s">
        <v>111</v>
      </c>
      <c r="D154" s="129" t="s">
        <v>1</v>
      </c>
      <c r="E154" s="141">
        <v>1.291666666666667</v>
      </c>
      <c r="F154" s="129" t="s">
        <v>112</v>
      </c>
      <c r="G154" s="131">
        <v>9</v>
      </c>
      <c r="H154" s="132">
        <v>400</v>
      </c>
    </row>
    <row r="155" spans="1:8" ht="19.8" customHeight="1" x14ac:dyDescent="0.3">
      <c r="A155" s="140">
        <v>45988</v>
      </c>
      <c r="B155" s="129" t="s">
        <v>110</v>
      </c>
      <c r="C155" s="130" t="s">
        <v>115</v>
      </c>
      <c r="D155" s="129" t="s">
        <v>1</v>
      </c>
      <c r="E155" s="141">
        <v>1.59375</v>
      </c>
      <c r="F155" s="129" t="s">
        <v>112</v>
      </c>
      <c r="G155" s="131">
        <v>9</v>
      </c>
      <c r="H155" s="132">
        <v>400</v>
      </c>
    </row>
    <row r="156" spans="1:8" ht="19.8" customHeight="1" x14ac:dyDescent="0.3">
      <c r="A156" s="140">
        <v>45988</v>
      </c>
      <c r="B156" s="129" t="s">
        <v>49</v>
      </c>
      <c r="C156" s="130" t="s">
        <v>50</v>
      </c>
      <c r="D156" s="129" t="s">
        <v>1</v>
      </c>
      <c r="E156" s="141">
        <v>1.9027777777777779</v>
      </c>
      <c r="F156" s="129" t="s">
        <v>51</v>
      </c>
      <c r="G156" s="131">
        <v>1</v>
      </c>
      <c r="H156" s="132">
        <v>409</v>
      </c>
    </row>
    <row r="157" spans="1:8" ht="19.8" customHeight="1" x14ac:dyDescent="0.3">
      <c r="A157" s="140">
        <v>45988</v>
      </c>
      <c r="B157" s="129" t="s">
        <v>49</v>
      </c>
      <c r="C157" s="130" t="s">
        <v>58</v>
      </c>
      <c r="D157" s="129" t="s">
        <v>1</v>
      </c>
      <c r="E157" s="141">
        <v>1.6597222222222221</v>
      </c>
      <c r="F157" s="129" t="s">
        <v>51</v>
      </c>
      <c r="G157" s="131">
        <v>9</v>
      </c>
      <c r="H157" s="132">
        <v>409</v>
      </c>
    </row>
    <row r="158" spans="1:8" ht="19.8" customHeight="1" x14ac:dyDescent="0.3">
      <c r="A158" s="140">
        <v>45988</v>
      </c>
      <c r="B158" s="129" t="s">
        <v>49</v>
      </c>
      <c r="C158" s="130" t="s">
        <v>61</v>
      </c>
      <c r="D158" s="129" t="s">
        <v>1</v>
      </c>
      <c r="E158" s="141">
        <v>1.5173611111111109</v>
      </c>
      <c r="F158" s="129" t="s">
        <v>51</v>
      </c>
      <c r="G158" s="131">
        <v>9</v>
      </c>
      <c r="H158" s="132">
        <v>409</v>
      </c>
    </row>
    <row r="159" spans="1:8" ht="19.8" customHeight="1" x14ac:dyDescent="0.3">
      <c r="A159" s="140">
        <v>45988</v>
      </c>
      <c r="B159" s="129" t="s">
        <v>49</v>
      </c>
      <c r="C159" s="130" t="s">
        <v>63</v>
      </c>
      <c r="D159" s="129" t="s">
        <v>1</v>
      </c>
      <c r="E159" s="141">
        <v>1.854166666666667</v>
      </c>
      <c r="F159" s="129" t="s">
        <v>51</v>
      </c>
      <c r="G159" s="131">
        <v>2</v>
      </c>
      <c r="H159" s="132">
        <v>409</v>
      </c>
    </row>
    <row r="160" spans="1:8" ht="19.8" customHeight="1" x14ac:dyDescent="0.3">
      <c r="A160" s="140">
        <v>45988</v>
      </c>
      <c r="B160" s="129" t="s">
        <v>49</v>
      </c>
      <c r="C160" s="130" t="s">
        <v>76</v>
      </c>
      <c r="D160" s="129" t="s">
        <v>1</v>
      </c>
      <c r="E160" s="141">
        <v>1.302083333333333</v>
      </c>
      <c r="F160" s="129" t="s">
        <v>51</v>
      </c>
      <c r="G160" s="131">
        <v>5</v>
      </c>
      <c r="H160" s="132">
        <v>409</v>
      </c>
    </row>
    <row r="161" spans="1:8" ht="19.8" customHeight="1" x14ac:dyDescent="0.3">
      <c r="A161" s="140">
        <v>45988</v>
      </c>
      <c r="B161" s="129" t="s">
        <v>49</v>
      </c>
      <c r="C161" s="130" t="s">
        <v>66</v>
      </c>
      <c r="D161" s="129" t="s">
        <v>1</v>
      </c>
      <c r="E161" s="141">
        <v>1.7986111111111109</v>
      </c>
      <c r="F161" s="129" t="s">
        <v>51</v>
      </c>
      <c r="G161" s="131">
        <v>6</v>
      </c>
      <c r="H161" s="132">
        <v>409</v>
      </c>
    </row>
    <row r="162" spans="1:8" ht="19.8" customHeight="1" x14ac:dyDescent="0.3">
      <c r="A162" s="140">
        <v>45988</v>
      </c>
      <c r="B162" s="129" t="s">
        <v>26</v>
      </c>
      <c r="C162" s="130" t="s">
        <v>41</v>
      </c>
      <c r="D162" s="129" t="s">
        <v>1</v>
      </c>
      <c r="E162" s="141">
        <v>1.788194444444444</v>
      </c>
      <c r="F162" s="129" t="s">
        <v>28</v>
      </c>
      <c r="G162" s="131">
        <v>10</v>
      </c>
      <c r="H162" s="132">
        <v>419</v>
      </c>
    </row>
    <row r="163" spans="1:8" ht="19.8" customHeight="1" x14ac:dyDescent="0.3">
      <c r="A163" s="140">
        <v>45988</v>
      </c>
      <c r="B163" s="129" t="s">
        <v>26</v>
      </c>
      <c r="C163" s="130" t="s">
        <v>44</v>
      </c>
      <c r="D163" s="129" t="s">
        <v>1</v>
      </c>
      <c r="E163" s="141">
        <v>1.8888888888888891</v>
      </c>
      <c r="F163" s="129" t="s">
        <v>28</v>
      </c>
      <c r="G163" s="131">
        <v>9</v>
      </c>
      <c r="H163" s="132">
        <v>419</v>
      </c>
    </row>
    <row r="164" spans="1:8" ht="19.8" customHeight="1" x14ac:dyDescent="0.3">
      <c r="A164" s="138">
        <v>45988</v>
      </c>
      <c r="B164" s="134" t="s">
        <v>77</v>
      </c>
      <c r="C164" s="135" t="s">
        <v>191</v>
      </c>
      <c r="D164" s="134" t="s">
        <v>1</v>
      </c>
      <c r="E164" s="139">
        <v>1.364583333333333</v>
      </c>
      <c r="F164" s="134" t="s">
        <v>79</v>
      </c>
      <c r="G164" s="136">
        <v>9</v>
      </c>
      <c r="H164" s="137">
        <v>436</v>
      </c>
    </row>
    <row r="165" spans="1:8" ht="19.8" customHeight="1" x14ac:dyDescent="0.3">
      <c r="A165" s="138">
        <v>45988</v>
      </c>
      <c r="B165" s="134" t="s">
        <v>77</v>
      </c>
      <c r="C165" s="135" t="s">
        <v>196</v>
      </c>
      <c r="D165" s="134" t="s">
        <v>1</v>
      </c>
      <c r="E165" s="139">
        <v>1.2534722222222221</v>
      </c>
      <c r="F165" s="134" t="s">
        <v>79</v>
      </c>
      <c r="G165" s="136">
        <v>5</v>
      </c>
      <c r="H165" s="137">
        <v>436</v>
      </c>
    </row>
    <row r="166" spans="1:8" ht="19.8" customHeight="1" x14ac:dyDescent="0.3">
      <c r="A166" s="138">
        <v>45988</v>
      </c>
      <c r="B166" s="134" t="s">
        <v>77</v>
      </c>
      <c r="C166" s="135" t="s">
        <v>84</v>
      </c>
      <c r="D166" s="134" t="s">
        <v>1</v>
      </c>
      <c r="E166" s="139">
        <v>1.333333333333333</v>
      </c>
      <c r="F166" s="134" t="s">
        <v>79</v>
      </c>
      <c r="G166" s="136">
        <v>6</v>
      </c>
      <c r="H166" s="137">
        <v>436</v>
      </c>
    </row>
    <row r="167" spans="1:8" ht="19.8" customHeight="1" x14ac:dyDescent="0.3">
      <c r="A167" s="138">
        <v>45988</v>
      </c>
      <c r="B167" s="134" t="s">
        <v>77</v>
      </c>
      <c r="C167" s="135" t="s">
        <v>92</v>
      </c>
      <c r="D167" s="134" t="s">
        <v>1</v>
      </c>
      <c r="E167" s="139">
        <v>1.583333333333333</v>
      </c>
      <c r="F167" s="134" t="s">
        <v>79</v>
      </c>
      <c r="G167" s="136">
        <v>5</v>
      </c>
      <c r="H167" s="137">
        <v>436</v>
      </c>
    </row>
    <row r="168" spans="1:8" ht="19.8" customHeight="1" x14ac:dyDescent="0.3">
      <c r="A168" s="138">
        <v>45988</v>
      </c>
      <c r="B168" s="134" t="s">
        <v>77</v>
      </c>
      <c r="C168" s="135" t="s">
        <v>202</v>
      </c>
      <c r="D168" s="134" t="s">
        <v>1</v>
      </c>
      <c r="E168" s="139">
        <v>1.739583333333333</v>
      </c>
      <c r="F168" s="134" t="s">
        <v>79</v>
      </c>
      <c r="G168" s="136">
        <v>5</v>
      </c>
      <c r="H168" s="137">
        <v>436</v>
      </c>
    </row>
    <row r="169" spans="1:8" ht="19.8" customHeight="1" x14ac:dyDescent="0.3">
      <c r="A169" s="140">
        <v>45988</v>
      </c>
      <c r="B169" s="129" t="s">
        <v>49</v>
      </c>
      <c r="C169" s="130" t="s">
        <v>69</v>
      </c>
      <c r="D169" s="129" t="s">
        <v>1</v>
      </c>
      <c r="E169" s="141">
        <v>1.256944444444444</v>
      </c>
      <c r="F169" s="129" t="s">
        <v>51</v>
      </c>
      <c r="G169" s="131">
        <v>9</v>
      </c>
      <c r="H169" s="132">
        <v>449</v>
      </c>
    </row>
    <row r="170" spans="1:8" ht="19.8" customHeight="1" x14ac:dyDescent="0.3">
      <c r="A170" s="140">
        <v>45988</v>
      </c>
      <c r="B170" s="129" t="s">
        <v>49</v>
      </c>
      <c r="C170" s="130" t="s">
        <v>75</v>
      </c>
      <c r="D170" s="129" t="s">
        <v>1</v>
      </c>
      <c r="E170" s="141">
        <v>1.395833333333333</v>
      </c>
      <c r="F170" s="129" t="s">
        <v>51</v>
      </c>
      <c r="G170" s="131">
        <v>9</v>
      </c>
      <c r="H170" s="132">
        <v>449</v>
      </c>
    </row>
    <row r="171" spans="1:8" ht="19.8" customHeight="1" x14ac:dyDescent="0.3">
      <c r="A171" s="138">
        <v>45988</v>
      </c>
      <c r="B171" s="134" t="s">
        <v>77</v>
      </c>
      <c r="C171" s="135" t="s">
        <v>87</v>
      </c>
      <c r="D171" s="134" t="s">
        <v>1</v>
      </c>
      <c r="E171" s="139">
        <v>1.0486111111111109</v>
      </c>
      <c r="F171" s="134" t="s">
        <v>79</v>
      </c>
      <c r="G171" s="136">
        <v>6</v>
      </c>
      <c r="H171" s="137">
        <v>471</v>
      </c>
    </row>
    <row r="172" spans="1:8" ht="19.8" customHeight="1" x14ac:dyDescent="0.3">
      <c r="A172" s="138">
        <v>45988</v>
      </c>
      <c r="B172" s="134" t="s">
        <v>77</v>
      </c>
      <c r="C172" s="135" t="s">
        <v>78</v>
      </c>
      <c r="D172" s="134" t="s">
        <v>1</v>
      </c>
      <c r="E172" s="139">
        <v>1.114583333333333</v>
      </c>
      <c r="F172" s="134" t="s">
        <v>79</v>
      </c>
      <c r="G172" s="136">
        <v>9</v>
      </c>
      <c r="H172" s="137">
        <v>471</v>
      </c>
    </row>
    <row r="173" spans="1:8" ht="19.8" customHeight="1" x14ac:dyDescent="0.3">
      <c r="A173" s="140">
        <v>45988</v>
      </c>
      <c r="B173" s="129" t="s">
        <v>104</v>
      </c>
      <c r="C173" s="130" t="s">
        <v>174</v>
      </c>
      <c r="D173" s="129" t="s">
        <v>1</v>
      </c>
      <c r="E173" s="141">
        <v>1.3298611111111109</v>
      </c>
      <c r="F173" s="129" t="s">
        <v>106</v>
      </c>
      <c r="G173" s="131">
        <v>9</v>
      </c>
      <c r="H173" s="132">
        <v>477</v>
      </c>
    </row>
    <row r="174" spans="1:8" ht="19.8" customHeight="1" x14ac:dyDescent="0.3">
      <c r="A174" s="140">
        <v>45988</v>
      </c>
      <c r="B174" s="129" t="s">
        <v>26</v>
      </c>
      <c r="C174" s="130" t="s">
        <v>36</v>
      </c>
      <c r="D174" s="129" t="s">
        <v>1</v>
      </c>
      <c r="E174" s="141">
        <v>1.302083333333333</v>
      </c>
      <c r="F174" s="129" t="s">
        <v>31</v>
      </c>
      <c r="G174" s="131">
        <v>2</v>
      </c>
      <c r="H174" s="132">
        <v>509</v>
      </c>
    </row>
    <row r="175" spans="1:8" ht="19.8" customHeight="1" x14ac:dyDescent="0.3">
      <c r="A175" s="140">
        <v>45988</v>
      </c>
      <c r="B175" s="129" t="s">
        <v>26</v>
      </c>
      <c r="C175" s="130" t="s">
        <v>27</v>
      </c>
      <c r="D175" s="129" t="s">
        <v>1</v>
      </c>
      <c r="E175" s="141">
        <v>1.1284722222222221</v>
      </c>
      <c r="F175" s="129" t="s">
        <v>31</v>
      </c>
      <c r="G175" s="131">
        <v>6</v>
      </c>
      <c r="H175" s="132">
        <v>509</v>
      </c>
    </row>
    <row r="176" spans="1:8" ht="19.8" customHeight="1" x14ac:dyDescent="0.3">
      <c r="A176" s="140">
        <v>45988</v>
      </c>
      <c r="B176" s="129" t="s">
        <v>49</v>
      </c>
      <c r="C176" s="130" t="s">
        <v>50</v>
      </c>
      <c r="D176" s="129" t="s">
        <v>1</v>
      </c>
      <c r="E176" s="141">
        <v>1.9027777777777779</v>
      </c>
      <c r="F176" s="129" t="s">
        <v>54</v>
      </c>
      <c r="G176" s="131">
        <v>1</v>
      </c>
      <c r="H176" s="132">
        <v>509</v>
      </c>
    </row>
    <row r="177" spans="1:8" ht="19.8" customHeight="1" x14ac:dyDescent="0.3">
      <c r="A177" s="140">
        <v>45988</v>
      </c>
      <c r="B177" s="129" t="s">
        <v>49</v>
      </c>
      <c r="C177" s="130" t="s">
        <v>58</v>
      </c>
      <c r="D177" s="129" t="s">
        <v>1</v>
      </c>
      <c r="E177" s="141">
        <v>1.6597222222222221</v>
      </c>
      <c r="F177" s="129" t="s">
        <v>54</v>
      </c>
      <c r="G177" s="131">
        <v>9</v>
      </c>
      <c r="H177" s="132">
        <v>509</v>
      </c>
    </row>
    <row r="178" spans="1:8" ht="19.8" customHeight="1" x14ac:dyDescent="0.3">
      <c r="A178" s="140">
        <v>45988</v>
      </c>
      <c r="B178" s="129" t="s">
        <v>49</v>
      </c>
      <c r="C178" s="130" t="s">
        <v>61</v>
      </c>
      <c r="D178" s="129" t="s">
        <v>1</v>
      </c>
      <c r="E178" s="141">
        <v>1.5173611111111109</v>
      </c>
      <c r="F178" s="129" t="s">
        <v>54</v>
      </c>
      <c r="G178" s="131">
        <v>9</v>
      </c>
      <c r="H178" s="132">
        <v>509</v>
      </c>
    </row>
    <row r="179" spans="1:8" ht="19.8" customHeight="1" x14ac:dyDescent="0.3">
      <c r="A179" s="140">
        <v>45988</v>
      </c>
      <c r="B179" s="129" t="s">
        <v>49</v>
      </c>
      <c r="C179" s="130" t="s">
        <v>63</v>
      </c>
      <c r="D179" s="129" t="s">
        <v>1</v>
      </c>
      <c r="E179" s="141">
        <v>1.854166666666667</v>
      </c>
      <c r="F179" s="129" t="s">
        <v>54</v>
      </c>
      <c r="G179" s="131">
        <v>2</v>
      </c>
      <c r="H179" s="132">
        <v>509</v>
      </c>
    </row>
    <row r="180" spans="1:8" ht="19.8" customHeight="1" x14ac:dyDescent="0.3">
      <c r="A180" s="140">
        <v>45988</v>
      </c>
      <c r="B180" s="129" t="s">
        <v>49</v>
      </c>
      <c r="C180" s="130" t="s">
        <v>76</v>
      </c>
      <c r="D180" s="129" t="s">
        <v>1</v>
      </c>
      <c r="E180" s="141">
        <v>1.302083333333333</v>
      </c>
      <c r="F180" s="129" t="s">
        <v>54</v>
      </c>
      <c r="G180" s="131">
        <v>5</v>
      </c>
      <c r="H180" s="132">
        <v>509</v>
      </c>
    </row>
    <row r="181" spans="1:8" ht="19.8" customHeight="1" x14ac:dyDescent="0.3">
      <c r="A181" s="140">
        <v>45988</v>
      </c>
      <c r="B181" s="129" t="s">
        <v>49</v>
      </c>
      <c r="C181" s="130" t="s">
        <v>66</v>
      </c>
      <c r="D181" s="129" t="s">
        <v>1</v>
      </c>
      <c r="E181" s="141">
        <v>1.7986111111111109</v>
      </c>
      <c r="F181" s="129" t="s">
        <v>54</v>
      </c>
      <c r="G181" s="131">
        <v>6</v>
      </c>
      <c r="H181" s="132">
        <v>509</v>
      </c>
    </row>
    <row r="182" spans="1:8" ht="19.8" customHeight="1" x14ac:dyDescent="0.3">
      <c r="A182" s="140">
        <v>45988</v>
      </c>
      <c r="B182" s="129" t="s">
        <v>49</v>
      </c>
      <c r="C182" s="130" t="s">
        <v>69</v>
      </c>
      <c r="D182" s="129" t="s">
        <v>1</v>
      </c>
      <c r="E182" s="141">
        <v>1.256944444444444</v>
      </c>
      <c r="F182" s="129" t="s">
        <v>54</v>
      </c>
      <c r="G182" s="131">
        <v>9</v>
      </c>
      <c r="H182" s="132">
        <v>549</v>
      </c>
    </row>
    <row r="183" spans="1:8" ht="19.8" customHeight="1" x14ac:dyDescent="0.3">
      <c r="A183" s="140">
        <v>45988</v>
      </c>
      <c r="B183" s="129" t="s">
        <v>49</v>
      </c>
      <c r="C183" s="130" t="s">
        <v>75</v>
      </c>
      <c r="D183" s="129" t="s">
        <v>1</v>
      </c>
      <c r="E183" s="141">
        <v>1.395833333333333</v>
      </c>
      <c r="F183" s="129" t="s">
        <v>54</v>
      </c>
      <c r="G183" s="131">
        <v>9</v>
      </c>
      <c r="H183" s="132">
        <v>549</v>
      </c>
    </row>
    <row r="184" spans="1:8" ht="19.8" customHeight="1" x14ac:dyDescent="0.3">
      <c r="A184" s="140">
        <v>45988</v>
      </c>
      <c r="B184" s="129" t="s">
        <v>26</v>
      </c>
      <c r="C184" s="130" t="s">
        <v>41</v>
      </c>
      <c r="D184" s="129" t="s">
        <v>1</v>
      </c>
      <c r="E184" s="141">
        <v>1.788194444444444</v>
      </c>
      <c r="F184" s="129" t="s">
        <v>31</v>
      </c>
      <c r="G184" s="131">
        <v>10</v>
      </c>
      <c r="H184" s="132">
        <v>569</v>
      </c>
    </row>
    <row r="185" spans="1:8" ht="19.8" customHeight="1" x14ac:dyDescent="0.3">
      <c r="A185" s="140">
        <v>45988</v>
      </c>
      <c r="B185" s="129" t="s">
        <v>26</v>
      </c>
      <c r="C185" s="130" t="s">
        <v>44</v>
      </c>
      <c r="D185" s="129" t="s">
        <v>1</v>
      </c>
      <c r="E185" s="141">
        <v>1.8888888888888891</v>
      </c>
      <c r="F185" s="129" t="s">
        <v>31</v>
      </c>
      <c r="G185" s="131">
        <v>9</v>
      </c>
      <c r="H185" s="132">
        <v>569</v>
      </c>
    </row>
    <row r="186" spans="1:8" ht="19.8" customHeight="1" x14ac:dyDescent="0.3">
      <c r="A186" s="140">
        <v>45988</v>
      </c>
      <c r="B186" s="129" t="s">
        <v>118</v>
      </c>
      <c r="C186" s="130" t="s">
        <v>119</v>
      </c>
      <c r="D186" s="129" t="s">
        <v>1</v>
      </c>
      <c r="E186" s="141">
        <v>1.666666666666667</v>
      </c>
      <c r="F186" s="129" t="s">
        <v>112</v>
      </c>
      <c r="G186" s="131">
        <v>7</v>
      </c>
      <c r="H186" s="132">
        <v>599</v>
      </c>
    </row>
    <row r="187" spans="1:8" ht="19.8" customHeight="1" x14ac:dyDescent="0.3">
      <c r="A187" s="140">
        <v>45988</v>
      </c>
      <c r="B187" s="129" t="s">
        <v>49</v>
      </c>
      <c r="C187" s="130" t="s">
        <v>50</v>
      </c>
      <c r="D187" s="129" t="s">
        <v>1</v>
      </c>
      <c r="E187" s="141">
        <v>1.9027777777777779</v>
      </c>
      <c r="F187" s="129" t="s">
        <v>56</v>
      </c>
      <c r="G187" s="131">
        <v>1</v>
      </c>
      <c r="H187" s="132">
        <v>599</v>
      </c>
    </row>
    <row r="188" spans="1:8" ht="19.8" customHeight="1" x14ac:dyDescent="0.3">
      <c r="A188" s="140">
        <v>45988</v>
      </c>
      <c r="B188" s="129" t="s">
        <v>49</v>
      </c>
      <c r="C188" s="130" t="s">
        <v>58</v>
      </c>
      <c r="D188" s="129" t="s">
        <v>1</v>
      </c>
      <c r="E188" s="141">
        <v>1.6597222222222221</v>
      </c>
      <c r="F188" s="129" t="s">
        <v>56</v>
      </c>
      <c r="G188" s="131">
        <v>9</v>
      </c>
      <c r="H188" s="132">
        <v>599</v>
      </c>
    </row>
    <row r="189" spans="1:8" ht="19.8" customHeight="1" x14ac:dyDescent="0.3">
      <c r="A189" s="140">
        <v>45988</v>
      </c>
      <c r="B189" s="129" t="s">
        <v>49</v>
      </c>
      <c r="C189" s="130" t="s">
        <v>61</v>
      </c>
      <c r="D189" s="129" t="s">
        <v>1</v>
      </c>
      <c r="E189" s="141">
        <v>1.5173611111111109</v>
      </c>
      <c r="F189" s="129" t="s">
        <v>56</v>
      </c>
      <c r="G189" s="131">
        <v>9</v>
      </c>
      <c r="H189" s="132">
        <v>599</v>
      </c>
    </row>
    <row r="190" spans="1:8" ht="19.8" customHeight="1" x14ac:dyDescent="0.3">
      <c r="A190" s="140">
        <v>45988</v>
      </c>
      <c r="B190" s="129" t="s">
        <v>49</v>
      </c>
      <c r="C190" s="130" t="s">
        <v>63</v>
      </c>
      <c r="D190" s="129" t="s">
        <v>1</v>
      </c>
      <c r="E190" s="141">
        <v>1.854166666666667</v>
      </c>
      <c r="F190" s="129" t="s">
        <v>56</v>
      </c>
      <c r="G190" s="131">
        <v>2</v>
      </c>
      <c r="H190" s="132">
        <v>599</v>
      </c>
    </row>
    <row r="191" spans="1:8" ht="19.8" customHeight="1" x14ac:dyDescent="0.3">
      <c r="A191" s="140">
        <v>45988</v>
      </c>
      <c r="B191" s="129" t="s">
        <v>49</v>
      </c>
      <c r="C191" s="130" t="s">
        <v>76</v>
      </c>
      <c r="D191" s="129" t="s">
        <v>1</v>
      </c>
      <c r="E191" s="141">
        <v>1.302083333333333</v>
      </c>
      <c r="F191" s="129" t="s">
        <v>56</v>
      </c>
      <c r="G191" s="131">
        <v>5</v>
      </c>
      <c r="H191" s="132">
        <v>599</v>
      </c>
    </row>
    <row r="192" spans="1:8" ht="19.8" customHeight="1" x14ac:dyDescent="0.3">
      <c r="A192" s="140">
        <v>45988</v>
      </c>
      <c r="B192" s="129" t="s">
        <v>49</v>
      </c>
      <c r="C192" s="130" t="s">
        <v>66</v>
      </c>
      <c r="D192" s="129" t="s">
        <v>1</v>
      </c>
      <c r="E192" s="141">
        <v>1.7986111111111109</v>
      </c>
      <c r="F192" s="129" t="s">
        <v>56</v>
      </c>
      <c r="G192" s="131">
        <v>6</v>
      </c>
      <c r="H192" s="132">
        <v>599</v>
      </c>
    </row>
    <row r="193" spans="1:8" ht="19.8" customHeight="1" x14ac:dyDescent="0.3">
      <c r="A193" s="140">
        <v>45988</v>
      </c>
      <c r="B193" s="129" t="s">
        <v>104</v>
      </c>
      <c r="C193" s="130" t="s">
        <v>174</v>
      </c>
      <c r="D193" s="129" t="s">
        <v>1</v>
      </c>
      <c r="E193" s="141">
        <v>1.3298611111111109</v>
      </c>
      <c r="F193" s="129" t="s">
        <v>34</v>
      </c>
      <c r="G193" s="131">
        <v>9</v>
      </c>
      <c r="H193" s="132">
        <v>600</v>
      </c>
    </row>
    <row r="194" spans="1:8" ht="19.8" customHeight="1" x14ac:dyDescent="0.3">
      <c r="A194" s="140">
        <v>45988</v>
      </c>
      <c r="B194" s="129" t="s">
        <v>49</v>
      </c>
      <c r="C194" s="130" t="s">
        <v>69</v>
      </c>
      <c r="D194" s="129" t="s">
        <v>1</v>
      </c>
      <c r="E194" s="141">
        <v>1.256944444444444</v>
      </c>
      <c r="F194" s="129" t="s">
        <v>56</v>
      </c>
      <c r="G194" s="131">
        <v>9</v>
      </c>
      <c r="H194" s="132">
        <v>639</v>
      </c>
    </row>
    <row r="195" spans="1:8" ht="19.8" customHeight="1" x14ac:dyDescent="0.3">
      <c r="A195" s="140">
        <v>45988</v>
      </c>
      <c r="B195" s="129" t="s">
        <v>49</v>
      </c>
      <c r="C195" s="130" t="s">
        <v>75</v>
      </c>
      <c r="D195" s="129" t="s">
        <v>1</v>
      </c>
      <c r="E195" s="141">
        <v>1.395833333333333</v>
      </c>
      <c r="F195" s="129" t="s">
        <v>56</v>
      </c>
      <c r="G195" s="131">
        <v>9</v>
      </c>
      <c r="H195" s="132">
        <v>639</v>
      </c>
    </row>
    <row r="196" spans="1:8" ht="19.8" customHeight="1" x14ac:dyDescent="0.3">
      <c r="A196" s="140">
        <v>45988</v>
      </c>
      <c r="B196" s="129" t="s">
        <v>148</v>
      </c>
      <c r="C196" s="130" t="s">
        <v>149</v>
      </c>
      <c r="D196" s="129" t="s">
        <v>1</v>
      </c>
      <c r="E196" s="141">
        <v>1.4861111111111109</v>
      </c>
      <c r="F196" s="129" t="s">
        <v>150</v>
      </c>
      <c r="G196" s="131">
        <v>9</v>
      </c>
      <c r="H196" s="132">
        <v>673</v>
      </c>
    </row>
    <row r="197" spans="1:8" ht="19.8" customHeight="1" x14ac:dyDescent="0.3">
      <c r="A197" s="140">
        <v>45988</v>
      </c>
      <c r="B197" s="129" t="s">
        <v>148</v>
      </c>
      <c r="C197" s="130" t="s">
        <v>157</v>
      </c>
      <c r="D197" s="129" t="s">
        <v>1</v>
      </c>
      <c r="E197" s="141">
        <v>1.145833333333333</v>
      </c>
      <c r="F197" s="129" t="s">
        <v>150</v>
      </c>
      <c r="G197" s="131">
        <v>9</v>
      </c>
      <c r="H197" s="132">
        <v>673</v>
      </c>
    </row>
    <row r="198" spans="1:8" ht="19.8" customHeight="1" x14ac:dyDescent="0.3">
      <c r="A198" s="140">
        <v>45988</v>
      </c>
      <c r="B198" s="129" t="s">
        <v>148</v>
      </c>
      <c r="C198" s="130" t="s">
        <v>153</v>
      </c>
      <c r="D198" s="129" t="s">
        <v>1</v>
      </c>
      <c r="E198" s="141">
        <v>1.2222222222222221</v>
      </c>
      <c r="F198" s="129" t="s">
        <v>150</v>
      </c>
      <c r="G198" s="131">
        <v>9</v>
      </c>
      <c r="H198" s="132">
        <v>673</v>
      </c>
    </row>
    <row r="199" spans="1:8" ht="19.8" customHeight="1" x14ac:dyDescent="0.3">
      <c r="A199" s="140">
        <v>45988</v>
      </c>
      <c r="B199" s="129" t="s">
        <v>125</v>
      </c>
      <c r="C199" s="130" t="s">
        <v>126</v>
      </c>
      <c r="D199" s="129" t="s">
        <v>1</v>
      </c>
      <c r="E199" s="141">
        <v>1.3784722222222221</v>
      </c>
      <c r="F199" s="129" t="s">
        <v>127</v>
      </c>
      <c r="G199" s="131">
        <v>9</v>
      </c>
      <c r="H199" s="132">
        <v>678</v>
      </c>
    </row>
    <row r="200" spans="1:8" ht="19.8" customHeight="1" x14ac:dyDescent="0.3">
      <c r="A200" s="140">
        <v>45988</v>
      </c>
      <c r="B200" s="129" t="s">
        <v>125</v>
      </c>
      <c r="C200" s="130" t="s">
        <v>133</v>
      </c>
      <c r="D200" s="129" t="s">
        <v>1</v>
      </c>
      <c r="E200" s="141">
        <v>1.243055555555556</v>
      </c>
      <c r="F200" s="129" t="s">
        <v>127</v>
      </c>
      <c r="G200" s="131">
        <v>9</v>
      </c>
      <c r="H200" s="132">
        <v>678</v>
      </c>
    </row>
    <row r="201" spans="1:8" ht="19.8" customHeight="1" x14ac:dyDescent="0.3">
      <c r="A201" s="140">
        <v>45988</v>
      </c>
      <c r="B201" s="129" t="s">
        <v>125</v>
      </c>
      <c r="C201" s="130" t="s">
        <v>134</v>
      </c>
      <c r="D201" s="129" t="s">
        <v>1</v>
      </c>
      <c r="E201" s="141">
        <v>1.1423611111111109</v>
      </c>
      <c r="F201" s="129" t="s">
        <v>127</v>
      </c>
      <c r="G201" s="131">
        <v>9</v>
      </c>
      <c r="H201" s="132">
        <v>678</v>
      </c>
    </row>
    <row r="202" spans="1:8" ht="19.8" customHeight="1" x14ac:dyDescent="0.3">
      <c r="A202" s="140">
        <v>45988</v>
      </c>
      <c r="B202" s="129" t="s">
        <v>125</v>
      </c>
      <c r="C202" s="130" t="s">
        <v>126</v>
      </c>
      <c r="D202" s="129" t="s">
        <v>1</v>
      </c>
      <c r="E202" s="141">
        <v>1.3784722222222221</v>
      </c>
      <c r="F202" s="129" t="s">
        <v>129</v>
      </c>
      <c r="G202" s="131">
        <v>9</v>
      </c>
      <c r="H202" s="132">
        <v>723</v>
      </c>
    </row>
    <row r="203" spans="1:8" ht="19.8" customHeight="1" x14ac:dyDescent="0.3">
      <c r="A203" s="140">
        <v>45988</v>
      </c>
      <c r="B203" s="129" t="s">
        <v>125</v>
      </c>
      <c r="C203" s="130" t="s">
        <v>133</v>
      </c>
      <c r="D203" s="129" t="s">
        <v>1</v>
      </c>
      <c r="E203" s="141">
        <v>1.243055555555556</v>
      </c>
      <c r="F203" s="129" t="s">
        <v>129</v>
      </c>
      <c r="G203" s="131">
        <v>9</v>
      </c>
      <c r="H203" s="132">
        <v>723</v>
      </c>
    </row>
    <row r="204" spans="1:8" ht="19.8" customHeight="1" x14ac:dyDescent="0.3">
      <c r="A204" s="140">
        <v>45988</v>
      </c>
      <c r="B204" s="129" t="s">
        <v>125</v>
      </c>
      <c r="C204" s="130" t="s">
        <v>134</v>
      </c>
      <c r="D204" s="129" t="s">
        <v>1</v>
      </c>
      <c r="E204" s="141">
        <v>1.1423611111111109</v>
      </c>
      <c r="F204" s="129" t="s">
        <v>129</v>
      </c>
      <c r="G204" s="131">
        <v>9</v>
      </c>
      <c r="H204" s="132">
        <v>723</v>
      </c>
    </row>
    <row r="205" spans="1:8" ht="19.8" customHeight="1" x14ac:dyDescent="0.3">
      <c r="A205" s="140">
        <v>45988</v>
      </c>
      <c r="B205" s="129" t="s">
        <v>148</v>
      </c>
      <c r="C205" s="130" t="s">
        <v>152</v>
      </c>
      <c r="D205" s="129" t="s">
        <v>1</v>
      </c>
      <c r="E205" s="141">
        <v>1.5138888888888891</v>
      </c>
      <c r="F205" s="129" t="s">
        <v>150</v>
      </c>
      <c r="G205" s="131">
        <v>9</v>
      </c>
      <c r="H205" s="132">
        <v>765</v>
      </c>
    </row>
    <row r="206" spans="1:8" ht="19.8" customHeight="1" x14ac:dyDescent="0.3">
      <c r="A206" s="140">
        <v>45988</v>
      </c>
      <c r="B206" s="129" t="s">
        <v>148</v>
      </c>
      <c r="C206" s="130" t="s">
        <v>180</v>
      </c>
      <c r="D206" s="129" t="s">
        <v>1</v>
      </c>
      <c r="E206" s="141">
        <v>1.958333333333333</v>
      </c>
      <c r="F206" s="129" t="s">
        <v>150</v>
      </c>
      <c r="G206" s="131">
        <v>9</v>
      </c>
      <c r="H206" s="132">
        <v>842</v>
      </c>
    </row>
    <row r="207" spans="1:8" ht="19.8" customHeight="1" x14ac:dyDescent="0.3">
      <c r="A207" s="140">
        <v>45988</v>
      </c>
      <c r="B207" s="129" t="s">
        <v>125</v>
      </c>
      <c r="C207" s="130" t="s">
        <v>132</v>
      </c>
      <c r="D207" s="129" t="s">
        <v>1</v>
      </c>
      <c r="E207" s="141">
        <v>1.006944444444444</v>
      </c>
      <c r="F207" s="129" t="s">
        <v>127</v>
      </c>
      <c r="G207" s="131">
        <v>9</v>
      </c>
      <c r="H207" s="132">
        <v>935</v>
      </c>
    </row>
    <row r="208" spans="1:8" ht="19.8" customHeight="1" x14ac:dyDescent="0.3">
      <c r="A208" s="140">
        <v>45988</v>
      </c>
      <c r="B208" s="129" t="s">
        <v>148</v>
      </c>
      <c r="C208" s="130" t="s">
        <v>155</v>
      </c>
      <c r="D208" s="129" t="s">
        <v>1</v>
      </c>
      <c r="E208" s="141">
        <v>1.0138888888888891</v>
      </c>
      <c r="F208" s="129" t="s">
        <v>150</v>
      </c>
      <c r="G208" s="131">
        <v>9</v>
      </c>
      <c r="H208" s="132">
        <v>970</v>
      </c>
    </row>
    <row r="209" spans="1:8" ht="19.8" customHeight="1" x14ac:dyDescent="0.3">
      <c r="A209" s="140">
        <v>45988</v>
      </c>
      <c r="B209" s="129" t="s">
        <v>148</v>
      </c>
      <c r="C209" s="130" t="s">
        <v>158</v>
      </c>
      <c r="D209" s="129" t="s">
        <v>1</v>
      </c>
      <c r="E209" s="141">
        <v>1.2777777777777779</v>
      </c>
      <c r="F209" s="129" t="s">
        <v>150</v>
      </c>
      <c r="G209" s="131">
        <v>9</v>
      </c>
      <c r="H209" s="132">
        <v>970</v>
      </c>
    </row>
    <row r="210" spans="1:8" ht="19.8" customHeight="1" x14ac:dyDescent="0.3">
      <c r="A210" s="140">
        <v>45988</v>
      </c>
      <c r="B210" s="129" t="s">
        <v>148</v>
      </c>
      <c r="C210" s="130" t="s">
        <v>160</v>
      </c>
      <c r="D210" s="129" t="s">
        <v>1</v>
      </c>
      <c r="E210" s="141">
        <v>1.774305555555556</v>
      </c>
      <c r="F210" s="129" t="s">
        <v>150</v>
      </c>
      <c r="G210" s="131">
        <v>9</v>
      </c>
      <c r="H210" s="132">
        <v>970</v>
      </c>
    </row>
    <row r="211" spans="1:8" ht="19.8" customHeight="1" x14ac:dyDescent="0.3">
      <c r="A211" s="140">
        <v>45988</v>
      </c>
      <c r="B211" s="129" t="s">
        <v>125</v>
      </c>
      <c r="C211" s="130" t="s">
        <v>132</v>
      </c>
      <c r="D211" s="129" t="s">
        <v>1</v>
      </c>
      <c r="E211" s="141">
        <v>1.006944444444444</v>
      </c>
      <c r="F211" s="129" t="s">
        <v>129</v>
      </c>
      <c r="G211" s="131">
        <v>9</v>
      </c>
      <c r="H211" s="132">
        <v>980</v>
      </c>
    </row>
    <row r="212" spans="1:8" ht="19.8" customHeight="1" x14ac:dyDescent="0.3">
      <c r="A212" s="140">
        <v>45988</v>
      </c>
      <c r="B212" s="129" t="s">
        <v>125</v>
      </c>
      <c r="C212" s="130" t="s">
        <v>145</v>
      </c>
      <c r="D212" s="129" t="s">
        <v>1</v>
      </c>
      <c r="E212" s="141">
        <v>1.6111111111111109</v>
      </c>
      <c r="F212" s="129" t="s">
        <v>127</v>
      </c>
      <c r="G212" s="131">
        <v>9</v>
      </c>
      <c r="H212" s="142" t="s">
        <v>137</v>
      </c>
    </row>
    <row r="213" spans="1:8" ht="19.8" customHeight="1" x14ac:dyDescent="0.3">
      <c r="A213" s="140">
        <v>45988</v>
      </c>
      <c r="B213" s="129" t="s">
        <v>26</v>
      </c>
      <c r="C213" s="130" t="s">
        <v>36</v>
      </c>
      <c r="D213" s="129" t="s">
        <v>1</v>
      </c>
      <c r="E213" s="141">
        <v>1.302083333333333</v>
      </c>
      <c r="F213" s="129" t="s">
        <v>34</v>
      </c>
      <c r="G213" s="131">
        <v>2</v>
      </c>
      <c r="H213" s="142" t="s">
        <v>35</v>
      </c>
    </row>
    <row r="214" spans="1:8" ht="19.8" customHeight="1" x14ac:dyDescent="0.3">
      <c r="A214" s="140">
        <v>45988</v>
      </c>
      <c r="B214" s="129" t="s">
        <v>26</v>
      </c>
      <c r="C214" s="130" t="s">
        <v>27</v>
      </c>
      <c r="D214" s="129" t="s">
        <v>1</v>
      </c>
      <c r="E214" s="141">
        <v>1.1284722222222221</v>
      </c>
      <c r="F214" s="129" t="s">
        <v>34</v>
      </c>
      <c r="G214" s="131">
        <v>6</v>
      </c>
      <c r="H214" s="142" t="s">
        <v>35</v>
      </c>
    </row>
    <row r="215" spans="1:8" ht="19.8" customHeight="1" x14ac:dyDescent="0.3">
      <c r="A215" s="140">
        <v>45988</v>
      </c>
      <c r="B215" s="129" t="s">
        <v>26</v>
      </c>
      <c r="C215" s="130" t="s">
        <v>41</v>
      </c>
      <c r="D215" s="129" t="s">
        <v>1</v>
      </c>
      <c r="E215" s="141">
        <v>1.788194444444444</v>
      </c>
      <c r="F215" s="129" t="s">
        <v>34</v>
      </c>
      <c r="G215" s="131">
        <v>10</v>
      </c>
      <c r="H215" s="142" t="s">
        <v>35</v>
      </c>
    </row>
    <row r="216" spans="1:8" ht="19.8" customHeight="1" x14ac:dyDescent="0.3">
      <c r="A216" s="140">
        <v>45988</v>
      </c>
      <c r="B216" s="129" t="s">
        <v>26</v>
      </c>
      <c r="C216" s="130" t="s">
        <v>44</v>
      </c>
      <c r="D216" s="129" t="s">
        <v>1</v>
      </c>
      <c r="E216" s="141">
        <v>1.8888888888888891</v>
      </c>
      <c r="F216" s="129" t="s">
        <v>34</v>
      </c>
      <c r="G216" s="131">
        <v>9</v>
      </c>
      <c r="H216" s="142" t="s">
        <v>35</v>
      </c>
    </row>
    <row r="217" spans="1:8" ht="19.8" customHeight="1" x14ac:dyDescent="0.3">
      <c r="A217" s="140">
        <v>45988</v>
      </c>
      <c r="B217" s="129" t="s">
        <v>125</v>
      </c>
      <c r="C217" s="130" t="s">
        <v>145</v>
      </c>
      <c r="D217" s="129" t="s">
        <v>1</v>
      </c>
      <c r="E217" s="141">
        <v>1.6111111111111109</v>
      </c>
      <c r="F217" s="129" t="s">
        <v>129</v>
      </c>
      <c r="G217" s="131">
        <v>9</v>
      </c>
      <c r="H217" s="142" t="s">
        <v>138</v>
      </c>
    </row>
    <row r="218" spans="1:8" ht="19.8" customHeight="1" x14ac:dyDescent="0.3">
      <c r="A218" s="140">
        <v>45988</v>
      </c>
      <c r="B218" s="129" t="s">
        <v>125</v>
      </c>
      <c r="C218" s="130" t="s">
        <v>142</v>
      </c>
      <c r="D218" s="129" t="s">
        <v>1</v>
      </c>
      <c r="E218" s="141">
        <v>1.302083333333333</v>
      </c>
      <c r="F218" s="129" t="s">
        <v>129</v>
      </c>
      <c r="G218" s="131">
        <v>4</v>
      </c>
      <c r="H218" s="142" t="s">
        <v>210</v>
      </c>
    </row>
    <row r="219" spans="1:8" ht="19.8" customHeight="1" x14ac:dyDescent="0.3">
      <c r="A219" s="140">
        <v>45988</v>
      </c>
      <c r="B219" s="129" t="s">
        <v>125</v>
      </c>
      <c r="C219" s="130" t="s">
        <v>143</v>
      </c>
      <c r="D219" s="129" t="s">
        <v>1</v>
      </c>
      <c r="E219" s="141">
        <v>1.1284722222222221</v>
      </c>
      <c r="F219" s="129" t="s">
        <v>129</v>
      </c>
      <c r="G219" s="131">
        <v>4</v>
      </c>
      <c r="H219" s="142" t="s">
        <v>210</v>
      </c>
    </row>
    <row r="220" spans="1:8" ht="19.8" customHeight="1" x14ac:dyDescent="0.3">
      <c r="A220" s="140">
        <v>45988</v>
      </c>
      <c r="B220" s="129" t="s">
        <v>125</v>
      </c>
      <c r="C220" s="130" t="s">
        <v>136</v>
      </c>
      <c r="D220" s="129" t="s">
        <v>1</v>
      </c>
      <c r="E220" s="141">
        <v>1.71875</v>
      </c>
      <c r="F220" s="129" t="s">
        <v>127</v>
      </c>
      <c r="G220" s="131">
        <v>9</v>
      </c>
      <c r="H220" s="142" t="s">
        <v>211</v>
      </c>
    </row>
    <row r="221" spans="1:8" ht="19.8" customHeight="1" x14ac:dyDescent="0.3">
      <c r="A221" s="140">
        <v>45988</v>
      </c>
      <c r="B221" s="129" t="s">
        <v>125</v>
      </c>
      <c r="C221" s="130" t="s">
        <v>140</v>
      </c>
      <c r="D221" s="129" t="s">
        <v>1</v>
      </c>
      <c r="E221" s="141">
        <v>1.8888888888888891</v>
      </c>
      <c r="F221" s="129" t="s">
        <v>129</v>
      </c>
      <c r="G221" s="131">
        <v>4</v>
      </c>
      <c r="H221" s="142" t="s">
        <v>184</v>
      </c>
    </row>
    <row r="222" spans="1:8" ht="19.8" customHeight="1" x14ac:dyDescent="0.3">
      <c r="A222" s="140">
        <v>45988</v>
      </c>
      <c r="B222" s="129" t="s">
        <v>125</v>
      </c>
      <c r="C222" s="130" t="s">
        <v>136</v>
      </c>
      <c r="D222" s="129" t="s">
        <v>1</v>
      </c>
      <c r="E222" s="141">
        <v>1.71875</v>
      </c>
      <c r="F222" s="129" t="s">
        <v>129</v>
      </c>
      <c r="G222" s="131">
        <v>9</v>
      </c>
      <c r="H222" s="142" t="s">
        <v>212</v>
      </c>
    </row>
    <row r="223" spans="1:8" ht="19.8" customHeight="1" x14ac:dyDescent="0.3">
      <c r="A223" s="140">
        <v>45988</v>
      </c>
      <c r="B223" s="129" t="s">
        <v>125</v>
      </c>
      <c r="C223" s="130" t="s">
        <v>135</v>
      </c>
      <c r="D223" s="129" t="s">
        <v>1</v>
      </c>
      <c r="E223" s="141">
        <v>1.930555555555556</v>
      </c>
      <c r="F223" s="129" t="s">
        <v>127</v>
      </c>
      <c r="G223" s="131">
        <v>9</v>
      </c>
      <c r="H223" s="142" t="s">
        <v>185</v>
      </c>
    </row>
    <row r="224" spans="1:8" ht="19.8" customHeight="1" x14ac:dyDescent="0.3">
      <c r="A224" s="140">
        <v>45988</v>
      </c>
      <c r="B224" s="129" t="s">
        <v>125</v>
      </c>
      <c r="C224" s="130" t="s">
        <v>135</v>
      </c>
      <c r="D224" s="129" t="s">
        <v>1</v>
      </c>
      <c r="E224" s="141">
        <v>1.930555555555556</v>
      </c>
      <c r="F224" s="129" t="s">
        <v>129</v>
      </c>
      <c r="G224" s="131">
        <v>9</v>
      </c>
      <c r="H224" s="142" t="s">
        <v>186</v>
      </c>
    </row>
    <row r="225" spans="1:8" ht="19.8" customHeight="1" x14ac:dyDescent="0.3">
      <c r="A225" s="140">
        <v>45988</v>
      </c>
      <c r="B225" s="129" t="s">
        <v>125</v>
      </c>
      <c r="C225" s="130" t="s">
        <v>144</v>
      </c>
      <c r="D225" s="129" t="s">
        <v>1</v>
      </c>
      <c r="E225" s="141">
        <v>1.788194444444444</v>
      </c>
      <c r="F225" s="129" t="s">
        <v>129</v>
      </c>
      <c r="G225" s="131">
        <v>4</v>
      </c>
      <c r="H225" s="142" t="s">
        <v>141</v>
      </c>
    </row>
    <row r="226" spans="1:8" ht="19.8" customHeight="1" x14ac:dyDescent="0.3">
      <c r="A226" s="140">
        <v>45988</v>
      </c>
      <c r="B226" s="129" t="s">
        <v>125</v>
      </c>
      <c r="C226" s="130" t="s">
        <v>139</v>
      </c>
      <c r="D226" s="129" t="s">
        <v>1</v>
      </c>
      <c r="E226" s="141">
        <v>1.8298611111111109</v>
      </c>
      <c r="F226" s="129" t="s">
        <v>127</v>
      </c>
      <c r="G226" s="131">
        <v>9</v>
      </c>
      <c r="H226" s="142" t="s">
        <v>213</v>
      </c>
    </row>
    <row r="227" spans="1:8" ht="19.8" customHeight="1" x14ac:dyDescent="0.3">
      <c r="A227" s="149">
        <v>45988</v>
      </c>
      <c r="B227" s="150" t="s">
        <v>125</v>
      </c>
      <c r="C227" s="151" t="s">
        <v>139</v>
      </c>
      <c r="D227" s="150" t="s">
        <v>1</v>
      </c>
      <c r="E227" s="152">
        <v>1.8298611111111109</v>
      </c>
      <c r="F227" s="150" t="s">
        <v>129</v>
      </c>
      <c r="G227" s="153">
        <v>9</v>
      </c>
      <c r="H227" s="154" t="s">
        <v>214</v>
      </c>
    </row>
    <row r="228" spans="1:8" ht="19.8" customHeight="1" x14ac:dyDescent="0.3">
      <c r="A228" s="140">
        <v>45989</v>
      </c>
      <c r="B228" s="129" t="s">
        <v>26</v>
      </c>
      <c r="C228" s="130" t="s">
        <v>27</v>
      </c>
      <c r="D228" s="129" t="s">
        <v>1</v>
      </c>
      <c r="E228" s="141">
        <v>1.1284722222222221</v>
      </c>
      <c r="F228" s="129" t="s">
        <v>28</v>
      </c>
      <c r="G228" s="131">
        <v>4</v>
      </c>
      <c r="H228" s="132">
        <v>359</v>
      </c>
    </row>
    <row r="229" spans="1:8" ht="19.8" customHeight="1" x14ac:dyDescent="0.3">
      <c r="A229" s="140">
        <v>45989</v>
      </c>
      <c r="B229" s="129" t="s">
        <v>26</v>
      </c>
      <c r="C229" s="130" t="s">
        <v>36</v>
      </c>
      <c r="D229" s="129" t="s">
        <v>1</v>
      </c>
      <c r="E229" s="141">
        <v>1.302083333333333</v>
      </c>
      <c r="F229" s="129" t="s">
        <v>28</v>
      </c>
      <c r="G229" s="131">
        <v>10</v>
      </c>
      <c r="H229" s="132">
        <v>389</v>
      </c>
    </row>
    <row r="230" spans="1:8" ht="19.8" customHeight="1" x14ac:dyDescent="0.3">
      <c r="A230" s="140">
        <v>45989</v>
      </c>
      <c r="B230" s="129" t="s">
        <v>49</v>
      </c>
      <c r="C230" s="130" t="s">
        <v>50</v>
      </c>
      <c r="D230" s="129" t="s">
        <v>1</v>
      </c>
      <c r="E230" s="141">
        <v>1.9027777777777779</v>
      </c>
      <c r="F230" s="129" t="s">
        <v>51</v>
      </c>
      <c r="G230" s="131">
        <v>1</v>
      </c>
      <c r="H230" s="132">
        <v>409</v>
      </c>
    </row>
    <row r="231" spans="1:8" ht="19.8" customHeight="1" x14ac:dyDescent="0.3">
      <c r="A231" s="140">
        <v>45989</v>
      </c>
      <c r="B231" s="129" t="s">
        <v>49</v>
      </c>
      <c r="C231" s="130" t="s">
        <v>63</v>
      </c>
      <c r="D231" s="129" t="s">
        <v>1</v>
      </c>
      <c r="E231" s="141">
        <v>1.854166666666667</v>
      </c>
      <c r="F231" s="129" t="s">
        <v>51</v>
      </c>
      <c r="G231" s="131">
        <v>5</v>
      </c>
      <c r="H231" s="132">
        <v>409</v>
      </c>
    </row>
    <row r="232" spans="1:8" ht="19.8" customHeight="1" x14ac:dyDescent="0.3">
      <c r="A232" s="140">
        <v>45989</v>
      </c>
      <c r="B232" s="129" t="s">
        <v>26</v>
      </c>
      <c r="C232" s="130" t="s">
        <v>41</v>
      </c>
      <c r="D232" s="129" t="s">
        <v>1</v>
      </c>
      <c r="E232" s="141">
        <v>1.788194444444444</v>
      </c>
      <c r="F232" s="129" t="s">
        <v>28</v>
      </c>
      <c r="G232" s="131">
        <v>11</v>
      </c>
      <c r="H232" s="132">
        <v>419</v>
      </c>
    </row>
    <row r="233" spans="1:8" ht="19.8" customHeight="1" x14ac:dyDescent="0.3">
      <c r="A233" s="140">
        <v>45989</v>
      </c>
      <c r="B233" s="129" t="s">
        <v>26</v>
      </c>
      <c r="C233" s="130" t="s">
        <v>44</v>
      </c>
      <c r="D233" s="129" t="s">
        <v>1</v>
      </c>
      <c r="E233" s="141">
        <v>1.8888888888888891</v>
      </c>
      <c r="F233" s="129" t="s">
        <v>28</v>
      </c>
      <c r="G233" s="131">
        <v>9</v>
      </c>
      <c r="H233" s="132">
        <v>419</v>
      </c>
    </row>
    <row r="234" spans="1:8" ht="19.8" customHeight="1" x14ac:dyDescent="0.3">
      <c r="A234" s="138">
        <v>45989</v>
      </c>
      <c r="B234" s="134" t="s">
        <v>77</v>
      </c>
      <c r="C234" s="135" t="s">
        <v>87</v>
      </c>
      <c r="D234" s="134" t="s">
        <v>1</v>
      </c>
      <c r="E234" s="139">
        <v>1.114583333333333</v>
      </c>
      <c r="F234" s="134" t="s">
        <v>79</v>
      </c>
      <c r="G234" s="136">
        <v>3</v>
      </c>
      <c r="H234" s="137">
        <v>436</v>
      </c>
    </row>
    <row r="235" spans="1:8" ht="19.8" customHeight="1" x14ac:dyDescent="0.3">
      <c r="A235" s="138">
        <v>45989</v>
      </c>
      <c r="B235" s="134" t="s">
        <v>77</v>
      </c>
      <c r="C235" s="135" t="s">
        <v>84</v>
      </c>
      <c r="D235" s="134" t="s">
        <v>1</v>
      </c>
      <c r="E235" s="139">
        <v>1.319444444444444</v>
      </c>
      <c r="F235" s="134" t="s">
        <v>79</v>
      </c>
      <c r="G235" s="136">
        <v>1</v>
      </c>
      <c r="H235" s="137">
        <v>436</v>
      </c>
    </row>
    <row r="236" spans="1:8" ht="19.8" customHeight="1" x14ac:dyDescent="0.3">
      <c r="A236" s="138">
        <v>45989</v>
      </c>
      <c r="B236" s="134" t="s">
        <v>77</v>
      </c>
      <c r="C236" s="135" t="s">
        <v>92</v>
      </c>
      <c r="D236" s="134" t="s">
        <v>1</v>
      </c>
      <c r="E236" s="139">
        <v>1.458333333333333</v>
      </c>
      <c r="F236" s="134" t="s">
        <v>79</v>
      </c>
      <c r="G236" s="136">
        <v>8</v>
      </c>
      <c r="H236" s="137">
        <v>436</v>
      </c>
    </row>
    <row r="237" spans="1:8" ht="19.8" customHeight="1" x14ac:dyDescent="0.3">
      <c r="A237" s="140">
        <v>45989</v>
      </c>
      <c r="B237" s="129" t="s">
        <v>104</v>
      </c>
      <c r="C237" s="130" t="s">
        <v>227</v>
      </c>
      <c r="D237" s="129" t="s">
        <v>1</v>
      </c>
      <c r="E237" s="141">
        <v>1.975694444444444</v>
      </c>
      <c r="F237" s="129" t="s">
        <v>106</v>
      </c>
      <c r="G237" s="131">
        <v>9</v>
      </c>
      <c r="H237" s="132">
        <v>437</v>
      </c>
    </row>
    <row r="238" spans="1:8" ht="19.8" customHeight="1" x14ac:dyDescent="0.3">
      <c r="A238" s="140">
        <v>45989</v>
      </c>
      <c r="B238" s="129" t="s">
        <v>49</v>
      </c>
      <c r="C238" s="130" t="s">
        <v>69</v>
      </c>
      <c r="D238" s="129" t="s">
        <v>1</v>
      </c>
      <c r="E238" s="141">
        <v>1.256944444444444</v>
      </c>
      <c r="F238" s="129" t="s">
        <v>51</v>
      </c>
      <c r="G238" s="131">
        <v>3</v>
      </c>
      <c r="H238" s="132">
        <v>449</v>
      </c>
    </row>
    <row r="239" spans="1:8" ht="19.8" customHeight="1" x14ac:dyDescent="0.3">
      <c r="A239" s="140">
        <v>45989</v>
      </c>
      <c r="B239" s="129" t="s">
        <v>49</v>
      </c>
      <c r="C239" s="130" t="s">
        <v>58</v>
      </c>
      <c r="D239" s="129" t="s">
        <v>1</v>
      </c>
      <c r="E239" s="141">
        <v>1.645833333333333</v>
      </c>
      <c r="F239" s="129" t="s">
        <v>51</v>
      </c>
      <c r="G239" s="131">
        <v>6</v>
      </c>
      <c r="H239" s="132">
        <v>449</v>
      </c>
    </row>
    <row r="240" spans="1:8" ht="19.8" customHeight="1" x14ac:dyDescent="0.3">
      <c r="A240" s="140">
        <v>45989</v>
      </c>
      <c r="B240" s="129" t="s">
        <v>49</v>
      </c>
      <c r="C240" s="130" t="s">
        <v>61</v>
      </c>
      <c r="D240" s="129" t="s">
        <v>1</v>
      </c>
      <c r="E240" s="141">
        <v>1.5173611111111109</v>
      </c>
      <c r="F240" s="129" t="s">
        <v>51</v>
      </c>
      <c r="G240" s="131">
        <v>9</v>
      </c>
      <c r="H240" s="132">
        <v>449</v>
      </c>
    </row>
    <row r="241" spans="1:8" ht="19.8" customHeight="1" x14ac:dyDescent="0.3">
      <c r="A241" s="140">
        <v>45989</v>
      </c>
      <c r="B241" s="129" t="s">
        <v>49</v>
      </c>
      <c r="C241" s="130" t="s">
        <v>75</v>
      </c>
      <c r="D241" s="129" t="s">
        <v>1</v>
      </c>
      <c r="E241" s="141">
        <v>1.395833333333333</v>
      </c>
      <c r="F241" s="129" t="s">
        <v>51</v>
      </c>
      <c r="G241" s="131">
        <v>5</v>
      </c>
      <c r="H241" s="132">
        <v>449</v>
      </c>
    </row>
    <row r="242" spans="1:8" ht="19.8" customHeight="1" x14ac:dyDescent="0.3">
      <c r="A242" s="140">
        <v>45989</v>
      </c>
      <c r="B242" s="129" t="s">
        <v>104</v>
      </c>
      <c r="C242" s="130" t="s">
        <v>174</v>
      </c>
      <c r="D242" s="129" t="s">
        <v>1</v>
      </c>
      <c r="E242" s="141">
        <v>1.3923611111111109</v>
      </c>
      <c r="F242" s="129" t="s">
        <v>106</v>
      </c>
      <c r="G242" s="131">
        <v>9</v>
      </c>
      <c r="H242" s="132">
        <v>449</v>
      </c>
    </row>
    <row r="243" spans="1:8" ht="19.8" customHeight="1" x14ac:dyDescent="0.3">
      <c r="A243" s="138">
        <v>45989</v>
      </c>
      <c r="B243" s="134" t="s">
        <v>77</v>
      </c>
      <c r="C243" s="135" t="s">
        <v>169</v>
      </c>
      <c r="D243" s="134" t="s">
        <v>1</v>
      </c>
      <c r="E243" s="139">
        <v>1.9375</v>
      </c>
      <c r="F243" s="134" t="s">
        <v>79</v>
      </c>
      <c r="G243" s="136">
        <v>1</v>
      </c>
      <c r="H243" s="137">
        <v>471</v>
      </c>
    </row>
    <row r="244" spans="1:8" ht="19.8" customHeight="1" x14ac:dyDescent="0.3">
      <c r="A244" s="138">
        <v>45989</v>
      </c>
      <c r="B244" s="134" t="s">
        <v>77</v>
      </c>
      <c r="C244" s="135" t="s">
        <v>78</v>
      </c>
      <c r="D244" s="134" t="s">
        <v>1</v>
      </c>
      <c r="E244" s="139">
        <v>1.7361111111111109</v>
      </c>
      <c r="F244" s="134" t="s">
        <v>79</v>
      </c>
      <c r="G244" s="136">
        <v>6</v>
      </c>
      <c r="H244" s="137">
        <v>471</v>
      </c>
    </row>
    <row r="245" spans="1:8" ht="19.8" customHeight="1" x14ac:dyDescent="0.3">
      <c r="A245" s="138">
        <v>45989</v>
      </c>
      <c r="B245" s="134" t="s">
        <v>77</v>
      </c>
      <c r="C245" s="135" t="s">
        <v>202</v>
      </c>
      <c r="D245" s="134" t="s">
        <v>1</v>
      </c>
      <c r="E245" s="139">
        <v>1.614583333333333</v>
      </c>
      <c r="F245" s="134" t="s">
        <v>79</v>
      </c>
      <c r="G245" s="136">
        <v>7</v>
      </c>
      <c r="H245" s="137">
        <v>471</v>
      </c>
    </row>
    <row r="246" spans="1:8" ht="19.8" customHeight="1" x14ac:dyDescent="0.3">
      <c r="A246" s="140">
        <v>45989</v>
      </c>
      <c r="B246" s="129" t="s">
        <v>49</v>
      </c>
      <c r="C246" s="130" t="s">
        <v>66</v>
      </c>
      <c r="D246" s="129" t="s">
        <v>1</v>
      </c>
      <c r="E246" s="141">
        <v>1.7986111111111109</v>
      </c>
      <c r="F246" s="129" t="s">
        <v>51</v>
      </c>
      <c r="G246" s="131">
        <v>9</v>
      </c>
      <c r="H246" s="132">
        <v>489</v>
      </c>
    </row>
    <row r="247" spans="1:8" ht="19.8" customHeight="1" x14ac:dyDescent="0.3">
      <c r="A247" s="140">
        <v>45989</v>
      </c>
      <c r="B247" s="129" t="s">
        <v>26</v>
      </c>
      <c r="C247" s="130" t="s">
        <v>27</v>
      </c>
      <c r="D247" s="129" t="s">
        <v>1</v>
      </c>
      <c r="E247" s="141">
        <v>1.1284722222222221</v>
      </c>
      <c r="F247" s="129" t="s">
        <v>31</v>
      </c>
      <c r="G247" s="131">
        <v>4</v>
      </c>
      <c r="H247" s="132">
        <v>509</v>
      </c>
    </row>
    <row r="248" spans="1:8" ht="19.8" customHeight="1" x14ac:dyDescent="0.3">
      <c r="A248" s="140">
        <v>45989</v>
      </c>
      <c r="B248" s="129" t="s">
        <v>49</v>
      </c>
      <c r="C248" s="130" t="s">
        <v>50</v>
      </c>
      <c r="D248" s="129" t="s">
        <v>1</v>
      </c>
      <c r="E248" s="141">
        <v>1.9027777777777779</v>
      </c>
      <c r="F248" s="129" t="s">
        <v>54</v>
      </c>
      <c r="G248" s="131">
        <v>1</v>
      </c>
      <c r="H248" s="132">
        <v>509</v>
      </c>
    </row>
    <row r="249" spans="1:8" ht="19.8" customHeight="1" x14ac:dyDescent="0.3">
      <c r="A249" s="140">
        <v>45989</v>
      </c>
      <c r="B249" s="129" t="s">
        <v>49</v>
      </c>
      <c r="C249" s="130" t="s">
        <v>63</v>
      </c>
      <c r="D249" s="129" t="s">
        <v>1</v>
      </c>
      <c r="E249" s="141">
        <v>1.854166666666667</v>
      </c>
      <c r="F249" s="129" t="s">
        <v>54</v>
      </c>
      <c r="G249" s="131">
        <v>5</v>
      </c>
      <c r="H249" s="132">
        <v>509</v>
      </c>
    </row>
    <row r="250" spans="1:8" ht="19.8" customHeight="1" x14ac:dyDescent="0.3">
      <c r="A250" s="140">
        <v>45989</v>
      </c>
      <c r="B250" s="129" t="s">
        <v>26</v>
      </c>
      <c r="C250" s="130" t="s">
        <v>36</v>
      </c>
      <c r="D250" s="129" t="s">
        <v>1</v>
      </c>
      <c r="E250" s="141">
        <v>1.302083333333333</v>
      </c>
      <c r="F250" s="129" t="s">
        <v>31</v>
      </c>
      <c r="G250" s="131">
        <v>10</v>
      </c>
      <c r="H250" s="132">
        <v>539</v>
      </c>
    </row>
    <row r="251" spans="1:8" ht="19.8" customHeight="1" x14ac:dyDescent="0.3">
      <c r="A251" s="140">
        <v>45989</v>
      </c>
      <c r="B251" s="129" t="s">
        <v>49</v>
      </c>
      <c r="C251" s="130" t="s">
        <v>69</v>
      </c>
      <c r="D251" s="129" t="s">
        <v>1</v>
      </c>
      <c r="E251" s="141">
        <v>1.256944444444444</v>
      </c>
      <c r="F251" s="129" t="s">
        <v>54</v>
      </c>
      <c r="G251" s="131">
        <v>3</v>
      </c>
      <c r="H251" s="132">
        <v>549</v>
      </c>
    </row>
    <row r="252" spans="1:8" ht="19.8" customHeight="1" x14ac:dyDescent="0.3">
      <c r="A252" s="140">
        <v>45989</v>
      </c>
      <c r="B252" s="129" t="s">
        <v>49</v>
      </c>
      <c r="C252" s="130" t="s">
        <v>58</v>
      </c>
      <c r="D252" s="129" t="s">
        <v>1</v>
      </c>
      <c r="E252" s="141">
        <v>1.645833333333333</v>
      </c>
      <c r="F252" s="129" t="s">
        <v>54</v>
      </c>
      <c r="G252" s="131">
        <v>6</v>
      </c>
      <c r="H252" s="132">
        <v>549</v>
      </c>
    </row>
    <row r="253" spans="1:8" ht="19.8" customHeight="1" x14ac:dyDescent="0.3">
      <c r="A253" s="140">
        <v>45989</v>
      </c>
      <c r="B253" s="129" t="s">
        <v>49</v>
      </c>
      <c r="C253" s="130" t="s">
        <v>61</v>
      </c>
      <c r="D253" s="129" t="s">
        <v>1</v>
      </c>
      <c r="E253" s="141">
        <v>1.5173611111111109</v>
      </c>
      <c r="F253" s="129" t="s">
        <v>54</v>
      </c>
      <c r="G253" s="131">
        <v>9</v>
      </c>
      <c r="H253" s="132">
        <v>549</v>
      </c>
    </row>
    <row r="254" spans="1:8" ht="19.8" customHeight="1" x14ac:dyDescent="0.3">
      <c r="A254" s="140">
        <v>45989</v>
      </c>
      <c r="B254" s="129" t="s">
        <v>49</v>
      </c>
      <c r="C254" s="130" t="s">
        <v>75</v>
      </c>
      <c r="D254" s="129" t="s">
        <v>1</v>
      </c>
      <c r="E254" s="141">
        <v>1.395833333333333</v>
      </c>
      <c r="F254" s="129" t="s">
        <v>54</v>
      </c>
      <c r="G254" s="131">
        <v>5</v>
      </c>
      <c r="H254" s="132">
        <v>549</v>
      </c>
    </row>
    <row r="255" spans="1:8" ht="19.8" customHeight="1" x14ac:dyDescent="0.3">
      <c r="A255" s="140">
        <v>45989</v>
      </c>
      <c r="B255" s="129" t="s">
        <v>26</v>
      </c>
      <c r="C255" s="130" t="s">
        <v>41</v>
      </c>
      <c r="D255" s="129" t="s">
        <v>1</v>
      </c>
      <c r="E255" s="141">
        <v>1.788194444444444</v>
      </c>
      <c r="F255" s="129" t="s">
        <v>31</v>
      </c>
      <c r="G255" s="131">
        <v>11</v>
      </c>
      <c r="H255" s="132">
        <v>569</v>
      </c>
    </row>
    <row r="256" spans="1:8" ht="19.8" customHeight="1" x14ac:dyDescent="0.3">
      <c r="A256" s="140">
        <v>45989</v>
      </c>
      <c r="B256" s="129" t="s">
        <v>26</v>
      </c>
      <c r="C256" s="130" t="s">
        <v>44</v>
      </c>
      <c r="D256" s="129" t="s">
        <v>1</v>
      </c>
      <c r="E256" s="141">
        <v>1.8888888888888891</v>
      </c>
      <c r="F256" s="129" t="s">
        <v>31</v>
      </c>
      <c r="G256" s="131">
        <v>9</v>
      </c>
      <c r="H256" s="132">
        <v>569</v>
      </c>
    </row>
    <row r="257" spans="1:8" ht="19.8" customHeight="1" x14ac:dyDescent="0.3">
      <c r="A257" s="140">
        <v>45989</v>
      </c>
      <c r="B257" s="129" t="s">
        <v>49</v>
      </c>
      <c r="C257" s="130" t="s">
        <v>66</v>
      </c>
      <c r="D257" s="129" t="s">
        <v>1</v>
      </c>
      <c r="E257" s="141">
        <v>1.7986111111111109</v>
      </c>
      <c r="F257" s="129" t="s">
        <v>54</v>
      </c>
      <c r="G257" s="131">
        <v>9</v>
      </c>
      <c r="H257" s="132">
        <v>589</v>
      </c>
    </row>
    <row r="258" spans="1:8" ht="19.8" customHeight="1" x14ac:dyDescent="0.3">
      <c r="A258" s="140">
        <v>45989</v>
      </c>
      <c r="B258" s="129" t="s">
        <v>118</v>
      </c>
      <c r="C258" s="130" t="s">
        <v>119</v>
      </c>
      <c r="D258" s="129" t="s">
        <v>1</v>
      </c>
      <c r="E258" s="141">
        <v>1.666666666666667</v>
      </c>
      <c r="F258" s="129" t="s">
        <v>112</v>
      </c>
      <c r="G258" s="131">
        <v>9</v>
      </c>
      <c r="H258" s="132">
        <v>599</v>
      </c>
    </row>
    <row r="259" spans="1:8" ht="19.8" customHeight="1" x14ac:dyDescent="0.3">
      <c r="A259" s="140">
        <v>45989</v>
      </c>
      <c r="B259" s="129" t="s">
        <v>49</v>
      </c>
      <c r="C259" s="130" t="s">
        <v>50</v>
      </c>
      <c r="D259" s="129" t="s">
        <v>1</v>
      </c>
      <c r="E259" s="141">
        <v>1.9027777777777779</v>
      </c>
      <c r="F259" s="129" t="s">
        <v>56</v>
      </c>
      <c r="G259" s="131">
        <v>1</v>
      </c>
      <c r="H259" s="132">
        <v>599</v>
      </c>
    </row>
    <row r="260" spans="1:8" ht="19.8" customHeight="1" x14ac:dyDescent="0.3">
      <c r="A260" s="140">
        <v>45989</v>
      </c>
      <c r="B260" s="129" t="s">
        <v>49</v>
      </c>
      <c r="C260" s="130" t="s">
        <v>63</v>
      </c>
      <c r="D260" s="129" t="s">
        <v>1</v>
      </c>
      <c r="E260" s="141">
        <v>1.854166666666667</v>
      </c>
      <c r="F260" s="129" t="s">
        <v>56</v>
      </c>
      <c r="G260" s="131">
        <v>5</v>
      </c>
      <c r="H260" s="132">
        <v>599</v>
      </c>
    </row>
    <row r="261" spans="1:8" ht="19.8" customHeight="1" x14ac:dyDescent="0.3">
      <c r="A261" s="140">
        <v>45989</v>
      </c>
      <c r="B261" s="129" t="s">
        <v>49</v>
      </c>
      <c r="C261" s="130" t="s">
        <v>69</v>
      </c>
      <c r="D261" s="129" t="s">
        <v>1</v>
      </c>
      <c r="E261" s="141">
        <v>1.256944444444444</v>
      </c>
      <c r="F261" s="129" t="s">
        <v>56</v>
      </c>
      <c r="G261" s="131">
        <v>3</v>
      </c>
      <c r="H261" s="132">
        <v>639</v>
      </c>
    </row>
    <row r="262" spans="1:8" ht="19.8" customHeight="1" x14ac:dyDescent="0.3">
      <c r="A262" s="140">
        <v>45989</v>
      </c>
      <c r="B262" s="129" t="s">
        <v>49</v>
      </c>
      <c r="C262" s="130" t="s">
        <v>58</v>
      </c>
      <c r="D262" s="129" t="s">
        <v>1</v>
      </c>
      <c r="E262" s="141">
        <v>1.645833333333333</v>
      </c>
      <c r="F262" s="129" t="s">
        <v>56</v>
      </c>
      <c r="G262" s="131">
        <v>6</v>
      </c>
      <c r="H262" s="132">
        <v>639</v>
      </c>
    </row>
    <row r="263" spans="1:8" ht="19.8" customHeight="1" x14ac:dyDescent="0.3">
      <c r="A263" s="140">
        <v>45989</v>
      </c>
      <c r="B263" s="129" t="s">
        <v>49</v>
      </c>
      <c r="C263" s="130" t="s">
        <v>61</v>
      </c>
      <c r="D263" s="129" t="s">
        <v>1</v>
      </c>
      <c r="E263" s="141">
        <v>1.5173611111111109</v>
      </c>
      <c r="F263" s="129" t="s">
        <v>56</v>
      </c>
      <c r="G263" s="131">
        <v>9</v>
      </c>
      <c r="H263" s="132">
        <v>639</v>
      </c>
    </row>
    <row r="264" spans="1:8" ht="19.8" customHeight="1" x14ac:dyDescent="0.3">
      <c r="A264" s="140">
        <v>45989</v>
      </c>
      <c r="B264" s="129" t="s">
        <v>49</v>
      </c>
      <c r="C264" s="130" t="s">
        <v>75</v>
      </c>
      <c r="D264" s="129" t="s">
        <v>1</v>
      </c>
      <c r="E264" s="141">
        <v>1.395833333333333</v>
      </c>
      <c r="F264" s="129" t="s">
        <v>56</v>
      </c>
      <c r="G264" s="131">
        <v>5</v>
      </c>
      <c r="H264" s="132">
        <v>639</v>
      </c>
    </row>
    <row r="265" spans="1:8" ht="19.8" customHeight="1" x14ac:dyDescent="0.3">
      <c r="A265" s="140">
        <v>45989</v>
      </c>
      <c r="B265" s="129" t="s">
        <v>104</v>
      </c>
      <c r="C265" s="130" t="s">
        <v>227</v>
      </c>
      <c r="D265" s="129" t="s">
        <v>1</v>
      </c>
      <c r="E265" s="141">
        <v>1.975694444444444</v>
      </c>
      <c r="F265" s="129" t="s">
        <v>34</v>
      </c>
      <c r="G265" s="131">
        <v>9</v>
      </c>
      <c r="H265" s="132">
        <v>663</v>
      </c>
    </row>
    <row r="266" spans="1:8" ht="19.8" customHeight="1" x14ac:dyDescent="0.3">
      <c r="A266" s="140">
        <v>45989</v>
      </c>
      <c r="B266" s="129" t="s">
        <v>104</v>
      </c>
      <c r="C266" s="130" t="s">
        <v>174</v>
      </c>
      <c r="D266" s="129" t="s">
        <v>1</v>
      </c>
      <c r="E266" s="141">
        <v>1.3923611111111109</v>
      </c>
      <c r="F266" s="129" t="s">
        <v>34</v>
      </c>
      <c r="G266" s="131">
        <v>9</v>
      </c>
      <c r="H266" s="132">
        <v>675</v>
      </c>
    </row>
    <row r="267" spans="1:8" ht="19.8" customHeight="1" x14ac:dyDescent="0.3">
      <c r="A267" s="140">
        <v>45989</v>
      </c>
      <c r="B267" s="129" t="s">
        <v>125</v>
      </c>
      <c r="C267" s="130" t="s">
        <v>126</v>
      </c>
      <c r="D267" s="129" t="s">
        <v>1</v>
      </c>
      <c r="E267" s="141">
        <v>1.3784722222222221</v>
      </c>
      <c r="F267" s="129" t="s">
        <v>127</v>
      </c>
      <c r="G267" s="131">
        <v>9</v>
      </c>
      <c r="H267" s="132">
        <v>678</v>
      </c>
    </row>
    <row r="268" spans="1:8" ht="19.8" customHeight="1" x14ac:dyDescent="0.3">
      <c r="A268" s="140">
        <v>45989</v>
      </c>
      <c r="B268" s="129" t="s">
        <v>125</v>
      </c>
      <c r="C268" s="130" t="s">
        <v>136</v>
      </c>
      <c r="D268" s="129" t="s">
        <v>1</v>
      </c>
      <c r="E268" s="141">
        <v>1.71875</v>
      </c>
      <c r="F268" s="129" t="s">
        <v>127</v>
      </c>
      <c r="G268" s="131">
        <v>5</v>
      </c>
      <c r="H268" s="132">
        <v>678</v>
      </c>
    </row>
    <row r="269" spans="1:8" ht="19.8" customHeight="1" x14ac:dyDescent="0.3">
      <c r="A269" s="140">
        <v>45989</v>
      </c>
      <c r="B269" s="129" t="s">
        <v>125</v>
      </c>
      <c r="C269" s="130" t="s">
        <v>145</v>
      </c>
      <c r="D269" s="129" t="s">
        <v>1</v>
      </c>
      <c r="E269" s="141">
        <v>1.6111111111111109</v>
      </c>
      <c r="F269" s="129" t="s">
        <v>127</v>
      </c>
      <c r="G269" s="131">
        <v>9</v>
      </c>
      <c r="H269" s="132">
        <v>678</v>
      </c>
    </row>
    <row r="270" spans="1:8" ht="19.8" customHeight="1" x14ac:dyDescent="0.3">
      <c r="A270" s="140">
        <v>45989</v>
      </c>
      <c r="B270" s="129" t="s">
        <v>125</v>
      </c>
      <c r="C270" s="130" t="s">
        <v>133</v>
      </c>
      <c r="D270" s="129" t="s">
        <v>1</v>
      </c>
      <c r="E270" s="141">
        <v>1.239583333333333</v>
      </c>
      <c r="F270" s="129" t="s">
        <v>127</v>
      </c>
      <c r="G270" s="131">
        <v>9</v>
      </c>
      <c r="H270" s="132">
        <v>678</v>
      </c>
    </row>
    <row r="271" spans="1:8" ht="19.8" customHeight="1" x14ac:dyDescent="0.3">
      <c r="A271" s="140">
        <v>45989</v>
      </c>
      <c r="B271" s="129" t="s">
        <v>125</v>
      </c>
      <c r="C271" s="130" t="s">
        <v>134</v>
      </c>
      <c r="D271" s="129" t="s">
        <v>1</v>
      </c>
      <c r="E271" s="141">
        <v>1.1423611111111109</v>
      </c>
      <c r="F271" s="129" t="s">
        <v>127</v>
      </c>
      <c r="G271" s="131">
        <v>9</v>
      </c>
      <c r="H271" s="132">
        <v>678</v>
      </c>
    </row>
    <row r="272" spans="1:8" ht="19.8" customHeight="1" x14ac:dyDescent="0.3">
      <c r="A272" s="140">
        <v>45989</v>
      </c>
      <c r="B272" s="129" t="s">
        <v>49</v>
      </c>
      <c r="C272" s="130" t="s">
        <v>66</v>
      </c>
      <c r="D272" s="129" t="s">
        <v>1</v>
      </c>
      <c r="E272" s="141">
        <v>1.7986111111111109</v>
      </c>
      <c r="F272" s="129" t="s">
        <v>56</v>
      </c>
      <c r="G272" s="131">
        <v>9</v>
      </c>
      <c r="H272" s="132">
        <v>679</v>
      </c>
    </row>
    <row r="273" spans="1:8" ht="19.8" customHeight="1" x14ac:dyDescent="0.3">
      <c r="A273" s="140">
        <v>45989</v>
      </c>
      <c r="B273" s="129" t="s">
        <v>125</v>
      </c>
      <c r="C273" s="130" t="s">
        <v>126</v>
      </c>
      <c r="D273" s="129" t="s">
        <v>1</v>
      </c>
      <c r="E273" s="141">
        <v>1.3784722222222221</v>
      </c>
      <c r="F273" s="129" t="s">
        <v>129</v>
      </c>
      <c r="G273" s="131">
        <v>9</v>
      </c>
      <c r="H273" s="132">
        <v>723</v>
      </c>
    </row>
    <row r="274" spans="1:8" ht="19.8" customHeight="1" x14ac:dyDescent="0.3">
      <c r="A274" s="140">
        <v>45989</v>
      </c>
      <c r="B274" s="129" t="s">
        <v>125</v>
      </c>
      <c r="C274" s="130" t="s">
        <v>136</v>
      </c>
      <c r="D274" s="129" t="s">
        <v>1</v>
      </c>
      <c r="E274" s="141">
        <v>1.71875</v>
      </c>
      <c r="F274" s="129" t="s">
        <v>129</v>
      </c>
      <c r="G274" s="131">
        <v>5</v>
      </c>
      <c r="H274" s="132">
        <v>723</v>
      </c>
    </row>
    <row r="275" spans="1:8" ht="19.8" customHeight="1" x14ac:dyDescent="0.3">
      <c r="A275" s="140">
        <v>45989</v>
      </c>
      <c r="B275" s="129" t="s">
        <v>125</v>
      </c>
      <c r="C275" s="130" t="s">
        <v>145</v>
      </c>
      <c r="D275" s="129" t="s">
        <v>1</v>
      </c>
      <c r="E275" s="141">
        <v>1.6111111111111109</v>
      </c>
      <c r="F275" s="129" t="s">
        <v>129</v>
      </c>
      <c r="G275" s="131">
        <v>9</v>
      </c>
      <c r="H275" s="132">
        <v>723</v>
      </c>
    </row>
    <row r="276" spans="1:8" ht="19.8" customHeight="1" x14ac:dyDescent="0.3">
      <c r="A276" s="140">
        <v>45989</v>
      </c>
      <c r="B276" s="129" t="s">
        <v>125</v>
      </c>
      <c r="C276" s="130" t="s">
        <v>133</v>
      </c>
      <c r="D276" s="129" t="s">
        <v>1</v>
      </c>
      <c r="E276" s="141">
        <v>1.239583333333333</v>
      </c>
      <c r="F276" s="129" t="s">
        <v>129</v>
      </c>
      <c r="G276" s="131">
        <v>9</v>
      </c>
      <c r="H276" s="132">
        <v>723</v>
      </c>
    </row>
    <row r="277" spans="1:8" ht="19.8" customHeight="1" x14ac:dyDescent="0.3">
      <c r="A277" s="140">
        <v>45989</v>
      </c>
      <c r="B277" s="129" t="s">
        <v>125</v>
      </c>
      <c r="C277" s="130" t="s">
        <v>134</v>
      </c>
      <c r="D277" s="129" t="s">
        <v>1</v>
      </c>
      <c r="E277" s="141">
        <v>1.1423611111111109</v>
      </c>
      <c r="F277" s="129" t="s">
        <v>129</v>
      </c>
      <c r="G277" s="131">
        <v>9</v>
      </c>
      <c r="H277" s="132">
        <v>723</v>
      </c>
    </row>
    <row r="278" spans="1:8" ht="19.8" customHeight="1" x14ac:dyDescent="0.3">
      <c r="A278" s="140">
        <v>45989</v>
      </c>
      <c r="B278" s="129" t="s">
        <v>148</v>
      </c>
      <c r="C278" s="130" t="s">
        <v>155</v>
      </c>
      <c r="D278" s="129" t="s">
        <v>1</v>
      </c>
      <c r="E278" s="141">
        <v>1.0138888888888891</v>
      </c>
      <c r="F278" s="129" t="s">
        <v>150</v>
      </c>
      <c r="G278" s="131">
        <v>9</v>
      </c>
      <c r="H278" s="132">
        <v>842</v>
      </c>
    </row>
    <row r="279" spans="1:8" ht="19.8" customHeight="1" x14ac:dyDescent="0.3">
      <c r="A279" s="140">
        <v>45989</v>
      </c>
      <c r="B279" s="129" t="s">
        <v>148</v>
      </c>
      <c r="C279" s="130" t="s">
        <v>149</v>
      </c>
      <c r="D279" s="129" t="s">
        <v>1</v>
      </c>
      <c r="E279" s="141">
        <v>1.4722222222222221</v>
      </c>
      <c r="F279" s="129" t="s">
        <v>150</v>
      </c>
      <c r="G279" s="131">
        <v>9</v>
      </c>
      <c r="H279" s="132">
        <v>842</v>
      </c>
    </row>
    <row r="280" spans="1:8" ht="19.8" customHeight="1" x14ac:dyDescent="0.3">
      <c r="A280" s="140">
        <v>45989</v>
      </c>
      <c r="B280" s="129" t="s">
        <v>148</v>
      </c>
      <c r="C280" s="130" t="s">
        <v>157</v>
      </c>
      <c r="D280" s="129" t="s">
        <v>1</v>
      </c>
      <c r="E280" s="141">
        <v>1.145833333333333</v>
      </c>
      <c r="F280" s="129" t="s">
        <v>150</v>
      </c>
      <c r="G280" s="131">
        <v>9</v>
      </c>
      <c r="H280" s="132">
        <v>842</v>
      </c>
    </row>
    <row r="281" spans="1:8" ht="19.8" customHeight="1" x14ac:dyDescent="0.3">
      <c r="A281" s="140">
        <v>45989</v>
      </c>
      <c r="B281" s="129" t="s">
        <v>148</v>
      </c>
      <c r="C281" s="130" t="s">
        <v>158</v>
      </c>
      <c r="D281" s="129" t="s">
        <v>1</v>
      </c>
      <c r="E281" s="141">
        <v>1.2777777777777779</v>
      </c>
      <c r="F281" s="129" t="s">
        <v>150</v>
      </c>
      <c r="G281" s="131">
        <v>9</v>
      </c>
      <c r="H281" s="132">
        <v>842</v>
      </c>
    </row>
    <row r="282" spans="1:8" ht="19.8" customHeight="1" x14ac:dyDescent="0.3">
      <c r="A282" s="140">
        <v>45989</v>
      </c>
      <c r="B282" s="129" t="s">
        <v>148</v>
      </c>
      <c r="C282" s="130" t="s">
        <v>153</v>
      </c>
      <c r="D282" s="129" t="s">
        <v>1</v>
      </c>
      <c r="E282" s="141">
        <v>1.229166666666667</v>
      </c>
      <c r="F282" s="129" t="s">
        <v>150</v>
      </c>
      <c r="G282" s="131">
        <v>9</v>
      </c>
      <c r="H282" s="132">
        <v>842</v>
      </c>
    </row>
    <row r="283" spans="1:8" ht="19.8" customHeight="1" x14ac:dyDescent="0.3">
      <c r="A283" s="140">
        <v>45989</v>
      </c>
      <c r="B283" s="129" t="s">
        <v>125</v>
      </c>
      <c r="C283" s="130" t="s">
        <v>132</v>
      </c>
      <c r="D283" s="129" t="s">
        <v>1</v>
      </c>
      <c r="E283" s="141">
        <v>1.006944444444444</v>
      </c>
      <c r="F283" s="129" t="s">
        <v>127</v>
      </c>
      <c r="G283" s="131">
        <v>9</v>
      </c>
      <c r="H283" s="132">
        <v>935</v>
      </c>
    </row>
    <row r="284" spans="1:8" ht="19.8" customHeight="1" x14ac:dyDescent="0.3">
      <c r="A284" s="140">
        <v>45989</v>
      </c>
      <c r="B284" s="129" t="s">
        <v>125</v>
      </c>
      <c r="C284" s="130" t="s">
        <v>135</v>
      </c>
      <c r="D284" s="129" t="s">
        <v>1</v>
      </c>
      <c r="E284" s="141">
        <v>1.930555555555556</v>
      </c>
      <c r="F284" s="129" t="s">
        <v>127</v>
      </c>
      <c r="G284" s="131">
        <v>9</v>
      </c>
      <c r="H284" s="132">
        <v>935</v>
      </c>
    </row>
    <row r="285" spans="1:8" ht="19.8" customHeight="1" x14ac:dyDescent="0.3">
      <c r="A285" s="140">
        <v>45989</v>
      </c>
      <c r="B285" s="129" t="s">
        <v>125</v>
      </c>
      <c r="C285" s="130" t="s">
        <v>139</v>
      </c>
      <c r="D285" s="129" t="s">
        <v>1</v>
      </c>
      <c r="E285" s="141">
        <v>1.8298611111111109</v>
      </c>
      <c r="F285" s="129" t="s">
        <v>127</v>
      </c>
      <c r="G285" s="131">
        <v>9</v>
      </c>
      <c r="H285" s="132">
        <v>935</v>
      </c>
    </row>
    <row r="286" spans="1:8" ht="19.8" customHeight="1" x14ac:dyDescent="0.3">
      <c r="A286" s="140">
        <v>45989</v>
      </c>
      <c r="B286" s="129" t="s">
        <v>125</v>
      </c>
      <c r="C286" s="130" t="s">
        <v>132</v>
      </c>
      <c r="D286" s="129" t="s">
        <v>1</v>
      </c>
      <c r="E286" s="141">
        <v>1.006944444444444</v>
      </c>
      <c r="F286" s="129" t="s">
        <v>129</v>
      </c>
      <c r="G286" s="131">
        <v>9</v>
      </c>
      <c r="H286" s="132">
        <v>980</v>
      </c>
    </row>
    <row r="287" spans="1:8" ht="19.8" customHeight="1" x14ac:dyDescent="0.3">
      <c r="A287" s="140">
        <v>45989</v>
      </c>
      <c r="B287" s="129" t="s">
        <v>125</v>
      </c>
      <c r="C287" s="130" t="s">
        <v>135</v>
      </c>
      <c r="D287" s="129" t="s">
        <v>1</v>
      </c>
      <c r="E287" s="141">
        <v>1.930555555555556</v>
      </c>
      <c r="F287" s="129" t="s">
        <v>129</v>
      </c>
      <c r="G287" s="131">
        <v>9</v>
      </c>
      <c r="H287" s="132">
        <v>980</v>
      </c>
    </row>
    <row r="288" spans="1:8" ht="19.8" customHeight="1" x14ac:dyDescent="0.3">
      <c r="A288" s="140">
        <v>45989</v>
      </c>
      <c r="B288" s="129" t="s">
        <v>125</v>
      </c>
      <c r="C288" s="130" t="s">
        <v>139</v>
      </c>
      <c r="D288" s="129" t="s">
        <v>1</v>
      </c>
      <c r="E288" s="141">
        <v>1.8298611111111109</v>
      </c>
      <c r="F288" s="129" t="s">
        <v>129</v>
      </c>
      <c r="G288" s="131">
        <v>9</v>
      </c>
      <c r="H288" s="132">
        <v>980</v>
      </c>
    </row>
    <row r="289" spans="1:8" ht="19.8" customHeight="1" x14ac:dyDescent="0.3">
      <c r="A289" s="140">
        <v>45989</v>
      </c>
      <c r="B289" s="129" t="s">
        <v>26</v>
      </c>
      <c r="C289" s="130" t="s">
        <v>36</v>
      </c>
      <c r="D289" s="129" t="s">
        <v>1</v>
      </c>
      <c r="E289" s="141">
        <v>1.302083333333333</v>
      </c>
      <c r="F289" s="129" t="s">
        <v>34</v>
      </c>
      <c r="G289" s="131">
        <v>10</v>
      </c>
      <c r="H289" s="142" t="s">
        <v>35</v>
      </c>
    </row>
    <row r="290" spans="1:8" ht="19.8" customHeight="1" x14ac:dyDescent="0.3">
      <c r="A290" s="140">
        <v>45989</v>
      </c>
      <c r="B290" s="129" t="s">
        <v>26</v>
      </c>
      <c r="C290" s="130" t="s">
        <v>27</v>
      </c>
      <c r="D290" s="129" t="s">
        <v>1</v>
      </c>
      <c r="E290" s="141">
        <v>1.1284722222222221</v>
      </c>
      <c r="F290" s="129" t="s">
        <v>34</v>
      </c>
      <c r="G290" s="131">
        <v>4</v>
      </c>
      <c r="H290" s="142" t="s">
        <v>35</v>
      </c>
    </row>
    <row r="291" spans="1:8" ht="19.8" customHeight="1" x14ac:dyDescent="0.3">
      <c r="A291" s="140">
        <v>45989</v>
      </c>
      <c r="B291" s="129" t="s">
        <v>26</v>
      </c>
      <c r="C291" s="130" t="s">
        <v>41</v>
      </c>
      <c r="D291" s="129" t="s">
        <v>1</v>
      </c>
      <c r="E291" s="141">
        <v>1.788194444444444</v>
      </c>
      <c r="F291" s="129" t="s">
        <v>34</v>
      </c>
      <c r="G291" s="131">
        <v>11</v>
      </c>
      <c r="H291" s="142" t="s">
        <v>35</v>
      </c>
    </row>
    <row r="292" spans="1:8" ht="19.8" customHeight="1" x14ac:dyDescent="0.3">
      <c r="A292" s="140">
        <v>45989</v>
      </c>
      <c r="B292" s="129" t="s">
        <v>26</v>
      </c>
      <c r="C292" s="130" t="s">
        <v>44</v>
      </c>
      <c r="D292" s="129" t="s">
        <v>1</v>
      </c>
      <c r="E292" s="141">
        <v>1.8888888888888891</v>
      </c>
      <c r="F292" s="129" t="s">
        <v>34</v>
      </c>
      <c r="G292" s="131">
        <v>9</v>
      </c>
      <c r="H292" s="142" t="s">
        <v>35</v>
      </c>
    </row>
    <row r="293" spans="1:8" ht="19.8" customHeight="1" x14ac:dyDescent="0.3">
      <c r="A293" s="140">
        <v>45989</v>
      </c>
      <c r="B293" s="129" t="s">
        <v>125</v>
      </c>
      <c r="C293" s="130" t="s">
        <v>143</v>
      </c>
      <c r="D293" s="129" t="s">
        <v>1</v>
      </c>
      <c r="E293" s="141">
        <v>1.1284722222222221</v>
      </c>
      <c r="F293" s="129" t="s">
        <v>129</v>
      </c>
      <c r="G293" s="131">
        <v>4</v>
      </c>
      <c r="H293" s="142" t="s">
        <v>210</v>
      </c>
    </row>
    <row r="294" spans="1:8" ht="19.8" customHeight="1" x14ac:dyDescent="0.3">
      <c r="A294" s="140">
        <v>45989</v>
      </c>
      <c r="B294" s="129" t="s">
        <v>125</v>
      </c>
      <c r="C294" s="130" t="s">
        <v>142</v>
      </c>
      <c r="D294" s="129" t="s">
        <v>1</v>
      </c>
      <c r="E294" s="141">
        <v>1.302083333333333</v>
      </c>
      <c r="F294" s="129" t="s">
        <v>129</v>
      </c>
      <c r="G294" s="131">
        <v>4</v>
      </c>
      <c r="H294" s="142" t="s">
        <v>184</v>
      </c>
    </row>
    <row r="295" spans="1:8" ht="19.8" customHeight="1" x14ac:dyDescent="0.3">
      <c r="A295" s="140">
        <v>45989</v>
      </c>
      <c r="B295" s="129" t="s">
        <v>148</v>
      </c>
      <c r="C295" s="130" t="s">
        <v>160</v>
      </c>
      <c r="D295" s="129" t="s">
        <v>1</v>
      </c>
      <c r="E295" s="141">
        <v>1.770833333333333</v>
      </c>
      <c r="F295" s="129" t="s">
        <v>150</v>
      </c>
      <c r="G295" s="131">
        <v>9</v>
      </c>
      <c r="H295" s="142" t="s">
        <v>156</v>
      </c>
    </row>
    <row r="296" spans="1:8" ht="19.8" customHeight="1" x14ac:dyDescent="0.3">
      <c r="A296" s="140">
        <v>45989</v>
      </c>
      <c r="B296" s="129" t="s">
        <v>125</v>
      </c>
      <c r="C296" s="130" t="s">
        <v>140</v>
      </c>
      <c r="D296" s="129" t="s">
        <v>1</v>
      </c>
      <c r="E296" s="141">
        <v>1.8888888888888891</v>
      </c>
      <c r="F296" s="129" t="s">
        <v>129</v>
      </c>
      <c r="G296" s="131">
        <v>4</v>
      </c>
      <c r="H296" s="142" t="s">
        <v>141</v>
      </c>
    </row>
    <row r="297" spans="1:8" ht="19.8" customHeight="1" x14ac:dyDescent="0.3">
      <c r="A297" s="140">
        <v>45989</v>
      </c>
      <c r="B297" s="129" t="s">
        <v>125</v>
      </c>
      <c r="C297" s="130" t="s">
        <v>144</v>
      </c>
      <c r="D297" s="129" t="s">
        <v>1</v>
      </c>
      <c r="E297" s="141">
        <v>1.788194444444444</v>
      </c>
      <c r="F297" s="129" t="s">
        <v>129</v>
      </c>
      <c r="G297" s="131">
        <v>4</v>
      </c>
      <c r="H297" s="142" t="s">
        <v>141</v>
      </c>
    </row>
    <row r="298" spans="1:8" ht="19.8" customHeight="1" x14ac:dyDescent="0.3">
      <c r="A298" s="149">
        <v>45989</v>
      </c>
      <c r="B298" s="150" t="s">
        <v>148</v>
      </c>
      <c r="C298" s="151" t="s">
        <v>180</v>
      </c>
      <c r="D298" s="150" t="s">
        <v>1</v>
      </c>
      <c r="E298" s="152">
        <v>1.958333333333333</v>
      </c>
      <c r="F298" s="150" t="s">
        <v>150</v>
      </c>
      <c r="G298" s="153">
        <v>9</v>
      </c>
      <c r="H298" s="154" t="s">
        <v>159</v>
      </c>
    </row>
  </sheetData>
  <pageMargins left="0.75" right="0.75" top="1" bottom="1" header="0.5" footer="0.5"/>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8"/>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29.5546875" bestFit="1" customWidth="1"/>
    <col min="7" max="7" width="20" bestFit="1" customWidth="1"/>
    <col min="8" max="8" width="23.6640625" bestFit="1" customWidth="1"/>
    <col min="9" max="9" width="185.5546875" hidden="1" customWidth="1"/>
  </cols>
  <sheetData>
    <row r="1" spans="1:8" ht="18" x14ac:dyDescent="0.3">
      <c r="A1" s="125" t="s">
        <v>346</v>
      </c>
      <c r="B1" s="126" t="s">
        <v>8</v>
      </c>
      <c r="C1" s="126" t="s">
        <v>9</v>
      </c>
      <c r="D1" s="126" t="s">
        <v>347</v>
      </c>
      <c r="E1" s="126" t="s">
        <v>10</v>
      </c>
      <c r="F1" s="126" t="s">
        <v>11</v>
      </c>
      <c r="G1" s="126" t="s">
        <v>12</v>
      </c>
      <c r="H1" s="127" t="s">
        <v>13</v>
      </c>
    </row>
    <row r="2" spans="1:8" ht="19.8" customHeight="1" x14ac:dyDescent="0.3">
      <c r="A2" s="133" t="s">
        <v>348</v>
      </c>
      <c r="B2" s="134" t="s">
        <v>77</v>
      </c>
      <c r="C2" s="135" t="s">
        <v>78</v>
      </c>
      <c r="D2" s="134" t="s">
        <v>1</v>
      </c>
      <c r="E2" s="134" t="s">
        <v>261</v>
      </c>
      <c r="F2" s="134" t="s">
        <v>79</v>
      </c>
      <c r="G2" s="136">
        <v>1</v>
      </c>
      <c r="H2" s="137">
        <v>471</v>
      </c>
    </row>
    <row r="3" spans="1:8" ht="19.8" customHeight="1" x14ac:dyDescent="0.3">
      <c r="A3" s="138">
        <v>45986</v>
      </c>
      <c r="B3" s="134" t="s">
        <v>77</v>
      </c>
      <c r="C3" s="135" t="s">
        <v>84</v>
      </c>
      <c r="D3" s="134" t="s">
        <v>1</v>
      </c>
      <c r="E3" s="139">
        <v>1.96875</v>
      </c>
      <c r="F3" s="134" t="s">
        <v>79</v>
      </c>
      <c r="G3" s="136">
        <v>1</v>
      </c>
      <c r="H3" s="137">
        <v>471</v>
      </c>
    </row>
    <row r="4" spans="1:8" ht="19.8" customHeight="1" x14ac:dyDescent="0.3">
      <c r="A4" s="138">
        <v>45986</v>
      </c>
      <c r="B4" s="134" t="s">
        <v>77</v>
      </c>
      <c r="C4" s="135" t="s">
        <v>87</v>
      </c>
      <c r="D4" s="134" t="s">
        <v>1</v>
      </c>
      <c r="E4" s="139">
        <v>1.9340277777777779</v>
      </c>
      <c r="F4" s="134" t="s">
        <v>79</v>
      </c>
      <c r="G4" s="136">
        <v>1</v>
      </c>
      <c r="H4" s="137">
        <v>526</v>
      </c>
    </row>
    <row r="5" spans="1:8" ht="19.8" customHeight="1" x14ac:dyDescent="0.3">
      <c r="A5" s="138">
        <v>45986</v>
      </c>
      <c r="B5" s="134" t="s">
        <v>77</v>
      </c>
      <c r="C5" s="135" t="s">
        <v>92</v>
      </c>
      <c r="D5" s="134" t="s">
        <v>1</v>
      </c>
      <c r="E5" s="139">
        <v>1.614583333333333</v>
      </c>
      <c r="F5" s="134" t="s">
        <v>79</v>
      </c>
      <c r="G5" s="136">
        <v>4</v>
      </c>
      <c r="H5" s="137">
        <v>526</v>
      </c>
    </row>
    <row r="6" spans="1:8" ht="19.8" customHeight="1" x14ac:dyDescent="0.3">
      <c r="A6" s="138">
        <v>45986</v>
      </c>
      <c r="B6" s="134" t="s">
        <v>77</v>
      </c>
      <c r="C6" s="135" t="s">
        <v>97</v>
      </c>
      <c r="D6" s="134" t="s">
        <v>1</v>
      </c>
      <c r="E6" s="139">
        <v>1.5590277777777779</v>
      </c>
      <c r="F6" s="134" t="s">
        <v>98</v>
      </c>
      <c r="G6" s="134"/>
      <c r="H6" s="143" t="s">
        <v>99</v>
      </c>
    </row>
    <row r="7" spans="1:8" ht="19.8" customHeight="1" x14ac:dyDescent="0.3">
      <c r="A7" s="144">
        <v>45986</v>
      </c>
      <c r="B7" s="145" t="s">
        <v>77</v>
      </c>
      <c r="C7" s="146" t="s">
        <v>102</v>
      </c>
      <c r="D7" s="145" t="s">
        <v>1</v>
      </c>
      <c r="E7" s="147">
        <v>1.729166666666667</v>
      </c>
      <c r="F7" s="145" t="s">
        <v>98</v>
      </c>
      <c r="G7" s="145"/>
      <c r="H7" s="148" t="s">
        <v>99</v>
      </c>
    </row>
    <row r="8" spans="1:8" ht="19.8" customHeight="1" x14ac:dyDescent="0.3">
      <c r="A8" s="140">
        <v>45987</v>
      </c>
      <c r="B8" s="129" t="s">
        <v>118</v>
      </c>
      <c r="C8" s="130" t="s">
        <v>122</v>
      </c>
      <c r="D8" s="129" t="s">
        <v>1</v>
      </c>
      <c r="E8" s="141">
        <v>1.3715277777777779</v>
      </c>
      <c r="F8" s="129" t="s">
        <v>112</v>
      </c>
      <c r="G8" s="131">
        <v>2</v>
      </c>
      <c r="H8" s="132">
        <v>401</v>
      </c>
    </row>
    <row r="9" spans="1:8" ht="19.8" customHeight="1" x14ac:dyDescent="0.3">
      <c r="A9" s="138">
        <v>45987</v>
      </c>
      <c r="B9" s="134" t="s">
        <v>77</v>
      </c>
      <c r="C9" s="135" t="s">
        <v>169</v>
      </c>
      <c r="D9" s="134" t="s">
        <v>1</v>
      </c>
      <c r="E9" s="139">
        <v>1.520833333333333</v>
      </c>
      <c r="F9" s="134" t="s">
        <v>79</v>
      </c>
      <c r="G9" s="136">
        <v>9</v>
      </c>
      <c r="H9" s="137">
        <v>471</v>
      </c>
    </row>
    <row r="10" spans="1:8" ht="19.8" customHeight="1" x14ac:dyDescent="0.3">
      <c r="A10" s="138">
        <v>45987</v>
      </c>
      <c r="B10" s="134" t="s">
        <v>77</v>
      </c>
      <c r="C10" s="135" t="s">
        <v>84</v>
      </c>
      <c r="D10" s="134" t="s">
        <v>1</v>
      </c>
      <c r="E10" s="139">
        <v>1.5173611111111109</v>
      </c>
      <c r="F10" s="134" t="s">
        <v>79</v>
      </c>
      <c r="G10" s="136">
        <v>9</v>
      </c>
      <c r="H10" s="137">
        <v>471</v>
      </c>
    </row>
    <row r="11" spans="1:8" ht="19.8" customHeight="1" x14ac:dyDescent="0.3">
      <c r="A11" s="144">
        <v>45987</v>
      </c>
      <c r="B11" s="145" t="s">
        <v>77</v>
      </c>
      <c r="C11" s="146" t="s">
        <v>92</v>
      </c>
      <c r="D11" s="145" t="s">
        <v>1</v>
      </c>
      <c r="E11" s="147">
        <v>1.614583333333333</v>
      </c>
      <c r="F11" s="145" t="s">
        <v>79</v>
      </c>
      <c r="G11" s="155">
        <v>1</v>
      </c>
      <c r="H11" s="156">
        <v>471</v>
      </c>
    </row>
    <row r="12" spans="1:8" ht="19.8" customHeight="1" x14ac:dyDescent="0.3">
      <c r="A12" s="140">
        <v>45988</v>
      </c>
      <c r="B12" s="129" t="s">
        <v>110</v>
      </c>
      <c r="C12" s="130" t="s">
        <v>111</v>
      </c>
      <c r="D12" s="129" t="s">
        <v>1</v>
      </c>
      <c r="E12" s="141">
        <v>1.291666666666667</v>
      </c>
      <c r="F12" s="129" t="s">
        <v>112</v>
      </c>
      <c r="G12" s="131">
        <v>9</v>
      </c>
      <c r="H12" s="132">
        <v>400</v>
      </c>
    </row>
    <row r="13" spans="1:8" ht="19.8" customHeight="1" x14ac:dyDescent="0.3">
      <c r="A13" s="140">
        <v>45988</v>
      </c>
      <c r="B13" s="129" t="s">
        <v>110</v>
      </c>
      <c r="C13" s="130" t="s">
        <v>115</v>
      </c>
      <c r="D13" s="129" t="s">
        <v>1</v>
      </c>
      <c r="E13" s="141">
        <v>1.59375</v>
      </c>
      <c r="F13" s="129" t="s">
        <v>112</v>
      </c>
      <c r="G13" s="131">
        <v>9</v>
      </c>
      <c r="H13" s="132">
        <v>400</v>
      </c>
    </row>
    <row r="14" spans="1:8" ht="19.8" customHeight="1" x14ac:dyDescent="0.3">
      <c r="A14" s="138">
        <v>45988</v>
      </c>
      <c r="B14" s="134" t="s">
        <v>77</v>
      </c>
      <c r="C14" s="135" t="s">
        <v>191</v>
      </c>
      <c r="D14" s="134" t="s">
        <v>1</v>
      </c>
      <c r="E14" s="139">
        <v>1.364583333333333</v>
      </c>
      <c r="F14" s="134" t="s">
        <v>79</v>
      </c>
      <c r="G14" s="136">
        <v>9</v>
      </c>
      <c r="H14" s="137">
        <v>436</v>
      </c>
    </row>
    <row r="15" spans="1:8" ht="19.8" customHeight="1" x14ac:dyDescent="0.3">
      <c r="A15" s="138">
        <v>45988</v>
      </c>
      <c r="B15" s="134" t="s">
        <v>77</v>
      </c>
      <c r="C15" s="135" t="s">
        <v>196</v>
      </c>
      <c r="D15" s="134" t="s">
        <v>1</v>
      </c>
      <c r="E15" s="139">
        <v>1.2534722222222221</v>
      </c>
      <c r="F15" s="134" t="s">
        <v>79</v>
      </c>
      <c r="G15" s="136">
        <v>5</v>
      </c>
      <c r="H15" s="137">
        <v>436</v>
      </c>
    </row>
    <row r="16" spans="1:8" ht="19.8" customHeight="1" x14ac:dyDescent="0.3">
      <c r="A16" s="138">
        <v>45988</v>
      </c>
      <c r="B16" s="134" t="s">
        <v>77</v>
      </c>
      <c r="C16" s="135" t="s">
        <v>84</v>
      </c>
      <c r="D16" s="134" t="s">
        <v>1</v>
      </c>
      <c r="E16" s="139">
        <v>1.333333333333333</v>
      </c>
      <c r="F16" s="134" t="s">
        <v>79</v>
      </c>
      <c r="G16" s="136">
        <v>6</v>
      </c>
      <c r="H16" s="137">
        <v>436</v>
      </c>
    </row>
    <row r="17" spans="1:8" ht="19.8" customHeight="1" x14ac:dyDescent="0.3">
      <c r="A17" s="138">
        <v>45988</v>
      </c>
      <c r="B17" s="134" t="s">
        <v>77</v>
      </c>
      <c r="C17" s="135" t="s">
        <v>92</v>
      </c>
      <c r="D17" s="134" t="s">
        <v>1</v>
      </c>
      <c r="E17" s="139">
        <v>1.583333333333333</v>
      </c>
      <c r="F17" s="134" t="s">
        <v>79</v>
      </c>
      <c r="G17" s="136">
        <v>5</v>
      </c>
      <c r="H17" s="137">
        <v>436</v>
      </c>
    </row>
    <row r="18" spans="1:8" ht="19.8" customHeight="1" x14ac:dyDescent="0.3">
      <c r="A18" s="138">
        <v>45988</v>
      </c>
      <c r="B18" s="134" t="s">
        <v>77</v>
      </c>
      <c r="C18" s="135" t="s">
        <v>202</v>
      </c>
      <c r="D18" s="134" t="s">
        <v>1</v>
      </c>
      <c r="E18" s="139">
        <v>1.739583333333333</v>
      </c>
      <c r="F18" s="134" t="s">
        <v>79</v>
      </c>
      <c r="G18" s="136">
        <v>5</v>
      </c>
      <c r="H18" s="137">
        <v>436</v>
      </c>
    </row>
    <row r="19" spans="1:8" ht="19.8" customHeight="1" x14ac:dyDescent="0.3">
      <c r="A19" s="138">
        <v>45988</v>
      </c>
      <c r="B19" s="134" t="s">
        <v>77</v>
      </c>
      <c r="C19" s="135" t="s">
        <v>87</v>
      </c>
      <c r="D19" s="134" t="s">
        <v>1</v>
      </c>
      <c r="E19" s="139">
        <v>1.0486111111111109</v>
      </c>
      <c r="F19" s="134" t="s">
        <v>79</v>
      </c>
      <c r="G19" s="136">
        <v>6</v>
      </c>
      <c r="H19" s="137">
        <v>471</v>
      </c>
    </row>
    <row r="20" spans="1:8" ht="19.8" customHeight="1" x14ac:dyDescent="0.3">
      <c r="A20" s="144">
        <v>45988</v>
      </c>
      <c r="B20" s="145" t="s">
        <v>77</v>
      </c>
      <c r="C20" s="146" t="s">
        <v>78</v>
      </c>
      <c r="D20" s="145" t="s">
        <v>1</v>
      </c>
      <c r="E20" s="147">
        <v>1.114583333333333</v>
      </c>
      <c r="F20" s="145" t="s">
        <v>79</v>
      </c>
      <c r="G20" s="155">
        <v>9</v>
      </c>
      <c r="H20" s="156">
        <v>471</v>
      </c>
    </row>
    <row r="21" spans="1:8" ht="19.8" customHeight="1" x14ac:dyDescent="0.3">
      <c r="A21" s="138">
        <v>45989</v>
      </c>
      <c r="B21" s="134" t="s">
        <v>77</v>
      </c>
      <c r="C21" s="135" t="s">
        <v>87</v>
      </c>
      <c r="D21" s="134" t="s">
        <v>1</v>
      </c>
      <c r="E21" s="139">
        <v>1.114583333333333</v>
      </c>
      <c r="F21" s="134" t="s">
        <v>79</v>
      </c>
      <c r="G21" s="136">
        <v>3</v>
      </c>
      <c r="H21" s="137">
        <v>436</v>
      </c>
    </row>
    <row r="22" spans="1:8" ht="19.8" customHeight="1" x14ac:dyDescent="0.3">
      <c r="A22" s="138">
        <v>45989</v>
      </c>
      <c r="B22" s="134" t="s">
        <v>77</v>
      </c>
      <c r="C22" s="135" t="s">
        <v>84</v>
      </c>
      <c r="D22" s="134" t="s">
        <v>1</v>
      </c>
      <c r="E22" s="139">
        <v>1.319444444444444</v>
      </c>
      <c r="F22" s="134" t="s">
        <v>79</v>
      </c>
      <c r="G22" s="136">
        <v>1</v>
      </c>
      <c r="H22" s="137">
        <v>436</v>
      </c>
    </row>
    <row r="23" spans="1:8" ht="19.8" customHeight="1" x14ac:dyDescent="0.3">
      <c r="A23" s="138">
        <v>45989</v>
      </c>
      <c r="B23" s="134" t="s">
        <v>77</v>
      </c>
      <c r="C23" s="135" t="s">
        <v>92</v>
      </c>
      <c r="D23" s="134" t="s">
        <v>1</v>
      </c>
      <c r="E23" s="139">
        <v>1.458333333333333</v>
      </c>
      <c r="F23" s="134" t="s">
        <v>79</v>
      </c>
      <c r="G23" s="136">
        <v>8</v>
      </c>
      <c r="H23" s="137">
        <v>436</v>
      </c>
    </row>
    <row r="24" spans="1:8" ht="19.8" customHeight="1" x14ac:dyDescent="0.3">
      <c r="A24" s="140">
        <v>45989</v>
      </c>
      <c r="B24" s="129" t="s">
        <v>104</v>
      </c>
      <c r="C24" s="130" t="s">
        <v>227</v>
      </c>
      <c r="D24" s="129" t="s">
        <v>1</v>
      </c>
      <c r="E24" s="141">
        <v>1.975694444444444</v>
      </c>
      <c r="F24" s="129" t="s">
        <v>106</v>
      </c>
      <c r="G24" s="131">
        <v>9</v>
      </c>
      <c r="H24" s="132">
        <v>437</v>
      </c>
    </row>
    <row r="25" spans="1:8" ht="19.8" customHeight="1" x14ac:dyDescent="0.3">
      <c r="A25" s="140">
        <v>45989</v>
      </c>
      <c r="B25" s="129" t="s">
        <v>104</v>
      </c>
      <c r="C25" s="130" t="s">
        <v>174</v>
      </c>
      <c r="D25" s="129" t="s">
        <v>1</v>
      </c>
      <c r="E25" s="141">
        <v>1.3923611111111109</v>
      </c>
      <c r="F25" s="129" t="s">
        <v>106</v>
      </c>
      <c r="G25" s="131">
        <v>9</v>
      </c>
      <c r="H25" s="132">
        <v>449</v>
      </c>
    </row>
    <row r="26" spans="1:8" ht="19.8" customHeight="1" x14ac:dyDescent="0.3">
      <c r="A26" s="138">
        <v>45989</v>
      </c>
      <c r="B26" s="134" t="s">
        <v>77</v>
      </c>
      <c r="C26" s="135" t="s">
        <v>169</v>
      </c>
      <c r="D26" s="134" t="s">
        <v>1</v>
      </c>
      <c r="E26" s="139">
        <v>1.9375</v>
      </c>
      <c r="F26" s="134" t="s">
        <v>79</v>
      </c>
      <c r="G26" s="136">
        <v>1</v>
      </c>
      <c r="H26" s="137">
        <v>471</v>
      </c>
    </row>
    <row r="27" spans="1:8" ht="19.8" customHeight="1" x14ac:dyDescent="0.3">
      <c r="A27" s="138">
        <v>45989</v>
      </c>
      <c r="B27" s="134" t="s">
        <v>77</v>
      </c>
      <c r="C27" s="135" t="s">
        <v>78</v>
      </c>
      <c r="D27" s="134" t="s">
        <v>1</v>
      </c>
      <c r="E27" s="139">
        <v>1.7361111111111109</v>
      </c>
      <c r="F27" s="134" t="s">
        <v>79</v>
      </c>
      <c r="G27" s="136">
        <v>6</v>
      </c>
      <c r="H27" s="137">
        <v>471</v>
      </c>
    </row>
    <row r="28" spans="1:8" ht="19.8" customHeight="1" x14ac:dyDescent="0.3">
      <c r="A28" s="144">
        <v>45989</v>
      </c>
      <c r="B28" s="145" t="s">
        <v>77</v>
      </c>
      <c r="C28" s="146" t="s">
        <v>202</v>
      </c>
      <c r="D28" s="145" t="s">
        <v>1</v>
      </c>
      <c r="E28" s="147">
        <v>1.614583333333333</v>
      </c>
      <c r="F28" s="145" t="s">
        <v>79</v>
      </c>
      <c r="G28" s="155">
        <v>7</v>
      </c>
      <c r="H28" s="156">
        <v>471</v>
      </c>
    </row>
  </sheetData>
  <pageMargins left="0.75" right="0.75" top="1" bottom="1" header="0.5" footer="0.5"/>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N99"/>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20.109375" bestFit="1" customWidth="1"/>
    <col min="6" max="6" width="23.44140625" bestFit="1" customWidth="1"/>
    <col min="7" max="7" width="48.3320312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49.21875" bestFit="1" customWidth="1"/>
  </cols>
  <sheetData>
    <row r="1" spans="1:92" ht="28.8" customHeight="1" x14ac:dyDescent="0.3">
      <c r="A1" s="178" t="s">
        <v>0</v>
      </c>
      <c r="B1" s="177"/>
      <c r="C1" s="177"/>
      <c r="D1" s="177"/>
      <c r="E1" s="177"/>
      <c r="F1" s="1" t="s">
        <v>357</v>
      </c>
      <c r="G1" s="2" t="s">
        <v>2</v>
      </c>
      <c r="H1" s="176">
        <v>45986</v>
      </c>
      <c r="I1" s="177"/>
      <c r="J1" s="177"/>
      <c r="K1" s="177"/>
      <c r="L1" s="177"/>
      <c r="M1" s="1" t="s">
        <v>3</v>
      </c>
      <c r="N1" s="188">
        <v>45989</v>
      </c>
      <c r="O1" s="177"/>
      <c r="P1" s="177"/>
      <c r="Q1" s="177"/>
      <c r="R1" s="177"/>
      <c r="CA1" s="3"/>
      <c r="CB1" s="3"/>
      <c r="CC1" s="3"/>
      <c r="CD1" s="3"/>
      <c r="CE1" s="3"/>
      <c r="CF1" s="3"/>
      <c r="CG1" s="3"/>
      <c r="CH1" s="3"/>
      <c r="CI1" s="3"/>
      <c r="CJ1" s="3"/>
      <c r="CK1" s="3"/>
      <c r="CL1" s="3"/>
      <c r="CM1" s="3"/>
      <c r="CN1" s="3"/>
    </row>
    <row r="2" spans="1:92" ht="23.4" customHeight="1" x14ac:dyDescent="0.3">
      <c r="A2" s="183" t="s">
        <v>4</v>
      </c>
      <c r="B2" s="177"/>
      <c r="C2" s="177"/>
      <c r="D2" s="177"/>
      <c r="E2" s="177"/>
      <c r="F2" s="177"/>
      <c r="G2" s="186">
        <v>45981.457510759072</v>
      </c>
      <c r="H2" s="177"/>
      <c r="I2" s="177"/>
      <c r="J2" s="177"/>
      <c r="K2" s="192">
        <v>45981.457510759377</v>
      </c>
      <c r="L2" s="177"/>
      <c r="M2" s="177"/>
      <c r="N2" s="177"/>
      <c r="O2" s="177"/>
      <c r="P2" s="177"/>
      <c r="Q2" s="177"/>
      <c r="R2" s="177"/>
      <c r="CA2" s="3"/>
      <c r="CB2" s="3"/>
      <c r="CC2" s="3"/>
      <c r="CD2" s="3"/>
      <c r="CE2" s="3"/>
      <c r="CF2" s="3"/>
      <c r="CG2" s="3"/>
      <c r="CH2" s="3"/>
      <c r="CI2" s="3"/>
      <c r="CJ2" s="3"/>
      <c r="CK2" s="3"/>
      <c r="CL2" s="3"/>
      <c r="CM2" s="3"/>
      <c r="CN2" s="3"/>
    </row>
    <row r="3" spans="1:92" ht="24" customHeight="1" x14ac:dyDescent="0.3">
      <c r="A3" s="184" t="s">
        <v>5</v>
      </c>
      <c r="B3" s="177"/>
      <c r="C3" s="177"/>
      <c r="D3" s="177"/>
      <c r="E3" s="177"/>
      <c r="F3" s="177"/>
      <c r="G3" s="177"/>
      <c r="H3" s="177"/>
      <c r="I3" s="177"/>
      <c r="J3" s="177"/>
      <c r="K3" s="177"/>
      <c r="L3" s="177"/>
      <c r="M3" s="177"/>
      <c r="N3" s="177"/>
      <c r="O3" s="177"/>
      <c r="P3" s="177"/>
      <c r="Q3" s="177"/>
      <c r="R3" s="177"/>
      <c r="CA3" s="3"/>
      <c r="CB3" s="3"/>
      <c r="CC3" s="3"/>
      <c r="CD3" s="3"/>
      <c r="CE3" s="3"/>
      <c r="CF3" s="3"/>
      <c r="CG3" s="3"/>
      <c r="CH3" s="3"/>
      <c r="CI3" s="3"/>
      <c r="CJ3" s="3"/>
      <c r="CK3" s="3"/>
      <c r="CL3" s="3"/>
      <c r="CM3" s="3"/>
      <c r="CN3" s="3"/>
    </row>
    <row r="4" spans="1:92" ht="22.05" customHeight="1" x14ac:dyDescent="0.3">
      <c r="A4" s="187" t="s">
        <v>6</v>
      </c>
      <c r="B4" s="180"/>
      <c r="C4" s="180"/>
      <c r="D4" s="180"/>
      <c r="E4" s="180"/>
      <c r="F4" s="181"/>
      <c r="G4" s="4">
        <v>45986</v>
      </c>
      <c r="H4" s="179" t="s">
        <v>7</v>
      </c>
      <c r="I4" s="180"/>
      <c r="J4" s="180"/>
      <c r="K4" s="180"/>
      <c r="L4" s="180"/>
      <c r="M4" s="180"/>
      <c r="N4" s="180"/>
      <c r="O4" s="180"/>
      <c r="P4" s="180"/>
      <c r="Q4" s="180"/>
      <c r="R4" s="18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104</v>
      </c>
      <c r="B6" s="8" t="s">
        <v>358</v>
      </c>
      <c r="C6" s="9">
        <v>0.1875</v>
      </c>
      <c r="D6" s="8" t="s">
        <v>359</v>
      </c>
      <c r="E6" s="8" t="s">
        <v>107</v>
      </c>
      <c r="F6" s="8" t="s">
        <v>360</v>
      </c>
      <c r="G6" s="193"/>
      <c r="H6" s="10"/>
      <c r="I6" s="11"/>
      <c r="J6" s="11"/>
      <c r="K6" s="11"/>
      <c r="L6" s="11"/>
      <c r="M6" s="11"/>
      <c r="N6" s="11"/>
      <c r="O6" s="12"/>
      <c r="P6" s="11"/>
      <c r="Q6" s="13"/>
      <c r="R6" s="14"/>
    </row>
    <row r="7" spans="1:92" ht="15" customHeight="1" x14ac:dyDescent="0.3">
      <c r="A7" s="15" t="s">
        <v>104</v>
      </c>
      <c r="B7" s="15" t="s">
        <v>358</v>
      </c>
      <c r="C7" s="16">
        <v>0.1875</v>
      </c>
      <c r="D7" s="15" t="s">
        <v>361</v>
      </c>
      <c r="E7" s="15" t="s">
        <v>72</v>
      </c>
      <c r="F7" s="15" t="s">
        <v>362</v>
      </c>
      <c r="G7" s="190"/>
      <c r="H7" s="10"/>
      <c r="I7" s="11"/>
      <c r="J7" s="11"/>
      <c r="K7" s="11"/>
      <c r="L7" s="11"/>
      <c r="M7" s="11"/>
      <c r="N7" s="11"/>
      <c r="O7" s="12"/>
      <c r="P7" s="11"/>
      <c r="Q7" s="13"/>
      <c r="R7" s="14"/>
    </row>
    <row r="8" spans="1:92" ht="15" customHeight="1" x14ac:dyDescent="0.3">
      <c r="A8" s="15" t="s">
        <v>104</v>
      </c>
      <c r="B8" s="15" t="s">
        <v>358</v>
      </c>
      <c r="C8" s="16">
        <v>0.1875</v>
      </c>
      <c r="D8" s="15" t="s">
        <v>34</v>
      </c>
      <c r="E8" s="15" t="s">
        <v>72</v>
      </c>
      <c r="F8" s="15" t="s">
        <v>363</v>
      </c>
      <c r="G8" s="190"/>
      <c r="H8" s="10"/>
      <c r="I8" s="11"/>
      <c r="J8" s="11"/>
      <c r="K8" s="11"/>
      <c r="L8" s="11"/>
      <c r="M8" s="11"/>
      <c r="N8" s="11"/>
      <c r="O8" s="12"/>
      <c r="P8" s="11"/>
      <c r="Q8" s="13"/>
      <c r="R8" s="14"/>
    </row>
    <row r="9" spans="1:92" ht="15" customHeight="1" x14ac:dyDescent="0.3">
      <c r="A9" s="17" t="s">
        <v>104</v>
      </c>
      <c r="B9" s="17" t="s">
        <v>364</v>
      </c>
      <c r="C9" s="18">
        <v>0.52777777777777779</v>
      </c>
      <c r="D9" s="17" t="s">
        <v>359</v>
      </c>
      <c r="E9" s="17" t="s">
        <v>70</v>
      </c>
      <c r="F9" s="17" t="s">
        <v>109</v>
      </c>
      <c r="G9" s="190"/>
      <c r="H9" s="10"/>
      <c r="I9" s="11"/>
      <c r="J9" s="11"/>
      <c r="K9" s="11"/>
      <c r="L9" s="11"/>
      <c r="M9" s="11"/>
      <c r="N9" s="11"/>
      <c r="O9" s="12"/>
      <c r="P9" s="11"/>
      <c r="Q9" s="13"/>
      <c r="R9" s="14"/>
    </row>
    <row r="10" spans="1:92" ht="15" customHeight="1" x14ac:dyDescent="0.3">
      <c r="A10" s="15" t="s">
        <v>104</v>
      </c>
      <c r="B10" s="15" t="s">
        <v>364</v>
      </c>
      <c r="C10" s="16">
        <v>0.52777777777777779</v>
      </c>
      <c r="D10" s="15" t="s">
        <v>361</v>
      </c>
      <c r="E10" s="15" t="s">
        <v>72</v>
      </c>
      <c r="F10" s="15" t="s">
        <v>365</v>
      </c>
      <c r="G10" s="190"/>
      <c r="H10" s="10"/>
      <c r="I10" s="11"/>
      <c r="J10" s="11"/>
      <c r="K10" s="11"/>
      <c r="L10" s="11"/>
      <c r="M10" s="11"/>
      <c r="N10" s="11"/>
      <c r="O10" s="12"/>
      <c r="P10" s="11"/>
      <c r="Q10" s="13"/>
      <c r="R10" s="14"/>
    </row>
    <row r="11" spans="1:92" ht="15" customHeight="1" x14ac:dyDescent="0.3">
      <c r="A11" s="15" t="s">
        <v>104</v>
      </c>
      <c r="B11" s="15" t="s">
        <v>364</v>
      </c>
      <c r="C11" s="16">
        <v>0.52777777777777779</v>
      </c>
      <c r="D11" s="15" t="s">
        <v>34</v>
      </c>
      <c r="E11" s="15" t="s">
        <v>72</v>
      </c>
      <c r="F11" s="15" t="s">
        <v>366</v>
      </c>
      <c r="G11" s="190"/>
      <c r="H11" s="10"/>
      <c r="I11" s="11"/>
      <c r="J11" s="11"/>
      <c r="K11" s="11"/>
      <c r="L11" s="11"/>
      <c r="M11" s="11"/>
      <c r="N11" s="11"/>
      <c r="O11" s="12"/>
      <c r="P11" s="11"/>
      <c r="Q11" s="13"/>
      <c r="R11" s="14"/>
    </row>
    <row r="12" spans="1:92" ht="15" customHeight="1" x14ac:dyDescent="0.3">
      <c r="A12" s="19" t="s">
        <v>26</v>
      </c>
      <c r="B12" s="19" t="s">
        <v>367</v>
      </c>
      <c r="C12" s="20">
        <v>0.25694444444444448</v>
      </c>
      <c r="D12" s="19" t="s">
        <v>368</v>
      </c>
      <c r="E12" s="19" t="s">
        <v>181</v>
      </c>
      <c r="F12" s="19" t="s">
        <v>369</v>
      </c>
      <c r="G12" s="190"/>
      <c r="H12" s="10"/>
      <c r="I12" s="11"/>
      <c r="J12" s="11"/>
      <c r="K12" s="11"/>
      <c r="L12" s="11"/>
      <c r="M12" s="11"/>
      <c r="N12" s="11"/>
      <c r="O12" s="12"/>
      <c r="P12" s="11"/>
      <c r="Q12" s="13"/>
      <c r="R12" s="14"/>
    </row>
    <row r="13" spans="1:92" ht="15" customHeight="1" x14ac:dyDescent="0.3">
      <c r="A13" s="15" t="s">
        <v>26</v>
      </c>
      <c r="B13" s="15" t="s">
        <v>367</v>
      </c>
      <c r="C13" s="16">
        <v>0.25694444444444448</v>
      </c>
      <c r="D13" s="15" t="s">
        <v>359</v>
      </c>
      <c r="E13" s="15" t="s">
        <v>68</v>
      </c>
      <c r="F13" s="15" t="s">
        <v>370</v>
      </c>
      <c r="G13" s="190"/>
      <c r="H13" s="10"/>
      <c r="I13" s="11"/>
      <c r="J13" s="11"/>
      <c r="K13" s="11"/>
      <c r="L13" s="11"/>
      <c r="M13" s="11"/>
      <c r="N13" s="11"/>
      <c r="O13" s="12"/>
      <c r="P13" s="11"/>
      <c r="Q13" s="13"/>
      <c r="R13" s="14"/>
    </row>
    <row r="14" spans="1:92" ht="15" customHeight="1" x14ac:dyDescent="0.3">
      <c r="A14" s="15" t="s">
        <v>26</v>
      </c>
      <c r="B14" s="15" t="s">
        <v>367</v>
      </c>
      <c r="C14" s="16">
        <v>0.25694444444444448</v>
      </c>
      <c r="D14" s="15" t="s">
        <v>361</v>
      </c>
      <c r="E14" s="15" t="s">
        <v>68</v>
      </c>
      <c r="F14" s="15" t="s">
        <v>371</v>
      </c>
      <c r="G14" s="190"/>
      <c r="H14" s="10"/>
      <c r="I14" s="11"/>
      <c r="J14" s="11"/>
      <c r="K14" s="11"/>
      <c r="L14" s="11"/>
      <c r="M14" s="11"/>
      <c r="N14" s="11"/>
      <c r="O14" s="12"/>
      <c r="P14" s="11"/>
      <c r="Q14" s="13"/>
      <c r="R14" s="14"/>
    </row>
    <row r="15" spans="1:92" ht="15" customHeight="1" x14ac:dyDescent="0.3">
      <c r="A15" s="15" t="s">
        <v>26</v>
      </c>
      <c r="B15" s="15" t="s">
        <v>367</v>
      </c>
      <c r="C15" s="16">
        <v>0.25694444444444448</v>
      </c>
      <c r="D15" s="15" t="s">
        <v>372</v>
      </c>
      <c r="E15" s="15" t="s">
        <v>68</v>
      </c>
      <c r="F15" s="15" t="s">
        <v>373</v>
      </c>
      <c r="G15" s="190"/>
      <c r="H15" s="10"/>
      <c r="I15" s="11"/>
      <c r="J15" s="11"/>
      <c r="K15" s="11"/>
      <c r="L15" s="11"/>
      <c r="M15" s="11"/>
      <c r="N15" s="11"/>
      <c r="O15" s="12"/>
      <c r="P15" s="11"/>
      <c r="Q15" s="13"/>
      <c r="R15" s="14"/>
    </row>
    <row r="16" spans="1:92" ht="15" customHeight="1" x14ac:dyDescent="0.3">
      <c r="A16" s="157" t="s">
        <v>77</v>
      </c>
      <c r="B16" s="157" t="s">
        <v>374</v>
      </c>
      <c r="C16" s="158">
        <v>0.70833333333333337</v>
      </c>
      <c r="D16" s="157" t="s">
        <v>79</v>
      </c>
      <c r="E16" s="157" t="s">
        <v>29</v>
      </c>
      <c r="F16" s="157" t="s">
        <v>375</v>
      </c>
      <c r="G16" s="190"/>
      <c r="H16" s="88" t="s">
        <v>376</v>
      </c>
      <c r="I16" s="159">
        <v>0.99439999999999995</v>
      </c>
      <c r="J16" s="90">
        <v>178</v>
      </c>
      <c r="K16" s="91">
        <v>45980</v>
      </c>
      <c r="L16" s="90">
        <v>7</v>
      </c>
      <c r="M16" s="90">
        <v>0</v>
      </c>
      <c r="N16" s="90">
        <v>5</v>
      </c>
      <c r="O16" s="92" t="s">
        <v>335</v>
      </c>
      <c r="P16" s="93">
        <v>0.70833333333333337</v>
      </c>
      <c r="Q16" s="90">
        <v>179</v>
      </c>
      <c r="R16" s="94" t="s">
        <v>377</v>
      </c>
    </row>
    <row r="17" spans="1:18" ht="15" customHeight="1" x14ac:dyDescent="0.3">
      <c r="A17" s="19" t="s">
        <v>148</v>
      </c>
      <c r="B17" s="19" t="s">
        <v>378</v>
      </c>
      <c r="C17" s="20">
        <v>0.60416666666666663</v>
      </c>
      <c r="D17" s="19" t="s">
        <v>150</v>
      </c>
      <c r="E17" s="19" t="s">
        <v>113</v>
      </c>
      <c r="F17" s="19" t="s">
        <v>379</v>
      </c>
      <c r="G17" s="190"/>
      <c r="H17" s="10"/>
      <c r="I17" s="11"/>
      <c r="J17" s="11"/>
      <c r="K17" s="11"/>
      <c r="L17" s="11"/>
      <c r="M17" s="11"/>
      <c r="N17" s="11"/>
      <c r="O17" s="12"/>
      <c r="P17" s="11"/>
      <c r="Q17" s="13"/>
      <c r="R17" s="14"/>
    </row>
    <row r="18" spans="1:18" ht="15" customHeight="1" x14ac:dyDescent="0.3">
      <c r="A18" s="19" t="s">
        <v>125</v>
      </c>
      <c r="B18" s="19" t="s">
        <v>380</v>
      </c>
      <c r="C18" s="20">
        <v>0.34027777777777768</v>
      </c>
      <c r="D18" s="19" t="s">
        <v>127</v>
      </c>
      <c r="E18" s="19" t="s">
        <v>113</v>
      </c>
      <c r="F18" s="19" t="s">
        <v>381</v>
      </c>
      <c r="G18" s="190"/>
      <c r="H18" s="10"/>
      <c r="I18" s="11"/>
      <c r="J18" s="11"/>
      <c r="K18" s="11"/>
      <c r="L18" s="11"/>
      <c r="M18" s="11"/>
      <c r="N18" s="11"/>
      <c r="O18" s="12"/>
      <c r="P18" s="11"/>
      <c r="Q18" s="13"/>
      <c r="R18" s="14"/>
    </row>
    <row r="19" spans="1:18" ht="15" customHeight="1" x14ac:dyDescent="0.3">
      <c r="A19" s="15" t="s">
        <v>125</v>
      </c>
      <c r="B19" s="15" t="s">
        <v>380</v>
      </c>
      <c r="C19" s="16">
        <v>0.34027777777777768</v>
      </c>
      <c r="D19" s="15" t="s">
        <v>129</v>
      </c>
      <c r="E19" s="15" t="s">
        <v>130</v>
      </c>
      <c r="F19" s="15" t="s">
        <v>382</v>
      </c>
      <c r="G19" s="190"/>
      <c r="H19" s="10"/>
      <c r="I19" s="11"/>
      <c r="J19" s="11"/>
      <c r="K19" s="11"/>
      <c r="L19" s="11"/>
      <c r="M19" s="11"/>
      <c r="N19" s="11"/>
      <c r="O19" s="12"/>
      <c r="P19" s="11"/>
      <c r="Q19" s="13"/>
      <c r="R19" s="14"/>
    </row>
    <row r="20" spans="1:18" ht="15" customHeight="1" x14ac:dyDescent="0.3">
      <c r="A20" s="17" t="s">
        <v>125</v>
      </c>
      <c r="B20" s="17" t="s">
        <v>383</v>
      </c>
      <c r="C20" s="18">
        <v>0.71180555555555547</v>
      </c>
      <c r="D20" s="17" t="s">
        <v>127</v>
      </c>
      <c r="E20" s="17" t="s">
        <v>116</v>
      </c>
      <c r="F20" s="17" t="s">
        <v>381</v>
      </c>
      <c r="G20" s="190"/>
      <c r="H20" s="10"/>
      <c r="I20" s="11"/>
      <c r="J20" s="11"/>
      <c r="K20" s="11"/>
      <c r="L20" s="11"/>
      <c r="M20" s="11"/>
      <c r="N20" s="11"/>
      <c r="O20" s="12"/>
      <c r="P20" s="11"/>
      <c r="Q20" s="13"/>
      <c r="R20" s="14"/>
    </row>
    <row r="21" spans="1:18" ht="15" customHeight="1" x14ac:dyDescent="0.3">
      <c r="A21" s="15" t="s">
        <v>125</v>
      </c>
      <c r="B21" s="15" t="s">
        <v>383</v>
      </c>
      <c r="C21" s="16">
        <v>0.71180555555555547</v>
      </c>
      <c r="D21" s="15" t="s">
        <v>129</v>
      </c>
      <c r="E21" s="15" t="s">
        <v>130</v>
      </c>
      <c r="F21" s="15" t="s">
        <v>382</v>
      </c>
      <c r="G21" s="190"/>
      <c r="H21" s="10"/>
      <c r="I21" s="11"/>
      <c r="J21" s="11"/>
      <c r="K21" s="11"/>
      <c r="L21" s="11"/>
      <c r="M21" s="11"/>
      <c r="N21" s="11"/>
      <c r="O21" s="12"/>
      <c r="P21" s="11"/>
      <c r="Q21" s="13"/>
      <c r="R21" s="14"/>
    </row>
    <row r="22" spans="1:18" ht="18" x14ac:dyDescent="0.3">
      <c r="A22" s="194" t="s">
        <v>384</v>
      </c>
      <c r="B22" s="195"/>
      <c r="C22" s="195"/>
      <c r="D22" s="195"/>
      <c r="E22" s="195"/>
      <c r="F22" s="196"/>
      <c r="G22" s="190"/>
      <c r="H22" s="160"/>
      <c r="I22" s="160"/>
      <c r="J22" s="160"/>
      <c r="K22" s="160"/>
      <c r="L22" s="160"/>
      <c r="M22" s="160"/>
      <c r="N22" s="160"/>
      <c r="O22" s="161"/>
      <c r="P22" s="160"/>
      <c r="Q22" s="124"/>
      <c r="R22" s="124"/>
    </row>
    <row r="23" spans="1:18" ht="15" customHeight="1" x14ac:dyDescent="0.3">
      <c r="A23" s="17" t="s">
        <v>26</v>
      </c>
      <c r="B23" s="17" t="s">
        <v>27</v>
      </c>
      <c r="C23" s="18" t="s">
        <v>349</v>
      </c>
      <c r="D23" s="17" t="s">
        <v>28</v>
      </c>
      <c r="E23" s="17" t="s">
        <v>385</v>
      </c>
      <c r="F23" s="17" t="s">
        <v>30</v>
      </c>
      <c r="G23" s="190"/>
      <c r="H23" s="160"/>
      <c r="I23" s="160"/>
      <c r="J23" s="160"/>
      <c r="K23" s="160"/>
      <c r="L23" s="160"/>
      <c r="M23" s="160"/>
      <c r="N23" s="160"/>
      <c r="O23" s="161"/>
      <c r="P23" s="160"/>
      <c r="Q23" s="124"/>
      <c r="R23" s="124"/>
    </row>
    <row r="24" spans="1:18" ht="15" customHeight="1" x14ac:dyDescent="0.3">
      <c r="A24" s="17" t="s">
        <v>26</v>
      </c>
      <c r="B24" s="17" t="s">
        <v>36</v>
      </c>
      <c r="C24" s="18" t="s">
        <v>350</v>
      </c>
      <c r="D24" s="17" t="s">
        <v>28</v>
      </c>
      <c r="E24" s="17" t="s">
        <v>386</v>
      </c>
      <c r="F24" s="17" t="s">
        <v>38</v>
      </c>
      <c r="G24" s="190"/>
      <c r="H24" s="160"/>
      <c r="I24" s="160"/>
      <c r="J24" s="160"/>
      <c r="K24" s="160"/>
      <c r="L24" s="160"/>
      <c r="M24" s="160"/>
      <c r="N24" s="160"/>
      <c r="O24" s="161"/>
      <c r="P24" s="160"/>
      <c r="Q24" s="124"/>
      <c r="R24" s="124"/>
    </row>
    <row r="25" spans="1:18" ht="15" customHeight="1" x14ac:dyDescent="0.3">
      <c r="A25" s="17" t="s">
        <v>26</v>
      </c>
      <c r="B25" s="17" t="s">
        <v>41</v>
      </c>
      <c r="C25" s="18" t="s">
        <v>351</v>
      </c>
      <c r="D25" s="17" t="s">
        <v>28</v>
      </c>
      <c r="E25" s="17" t="s">
        <v>387</v>
      </c>
      <c r="F25" s="17" t="s">
        <v>38</v>
      </c>
      <c r="G25" s="190"/>
      <c r="H25" s="160"/>
      <c r="I25" s="160"/>
      <c r="J25" s="160"/>
      <c r="K25" s="160"/>
      <c r="L25" s="160"/>
      <c r="M25" s="160"/>
      <c r="N25" s="160"/>
      <c r="O25" s="161"/>
      <c r="P25" s="160"/>
      <c r="Q25" s="124"/>
      <c r="R25" s="124"/>
    </row>
    <row r="26" spans="1:18" ht="15" customHeight="1" x14ac:dyDescent="0.3">
      <c r="A26" s="17" t="s">
        <v>49</v>
      </c>
      <c r="B26" s="17" t="s">
        <v>50</v>
      </c>
      <c r="C26" s="18" t="s">
        <v>352</v>
      </c>
      <c r="D26" s="17" t="s">
        <v>51</v>
      </c>
      <c r="E26" s="17" t="s">
        <v>386</v>
      </c>
      <c r="F26" s="17" t="s">
        <v>53</v>
      </c>
      <c r="G26" s="190"/>
      <c r="H26" s="160"/>
      <c r="I26" s="160"/>
      <c r="J26" s="160"/>
      <c r="K26" s="160"/>
      <c r="L26" s="160"/>
      <c r="M26" s="160"/>
      <c r="N26" s="160"/>
      <c r="O26" s="161"/>
      <c r="P26" s="160"/>
      <c r="Q26" s="124"/>
      <c r="R26" s="124"/>
    </row>
    <row r="27" spans="1:18" ht="15" customHeight="1" x14ac:dyDescent="0.3">
      <c r="A27" s="17" t="s">
        <v>49</v>
      </c>
      <c r="B27" s="17" t="s">
        <v>58</v>
      </c>
      <c r="C27" s="18" t="s">
        <v>353</v>
      </c>
      <c r="D27" s="17" t="s">
        <v>51</v>
      </c>
      <c r="E27" s="17" t="s">
        <v>388</v>
      </c>
      <c r="F27" s="17" t="s">
        <v>53</v>
      </c>
      <c r="G27" s="190"/>
      <c r="H27" s="160"/>
      <c r="I27" s="160"/>
      <c r="J27" s="160"/>
      <c r="K27" s="160"/>
      <c r="L27" s="160"/>
      <c r="M27" s="160"/>
      <c r="N27" s="160"/>
      <c r="O27" s="161"/>
      <c r="P27" s="160"/>
      <c r="Q27" s="124"/>
      <c r="R27" s="124"/>
    </row>
    <row r="28" spans="1:18" ht="15" customHeight="1" x14ac:dyDescent="0.3">
      <c r="A28" s="17" t="s">
        <v>49</v>
      </c>
      <c r="B28" s="17" t="s">
        <v>61</v>
      </c>
      <c r="C28" s="18" t="s">
        <v>291</v>
      </c>
      <c r="D28" s="17" t="s">
        <v>51</v>
      </c>
      <c r="E28" s="17" t="s">
        <v>385</v>
      </c>
      <c r="F28" s="17" t="s">
        <v>53</v>
      </c>
      <c r="G28" s="190"/>
      <c r="H28" s="160"/>
      <c r="I28" s="160"/>
      <c r="J28" s="160"/>
      <c r="K28" s="160"/>
      <c r="L28" s="160"/>
      <c r="M28" s="160"/>
      <c r="N28" s="160"/>
      <c r="O28" s="161"/>
      <c r="P28" s="160"/>
      <c r="Q28" s="124"/>
      <c r="R28" s="124"/>
    </row>
    <row r="29" spans="1:18" ht="15" customHeight="1" x14ac:dyDescent="0.3">
      <c r="A29" s="17" t="s">
        <v>49</v>
      </c>
      <c r="B29" s="17" t="s">
        <v>63</v>
      </c>
      <c r="C29" s="18" t="s">
        <v>354</v>
      </c>
      <c r="D29" s="17" t="s">
        <v>51</v>
      </c>
      <c r="E29" s="17" t="s">
        <v>389</v>
      </c>
      <c r="F29" s="17" t="s">
        <v>53</v>
      </c>
      <c r="G29" s="190"/>
      <c r="H29" s="160"/>
      <c r="I29" s="160"/>
      <c r="J29" s="160"/>
      <c r="K29" s="160"/>
      <c r="L29" s="160"/>
      <c r="M29" s="160"/>
      <c r="N29" s="160"/>
      <c r="O29" s="161"/>
      <c r="P29" s="160"/>
      <c r="Q29" s="124"/>
      <c r="R29" s="124"/>
    </row>
    <row r="30" spans="1:18" ht="15" customHeight="1" x14ac:dyDescent="0.3">
      <c r="A30" s="17" t="s">
        <v>49</v>
      </c>
      <c r="B30" s="17" t="s">
        <v>66</v>
      </c>
      <c r="C30" s="18" t="s">
        <v>355</v>
      </c>
      <c r="D30" s="17" t="s">
        <v>51</v>
      </c>
      <c r="E30" s="17" t="s">
        <v>390</v>
      </c>
      <c r="F30" s="17" t="s">
        <v>53</v>
      </c>
      <c r="G30" s="190"/>
      <c r="H30" s="160"/>
      <c r="I30" s="160"/>
      <c r="J30" s="160"/>
      <c r="K30" s="160"/>
      <c r="L30" s="160"/>
      <c r="M30" s="160"/>
      <c r="N30" s="160"/>
      <c r="O30" s="161"/>
      <c r="P30" s="160"/>
      <c r="Q30" s="124"/>
      <c r="R30" s="124"/>
    </row>
    <row r="31" spans="1:18" ht="15" customHeight="1" x14ac:dyDescent="0.3">
      <c r="A31" s="17" t="s">
        <v>26</v>
      </c>
      <c r="B31" s="17" t="s">
        <v>44</v>
      </c>
      <c r="C31" s="18" t="s">
        <v>356</v>
      </c>
      <c r="D31" s="17" t="s">
        <v>28</v>
      </c>
      <c r="E31" s="17" t="s">
        <v>391</v>
      </c>
      <c r="F31" s="17" t="s">
        <v>46</v>
      </c>
      <c r="G31" s="190"/>
      <c r="H31" s="160"/>
      <c r="I31" s="160"/>
      <c r="J31" s="160"/>
      <c r="K31" s="160"/>
      <c r="L31" s="160"/>
      <c r="M31" s="160"/>
      <c r="N31" s="160"/>
      <c r="O31" s="161"/>
      <c r="P31" s="160"/>
      <c r="Q31" s="124"/>
      <c r="R31" s="124"/>
    </row>
    <row r="32" spans="1:18" ht="15" customHeight="1" thickBot="1" x14ac:dyDescent="0.35">
      <c r="A32" s="60" t="s">
        <v>77</v>
      </c>
      <c r="B32" s="60" t="s">
        <v>78</v>
      </c>
      <c r="C32" s="61" t="s">
        <v>261</v>
      </c>
      <c r="D32" s="60" t="s">
        <v>79</v>
      </c>
      <c r="E32" s="60" t="s">
        <v>385</v>
      </c>
      <c r="F32" s="60" t="s">
        <v>80</v>
      </c>
      <c r="G32" s="191"/>
      <c r="H32" s="162"/>
      <c r="I32" s="162"/>
      <c r="J32" s="162"/>
      <c r="K32" s="162"/>
      <c r="L32" s="162"/>
      <c r="M32" s="162"/>
      <c r="N32" s="162"/>
      <c r="O32" s="163"/>
      <c r="P32" s="162"/>
      <c r="Q32" s="164"/>
      <c r="R32" s="164"/>
    </row>
    <row r="33" spans="1:18" ht="17.399999999999999" customHeight="1" thickBot="1" x14ac:dyDescent="0.35">
      <c r="A33" s="211"/>
      <c r="B33" s="212"/>
      <c r="C33" s="212"/>
      <c r="D33" s="212"/>
      <c r="E33" s="212"/>
      <c r="F33" s="212"/>
      <c r="G33" s="212"/>
      <c r="H33" s="212"/>
      <c r="I33" s="212"/>
      <c r="J33" s="212"/>
      <c r="K33" s="212"/>
      <c r="L33" s="212"/>
      <c r="M33" s="212"/>
      <c r="N33" s="212"/>
      <c r="O33" s="212"/>
      <c r="P33" s="212"/>
      <c r="Q33" s="212"/>
      <c r="R33" s="213"/>
    </row>
    <row r="34" spans="1:18" ht="22.05" customHeight="1" thickTop="1" thickBot="1" x14ac:dyDescent="0.35">
      <c r="A34" s="182" t="s">
        <v>6</v>
      </c>
      <c r="B34" s="180"/>
      <c r="C34" s="180"/>
      <c r="D34" s="180"/>
      <c r="E34" s="180"/>
      <c r="F34" s="181"/>
      <c r="G34" s="67">
        <v>45987</v>
      </c>
      <c r="H34" s="185" t="s">
        <v>7</v>
      </c>
      <c r="I34" s="180"/>
      <c r="J34" s="180"/>
      <c r="K34" s="180"/>
      <c r="L34" s="180"/>
      <c r="M34" s="180"/>
      <c r="N34" s="180"/>
      <c r="O34" s="180"/>
      <c r="P34" s="180"/>
      <c r="Q34" s="180"/>
      <c r="R34" s="181"/>
    </row>
    <row r="35" spans="1:18" ht="24" customHeight="1" x14ac:dyDescent="0.3">
      <c r="A35" s="68" t="s">
        <v>8</v>
      </c>
      <c r="B35" s="68" t="s">
        <v>9</v>
      </c>
      <c r="C35" s="69" t="s">
        <v>10</v>
      </c>
      <c r="D35" s="68" t="s">
        <v>11</v>
      </c>
      <c r="E35" s="68" t="s">
        <v>12</v>
      </c>
      <c r="F35" s="70" t="s">
        <v>13</v>
      </c>
      <c r="G35" s="71" t="s">
        <v>14</v>
      </c>
      <c r="H35" s="68" t="s">
        <v>15</v>
      </c>
      <c r="I35" s="72" t="s">
        <v>16</v>
      </c>
      <c r="J35" s="73" t="s">
        <v>17</v>
      </c>
      <c r="K35" s="74" t="s">
        <v>18</v>
      </c>
      <c r="L35" s="73" t="s">
        <v>19</v>
      </c>
      <c r="M35" s="73" t="s">
        <v>20</v>
      </c>
      <c r="N35" s="73" t="s">
        <v>21</v>
      </c>
      <c r="O35" s="68" t="s">
        <v>22</v>
      </c>
      <c r="P35" s="69" t="s">
        <v>23</v>
      </c>
      <c r="Q35" s="73" t="s">
        <v>24</v>
      </c>
      <c r="R35" s="68" t="s">
        <v>25</v>
      </c>
    </row>
    <row r="36" spans="1:18" ht="15" customHeight="1" x14ac:dyDescent="0.3">
      <c r="A36" s="8" t="s">
        <v>104</v>
      </c>
      <c r="B36" s="8" t="s">
        <v>358</v>
      </c>
      <c r="C36" s="9">
        <v>0.3298611111111111</v>
      </c>
      <c r="D36" s="8" t="s">
        <v>359</v>
      </c>
      <c r="E36" s="8" t="s">
        <v>107</v>
      </c>
      <c r="F36" s="8" t="s">
        <v>392</v>
      </c>
      <c r="G36" s="193"/>
      <c r="H36" s="10"/>
      <c r="I36" s="11"/>
      <c r="J36" s="11"/>
      <c r="K36" s="11"/>
      <c r="L36" s="11"/>
      <c r="M36" s="11"/>
      <c r="N36" s="11"/>
      <c r="O36" s="12"/>
      <c r="P36" s="11"/>
      <c r="Q36" s="13"/>
      <c r="R36" s="14"/>
    </row>
    <row r="37" spans="1:18" ht="15" customHeight="1" x14ac:dyDescent="0.3">
      <c r="A37" s="15" t="s">
        <v>104</v>
      </c>
      <c r="B37" s="15" t="s">
        <v>358</v>
      </c>
      <c r="C37" s="16">
        <v>0.3298611111111111</v>
      </c>
      <c r="D37" s="15" t="s">
        <v>361</v>
      </c>
      <c r="E37" s="15" t="s">
        <v>72</v>
      </c>
      <c r="F37" s="15" t="s">
        <v>393</v>
      </c>
      <c r="G37" s="190"/>
      <c r="H37" s="10"/>
      <c r="I37" s="11"/>
      <c r="J37" s="11"/>
      <c r="K37" s="11"/>
      <c r="L37" s="11"/>
      <c r="M37" s="11"/>
      <c r="N37" s="11"/>
      <c r="O37" s="12"/>
      <c r="P37" s="11"/>
      <c r="Q37" s="13"/>
      <c r="R37" s="14"/>
    </row>
    <row r="38" spans="1:18" ht="15" customHeight="1" x14ac:dyDescent="0.3">
      <c r="A38" s="15" t="s">
        <v>104</v>
      </c>
      <c r="B38" s="15" t="s">
        <v>358</v>
      </c>
      <c r="C38" s="16">
        <v>0.3298611111111111</v>
      </c>
      <c r="D38" s="15" t="s">
        <v>34</v>
      </c>
      <c r="E38" s="15" t="s">
        <v>72</v>
      </c>
      <c r="F38" s="15" t="s">
        <v>394</v>
      </c>
      <c r="G38" s="190"/>
      <c r="H38" s="10"/>
      <c r="I38" s="11"/>
      <c r="J38" s="11"/>
      <c r="K38" s="11"/>
      <c r="L38" s="11"/>
      <c r="M38" s="11"/>
      <c r="N38" s="11"/>
      <c r="O38" s="12"/>
      <c r="P38" s="11"/>
      <c r="Q38" s="13"/>
      <c r="R38" s="14"/>
    </row>
    <row r="39" spans="1:18" ht="15" customHeight="1" x14ac:dyDescent="0.3">
      <c r="A39" s="19" t="s">
        <v>148</v>
      </c>
      <c r="B39" s="19" t="s">
        <v>378</v>
      </c>
      <c r="C39" s="20">
        <v>0.60416666666666663</v>
      </c>
      <c r="D39" s="19" t="s">
        <v>150</v>
      </c>
      <c r="E39" s="19" t="s">
        <v>113</v>
      </c>
      <c r="F39" s="19" t="s">
        <v>379</v>
      </c>
      <c r="G39" s="190"/>
      <c r="H39" s="10"/>
      <c r="I39" s="11"/>
      <c r="J39" s="11"/>
      <c r="K39" s="11"/>
      <c r="L39" s="11"/>
      <c r="M39" s="11"/>
      <c r="N39" s="11"/>
      <c r="O39" s="12"/>
      <c r="P39" s="11"/>
      <c r="Q39" s="13"/>
      <c r="R39" s="14"/>
    </row>
    <row r="40" spans="1:18" ht="15" customHeight="1" x14ac:dyDescent="0.3">
      <c r="A40" s="75" t="s">
        <v>77</v>
      </c>
      <c r="B40" s="75" t="s">
        <v>395</v>
      </c>
      <c r="C40" s="76">
        <v>0.40972222222222232</v>
      </c>
      <c r="D40" s="75" t="s">
        <v>79</v>
      </c>
      <c r="E40" s="75" t="s">
        <v>181</v>
      </c>
      <c r="F40" s="75" t="s">
        <v>396</v>
      </c>
      <c r="G40" s="190"/>
      <c r="H40" s="41" t="s">
        <v>397</v>
      </c>
      <c r="I40" s="120">
        <v>0.97209999999999996</v>
      </c>
      <c r="J40" s="43">
        <v>174</v>
      </c>
      <c r="K40" s="44">
        <v>45980</v>
      </c>
      <c r="L40" s="43">
        <v>11</v>
      </c>
      <c r="M40" s="43">
        <v>0</v>
      </c>
      <c r="N40" s="43">
        <v>10</v>
      </c>
      <c r="O40" s="45" t="s">
        <v>398</v>
      </c>
      <c r="P40" s="46">
        <v>0.40972222222222232</v>
      </c>
      <c r="Q40" s="43">
        <v>179</v>
      </c>
      <c r="R40" s="47" t="s">
        <v>399</v>
      </c>
    </row>
    <row r="41" spans="1:18" ht="15" customHeight="1" x14ac:dyDescent="0.3">
      <c r="A41" s="30" t="s">
        <v>77</v>
      </c>
      <c r="B41" s="30" t="s">
        <v>376</v>
      </c>
      <c r="C41" s="31">
        <v>0.65625</v>
      </c>
      <c r="D41" s="30" t="s">
        <v>98</v>
      </c>
      <c r="E41" s="58"/>
      <c r="F41" s="30" t="s">
        <v>99</v>
      </c>
      <c r="G41" s="190"/>
      <c r="H41" s="32" t="s">
        <v>376</v>
      </c>
      <c r="I41" s="59">
        <v>1</v>
      </c>
      <c r="J41" s="34">
        <v>179</v>
      </c>
      <c r="K41" s="35">
        <v>45979</v>
      </c>
      <c r="L41" s="34">
        <v>16</v>
      </c>
      <c r="M41" s="34">
        <v>0</v>
      </c>
      <c r="N41" s="34">
        <v>0</v>
      </c>
      <c r="O41" s="36" t="s">
        <v>100</v>
      </c>
      <c r="P41" s="37">
        <v>0.65625</v>
      </c>
      <c r="Q41" s="34">
        <v>179</v>
      </c>
      <c r="R41" s="38" t="s">
        <v>400</v>
      </c>
    </row>
    <row r="42" spans="1:18" ht="15" customHeight="1" x14ac:dyDescent="0.3">
      <c r="A42" s="48" t="s">
        <v>77</v>
      </c>
      <c r="B42" s="48" t="s">
        <v>401</v>
      </c>
      <c r="C42" s="49">
        <v>0.71875</v>
      </c>
      <c r="D42" s="48" t="s">
        <v>98</v>
      </c>
      <c r="E42" s="50"/>
      <c r="F42" s="48" t="s">
        <v>99</v>
      </c>
      <c r="G42" s="190"/>
      <c r="H42" s="51" t="s">
        <v>401</v>
      </c>
      <c r="I42" s="52">
        <v>1</v>
      </c>
      <c r="J42" s="53">
        <v>179</v>
      </c>
      <c r="K42" s="54">
        <v>45981</v>
      </c>
      <c r="L42" s="53">
        <v>13</v>
      </c>
      <c r="M42" s="53">
        <v>1</v>
      </c>
      <c r="N42" s="53">
        <v>2</v>
      </c>
      <c r="O42" s="55" t="s">
        <v>100</v>
      </c>
      <c r="P42" s="56">
        <v>0.71875</v>
      </c>
      <c r="Q42" s="53">
        <v>179</v>
      </c>
      <c r="R42" s="57" t="s">
        <v>402</v>
      </c>
    </row>
    <row r="43" spans="1:18" ht="15" customHeight="1" x14ac:dyDescent="0.3">
      <c r="A43" s="19" t="s">
        <v>125</v>
      </c>
      <c r="B43" s="19" t="s">
        <v>383</v>
      </c>
      <c r="C43" s="20">
        <v>0.71180555555555547</v>
      </c>
      <c r="D43" s="19" t="s">
        <v>127</v>
      </c>
      <c r="E43" s="19" t="s">
        <v>403</v>
      </c>
      <c r="F43" s="19" t="s">
        <v>381</v>
      </c>
      <c r="G43" s="190"/>
      <c r="H43" s="10"/>
      <c r="I43" s="11"/>
      <c r="J43" s="11"/>
      <c r="K43" s="11"/>
      <c r="L43" s="11"/>
      <c r="M43" s="11"/>
      <c r="N43" s="11"/>
      <c r="O43" s="12"/>
      <c r="P43" s="11"/>
      <c r="Q43" s="13"/>
      <c r="R43" s="14"/>
    </row>
    <row r="44" spans="1:18" ht="15" customHeight="1" x14ac:dyDescent="0.3">
      <c r="A44" s="15" t="s">
        <v>125</v>
      </c>
      <c r="B44" s="15" t="s">
        <v>383</v>
      </c>
      <c r="C44" s="16">
        <v>0.71180555555555547</v>
      </c>
      <c r="D44" s="15" t="s">
        <v>129</v>
      </c>
      <c r="E44" s="15" t="s">
        <v>65</v>
      </c>
      <c r="F44" s="15" t="s">
        <v>382</v>
      </c>
      <c r="G44" s="190"/>
      <c r="H44" s="10"/>
      <c r="I44" s="11"/>
      <c r="J44" s="11"/>
      <c r="K44" s="11"/>
      <c r="L44" s="11"/>
      <c r="M44" s="11"/>
      <c r="N44" s="11"/>
      <c r="O44" s="12"/>
      <c r="P44" s="11"/>
      <c r="Q44" s="13"/>
      <c r="R44" s="14"/>
    </row>
    <row r="45" spans="1:18" ht="18" x14ac:dyDescent="0.3">
      <c r="A45" s="194" t="s">
        <v>384</v>
      </c>
      <c r="B45" s="195"/>
      <c r="C45" s="195"/>
      <c r="D45" s="195"/>
      <c r="E45" s="195"/>
      <c r="F45" s="196"/>
      <c r="G45" s="190"/>
      <c r="H45" s="160"/>
      <c r="I45" s="160"/>
      <c r="J45" s="160"/>
      <c r="K45" s="160"/>
      <c r="L45" s="160"/>
      <c r="M45" s="160"/>
      <c r="N45" s="160"/>
      <c r="O45" s="161"/>
      <c r="P45" s="160"/>
      <c r="Q45" s="124"/>
      <c r="R45" s="124"/>
    </row>
    <row r="46" spans="1:18" ht="15" customHeight="1" x14ac:dyDescent="0.3">
      <c r="A46" s="17" t="s">
        <v>26</v>
      </c>
      <c r="B46" s="17" t="s">
        <v>44</v>
      </c>
      <c r="C46" s="18" t="s">
        <v>356</v>
      </c>
      <c r="D46" s="17" t="s">
        <v>28</v>
      </c>
      <c r="E46" s="17" t="s">
        <v>404</v>
      </c>
      <c r="F46" s="17" t="s">
        <v>30</v>
      </c>
      <c r="G46" s="190"/>
      <c r="H46" s="160"/>
      <c r="I46" s="160"/>
      <c r="J46" s="160"/>
      <c r="K46" s="160"/>
      <c r="L46" s="160"/>
      <c r="M46" s="160"/>
      <c r="N46" s="160"/>
      <c r="O46" s="161"/>
      <c r="P46" s="160"/>
      <c r="Q46" s="124"/>
      <c r="R46" s="124"/>
    </row>
    <row r="47" spans="1:18" ht="15" customHeight="1" x14ac:dyDescent="0.3">
      <c r="A47" s="17" t="s">
        <v>118</v>
      </c>
      <c r="B47" s="17" t="s">
        <v>122</v>
      </c>
      <c r="C47" s="18" t="s">
        <v>405</v>
      </c>
      <c r="D47" s="17" t="s">
        <v>112</v>
      </c>
      <c r="E47" s="17" t="s">
        <v>388</v>
      </c>
      <c r="F47" s="17" t="s">
        <v>166</v>
      </c>
      <c r="G47" s="190"/>
      <c r="H47" s="160"/>
      <c r="I47" s="160"/>
      <c r="J47" s="160"/>
      <c r="K47" s="160"/>
      <c r="L47" s="160"/>
      <c r="M47" s="160"/>
      <c r="N47" s="160"/>
      <c r="O47" s="161"/>
      <c r="P47" s="160"/>
      <c r="Q47" s="124"/>
      <c r="R47" s="124"/>
    </row>
    <row r="48" spans="1:18" ht="15" customHeight="1" x14ac:dyDescent="0.3">
      <c r="A48" s="17" t="s">
        <v>49</v>
      </c>
      <c r="B48" s="17" t="s">
        <v>69</v>
      </c>
      <c r="C48" s="18" t="s">
        <v>406</v>
      </c>
      <c r="D48" s="17" t="s">
        <v>51</v>
      </c>
      <c r="E48" s="17" t="s">
        <v>386</v>
      </c>
      <c r="F48" s="17" t="s">
        <v>167</v>
      </c>
      <c r="G48" s="190"/>
      <c r="H48" s="160"/>
      <c r="I48" s="160"/>
      <c r="J48" s="160"/>
      <c r="K48" s="160"/>
      <c r="L48" s="160"/>
      <c r="M48" s="160"/>
      <c r="N48" s="160"/>
      <c r="O48" s="161"/>
      <c r="P48" s="160"/>
      <c r="Q48" s="124"/>
      <c r="R48" s="124"/>
    </row>
    <row r="49" spans="1:18" ht="15" customHeight="1" x14ac:dyDescent="0.3">
      <c r="A49" s="17" t="s">
        <v>49</v>
      </c>
      <c r="B49" s="17" t="s">
        <v>76</v>
      </c>
      <c r="C49" s="18" t="s">
        <v>350</v>
      </c>
      <c r="D49" s="17" t="s">
        <v>51</v>
      </c>
      <c r="E49" s="17" t="s">
        <v>388</v>
      </c>
      <c r="F49" s="17" t="s">
        <v>167</v>
      </c>
      <c r="G49" s="190"/>
      <c r="H49" s="160"/>
      <c r="I49" s="160"/>
      <c r="J49" s="160"/>
      <c r="K49" s="160"/>
      <c r="L49" s="160"/>
      <c r="M49" s="160"/>
      <c r="N49" s="160"/>
      <c r="O49" s="161"/>
      <c r="P49" s="160"/>
      <c r="Q49" s="124"/>
      <c r="R49" s="124"/>
    </row>
    <row r="50" spans="1:18" ht="15" customHeight="1" x14ac:dyDescent="0.3">
      <c r="A50" s="17" t="s">
        <v>26</v>
      </c>
      <c r="B50" s="17" t="s">
        <v>36</v>
      </c>
      <c r="C50" s="18" t="s">
        <v>350</v>
      </c>
      <c r="D50" s="17" t="s">
        <v>28</v>
      </c>
      <c r="E50" s="17" t="s">
        <v>407</v>
      </c>
      <c r="F50" s="17" t="s">
        <v>38</v>
      </c>
      <c r="G50" s="190"/>
      <c r="H50" s="160"/>
      <c r="I50" s="160"/>
      <c r="J50" s="160"/>
      <c r="K50" s="160"/>
      <c r="L50" s="160"/>
      <c r="M50" s="160"/>
      <c r="N50" s="160"/>
      <c r="O50" s="161"/>
      <c r="P50" s="160"/>
      <c r="Q50" s="124"/>
      <c r="R50" s="124"/>
    </row>
    <row r="51" spans="1:18" ht="15" customHeight="1" x14ac:dyDescent="0.3">
      <c r="A51" s="17" t="s">
        <v>26</v>
      </c>
      <c r="B51" s="17" t="s">
        <v>27</v>
      </c>
      <c r="C51" s="18" t="s">
        <v>349</v>
      </c>
      <c r="D51" s="17" t="s">
        <v>28</v>
      </c>
      <c r="E51" s="17" t="s">
        <v>407</v>
      </c>
      <c r="F51" s="17" t="s">
        <v>38</v>
      </c>
      <c r="G51" s="190"/>
      <c r="H51" s="160"/>
      <c r="I51" s="160"/>
      <c r="J51" s="160"/>
      <c r="K51" s="160"/>
      <c r="L51" s="160"/>
      <c r="M51" s="160"/>
      <c r="N51" s="160"/>
      <c r="O51" s="161"/>
      <c r="P51" s="160"/>
      <c r="Q51" s="124"/>
      <c r="R51" s="124"/>
    </row>
    <row r="52" spans="1:18" ht="15" customHeight="1" x14ac:dyDescent="0.3">
      <c r="A52" s="17" t="s">
        <v>26</v>
      </c>
      <c r="B52" s="17" t="s">
        <v>41</v>
      </c>
      <c r="C52" s="18" t="s">
        <v>351</v>
      </c>
      <c r="D52" s="17" t="s">
        <v>28</v>
      </c>
      <c r="E52" s="17" t="s">
        <v>408</v>
      </c>
      <c r="F52" s="17" t="s">
        <v>38</v>
      </c>
      <c r="G52" s="190"/>
      <c r="H52" s="160"/>
      <c r="I52" s="160"/>
      <c r="J52" s="160"/>
      <c r="K52" s="160"/>
      <c r="L52" s="160"/>
      <c r="M52" s="160"/>
      <c r="N52" s="160"/>
      <c r="O52" s="161"/>
      <c r="P52" s="160"/>
      <c r="Q52" s="124"/>
      <c r="R52" s="124"/>
    </row>
    <row r="53" spans="1:18" ht="15" customHeight="1" x14ac:dyDescent="0.3">
      <c r="A53" s="17" t="s">
        <v>49</v>
      </c>
      <c r="B53" s="17" t="s">
        <v>50</v>
      </c>
      <c r="C53" s="18" t="s">
        <v>352</v>
      </c>
      <c r="D53" s="17" t="s">
        <v>51</v>
      </c>
      <c r="E53" s="17" t="s">
        <v>386</v>
      </c>
      <c r="F53" s="17" t="s">
        <v>53</v>
      </c>
      <c r="G53" s="190"/>
      <c r="H53" s="160"/>
      <c r="I53" s="160"/>
      <c r="J53" s="160"/>
      <c r="K53" s="160"/>
      <c r="L53" s="160"/>
      <c r="M53" s="160"/>
      <c r="N53" s="160"/>
      <c r="O53" s="161"/>
      <c r="P53" s="160"/>
      <c r="Q53" s="124"/>
      <c r="R53" s="124"/>
    </row>
    <row r="54" spans="1:18" ht="15" customHeight="1" x14ac:dyDescent="0.3">
      <c r="A54" s="17" t="s">
        <v>49</v>
      </c>
      <c r="B54" s="17" t="s">
        <v>61</v>
      </c>
      <c r="C54" s="18" t="s">
        <v>291</v>
      </c>
      <c r="D54" s="17" t="s">
        <v>51</v>
      </c>
      <c r="E54" s="17" t="s">
        <v>388</v>
      </c>
      <c r="F54" s="17" t="s">
        <v>53</v>
      </c>
      <c r="G54" s="190"/>
      <c r="H54" s="160"/>
      <c r="I54" s="160"/>
      <c r="J54" s="160"/>
      <c r="K54" s="160"/>
      <c r="L54" s="160"/>
      <c r="M54" s="160"/>
      <c r="N54" s="160"/>
      <c r="O54" s="161"/>
      <c r="P54" s="160"/>
      <c r="Q54" s="124"/>
      <c r="R54" s="124"/>
    </row>
    <row r="55" spans="1:18" ht="15" customHeight="1" thickBot="1" x14ac:dyDescent="0.35">
      <c r="A55" s="60" t="s">
        <v>49</v>
      </c>
      <c r="B55" s="60" t="s">
        <v>75</v>
      </c>
      <c r="C55" s="61" t="s">
        <v>409</v>
      </c>
      <c r="D55" s="60" t="s">
        <v>51</v>
      </c>
      <c r="E55" s="60" t="s">
        <v>388</v>
      </c>
      <c r="F55" s="60" t="s">
        <v>53</v>
      </c>
      <c r="G55" s="191"/>
      <c r="H55" s="162"/>
      <c r="I55" s="162"/>
      <c r="J55" s="162"/>
      <c r="K55" s="162"/>
      <c r="L55" s="162"/>
      <c r="M55" s="162"/>
      <c r="N55" s="162"/>
      <c r="O55" s="163"/>
      <c r="P55" s="162"/>
      <c r="Q55" s="164"/>
      <c r="R55" s="164"/>
    </row>
    <row r="56" spans="1:18" ht="17.399999999999999" customHeight="1" thickBot="1" x14ac:dyDescent="0.35">
      <c r="A56" s="211"/>
      <c r="B56" s="212"/>
      <c r="C56" s="212"/>
      <c r="D56" s="212"/>
      <c r="E56" s="212"/>
      <c r="F56" s="212"/>
      <c r="G56" s="212"/>
      <c r="H56" s="212"/>
      <c r="I56" s="212"/>
      <c r="J56" s="212"/>
      <c r="K56" s="212"/>
      <c r="L56" s="212"/>
      <c r="M56" s="212"/>
      <c r="N56" s="212"/>
      <c r="O56" s="212"/>
      <c r="P56" s="212"/>
      <c r="Q56" s="212"/>
      <c r="R56" s="213"/>
    </row>
    <row r="57" spans="1:18" ht="22.05" customHeight="1" thickTop="1" thickBot="1" x14ac:dyDescent="0.35">
      <c r="A57" s="182" t="s">
        <v>6</v>
      </c>
      <c r="B57" s="180"/>
      <c r="C57" s="180"/>
      <c r="D57" s="180"/>
      <c r="E57" s="180"/>
      <c r="F57" s="181"/>
      <c r="G57" s="67">
        <v>45988</v>
      </c>
      <c r="H57" s="185" t="s">
        <v>7</v>
      </c>
      <c r="I57" s="180"/>
      <c r="J57" s="180"/>
      <c r="K57" s="180"/>
      <c r="L57" s="180"/>
      <c r="M57" s="180"/>
      <c r="N57" s="180"/>
      <c r="O57" s="180"/>
      <c r="P57" s="180"/>
      <c r="Q57" s="180"/>
      <c r="R57" s="181"/>
    </row>
    <row r="58" spans="1:18" ht="24" customHeight="1" x14ac:dyDescent="0.3">
      <c r="A58" s="68" t="s">
        <v>8</v>
      </c>
      <c r="B58" s="68" t="s">
        <v>9</v>
      </c>
      <c r="C58" s="69" t="s">
        <v>10</v>
      </c>
      <c r="D58" s="68" t="s">
        <v>11</v>
      </c>
      <c r="E58" s="68" t="s">
        <v>12</v>
      </c>
      <c r="F58" s="70" t="s">
        <v>13</v>
      </c>
      <c r="G58" s="71" t="s">
        <v>14</v>
      </c>
      <c r="H58" s="68" t="s">
        <v>15</v>
      </c>
      <c r="I58" s="72" t="s">
        <v>16</v>
      </c>
      <c r="J58" s="73" t="s">
        <v>17</v>
      </c>
      <c r="K58" s="74" t="s">
        <v>18</v>
      </c>
      <c r="L58" s="73" t="s">
        <v>19</v>
      </c>
      <c r="M58" s="73" t="s">
        <v>20</v>
      </c>
      <c r="N58" s="73" t="s">
        <v>21</v>
      </c>
      <c r="O58" s="68" t="s">
        <v>22</v>
      </c>
      <c r="P58" s="69" t="s">
        <v>23</v>
      </c>
      <c r="Q58" s="73" t="s">
        <v>24</v>
      </c>
      <c r="R58" s="68" t="s">
        <v>25</v>
      </c>
    </row>
    <row r="59" spans="1:18" ht="15" customHeight="1" x14ac:dyDescent="0.3">
      <c r="A59" s="8" t="s">
        <v>104</v>
      </c>
      <c r="B59" s="8" t="s">
        <v>364</v>
      </c>
      <c r="C59" s="9">
        <v>0.52777777777777779</v>
      </c>
      <c r="D59" s="8" t="s">
        <v>359</v>
      </c>
      <c r="E59" s="8" t="s">
        <v>107</v>
      </c>
      <c r="F59" s="8" t="s">
        <v>46</v>
      </c>
      <c r="G59" s="189"/>
      <c r="H59" s="10"/>
      <c r="I59" s="11"/>
      <c r="J59" s="11"/>
      <c r="K59" s="11"/>
      <c r="L59" s="11"/>
      <c r="M59" s="11"/>
      <c r="N59" s="11"/>
      <c r="O59" s="12"/>
      <c r="P59" s="11"/>
      <c r="Q59" s="13"/>
      <c r="R59" s="14"/>
    </row>
    <row r="60" spans="1:18" ht="15" customHeight="1" x14ac:dyDescent="0.3">
      <c r="A60" s="15" t="s">
        <v>104</v>
      </c>
      <c r="B60" s="15" t="s">
        <v>364</v>
      </c>
      <c r="C60" s="16">
        <v>0.52777777777777779</v>
      </c>
      <c r="D60" s="15" t="s">
        <v>361</v>
      </c>
      <c r="E60" s="15" t="s">
        <v>72</v>
      </c>
      <c r="F60" s="15" t="s">
        <v>410</v>
      </c>
      <c r="G60" s="190"/>
      <c r="H60" s="10"/>
      <c r="I60" s="11"/>
      <c r="J60" s="11"/>
      <c r="K60" s="11"/>
      <c r="L60" s="11"/>
      <c r="M60" s="11"/>
      <c r="N60" s="11"/>
      <c r="O60" s="12"/>
      <c r="P60" s="11"/>
      <c r="Q60" s="13"/>
      <c r="R60" s="14"/>
    </row>
    <row r="61" spans="1:18" ht="15" customHeight="1" x14ac:dyDescent="0.3">
      <c r="A61" s="15" t="s">
        <v>104</v>
      </c>
      <c r="B61" s="15" t="s">
        <v>364</v>
      </c>
      <c r="C61" s="16">
        <v>0.52777777777777779</v>
      </c>
      <c r="D61" s="15" t="s">
        <v>34</v>
      </c>
      <c r="E61" s="15" t="s">
        <v>72</v>
      </c>
      <c r="F61" s="15" t="s">
        <v>411</v>
      </c>
      <c r="G61" s="190"/>
      <c r="H61" s="10"/>
      <c r="I61" s="11"/>
      <c r="J61" s="11"/>
      <c r="K61" s="11"/>
      <c r="L61" s="11"/>
      <c r="M61" s="11"/>
      <c r="N61" s="11"/>
      <c r="O61" s="12"/>
      <c r="P61" s="11"/>
      <c r="Q61" s="13"/>
      <c r="R61" s="14"/>
    </row>
    <row r="62" spans="1:18" ht="15" customHeight="1" x14ac:dyDescent="0.3">
      <c r="A62" s="17" t="s">
        <v>104</v>
      </c>
      <c r="B62" s="17" t="s">
        <v>412</v>
      </c>
      <c r="C62" s="18">
        <v>0.79861111111111116</v>
      </c>
      <c r="D62" s="17" t="s">
        <v>359</v>
      </c>
      <c r="E62" s="17" t="s">
        <v>70</v>
      </c>
      <c r="F62" s="17" t="s">
        <v>71</v>
      </c>
      <c r="G62" s="190"/>
      <c r="H62" s="10"/>
      <c r="I62" s="11"/>
      <c r="J62" s="11"/>
      <c r="K62" s="11"/>
      <c r="L62" s="11"/>
      <c r="M62" s="11"/>
      <c r="N62" s="11"/>
      <c r="O62" s="12"/>
      <c r="P62" s="11"/>
      <c r="Q62" s="13"/>
      <c r="R62" s="14"/>
    </row>
    <row r="63" spans="1:18" ht="15" customHeight="1" x14ac:dyDescent="0.3">
      <c r="A63" s="15" t="s">
        <v>104</v>
      </c>
      <c r="B63" s="15" t="s">
        <v>412</v>
      </c>
      <c r="C63" s="16">
        <v>0.79861111111111116</v>
      </c>
      <c r="D63" s="15" t="s">
        <v>361</v>
      </c>
      <c r="E63" s="15" t="s">
        <v>72</v>
      </c>
      <c r="F63" s="15" t="s">
        <v>413</v>
      </c>
      <c r="G63" s="190"/>
      <c r="H63" s="10"/>
      <c r="I63" s="11"/>
      <c r="J63" s="11"/>
      <c r="K63" s="11"/>
      <c r="L63" s="11"/>
      <c r="M63" s="11"/>
      <c r="N63" s="11"/>
      <c r="O63" s="12"/>
      <c r="P63" s="11"/>
      <c r="Q63" s="13"/>
      <c r="R63" s="14"/>
    </row>
    <row r="64" spans="1:18" ht="15" customHeight="1" x14ac:dyDescent="0.3">
      <c r="A64" s="15" t="s">
        <v>104</v>
      </c>
      <c r="B64" s="15" t="s">
        <v>412</v>
      </c>
      <c r="C64" s="16">
        <v>0.79861111111111116</v>
      </c>
      <c r="D64" s="15" t="s">
        <v>34</v>
      </c>
      <c r="E64" s="15" t="s">
        <v>72</v>
      </c>
      <c r="F64" s="15" t="s">
        <v>414</v>
      </c>
      <c r="G64" s="190"/>
      <c r="H64" s="10"/>
      <c r="I64" s="11"/>
      <c r="J64" s="11"/>
      <c r="K64" s="11"/>
      <c r="L64" s="11"/>
      <c r="M64" s="11"/>
      <c r="N64" s="11"/>
      <c r="O64" s="12"/>
      <c r="P64" s="11"/>
      <c r="Q64" s="13"/>
      <c r="R64" s="14"/>
    </row>
    <row r="65" spans="1:18" ht="15" customHeight="1" x14ac:dyDescent="0.3">
      <c r="A65" s="19" t="s">
        <v>125</v>
      </c>
      <c r="B65" s="19" t="s">
        <v>380</v>
      </c>
      <c r="C65" s="20">
        <v>0.34027777777777768</v>
      </c>
      <c r="D65" s="19" t="s">
        <v>415</v>
      </c>
      <c r="E65" s="19" t="s">
        <v>113</v>
      </c>
      <c r="F65" s="19" t="s">
        <v>416</v>
      </c>
      <c r="G65" s="190"/>
      <c r="H65" s="10"/>
      <c r="I65" s="11"/>
      <c r="J65" s="11"/>
      <c r="K65" s="11"/>
      <c r="L65" s="11"/>
      <c r="M65" s="11"/>
      <c r="N65" s="11"/>
      <c r="O65" s="12"/>
      <c r="P65" s="11"/>
      <c r="Q65" s="13"/>
      <c r="R65" s="14"/>
    </row>
    <row r="66" spans="1:18" ht="15" customHeight="1" x14ac:dyDescent="0.3">
      <c r="A66" s="15" t="s">
        <v>125</v>
      </c>
      <c r="B66" s="15" t="s">
        <v>380</v>
      </c>
      <c r="C66" s="16">
        <v>0.34027777777777768</v>
      </c>
      <c r="D66" s="15" t="s">
        <v>127</v>
      </c>
      <c r="E66" s="15" t="s">
        <v>130</v>
      </c>
      <c r="F66" s="15" t="s">
        <v>417</v>
      </c>
      <c r="G66" s="190"/>
      <c r="H66" s="10"/>
      <c r="I66" s="11"/>
      <c r="J66" s="11"/>
      <c r="K66" s="11"/>
      <c r="L66" s="11"/>
      <c r="M66" s="11"/>
      <c r="N66" s="11"/>
      <c r="O66" s="12"/>
      <c r="P66" s="11"/>
      <c r="Q66" s="13"/>
      <c r="R66" s="14"/>
    </row>
    <row r="67" spans="1:18" ht="15" customHeight="1" x14ac:dyDescent="0.3">
      <c r="A67" s="15" t="s">
        <v>125</v>
      </c>
      <c r="B67" s="15" t="s">
        <v>380</v>
      </c>
      <c r="C67" s="16">
        <v>0.34027777777777768</v>
      </c>
      <c r="D67" s="15" t="s">
        <v>129</v>
      </c>
      <c r="E67" s="15" t="s">
        <v>130</v>
      </c>
      <c r="F67" s="15" t="s">
        <v>418</v>
      </c>
      <c r="G67" s="190"/>
      <c r="H67" s="10"/>
      <c r="I67" s="11"/>
      <c r="J67" s="11"/>
      <c r="K67" s="11"/>
      <c r="L67" s="11"/>
      <c r="M67" s="11"/>
      <c r="N67" s="11"/>
      <c r="O67" s="12"/>
      <c r="P67" s="11"/>
      <c r="Q67" s="13"/>
      <c r="R67" s="14"/>
    </row>
    <row r="68" spans="1:18" ht="15" customHeight="1" x14ac:dyDescent="0.3">
      <c r="A68" s="165" t="s">
        <v>77</v>
      </c>
      <c r="B68" s="165" t="s">
        <v>374</v>
      </c>
      <c r="C68" s="166">
        <v>0.27430555555555552</v>
      </c>
      <c r="D68" s="165" t="s">
        <v>79</v>
      </c>
      <c r="E68" s="165" t="s">
        <v>120</v>
      </c>
      <c r="F68" s="165" t="s">
        <v>375</v>
      </c>
      <c r="G68" s="190"/>
      <c r="H68" s="79" t="s">
        <v>376</v>
      </c>
      <c r="I68" s="167">
        <v>0.96650000000000003</v>
      </c>
      <c r="J68" s="81">
        <v>173</v>
      </c>
      <c r="K68" s="82">
        <v>45971</v>
      </c>
      <c r="L68" s="81">
        <v>0</v>
      </c>
      <c r="M68" s="81">
        <v>0</v>
      </c>
      <c r="N68" s="81">
        <v>0</v>
      </c>
      <c r="O68" s="83" t="s">
        <v>419</v>
      </c>
      <c r="P68" s="84">
        <v>0.27430555555555552</v>
      </c>
      <c r="Q68" s="81">
        <v>179</v>
      </c>
      <c r="R68" s="85" t="s">
        <v>420</v>
      </c>
    </row>
    <row r="69" spans="1:18" ht="18" x14ac:dyDescent="0.3">
      <c r="A69" s="194" t="s">
        <v>384</v>
      </c>
      <c r="B69" s="195"/>
      <c r="C69" s="195"/>
      <c r="D69" s="195"/>
      <c r="E69" s="195"/>
      <c r="F69" s="196"/>
      <c r="G69" s="190"/>
      <c r="H69" s="160"/>
      <c r="I69" s="160"/>
      <c r="J69" s="160"/>
      <c r="K69" s="160"/>
      <c r="L69" s="160"/>
      <c r="M69" s="160"/>
      <c r="N69" s="160"/>
      <c r="O69" s="161"/>
      <c r="P69" s="160"/>
      <c r="Q69" s="124"/>
      <c r="R69" s="124"/>
    </row>
    <row r="70" spans="1:18" ht="15" customHeight="1" x14ac:dyDescent="0.3">
      <c r="A70" s="17" t="s">
        <v>26</v>
      </c>
      <c r="B70" s="17" t="s">
        <v>36</v>
      </c>
      <c r="C70" s="18" t="s">
        <v>350</v>
      </c>
      <c r="D70" s="17" t="s">
        <v>28</v>
      </c>
      <c r="E70" s="17" t="s">
        <v>388</v>
      </c>
      <c r="F70" s="17" t="s">
        <v>189</v>
      </c>
      <c r="G70" s="190"/>
      <c r="H70" s="160"/>
      <c r="I70" s="160"/>
      <c r="J70" s="160"/>
      <c r="K70" s="160"/>
      <c r="L70" s="160"/>
      <c r="M70" s="160"/>
      <c r="N70" s="160"/>
      <c r="O70" s="161"/>
      <c r="P70" s="160"/>
      <c r="Q70" s="124"/>
      <c r="R70" s="124"/>
    </row>
    <row r="71" spans="1:18" ht="15" customHeight="1" x14ac:dyDescent="0.3">
      <c r="A71" s="17" t="s">
        <v>26</v>
      </c>
      <c r="B71" s="17" t="s">
        <v>27</v>
      </c>
      <c r="C71" s="18" t="s">
        <v>349</v>
      </c>
      <c r="D71" s="17" t="s">
        <v>28</v>
      </c>
      <c r="E71" s="17" t="s">
        <v>407</v>
      </c>
      <c r="F71" s="17" t="s">
        <v>189</v>
      </c>
      <c r="G71" s="190"/>
      <c r="H71" s="160"/>
      <c r="I71" s="160"/>
      <c r="J71" s="160"/>
      <c r="K71" s="160"/>
      <c r="L71" s="160"/>
      <c r="M71" s="160"/>
      <c r="N71" s="160"/>
      <c r="O71" s="161"/>
      <c r="P71" s="160"/>
      <c r="Q71" s="124"/>
      <c r="R71" s="124"/>
    </row>
    <row r="72" spans="1:18" ht="15" customHeight="1" x14ac:dyDescent="0.3">
      <c r="A72" s="17" t="s">
        <v>110</v>
      </c>
      <c r="B72" s="17" t="s">
        <v>111</v>
      </c>
      <c r="C72" s="18" t="s">
        <v>421</v>
      </c>
      <c r="D72" s="17" t="s">
        <v>112</v>
      </c>
      <c r="E72" s="17" t="s">
        <v>422</v>
      </c>
      <c r="F72" s="17" t="s">
        <v>190</v>
      </c>
      <c r="G72" s="190"/>
      <c r="H72" s="160"/>
      <c r="I72" s="160"/>
      <c r="J72" s="160"/>
      <c r="K72" s="160"/>
      <c r="L72" s="160"/>
      <c r="M72" s="160"/>
      <c r="N72" s="160"/>
      <c r="O72" s="161"/>
      <c r="P72" s="160"/>
      <c r="Q72" s="124"/>
      <c r="R72" s="124"/>
    </row>
    <row r="73" spans="1:18" ht="15" customHeight="1" x14ac:dyDescent="0.3">
      <c r="A73" s="17" t="s">
        <v>110</v>
      </c>
      <c r="B73" s="17" t="s">
        <v>115</v>
      </c>
      <c r="C73" s="18" t="s">
        <v>423</v>
      </c>
      <c r="D73" s="17" t="s">
        <v>112</v>
      </c>
      <c r="E73" s="17" t="s">
        <v>422</v>
      </c>
      <c r="F73" s="17" t="s">
        <v>190</v>
      </c>
      <c r="G73" s="190"/>
      <c r="H73" s="160"/>
      <c r="I73" s="160"/>
      <c r="J73" s="160"/>
      <c r="K73" s="160"/>
      <c r="L73" s="160"/>
      <c r="M73" s="160"/>
      <c r="N73" s="160"/>
      <c r="O73" s="161"/>
      <c r="P73" s="160"/>
      <c r="Q73" s="124"/>
      <c r="R73" s="124"/>
    </row>
    <row r="74" spans="1:18" ht="15" customHeight="1" x14ac:dyDescent="0.3">
      <c r="A74" s="17" t="s">
        <v>49</v>
      </c>
      <c r="B74" s="17" t="s">
        <v>50</v>
      </c>
      <c r="C74" s="18" t="s">
        <v>352</v>
      </c>
      <c r="D74" s="17" t="s">
        <v>51</v>
      </c>
      <c r="E74" s="17" t="s">
        <v>385</v>
      </c>
      <c r="F74" s="17" t="s">
        <v>167</v>
      </c>
      <c r="G74" s="190"/>
      <c r="H74" s="160"/>
      <c r="I74" s="160"/>
      <c r="J74" s="160"/>
      <c r="K74" s="160"/>
      <c r="L74" s="160"/>
      <c r="M74" s="160"/>
      <c r="N74" s="160"/>
      <c r="O74" s="161"/>
      <c r="P74" s="160"/>
      <c r="Q74" s="124"/>
      <c r="R74" s="124"/>
    </row>
    <row r="75" spans="1:18" ht="15" customHeight="1" x14ac:dyDescent="0.3">
      <c r="A75" s="17" t="s">
        <v>49</v>
      </c>
      <c r="B75" s="17" t="s">
        <v>58</v>
      </c>
      <c r="C75" s="18" t="s">
        <v>424</v>
      </c>
      <c r="D75" s="17" t="s">
        <v>51</v>
      </c>
      <c r="E75" s="17" t="s">
        <v>408</v>
      </c>
      <c r="F75" s="17" t="s">
        <v>167</v>
      </c>
      <c r="G75" s="190"/>
      <c r="H75" s="160"/>
      <c r="I75" s="160"/>
      <c r="J75" s="160"/>
      <c r="K75" s="160"/>
      <c r="L75" s="160"/>
      <c r="M75" s="160"/>
      <c r="N75" s="160"/>
      <c r="O75" s="161"/>
      <c r="P75" s="160"/>
      <c r="Q75" s="124"/>
      <c r="R75" s="124"/>
    </row>
    <row r="76" spans="1:18" ht="15" customHeight="1" x14ac:dyDescent="0.3">
      <c r="A76" s="17" t="s">
        <v>49</v>
      </c>
      <c r="B76" s="17" t="s">
        <v>61</v>
      </c>
      <c r="C76" s="18" t="s">
        <v>291</v>
      </c>
      <c r="D76" s="17" t="s">
        <v>51</v>
      </c>
      <c r="E76" s="17" t="s">
        <v>408</v>
      </c>
      <c r="F76" s="17" t="s">
        <v>167</v>
      </c>
      <c r="G76" s="190"/>
      <c r="H76" s="160"/>
      <c r="I76" s="160"/>
      <c r="J76" s="160"/>
      <c r="K76" s="160"/>
      <c r="L76" s="160"/>
      <c r="M76" s="160"/>
      <c r="N76" s="160"/>
      <c r="O76" s="161"/>
      <c r="P76" s="160"/>
      <c r="Q76" s="124"/>
      <c r="R76" s="124"/>
    </row>
    <row r="77" spans="1:18" ht="15" customHeight="1" x14ac:dyDescent="0.3">
      <c r="A77" s="17" t="s">
        <v>49</v>
      </c>
      <c r="B77" s="17" t="s">
        <v>63</v>
      </c>
      <c r="C77" s="18" t="s">
        <v>354</v>
      </c>
      <c r="D77" s="17" t="s">
        <v>51</v>
      </c>
      <c r="E77" s="17" t="s">
        <v>388</v>
      </c>
      <c r="F77" s="17" t="s">
        <v>167</v>
      </c>
      <c r="G77" s="190"/>
      <c r="H77" s="160"/>
      <c r="I77" s="160"/>
      <c r="J77" s="160"/>
      <c r="K77" s="160"/>
      <c r="L77" s="160"/>
      <c r="M77" s="160"/>
      <c r="N77" s="160"/>
      <c r="O77" s="161"/>
      <c r="P77" s="160"/>
      <c r="Q77" s="124"/>
      <c r="R77" s="124"/>
    </row>
    <row r="78" spans="1:18" ht="15" customHeight="1" x14ac:dyDescent="0.3">
      <c r="A78" s="17" t="s">
        <v>49</v>
      </c>
      <c r="B78" s="17" t="s">
        <v>76</v>
      </c>
      <c r="C78" s="18" t="s">
        <v>350</v>
      </c>
      <c r="D78" s="17" t="s">
        <v>51</v>
      </c>
      <c r="E78" s="17" t="s">
        <v>390</v>
      </c>
      <c r="F78" s="17" t="s">
        <v>167</v>
      </c>
      <c r="G78" s="190"/>
      <c r="H78" s="160"/>
      <c r="I78" s="160"/>
      <c r="J78" s="160"/>
      <c r="K78" s="160"/>
      <c r="L78" s="160"/>
      <c r="M78" s="160"/>
      <c r="N78" s="160"/>
      <c r="O78" s="161"/>
      <c r="P78" s="160"/>
      <c r="Q78" s="124"/>
      <c r="R78" s="124"/>
    </row>
    <row r="79" spans="1:18" ht="15" customHeight="1" thickBot="1" x14ac:dyDescent="0.35">
      <c r="A79" s="60" t="s">
        <v>49</v>
      </c>
      <c r="B79" s="60" t="s">
        <v>66</v>
      </c>
      <c r="C79" s="61" t="s">
        <v>355</v>
      </c>
      <c r="D79" s="60" t="s">
        <v>51</v>
      </c>
      <c r="E79" s="60" t="s">
        <v>407</v>
      </c>
      <c r="F79" s="60" t="s">
        <v>167</v>
      </c>
      <c r="G79" s="191"/>
      <c r="H79" s="162"/>
      <c r="I79" s="162"/>
      <c r="J79" s="162"/>
      <c r="K79" s="162"/>
      <c r="L79" s="162"/>
      <c r="M79" s="162"/>
      <c r="N79" s="162"/>
      <c r="O79" s="163"/>
      <c r="P79" s="162"/>
      <c r="Q79" s="164"/>
      <c r="R79" s="164"/>
    </row>
    <row r="80" spans="1:18" ht="17.399999999999999" customHeight="1" thickBot="1" x14ac:dyDescent="0.35">
      <c r="A80" s="211"/>
      <c r="B80" s="212"/>
      <c r="C80" s="212"/>
      <c r="D80" s="212"/>
      <c r="E80" s="212"/>
      <c r="F80" s="212"/>
      <c r="G80" s="212"/>
      <c r="H80" s="212"/>
      <c r="I80" s="212"/>
      <c r="J80" s="212"/>
      <c r="K80" s="212"/>
      <c r="L80" s="212"/>
      <c r="M80" s="212"/>
      <c r="N80" s="212"/>
      <c r="O80" s="212"/>
      <c r="P80" s="212"/>
      <c r="Q80" s="212"/>
      <c r="R80" s="213"/>
    </row>
    <row r="81" spans="1:18" ht="22.05" customHeight="1" thickTop="1" thickBot="1" x14ac:dyDescent="0.35">
      <c r="A81" s="182" t="s">
        <v>6</v>
      </c>
      <c r="B81" s="180"/>
      <c r="C81" s="180"/>
      <c r="D81" s="180"/>
      <c r="E81" s="180"/>
      <c r="F81" s="181"/>
      <c r="G81" s="67">
        <v>45989</v>
      </c>
      <c r="H81" s="185" t="s">
        <v>7</v>
      </c>
      <c r="I81" s="180"/>
      <c r="J81" s="180"/>
      <c r="K81" s="180"/>
      <c r="L81" s="180"/>
      <c r="M81" s="180"/>
      <c r="N81" s="180"/>
      <c r="O81" s="180"/>
      <c r="P81" s="180"/>
      <c r="Q81" s="180"/>
      <c r="R81" s="181"/>
    </row>
    <row r="82" spans="1:18" ht="24" customHeight="1" x14ac:dyDescent="0.3">
      <c r="A82" s="68" t="s">
        <v>8</v>
      </c>
      <c r="B82" s="68" t="s">
        <v>9</v>
      </c>
      <c r="C82" s="69" t="s">
        <v>10</v>
      </c>
      <c r="D82" s="68" t="s">
        <v>11</v>
      </c>
      <c r="E82" s="68" t="s">
        <v>12</v>
      </c>
      <c r="F82" s="70" t="s">
        <v>13</v>
      </c>
      <c r="G82" s="71" t="s">
        <v>14</v>
      </c>
      <c r="H82" s="68" t="s">
        <v>15</v>
      </c>
      <c r="I82" s="72" t="s">
        <v>16</v>
      </c>
      <c r="J82" s="73" t="s">
        <v>17</v>
      </c>
      <c r="K82" s="74" t="s">
        <v>18</v>
      </c>
      <c r="L82" s="73" t="s">
        <v>19</v>
      </c>
      <c r="M82" s="73" t="s">
        <v>20</v>
      </c>
      <c r="N82" s="73" t="s">
        <v>21</v>
      </c>
      <c r="O82" s="68" t="s">
        <v>22</v>
      </c>
      <c r="P82" s="69" t="s">
        <v>23</v>
      </c>
      <c r="Q82" s="73" t="s">
        <v>24</v>
      </c>
      <c r="R82" s="68" t="s">
        <v>25</v>
      </c>
    </row>
    <row r="83" spans="1:18" ht="15" customHeight="1" x14ac:dyDescent="0.3">
      <c r="A83" s="8" t="s">
        <v>104</v>
      </c>
      <c r="B83" s="8" t="s">
        <v>358</v>
      </c>
      <c r="C83" s="9">
        <v>0.1875</v>
      </c>
      <c r="D83" s="8" t="s">
        <v>359</v>
      </c>
      <c r="E83" s="8" t="s">
        <v>107</v>
      </c>
      <c r="F83" s="8" t="s">
        <v>425</v>
      </c>
      <c r="G83" s="189"/>
      <c r="H83" s="10"/>
      <c r="I83" s="11"/>
      <c r="J83" s="11"/>
      <c r="K83" s="11"/>
      <c r="L83" s="11"/>
      <c r="M83" s="11"/>
      <c r="N83" s="11"/>
      <c r="O83" s="12"/>
      <c r="P83" s="11"/>
      <c r="Q83" s="13"/>
      <c r="R83" s="14"/>
    </row>
    <row r="84" spans="1:18" ht="15" customHeight="1" x14ac:dyDescent="0.3">
      <c r="A84" s="15" t="s">
        <v>104</v>
      </c>
      <c r="B84" s="15" t="s">
        <v>358</v>
      </c>
      <c r="C84" s="16">
        <v>0.1875</v>
      </c>
      <c r="D84" s="15" t="s">
        <v>361</v>
      </c>
      <c r="E84" s="15" t="s">
        <v>72</v>
      </c>
      <c r="F84" s="15" t="s">
        <v>426</v>
      </c>
      <c r="G84" s="190"/>
      <c r="H84" s="10"/>
      <c r="I84" s="11"/>
      <c r="J84" s="11"/>
      <c r="K84" s="11"/>
      <c r="L84" s="11"/>
      <c r="M84" s="11"/>
      <c r="N84" s="11"/>
      <c r="O84" s="12"/>
      <c r="P84" s="11"/>
      <c r="Q84" s="13"/>
      <c r="R84" s="14"/>
    </row>
    <row r="85" spans="1:18" ht="15" customHeight="1" x14ac:dyDescent="0.3">
      <c r="A85" s="15" t="s">
        <v>104</v>
      </c>
      <c r="B85" s="15" t="s">
        <v>358</v>
      </c>
      <c r="C85" s="16">
        <v>0.1875</v>
      </c>
      <c r="D85" s="15" t="s">
        <v>34</v>
      </c>
      <c r="E85" s="15" t="s">
        <v>72</v>
      </c>
      <c r="F85" s="15" t="s">
        <v>427</v>
      </c>
      <c r="G85" s="190"/>
      <c r="H85" s="10"/>
      <c r="I85" s="11"/>
      <c r="J85" s="11"/>
      <c r="K85" s="11"/>
      <c r="L85" s="11"/>
      <c r="M85" s="11"/>
      <c r="N85" s="11"/>
      <c r="O85" s="12"/>
      <c r="P85" s="11"/>
      <c r="Q85" s="13"/>
      <c r="R85" s="14"/>
    </row>
    <row r="86" spans="1:18" ht="15" customHeight="1" x14ac:dyDescent="0.3">
      <c r="A86" s="157" t="s">
        <v>77</v>
      </c>
      <c r="B86" s="157" t="s">
        <v>374</v>
      </c>
      <c r="C86" s="158">
        <v>0.41666666666666669</v>
      </c>
      <c r="D86" s="157" t="s">
        <v>79</v>
      </c>
      <c r="E86" s="157" t="s">
        <v>52</v>
      </c>
      <c r="F86" s="157" t="s">
        <v>428</v>
      </c>
      <c r="G86" s="190"/>
      <c r="H86" s="88" t="s">
        <v>376</v>
      </c>
      <c r="I86" s="119">
        <v>0.4345</v>
      </c>
      <c r="J86" s="90">
        <v>73</v>
      </c>
      <c r="K86" s="91">
        <v>45981</v>
      </c>
      <c r="L86" s="90">
        <v>47</v>
      </c>
      <c r="M86" s="90">
        <v>8</v>
      </c>
      <c r="N86" s="90">
        <v>12</v>
      </c>
      <c r="O86" s="92" t="s">
        <v>295</v>
      </c>
      <c r="P86" s="93">
        <v>0.41666666666666669</v>
      </c>
      <c r="Q86" s="90">
        <v>168</v>
      </c>
      <c r="R86" s="94" t="s">
        <v>429</v>
      </c>
    </row>
    <row r="87" spans="1:18" ht="15" customHeight="1" x14ac:dyDescent="0.3">
      <c r="A87" s="19" t="s">
        <v>125</v>
      </c>
      <c r="B87" s="19" t="s">
        <v>383</v>
      </c>
      <c r="C87" s="20">
        <v>0.71180555555555547</v>
      </c>
      <c r="D87" s="19" t="s">
        <v>127</v>
      </c>
      <c r="E87" s="19" t="s">
        <v>162</v>
      </c>
      <c r="F87" s="19" t="s">
        <v>381</v>
      </c>
      <c r="G87" s="190"/>
      <c r="H87" s="10"/>
      <c r="I87" s="11"/>
      <c r="J87" s="11"/>
      <c r="K87" s="11"/>
      <c r="L87" s="11"/>
      <c r="M87" s="11"/>
      <c r="N87" s="11"/>
      <c r="O87" s="12"/>
      <c r="P87" s="11"/>
      <c r="Q87" s="13"/>
      <c r="R87" s="14"/>
    </row>
    <row r="88" spans="1:18" ht="15" customHeight="1" x14ac:dyDescent="0.3">
      <c r="A88" s="15" t="s">
        <v>125</v>
      </c>
      <c r="B88" s="15" t="s">
        <v>383</v>
      </c>
      <c r="C88" s="16">
        <v>0.71180555555555547</v>
      </c>
      <c r="D88" s="15" t="s">
        <v>129</v>
      </c>
      <c r="E88" s="15" t="s">
        <v>163</v>
      </c>
      <c r="F88" s="15" t="s">
        <v>382</v>
      </c>
      <c r="G88" s="190"/>
      <c r="H88" s="10"/>
      <c r="I88" s="11"/>
      <c r="J88" s="11"/>
      <c r="K88" s="11"/>
      <c r="L88" s="11"/>
      <c r="M88" s="11"/>
      <c r="N88" s="11"/>
      <c r="O88" s="12"/>
      <c r="P88" s="11"/>
      <c r="Q88" s="13"/>
      <c r="R88" s="14"/>
    </row>
    <row r="89" spans="1:18" ht="18" x14ac:dyDescent="0.3">
      <c r="A89" s="194" t="s">
        <v>384</v>
      </c>
      <c r="B89" s="195"/>
      <c r="C89" s="195"/>
      <c r="D89" s="195"/>
      <c r="E89" s="195"/>
      <c r="F89" s="196"/>
      <c r="G89" s="190"/>
      <c r="H89" s="160"/>
      <c r="I89" s="160"/>
      <c r="J89" s="160"/>
      <c r="K89" s="160"/>
      <c r="L89" s="160"/>
      <c r="M89" s="160"/>
      <c r="N89" s="160"/>
      <c r="O89" s="161"/>
      <c r="P89" s="160"/>
      <c r="Q89" s="124"/>
      <c r="R89" s="124"/>
    </row>
    <row r="90" spans="1:18" ht="15" customHeight="1" x14ac:dyDescent="0.3">
      <c r="A90" s="17" t="s">
        <v>26</v>
      </c>
      <c r="B90" s="17" t="s">
        <v>27</v>
      </c>
      <c r="C90" s="18" t="s">
        <v>349</v>
      </c>
      <c r="D90" s="17" t="s">
        <v>28</v>
      </c>
      <c r="E90" s="17" t="s">
        <v>404</v>
      </c>
      <c r="F90" s="17" t="s">
        <v>189</v>
      </c>
      <c r="G90" s="190"/>
      <c r="H90" s="160"/>
      <c r="I90" s="160"/>
      <c r="J90" s="160"/>
      <c r="K90" s="160"/>
      <c r="L90" s="160"/>
      <c r="M90" s="160"/>
      <c r="N90" s="160"/>
      <c r="O90" s="161"/>
      <c r="P90" s="160"/>
      <c r="Q90" s="124"/>
      <c r="R90" s="124"/>
    </row>
    <row r="91" spans="1:18" ht="15" customHeight="1" x14ac:dyDescent="0.3">
      <c r="A91" s="17" t="s">
        <v>26</v>
      </c>
      <c r="B91" s="17" t="s">
        <v>36</v>
      </c>
      <c r="C91" s="18" t="s">
        <v>350</v>
      </c>
      <c r="D91" s="17" t="s">
        <v>28</v>
      </c>
      <c r="E91" s="17" t="s">
        <v>391</v>
      </c>
      <c r="F91" s="17" t="s">
        <v>30</v>
      </c>
      <c r="G91" s="190"/>
      <c r="H91" s="160"/>
      <c r="I91" s="160"/>
      <c r="J91" s="160"/>
      <c r="K91" s="160"/>
      <c r="L91" s="160"/>
      <c r="M91" s="160"/>
      <c r="N91" s="160"/>
      <c r="O91" s="161"/>
      <c r="P91" s="160"/>
      <c r="Q91" s="124"/>
      <c r="R91" s="124"/>
    </row>
    <row r="92" spans="1:18" ht="15" customHeight="1" x14ac:dyDescent="0.3">
      <c r="A92" s="17" t="s">
        <v>49</v>
      </c>
      <c r="B92" s="17" t="s">
        <v>50</v>
      </c>
      <c r="C92" s="18" t="s">
        <v>352</v>
      </c>
      <c r="D92" s="17" t="s">
        <v>51</v>
      </c>
      <c r="E92" s="17" t="s">
        <v>385</v>
      </c>
      <c r="F92" s="17" t="s">
        <v>167</v>
      </c>
      <c r="G92" s="190"/>
      <c r="H92" s="160"/>
      <c r="I92" s="160"/>
      <c r="J92" s="160"/>
      <c r="K92" s="160"/>
      <c r="L92" s="160"/>
      <c r="M92" s="160"/>
      <c r="N92" s="160"/>
      <c r="O92" s="161"/>
      <c r="P92" s="160"/>
      <c r="Q92" s="124"/>
      <c r="R92" s="124"/>
    </row>
    <row r="93" spans="1:18" ht="15" customHeight="1" x14ac:dyDescent="0.3">
      <c r="A93" s="17" t="s">
        <v>49</v>
      </c>
      <c r="B93" s="17" t="s">
        <v>63</v>
      </c>
      <c r="C93" s="18" t="s">
        <v>354</v>
      </c>
      <c r="D93" s="17" t="s">
        <v>51</v>
      </c>
      <c r="E93" s="17" t="s">
        <v>390</v>
      </c>
      <c r="F93" s="17" t="s">
        <v>167</v>
      </c>
      <c r="G93" s="190"/>
      <c r="H93" s="160"/>
      <c r="I93" s="160"/>
      <c r="J93" s="160"/>
      <c r="K93" s="160"/>
      <c r="L93" s="160"/>
      <c r="M93" s="160"/>
      <c r="N93" s="160"/>
      <c r="O93" s="161"/>
      <c r="P93" s="160"/>
      <c r="Q93" s="124"/>
      <c r="R93" s="124"/>
    </row>
    <row r="94" spans="1:18" ht="15" customHeight="1" x14ac:dyDescent="0.3">
      <c r="A94" s="17" t="s">
        <v>26</v>
      </c>
      <c r="B94" s="17" t="s">
        <v>41</v>
      </c>
      <c r="C94" s="18" t="s">
        <v>351</v>
      </c>
      <c r="D94" s="17" t="s">
        <v>28</v>
      </c>
      <c r="E94" s="17" t="s">
        <v>430</v>
      </c>
      <c r="F94" s="17" t="s">
        <v>38</v>
      </c>
      <c r="G94" s="190"/>
      <c r="H94" s="160"/>
      <c r="I94" s="160"/>
      <c r="J94" s="160"/>
      <c r="K94" s="160"/>
      <c r="L94" s="160"/>
      <c r="M94" s="160"/>
      <c r="N94" s="160"/>
      <c r="O94" s="161"/>
      <c r="P94" s="160"/>
      <c r="Q94" s="124"/>
      <c r="R94" s="124"/>
    </row>
    <row r="95" spans="1:18" ht="15" customHeight="1" x14ac:dyDescent="0.3">
      <c r="A95" s="17" t="s">
        <v>26</v>
      </c>
      <c r="B95" s="17" t="s">
        <v>44</v>
      </c>
      <c r="C95" s="18" t="s">
        <v>356</v>
      </c>
      <c r="D95" s="17" t="s">
        <v>28</v>
      </c>
      <c r="E95" s="17" t="s">
        <v>408</v>
      </c>
      <c r="F95" s="17" t="s">
        <v>38</v>
      </c>
      <c r="G95" s="190"/>
      <c r="H95" s="160"/>
      <c r="I95" s="160"/>
      <c r="J95" s="160"/>
      <c r="K95" s="160"/>
      <c r="L95" s="160"/>
      <c r="M95" s="160"/>
      <c r="N95" s="160"/>
      <c r="O95" s="161"/>
      <c r="P95" s="160"/>
      <c r="Q95" s="124"/>
      <c r="R95" s="124"/>
    </row>
    <row r="96" spans="1:18" ht="15" customHeight="1" x14ac:dyDescent="0.3">
      <c r="A96" s="17" t="s">
        <v>77</v>
      </c>
      <c r="B96" s="17" t="s">
        <v>87</v>
      </c>
      <c r="C96" s="18" t="s">
        <v>306</v>
      </c>
      <c r="D96" s="17" t="s">
        <v>79</v>
      </c>
      <c r="E96" s="17" t="s">
        <v>386</v>
      </c>
      <c r="F96" s="17" t="s">
        <v>192</v>
      </c>
      <c r="G96" s="190"/>
      <c r="H96" s="160"/>
      <c r="I96" s="160"/>
      <c r="J96" s="160"/>
      <c r="K96" s="160"/>
      <c r="L96" s="160"/>
      <c r="M96" s="160"/>
      <c r="N96" s="160"/>
      <c r="O96" s="161"/>
      <c r="P96" s="160"/>
      <c r="Q96" s="124"/>
      <c r="R96" s="124"/>
    </row>
    <row r="97" spans="1:18" ht="15" customHeight="1" x14ac:dyDescent="0.3">
      <c r="A97" s="17" t="s">
        <v>77</v>
      </c>
      <c r="B97" s="17" t="s">
        <v>84</v>
      </c>
      <c r="C97" s="18" t="s">
        <v>330</v>
      </c>
      <c r="D97" s="17" t="s">
        <v>79</v>
      </c>
      <c r="E97" s="17" t="s">
        <v>385</v>
      </c>
      <c r="F97" s="17" t="s">
        <v>192</v>
      </c>
      <c r="G97" s="190"/>
      <c r="H97" s="160"/>
      <c r="I97" s="160"/>
      <c r="J97" s="160"/>
      <c r="K97" s="160"/>
      <c r="L97" s="160"/>
      <c r="M97" s="160"/>
      <c r="N97" s="160"/>
      <c r="O97" s="161"/>
      <c r="P97" s="160"/>
      <c r="Q97" s="124"/>
      <c r="R97" s="124"/>
    </row>
    <row r="98" spans="1:18" ht="15" customHeight="1" x14ac:dyDescent="0.3">
      <c r="A98" s="17" t="s">
        <v>77</v>
      </c>
      <c r="B98" s="17" t="s">
        <v>92</v>
      </c>
      <c r="C98" s="18" t="s">
        <v>332</v>
      </c>
      <c r="D98" s="17" t="s">
        <v>79</v>
      </c>
      <c r="E98" s="17" t="s">
        <v>389</v>
      </c>
      <c r="F98" s="17" t="s">
        <v>192</v>
      </c>
      <c r="G98" s="190"/>
      <c r="H98" s="160"/>
      <c r="I98" s="160"/>
      <c r="J98" s="160"/>
      <c r="K98" s="160"/>
      <c r="L98" s="160"/>
      <c r="M98" s="160"/>
      <c r="N98" s="160"/>
      <c r="O98" s="161"/>
      <c r="P98" s="160"/>
      <c r="Q98" s="124"/>
      <c r="R98" s="124"/>
    </row>
    <row r="99" spans="1:18" ht="15" customHeight="1" x14ac:dyDescent="0.3">
      <c r="A99" s="60" t="s">
        <v>104</v>
      </c>
      <c r="B99" s="60" t="s">
        <v>227</v>
      </c>
      <c r="C99" s="61" t="s">
        <v>431</v>
      </c>
      <c r="D99" s="60" t="s">
        <v>106</v>
      </c>
      <c r="E99" s="60" t="s">
        <v>408</v>
      </c>
      <c r="F99" s="60" t="s">
        <v>228</v>
      </c>
      <c r="G99" s="191"/>
      <c r="H99" s="162"/>
      <c r="I99" s="162"/>
      <c r="J99" s="162"/>
      <c r="K99" s="162"/>
      <c r="L99" s="162"/>
      <c r="M99" s="162"/>
      <c r="N99" s="162"/>
      <c r="O99" s="163"/>
      <c r="P99" s="162"/>
      <c r="Q99" s="164"/>
      <c r="R99" s="164"/>
    </row>
  </sheetData>
  <mergeCells count="26">
    <mergeCell ref="G83:G99"/>
    <mergeCell ref="A45:F45"/>
    <mergeCell ref="G6:G32"/>
    <mergeCell ref="A69:F69"/>
    <mergeCell ref="N1:R1"/>
    <mergeCell ref="K2:R2"/>
    <mergeCell ref="A34:F34"/>
    <mergeCell ref="H81:R81"/>
    <mergeCell ref="H57:R57"/>
    <mergeCell ref="G36:G55"/>
    <mergeCell ref="A89:F89"/>
    <mergeCell ref="H1:L1"/>
    <mergeCell ref="A1:E1"/>
    <mergeCell ref="A80:R80"/>
    <mergeCell ref="G59:G79"/>
    <mergeCell ref="H4:R4"/>
    <mergeCell ref="A56:R56"/>
    <mergeCell ref="A57:F57"/>
    <mergeCell ref="A2:F2"/>
    <mergeCell ref="A3:R3"/>
    <mergeCell ref="H34:R34"/>
    <mergeCell ref="A33:R33"/>
    <mergeCell ref="A22:F22"/>
    <mergeCell ref="G2:J2"/>
    <mergeCell ref="A4:F4"/>
    <mergeCell ref="A81:F8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8"/>
  <sheetViews>
    <sheetView workbookViewId="0"/>
  </sheetViews>
  <sheetFormatPr defaultRowHeight="15.6" outlineLevelCol="1" x14ac:dyDescent="0.3"/>
  <cols>
    <col min="1" max="1" width="11.5546875" style="198" bestFit="1" customWidth="1"/>
    <col min="2" max="2" width="10.44140625" style="198" bestFit="1" customWidth="1"/>
    <col min="3" max="3" width="6.77734375" style="198" bestFit="1" customWidth="1"/>
    <col min="4" max="4" width="5.5546875" style="198" bestFit="1" customWidth="1"/>
    <col min="5" max="5" width="8.109375" style="198" bestFit="1" customWidth="1"/>
    <col min="6" max="6" width="4.21875" style="198" bestFit="1" customWidth="1"/>
    <col min="7" max="7" width="10" style="198" bestFit="1" customWidth="1"/>
    <col min="8" max="8" width="8.5546875" style="198" bestFit="1" customWidth="1"/>
    <col min="9" max="10" width="7" style="198" bestFit="1" customWidth="1"/>
    <col min="11" max="11" width="10.5546875" style="198" bestFit="1" customWidth="1"/>
    <col min="12" max="12" width="9.109375" style="198" bestFit="1" customWidth="1"/>
    <col min="13" max="13" width="7.6640625" style="198" bestFit="1" customWidth="1" outlineLevel="1"/>
    <col min="14" max="14" width="6.33203125" style="198" bestFit="1" customWidth="1" outlineLevel="1"/>
    <col min="15" max="15" width="8" style="198" bestFit="1" customWidth="1" outlineLevel="1"/>
    <col min="16" max="16" width="13.6640625" style="198" bestFit="1" customWidth="1"/>
    <col min="17" max="26" width="3.88671875" style="198" bestFit="1" customWidth="1"/>
    <col min="27" max="27" width="5" style="198" bestFit="1" customWidth="1"/>
    <col min="28" max="29" width="4.21875" style="198" bestFit="1" customWidth="1"/>
    <col min="30" max="31" width="4.5546875" style="198" bestFit="1" customWidth="1"/>
    <col min="32" max="34" width="3.88671875" style="198" bestFit="1" customWidth="1"/>
    <col min="35" max="35" width="5.21875" style="198" bestFit="1" customWidth="1"/>
    <col min="36" max="36" width="3.88671875" style="198" bestFit="1" customWidth="1"/>
    <col min="37" max="16384" width="8.88671875" style="198"/>
  </cols>
  <sheetData>
    <row r="1" spans="1:36" x14ac:dyDescent="0.3">
      <c r="A1" s="197" t="s">
        <v>231</v>
      </c>
      <c r="B1" s="197" t="s">
        <v>232</v>
      </c>
      <c r="C1" s="197" t="s">
        <v>233</v>
      </c>
      <c r="D1" s="197" t="s">
        <v>23</v>
      </c>
      <c r="E1" s="197" t="s">
        <v>234</v>
      </c>
      <c r="F1" s="197" t="s">
        <v>235</v>
      </c>
      <c r="G1" s="197" t="s">
        <v>16</v>
      </c>
      <c r="H1" s="197" t="s">
        <v>236</v>
      </c>
      <c r="I1" s="197" t="s">
        <v>237</v>
      </c>
      <c r="J1" s="197" t="s">
        <v>238</v>
      </c>
      <c r="K1" s="197" t="s">
        <v>239</v>
      </c>
      <c r="L1" s="197" t="s">
        <v>18</v>
      </c>
      <c r="M1" s="197" t="s">
        <v>20</v>
      </c>
      <c r="N1" s="197" t="s">
        <v>21</v>
      </c>
      <c r="O1" s="197" t="s">
        <v>19</v>
      </c>
      <c r="P1" s="197" t="s">
        <v>22</v>
      </c>
      <c r="Q1" s="197" t="s">
        <v>240</v>
      </c>
      <c r="R1" s="197" t="s">
        <v>241</v>
      </c>
      <c r="S1" s="197" t="s">
        <v>242</v>
      </c>
      <c r="T1" s="197" t="s">
        <v>243</v>
      </c>
      <c r="U1" s="197" t="s">
        <v>244</v>
      </c>
      <c r="V1" s="197" t="s">
        <v>245</v>
      </c>
      <c r="W1" s="197" t="s">
        <v>246</v>
      </c>
      <c r="X1" s="197" t="s">
        <v>247</v>
      </c>
      <c r="Y1" s="197" t="s">
        <v>248</v>
      </c>
      <c r="Z1" s="197" t="s">
        <v>249</v>
      </c>
      <c r="AA1" s="197" t="s">
        <v>250</v>
      </c>
      <c r="AB1" s="197" t="s">
        <v>251</v>
      </c>
      <c r="AC1" s="197" t="s">
        <v>252</v>
      </c>
      <c r="AD1" s="197" t="s">
        <v>253</v>
      </c>
      <c r="AE1" s="197" t="s">
        <v>254</v>
      </c>
      <c r="AF1" s="197" t="s">
        <v>255</v>
      </c>
      <c r="AG1" s="197" t="s">
        <v>256</v>
      </c>
      <c r="AH1" s="197" t="s">
        <v>257</v>
      </c>
      <c r="AI1" s="197" t="s">
        <v>258</v>
      </c>
      <c r="AJ1" s="197" t="s">
        <v>259</v>
      </c>
    </row>
    <row r="2" spans="1:36" x14ac:dyDescent="0.3">
      <c r="A2" s="199" t="s">
        <v>260</v>
      </c>
      <c r="B2" s="200">
        <v>45986</v>
      </c>
      <c r="C2" s="201" t="s">
        <v>376</v>
      </c>
      <c r="D2" s="202" t="s">
        <v>432</v>
      </c>
      <c r="E2" s="201" t="s">
        <v>357</v>
      </c>
      <c r="F2" s="201" t="s">
        <v>262</v>
      </c>
      <c r="G2" s="203">
        <v>0.99439999999999995</v>
      </c>
      <c r="H2" s="204">
        <v>179</v>
      </c>
      <c r="I2" s="204">
        <v>178</v>
      </c>
      <c r="J2" s="204">
        <v>159</v>
      </c>
      <c r="K2" s="201" t="s">
        <v>263</v>
      </c>
      <c r="L2" s="205">
        <v>45980</v>
      </c>
      <c r="M2" s="204">
        <v>0</v>
      </c>
      <c r="N2" s="204">
        <v>5</v>
      </c>
      <c r="O2" s="204">
        <v>7</v>
      </c>
      <c r="P2" s="201" t="s">
        <v>335</v>
      </c>
      <c r="Q2" s="197"/>
      <c r="R2" s="197"/>
      <c r="S2" s="197"/>
      <c r="T2" s="197"/>
      <c r="U2" s="197"/>
      <c r="V2" s="197"/>
      <c r="W2" s="197"/>
      <c r="X2" s="204" t="s">
        <v>433</v>
      </c>
      <c r="Y2" s="197"/>
      <c r="Z2" s="204" t="s">
        <v>281</v>
      </c>
      <c r="AA2" s="197"/>
      <c r="AB2" s="197"/>
      <c r="AC2" s="204" t="s">
        <v>434</v>
      </c>
      <c r="AD2" s="197"/>
      <c r="AE2" s="197"/>
      <c r="AF2" s="197"/>
      <c r="AG2" s="197"/>
      <c r="AH2" s="197"/>
      <c r="AI2" s="204" t="s">
        <v>435</v>
      </c>
      <c r="AJ2" s="197"/>
    </row>
    <row r="3" spans="1:36" x14ac:dyDescent="0.3">
      <c r="A3" s="199" t="s">
        <v>290</v>
      </c>
      <c r="B3" s="200">
        <v>45987</v>
      </c>
      <c r="C3" s="201" t="s">
        <v>397</v>
      </c>
      <c r="D3" s="202" t="s">
        <v>436</v>
      </c>
      <c r="E3" s="201" t="s">
        <v>357</v>
      </c>
      <c r="F3" s="201" t="s">
        <v>262</v>
      </c>
      <c r="G3" s="203">
        <v>0.97209999999999996</v>
      </c>
      <c r="H3" s="204">
        <v>179</v>
      </c>
      <c r="I3" s="204">
        <v>174</v>
      </c>
      <c r="J3" s="204">
        <v>159</v>
      </c>
      <c r="K3" s="201" t="s">
        <v>263</v>
      </c>
      <c r="L3" s="205">
        <v>45980</v>
      </c>
      <c r="M3" s="204">
        <v>0</v>
      </c>
      <c r="N3" s="204">
        <v>10</v>
      </c>
      <c r="O3" s="204">
        <v>11</v>
      </c>
      <c r="P3" s="201" t="s">
        <v>398</v>
      </c>
      <c r="Q3" s="197"/>
      <c r="R3" s="197"/>
      <c r="S3" s="197"/>
      <c r="T3" s="197"/>
      <c r="U3" s="197"/>
      <c r="V3" s="197"/>
      <c r="W3" s="197"/>
      <c r="X3" s="204" t="s">
        <v>437</v>
      </c>
      <c r="Y3" s="204" t="s">
        <v>438</v>
      </c>
      <c r="Z3" s="204" t="s">
        <v>295</v>
      </c>
      <c r="AA3" s="197"/>
      <c r="AB3" s="197"/>
      <c r="AC3" s="204" t="s">
        <v>439</v>
      </c>
      <c r="AD3" s="197"/>
      <c r="AE3" s="197"/>
      <c r="AF3" s="197"/>
      <c r="AG3" s="197"/>
      <c r="AH3" s="197"/>
      <c r="AI3" s="204" t="s">
        <v>435</v>
      </c>
      <c r="AJ3" s="197"/>
    </row>
    <row r="4" spans="1:36" x14ac:dyDescent="0.3">
      <c r="A4" s="199" t="s">
        <v>290</v>
      </c>
      <c r="B4" s="200">
        <v>45987</v>
      </c>
      <c r="C4" s="201" t="s">
        <v>376</v>
      </c>
      <c r="D4" s="202" t="s">
        <v>440</v>
      </c>
      <c r="E4" s="201" t="s">
        <v>357</v>
      </c>
      <c r="F4" s="201" t="s">
        <v>262</v>
      </c>
      <c r="G4" s="203">
        <v>1</v>
      </c>
      <c r="H4" s="204">
        <v>179</v>
      </c>
      <c r="I4" s="204">
        <v>179</v>
      </c>
      <c r="J4" s="204">
        <v>126</v>
      </c>
      <c r="K4" s="201" t="s">
        <v>263</v>
      </c>
      <c r="L4" s="205">
        <v>45979</v>
      </c>
      <c r="M4" s="204">
        <v>0</v>
      </c>
      <c r="N4" s="204">
        <v>0</v>
      </c>
      <c r="O4" s="204">
        <v>16</v>
      </c>
      <c r="P4" s="201" t="s">
        <v>100</v>
      </c>
      <c r="Q4" s="197"/>
      <c r="R4" s="197"/>
      <c r="S4" s="197"/>
      <c r="T4" s="197"/>
      <c r="U4" s="197"/>
      <c r="V4" s="197"/>
      <c r="W4" s="197"/>
      <c r="X4" s="197"/>
      <c r="Y4" s="204" t="s">
        <v>441</v>
      </c>
      <c r="Z4" s="204" t="s">
        <v>276</v>
      </c>
      <c r="AA4" s="204" t="s">
        <v>442</v>
      </c>
      <c r="AB4" s="197"/>
      <c r="AC4" s="204" t="s">
        <v>443</v>
      </c>
      <c r="AD4" s="204" t="s">
        <v>444</v>
      </c>
      <c r="AE4" s="204" t="s">
        <v>266</v>
      </c>
      <c r="AF4" s="204" t="s">
        <v>284</v>
      </c>
      <c r="AG4" s="197"/>
      <c r="AH4" s="197"/>
      <c r="AI4" s="204" t="s">
        <v>445</v>
      </c>
      <c r="AJ4" s="197"/>
    </row>
    <row r="5" spans="1:36" x14ac:dyDescent="0.3">
      <c r="A5" s="199" t="s">
        <v>290</v>
      </c>
      <c r="B5" s="200">
        <v>45987</v>
      </c>
      <c r="C5" s="201" t="s">
        <v>401</v>
      </c>
      <c r="D5" s="202" t="s">
        <v>446</v>
      </c>
      <c r="E5" s="201" t="s">
        <v>357</v>
      </c>
      <c r="F5" s="201" t="s">
        <v>262</v>
      </c>
      <c r="G5" s="203">
        <v>1</v>
      </c>
      <c r="H5" s="204">
        <v>179</v>
      </c>
      <c r="I5" s="204">
        <v>179</v>
      </c>
      <c r="J5" s="204">
        <v>129</v>
      </c>
      <c r="K5" s="201" t="s">
        <v>263</v>
      </c>
      <c r="L5" s="205">
        <v>45981</v>
      </c>
      <c r="M5" s="204">
        <v>1</v>
      </c>
      <c r="N5" s="204">
        <v>2</v>
      </c>
      <c r="O5" s="204">
        <v>13</v>
      </c>
      <c r="P5" s="201" t="s">
        <v>100</v>
      </c>
      <c r="Q5" s="197"/>
      <c r="R5" s="197"/>
      <c r="S5" s="197"/>
      <c r="T5" s="197"/>
      <c r="U5" s="197"/>
      <c r="V5" s="197"/>
      <c r="W5" s="197"/>
      <c r="X5" s="197"/>
      <c r="Y5" s="197"/>
      <c r="Z5" s="204" t="s">
        <v>447</v>
      </c>
      <c r="AA5" s="204" t="s">
        <v>448</v>
      </c>
      <c r="AB5" s="197"/>
      <c r="AC5" s="204" t="s">
        <v>443</v>
      </c>
      <c r="AD5" s="204" t="s">
        <v>204</v>
      </c>
      <c r="AE5" s="204" t="s">
        <v>317</v>
      </c>
      <c r="AF5" s="204" t="s">
        <v>449</v>
      </c>
      <c r="AG5" s="197"/>
      <c r="AH5" s="197"/>
      <c r="AI5" s="204" t="s">
        <v>450</v>
      </c>
      <c r="AJ5" s="197"/>
    </row>
    <row r="6" spans="1:36" x14ac:dyDescent="0.3">
      <c r="A6" s="199" t="s">
        <v>303</v>
      </c>
      <c r="B6" s="200">
        <v>45988</v>
      </c>
      <c r="C6" s="201" t="s">
        <v>376</v>
      </c>
      <c r="D6" s="202" t="s">
        <v>451</v>
      </c>
      <c r="E6" s="201" t="s">
        <v>357</v>
      </c>
      <c r="F6" s="201" t="s">
        <v>262</v>
      </c>
      <c r="G6" s="203">
        <v>0.96650000000000003</v>
      </c>
      <c r="H6" s="204">
        <v>179</v>
      </c>
      <c r="I6" s="204">
        <v>173</v>
      </c>
      <c r="J6" s="204">
        <v>171</v>
      </c>
      <c r="K6" s="201" t="s">
        <v>263</v>
      </c>
      <c r="L6" s="205">
        <v>45971</v>
      </c>
      <c r="M6" s="204">
        <v>0</v>
      </c>
      <c r="N6" s="204">
        <v>0</v>
      </c>
      <c r="O6" s="204">
        <v>0</v>
      </c>
      <c r="P6" s="201" t="s">
        <v>419</v>
      </c>
      <c r="Q6" s="197"/>
      <c r="R6" s="197"/>
      <c r="S6" s="197"/>
      <c r="T6" s="197"/>
      <c r="U6" s="197"/>
      <c r="V6" s="197"/>
      <c r="W6" s="197"/>
      <c r="X6" s="197"/>
      <c r="Y6" s="197"/>
      <c r="Z6" s="204" t="s">
        <v>281</v>
      </c>
      <c r="AA6" s="197"/>
      <c r="AB6" s="197"/>
      <c r="AC6" s="204" t="s">
        <v>90</v>
      </c>
      <c r="AD6" s="197"/>
      <c r="AE6" s="197"/>
      <c r="AF6" s="197"/>
      <c r="AG6" s="197"/>
      <c r="AH6" s="197"/>
      <c r="AI6" s="204" t="s">
        <v>452</v>
      </c>
      <c r="AJ6" s="197"/>
    </row>
    <row r="7" spans="1:36" x14ac:dyDescent="0.3">
      <c r="A7" s="199" t="s">
        <v>327</v>
      </c>
      <c r="B7" s="200">
        <v>45989</v>
      </c>
      <c r="C7" s="201" t="s">
        <v>376</v>
      </c>
      <c r="D7" s="202" t="s">
        <v>453</v>
      </c>
      <c r="E7" s="201" t="s">
        <v>357</v>
      </c>
      <c r="F7" s="201" t="s">
        <v>262</v>
      </c>
      <c r="G7" s="203">
        <v>0.4345</v>
      </c>
      <c r="H7" s="204">
        <v>168</v>
      </c>
      <c r="I7" s="204">
        <v>73</v>
      </c>
      <c r="J7" s="204">
        <v>0</v>
      </c>
      <c r="K7" s="201" t="s">
        <v>263</v>
      </c>
      <c r="L7" s="205">
        <v>45981</v>
      </c>
      <c r="M7" s="204">
        <v>8</v>
      </c>
      <c r="N7" s="204">
        <v>12</v>
      </c>
      <c r="O7" s="204">
        <v>47</v>
      </c>
      <c r="P7" s="201" t="s">
        <v>295</v>
      </c>
      <c r="Q7" s="197"/>
      <c r="R7" s="197"/>
      <c r="S7" s="197"/>
      <c r="T7" s="197"/>
      <c r="U7" s="197"/>
      <c r="V7" s="197"/>
      <c r="W7" s="197"/>
      <c r="X7" s="197"/>
      <c r="Y7" s="197"/>
      <c r="Z7" s="204" t="s">
        <v>454</v>
      </c>
      <c r="AA7" s="204" t="s">
        <v>455</v>
      </c>
      <c r="AB7" s="204" t="s">
        <v>456</v>
      </c>
      <c r="AC7" s="204" t="s">
        <v>457</v>
      </c>
      <c r="AD7" s="204" t="s">
        <v>270</v>
      </c>
      <c r="AE7" s="197"/>
      <c r="AF7" s="197"/>
      <c r="AG7" s="197"/>
      <c r="AH7" s="197"/>
      <c r="AI7" s="197"/>
      <c r="AJ7" s="197"/>
    </row>
    <row r="8" spans="1:36" ht="21" x14ac:dyDescent="0.3">
      <c r="A8" s="206" t="s">
        <v>511</v>
      </c>
      <c r="B8" s="207"/>
      <c r="C8" s="206">
        <f>SUBTOTAL(103,JED_HBE_LF_LEGACY[Flt])</f>
        <v>6</v>
      </c>
      <c r="D8" s="206"/>
      <c r="E8" s="206">
        <f>SUBTOTAL(103,JED_HBE_LF_LEGACY[Brd-Off])</f>
        <v>6</v>
      </c>
      <c r="F8" s="206"/>
      <c r="G8" s="208">
        <f>SUBTOTAL(101,JED_HBE_LF_LEGACY[LF%])</f>
        <v>0.89458333333333329</v>
      </c>
      <c r="H8" s="209">
        <f>SUBTOTAL(109,JED_HBE_LF_LEGACY[CAP])</f>
        <v>1063</v>
      </c>
      <c r="I8" s="209">
        <f>SUBTOTAL(109,JED_HBE_LF_LEGACY[BKG(Y)])</f>
        <v>956</v>
      </c>
      <c r="J8" s="209">
        <f>SUBTOTAL(109,JED_HBE_LF_LEGACY[GRP(Y)])</f>
        <v>744</v>
      </c>
      <c r="K8" s="206"/>
      <c r="L8" s="207"/>
      <c r="M8" s="209">
        <f>SUBTOTAL(109,JED_HBE_LF_LEGACY[TO-DAY])</f>
        <v>9</v>
      </c>
      <c r="N8" s="209">
        <f>SUBTOTAL(109,JED_HBE_LF_LEGACY[Y-DAY])</f>
        <v>29</v>
      </c>
      <c r="O8" s="209">
        <f>SUBTOTAL(109,JED_HBE_LF_LEGACY[WEEKLY])</f>
        <v>94</v>
      </c>
      <c r="P8" s="210"/>
      <c r="Q8" s="209">
        <f>SUBTOTAL(109,JED_HBE_LF_LEGACY[Y])</f>
        <v>0</v>
      </c>
      <c r="R8" s="209">
        <f>SUBTOTAL(109,JED_HBE_LF_LEGACY[B])</f>
        <v>0</v>
      </c>
      <c r="S8" s="209">
        <f>SUBTOTAL(109,JED_HBE_LF_LEGACY[M])</f>
        <v>0</v>
      </c>
      <c r="T8" s="209">
        <f>SUBTOTAL(109,JED_HBE_LF_LEGACY[H])</f>
        <v>0</v>
      </c>
      <c r="U8" s="209">
        <f>SUBTOTAL(109,JED_HBE_LF_LEGACY[Q])</f>
        <v>0</v>
      </c>
      <c r="V8" s="209">
        <f>SUBTOTAL(109,JED_HBE_LF_LEGACY[K])</f>
        <v>0</v>
      </c>
      <c r="W8" s="209">
        <f>SUBTOTAL(109,JED_HBE_LF_LEGACY[V])</f>
        <v>0</v>
      </c>
      <c r="X8" s="209">
        <f>SUBTOTAL(109,JED_HBE_LF_LEGACY[L])</f>
        <v>0</v>
      </c>
      <c r="Y8" s="209">
        <f>SUBTOTAL(109,JED_HBE_LF_LEGACY[G])</f>
        <v>0</v>
      </c>
      <c r="Z8" s="209">
        <f>SUBTOTAL(109,JED_HBE_LF_LEGACY[S])</f>
        <v>0</v>
      </c>
      <c r="AA8" s="209">
        <f>SUBTOTAL(109,JED_HBE_LF_LEGACY[W])</f>
        <v>0</v>
      </c>
      <c r="AB8" s="209">
        <f>SUBTOTAL(109,JED_HBE_LF_LEGACY[T])</f>
        <v>0</v>
      </c>
      <c r="AC8" s="209">
        <f>SUBTOTAL(109,JED_HBE_LF_LEGACY[X])</f>
        <v>0</v>
      </c>
      <c r="AD8" s="209">
        <f>SUBTOTAL(109,JED_HBE_LF_LEGACY[U])</f>
        <v>0</v>
      </c>
      <c r="AE8" s="209">
        <f>SUBTOTAL(109,JED_HBE_LF_LEGACY[O])</f>
        <v>0</v>
      </c>
      <c r="AF8" s="209">
        <f>SUBTOTAL(109,JED_HBE_LF_LEGACY[I])</f>
        <v>0</v>
      </c>
      <c r="AG8" s="209">
        <f>SUBTOTAL(109,JED_HBE_LF_LEGACY[E])</f>
        <v>0</v>
      </c>
      <c r="AH8" s="209">
        <f>SUBTOTAL(109,JED_HBE_LF_LEGACY[A])</f>
        <v>0</v>
      </c>
      <c r="AI8" s="209">
        <f>SUBTOTAL(109,JED_HBE_LF_LEGACY[P])</f>
        <v>0</v>
      </c>
      <c r="AJ8" s="209">
        <f>SUBTOTAL(103,JED_HBE_LF_LEGACY[N])</f>
        <v>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86"/>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0.6640625" hidden="1" customWidth="1"/>
  </cols>
  <sheetData>
    <row r="1" spans="1:8" ht="18" x14ac:dyDescent="0.3">
      <c r="A1" s="125" t="s">
        <v>346</v>
      </c>
      <c r="B1" s="126" t="s">
        <v>8</v>
      </c>
      <c r="C1" s="126" t="s">
        <v>9</v>
      </c>
      <c r="D1" s="126" t="s">
        <v>347</v>
      </c>
      <c r="E1" s="126" t="s">
        <v>10</v>
      </c>
      <c r="F1" s="126" t="s">
        <v>11</v>
      </c>
      <c r="G1" s="126" t="s">
        <v>12</v>
      </c>
      <c r="H1" s="127" t="s">
        <v>13</v>
      </c>
    </row>
    <row r="2" spans="1:8" ht="19.8" customHeight="1" x14ac:dyDescent="0.3">
      <c r="A2" s="128" t="s">
        <v>348</v>
      </c>
      <c r="B2" s="129" t="s">
        <v>104</v>
      </c>
      <c r="C2" s="130" t="s">
        <v>358</v>
      </c>
      <c r="D2" s="129" t="s">
        <v>357</v>
      </c>
      <c r="E2" s="129" t="s">
        <v>458</v>
      </c>
      <c r="F2" s="129" t="s">
        <v>359</v>
      </c>
      <c r="G2" s="131">
        <v>9</v>
      </c>
      <c r="H2" s="132">
        <v>504</v>
      </c>
    </row>
    <row r="3" spans="1:8" ht="19.8" customHeight="1" x14ac:dyDescent="0.3">
      <c r="A3" s="128" t="s">
        <v>348</v>
      </c>
      <c r="B3" s="129" t="s">
        <v>26</v>
      </c>
      <c r="C3" s="130" t="s">
        <v>367</v>
      </c>
      <c r="D3" s="129" t="s">
        <v>357</v>
      </c>
      <c r="E3" s="129" t="s">
        <v>406</v>
      </c>
      <c r="F3" s="129" t="s">
        <v>368</v>
      </c>
      <c r="G3" s="131">
        <v>5</v>
      </c>
      <c r="H3" s="132">
        <v>519</v>
      </c>
    </row>
    <row r="4" spans="1:8" ht="19.8" customHeight="1" x14ac:dyDescent="0.3">
      <c r="A4" s="128" t="s">
        <v>348</v>
      </c>
      <c r="B4" s="129" t="s">
        <v>104</v>
      </c>
      <c r="C4" s="130" t="s">
        <v>358</v>
      </c>
      <c r="D4" s="129" t="s">
        <v>357</v>
      </c>
      <c r="E4" s="129" t="s">
        <v>458</v>
      </c>
      <c r="F4" s="129" t="s">
        <v>361</v>
      </c>
      <c r="G4" s="131">
        <v>9</v>
      </c>
      <c r="H4" s="132">
        <v>558</v>
      </c>
    </row>
    <row r="5" spans="1:8" ht="19.8" customHeight="1" x14ac:dyDescent="0.3">
      <c r="A5" s="128" t="s">
        <v>348</v>
      </c>
      <c r="B5" s="129" t="s">
        <v>26</v>
      </c>
      <c r="C5" s="130" t="s">
        <v>367</v>
      </c>
      <c r="D5" s="129" t="s">
        <v>357</v>
      </c>
      <c r="E5" s="129" t="s">
        <v>406</v>
      </c>
      <c r="F5" s="129" t="s">
        <v>359</v>
      </c>
      <c r="G5" s="131">
        <v>5</v>
      </c>
      <c r="H5" s="132">
        <v>578</v>
      </c>
    </row>
    <row r="6" spans="1:8" ht="19.8" customHeight="1" x14ac:dyDescent="0.3">
      <c r="A6" s="128" t="s">
        <v>348</v>
      </c>
      <c r="B6" s="129" t="s">
        <v>26</v>
      </c>
      <c r="C6" s="130" t="s">
        <v>367</v>
      </c>
      <c r="D6" s="129" t="s">
        <v>357</v>
      </c>
      <c r="E6" s="129" t="s">
        <v>406</v>
      </c>
      <c r="F6" s="129" t="s">
        <v>361</v>
      </c>
      <c r="G6" s="131">
        <v>5</v>
      </c>
      <c r="H6" s="132">
        <v>602</v>
      </c>
    </row>
    <row r="7" spans="1:8" ht="19.8" customHeight="1" x14ac:dyDescent="0.3">
      <c r="A7" s="128" t="s">
        <v>348</v>
      </c>
      <c r="B7" s="129" t="s">
        <v>104</v>
      </c>
      <c r="C7" s="130" t="s">
        <v>358</v>
      </c>
      <c r="D7" s="129" t="s">
        <v>357</v>
      </c>
      <c r="E7" s="129" t="s">
        <v>458</v>
      </c>
      <c r="F7" s="129" t="s">
        <v>34</v>
      </c>
      <c r="G7" s="131">
        <v>9</v>
      </c>
      <c r="H7" s="132">
        <v>627</v>
      </c>
    </row>
    <row r="8" spans="1:8" ht="19.8" customHeight="1" x14ac:dyDescent="0.3">
      <c r="A8" s="128" t="s">
        <v>348</v>
      </c>
      <c r="B8" s="129" t="s">
        <v>104</v>
      </c>
      <c r="C8" s="130" t="s">
        <v>364</v>
      </c>
      <c r="D8" s="129" t="s">
        <v>357</v>
      </c>
      <c r="E8" s="129" t="s">
        <v>459</v>
      </c>
      <c r="F8" s="129" t="s">
        <v>359</v>
      </c>
      <c r="G8" s="131">
        <v>9</v>
      </c>
      <c r="H8" s="132">
        <v>660</v>
      </c>
    </row>
    <row r="9" spans="1:8" ht="19.8" customHeight="1" x14ac:dyDescent="0.3">
      <c r="A9" s="128" t="s">
        <v>348</v>
      </c>
      <c r="B9" s="129" t="s">
        <v>104</v>
      </c>
      <c r="C9" s="130" t="s">
        <v>364</v>
      </c>
      <c r="D9" s="129" t="s">
        <v>357</v>
      </c>
      <c r="E9" s="129" t="s">
        <v>459</v>
      </c>
      <c r="F9" s="129" t="s">
        <v>361</v>
      </c>
      <c r="G9" s="131">
        <v>9</v>
      </c>
      <c r="H9" s="132">
        <v>726</v>
      </c>
    </row>
    <row r="10" spans="1:8" ht="19.8" customHeight="1" x14ac:dyDescent="0.3">
      <c r="A10" s="128" t="s">
        <v>348</v>
      </c>
      <c r="B10" s="129" t="s">
        <v>26</v>
      </c>
      <c r="C10" s="130" t="s">
        <v>367</v>
      </c>
      <c r="D10" s="129" t="s">
        <v>357</v>
      </c>
      <c r="E10" s="129" t="s">
        <v>406</v>
      </c>
      <c r="F10" s="129" t="s">
        <v>372</v>
      </c>
      <c r="G10" s="131">
        <v>5</v>
      </c>
      <c r="H10" s="132">
        <v>769</v>
      </c>
    </row>
    <row r="11" spans="1:8" ht="19.8" customHeight="1" x14ac:dyDescent="0.3">
      <c r="A11" s="128" t="s">
        <v>348</v>
      </c>
      <c r="B11" s="129" t="s">
        <v>104</v>
      </c>
      <c r="C11" s="130" t="s">
        <v>364</v>
      </c>
      <c r="D11" s="129" t="s">
        <v>357</v>
      </c>
      <c r="E11" s="129" t="s">
        <v>459</v>
      </c>
      <c r="F11" s="129" t="s">
        <v>34</v>
      </c>
      <c r="G11" s="131">
        <v>9</v>
      </c>
      <c r="H11" s="132">
        <v>788</v>
      </c>
    </row>
    <row r="12" spans="1:8" ht="19.8" customHeight="1" x14ac:dyDescent="0.3">
      <c r="A12" s="133" t="s">
        <v>348</v>
      </c>
      <c r="B12" s="134" t="s">
        <v>77</v>
      </c>
      <c r="C12" s="135" t="s">
        <v>374</v>
      </c>
      <c r="D12" s="134" t="s">
        <v>357</v>
      </c>
      <c r="E12" s="134" t="s">
        <v>432</v>
      </c>
      <c r="F12" s="134" t="s">
        <v>79</v>
      </c>
      <c r="G12" s="136">
        <v>1</v>
      </c>
      <c r="H12" s="137">
        <v>856</v>
      </c>
    </row>
    <row r="13" spans="1:8" ht="19.8" customHeight="1" x14ac:dyDescent="0.3">
      <c r="A13" s="140">
        <v>45986</v>
      </c>
      <c r="B13" s="129" t="s">
        <v>148</v>
      </c>
      <c r="C13" s="130" t="s">
        <v>378</v>
      </c>
      <c r="D13" s="129" t="s">
        <v>357</v>
      </c>
      <c r="E13" s="141">
        <v>1.604166666666667</v>
      </c>
      <c r="F13" s="129" t="s">
        <v>150</v>
      </c>
      <c r="G13" s="131">
        <v>9</v>
      </c>
      <c r="H13" s="132">
        <v>906</v>
      </c>
    </row>
    <row r="14" spans="1:8" ht="19.8" customHeight="1" x14ac:dyDescent="0.3">
      <c r="A14" s="140">
        <v>45986</v>
      </c>
      <c r="B14" s="129" t="s">
        <v>125</v>
      </c>
      <c r="C14" s="130" t="s">
        <v>380</v>
      </c>
      <c r="D14" s="129" t="s">
        <v>357</v>
      </c>
      <c r="E14" s="141">
        <v>1.3402777777777779</v>
      </c>
      <c r="F14" s="129" t="s">
        <v>127</v>
      </c>
      <c r="G14" s="131">
        <v>9</v>
      </c>
      <c r="H14" s="142" t="s">
        <v>381</v>
      </c>
    </row>
    <row r="15" spans="1:8" ht="19.8" customHeight="1" x14ac:dyDescent="0.3">
      <c r="A15" s="140">
        <v>45986</v>
      </c>
      <c r="B15" s="129" t="s">
        <v>125</v>
      </c>
      <c r="C15" s="130" t="s">
        <v>383</v>
      </c>
      <c r="D15" s="129" t="s">
        <v>357</v>
      </c>
      <c r="E15" s="141">
        <v>1.711805555555556</v>
      </c>
      <c r="F15" s="129" t="s">
        <v>127</v>
      </c>
      <c r="G15" s="131">
        <v>9</v>
      </c>
      <c r="H15" s="142" t="s">
        <v>381</v>
      </c>
    </row>
    <row r="16" spans="1:8" ht="19.8" customHeight="1" x14ac:dyDescent="0.3">
      <c r="A16" s="140">
        <v>45986</v>
      </c>
      <c r="B16" s="129" t="s">
        <v>125</v>
      </c>
      <c r="C16" s="130" t="s">
        <v>380</v>
      </c>
      <c r="D16" s="129" t="s">
        <v>357</v>
      </c>
      <c r="E16" s="141">
        <v>1.3402777777777779</v>
      </c>
      <c r="F16" s="129" t="s">
        <v>129</v>
      </c>
      <c r="G16" s="131">
        <v>9</v>
      </c>
      <c r="H16" s="142" t="s">
        <v>382</v>
      </c>
    </row>
    <row r="17" spans="1:8" ht="19.8" customHeight="1" x14ac:dyDescent="0.3">
      <c r="A17" s="140">
        <v>45986</v>
      </c>
      <c r="B17" s="129" t="s">
        <v>125</v>
      </c>
      <c r="C17" s="130" t="s">
        <v>383</v>
      </c>
      <c r="D17" s="129" t="s">
        <v>357</v>
      </c>
      <c r="E17" s="141">
        <v>1.711805555555556</v>
      </c>
      <c r="F17" s="129" t="s">
        <v>129</v>
      </c>
      <c r="G17" s="131">
        <v>9</v>
      </c>
      <c r="H17" s="142" t="s">
        <v>382</v>
      </c>
    </row>
    <row r="18" spans="1:8" ht="19.8" customHeight="1" x14ac:dyDescent="0.3">
      <c r="A18" s="168"/>
      <c r="B18" s="169"/>
      <c r="C18" s="169"/>
      <c r="D18" s="169"/>
      <c r="E18" s="169"/>
      <c r="F18" s="170" t="s">
        <v>460</v>
      </c>
      <c r="G18" s="169"/>
      <c r="H18" s="171"/>
    </row>
    <row r="19" spans="1:8" ht="19.8" customHeight="1" x14ac:dyDescent="0.3">
      <c r="A19" s="140">
        <v>45986</v>
      </c>
      <c r="B19" s="129" t="s">
        <v>26</v>
      </c>
      <c r="C19" s="130" t="s">
        <v>27</v>
      </c>
      <c r="D19" s="129" t="s">
        <v>1</v>
      </c>
      <c r="E19" s="141">
        <v>1.1284722222222221</v>
      </c>
      <c r="F19" s="129" t="s">
        <v>28</v>
      </c>
      <c r="G19" s="131">
        <v>1</v>
      </c>
      <c r="H19" s="132">
        <v>389</v>
      </c>
    </row>
    <row r="20" spans="1:8" ht="19.8" customHeight="1" x14ac:dyDescent="0.3">
      <c r="A20" s="140">
        <v>45986</v>
      </c>
      <c r="B20" s="129" t="s">
        <v>26</v>
      </c>
      <c r="C20" s="130" t="s">
        <v>36</v>
      </c>
      <c r="D20" s="129" t="s">
        <v>1</v>
      </c>
      <c r="E20" s="141">
        <v>1.302083333333333</v>
      </c>
      <c r="F20" s="129" t="s">
        <v>28</v>
      </c>
      <c r="G20" s="131">
        <v>3</v>
      </c>
      <c r="H20" s="132">
        <v>419</v>
      </c>
    </row>
    <row r="21" spans="1:8" ht="19.8" customHeight="1" x14ac:dyDescent="0.3">
      <c r="A21" s="140">
        <v>45986</v>
      </c>
      <c r="B21" s="129" t="s">
        <v>26</v>
      </c>
      <c r="C21" s="130" t="s">
        <v>41</v>
      </c>
      <c r="D21" s="129" t="s">
        <v>1</v>
      </c>
      <c r="E21" s="141">
        <v>1.788194444444444</v>
      </c>
      <c r="F21" s="129" t="s">
        <v>28</v>
      </c>
      <c r="G21" s="131">
        <v>7</v>
      </c>
      <c r="H21" s="132">
        <v>419</v>
      </c>
    </row>
    <row r="22" spans="1:8" ht="19.8" customHeight="1" x14ac:dyDescent="0.3">
      <c r="A22" s="140">
        <v>45986</v>
      </c>
      <c r="B22" s="129" t="s">
        <v>49</v>
      </c>
      <c r="C22" s="130" t="s">
        <v>50</v>
      </c>
      <c r="D22" s="129" t="s">
        <v>1</v>
      </c>
      <c r="E22" s="141">
        <v>1.9027777777777779</v>
      </c>
      <c r="F22" s="129" t="s">
        <v>51</v>
      </c>
      <c r="G22" s="131">
        <v>3</v>
      </c>
      <c r="H22" s="132">
        <v>449</v>
      </c>
    </row>
    <row r="23" spans="1:8" ht="19.8" customHeight="1" x14ac:dyDescent="0.3">
      <c r="A23" s="140">
        <v>45986</v>
      </c>
      <c r="B23" s="129" t="s">
        <v>49</v>
      </c>
      <c r="C23" s="130" t="s">
        <v>58</v>
      </c>
      <c r="D23" s="129" t="s">
        <v>1</v>
      </c>
      <c r="E23" s="141">
        <v>1.645833333333333</v>
      </c>
      <c r="F23" s="129" t="s">
        <v>51</v>
      </c>
      <c r="G23" s="131">
        <v>2</v>
      </c>
      <c r="H23" s="132">
        <v>449</v>
      </c>
    </row>
    <row r="24" spans="1:8" ht="19.8" customHeight="1" x14ac:dyDescent="0.3">
      <c r="A24" s="140">
        <v>45986</v>
      </c>
      <c r="B24" s="129" t="s">
        <v>49</v>
      </c>
      <c r="C24" s="130" t="s">
        <v>61</v>
      </c>
      <c r="D24" s="129" t="s">
        <v>1</v>
      </c>
      <c r="E24" s="141">
        <v>1.5173611111111109</v>
      </c>
      <c r="F24" s="129" t="s">
        <v>51</v>
      </c>
      <c r="G24" s="131">
        <v>1</v>
      </c>
      <c r="H24" s="132">
        <v>449</v>
      </c>
    </row>
    <row r="25" spans="1:8" ht="19.8" customHeight="1" x14ac:dyDescent="0.3">
      <c r="A25" s="140">
        <v>45986</v>
      </c>
      <c r="B25" s="129" t="s">
        <v>49</v>
      </c>
      <c r="C25" s="130" t="s">
        <v>63</v>
      </c>
      <c r="D25" s="129" t="s">
        <v>1</v>
      </c>
      <c r="E25" s="141">
        <v>1.854166666666667</v>
      </c>
      <c r="F25" s="129" t="s">
        <v>51</v>
      </c>
      <c r="G25" s="131">
        <v>8</v>
      </c>
      <c r="H25" s="132">
        <v>449</v>
      </c>
    </row>
    <row r="26" spans="1:8" ht="19.8" customHeight="1" x14ac:dyDescent="0.3">
      <c r="A26" s="140">
        <v>45986</v>
      </c>
      <c r="B26" s="129" t="s">
        <v>49</v>
      </c>
      <c r="C26" s="130" t="s">
        <v>66</v>
      </c>
      <c r="D26" s="129" t="s">
        <v>1</v>
      </c>
      <c r="E26" s="141">
        <v>1.7986111111111109</v>
      </c>
      <c r="F26" s="129" t="s">
        <v>51</v>
      </c>
      <c r="G26" s="131">
        <v>5</v>
      </c>
      <c r="H26" s="132">
        <v>449</v>
      </c>
    </row>
    <row r="27" spans="1:8" ht="19.8" customHeight="1" x14ac:dyDescent="0.3">
      <c r="A27" s="140">
        <v>45986</v>
      </c>
      <c r="B27" s="129" t="s">
        <v>26</v>
      </c>
      <c r="C27" s="130" t="s">
        <v>44</v>
      </c>
      <c r="D27" s="129" t="s">
        <v>1</v>
      </c>
      <c r="E27" s="141">
        <v>1.8888888888888891</v>
      </c>
      <c r="F27" s="129" t="s">
        <v>28</v>
      </c>
      <c r="G27" s="131">
        <v>10</v>
      </c>
      <c r="H27" s="132">
        <v>459</v>
      </c>
    </row>
    <row r="28" spans="1:8" ht="19.8" customHeight="1" x14ac:dyDescent="0.3">
      <c r="A28" s="149">
        <v>45986</v>
      </c>
      <c r="B28" s="150" t="s">
        <v>77</v>
      </c>
      <c r="C28" s="151" t="s">
        <v>78</v>
      </c>
      <c r="D28" s="150" t="s">
        <v>1</v>
      </c>
      <c r="E28" s="152">
        <v>1.229166666666667</v>
      </c>
      <c r="F28" s="150" t="s">
        <v>79</v>
      </c>
      <c r="G28" s="153">
        <v>1</v>
      </c>
      <c r="H28" s="172">
        <v>471</v>
      </c>
    </row>
    <row r="29" spans="1:8" ht="19.8" customHeight="1" x14ac:dyDescent="0.3">
      <c r="A29" s="140">
        <v>45987</v>
      </c>
      <c r="B29" s="129" t="s">
        <v>104</v>
      </c>
      <c r="C29" s="130" t="s">
        <v>358</v>
      </c>
      <c r="D29" s="129" t="s">
        <v>357</v>
      </c>
      <c r="E29" s="141">
        <v>1.3298611111111109</v>
      </c>
      <c r="F29" s="129" t="s">
        <v>359</v>
      </c>
      <c r="G29" s="131">
        <v>9</v>
      </c>
      <c r="H29" s="132">
        <v>496</v>
      </c>
    </row>
    <row r="30" spans="1:8" ht="19.8" customHeight="1" x14ac:dyDescent="0.3">
      <c r="A30" s="140">
        <v>45987</v>
      </c>
      <c r="B30" s="129" t="s">
        <v>104</v>
      </c>
      <c r="C30" s="130" t="s">
        <v>358</v>
      </c>
      <c r="D30" s="129" t="s">
        <v>357</v>
      </c>
      <c r="E30" s="141">
        <v>1.3298611111111109</v>
      </c>
      <c r="F30" s="129" t="s">
        <v>361</v>
      </c>
      <c r="G30" s="131">
        <v>9</v>
      </c>
      <c r="H30" s="132">
        <v>550</v>
      </c>
    </row>
    <row r="31" spans="1:8" ht="19.8" customHeight="1" x14ac:dyDescent="0.3">
      <c r="A31" s="140">
        <v>45987</v>
      </c>
      <c r="B31" s="129" t="s">
        <v>104</v>
      </c>
      <c r="C31" s="130" t="s">
        <v>358</v>
      </c>
      <c r="D31" s="129" t="s">
        <v>357</v>
      </c>
      <c r="E31" s="141">
        <v>1.3298611111111109</v>
      </c>
      <c r="F31" s="129" t="s">
        <v>34</v>
      </c>
      <c r="G31" s="131">
        <v>9</v>
      </c>
      <c r="H31" s="132">
        <v>620</v>
      </c>
    </row>
    <row r="32" spans="1:8" ht="19.8" customHeight="1" x14ac:dyDescent="0.3">
      <c r="A32" s="140">
        <v>45987</v>
      </c>
      <c r="B32" s="129" t="s">
        <v>148</v>
      </c>
      <c r="C32" s="130" t="s">
        <v>378</v>
      </c>
      <c r="D32" s="129" t="s">
        <v>357</v>
      </c>
      <c r="E32" s="141">
        <v>1.604166666666667</v>
      </c>
      <c r="F32" s="129" t="s">
        <v>150</v>
      </c>
      <c r="G32" s="131">
        <v>9</v>
      </c>
      <c r="H32" s="132">
        <v>906</v>
      </c>
    </row>
    <row r="33" spans="1:8" ht="19.8" customHeight="1" x14ac:dyDescent="0.3">
      <c r="A33" s="138">
        <v>45987</v>
      </c>
      <c r="B33" s="134" t="s">
        <v>77</v>
      </c>
      <c r="C33" s="135" t="s">
        <v>395</v>
      </c>
      <c r="D33" s="134" t="s">
        <v>357</v>
      </c>
      <c r="E33" s="139">
        <v>1.4097222222222221</v>
      </c>
      <c r="F33" s="134" t="s">
        <v>79</v>
      </c>
      <c r="G33" s="136">
        <v>5</v>
      </c>
      <c r="H33" s="137">
        <v>952</v>
      </c>
    </row>
    <row r="34" spans="1:8" ht="19.8" customHeight="1" x14ac:dyDescent="0.3">
      <c r="A34" s="140">
        <v>45987</v>
      </c>
      <c r="B34" s="129" t="s">
        <v>125</v>
      </c>
      <c r="C34" s="130" t="s">
        <v>383</v>
      </c>
      <c r="D34" s="129" t="s">
        <v>357</v>
      </c>
      <c r="E34" s="141">
        <v>1.711805555555556</v>
      </c>
      <c r="F34" s="129" t="s">
        <v>127</v>
      </c>
      <c r="G34" s="131">
        <v>8</v>
      </c>
      <c r="H34" s="142" t="s">
        <v>381</v>
      </c>
    </row>
    <row r="35" spans="1:8" ht="19.8" customHeight="1" x14ac:dyDescent="0.3">
      <c r="A35" s="140">
        <v>45987</v>
      </c>
      <c r="B35" s="129" t="s">
        <v>125</v>
      </c>
      <c r="C35" s="130" t="s">
        <v>383</v>
      </c>
      <c r="D35" s="129" t="s">
        <v>357</v>
      </c>
      <c r="E35" s="141">
        <v>1.711805555555556</v>
      </c>
      <c r="F35" s="129" t="s">
        <v>129</v>
      </c>
      <c r="G35" s="131">
        <v>8</v>
      </c>
      <c r="H35" s="142" t="s">
        <v>382</v>
      </c>
    </row>
    <row r="36" spans="1:8" ht="19.8" customHeight="1" x14ac:dyDescent="0.3">
      <c r="A36" s="138">
        <v>45987</v>
      </c>
      <c r="B36" s="134" t="s">
        <v>77</v>
      </c>
      <c r="C36" s="135" t="s">
        <v>376</v>
      </c>
      <c r="D36" s="134" t="s">
        <v>357</v>
      </c>
      <c r="E36" s="139">
        <v>1.65625</v>
      </c>
      <c r="F36" s="134" t="s">
        <v>98</v>
      </c>
      <c r="G36" s="134"/>
      <c r="H36" s="143" t="s">
        <v>99</v>
      </c>
    </row>
    <row r="37" spans="1:8" ht="19.8" customHeight="1" x14ac:dyDescent="0.3">
      <c r="A37" s="138">
        <v>45987</v>
      </c>
      <c r="B37" s="134" t="s">
        <v>77</v>
      </c>
      <c r="C37" s="135" t="s">
        <v>401</v>
      </c>
      <c r="D37" s="134" t="s">
        <v>357</v>
      </c>
      <c r="E37" s="139">
        <v>1.71875</v>
      </c>
      <c r="F37" s="134" t="s">
        <v>98</v>
      </c>
      <c r="G37" s="134"/>
      <c r="H37" s="143" t="s">
        <v>99</v>
      </c>
    </row>
    <row r="38" spans="1:8" ht="19.8" customHeight="1" x14ac:dyDescent="0.3">
      <c r="A38" s="168"/>
      <c r="B38" s="169"/>
      <c r="C38" s="169"/>
      <c r="D38" s="169"/>
      <c r="E38" s="169"/>
      <c r="F38" s="170" t="s">
        <v>460</v>
      </c>
      <c r="G38" s="169"/>
      <c r="H38" s="171"/>
    </row>
    <row r="39" spans="1:8" ht="19.8" customHeight="1" x14ac:dyDescent="0.3">
      <c r="A39" s="140">
        <v>45987</v>
      </c>
      <c r="B39" s="129" t="s">
        <v>26</v>
      </c>
      <c r="C39" s="130" t="s">
        <v>44</v>
      </c>
      <c r="D39" s="129" t="s">
        <v>1</v>
      </c>
      <c r="E39" s="141">
        <v>1.8888888888888891</v>
      </c>
      <c r="F39" s="129" t="s">
        <v>28</v>
      </c>
      <c r="G39" s="131">
        <v>4</v>
      </c>
      <c r="H39" s="132">
        <v>389</v>
      </c>
    </row>
    <row r="40" spans="1:8" ht="19.8" customHeight="1" x14ac:dyDescent="0.3">
      <c r="A40" s="140">
        <v>45987</v>
      </c>
      <c r="B40" s="129" t="s">
        <v>118</v>
      </c>
      <c r="C40" s="130" t="s">
        <v>122</v>
      </c>
      <c r="D40" s="129" t="s">
        <v>1</v>
      </c>
      <c r="E40" s="141">
        <v>1.3715277777777779</v>
      </c>
      <c r="F40" s="129" t="s">
        <v>112</v>
      </c>
      <c r="G40" s="131">
        <v>2</v>
      </c>
      <c r="H40" s="132">
        <v>401</v>
      </c>
    </row>
    <row r="41" spans="1:8" ht="19.8" customHeight="1" x14ac:dyDescent="0.3">
      <c r="A41" s="140">
        <v>45987</v>
      </c>
      <c r="B41" s="129" t="s">
        <v>49</v>
      </c>
      <c r="C41" s="130" t="s">
        <v>69</v>
      </c>
      <c r="D41" s="129" t="s">
        <v>1</v>
      </c>
      <c r="E41" s="141">
        <v>1.256944444444444</v>
      </c>
      <c r="F41" s="129" t="s">
        <v>51</v>
      </c>
      <c r="G41" s="131">
        <v>3</v>
      </c>
      <c r="H41" s="132">
        <v>409</v>
      </c>
    </row>
    <row r="42" spans="1:8" ht="19.8" customHeight="1" x14ac:dyDescent="0.3">
      <c r="A42" s="140">
        <v>45987</v>
      </c>
      <c r="B42" s="129" t="s">
        <v>49</v>
      </c>
      <c r="C42" s="130" t="s">
        <v>76</v>
      </c>
      <c r="D42" s="129" t="s">
        <v>1</v>
      </c>
      <c r="E42" s="141">
        <v>1.302083333333333</v>
      </c>
      <c r="F42" s="129" t="s">
        <v>51</v>
      </c>
      <c r="G42" s="131">
        <v>2</v>
      </c>
      <c r="H42" s="132">
        <v>409</v>
      </c>
    </row>
    <row r="43" spans="1:8" ht="19.8" customHeight="1" x14ac:dyDescent="0.3">
      <c r="A43" s="140">
        <v>45987</v>
      </c>
      <c r="B43" s="129" t="s">
        <v>26</v>
      </c>
      <c r="C43" s="130" t="s">
        <v>36</v>
      </c>
      <c r="D43" s="129" t="s">
        <v>1</v>
      </c>
      <c r="E43" s="141">
        <v>1.302083333333333</v>
      </c>
      <c r="F43" s="129" t="s">
        <v>28</v>
      </c>
      <c r="G43" s="131">
        <v>6</v>
      </c>
      <c r="H43" s="132">
        <v>419</v>
      </c>
    </row>
    <row r="44" spans="1:8" ht="19.8" customHeight="1" x14ac:dyDescent="0.3">
      <c r="A44" s="140">
        <v>45987</v>
      </c>
      <c r="B44" s="129" t="s">
        <v>26</v>
      </c>
      <c r="C44" s="130" t="s">
        <v>27</v>
      </c>
      <c r="D44" s="129" t="s">
        <v>1</v>
      </c>
      <c r="E44" s="141">
        <v>1.1284722222222221</v>
      </c>
      <c r="F44" s="129" t="s">
        <v>28</v>
      </c>
      <c r="G44" s="131">
        <v>6</v>
      </c>
      <c r="H44" s="132">
        <v>419</v>
      </c>
    </row>
    <row r="45" spans="1:8" ht="19.8" customHeight="1" x14ac:dyDescent="0.3">
      <c r="A45" s="140">
        <v>45987</v>
      </c>
      <c r="B45" s="129" t="s">
        <v>26</v>
      </c>
      <c r="C45" s="130" t="s">
        <v>41</v>
      </c>
      <c r="D45" s="129" t="s">
        <v>1</v>
      </c>
      <c r="E45" s="141">
        <v>1.788194444444444</v>
      </c>
      <c r="F45" s="129" t="s">
        <v>28</v>
      </c>
      <c r="G45" s="131">
        <v>9</v>
      </c>
      <c r="H45" s="132">
        <v>419</v>
      </c>
    </row>
    <row r="46" spans="1:8" ht="19.8" customHeight="1" x14ac:dyDescent="0.3">
      <c r="A46" s="140">
        <v>45987</v>
      </c>
      <c r="B46" s="129" t="s">
        <v>49</v>
      </c>
      <c r="C46" s="130" t="s">
        <v>50</v>
      </c>
      <c r="D46" s="129" t="s">
        <v>1</v>
      </c>
      <c r="E46" s="141">
        <v>1.9027777777777779</v>
      </c>
      <c r="F46" s="129" t="s">
        <v>51</v>
      </c>
      <c r="G46" s="131">
        <v>3</v>
      </c>
      <c r="H46" s="132">
        <v>449</v>
      </c>
    </row>
    <row r="47" spans="1:8" ht="19.8" customHeight="1" x14ac:dyDescent="0.3">
      <c r="A47" s="140">
        <v>45987</v>
      </c>
      <c r="B47" s="129" t="s">
        <v>49</v>
      </c>
      <c r="C47" s="130" t="s">
        <v>61</v>
      </c>
      <c r="D47" s="129" t="s">
        <v>1</v>
      </c>
      <c r="E47" s="141">
        <v>1.5173611111111109</v>
      </c>
      <c r="F47" s="129" t="s">
        <v>51</v>
      </c>
      <c r="G47" s="131">
        <v>2</v>
      </c>
      <c r="H47" s="132">
        <v>449</v>
      </c>
    </row>
    <row r="48" spans="1:8" ht="19.8" customHeight="1" x14ac:dyDescent="0.3">
      <c r="A48" s="149">
        <v>45987</v>
      </c>
      <c r="B48" s="150" t="s">
        <v>49</v>
      </c>
      <c r="C48" s="151" t="s">
        <v>75</v>
      </c>
      <c r="D48" s="150" t="s">
        <v>1</v>
      </c>
      <c r="E48" s="152">
        <v>1.395833333333333</v>
      </c>
      <c r="F48" s="150" t="s">
        <v>51</v>
      </c>
      <c r="G48" s="153">
        <v>2</v>
      </c>
      <c r="H48" s="172">
        <v>449</v>
      </c>
    </row>
    <row r="49" spans="1:8" ht="19.8" customHeight="1" x14ac:dyDescent="0.3">
      <c r="A49" s="140">
        <v>45988</v>
      </c>
      <c r="B49" s="129" t="s">
        <v>104</v>
      </c>
      <c r="C49" s="130" t="s">
        <v>364</v>
      </c>
      <c r="D49" s="129" t="s">
        <v>357</v>
      </c>
      <c r="E49" s="141">
        <v>1.5277777777777779</v>
      </c>
      <c r="F49" s="129" t="s">
        <v>359</v>
      </c>
      <c r="G49" s="131">
        <v>9</v>
      </c>
      <c r="H49" s="132">
        <v>459</v>
      </c>
    </row>
    <row r="50" spans="1:8" ht="19.8" customHeight="1" x14ac:dyDescent="0.3">
      <c r="A50" s="140">
        <v>45988</v>
      </c>
      <c r="B50" s="129" t="s">
        <v>104</v>
      </c>
      <c r="C50" s="130" t="s">
        <v>412</v>
      </c>
      <c r="D50" s="129" t="s">
        <v>357</v>
      </c>
      <c r="E50" s="141">
        <v>1.7986111111111109</v>
      </c>
      <c r="F50" s="129" t="s">
        <v>359</v>
      </c>
      <c r="G50" s="131">
        <v>9</v>
      </c>
      <c r="H50" s="132">
        <v>489</v>
      </c>
    </row>
    <row r="51" spans="1:8" ht="19.8" customHeight="1" x14ac:dyDescent="0.3">
      <c r="A51" s="140">
        <v>45988</v>
      </c>
      <c r="B51" s="129" t="s">
        <v>104</v>
      </c>
      <c r="C51" s="130" t="s">
        <v>364</v>
      </c>
      <c r="D51" s="129" t="s">
        <v>357</v>
      </c>
      <c r="E51" s="141">
        <v>1.5277777777777779</v>
      </c>
      <c r="F51" s="129" t="s">
        <v>361</v>
      </c>
      <c r="G51" s="131">
        <v>9</v>
      </c>
      <c r="H51" s="132">
        <v>513</v>
      </c>
    </row>
    <row r="52" spans="1:8" ht="19.8" customHeight="1" x14ac:dyDescent="0.3">
      <c r="A52" s="140">
        <v>45988</v>
      </c>
      <c r="B52" s="129" t="s">
        <v>104</v>
      </c>
      <c r="C52" s="130" t="s">
        <v>412</v>
      </c>
      <c r="D52" s="129" t="s">
        <v>357</v>
      </c>
      <c r="E52" s="141">
        <v>1.7986111111111109</v>
      </c>
      <c r="F52" s="129" t="s">
        <v>361</v>
      </c>
      <c r="G52" s="131">
        <v>9</v>
      </c>
      <c r="H52" s="132">
        <v>543</v>
      </c>
    </row>
    <row r="53" spans="1:8" ht="19.8" customHeight="1" x14ac:dyDescent="0.3">
      <c r="A53" s="140">
        <v>45988</v>
      </c>
      <c r="B53" s="129" t="s">
        <v>125</v>
      </c>
      <c r="C53" s="130" t="s">
        <v>380</v>
      </c>
      <c r="D53" s="129" t="s">
        <v>357</v>
      </c>
      <c r="E53" s="141">
        <v>1.3402777777777779</v>
      </c>
      <c r="F53" s="129" t="s">
        <v>415</v>
      </c>
      <c r="G53" s="131">
        <v>9</v>
      </c>
      <c r="H53" s="132">
        <v>560</v>
      </c>
    </row>
    <row r="54" spans="1:8" ht="19.8" customHeight="1" x14ac:dyDescent="0.3">
      <c r="A54" s="140">
        <v>45988</v>
      </c>
      <c r="B54" s="129" t="s">
        <v>104</v>
      </c>
      <c r="C54" s="130" t="s">
        <v>364</v>
      </c>
      <c r="D54" s="129" t="s">
        <v>357</v>
      </c>
      <c r="E54" s="141">
        <v>1.5277777777777779</v>
      </c>
      <c r="F54" s="129" t="s">
        <v>34</v>
      </c>
      <c r="G54" s="131">
        <v>9</v>
      </c>
      <c r="H54" s="132">
        <v>582</v>
      </c>
    </row>
    <row r="55" spans="1:8" ht="19.8" customHeight="1" x14ac:dyDescent="0.3">
      <c r="A55" s="140">
        <v>45988</v>
      </c>
      <c r="B55" s="129" t="s">
        <v>104</v>
      </c>
      <c r="C55" s="130" t="s">
        <v>412</v>
      </c>
      <c r="D55" s="129" t="s">
        <v>357</v>
      </c>
      <c r="E55" s="141">
        <v>1.7986111111111109</v>
      </c>
      <c r="F55" s="129" t="s">
        <v>34</v>
      </c>
      <c r="G55" s="131">
        <v>9</v>
      </c>
      <c r="H55" s="132">
        <v>612</v>
      </c>
    </row>
    <row r="56" spans="1:8" ht="19.8" customHeight="1" x14ac:dyDescent="0.3">
      <c r="A56" s="140">
        <v>45988</v>
      </c>
      <c r="B56" s="129" t="s">
        <v>125</v>
      </c>
      <c r="C56" s="130" t="s">
        <v>380</v>
      </c>
      <c r="D56" s="129" t="s">
        <v>357</v>
      </c>
      <c r="E56" s="141">
        <v>1.3402777777777779</v>
      </c>
      <c r="F56" s="129" t="s">
        <v>127</v>
      </c>
      <c r="G56" s="131">
        <v>9</v>
      </c>
      <c r="H56" s="132">
        <v>704</v>
      </c>
    </row>
    <row r="57" spans="1:8" ht="19.8" customHeight="1" x14ac:dyDescent="0.3">
      <c r="A57" s="140">
        <v>45988</v>
      </c>
      <c r="B57" s="129" t="s">
        <v>125</v>
      </c>
      <c r="C57" s="130" t="s">
        <v>380</v>
      </c>
      <c r="D57" s="129" t="s">
        <v>357</v>
      </c>
      <c r="E57" s="141">
        <v>1.3402777777777779</v>
      </c>
      <c r="F57" s="129" t="s">
        <v>129</v>
      </c>
      <c r="G57" s="131">
        <v>9</v>
      </c>
      <c r="H57" s="132">
        <v>776</v>
      </c>
    </row>
    <row r="58" spans="1:8" ht="19.8" customHeight="1" x14ac:dyDescent="0.3">
      <c r="A58" s="138">
        <v>45988</v>
      </c>
      <c r="B58" s="134" t="s">
        <v>77</v>
      </c>
      <c r="C58" s="135" t="s">
        <v>374</v>
      </c>
      <c r="D58" s="134" t="s">
        <v>357</v>
      </c>
      <c r="E58" s="139">
        <v>1.274305555555556</v>
      </c>
      <c r="F58" s="134" t="s">
        <v>79</v>
      </c>
      <c r="G58" s="136">
        <v>6</v>
      </c>
      <c r="H58" s="137">
        <v>856</v>
      </c>
    </row>
    <row r="59" spans="1:8" ht="19.8" customHeight="1" x14ac:dyDescent="0.3">
      <c r="A59" s="168"/>
      <c r="B59" s="169"/>
      <c r="C59" s="169"/>
      <c r="D59" s="169"/>
      <c r="E59" s="169"/>
      <c r="F59" s="170" t="s">
        <v>460</v>
      </c>
      <c r="G59" s="169"/>
      <c r="H59" s="171"/>
    </row>
    <row r="60" spans="1:8" ht="19.8" customHeight="1" x14ac:dyDescent="0.3">
      <c r="A60" s="140">
        <v>45988</v>
      </c>
      <c r="B60" s="129" t="s">
        <v>26</v>
      </c>
      <c r="C60" s="130" t="s">
        <v>36</v>
      </c>
      <c r="D60" s="129" t="s">
        <v>1</v>
      </c>
      <c r="E60" s="141">
        <v>1.302083333333333</v>
      </c>
      <c r="F60" s="129" t="s">
        <v>28</v>
      </c>
      <c r="G60" s="131">
        <v>2</v>
      </c>
      <c r="H60" s="132">
        <v>359</v>
      </c>
    </row>
    <row r="61" spans="1:8" ht="19.8" customHeight="1" x14ac:dyDescent="0.3">
      <c r="A61" s="140">
        <v>45988</v>
      </c>
      <c r="B61" s="129" t="s">
        <v>26</v>
      </c>
      <c r="C61" s="130" t="s">
        <v>27</v>
      </c>
      <c r="D61" s="129" t="s">
        <v>1</v>
      </c>
      <c r="E61" s="141">
        <v>1.1284722222222221</v>
      </c>
      <c r="F61" s="129" t="s">
        <v>28</v>
      </c>
      <c r="G61" s="131">
        <v>6</v>
      </c>
      <c r="H61" s="132">
        <v>359</v>
      </c>
    </row>
    <row r="62" spans="1:8" ht="19.8" customHeight="1" x14ac:dyDescent="0.3">
      <c r="A62" s="140">
        <v>45988</v>
      </c>
      <c r="B62" s="129" t="s">
        <v>110</v>
      </c>
      <c r="C62" s="130" t="s">
        <v>111</v>
      </c>
      <c r="D62" s="129" t="s">
        <v>1</v>
      </c>
      <c r="E62" s="141">
        <v>1.291666666666667</v>
      </c>
      <c r="F62" s="129" t="s">
        <v>112</v>
      </c>
      <c r="G62" s="131">
        <v>9</v>
      </c>
      <c r="H62" s="132">
        <v>400</v>
      </c>
    </row>
    <row r="63" spans="1:8" ht="19.8" customHeight="1" x14ac:dyDescent="0.3">
      <c r="A63" s="140">
        <v>45988</v>
      </c>
      <c r="B63" s="129" t="s">
        <v>110</v>
      </c>
      <c r="C63" s="130" t="s">
        <v>115</v>
      </c>
      <c r="D63" s="129" t="s">
        <v>1</v>
      </c>
      <c r="E63" s="141">
        <v>1.59375</v>
      </c>
      <c r="F63" s="129" t="s">
        <v>112</v>
      </c>
      <c r="G63" s="131">
        <v>9</v>
      </c>
      <c r="H63" s="132">
        <v>400</v>
      </c>
    </row>
    <row r="64" spans="1:8" ht="19.8" customHeight="1" x14ac:dyDescent="0.3">
      <c r="A64" s="140">
        <v>45988</v>
      </c>
      <c r="B64" s="129" t="s">
        <v>49</v>
      </c>
      <c r="C64" s="130" t="s">
        <v>50</v>
      </c>
      <c r="D64" s="129" t="s">
        <v>1</v>
      </c>
      <c r="E64" s="141">
        <v>1.9027777777777779</v>
      </c>
      <c r="F64" s="129" t="s">
        <v>51</v>
      </c>
      <c r="G64" s="131">
        <v>1</v>
      </c>
      <c r="H64" s="132">
        <v>409</v>
      </c>
    </row>
    <row r="65" spans="1:8" ht="19.8" customHeight="1" x14ac:dyDescent="0.3">
      <c r="A65" s="140">
        <v>45988</v>
      </c>
      <c r="B65" s="129" t="s">
        <v>49</v>
      </c>
      <c r="C65" s="130" t="s">
        <v>58</v>
      </c>
      <c r="D65" s="129" t="s">
        <v>1</v>
      </c>
      <c r="E65" s="141">
        <v>1.6597222222222221</v>
      </c>
      <c r="F65" s="129" t="s">
        <v>51</v>
      </c>
      <c r="G65" s="131">
        <v>9</v>
      </c>
      <c r="H65" s="132">
        <v>409</v>
      </c>
    </row>
    <row r="66" spans="1:8" ht="19.8" customHeight="1" x14ac:dyDescent="0.3">
      <c r="A66" s="140">
        <v>45988</v>
      </c>
      <c r="B66" s="129" t="s">
        <v>49</v>
      </c>
      <c r="C66" s="130" t="s">
        <v>61</v>
      </c>
      <c r="D66" s="129" t="s">
        <v>1</v>
      </c>
      <c r="E66" s="141">
        <v>1.5173611111111109</v>
      </c>
      <c r="F66" s="129" t="s">
        <v>51</v>
      </c>
      <c r="G66" s="131">
        <v>9</v>
      </c>
      <c r="H66" s="132">
        <v>409</v>
      </c>
    </row>
    <row r="67" spans="1:8" ht="19.8" customHeight="1" x14ac:dyDescent="0.3">
      <c r="A67" s="140">
        <v>45988</v>
      </c>
      <c r="B67" s="129" t="s">
        <v>49</v>
      </c>
      <c r="C67" s="130" t="s">
        <v>63</v>
      </c>
      <c r="D67" s="129" t="s">
        <v>1</v>
      </c>
      <c r="E67" s="141">
        <v>1.854166666666667</v>
      </c>
      <c r="F67" s="129" t="s">
        <v>51</v>
      </c>
      <c r="G67" s="131">
        <v>2</v>
      </c>
      <c r="H67" s="132">
        <v>409</v>
      </c>
    </row>
    <row r="68" spans="1:8" ht="19.8" customHeight="1" x14ac:dyDescent="0.3">
      <c r="A68" s="140">
        <v>45988</v>
      </c>
      <c r="B68" s="129" t="s">
        <v>49</v>
      </c>
      <c r="C68" s="130" t="s">
        <v>76</v>
      </c>
      <c r="D68" s="129" t="s">
        <v>1</v>
      </c>
      <c r="E68" s="141">
        <v>1.302083333333333</v>
      </c>
      <c r="F68" s="129" t="s">
        <v>51</v>
      </c>
      <c r="G68" s="131">
        <v>5</v>
      </c>
      <c r="H68" s="132">
        <v>409</v>
      </c>
    </row>
    <row r="69" spans="1:8" ht="19.8" customHeight="1" x14ac:dyDescent="0.3">
      <c r="A69" s="149">
        <v>45988</v>
      </c>
      <c r="B69" s="150" t="s">
        <v>49</v>
      </c>
      <c r="C69" s="151" t="s">
        <v>66</v>
      </c>
      <c r="D69" s="150" t="s">
        <v>1</v>
      </c>
      <c r="E69" s="152">
        <v>1.7986111111111109</v>
      </c>
      <c r="F69" s="150" t="s">
        <v>51</v>
      </c>
      <c r="G69" s="153">
        <v>6</v>
      </c>
      <c r="H69" s="172">
        <v>409</v>
      </c>
    </row>
    <row r="70" spans="1:8" ht="19.8" customHeight="1" x14ac:dyDescent="0.3">
      <c r="A70" s="140">
        <v>45989</v>
      </c>
      <c r="B70" s="129" t="s">
        <v>104</v>
      </c>
      <c r="C70" s="130" t="s">
        <v>358</v>
      </c>
      <c r="D70" s="129" t="s">
        <v>357</v>
      </c>
      <c r="E70" s="141">
        <v>1.1875</v>
      </c>
      <c r="F70" s="129" t="s">
        <v>359</v>
      </c>
      <c r="G70" s="131">
        <v>9</v>
      </c>
      <c r="H70" s="132">
        <v>446</v>
      </c>
    </row>
    <row r="71" spans="1:8" ht="19.8" customHeight="1" x14ac:dyDescent="0.3">
      <c r="A71" s="140">
        <v>45989</v>
      </c>
      <c r="B71" s="129" t="s">
        <v>104</v>
      </c>
      <c r="C71" s="130" t="s">
        <v>358</v>
      </c>
      <c r="D71" s="129" t="s">
        <v>357</v>
      </c>
      <c r="E71" s="141">
        <v>1.1875</v>
      </c>
      <c r="F71" s="129" t="s">
        <v>361</v>
      </c>
      <c r="G71" s="131">
        <v>9</v>
      </c>
      <c r="H71" s="132">
        <v>491</v>
      </c>
    </row>
    <row r="72" spans="1:8" ht="19.8" customHeight="1" x14ac:dyDescent="0.3">
      <c r="A72" s="140">
        <v>45989</v>
      </c>
      <c r="B72" s="129" t="s">
        <v>104</v>
      </c>
      <c r="C72" s="130" t="s">
        <v>358</v>
      </c>
      <c r="D72" s="129" t="s">
        <v>357</v>
      </c>
      <c r="E72" s="141">
        <v>1.1875</v>
      </c>
      <c r="F72" s="129" t="s">
        <v>34</v>
      </c>
      <c r="G72" s="131">
        <v>9</v>
      </c>
      <c r="H72" s="132">
        <v>672</v>
      </c>
    </row>
    <row r="73" spans="1:8" ht="19.8" customHeight="1" x14ac:dyDescent="0.3">
      <c r="A73" s="138">
        <v>45989</v>
      </c>
      <c r="B73" s="134" t="s">
        <v>77</v>
      </c>
      <c r="C73" s="135" t="s">
        <v>374</v>
      </c>
      <c r="D73" s="134" t="s">
        <v>357</v>
      </c>
      <c r="E73" s="139">
        <v>1.416666666666667</v>
      </c>
      <c r="F73" s="134" t="s">
        <v>79</v>
      </c>
      <c r="G73" s="136">
        <v>3</v>
      </c>
      <c r="H73" s="137">
        <v>706</v>
      </c>
    </row>
    <row r="74" spans="1:8" ht="19.8" customHeight="1" x14ac:dyDescent="0.3">
      <c r="A74" s="140">
        <v>45989</v>
      </c>
      <c r="B74" s="129" t="s">
        <v>125</v>
      </c>
      <c r="C74" s="130" t="s">
        <v>383</v>
      </c>
      <c r="D74" s="129" t="s">
        <v>357</v>
      </c>
      <c r="E74" s="141">
        <v>1.711805555555556</v>
      </c>
      <c r="F74" s="129" t="s">
        <v>127</v>
      </c>
      <c r="G74" s="131">
        <v>4</v>
      </c>
      <c r="H74" s="142" t="s">
        <v>381</v>
      </c>
    </row>
    <row r="75" spans="1:8" ht="19.8" customHeight="1" x14ac:dyDescent="0.3">
      <c r="A75" s="140">
        <v>45989</v>
      </c>
      <c r="B75" s="129" t="s">
        <v>125</v>
      </c>
      <c r="C75" s="130" t="s">
        <v>383</v>
      </c>
      <c r="D75" s="129" t="s">
        <v>357</v>
      </c>
      <c r="E75" s="141">
        <v>1.711805555555556</v>
      </c>
      <c r="F75" s="129" t="s">
        <v>129</v>
      </c>
      <c r="G75" s="131">
        <v>4</v>
      </c>
      <c r="H75" s="142" t="s">
        <v>382</v>
      </c>
    </row>
    <row r="76" spans="1:8" ht="19.8" customHeight="1" x14ac:dyDescent="0.3">
      <c r="A76" s="168"/>
      <c r="B76" s="169"/>
      <c r="C76" s="169"/>
      <c r="D76" s="169"/>
      <c r="E76" s="169"/>
      <c r="F76" s="170" t="s">
        <v>460</v>
      </c>
      <c r="G76" s="169"/>
      <c r="H76" s="171"/>
    </row>
    <row r="77" spans="1:8" ht="19.8" customHeight="1" x14ac:dyDescent="0.3">
      <c r="A77" s="140">
        <v>45989</v>
      </c>
      <c r="B77" s="129" t="s">
        <v>26</v>
      </c>
      <c r="C77" s="130" t="s">
        <v>27</v>
      </c>
      <c r="D77" s="129" t="s">
        <v>1</v>
      </c>
      <c r="E77" s="141">
        <v>1.1284722222222221</v>
      </c>
      <c r="F77" s="129" t="s">
        <v>28</v>
      </c>
      <c r="G77" s="131">
        <v>4</v>
      </c>
      <c r="H77" s="132">
        <v>359</v>
      </c>
    </row>
    <row r="78" spans="1:8" ht="19.8" customHeight="1" x14ac:dyDescent="0.3">
      <c r="A78" s="140">
        <v>45989</v>
      </c>
      <c r="B78" s="129" t="s">
        <v>26</v>
      </c>
      <c r="C78" s="130" t="s">
        <v>36</v>
      </c>
      <c r="D78" s="129" t="s">
        <v>1</v>
      </c>
      <c r="E78" s="141">
        <v>1.302083333333333</v>
      </c>
      <c r="F78" s="129" t="s">
        <v>28</v>
      </c>
      <c r="G78" s="131">
        <v>10</v>
      </c>
      <c r="H78" s="132">
        <v>389</v>
      </c>
    </row>
    <row r="79" spans="1:8" ht="19.8" customHeight="1" x14ac:dyDescent="0.3">
      <c r="A79" s="140">
        <v>45989</v>
      </c>
      <c r="B79" s="129" t="s">
        <v>49</v>
      </c>
      <c r="C79" s="130" t="s">
        <v>50</v>
      </c>
      <c r="D79" s="129" t="s">
        <v>1</v>
      </c>
      <c r="E79" s="141">
        <v>1.9027777777777779</v>
      </c>
      <c r="F79" s="129" t="s">
        <v>51</v>
      </c>
      <c r="G79" s="131">
        <v>1</v>
      </c>
      <c r="H79" s="132">
        <v>409</v>
      </c>
    </row>
    <row r="80" spans="1:8" ht="19.8" customHeight="1" x14ac:dyDescent="0.3">
      <c r="A80" s="140">
        <v>45989</v>
      </c>
      <c r="B80" s="129" t="s">
        <v>49</v>
      </c>
      <c r="C80" s="130" t="s">
        <v>63</v>
      </c>
      <c r="D80" s="129" t="s">
        <v>1</v>
      </c>
      <c r="E80" s="141">
        <v>1.854166666666667</v>
      </c>
      <c r="F80" s="129" t="s">
        <v>51</v>
      </c>
      <c r="G80" s="131">
        <v>5</v>
      </c>
      <c r="H80" s="132">
        <v>409</v>
      </c>
    </row>
    <row r="81" spans="1:8" ht="19.8" customHeight="1" x14ac:dyDescent="0.3">
      <c r="A81" s="140">
        <v>45989</v>
      </c>
      <c r="B81" s="129" t="s">
        <v>26</v>
      </c>
      <c r="C81" s="130" t="s">
        <v>41</v>
      </c>
      <c r="D81" s="129" t="s">
        <v>1</v>
      </c>
      <c r="E81" s="141">
        <v>1.788194444444444</v>
      </c>
      <c r="F81" s="129" t="s">
        <v>28</v>
      </c>
      <c r="G81" s="131">
        <v>11</v>
      </c>
      <c r="H81" s="132">
        <v>419</v>
      </c>
    </row>
    <row r="82" spans="1:8" ht="19.8" customHeight="1" x14ac:dyDescent="0.3">
      <c r="A82" s="140">
        <v>45989</v>
      </c>
      <c r="B82" s="129" t="s">
        <v>26</v>
      </c>
      <c r="C82" s="130" t="s">
        <v>44</v>
      </c>
      <c r="D82" s="129" t="s">
        <v>1</v>
      </c>
      <c r="E82" s="141">
        <v>1.8888888888888891</v>
      </c>
      <c r="F82" s="129" t="s">
        <v>28</v>
      </c>
      <c r="G82" s="131">
        <v>9</v>
      </c>
      <c r="H82" s="132">
        <v>419</v>
      </c>
    </row>
    <row r="83" spans="1:8" ht="19.8" customHeight="1" x14ac:dyDescent="0.3">
      <c r="A83" s="140">
        <v>45989</v>
      </c>
      <c r="B83" s="129" t="s">
        <v>77</v>
      </c>
      <c r="C83" s="130" t="s">
        <v>87</v>
      </c>
      <c r="D83" s="129" t="s">
        <v>1</v>
      </c>
      <c r="E83" s="141">
        <v>1.114583333333333</v>
      </c>
      <c r="F83" s="129" t="s">
        <v>79</v>
      </c>
      <c r="G83" s="131">
        <v>3</v>
      </c>
      <c r="H83" s="132">
        <v>436</v>
      </c>
    </row>
    <row r="84" spans="1:8" ht="19.8" customHeight="1" x14ac:dyDescent="0.3">
      <c r="A84" s="140">
        <v>45989</v>
      </c>
      <c r="B84" s="129" t="s">
        <v>77</v>
      </c>
      <c r="C84" s="130" t="s">
        <v>84</v>
      </c>
      <c r="D84" s="129" t="s">
        <v>1</v>
      </c>
      <c r="E84" s="141">
        <v>1.319444444444444</v>
      </c>
      <c r="F84" s="129" t="s">
        <v>79</v>
      </c>
      <c r="G84" s="131">
        <v>1</v>
      </c>
      <c r="H84" s="132">
        <v>436</v>
      </c>
    </row>
    <row r="85" spans="1:8" ht="19.8" customHeight="1" x14ac:dyDescent="0.3">
      <c r="A85" s="140">
        <v>45989</v>
      </c>
      <c r="B85" s="129" t="s">
        <v>77</v>
      </c>
      <c r="C85" s="130" t="s">
        <v>92</v>
      </c>
      <c r="D85" s="129" t="s">
        <v>1</v>
      </c>
      <c r="E85" s="141">
        <v>1.458333333333333</v>
      </c>
      <c r="F85" s="129" t="s">
        <v>79</v>
      </c>
      <c r="G85" s="131">
        <v>8</v>
      </c>
      <c r="H85" s="132">
        <v>436</v>
      </c>
    </row>
    <row r="86" spans="1:8" ht="19.8" customHeight="1" x14ac:dyDescent="0.3">
      <c r="A86" s="149">
        <v>45989</v>
      </c>
      <c r="B86" s="150" t="s">
        <v>104</v>
      </c>
      <c r="C86" s="151" t="s">
        <v>227</v>
      </c>
      <c r="D86" s="150" t="s">
        <v>1</v>
      </c>
      <c r="E86" s="152">
        <v>1.975694444444444</v>
      </c>
      <c r="F86" s="150" t="s">
        <v>106</v>
      </c>
      <c r="G86" s="153">
        <v>9</v>
      </c>
      <c r="H86" s="172">
        <v>437</v>
      </c>
    </row>
  </sheetData>
  <pageMargins left="0.75" right="0.75" top="1" bottom="1" header="0.5" footer="0.5"/>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N73"/>
  <sheetViews>
    <sheetView workbookViewId="0"/>
  </sheetViews>
  <sheetFormatPr defaultRowHeight="14.4" x14ac:dyDescent="0.3"/>
  <cols>
    <col min="1" max="1" width="17.21875" bestFit="1" customWidth="1"/>
    <col min="2" max="2" width="15.6640625" bestFit="1" customWidth="1"/>
    <col min="3" max="3" width="14.77734375" bestFit="1" customWidth="1"/>
    <col min="4" max="4" width="31.21875" bestFit="1" customWidth="1"/>
    <col min="5" max="5" width="20.109375" bestFit="1" customWidth="1"/>
    <col min="6" max="6" width="23.44140625" bestFit="1" customWidth="1"/>
    <col min="7" max="7" width="48.3320312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42.109375" bestFit="1" customWidth="1"/>
  </cols>
  <sheetData>
    <row r="1" spans="1:92" ht="28.8" customHeight="1" x14ac:dyDescent="0.3">
      <c r="A1" s="178" t="s">
        <v>0</v>
      </c>
      <c r="B1" s="177"/>
      <c r="C1" s="177"/>
      <c r="D1" s="177"/>
      <c r="E1" s="177"/>
      <c r="F1" s="1" t="s">
        <v>461</v>
      </c>
      <c r="G1" s="2" t="s">
        <v>2</v>
      </c>
      <c r="H1" s="176">
        <v>45986</v>
      </c>
      <c r="I1" s="177"/>
      <c r="J1" s="177"/>
      <c r="K1" s="177"/>
      <c r="L1" s="177"/>
      <c r="M1" s="1" t="s">
        <v>3</v>
      </c>
      <c r="N1" s="188">
        <v>45989</v>
      </c>
      <c r="O1" s="177"/>
      <c r="P1" s="177"/>
      <c r="Q1" s="177"/>
      <c r="R1" s="177"/>
      <c r="CA1" s="3"/>
      <c r="CB1" s="3"/>
      <c r="CC1" s="3"/>
      <c r="CD1" s="3"/>
      <c r="CE1" s="3"/>
      <c r="CF1" s="3"/>
      <c r="CG1" s="3"/>
      <c r="CH1" s="3"/>
      <c r="CI1" s="3"/>
      <c r="CJ1" s="3"/>
      <c r="CK1" s="3"/>
      <c r="CL1" s="3"/>
      <c r="CM1" s="3"/>
      <c r="CN1" s="3"/>
    </row>
    <row r="2" spans="1:92" ht="23.4" customHeight="1" x14ac:dyDescent="0.3">
      <c r="A2" s="183" t="s">
        <v>4</v>
      </c>
      <c r="B2" s="177"/>
      <c r="C2" s="177"/>
      <c r="D2" s="177"/>
      <c r="E2" s="177"/>
      <c r="F2" s="177"/>
      <c r="G2" s="186">
        <v>45981.457522340752</v>
      </c>
      <c r="H2" s="177"/>
      <c r="I2" s="177"/>
      <c r="J2" s="177"/>
      <c r="K2" s="192">
        <v>45981.457522341028</v>
      </c>
      <c r="L2" s="177"/>
      <c r="M2" s="177"/>
      <c r="N2" s="177"/>
      <c r="O2" s="177"/>
      <c r="P2" s="177"/>
      <c r="Q2" s="177"/>
      <c r="R2" s="177"/>
      <c r="CA2" s="3"/>
      <c r="CB2" s="3"/>
      <c r="CC2" s="3"/>
      <c r="CD2" s="3"/>
      <c r="CE2" s="3"/>
      <c r="CF2" s="3"/>
      <c r="CG2" s="3"/>
      <c r="CH2" s="3"/>
      <c r="CI2" s="3"/>
      <c r="CJ2" s="3"/>
      <c r="CK2" s="3"/>
      <c r="CL2" s="3"/>
      <c r="CM2" s="3"/>
      <c r="CN2" s="3"/>
    </row>
    <row r="3" spans="1:92" ht="24" customHeight="1" x14ac:dyDescent="0.3">
      <c r="A3" s="184" t="s">
        <v>5</v>
      </c>
      <c r="B3" s="177"/>
      <c r="C3" s="177"/>
      <c r="D3" s="177"/>
      <c r="E3" s="177"/>
      <c r="F3" s="177"/>
      <c r="G3" s="177"/>
      <c r="H3" s="177"/>
      <c r="I3" s="177"/>
      <c r="J3" s="177"/>
      <c r="K3" s="177"/>
      <c r="L3" s="177"/>
      <c r="M3" s="177"/>
      <c r="N3" s="177"/>
      <c r="O3" s="177"/>
      <c r="P3" s="177"/>
      <c r="Q3" s="177"/>
      <c r="R3" s="177"/>
      <c r="CA3" s="3"/>
      <c r="CB3" s="3"/>
      <c r="CC3" s="3"/>
      <c r="CD3" s="3"/>
      <c r="CE3" s="3"/>
      <c r="CF3" s="3"/>
      <c r="CG3" s="3"/>
      <c r="CH3" s="3"/>
      <c r="CI3" s="3"/>
      <c r="CJ3" s="3"/>
      <c r="CK3" s="3"/>
      <c r="CL3" s="3"/>
      <c r="CM3" s="3"/>
      <c r="CN3" s="3"/>
    </row>
    <row r="4" spans="1:92" ht="22.05" customHeight="1" x14ac:dyDescent="0.3">
      <c r="A4" s="187" t="s">
        <v>6</v>
      </c>
      <c r="B4" s="180"/>
      <c r="C4" s="180"/>
      <c r="D4" s="180"/>
      <c r="E4" s="180"/>
      <c r="F4" s="181"/>
      <c r="G4" s="4">
        <v>45986</v>
      </c>
      <c r="H4" s="179" t="s">
        <v>7</v>
      </c>
      <c r="I4" s="180"/>
      <c r="J4" s="180"/>
      <c r="K4" s="180"/>
      <c r="L4" s="180"/>
      <c r="M4" s="180"/>
      <c r="N4" s="180"/>
      <c r="O4" s="180"/>
      <c r="P4" s="180"/>
      <c r="Q4" s="180"/>
      <c r="R4" s="18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65" t="s">
        <v>77</v>
      </c>
      <c r="B6" s="165" t="s">
        <v>462</v>
      </c>
      <c r="C6" s="166">
        <v>0.32291666666666669</v>
      </c>
      <c r="D6" s="165" t="s">
        <v>79</v>
      </c>
      <c r="E6" s="165" t="s">
        <v>52</v>
      </c>
      <c r="F6" s="165" t="s">
        <v>463</v>
      </c>
      <c r="G6" s="193"/>
      <c r="H6" s="79" t="s">
        <v>464</v>
      </c>
      <c r="I6" s="167">
        <v>0.93300000000000005</v>
      </c>
      <c r="J6" s="81">
        <v>167</v>
      </c>
      <c r="K6" s="82">
        <v>45971</v>
      </c>
      <c r="L6" s="81">
        <v>0</v>
      </c>
      <c r="M6" s="81">
        <v>0</v>
      </c>
      <c r="N6" s="81">
        <v>0</v>
      </c>
      <c r="O6" s="83" t="s">
        <v>465</v>
      </c>
      <c r="P6" s="84">
        <v>0.32291666666666669</v>
      </c>
      <c r="Q6" s="81">
        <v>179</v>
      </c>
      <c r="R6" s="85" t="s">
        <v>466</v>
      </c>
    </row>
    <row r="7" spans="1:92" ht="15" customHeight="1" x14ac:dyDescent="0.3">
      <c r="A7" s="86" t="s">
        <v>77</v>
      </c>
      <c r="B7" s="86" t="s">
        <v>467</v>
      </c>
      <c r="C7" s="87">
        <v>0.95138888888888884</v>
      </c>
      <c r="D7" s="86" t="s">
        <v>79</v>
      </c>
      <c r="E7" s="86" t="s">
        <v>93</v>
      </c>
      <c r="F7" s="86" t="s">
        <v>375</v>
      </c>
      <c r="G7" s="190"/>
      <c r="H7" s="88" t="s">
        <v>468</v>
      </c>
      <c r="I7" s="159">
        <v>0.97770000000000001</v>
      </c>
      <c r="J7" s="90">
        <v>175</v>
      </c>
      <c r="K7" s="91">
        <v>45973</v>
      </c>
      <c r="L7" s="90">
        <v>0</v>
      </c>
      <c r="M7" s="90">
        <v>0</v>
      </c>
      <c r="N7" s="90">
        <v>0</v>
      </c>
      <c r="O7" s="92" t="s">
        <v>469</v>
      </c>
      <c r="P7" s="93">
        <v>0.95138888888888884</v>
      </c>
      <c r="Q7" s="90">
        <v>179</v>
      </c>
      <c r="R7" s="94" t="s">
        <v>470</v>
      </c>
    </row>
    <row r="8" spans="1:92" ht="15" customHeight="1" x14ac:dyDescent="0.3">
      <c r="A8" s="19" t="s">
        <v>148</v>
      </c>
      <c r="B8" s="19" t="s">
        <v>471</v>
      </c>
      <c r="C8" s="20">
        <v>0.32291666666666669</v>
      </c>
      <c r="D8" s="19" t="s">
        <v>150</v>
      </c>
      <c r="E8" s="19" t="s">
        <v>162</v>
      </c>
      <c r="F8" s="19" t="s">
        <v>472</v>
      </c>
      <c r="G8" s="190"/>
      <c r="H8" s="10"/>
      <c r="I8" s="11"/>
      <c r="J8" s="11"/>
      <c r="K8" s="11"/>
      <c r="L8" s="11"/>
      <c r="M8" s="11"/>
      <c r="N8" s="11"/>
      <c r="O8" s="12"/>
      <c r="P8" s="11"/>
      <c r="Q8" s="13"/>
      <c r="R8" s="14"/>
    </row>
    <row r="9" spans="1:92" ht="18" x14ac:dyDescent="0.3">
      <c r="A9" s="194" t="s">
        <v>384</v>
      </c>
      <c r="B9" s="195"/>
      <c r="C9" s="195"/>
      <c r="D9" s="195"/>
      <c r="E9" s="195"/>
      <c r="F9" s="196"/>
      <c r="G9" s="190"/>
      <c r="H9" s="160"/>
      <c r="I9" s="160"/>
      <c r="J9" s="160"/>
      <c r="K9" s="160"/>
      <c r="L9" s="160"/>
      <c r="M9" s="160"/>
      <c r="N9" s="160"/>
      <c r="O9" s="161"/>
      <c r="P9" s="160"/>
      <c r="Q9" s="124"/>
      <c r="R9" s="124"/>
    </row>
    <row r="10" spans="1:92" ht="15" customHeight="1" x14ac:dyDescent="0.3">
      <c r="A10" s="17" t="s">
        <v>26</v>
      </c>
      <c r="B10" s="17" t="s">
        <v>27</v>
      </c>
      <c r="C10" s="18" t="s">
        <v>349</v>
      </c>
      <c r="D10" s="17" t="s">
        <v>28</v>
      </c>
      <c r="E10" s="17" t="s">
        <v>385</v>
      </c>
      <c r="F10" s="17" t="s">
        <v>30</v>
      </c>
      <c r="G10" s="190"/>
      <c r="H10" s="160"/>
      <c r="I10" s="160"/>
      <c r="J10" s="160"/>
      <c r="K10" s="160"/>
      <c r="L10" s="160"/>
      <c r="M10" s="160"/>
      <c r="N10" s="160"/>
      <c r="O10" s="161"/>
      <c r="P10" s="160"/>
      <c r="Q10" s="124"/>
      <c r="R10" s="124"/>
    </row>
    <row r="11" spans="1:92" ht="15" customHeight="1" x14ac:dyDescent="0.3">
      <c r="A11" s="17" t="s">
        <v>26</v>
      </c>
      <c r="B11" s="17" t="s">
        <v>36</v>
      </c>
      <c r="C11" s="18" t="s">
        <v>350</v>
      </c>
      <c r="D11" s="17" t="s">
        <v>28</v>
      </c>
      <c r="E11" s="17" t="s">
        <v>386</v>
      </c>
      <c r="F11" s="17" t="s">
        <v>38</v>
      </c>
      <c r="G11" s="190"/>
      <c r="H11" s="160"/>
      <c r="I11" s="160"/>
      <c r="J11" s="160"/>
      <c r="K11" s="160"/>
      <c r="L11" s="160"/>
      <c r="M11" s="160"/>
      <c r="N11" s="160"/>
      <c r="O11" s="161"/>
      <c r="P11" s="160"/>
      <c r="Q11" s="124"/>
      <c r="R11" s="124"/>
    </row>
    <row r="12" spans="1:92" ht="15" customHeight="1" x14ac:dyDescent="0.3">
      <c r="A12" s="17" t="s">
        <v>26</v>
      </c>
      <c r="B12" s="17" t="s">
        <v>41</v>
      </c>
      <c r="C12" s="18" t="s">
        <v>351</v>
      </c>
      <c r="D12" s="17" t="s">
        <v>28</v>
      </c>
      <c r="E12" s="17" t="s">
        <v>387</v>
      </c>
      <c r="F12" s="17" t="s">
        <v>38</v>
      </c>
      <c r="G12" s="190"/>
      <c r="H12" s="160"/>
      <c r="I12" s="160"/>
      <c r="J12" s="160"/>
      <c r="K12" s="160"/>
      <c r="L12" s="160"/>
      <c r="M12" s="160"/>
      <c r="N12" s="160"/>
      <c r="O12" s="161"/>
      <c r="P12" s="160"/>
      <c r="Q12" s="124"/>
      <c r="R12" s="124"/>
    </row>
    <row r="13" spans="1:92" ht="15" customHeight="1" x14ac:dyDescent="0.3">
      <c r="A13" s="17" t="s">
        <v>49</v>
      </c>
      <c r="B13" s="17" t="s">
        <v>50</v>
      </c>
      <c r="C13" s="18" t="s">
        <v>352</v>
      </c>
      <c r="D13" s="17" t="s">
        <v>51</v>
      </c>
      <c r="E13" s="17" t="s">
        <v>386</v>
      </c>
      <c r="F13" s="17" t="s">
        <v>53</v>
      </c>
      <c r="G13" s="190"/>
      <c r="H13" s="160"/>
      <c r="I13" s="160"/>
      <c r="J13" s="160"/>
      <c r="K13" s="160"/>
      <c r="L13" s="160"/>
      <c r="M13" s="160"/>
      <c r="N13" s="160"/>
      <c r="O13" s="161"/>
      <c r="P13" s="160"/>
      <c r="Q13" s="124"/>
      <c r="R13" s="124"/>
    </row>
    <row r="14" spans="1:92" ht="15" customHeight="1" x14ac:dyDescent="0.3">
      <c r="A14" s="17" t="s">
        <v>49</v>
      </c>
      <c r="B14" s="17" t="s">
        <v>58</v>
      </c>
      <c r="C14" s="18" t="s">
        <v>353</v>
      </c>
      <c r="D14" s="17" t="s">
        <v>51</v>
      </c>
      <c r="E14" s="17" t="s">
        <v>388</v>
      </c>
      <c r="F14" s="17" t="s">
        <v>53</v>
      </c>
      <c r="G14" s="190"/>
      <c r="H14" s="160"/>
      <c r="I14" s="160"/>
      <c r="J14" s="160"/>
      <c r="K14" s="160"/>
      <c r="L14" s="160"/>
      <c r="M14" s="160"/>
      <c r="N14" s="160"/>
      <c r="O14" s="161"/>
      <c r="P14" s="160"/>
      <c r="Q14" s="124"/>
      <c r="R14" s="124"/>
    </row>
    <row r="15" spans="1:92" ht="15" customHeight="1" x14ac:dyDescent="0.3">
      <c r="A15" s="17" t="s">
        <v>49</v>
      </c>
      <c r="B15" s="17" t="s">
        <v>61</v>
      </c>
      <c r="C15" s="18" t="s">
        <v>291</v>
      </c>
      <c r="D15" s="17" t="s">
        <v>51</v>
      </c>
      <c r="E15" s="17" t="s">
        <v>385</v>
      </c>
      <c r="F15" s="17" t="s">
        <v>53</v>
      </c>
      <c r="G15" s="190"/>
      <c r="H15" s="160"/>
      <c r="I15" s="160"/>
      <c r="J15" s="160"/>
      <c r="K15" s="160"/>
      <c r="L15" s="160"/>
      <c r="M15" s="160"/>
      <c r="N15" s="160"/>
      <c r="O15" s="161"/>
      <c r="P15" s="160"/>
      <c r="Q15" s="124"/>
      <c r="R15" s="124"/>
    </row>
    <row r="16" spans="1:92" ht="15" customHeight="1" x14ac:dyDescent="0.3">
      <c r="A16" s="17" t="s">
        <v>49</v>
      </c>
      <c r="B16" s="17" t="s">
        <v>63</v>
      </c>
      <c r="C16" s="18" t="s">
        <v>354</v>
      </c>
      <c r="D16" s="17" t="s">
        <v>51</v>
      </c>
      <c r="E16" s="17" t="s">
        <v>389</v>
      </c>
      <c r="F16" s="17" t="s">
        <v>53</v>
      </c>
      <c r="G16" s="190"/>
      <c r="H16" s="160"/>
      <c r="I16" s="160"/>
      <c r="J16" s="160"/>
      <c r="K16" s="160"/>
      <c r="L16" s="160"/>
      <c r="M16" s="160"/>
      <c r="N16" s="160"/>
      <c r="O16" s="161"/>
      <c r="P16" s="160"/>
      <c r="Q16" s="124"/>
      <c r="R16" s="124"/>
    </row>
    <row r="17" spans="1:18" ht="15" customHeight="1" x14ac:dyDescent="0.3">
      <c r="A17" s="17" t="s">
        <v>49</v>
      </c>
      <c r="B17" s="17" t="s">
        <v>66</v>
      </c>
      <c r="C17" s="18" t="s">
        <v>355</v>
      </c>
      <c r="D17" s="17" t="s">
        <v>51</v>
      </c>
      <c r="E17" s="17" t="s">
        <v>390</v>
      </c>
      <c r="F17" s="17" t="s">
        <v>53</v>
      </c>
      <c r="G17" s="190"/>
      <c r="H17" s="160"/>
      <c r="I17" s="160"/>
      <c r="J17" s="160"/>
      <c r="K17" s="160"/>
      <c r="L17" s="160"/>
      <c r="M17" s="160"/>
      <c r="N17" s="160"/>
      <c r="O17" s="161"/>
      <c r="P17" s="160"/>
      <c r="Q17" s="124"/>
      <c r="R17" s="124"/>
    </row>
    <row r="18" spans="1:18" ht="15" customHeight="1" x14ac:dyDescent="0.3">
      <c r="A18" s="17" t="s">
        <v>26</v>
      </c>
      <c r="B18" s="17" t="s">
        <v>44</v>
      </c>
      <c r="C18" s="18" t="s">
        <v>356</v>
      </c>
      <c r="D18" s="17" t="s">
        <v>28</v>
      </c>
      <c r="E18" s="17" t="s">
        <v>391</v>
      </c>
      <c r="F18" s="17" t="s">
        <v>46</v>
      </c>
      <c r="G18" s="190"/>
      <c r="H18" s="160"/>
      <c r="I18" s="160"/>
      <c r="J18" s="160"/>
      <c r="K18" s="160"/>
      <c r="L18" s="160"/>
      <c r="M18" s="160"/>
      <c r="N18" s="160"/>
      <c r="O18" s="161"/>
      <c r="P18" s="160"/>
      <c r="Q18" s="124"/>
      <c r="R18" s="124"/>
    </row>
    <row r="19" spans="1:18" ht="15" customHeight="1" thickBot="1" x14ac:dyDescent="0.35">
      <c r="A19" s="60" t="s">
        <v>77</v>
      </c>
      <c r="B19" s="60" t="s">
        <v>78</v>
      </c>
      <c r="C19" s="61" t="s">
        <v>261</v>
      </c>
      <c r="D19" s="60" t="s">
        <v>79</v>
      </c>
      <c r="E19" s="60" t="s">
        <v>385</v>
      </c>
      <c r="F19" s="60" t="s">
        <v>80</v>
      </c>
      <c r="G19" s="191"/>
      <c r="H19" s="162"/>
      <c r="I19" s="162"/>
      <c r="J19" s="162"/>
      <c r="K19" s="162"/>
      <c r="L19" s="162"/>
      <c r="M19" s="162"/>
      <c r="N19" s="162"/>
      <c r="O19" s="163"/>
      <c r="P19" s="162"/>
      <c r="Q19" s="164"/>
      <c r="R19" s="164"/>
    </row>
    <row r="20" spans="1:18" ht="17.399999999999999" customHeight="1" thickBot="1" x14ac:dyDescent="0.35">
      <c r="A20" s="211"/>
      <c r="B20" s="212"/>
      <c r="C20" s="212"/>
      <c r="D20" s="212"/>
      <c r="E20" s="212"/>
      <c r="F20" s="212"/>
      <c r="G20" s="212"/>
      <c r="H20" s="212"/>
      <c r="I20" s="212"/>
      <c r="J20" s="212"/>
      <c r="K20" s="212"/>
      <c r="L20" s="212"/>
      <c r="M20" s="212"/>
      <c r="N20" s="212"/>
      <c r="O20" s="212"/>
      <c r="P20" s="212"/>
      <c r="Q20" s="212"/>
      <c r="R20" s="213"/>
    </row>
    <row r="21" spans="1:18" ht="22.05" customHeight="1" thickTop="1" thickBot="1" x14ac:dyDescent="0.35">
      <c r="A21" s="182" t="s">
        <v>6</v>
      </c>
      <c r="B21" s="180"/>
      <c r="C21" s="180"/>
      <c r="D21" s="180"/>
      <c r="E21" s="180"/>
      <c r="F21" s="181"/>
      <c r="G21" s="67">
        <v>45987</v>
      </c>
      <c r="H21" s="185" t="s">
        <v>7</v>
      </c>
      <c r="I21" s="180"/>
      <c r="J21" s="180"/>
      <c r="K21" s="180"/>
      <c r="L21" s="180"/>
      <c r="M21" s="180"/>
      <c r="N21" s="180"/>
      <c r="O21" s="180"/>
      <c r="P21" s="180"/>
      <c r="Q21" s="180"/>
      <c r="R21" s="181"/>
    </row>
    <row r="22" spans="1:18" ht="24" customHeight="1" x14ac:dyDescent="0.3">
      <c r="A22" s="68" t="s">
        <v>8</v>
      </c>
      <c r="B22" s="68" t="s">
        <v>9</v>
      </c>
      <c r="C22" s="69" t="s">
        <v>10</v>
      </c>
      <c r="D22" s="68" t="s">
        <v>11</v>
      </c>
      <c r="E22" s="68" t="s">
        <v>12</v>
      </c>
      <c r="F22" s="70" t="s">
        <v>13</v>
      </c>
      <c r="G22" s="71" t="s">
        <v>14</v>
      </c>
      <c r="H22" s="68" t="s">
        <v>15</v>
      </c>
      <c r="I22" s="72" t="s">
        <v>16</v>
      </c>
      <c r="J22" s="73" t="s">
        <v>17</v>
      </c>
      <c r="K22" s="74" t="s">
        <v>18</v>
      </c>
      <c r="L22" s="73" t="s">
        <v>19</v>
      </c>
      <c r="M22" s="73" t="s">
        <v>20</v>
      </c>
      <c r="N22" s="73" t="s">
        <v>21</v>
      </c>
      <c r="O22" s="68" t="s">
        <v>22</v>
      </c>
      <c r="P22" s="69" t="s">
        <v>23</v>
      </c>
      <c r="Q22" s="73" t="s">
        <v>24</v>
      </c>
      <c r="R22" s="68" t="s">
        <v>25</v>
      </c>
    </row>
    <row r="23" spans="1:18" ht="15" customHeight="1" x14ac:dyDescent="0.3">
      <c r="A23" s="8" t="s">
        <v>26</v>
      </c>
      <c r="B23" s="8" t="s">
        <v>473</v>
      </c>
      <c r="C23" s="9">
        <v>0.28472222222222221</v>
      </c>
      <c r="D23" s="8" t="s">
        <v>368</v>
      </c>
      <c r="E23" s="8" t="s">
        <v>474</v>
      </c>
      <c r="F23" s="8" t="s">
        <v>475</v>
      </c>
      <c r="G23" s="189"/>
      <c r="H23" s="10"/>
      <c r="I23" s="11"/>
      <c r="J23" s="11"/>
      <c r="K23" s="11"/>
      <c r="L23" s="11"/>
      <c r="M23" s="11"/>
      <c r="N23" s="11"/>
      <c r="O23" s="12"/>
      <c r="P23" s="11"/>
      <c r="Q23" s="13"/>
      <c r="R23" s="14"/>
    </row>
    <row r="24" spans="1:18" ht="15" customHeight="1" x14ac:dyDescent="0.3">
      <c r="A24" s="15" t="s">
        <v>26</v>
      </c>
      <c r="B24" s="15" t="s">
        <v>473</v>
      </c>
      <c r="C24" s="16">
        <v>0.28472222222222221</v>
      </c>
      <c r="D24" s="15" t="s">
        <v>359</v>
      </c>
      <c r="E24" s="15" t="s">
        <v>476</v>
      </c>
      <c r="F24" s="15" t="s">
        <v>477</v>
      </c>
      <c r="G24" s="190"/>
      <c r="H24" s="10"/>
      <c r="I24" s="11"/>
      <c r="J24" s="11"/>
      <c r="K24" s="11"/>
      <c r="L24" s="11"/>
      <c r="M24" s="11"/>
      <c r="N24" s="11"/>
      <c r="O24" s="12"/>
      <c r="P24" s="11"/>
      <c r="Q24" s="13"/>
      <c r="R24" s="14"/>
    </row>
    <row r="25" spans="1:18" ht="15" customHeight="1" x14ac:dyDescent="0.3">
      <c r="A25" s="15" t="s">
        <v>26</v>
      </c>
      <c r="B25" s="15" t="s">
        <v>473</v>
      </c>
      <c r="C25" s="16">
        <v>0.28472222222222221</v>
      </c>
      <c r="D25" s="15" t="s">
        <v>361</v>
      </c>
      <c r="E25" s="15" t="s">
        <v>476</v>
      </c>
      <c r="F25" s="15" t="s">
        <v>478</v>
      </c>
      <c r="G25" s="190"/>
      <c r="H25" s="10"/>
      <c r="I25" s="11"/>
      <c r="J25" s="11"/>
      <c r="K25" s="11"/>
      <c r="L25" s="11"/>
      <c r="M25" s="11"/>
      <c r="N25" s="11"/>
      <c r="O25" s="12"/>
      <c r="P25" s="11"/>
      <c r="Q25" s="13"/>
      <c r="R25" s="14"/>
    </row>
    <row r="26" spans="1:18" ht="15" customHeight="1" x14ac:dyDescent="0.3">
      <c r="A26" s="15" t="s">
        <v>26</v>
      </c>
      <c r="B26" s="15" t="s">
        <v>473</v>
      </c>
      <c r="C26" s="16">
        <v>0.28472222222222221</v>
      </c>
      <c r="D26" s="15" t="s">
        <v>372</v>
      </c>
      <c r="E26" s="15" t="s">
        <v>476</v>
      </c>
      <c r="F26" s="15" t="s">
        <v>479</v>
      </c>
      <c r="G26" s="190"/>
      <c r="H26" s="10"/>
      <c r="I26" s="11"/>
      <c r="J26" s="11"/>
      <c r="K26" s="11"/>
      <c r="L26" s="11"/>
      <c r="M26" s="11"/>
      <c r="N26" s="11"/>
      <c r="O26" s="12"/>
      <c r="P26" s="11"/>
      <c r="Q26" s="13"/>
      <c r="R26" s="14"/>
    </row>
    <row r="27" spans="1:18" ht="15" customHeight="1" x14ac:dyDescent="0.3">
      <c r="A27" s="165" t="s">
        <v>77</v>
      </c>
      <c r="B27" s="165" t="s">
        <v>462</v>
      </c>
      <c r="C27" s="166">
        <v>0.2673611111111111</v>
      </c>
      <c r="D27" s="165" t="s">
        <v>79</v>
      </c>
      <c r="E27" s="165" t="s">
        <v>113</v>
      </c>
      <c r="F27" s="165" t="s">
        <v>192</v>
      </c>
      <c r="G27" s="190"/>
      <c r="H27" s="79" t="s">
        <v>464</v>
      </c>
      <c r="I27" s="173">
        <v>0.61450000000000005</v>
      </c>
      <c r="J27" s="81">
        <v>110</v>
      </c>
      <c r="K27" s="82">
        <v>45980</v>
      </c>
      <c r="L27" s="81">
        <v>10</v>
      </c>
      <c r="M27" s="81">
        <v>0</v>
      </c>
      <c r="N27" s="81">
        <v>1</v>
      </c>
      <c r="O27" s="83" t="s">
        <v>194</v>
      </c>
      <c r="P27" s="84">
        <v>0.2673611111111111</v>
      </c>
      <c r="Q27" s="81">
        <v>179</v>
      </c>
      <c r="R27" s="85" t="s">
        <v>480</v>
      </c>
    </row>
    <row r="28" spans="1:18" ht="15" customHeight="1" x14ac:dyDescent="0.3">
      <c r="A28" s="86" t="s">
        <v>77</v>
      </c>
      <c r="B28" s="86" t="s">
        <v>481</v>
      </c>
      <c r="C28" s="87">
        <v>0.33333333333333331</v>
      </c>
      <c r="D28" s="86" t="s">
        <v>79</v>
      </c>
      <c r="E28" s="86" t="s">
        <v>116</v>
      </c>
      <c r="F28" s="86" t="s">
        <v>192</v>
      </c>
      <c r="G28" s="190"/>
      <c r="H28" s="88" t="s">
        <v>482</v>
      </c>
      <c r="I28" s="89">
        <v>0.83330000000000004</v>
      </c>
      <c r="J28" s="90">
        <v>140</v>
      </c>
      <c r="K28" s="91">
        <v>45979</v>
      </c>
      <c r="L28" s="90">
        <v>15</v>
      </c>
      <c r="M28" s="90">
        <v>0</v>
      </c>
      <c r="N28" s="90">
        <v>0</v>
      </c>
      <c r="O28" s="92" t="s">
        <v>194</v>
      </c>
      <c r="P28" s="93">
        <v>0.33333333333333331</v>
      </c>
      <c r="Q28" s="90">
        <v>168</v>
      </c>
      <c r="R28" s="94" t="s">
        <v>483</v>
      </c>
    </row>
    <row r="29" spans="1:18" ht="15" customHeight="1" x14ac:dyDescent="0.3">
      <c r="A29" s="19" t="s">
        <v>148</v>
      </c>
      <c r="B29" s="19" t="s">
        <v>471</v>
      </c>
      <c r="C29" s="20">
        <v>0.2673611111111111</v>
      </c>
      <c r="D29" s="19" t="s">
        <v>484</v>
      </c>
      <c r="E29" s="19" t="s">
        <v>162</v>
      </c>
      <c r="F29" s="19" t="s">
        <v>485</v>
      </c>
      <c r="G29" s="190"/>
      <c r="H29" s="10"/>
      <c r="I29" s="11"/>
      <c r="J29" s="11"/>
      <c r="K29" s="11"/>
      <c r="L29" s="11"/>
      <c r="M29" s="11"/>
      <c r="N29" s="11"/>
      <c r="O29" s="12"/>
      <c r="P29" s="11"/>
      <c r="Q29" s="13"/>
      <c r="R29" s="14"/>
    </row>
    <row r="30" spans="1:18" ht="18" x14ac:dyDescent="0.3">
      <c r="A30" s="194" t="s">
        <v>384</v>
      </c>
      <c r="B30" s="195"/>
      <c r="C30" s="195"/>
      <c r="D30" s="195"/>
      <c r="E30" s="195"/>
      <c r="F30" s="196"/>
      <c r="G30" s="190"/>
      <c r="H30" s="160"/>
      <c r="I30" s="160"/>
      <c r="J30" s="160"/>
      <c r="K30" s="160"/>
      <c r="L30" s="160"/>
      <c r="M30" s="160"/>
      <c r="N30" s="160"/>
      <c r="O30" s="161"/>
      <c r="P30" s="160"/>
      <c r="Q30" s="124"/>
      <c r="R30" s="124"/>
    </row>
    <row r="31" spans="1:18" ht="15" customHeight="1" x14ac:dyDescent="0.3">
      <c r="A31" s="17" t="s">
        <v>26</v>
      </c>
      <c r="B31" s="17" t="s">
        <v>44</v>
      </c>
      <c r="C31" s="18" t="s">
        <v>356</v>
      </c>
      <c r="D31" s="17" t="s">
        <v>28</v>
      </c>
      <c r="E31" s="17" t="s">
        <v>404</v>
      </c>
      <c r="F31" s="17" t="s">
        <v>30</v>
      </c>
      <c r="G31" s="190"/>
      <c r="H31" s="160"/>
      <c r="I31" s="160"/>
      <c r="J31" s="160"/>
      <c r="K31" s="160"/>
      <c r="L31" s="160"/>
      <c r="M31" s="160"/>
      <c r="N31" s="160"/>
      <c r="O31" s="161"/>
      <c r="P31" s="160"/>
      <c r="Q31" s="124"/>
      <c r="R31" s="124"/>
    </row>
    <row r="32" spans="1:18" ht="15" customHeight="1" x14ac:dyDescent="0.3">
      <c r="A32" s="17" t="s">
        <v>118</v>
      </c>
      <c r="B32" s="17" t="s">
        <v>122</v>
      </c>
      <c r="C32" s="18" t="s">
        <v>405</v>
      </c>
      <c r="D32" s="17" t="s">
        <v>112</v>
      </c>
      <c r="E32" s="17" t="s">
        <v>388</v>
      </c>
      <c r="F32" s="17" t="s">
        <v>166</v>
      </c>
      <c r="G32" s="190"/>
      <c r="H32" s="160"/>
      <c r="I32" s="160"/>
      <c r="J32" s="160"/>
      <c r="K32" s="160"/>
      <c r="L32" s="160"/>
      <c r="M32" s="160"/>
      <c r="N32" s="160"/>
      <c r="O32" s="161"/>
      <c r="P32" s="160"/>
      <c r="Q32" s="124"/>
      <c r="R32" s="124"/>
    </row>
    <row r="33" spans="1:18" ht="15" customHeight="1" x14ac:dyDescent="0.3">
      <c r="A33" s="17" t="s">
        <v>49</v>
      </c>
      <c r="B33" s="17" t="s">
        <v>69</v>
      </c>
      <c r="C33" s="18" t="s">
        <v>406</v>
      </c>
      <c r="D33" s="17" t="s">
        <v>51</v>
      </c>
      <c r="E33" s="17" t="s">
        <v>386</v>
      </c>
      <c r="F33" s="17" t="s">
        <v>167</v>
      </c>
      <c r="G33" s="190"/>
      <c r="H33" s="160"/>
      <c r="I33" s="160"/>
      <c r="J33" s="160"/>
      <c r="K33" s="160"/>
      <c r="L33" s="160"/>
      <c r="M33" s="160"/>
      <c r="N33" s="160"/>
      <c r="O33" s="161"/>
      <c r="P33" s="160"/>
      <c r="Q33" s="124"/>
      <c r="R33" s="124"/>
    </row>
    <row r="34" spans="1:18" ht="15" customHeight="1" x14ac:dyDescent="0.3">
      <c r="A34" s="17" t="s">
        <v>49</v>
      </c>
      <c r="B34" s="17" t="s">
        <v>76</v>
      </c>
      <c r="C34" s="18" t="s">
        <v>350</v>
      </c>
      <c r="D34" s="17" t="s">
        <v>51</v>
      </c>
      <c r="E34" s="17" t="s">
        <v>388</v>
      </c>
      <c r="F34" s="17" t="s">
        <v>167</v>
      </c>
      <c r="G34" s="190"/>
      <c r="H34" s="160"/>
      <c r="I34" s="160"/>
      <c r="J34" s="160"/>
      <c r="K34" s="160"/>
      <c r="L34" s="160"/>
      <c r="M34" s="160"/>
      <c r="N34" s="160"/>
      <c r="O34" s="161"/>
      <c r="P34" s="160"/>
      <c r="Q34" s="124"/>
      <c r="R34" s="124"/>
    </row>
    <row r="35" spans="1:18" ht="15" customHeight="1" x14ac:dyDescent="0.3">
      <c r="A35" s="17" t="s">
        <v>26</v>
      </c>
      <c r="B35" s="17" t="s">
        <v>36</v>
      </c>
      <c r="C35" s="18" t="s">
        <v>350</v>
      </c>
      <c r="D35" s="17" t="s">
        <v>28</v>
      </c>
      <c r="E35" s="17" t="s">
        <v>407</v>
      </c>
      <c r="F35" s="17" t="s">
        <v>38</v>
      </c>
      <c r="G35" s="190"/>
      <c r="H35" s="160"/>
      <c r="I35" s="160"/>
      <c r="J35" s="160"/>
      <c r="K35" s="160"/>
      <c r="L35" s="160"/>
      <c r="M35" s="160"/>
      <c r="N35" s="160"/>
      <c r="O35" s="161"/>
      <c r="P35" s="160"/>
      <c r="Q35" s="124"/>
      <c r="R35" s="124"/>
    </row>
    <row r="36" spans="1:18" ht="15" customHeight="1" x14ac:dyDescent="0.3">
      <c r="A36" s="17" t="s">
        <v>26</v>
      </c>
      <c r="B36" s="17" t="s">
        <v>27</v>
      </c>
      <c r="C36" s="18" t="s">
        <v>349</v>
      </c>
      <c r="D36" s="17" t="s">
        <v>28</v>
      </c>
      <c r="E36" s="17" t="s">
        <v>407</v>
      </c>
      <c r="F36" s="17" t="s">
        <v>38</v>
      </c>
      <c r="G36" s="190"/>
      <c r="H36" s="160"/>
      <c r="I36" s="160"/>
      <c r="J36" s="160"/>
      <c r="K36" s="160"/>
      <c r="L36" s="160"/>
      <c r="M36" s="160"/>
      <c r="N36" s="160"/>
      <c r="O36" s="161"/>
      <c r="P36" s="160"/>
      <c r="Q36" s="124"/>
      <c r="R36" s="124"/>
    </row>
    <row r="37" spans="1:18" ht="15" customHeight="1" x14ac:dyDescent="0.3">
      <c r="A37" s="17" t="s">
        <v>26</v>
      </c>
      <c r="B37" s="17" t="s">
        <v>41</v>
      </c>
      <c r="C37" s="18" t="s">
        <v>351</v>
      </c>
      <c r="D37" s="17" t="s">
        <v>28</v>
      </c>
      <c r="E37" s="17" t="s">
        <v>408</v>
      </c>
      <c r="F37" s="17" t="s">
        <v>38</v>
      </c>
      <c r="G37" s="190"/>
      <c r="H37" s="160"/>
      <c r="I37" s="160"/>
      <c r="J37" s="160"/>
      <c r="K37" s="160"/>
      <c r="L37" s="160"/>
      <c r="M37" s="160"/>
      <c r="N37" s="160"/>
      <c r="O37" s="161"/>
      <c r="P37" s="160"/>
      <c r="Q37" s="124"/>
      <c r="R37" s="124"/>
    </row>
    <row r="38" spans="1:18" ht="15" customHeight="1" x14ac:dyDescent="0.3">
      <c r="A38" s="17" t="s">
        <v>49</v>
      </c>
      <c r="B38" s="17" t="s">
        <v>50</v>
      </c>
      <c r="C38" s="18" t="s">
        <v>352</v>
      </c>
      <c r="D38" s="17" t="s">
        <v>51</v>
      </c>
      <c r="E38" s="17" t="s">
        <v>386</v>
      </c>
      <c r="F38" s="17" t="s">
        <v>53</v>
      </c>
      <c r="G38" s="190"/>
      <c r="H38" s="160"/>
      <c r="I38" s="160"/>
      <c r="J38" s="160"/>
      <c r="K38" s="160"/>
      <c r="L38" s="160"/>
      <c r="M38" s="160"/>
      <c r="N38" s="160"/>
      <c r="O38" s="161"/>
      <c r="P38" s="160"/>
      <c r="Q38" s="124"/>
      <c r="R38" s="124"/>
    </row>
    <row r="39" spans="1:18" ht="15" customHeight="1" x14ac:dyDescent="0.3">
      <c r="A39" s="17" t="s">
        <v>49</v>
      </c>
      <c r="B39" s="17" t="s">
        <v>61</v>
      </c>
      <c r="C39" s="18" t="s">
        <v>291</v>
      </c>
      <c r="D39" s="17" t="s">
        <v>51</v>
      </c>
      <c r="E39" s="17" t="s">
        <v>388</v>
      </c>
      <c r="F39" s="17" t="s">
        <v>53</v>
      </c>
      <c r="G39" s="190"/>
      <c r="H39" s="160"/>
      <c r="I39" s="160"/>
      <c r="J39" s="160"/>
      <c r="K39" s="160"/>
      <c r="L39" s="160"/>
      <c r="M39" s="160"/>
      <c r="N39" s="160"/>
      <c r="O39" s="161"/>
      <c r="P39" s="160"/>
      <c r="Q39" s="124"/>
      <c r="R39" s="124"/>
    </row>
    <row r="40" spans="1:18" ht="15" customHeight="1" thickBot="1" x14ac:dyDescent="0.35">
      <c r="A40" s="60" t="s">
        <v>49</v>
      </c>
      <c r="B40" s="60" t="s">
        <v>75</v>
      </c>
      <c r="C40" s="61" t="s">
        <v>409</v>
      </c>
      <c r="D40" s="60" t="s">
        <v>51</v>
      </c>
      <c r="E40" s="60" t="s">
        <v>388</v>
      </c>
      <c r="F40" s="60" t="s">
        <v>53</v>
      </c>
      <c r="G40" s="191"/>
      <c r="H40" s="162"/>
      <c r="I40" s="162"/>
      <c r="J40" s="162"/>
      <c r="K40" s="162"/>
      <c r="L40" s="162"/>
      <c r="M40" s="162"/>
      <c r="N40" s="162"/>
      <c r="O40" s="163"/>
      <c r="P40" s="162"/>
      <c r="Q40" s="164"/>
      <c r="R40" s="164"/>
    </row>
    <row r="41" spans="1:18" ht="17.399999999999999" customHeight="1" thickBot="1" x14ac:dyDescent="0.35">
      <c r="A41" s="211"/>
      <c r="B41" s="212"/>
      <c r="C41" s="212"/>
      <c r="D41" s="212"/>
      <c r="E41" s="212"/>
      <c r="F41" s="212"/>
      <c r="G41" s="212"/>
      <c r="H41" s="212"/>
      <c r="I41" s="212"/>
      <c r="J41" s="212"/>
      <c r="K41" s="212"/>
      <c r="L41" s="212"/>
      <c r="M41" s="212"/>
      <c r="N41" s="212"/>
      <c r="O41" s="212"/>
      <c r="P41" s="212"/>
      <c r="Q41" s="212"/>
      <c r="R41" s="213"/>
    </row>
    <row r="42" spans="1:18" ht="22.05" customHeight="1" thickTop="1" thickBot="1" x14ac:dyDescent="0.35">
      <c r="A42" s="182" t="s">
        <v>6</v>
      </c>
      <c r="B42" s="180"/>
      <c r="C42" s="180"/>
      <c r="D42" s="180"/>
      <c r="E42" s="180"/>
      <c r="F42" s="181"/>
      <c r="G42" s="67">
        <v>45988</v>
      </c>
      <c r="H42" s="185" t="s">
        <v>7</v>
      </c>
      <c r="I42" s="180"/>
      <c r="J42" s="180"/>
      <c r="K42" s="180"/>
      <c r="L42" s="180"/>
      <c r="M42" s="180"/>
      <c r="N42" s="180"/>
      <c r="O42" s="180"/>
      <c r="P42" s="180"/>
      <c r="Q42" s="180"/>
      <c r="R42" s="181"/>
    </row>
    <row r="43" spans="1:18" ht="24" customHeight="1" x14ac:dyDescent="0.3">
      <c r="A43" s="68" t="s">
        <v>8</v>
      </c>
      <c r="B43" s="68" t="s">
        <v>9</v>
      </c>
      <c r="C43" s="69" t="s">
        <v>10</v>
      </c>
      <c r="D43" s="68" t="s">
        <v>11</v>
      </c>
      <c r="E43" s="68" t="s">
        <v>12</v>
      </c>
      <c r="F43" s="70" t="s">
        <v>13</v>
      </c>
      <c r="G43" s="71" t="s">
        <v>14</v>
      </c>
      <c r="H43" s="68" t="s">
        <v>15</v>
      </c>
      <c r="I43" s="72" t="s">
        <v>16</v>
      </c>
      <c r="J43" s="73" t="s">
        <v>17</v>
      </c>
      <c r="K43" s="74" t="s">
        <v>18</v>
      </c>
      <c r="L43" s="73" t="s">
        <v>19</v>
      </c>
      <c r="M43" s="73" t="s">
        <v>20</v>
      </c>
      <c r="N43" s="73" t="s">
        <v>21</v>
      </c>
      <c r="O43" s="68" t="s">
        <v>22</v>
      </c>
      <c r="P43" s="69" t="s">
        <v>23</v>
      </c>
      <c r="Q43" s="73" t="s">
        <v>24</v>
      </c>
      <c r="R43" s="68" t="s">
        <v>25</v>
      </c>
    </row>
    <row r="44" spans="1:18" ht="15" customHeight="1" x14ac:dyDescent="0.3">
      <c r="A44" s="97" t="s">
        <v>77</v>
      </c>
      <c r="B44" s="97" t="s">
        <v>486</v>
      </c>
      <c r="C44" s="98">
        <v>8.3333333333333329E-2</v>
      </c>
      <c r="D44" s="97" t="s">
        <v>79</v>
      </c>
      <c r="E44" s="97" t="s">
        <v>113</v>
      </c>
      <c r="F44" s="97" t="s">
        <v>166</v>
      </c>
      <c r="G44" s="189"/>
      <c r="H44" s="99" t="s">
        <v>487</v>
      </c>
      <c r="I44" s="100">
        <v>0.13689999999999999</v>
      </c>
      <c r="J44" s="101">
        <v>23</v>
      </c>
      <c r="K44" s="102">
        <v>45980</v>
      </c>
      <c r="L44" s="101">
        <v>4</v>
      </c>
      <c r="M44" s="101">
        <v>0</v>
      </c>
      <c r="N44" s="101">
        <v>1</v>
      </c>
      <c r="O44" s="103" t="s">
        <v>284</v>
      </c>
      <c r="P44" s="104">
        <v>8.3333333333333329E-2</v>
      </c>
      <c r="Q44" s="101">
        <v>168</v>
      </c>
      <c r="R44" s="105" t="s">
        <v>488</v>
      </c>
    </row>
    <row r="45" spans="1:18" ht="15" customHeight="1" x14ac:dyDescent="0.3">
      <c r="A45" s="77" t="s">
        <v>77</v>
      </c>
      <c r="B45" s="77" t="s">
        <v>462</v>
      </c>
      <c r="C45" s="78">
        <v>0.48958333333333331</v>
      </c>
      <c r="D45" s="77" t="s">
        <v>79</v>
      </c>
      <c r="E45" s="77" t="s">
        <v>116</v>
      </c>
      <c r="F45" s="77" t="s">
        <v>166</v>
      </c>
      <c r="G45" s="190"/>
      <c r="H45" s="79" t="s">
        <v>464</v>
      </c>
      <c r="I45" s="173">
        <v>0.67859999999999998</v>
      </c>
      <c r="J45" s="81">
        <v>114</v>
      </c>
      <c r="K45" s="82">
        <v>45980</v>
      </c>
      <c r="L45" s="81">
        <v>14</v>
      </c>
      <c r="M45" s="81">
        <v>0</v>
      </c>
      <c r="N45" s="81">
        <v>1</v>
      </c>
      <c r="O45" s="83" t="s">
        <v>284</v>
      </c>
      <c r="P45" s="84">
        <v>0.48958333333333331</v>
      </c>
      <c r="Q45" s="81">
        <v>168</v>
      </c>
      <c r="R45" s="85" t="s">
        <v>489</v>
      </c>
    </row>
    <row r="46" spans="1:18" ht="15" customHeight="1" x14ac:dyDescent="0.3">
      <c r="A46" s="174" t="s">
        <v>77</v>
      </c>
      <c r="B46" s="174" t="s">
        <v>467</v>
      </c>
      <c r="C46" s="175">
        <v>0.70833333333333337</v>
      </c>
      <c r="D46" s="174" t="s">
        <v>79</v>
      </c>
      <c r="E46" s="174" t="s">
        <v>67</v>
      </c>
      <c r="F46" s="174" t="s">
        <v>166</v>
      </c>
      <c r="G46" s="190"/>
      <c r="H46" s="99" t="s">
        <v>468</v>
      </c>
      <c r="I46" s="100">
        <v>0.43020000000000003</v>
      </c>
      <c r="J46" s="101">
        <v>77</v>
      </c>
      <c r="K46" s="102">
        <v>45981</v>
      </c>
      <c r="L46" s="101">
        <v>28</v>
      </c>
      <c r="M46" s="101">
        <v>1</v>
      </c>
      <c r="N46" s="101">
        <v>5</v>
      </c>
      <c r="O46" s="103" t="s">
        <v>325</v>
      </c>
      <c r="P46" s="104">
        <v>0.70833333333333337</v>
      </c>
      <c r="Q46" s="101">
        <v>179</v>
      </c>
      <c r="R46" s="105" t="s">
        <v>490</v>
      </c>
    </row>
    <row r="47" spans="1:18" ht="15" customHeight="1" x14ac:dyDescent="0.3">
      <c r="A47" s="19" t="s">
        <v>148</v>
      </c>
      <c r="B47" s="19" t="s">
        <v>471</v>
      </c>
      <c r="C47" s="20">
        <v>0.48958333333333331</v>
      </c>
      <c r="D47" s="19" t="s">
        <v>484</v>
      </c>
      <c r="E47" s="19" t="s">
        <v>162</v>
      </c>
      <c r="F47" s="19" t="s">
        <v>485</v>
      </c>
      <c r="G47" s="190"/>
      <c r="H47" s="10"/>
      <c r="I47" s="11"/>
      <c r="J47" s="11"/>
      <c r="K47" s="11"/>
      <c r="L47" s="11"/>
      <c r="M47" s="11"/>
      <c r="N47" s="11"/>
      <c r="O47" s="12"/>
      <c r="P47" s="11"/>
      <c r="Q47" s="13"/>
      <c r="R47" s="14"/>
    </row>
    <row r="48" spans="1:18" ht="18" x14ac:dyDescent="0.3">
      <c r="A48" s="194" t="s">
        <v>384</v>
      </c>
      <c r="B48" s="195"/>
      <c r="C48" s="195"/>
      <c r="D48" s="195"/>
      <c r="E48" s="195"/>
      <c r="F48" s="196"/>
      <c r="G48" s="190"/>
      <c r="H48" s="160"/>
      <c r="I48" s="160"/>
      <c r="J48" s="160"/>
      <c r="K48" s="160"/>
      <c r="L48" s="160"/>
      <c r="M48" s="160"/>
      <c r="N48" s="160"/>
      <c r="O48" s="161"/>
      <c r="P48" s="160"/>
      <c r="Q48" s="124"/>
      <c r="R48" s="124"/>
    </row>
    <row r="49" spans="1:18" ht="15" customHeight="1" x14ac:dyDescent="0.3">
      <c r="A49" s="17" t="s">
        <v>26</v>
      </c>
      <c r="B49" s="17" t="s">
        <v>36</v>
      </c>
      <c r="C49" s="18" t="s">
        <v>350</v>
      </c>
      <c r="D49" s="17" t="s">
        <v>28</v>
      </c>
      <c r="E49" s="17" t="s">
        <v>388</v>
      </c>
      <c r="F49" s="17" t="s">
        <v>189</v>
      </c>
      <c r="G49" s="190"/>
      <c r="H49" s="160"/>
      <c r="I49" s="160"/>
      <c r="J49" s="160"/>
      <c r="K49" s="160"/>
      <c r="L49" s="160"/>
      <c r="M49" s="160"/>
      <c r="N49" s="160"/>
      <c r="O49" s="161"/>
      <c r="P49" s="160"/>
      <c r="Q49" s="124"/>
      <c r="R49" s="124"/>
    </row>
    <row r="50" spans="1:18" ht="15" customHeight="1" x14ac:dyDescent="0.3">
      <c r="A50" s="17" t="s">
        <v>26</v>
      </c>
      <c r="B50" s="17" t="s">
        <v>27</v>
      </c>
      <c r="C50" s="18" t="s">
        <v>349</v>
      </c>
      <c r="D50" s="17" t="s">
        <v>28</v>
      </c>
      <c r="E50" s="17" t="s">
        <v>407</v>
      </c>
      <c r="F50" s="17" t="s">
        <v>189</v>
      </c>
      <c r="G50" s="190"/>
      <c r="H50" s="160"/>
      <c r="I50" s="160"/>
      <c r="J50" s="160"/>
      <c r="K50" s="160"/>
      <c r="L50" s="160"/>
      <c r="M50" s="160"/>
      <c r="N50" s="160"/>
      <c r="O50" s="161"/>
      <c r="P50" s="160"/>
      <c r="Q50" s="124"/>
      <c r="R50" s="124"/>
    </row>
    <row r="51" spans="1:18" ht="15" customHeight="1" x14ac:dyDescent="0.3">
      <c r="A51" s="17" t="s">
        <v>110</v>
      </c>
      <c r="B51" s="17" t="s">
        <v>111</v>
      </c>
      <c r="C51" s="18" t="s">
        <v>421</v>
      </c>
      <c r="D51" s="17" t="s">
        <v>112</v>
      </c>
      <c r="E51" s="17" t="s">
        <v>422</v>
      </c>
      <c r="F51" s="17" t="s">
        <v>190</v>
      </c>
      <c r="G51" s="190"/>
      <c r="H51" s="160"/>
      <c r="I51" s="160"/>
      <c r="J51" s="160"/>
      <c r="K51" s="160"/>
      <c r="L51" s="160"/>
      <c r="M51" s="160"/>
      <c r="N51" s="160"/>
      <c r="O51" s="161"/>
      <c r="P51" s="160"/>
      <c r="Q51" s="124"/>
      <c r="R51" s="124"/>
    </row>
    <row r="52" spans="1:18" ht="15" customHeight="1" x14ac:dyDescent="0.3">
      <c r="A52" s="17" t="s">
        <v>110</v>
      </c>
      <c r="B52" s="17" t="s">
        <v>115</v>
      </c>
      <c r="C52" s="18" t="s">
        <v>423</v>
      </c>
      <c r="D52" s="17" t="s">
        <v>112</v>
      </c>
      <c r="E52" s="17" t="s">
        <v>422</v>
      </c>
      <c r="F52" s="17" t="s">
        <v>190</v>
      </c>
      <c r="G52" s="190"/>
      <c r="H52" s="160"/>
      <c r="I52" s="160"/>
      <c r="J52" s="160"/>
      <c r="K52" s="160"/>
      <c r="L52" s="160"/>
      <c r="M52" s="160"/>
      <c r="N52" s="160"/>
      <c r="O52" s="161"/>
      <c r="P52" s="160"/>
      <c r="Q52" s="124"/>
      <c r="R52" s="124"/>
    </row>
    <row r="53" spans="1:18" ht="15" customHeight="1" x14ac:dyDescent="0.3">
      <c r="A53" s="17" t="s">
        <v>49</v>
      </c>
      <c r="B53" s="17" t="s">
        <v>50</v>
      </c>
      <c r="C53" s="18" t="s">
        <v>352</v>
      </c>
      <c r="D53" s="17" t="s">
        <v>51</v>
      </c>
      <c r="E53" s="17" t="s">
        <v>385</v>
      </c>
      <c r="F53" s="17" t="s">
        <v>167</v>
      </c>
      <c r="G53" s="190"/>
      <c r="H53" s="160"/>
      <c r="I53" s="160"/>
      <c r="J53" s="160"/>
      <c r="K53" s="160"/>
      <c r="L53" s="160"/>
      <c r="M53" s="160"/>
      <c r="N53" s="160"/>
      <c r="O53" s="161"/>
      <c r="P53" s="160"/>
      <c r="Q53" s="124"/>
      <c r="R53" s="124"/>
    </row>
    <row r="54" spans="1:18" ht="15" customHeight="1" x14ac:dyDescent="0.3">
      <c r="A54" s="17" t="s">
        <v>49</v>
      </c>
      <c r="B54" s="17" t="s">
        <v>58</v>
      </c>
      <c r="C54" s="18" t="s">
        <v>424</v>
      </c>
      <c r="D54" s="17" t="s">
        <v>51</v>
      </c>
      <c r="E54" s="17" t="s">
        <v>408</v>
      </c>
      <c r="F54" s="17" t="s">
        <v>167</v>
      </c>
      <c r="G54" s="190"/>
      <c r="H54" s="160"/>
      <c r="I54" s="160"/>
      <c r="J54" s="160"/>
      <c r="K54" s="160"/>
      <c r="L54" s="160"/>
      <c r="M54" s="160"/>
      <c r="N54" s="160"/>
      <c r="O54" s="161"/>
      <c r="P54" s="160"/>
      <c r="Q54" s="124"/>
      <c r="R54" s="124"/>
    </row>
    <row r="55" spans="1:18" ht="15" customHeight="1" x14ac:dyDescent="0.3">
      <c r="A55" s="17" t="s">
        <v>49</v>
      </c>
      <c r="B55" s="17" t="s">
        <v>61</v>
      </c>
      <c r="C55" s="18" t="s">
        <v>291</v>
      </c>
      <c r="D55" s="17" t="s">
        <v>51</v>
      </c>
      <c r="E55" s="17" t="s">
        <v>408</v>
      </c>
      <c r="F55" s="17" t="s">
        <v>167</v>
      </c>
      <c r="G55" s="190"/>
      <c r="H55" s="160"/>
      <c r="I55" s="160"/>
      <c r="J55" s="160"/>
      <c r="K55" s="160"/>
      <c r="L55" s="160"/>
      <c r="M55" s="160"/>
      <c r="N55" s="160"/>
      <c r="O55" s="161"/>
      <c r="P55" s="160"/>
      <c r="Q55" s="124"/>
      <c r="R55" s="124"/>
    </row>
    <row r="56" spans="1:18" ht="15" customHeight="1" x14ac:dyDescent="0.3">
      <c r="A56" s="17" t="s">
        <v>49</v>
      </c>
      <c r="B56" s="17" t="s">
        <v>63</v>
      </c>
      <c r="C56" s="18" t="s">
        <v>354</v>
      </c>
      <c r="D56" s="17" t="s">
        <v>51</v>
      </c>
      <c r="E56" s="17" t="s">
        <v>388</v>
      </c>
      <c r="F56" s="17" t="s">
        <v>167</v>
      </c>
      <c r="G56" s="190"/>
      <c r="H56" s="160"/>
      <c r="I56" s="160"/>
      <c r="J56" s="160"/>
      <c r="K56" s="160"/>
      <c r="L56" s="160"/>
      <c r="M56" s="160"/>
      <c r="N56" s="160"/>
      <c r="O56" s="161"/>
      <c r="P56" s="160"/>
      <c r="Q56" s="124"/>
      <c r="R56" s="124"/>
    </row>
    <row r="57" spans="1:18" ht="15" customHeight="1" x14ac:dyDescent="0.3">
      <c r="A57" s="17" t="s">
        <v>49</v>
      </c>
      <c r="B57" s="17" t="s">
        <v>76</v>
      </c>
      <c r="C57" s="18" t="s">
        <v>350</v>
      </c>
      <c r="D57" s="17" t="s">
        <v>51</v>
      </c>
      <c r="E57" s="17" t="s">
        <v>390</v>
      </c>
      <c r="F57" s="17" t="s">
        <v>167</v>
      </c>
      <c r="G57" s="190"/>
      <c r="H57" s="160"/>
      <c r="I57" s="160"/>
      <c r="J57" s="160"/>
      <c r="K57" s="160"/>
      <c r="L57" s="160"/>
      <c r="M57" s="160"/>
      <c r="N57" s="160"/>
      <c r="O57" s="161"/>
      <c r="P57" s="160"/>
      <c r="Q57" s="124"/>
      <c r="R57" s="124"/>
    </row>
    <row r="58" spans="1:18" ht="15" customHeight="1" thickBot="1" x14ac:dyDescent="0.35">
      <c r="A58" s="60" t="s">
        <v>49</v>
      </c>
      <c r="B58" s="60" t="s">
        <v>66</v>
      </c>
      <c r="C58" s="61" t="s">
        <v>355</v>
      </c>
      <c r="D58" s="60" t="s">
        <v>51</v>
      </c>
      <c r="E58" s="60" t="s">
        <v>407</v>
      </c>
      <c r="F58" s="60" t="s">
        <v>167</v>
      </c>
      <c r="G58" s="191"/>
      <c r="H58" s="162"/>
      <c r="I58" s="162"/>
      <c r="J58" s="162"/>
      <c r="K58" s="162"/>
      <c r="L58" s="162"/>
      <c r="M58" s="162"/>
      <c r="N58" s="162"/>
      <c r="O58" s="163"/>
      <c r="P58" s="162"/>
      <c r="Q58" s="164"/>
      <c r="R58" s="164"/>
    </row>
    <row r="59" spans="1:18" ht="17.399999999999999" customHeight="1" thickBot="1" x14ac:dyDescent="0.35">
      <c r="A59" s="211"/>
      <c r="B59" s="212"/>
      <c r="C59" s="212"/>
      <c r="D59" s="212"/>
      <c r="E59" s="212"/>
      <c r="F59" s="212"/>
      <c r="G59" s="212"/>
      <c r="H59" s="212"/>
      <c r="I59" s="212"/>
      <c r="J59" s="212"/>
      <c r="K59" s="212"/>
      <c r="L59" s="212"/>
      <c r="M59" s="212"/>
      <c r="N59" s="212"/>
      <c r="O59" s="212"/>
      <c r="P59" s="212"/>
      <c r="Q59" s="212"/>
      <c r="R59" s="213"/>
    </row>
    <row r="60" spans="1:18" ht="22.05" customHeight="1" thickTop="1" thickBot="1" x14ac:dyDescent="0.35">
      <c r="A60" s="182" t="s">
        <v>6</v>
      </c>
      <c r="B60" s="180"/>
      <c r="C60" s="180"/>
      <c r="D60" s="180"/>
      <c r="E60" s="180"/>
      <c r="F60" s="181"/>
      <c r="G60" s="67">
        <v>45989</v>
      </c>
      <c r="H60" s="185" t="s">
        <v>7</v>
      </c>
      <c r="I60" s="180"/>
      <c r="J60" s="180"/>
      <c r="K60" s="180"/>
      <c r="L60" s="180"/>
      <c r="M60" s="180"/>
      <c r="N60" s="180"/>
      <c r="O60" s="180"/>
      <c r="P60" s="180"/>
      <c r="Q60" s="180"/>
      <c r="R60" s="181"/>
    </row>
    <row r="61" spans="1:18" ht="24" customHeight="1" x14ac:dyDescent="0.3">
      <c r="A61" s="68" t="s">
        <v>8</v>
      </c>
      <c r="B61" s="68" t="s">
        <v>9</v>
      </c>
      <c r="C61" s="69" t="s">
        <v>10</v>
      </c>
      <c r="D61" s="68" t="s">
        <v>11</v>
      </c>
      <c r="E61" s="68" t="s">
        <v>12</v>
      </c>
      <c r="F61" s="70" t="s">
        <v>13</v>
      </c>
      <c r="G61" s="71" t="s">
        <v>14</v>
      </c>
      <c r="H61" s="68" t="s">
        <v>15</v>
      </c>
      <c r="I61" s="72" t="s">
        <v>16</v>
      </c>
      <c r="J61" s="73" t="s">
        <v>17</v>
      </c>
      <c r="K61" s="74" t="s">
        <v>18</v>
      </c>
      <c r="L61" s="73" t="s">
        <v>19</v>
      </c>
      <c r="M61" s="73" t="s">
        <v>20</v>
      </c>
      <c r="N61" s="73" t="s">
        <v>21</v>
      </c>
      <c r="O61" s="68" t="s">
        <v>22</v>
      </c>
      <c r="P61" s="69" t="s">
        <v>23</v>
      </c>
      <c r="Q61" s="73" t="s">
        <v>24</v>
      </c>
      <c r="R61" s="68" t="s">
        <v>25</v>
      </c>
    </row>
    <row r="62" spans="1:18" ht="15" customHeight="1" x14ac:dyDescent="0.3">
      <c r="A62" s="75" t="s">
        <v>77</v>
      </c>
      <c r="B62" s="75" t="s">
        <v>481</v>
      </c>
      <c r="C62" s="76">
        <v>0.29166666666666669</v>
      </c>
      <c r="D62" s="75" t="s">
        <v>79</v>
      </c>
      <c r="E62" s="75" t="s">
        <v>162</v>
      </c>
      <c r="F62" s="75" t="s">
        <v>166</v>
      </c>
      <c r="G62" s="189"/>
      <c r="H62" s="41" t="s">
        <v>482</v>
      </c>
      <c r="I62" s="118">
        <v>0.4345</v>
      </c>
      <c r="J62" s="43">
        <v>73</v>
      </c>
      <c r="K62" s="44">
        <v>45981</v>
      </c>
      <c r="L62" s="43">
        <v>42</v>
      </c>
      <c r="M62" s="43">
        <v>2</v>
      </c>
      <c r="N62" s="43">
        <v>6</v>
      </c>
      <c r="O62" s="45" t="s">
        <v>491</v>
      </c>
      <c r="P62" s="46">
        <v>0.29166666666666669</v>
      </c>
      <c r="Q62" s="43">
        <v>168</v>
      </c>
      <c r="R62" s="47" t="s">
        <v>492</v>
      </c>
    </row>
    <row r="63" spans="1:18" ht="18" x14ac:dyDescent="0.3">
      <c r="A63" s="194" t="s">
        <v>384</v>
      </c>
      <c r="B63" s="195"/>
      <c r="C63" s="195"/>
      <c r="D63" s="195"/>
      <c r="E63" s="195"/>
      <c r="F63" s="196"/>
      <c r="G63" s="190"/>
      <c r="H63" s="160"/>
      <c r="I63" s="160"/>
      <c r="J63" s="160"/>
      <c r="K63" s="160"/>
      <c r="L63" s="160"/>
      <c r="M63" s="160"/>
      <c r="N63" s="160"/>
      <c r="O63" s="161"/>
      <c r="P63" s="160"/>
      <c r="Q63" s="124"/>
      <c r="R63" s="124"/>
    </row>
    <row r="64" spans="1:18" ht="15" customHeight="1" x14ac:dyDescent="0.3">
      <c r="A64" s="17" t="s">
        <v>26</v>
      </c>
      <c r="B64" s="17" t="s">
        <v>27</v>
      </c>
      <c r="C64" s="18" t="s">
        <v>349</v>
      </c>
      <c r="D64" s="17" t="s">
        <v>28</v>
      </c>
      <c r="E64" s="17" t="s">
        <v>404</v>
      </c>
      <c r="F64" s="17" t="s">
        <v>189</v>
      </c>
      <c r="G64" s="190"/>
      <c r="H64" s="160"/>
      <c r="I64" s="160"/>
      <c r="J64" s="160"/>
      <c r="K64" s="160"/>
      <c r="L64" s="160"/>
      <c r="M64" s="160"/>
      <c r="N64" s="160"/>
      <c r="O64" s="161"/>
      <c r="P64" s="160"/>
      <c r="Q64" s="124"/>
      <c r="R64" s="124"/>
    </row>
    <row r="65" spans="1:18" ht="15" customHeight="1" x14ac:dyDescent="0.3">
      <c r="A65" s="17" t="s">
        <v>26</v>
      </c>
      <c r="B65" s="17" t="s">
        <v>36</v>
      </c>
      <c r="C65" s="18" t="s">
        <v>350</v>
      </c>
      <c r="D65" s="17" t="s">
        <v>28</v>
      </c>
      <c r="E65" s="17" t="s">
        <v>391</v>
      </c>
      <c r="F65" s="17" t="s">
        <v>30</v>
      </c>
      <c r="G65" s="190"/>
      <c r="H65" s="160"/>
      <c r="I65" s="160"/>
      <c r="J65" s="160"/>
      <c r="K65" s="160"/>
      <c r="L65" s="160"/>
      <c r="M65" s="160"/>
      <c r="N65" s="160"/>
      <c r="O65" s="161"/>
      <c r="P65" s="160"/>
      <c r="Q65" s="124"/>
      <c r="R65" s="124"/>
    </row>
    <row r="66" spans="1:18" ht="15" customHeight="1" x14ac:dyDescent="0.3">
      <c r="A66" s="17" t="s">
        <v>49</v>
      </c>
      <c r="B66" s="17" t="s">
        <v>50</v>
      </c>
      <c r="C66" s="18" t="s">
        <v>352</v>
      </c>
      <c r="D66" s="17" t="s">
        <v>51</v>
      </c>
      <c r="E66" s="17" t="s">
        <v>385</v>
      </c>
      <c r="F66" s="17" t="s">
        <v>167</v>
      </c>
      <c r="G66" s="190"/>
      <c r="H66" s="160"/>
      <c r="I66" s="160"/>
      <c r="J66" s="160"/>
      <c r="K66" s="160"/>
      <c r="L66" s="160"/>
      <c r="M66" s="160"/>
      <c r="N66" s="160"/>
      <c r="O66" s="161"/>
      <c r="P66" s="160"/>
      <c r="Q66" s="124"/>
      <c r="R66" s="124"/>
    </row>
    <row r="67" spans="1:18" ht="15" customHeight="1" x14ac:dyDescent="0.3">
      <c r="A67" s="17" t="s">
        <v>49</v>
      </c>
      <c r="B67" s="17" t="s">
        <v>63</v>
      </c>
      <c r="C67" s="18" t="s">
        <v>354</v>
      </c>
      <c r="D67" s="17" t="s">
        <v>51</v>
      </c>
      <c r="E67" s="17" t="s">
        <v>390</v>
      </c>
      <c r="F67" s="17" t="s">
        <v>167</v>
      </c>
      <c r="G67" s="190"/>
      <c r="H67" s="160"/>
      <c r="I67" s="160"/>
      <c r="J67" s="160"/>
      <c r="K67" s="160"/>
      <c r="L67" s="160"/>
      <c r="M67" s="160"/>
      <c r="N67" s="160"/>
      <c r="O67" s="161"/>
      <c r="P67" s="160"/>
      <c r="Q67" s="124"/>
      <c r="R67" s="124"/>
    </row>
    <row r="68" spans="1:18" ht="15" customHeight="1" x14ac:dyDescent="0.3">
      <c r="A68" s="17" t="s">
        <v>26</v>
      </c>
      <c r="B68" s="17" t="s">
        <v>41</v>
      </c>
      <c r="C68" s="18" t="s">
        <v>351</v>
      </c>
      <c r="D68" s="17" t="s">
        <v>28</v>
      </c>
      <c r="E68" s="17" t="s">
        <v>430</v>
      </c>
      <c r="F68" s="17" t="s">
        <v>38</v>
      </c>
      <c r="G68" s="190"/>
      <c r="H68" s="160"/>
      <c r="I68" s="160"/>
      <c r="J68" s="160"/>
      <c r="K68" s="160"/>
      <c r="L68" s="160"/>
      <c r="M68" s="160"/>
      <c r="N68" s="160"/>
      <c r="O68" s="161"/>
      <c r="P68" s="160"/>
      <c r="Q68" s="124"/>
      <c r="R68" s="124"/>
    </row>
    <row r="69" spans="1:18" ht="15" customHeight="1" x14ac:dyDescent="0.3">
      <c r="A69" s="17" t="s">
        <v>26</v>
      </c>
      <c r="B69" s="17" t="s">
        <v>44</v>
      </c>
      <c r="C69" s="18" t="s">
        <v>356</v>
      </c>
      <c r="D69" s="17" t="s">
        <v>28</v>
      </c>
      <c r="E69" s="17" t="s">
        <v>408</v>
      </c>
      <c r="F69" s="17" t="s">
        <v>38</v>
      </c>
      <c r="G69" s="190"/>
      <c r="H69" s="160"/>
      <c r="I69" s="160"/>
      <c r="J69" s="160"/>
      <c r="K69" s="160"/>
      <c r="L69" s="160"/>
      <c r="M69" s="160"/>
      <c r="N69" s="160"/>
      <c r="O69" s="161"/>
      <c r="P69" s="160"/>
      <c r="Q69" s="124"/>
      <c r="R69" s="124"/>
    </row>
    <row r="70" spans="1:18" ht="15" customHeight="1" x14ac:dyDescent="0.3">
      <c r="A70" s="17" t="s">
        <v>77</v>
      </c>
      <c r="B70" s="17" t="s">
        <v>87</v>
      </c>
      <c r="C70" s="18" t="s">
        <v>306</v>
      </c>
      <c r="D70" s="17" t="s">
        <v>79</v>
      </c>
      <c r="E70" s="17" t="s">
        <v>386</v>
      </c>
      <c r="F70" s="17" t="s">
        <v>192</v>
      </c>
      <c r="G70" s="190"/>
      <c r="H70" s="160"/>
      <c r="I70" s="160"/>
      <c r="J70" s="160"/>
      <c r="K70" s="160"/>
      <c r="L70" s="160"/>
      <c r="M70" s="160"/>
      <c r="N70" s="160"/>
      <c r="O70" s="161"/>
      <c r="P70" s="160"/>
      <c r="Q70" s="124"/>
      <c r="R70" s="124"/>
    </row>
    <row r="71" spans="1:18" ht="15" customHeight="1" x14ac:dyDescent="0.3">
      <c r="A71" s="17" t="s">
        <v>77</v>
      </c>
      <c r="B71" s="17" t="s">
        <v>84</v>
      </c>
      <c r="C71" s="18" t="s">
        <v>330</v>
      </c>
      <c r="D71" s="17" t="s">
        <v>79</v>
      </c>
      <c r="E71" s="17" t="s">
        <v>385</v>
      </c>
      <c r="F71" s="17" t="s">
        <v>192</v>
      </c>
      <c r="G71" s="190"/>
      <c r="H71" s="160"/>
      <c r="I71" s="160"/>
      <c r="J71" s="160"/>
      <c r="K71" s="160"/>
      <c r="L71" s="160"/>
      <c r="M71" s="160"/>
      <c r="N71" s="160"/>
      <c r="O71" s="161"/>
      <c r="P71" s="160"/>
      <c r="Q71" s="124"/>
      <c r="R71" s="124"/>
    </row>
    <row r="72" spans="1:18" ht="15" customHeight="1" x14ac:dyDescent="0.3">
      <c r="A72" s="17" t="s">
        <v>77</v>
      </c>
      <c r="B72" s="17" t="s">
        <v>92</v>
      </c>
      <c r="C72" s="18" t="s">
        <v>332</v>
      </c>
      <c r="D72" s="17" t="s">
        <v>79</v>
      </c>
      <c r="E72" s="17" t="s">
        <v>389</v>
      </c>
      <c r="F72" s="17" t="s">
        <v>192</v>
      </c>
      <c r="G72" s="190"/>
      <c r="H72" s="160"/>
      <c r="I72" s="160"/>
      <c r="J72" s="160"/>
      <c r="K72" s="160"/>
      <c r="L72" s="160"/>
      <c r="M72" s="160"/>
      <c r="N72" s="160"/>
      <c r="O72" s="161"/>
      <c r="P72" s="160"/>
      <c r="Q72" s="124"/>
      <c r="R72" s="124"/>
    </row>
    <row r="73" spans="1:18" ht="15" customHeight="1" x14ac:dyDescent="0.3">
      <c r="A73" s="60" t="s">
        <v>104</v>
      </c>
      <c r="B73" s="60" t="s">
        <v>227</v>
      </c>
      <c r="C73" s="61" t="s">
        <v>431</v>
      </c>
      <c r="D73" s="60" t="s">
        <v>106</v>
      </c>
      <c r="E73" s="60" t="s">
        <v>408</v>
      </c>
      <c r="F73" s="60" t="s">
        <v>228</v>
      </c>
      <c r="G73" s="191"/>
      <c r="H73" s="162"/>
      <c r="I73" s="162"/>
      <c r="J73" s="162"/>
      <c r="K73" s="162"/>
      <c r="L73" s="162"/>
      <c r="M73" s="162"/>
      <c r="N73" s="162"/>
      <c r="O73" s="163"/>
      <c r="P73" s="162"/>
      <c r="Q73" s="164"/>
      <c r="R73" s="164"/>
    </row>
  </sheetData>
  <mergeCells count="26">
    <mergeCell ref="A63:F63"/>
    <mergeCell ref="A9:F9"/>
    <mergeCell ref="K2:R2"/>
    <mergeCell ref="A48:F48"/>
    <mergeCell ref="A30:F30"/>
    <mergeCell ref="G62:G73"/>
    <mergeCell ref="G23:G40"/>
    <mergeCell ref="G44:G58"/>
    <mergeCell ref="A59:R59"/>
    <mergeCell ref="A60:F60"/>
    <mergeCell ref="G6:G19"/>
    <mergeCell ref="H42:R42"/>
    <mergeCell ref="A42:F42"/>
    <mergeCell ref="H21:R21"/>
    <mergeCell ref="H60:R60"/>
    <mergeCell ref="G2:J2"/>
    <mergeCell ref="A4:F4"/>
    <mergeCell ref="A20:R20"/>
    <mergeCell ref="A41:R41"/>
    <mergeCell ref="H1:L1"/>
    <mergeCell ref="A1:E1"/>
    <mergeCell ref="A21:F21"/>
    <mergeCell ref="H4:R4"/>
    <mergeCell ref="A2:F2"/>
    <mergeCell ref="A3:R3"/>
    <mergeCell ref="N1:R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J10"/>
  <sheetViews>
    <sheetView workbookViewId="0"/>
  </sheetViews>
  <sheetFormatPr defaultRowHeight="15.6" outlineLevelCol="1" x14ac:dyDescent="0.3"/>
  <cols>
    <col min="1" max="1" width="11.5546875" style="198" bestFit="1" customWidth="1"/>
    <col min="2" max="2" width="10.44140625" style="198" bestFit="1" customWidth="1"/>
    <col min="3" max="3" width="6.77734375" style="198" bestFit="1" customWidth="1"/>
    <col min="4" max="4" width="5.5546875" style="198" bestFit="1" customWidth="1"/>
    <col min="5" max="5" width="7.77734375" style="198" bestFit="1" customWidth="1"/>
    <col min="6" max="6" width="4.21875" style="198" bestFit="1" customWidth="1"/>
    <col min="7" max="7" width="10" style="198" bestFit="1" customWidth="1"/>
    <col min="8" max="8" width="8.5546875" style="198" bestFit="1" customWidth="1"/>
    <col min="9" max="10" width="7" style="198" bestFit="1" customWidth="1"/>
    <col min="11" max="11" width="10.5546875" style="198" bestFit="1" customWidth="1"/>
    <col min="12" max="12" width="9.109375" style="198" bestFit="1" customWidth="1"/>
    <col min="13" max="13" width="7.6640625" style="198" bestFit="1" customWidth="1" outlineLevel="1"/>
    <col min="14" max="14" width="6.33203125" style="198" bestFit="1" customWidth="1" outlineLevel="1"/>
    <col min="15" max="15" width="8" style="198" bestFit="1" customWidth="1" outlineLevel="1"/>
    <col min="16" max="16" width="13.6640625" style="198" bestFit="1" customWidth="1"/>
    <col min="17" max="26" width="3.88671875" style="198" bestFit="1" customWidth="1"/>
    <col min="27" max="27" width="4" style="198" bestFit="1" customWidth="1"/>
    <col min="28" max="29" width="3.88671875" style="198" bestFit="1" customWidth="1"/>
    <col min="30" max="31" width="4.5546875" style="198" bestFit="1" customWidth="1"/>
    <col min="32" max="32" width="3.88671875" style="198" bestFit="1" customWidth="1"/>
    <col min="33" max="33" width="4.21875" style="198" bestFit="1" customWidth="1"/>
    <col min="34" max="34" width="3.88671875" style="198" bestFit="1" customWidth="1"/>
    <col min="35" max="35" width="5.21875" style="198" bestFit="1" customWidth="1"/>
    <col min="36" max="36" width="3.88671875" style="198" bestFit="1" customWidth="1"/>
    <col min="37" max="16384" width="8.88671875" style="198"/>
  </cols>
  <sheetData>
    <row r="1" spans="1:36" x14ac:dyDescent="0.3">
      <c r="A1" s="197" t="s">
        <v>231</v>
      </c>
      <c r="B1" s="197" t="s">
        <v>232</v>
      </c>
      <c r="C1" s="197" t="s">
        <v>233</v>
      </c>
      <c r="D1" s="197" t="s">
        <v>23</v>
      </c>
      <c r="E1" s="197" t="s">
        <v>234</v>
      </c>
      <c r="F1" s="197" t="s">
        <v>235</v>
      </c>
      <c r="G1" s="197" t="s">
        <v>16</v>
      </c>
      <c r="H1" s="197" t="s">
        <v>236</v>
      </c>
      <c r="I1" s="197" t="s">
        <v>237</v>
      </c>
      <c r="J1" s="197" t="s">
        <v>238</v>
      </c>
      <c r="K1" s="197" t="s">
        <v>239</v>
      </c>
      <c r="L1" s="197" t="s">
        <v>18</v>
      </c>
      <c r="M1" s="197" t="s">
        <v>20</v>
      </c>
      <c r="N1" s="197" t="s">
        <v>21</v>
      </c>
      <c r="O1" s="197" t="s">
        <v>19</v>
      </c>
      <c r="P1" s="197" t="s">
        <v>22</v>
      </c>
      <c r="Q1" s="197" t="s">
        <v>240</v>
      </c>
      <c r="R1" s="197" t="s">
        <v>241</v>
      </c>
      <c r="S1" s="197" t="s">
        <v>242</v>
      </c>
      <c r="T1" s="197" t="s">
        <v>243</v>
      </c>
      <c r="U1" s="197" t="s">
        <v>244</v>
      </c>
      <c r="V1" s="197" t="s">
        <v>245</v>
      </c>
      <c r="W1" s="197" t="s">
        <v>246</v>
      </c>
      <c r="X1" s="197" t="s">
        <v>247</v>
      </c>
      <c r="Y1" s="197" t="s">
        <v>248</v>
      </c>
      <c r="Z1" s="197" t="s">
        <v>249</v>
      </c>
      <c r="AA1" s="197" t="s">
        <v>250</v>
      </c>
      <c r="AB1" s="197" t="s">
        <v>251</v>
      </c>
      <c r="AC1" s="197" t="s">
        <v>252</v>
      </c>
      <c r="AD1" s="197" t="s">
        <v>253</v>
      </c>
      <c r="AE1" s="197" t="s">
        <v>254</v>
      </c>
      <c r="AF1" s="197" t="s">
        <v>255</v>
      </c>
      <c r="AG1" s="197" t="s">
        <v>256</v>
      </c>
      <c r="AH1" s="197" t="s">
        <v>257</v>
      </c>
      <c r="AI1" s="197" t="s">
        <v>258</v>
      </c>
      <c r="AJ1" s="197" t="s">
        <v>259</v>
      </c>
    </row>
    <row r="2" spans="1:36" x14ac:dyDescent="0.3">
      <c r="A2" s="199" t="s">
        <v>260</v>
      </c>
      <c r="B2" s="200">
        <v>45986</v>
      </c>
      <c r="C2" s="201" t="s">
        <v>464</v>
      </c>
      <c r="D2" s="202" t="s">
        <v>493</v>
      </c>
      <c r="E2" s="201" t="s">
        <v>461</v>
      </c>
      <c r="F2" s="201" t="s">
        <v>262</v>
      </c>
      <c r="G2" s="203">
        <v>0.93300000000000005</v>
      </c>
      <c r="H2" s="204">
        <v>179</v>
      </c>
      <c r="I2" s="204">
        <v>167</v>
      </c>
      <c r="J2" s="204">
        <v>155</v>
      </c>
      <c r="K2" s="201" t="s">
        <v>263</v>
      </c>
      <c r="L2" s="205">
        <v>45971</v>
      </c>
      <c r="M2" s="204">
        <v>0</v>
      </c>
      <c r="N2" s="204">
        <v>0</v>
      </c>
      <c r="O2" s="204">
        <v>0</v>
      </c>
      <c r="P2" s="201" t="s">
        <v>465</v>
      </c>
      <c r="Q2" s="197"/>
      <c r="R2" s="197"/>
      <c r="S2" s="197"/>
      <c r="T2" s="197"/>
      <c r="U2" s="197"/>
      <c r="V2" s="197"/>
      <c r="W2" s="197"/>
      <c r="X2" s="197"/>
      <c r="Y2" s="197"/>
      <c r="Z2" s="204" t="s">
        <v>307</v>
      </c>
      <c r="AA2" s="197"/>
      <c r="AB2" s="197"/>
      <c r="AC2" s="197"/>
      <c r="AD2" s="204" t="s">
        <v>444</v>
      </c>
      <c r="AE2" s="197"/>
      <c r="AF2" s="197"/>
      <c r="AG2" s="197"/>
      <c r="AH2" s="197"/>
      <c r="AI2" s="204" t="s">
        <v>494</v>
      </c>
      <c r="AJ2" s="197"/>
    </row>
    <row r="3" spans="1:36" x14ac:dyDescent="0.3">
      <c r="A3" s="199" t="s">
        <v>260</v>
      </c>
      <c r="B3" s="200">
        <v>45986</v>
      </c>
      <c r="C3" s="201" t="s">
        <v>468</v>
      </c>
      <c r="D3" s="202" t="s">
        <v>495</v>
      </c>
      <c r="E3" s="201" t="s">
        <v>461</v>
      </c>
      <c r="F3" s="201" t="s">
        <v>262</v>
      </c>
      <c r="G3" s="203">
        <v>0.97770000000000001</v>
      </c>
      <c r="H3" s="204">
        <v>179</v>
      </c>
      <c r="I3" s="204">
        <v>175</v>
      </c>
      <c r="J3" s="204">
        <v>167</v>
      </c>
      <c r="K3" s="201" t="s">
        <v>263</v>
      </c>
      <c r="L3" s="205">
        <v>45973</v>
      </c>
      <c r="M3" s="204">
        <v>0</v>
      </c>
      <c r="N3" s="204">
        <v>0</v>
      </c>
      <c r="O3" s="204">
        <v>0</v>
      </c>
      <c r="P3" s="201" t="s">
        <v>469</v>
      </c>
      <c r="Q3" s="197"/>
      <c r="R3" s="197"/>
      <c r="S3" s="197"/>
      <c r="T3" s="197"/>
      <c r="U3" s="197"/>
      <c r="V3" s="197"/>
      <c r="W3" s="197"/>
      <c r="X3" s="204" t="s">
        <v>335</v>
      </c>
      <c r="Y3" s="197"/>
      <c r="Z3" s="204" t="s">
        <v>281</v>
      </c>
      <c r="AA3" s="197"/>
      <c r="AB3" s="197"/>
      <c r="AC3" s="204" t="s">
        <v>265</v>
      </c>
      <c r="AD3" s="197"/>
      <c r="AE3" s="197"/>
      <c r="AF3" s="204" t="s">
        <v>496</v>
      </c>
      <c r="AG3" s="197"/>
      <c r="AH3" s="197"/>
      <c r="AI3" s="204" t="s">
        <v>497</v>
      </c>
      <c r="AJ3" s="197"/>
    </row>
    <row r="4" spans="1:36" x14ac:dyDescent="0.3">
      <c r="A4" s="199" t="s">
        <v>290</v>
      </c>
      <c r="B4" s="200">
        <v>45987</v>
      </c>
      <c r="C4" s="201" t="s">
        <v>464</v>
      </c>
      <c r="D4" s="202" t="s">
        <v>498</v>
      </c>
      <c r="E4" s="201" t="s">
        <v>461</v>
      </c>
      <c r="F4" s="201" t="s">
        <v>262</v>
      </c>
      <c r="G4" s="203">
        <v>0.61450000000000005</v>
      </c>
      <c r="H4" s="204">
        <v>179</v>
      </c>
      <c r="I4" s="204">
        <v>110</v>
      </c>
      <c r="J4" s="204">
        <v>84</v>
      </c>
      <c r="K4" s="201" t="s">
        <v>263</v>
      </c>
      <c r="L4" s="205">
        <v>45980</v>
      </c>
      <c r="M4" s="204">
        <v>0</v>
      </c>
      <c r="N4" s="204">
        <v>1</v>
      </c>
      <c r="O4" s="204">
        <v>10</v>
      </c>
      <c r="P4" s="201" t="s">
        <v>194</v>
      </c>
      <c r="Q4" s="197"/>
      <c r="R4" s="197"/>
      <c r="S4" s="197"/>
      <c r="T4" s="197"/>
      <c r="U4" s="197"/>
      <c r="V4" s="197"/>
      <c r="W4" s="197"/>
      <c r="X4" s="197"/>
      <c r="Y4" s="197"/>
      <c r="Z4" s="197"/>
      <c r="AA4" s="197"/>
      <c r="AB4" s="197"/>
      <c r="AC4" s="197"/>
      <c r="AD4" s="204" t="s">
        <v>320</v>
      </c>
      <c r="AE4" s="204" t="s">
        <v>221</v>
      </c>
      <c r="AF4" s="204" t="s">
        <v>272</v>
      </c>
      <c r="AG4" s="204" t="s">
        <v>499</v>
      </c>
      <c r="AH4" s="197"/>
      <c r="AI4" s="204" t="s">
        <v>500</v>
      </c>
      <c r="AJ4" s="197"/>
    </row>
    <row r="5" spans="1:36" x14ac:dyDescent="0.3">
      <c r="A5" s="199" t="s">
        <v>290</v>
      </c>
      <c r="B5" s="200">
        <v>45987</v>
      </c>
      <c r="C5" s="201" t="s">
        <v>482</v>
      </c>
      <c r="D5" s="202" t="s">
        <v>312</v>
      </c>
      <c r="E5" s="201" t="s">
        <v>461</v>
      </c>
      <c r="F5" s="201" t="s">
        <v>262</v>
      </c>
      <c r="G5" s="203">
        <v>0.83330000000000004</v>
      </c>
      <c r="H5" s="204">
        <v>168</v>
      </c>
      <c r="I5" s="204">
        <v>140</v>
      </c>
      <c r="J5" s="204">
        <v>108</v>
      </c>
      <c r="K5" s="201" t="s">
        <v>263</v>
      </c>
      <c r="L5" s="205">
        <v>45979</v>
      </c>
      <c r="M5" s="204">
        <v>0</v>
      </c>
      <c r="N5" s="204">
        <v>0</v>
      </c>
      <c r="O5" s="204">
        <v>15</v>
      </c>
      <c r="P5" s="201" t="s">
        <v>194</v>
      </c>
      <c r="Q5" s="197"/>
      <c r="R5" s="197"/>
      <c r="S5" s="197"/>
      <c r="T5" s="197"/>
      <c r="U5" s="197"/>
      <c r="V5" s="197"/>
      <c r="W5" s="197"/>
      <c r="X5" s="197"/>
      <c r="Y5" s="197"/>
      <c r="Z5" s="197"/>
      <c r="AA5" s="197"/>
      <c r="AB5" s="197"/>
      <c r="AC5" s="197"/>
      <c r="AD5" s="204" t="s">
        <v>225</v>
      </c>
      <c r="AE5" s="204" t="s">
        <v>266</v>
      </c>
      <c r="AF5" s="204" t="s">
        <v>272</v>
      </c>
      <c r="AG5" s="204" t="s">
        <v>501</v>
      </c>
      <c r="AH5" s="197"/>
      <c r="AI5" s="204" t="s">
        <v>502</v>
      </c>
      <c r="AJ5" s="197"/>
    </row>
    <row r="6" spans="1:36" x14ac:dyDescent="0.3">
      <c r="A6" s="199" t="s">
        <v>303</v>
      </c>
      <c r="B6" s="200">
        <v>45988</v>
      </c>
      <c r="C6" s="201" t="s">
        <v>487</v>
      </c>
      <c r="D6" s="202" t="s">
        <v>503</v>
      </c>
      <c r="E6" s="201" t="s">
        <v>461</v>
      </c>
      <c r="F6" s="201" t="s">
        <v>262</v>
      </c>
      <c r="G6" s="203">
        <v>0.13689999999999999</v>
      </c>
      <c r="H6" s="204">
        <v>168</v>
      </c>
      <c r="I6" s="204">
        <v>23</v>
      </c>
      <c r="J6" s="204">
        <v>0</v>
      </c>
      <c r="K6" s="201" t="s">
        <v>263</v>
      </c>
      <c r="L6" s="205">
        <v>45980</v>
      </c>
      <c r="M6" s="204">
        <v>0</v>
      </c>
      <c r="N6" s="204">
        <v>1</v>
      </c>
      <c r="O6" s="204">
        <v>4</v>
      </c>
      <c r="P6" s="201" t="s">
        <v>284</v>
      </c>
      <c r="Q6" s="197"/>
      <c r="R6" s="197"/>
      <c r="S6" s="197"/>
      <c r="T6" s="197"/>
      <c r="U6" s="197"/>
      <c r="V6" s="197"/>
      <c r="W6" s="197"/>
      <c r="X6" s="197"/>
      <c r="Y6" s="197"/>
      <c r="Z6" s="204" t="s">
        <v>281</v>
      </c>
      <c r="AA6" s="197"/>
      <c r="AB6" s="197"/>
      <c r="AC6" s="197"/>
      <c r="AD6" s="204" t="s">
        <v>225</v>
      </c>
      <c r="AE6" s="204" t="s">
        <v>313</v>
      </c>
      <c r="AF6" s="204" t="s">
        <v>504</v>
      </c>
      <c r="AG6" s="197"/>
      <c r="AH6" s="197"/>
      <c r="AI6" s="197"/>
      <c r="AJ6" s="197"/>
    </row>
    <row r="7" spans="1:36" x14ac:dyDescent="0.3">
      <c r="A7" s="199" t="s">
        <v>303</v>
      </c>
      <c r="B7" s="200">
        <v>45988</v>
      </c>
      <c r="C7" s="201" t="s">
        <v>464</v>
      </c>
      <c r="D7" s="202" t="s">
        <v>505</v>
      </c>
      <c r="E7" s="201" t="s">
        <v>461</v>
      </c>
      <c r="F7" s="201" t="s">
        <v>262</v>
      </c>
      <c r="G7" s="203">
        <v>0.67859999999999998</v>
      </c>
      <c r="H7" s="204">
        <v>168</v>
      </c>
      <c r="I7" s="204">
        <v>114</v>
      </c>
      <c r="J7" s="204">
        <v>96</v>
      </c>
      <c r="K7" s="201" t="s">
        <v>263</v>
      </c>
      <c r="L7" s="205">
        <v>45980</v>
      </c>
      <c r="M7" s="204">
        <v>0</v>
      </c>
      <c r="N7" s="204">
        <v>1</v>
      </c>
      <c r="O7" s="204">
        <v>14</v>
      </c>
      <c r="P7" s="201" t="s">
        <v>284</v>
      </c>
      <c r="Q7" s="197"/>
      <c r="R7" s="197"/>
      <c r="S7" s="197"/>
      <c r="T7" s="197"/>
      <c r="U7" s="197"/>
      <c r="V7" s="197"/>
      <c r="W7" s="197"/>
      <c r="X7" s="197"/>
      <c r="Y7" s="197"/>
      <c r="Z7" s="197"/>
      <c r="AA7" s="197"/>
      <c r="AB7" s="197"/>
      <c r="AC7" s="197"/>
      <c r="AD7" s="204" t="s">
        <v>82</v>
      </c>
      <c r="AE7" s="204" t="s">
        <v>221</v>
      </c>
      <c r="AF7" s="204" t="s">
        <v>284</v>
      </c>
      <c r="AG7" s="204" t="s">
        <v>506</v>
      </c>
      <c r="AH7" s="197"/>
      <c r="AI7" s="204" t="s">
        <v>507</v>
      </c>
      <c r="AJ7" s="197"/>
    </row>
    <row r="8" spans="1:36" x14ac:dyDescent="0.3">
      <c r="A8" s="199" t="s">
        <v>303</v>
      </c>
      <c r="B8" s="200">
        <v>45988</v>
      </c>
      <c r="C8" s="201" t="s">
        <v>468</v>
      </c>
      <c r="D8" s="202" t="s">
        <v>432</v>
      </c>
      <c r="E8" s="201" t="s">
        <v>461</v>
      </c>
      <c r="F8" s="201" t="s">
        <v>262</v>
      </c>
      <c r="G8" s="203">
        <v>0.43020000000000003</v>
      </c>
      <c r="H8" s="204">
        <v>179</v>
      </c>
      <c r="I8" s="204">
        <v>77</v>
      </c>
      <c r="J8" s="204">
        <v>44</v>
      </c>
      <c r="K8" s="201" t="s">
        <v>263</v>
      </c>
      <c r="L8" s="205">
        <v>45981</v>
      </c>
      <c r="M8" s="204">
        <v>1</v>
      </c>
      <c r="N8" s="204">
        <v>5</v>
      </c>
      <c r="O8" s="204">
        <v>28</v>
      </c>
      <c r="P8" s="201" t="s">
        <v>325</v>
      </c>
      <c r="Q8" s="197"/>
      <c r="R8" s="197"/>
      <c r="S8" s="197"/>
      <c r="T8" s="197"/>
      <c r="U8" s="197"/>
      <c r="V8" s="197"/>
      <c r="W8" s="197"/>
      <c r="X8" s="197"/>
      <c r="Y8" s="197"/>
      <c r="Z8" s="197"/>
      <c r="AA8" s="197"/>
      <c r="AB8" s="204" t="s">
        <v>508</v>
      </c>
      <c r="AC8" s="204" t="s">
        <v>439</v>
      </c>
      <c r="AD8" s="204" t="s">
        <v>170</v>
      </c>
      <c r="AE8" s="204" t="s">
        <v>198</v>
      </c>
      <c r="AF8" s="204" t="s">
        <v>272</v>
      </c>
      <c r="AG8" s="197"/>
      <c r="AH8" s="197"/>
      <c r="AI8" s="204" t="s">
        <v>509</v>
      </c>
      <c r="AJ8" s="197"/>
    </row>
    <row r="9" spans="1:36" x14ac:dyDescent="0.3">
      <c r="A9" s="199" t="s">
        <v>327</v>
      </c>
      <c r="B9" s="200">
        <v>45989</v>
      </c>
      <c r="C9" s="201" t="s">
        <v>482</v>
      </c>
      <c r="D9" s="202" t="s">
        <v>421</v>
      </c>
      <c r="E9" s="201" t="s">
        <v>461</v>
      </c>
      <c r="F9" s="201" t="s">
        <v>262</v>
      </c>
      <c r="G9" s="203">
        <v>0.4345</v>
      </c>
      <c r="H9" s="204">
        <v>168</v>
      </c>
      <c r="I9" s="204">
        <v>73</v>
      </c>
      <c r="J9" s="204">
        <v>2</v>
      </c>
      <c r="K9" s="201" t="s">
        <v>263</v>
      </c>
      <c r="L9" s="205">
        <v>45981</v>
      </c>
      <c r="M9" s="204">
        <v>2</v>
      </c>
      <c r="N9" s="204">
        <v>6</v>
      </c>
      <c r="O9" s="204">
        <v>42</v>
      </c>
      <c r="P9" s="201" t="s">
        <v>491</v>
      </c>
      <c r="Q9" s="197"/>
      <c r="R9" s="197"/>
      <c r="S9" s="197"/>
      <c r="T9" s="197"/>
      <c r="U9" s="197"/>
      <c r="V9" s="197"/>
      <c r="W9" s="197"/>
      <c r="X9" s="197"/>
      <c r="Y9" s="197"/>
      <c r="Z9" s="204" t="s">
        <v>295</v>
      </c>
      <c r="AA9" s="204" t="s">
        <v>296</v>
      </c>
      <c r="AB9" s="197"/>
      <c r="AC9" s="204" t="s">
        <v>277</v>
      </c>
      <c r="AD9" s="204" t="s">
        <v>340</v>
      </c>
      <c r="AE9" s="204" t="s">
        <v>292</v>
      </c>
      <c r="AF9" s="204" t="s">
        <v>267</v>
      </c>
      <c r="AG9" s="197"/>
      <c r="AH9" s="197"/>
      <c r="AI9" s="204" t="s">
        <v>510</v>
      </c>
      <c r="AJ9" s="197"/>
    </row>
    <row r="10" spans="1:36" ht="21" x14ac:dyDescent="0.3">
      <c r="A10" s="206" t="s">
        <v>511</v>
      </c>
      <c r="B10" s="207"/>
      <c r="C10" s="206">
        <f>SUBTOTAL(103,JED_ATZ_LF_LEGACY[Flt])</f>
        <v>8</v>
      </c>
      <c r="D10" s="206"/>
      <c r="E10" s="206">
        <f>SUBTOTAL(103,JED_ATZ_LF_LEGACY[Brd-Off])</f>
        <v>8</v>
      </c>
      <c r="F10" s="206"/>
      <c r="G10" s="208">
        <f>SUBTOTAL(101,JED_ATZ_LF_LEGACY[LF%])</f>
        <v>0.62983749999999994</v>
      </c>
      <c r="H10" s="209">
        <f>SUBTOTAL(109,JED_ATZ_LF_LEGACY[CAP])</f>
        <v>1388</v>
      </c>
      <c r="I10" s="209">
        <f>SUBTOTAL(109,JED_ATZ_LF_LEGACY[BKG(Y)])</f>
        <v>879</v>
      </c>
      <c r="J10" s="209">
        <f>SUBTOTAL(109,JED_ATZ_LF_LEGACY[GRP(Y)])</f>
        <v>656</v>
      </c>
      <c r="K10" s="206"/>
      <c r="L10" s="207"/>
      <c r="M10" s="209">
        <f>SUBTOTAL(109,JED_ATZ_LF_LEGACY[TO-DAY])</f>
        <v>3</v>
      </c>
      <c r="N10" s="209">
        <f>SUBTOTAL(109,JED_ATZ_LF_LEGACY[Y-DAY])</f>
        <v>14</v>
      </c>
      <c r="O10" s="209">
        <f>SUBTOTAL(109,JED_ATZ_LF_LEGACY[WEEKLY])</f>
        <v>113</v>
      </c>
      <c r="P10" s="210"/>
      <c r="Q10" s="209">
        <f>SUBTOTAL(109,JED_ATZ_LF_LEGACY[Y])</f>
        <v>0</v>
      </c>
      <c r="R10" s="209">
        <f>SUBTOTAL(109,JED_ATZ_LF_LEGACY[B])</f>
        <v>0</v>
      </c>
      <c r="S10" s="209">
        <f>SUBTOTAL(109,JED_ATZ_LF_LEGACY[M])</f>
        <v>0</v>
      </c>
      <c r="T10" s="209">
        <f>SUBTOTAL(109,JED_ATZ_LF_LEGACY[H])</f>
        <v>0</v>
      </c>
      <c r="U10" s="209">
        <f>SUBTOTAL(109,JED_ATZ_LF_LEGACY[Q])</f>
        <v>0</v>
      </c>
      <c r="V10" s="209">
        <f>SUBTOTAL(109,JED_ATZ_LF_LEGACY[K])</f>
        <v>0</v>
      </c>
      <c r="W10" s="209">
        <f>SUBTOTAL(109,JED_ATZ_LF_LEGACY[V])</f>
        <v>0</v>
      </c>
      <c r="X10" s="209">
        <f>SUBTOTAL(109,JED_ATZ_LF_LEGACY[L])</f>
        <v>0</v>
      </c>
      <c r="Y10" s="209">
        <f>SUBTOTAL(109,JED_ATZ_LF_LEGACY[G])</f>
        <v>0</v>
      </c>
      <c r="Z10" s="209">
        <f>SUBTOTAL(109,JED_ATZ_LF_LEGACY[S])</f>
        <v>0</v>
      </c>
      <c r="AA10" s="209">
        <f>SUBTOTAL(109,JED_ATZ_LF_LEGACY[W])</f>
        <v>0</v>
      </c>
      <c r="AB10" s="209">
        <f>SUBTOTAL(109,JED_ATZ_LF_LEGACY[T])</f>
        <v>0</v>
      </c>
      <c r="AC10" s="209">
        <f>SUBTOTAL(109,JED_ATZ_LF_LEGACY[X])</f>
        <v>0</v>
      </c>
      <c r="AD10" s="209">
        <f>SUBTOTAL(109,JED_ATZ_LF_LEGACY[U])</f>
        <v>0</v>
      </c>
      <c r="AE10" s="209">
        <f>SUBTOTAL(109,JED_ATZ_LF_LEGACY[O])</f>
        <v>0</v>
      </c>
      <c r="AF10" s="209">
        <f>SUBTOTAL(109,JED_ATZ_LF_LEGACY[I])</f>
        <v>0</v>
      </c>
      <c r="AG10" s="209">
        <f>SUBTOTAL(109,JED_ATZ_LF_LEGACY[E])</f>
        <v>0</v>
      </c>
      <c r="AH10" s="209">
        <f>SUBTOTAL(109,JED_ATZ_LF_LEGACY[A])</f>
        <v>0</v>
      </c>
      <c r="AI10" s="209">
        <f>SUBTOTAL(109,JED_ATZ_LF_LEGACY[P])</f>
        <v>0</v>
      </c>
      <c r="AJ10" s="209">
        <f>SUBTOTAL(103,JED_ATZ_LF_LEGACY[N])</f>
        <v>0</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60"/>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109375" bestFit="1" customWidth="1"/>
    <col min="7" max="7" width="20" bestFit="1" customWidth="1"/>
    <col min="8" max="8" width="23.6640625" bestFit="1" customWidth="1"/>
    <col min="9" max="9" width="177.88671875" hidden="1" customWidth="1"/>
  </cols>
  <sheetData>
    <row r="1" spans="1:8" ht="18" x14ac:dyDescent="0.3">
      <c r="A1" s="125" t="s">
        <v>346</v>
      </c>
      <c r="B1" s="126" t="s">
        <v>8</v>
      </c>
      <c r="C1" s="126" t="s">
        <v>9</v>
      </c>
      <c r="D1" s="126" t="s">
        <v>347</v>
      </c>
      <c r="E1" s="126" t="s">
        <v>10</v>
      </c>
      <c r="F1" s="126" t="s">
        <v>11</v>
      </c>
      <c r="G1" s="126" t="s">
        <v>12</v>
      </c>
      <c r="H1" s="127" t="s">
        <v>13</v>
      </c>
    </row>
    <row r="2" spans="1:8" ht="19.8" customHeight="1" x14ac:dyDescent="0.3">
      <c r="A2" s="133" t="s">
        <v>348</v>
      </c>
      <c r="B2" s="134" t="s">
        <v>77</v>
      </c>
      <c r="C2" s="135" t="s">
        <v>462</v>
      </c>
      <c r="D2" s="134" t="s">
        <v>461</v>
      </c>
      <c r="E2" s="134" t="s">
        <v>493</v>
      </c>
      <c r="F2" s="134" t="s">
        <v>79</v>
      </c>
      <c r="G2" s="136">
        <v>3</v>
      </c>
      <c r="H2" s="137">
        <v>781</v>
      </c>
    </row>
    <row r="3" spans="1:8" ht="19.8" customHeight="1" x14ac:dyDescent="0.3">
      <c r="A3" s="138">
        <v>45986</v>
      </c>
      <c r="B3" s="134" t="s">
        <v>77</v>
      </c>
      <c r="C3" s="135" t="s">
        <v>467</v>
      </c>
      <c r="D3" s="134" t="s">
        <v>461</v>
      </c>
      <c r="E3" s="139">
        <v>1.9513888888888891</v>
      </c>
      <c r="F3" s="134" t="s">
        <v>79</v>
      </c>
      <c r="G3" s="136">
        <v>4</v>
      </c>
      <c r="H3" s="137">
        <v>856</v>
      </c>
    </row>
    <row r="4" spans="1:8" ht="19.8" customHeight="1" x14ac:dyDescent="0.3">
      <c r="A4" s="140">
        <v>45986</v>
      </c>
      <c r="B4" s="129" t="s">
        <v>148</v>
      </c>
      <c r="C4" s="130" t="s">
        <v>471</v>
      </c>
      <c r="D4" s="129" t="s">
        <v>461</v>
      </c>
      <c r="E4" s="141">
        <v>1.322916666666667</v>
      </c>
      <c r="F4" s="129" t="s">
        <v>150</v>
      </c>
      <c r="G4" s="131">
        <v>4</v>
      </c>
      <c r="H4" s="132">
        <v>938</v>
      </c>
    </row>
    <row r="5" spans="1:8" ht="19.8" customHeight="1" x14ac:dyDescent="0.3">
      <c r="A5" s="168"/>
      <c r="B5" s="169"/>
      <c r="C5" s="169"/>
      <c r="D5" s="169"/>
      <c r="E5" s="169"/>
      <c r="F5" s="170" t="s">
        <v>460</v>
      </c>
      <c r="G5" s="169"/>
      <c r="H5" s="171"/>
    </row>
    <row r="6" spans="1:8" ht="19.8" customHeight="1" x14ac:dyDescent="0.3">
      <c r="A6" s="140">
        <v>45986</v>
      </c>
      <c r="B6" s="129" t="s">
        <v>26</v>
      </c>
      <c r="C6" s="130" t="s">
        <v>27</v>
      </c>
      <c r="D6" s="129" t="s">
        <v>1</v>
      </c>
      <c r="E6" s="141">
        <v>1.1284722222222221</v>
      </c>
      <c r="F6" s="129" t="s">
        <v>28</v>
      </c>
      <c r="G6" s="131">
        <v>1</v>
      </c>
      <c r="H6" s="132">
        <v>389</v>
      </c>
    </row>
    <row r="7" spans="1:8" ht="19.8" customHeight="1" x14ac:dyDescent="0.3">
      <c r="A7" s="140">
        <v>45986</v>
      </c>
      <c r="B7" s="129" t="s">
        <v>26</v>
      </c>
      <c r="C7" s="130" t="s">
        <v>36</v>
      </c>
      <c r="D7" s="129" t="s">
        <v>1</v>
      </c>
      <c r="E7" s="141">
        <v>1.302083333333333</v>
      </c>
      <c r="F7" s="129" t="s">
        <v>28</v>
      </c>
      <c r="G7" s="131">
        <v>3</v>
      </c>
      <c r="H7" s="132">
        <v>419</v>
      </c>
    </row>
    <row r="8" spans="1:8" ht="19.8" customHeight="1" x14ac:dyDescent="0.3">
      <c r="A8" s="140">
        <v>45986</v>
      </c>
      <c r="B8" s="129" t="s">
        <v>26</v>
      </c>
      <c r="C8" s="130" t="s">
        <v>41</v>
      </c>
      <c r="D8" s="129" t="s">
        <v>1</v>
      </c>
      <c r="E8" s="141">
        <v>1.788194444444444</v>
      </c>
      <c r="F8" s="129" t="s">
        <v>28</v>
      </c>
      <c r="G8" s="131">
        <v>7</v>
      </c>
      <c r="H8" s="132">
        <v>419</v>
      </c>
    </row>
    <row r="9" spans="1:8" ht="19.8" customHeight="1" x14ac:dyDescent="0.3">
      <c r="A9" s="140">
        <v>45986</v>
      </c>
      <c r="B9" s="129" t="s">
        <v>49</v>
      </c>
      <c r="C9" s="130" t="s">
        <v>50</v>
      </c>
      <c r="D9" s="129" t="s">
        <v>1</v>
      </c>
      <c r="E9" s="141">
        <v>1.9027777777777779</v>
      </c>
      <c r="F9" s="129" t="s">
        <v>51</v>
      </c>
      <c r="G9" s="131">
        <v>3</v>
      </c>
      <c r="H9" s="132">
        <v>449</v>
      </c>
    </row>
    <row r="10" spans="1:8" ht="19.8" customHeight="1" x14ac:dyDescent="0.3">
      <c r="A10" s="140">
        <v>45986</v>
      </c>
      <c r="B10" s="129" t="s">
        <v>49</v>
      </c>
      <c r="C10" s="130" t="s">
        <v>58</v>
      </c>
      <c r="D10" s="129" t="s">
        <v>1</v>
      </c>
      <c r="E10" s="141">
        <v>1.645833333333333</v>
      </c>
      <c r="F10" s="129" t="s">
        <v>51</v>
      </c>
      <c r="G10" s="131">
        <v>2</v>
      </c>
      <c r="H10" s="132">
        <v>449</v>
      </c>
    </row>
    <row r="11" spans="1:8" ht="19.8" customHeight="1" x14ac:dyDescent="0.3">
      <c r="A11" s="140">
        <v>45986</v>
      </c>
      <c r="B11" s="129" t="s">
        <v>49</v>
      </c>
      <c r="C11" s="130" t="s">
        <v>61</v>
      </c>
      <c r="D11" s="129" t="s">
        <v>1</v>
      </c>
      <c r="E11" s="141">
        <v>1.5173611111111109</v>
      </c>
      <c r="F11" s="129" t="s">
        <v>51</v>
      </c>
      <c r="G11" s="131">
        <v>1</v>
      </c>
      <c r="H11" s="132">
        <v>449</v>
      </c>
    </row>
    <row r="12" spans="1:8" ht="19.8" customHeight="1" x14ac:dyDescent="0.3">
      <c r="A12" s="140">
        <v>45986</v>
      </c>
      <c r="B12" s="129" t="s">
        <v>49</v>
      </c>
      <c r="C12" s="130" t="s">
        <v>63</v>
      </c>
      <c r="D12" s="129" t="s">
        <v>1</v>
      </c>
      <c r="E12" s="141">
        <v>1.854166666666667</v>
      </c>
      <c r="F12" s="129" t="s">
        <v>51</v>
      </c>
      <c r="G12" s="131">
        <v>8</v>
      </c>
      <c r="H12" s="132">
        <v>449</v>
      </c>
    </row>
    <row r="13" spans="1:8" ht="19.8" customHeight="1" x14ac:dyDescent="0.3">
      <c r="A13" s="140">
        <v>45986</v>
      </c>
      <c r="B13" s="129" t="s">
        <v>49</v>
      </c>
      <c r="C13" s="130" t="s">
        <v>66</v>
      </c>
      <c r="D13" s="129" t="s">
        <v>1</v>
      </c>
      <c r="E13" s="141">
        <v>1.7986111111111109</v>
      </c>
      <c r="F13" s="129" t="s">
        <v>51</v>
      </c>
      <c r="G13" s="131">
        <v>5</v>
      </c>
      <c r="H13" s="132">
        <v>449</v>
      </c>
    </row>
    <row r="14" spans="1:8" ht="19.8" customHeight="1" x14ac:dyDescent="0.3">
      <c r="A14" s="140">
        <v>45986</v>
      </c>
      <c r="B14" s="129" t="s">
        <v>26</v>
      </c>
      <c r="C14" s="130" t="s">
        <v>44</v>
      </c>
      <c r="D14" s="129" t="s">
        <v>1</v>
      </c>
      <c r="E14" s="141">
        <v>1.8888888888888891</v>
      </c>
      <c r="F14" s="129" t="s">
        <v>28</v>
      </c>
      <c r="G14" s="131">
        <v>10</v>
      </c>
      <c r="H14" s="132">
        <v>459</v>
      </c>
    </row>
    <row r="15" spans="1:8" ht="19.8" customHeight="1" x14ac:dyDescent="0.3">
      <c r="A15" s="149">
        <v>45986</v>
      </c>
      <c r="B15" s="150" t="s">
        <v>77</v>
      </c>
      <c r="C15" s="151" t="s">
        <v>78</v>
      </c>
      <c r="D15" s="150" t="s">
        <v>1</v>
      </c>
      <c r="E15" s="152">
        <v>1.229166666666667</v>
      </c>
      <c r="F15" s="150" t="s">
        <v>79</v>
      </c>
      <c r="G15" s="153">
        <v>1</v>
      </c>
      <c r="H15" s="172">
        <v>471</v>
      </c>
    </row>
    <row r="16" spans="1:8" ht="19.8" customHeight="1" x14ac:dyDescent="0.3">
      <c r="A16" s="140">
        <v>45987</v>
      </c>
      <c r="B16" s="129" t="s">
        <v>26</v>
      </c>
      <c r="C16" s="130" t="s">
        <v>473</v>
      </c>
      <c r="D16" s="129" t="s">
        <v>461</v>
      </c>
      <c r="E16" s="141">
        <v>1.2847222222222221</v>
      </c>
      <c r="F16" s="129" t="s">
        <v>368</v>
      </c>
      <c r="G16" s="131">
        <v>13</v>
      </c>
      <c r="H16" s="132">
        <v>329</v>
      </c>
    </row>
    <row r="17" spans="1:8" ht="19.8" customHeight="1" x14ac:dyDescent="0.3">
      <c r="A17" s="140">
        <v>45987</v>
      </c>
      <c r="B17" s="129" t="s">
        <v>26</v>
      </c>
      <c r="C17" s="130" t="s">
        <v>473</v>
      </c>
      <c r="D17" s="129" t="s">
        <v>461</v>
      </c>
      <c r="E17" s="141">
        <v>1.2847222222222221</v>
      </c>
      <c r="F17" s="129" t="s">
        <v>359</v>
      </c>
      <c r="G17" s="131">
        <v>13</v>
      </c>
      <c r="H17" s="132">
        <v>388</v>
      </c>
    </row>
    <row r="18" spans="1:8" ht="19.8" customHeight="1" x14ac:dyDescent="0.3">
      <c r="A18" s="140">
        <v>45987</v>
      </c>
      <c r="B18" s="129" t="s">
        <v>26</v>
      </c>
      <c r="C18" s="130" t="s">
        <v>473</v>
      </c>
      <c r="D18" s="129" t="s">
        <v>461</v>
      </c>
      <c r="E18" s="141">
        <v>1.2847222222222221</v>
      </c>
      <c r="F18" s="129" t="s">
        <v>361</v>
      </c>
      <c r="G18" s="131">
        <v>13</v>
      </c>
      <c r="H18" s="132">
        <v>412</v>
      </c>
    </row>
    <row r="19" spans="1:8" ht="19.8" customHeight="1" x14ac:dyDescent="0.3">
      <c r="A19" s="138">
        <v>45987</v>
      </c>
      <c r="B19" s="134" t="s">
        <v>77</v>
      </c>
      <c r="C19" s="135" t="s">
        <v>462</v>
      </c>
      <c r="D19" s="134" t="s">
        <v>461</v>
      </c>
      <c r="E19" s="139">
        <v>1.2673611111111109</v>
      </c>
      <c r="F19" s="134" t="s">
        <v>79</v>
      </c>
      <c r="G19" s="136">
        <v>9</v>
      </c>
      <c r="H19" s="137">
        <v>436</v>
      </c>
    </row>
    <row r="20" spans="1:8" ht="19.8" customHeight="1" x14ac:dyDescent="0.3">
      <c r="A20" s="138">
        <v>45987</v>
      </c>
      <c r="B20" s="134" t="s">
        <v>77</v>
      </c>
      <c r="C20" s="135" t="s">
        <v>481</v>
      </c>
      <c r="D20" s="134" t="s">
        <v>461</v>
      </c>
      <c r="E20" s="139">
        <v>1.333333333333333</v>
      </c>
      <c r="F20" s="134" t="s">
        <v>79</v>
      </c>
      <c r="G20" s="136">
        <v>9</v>
      </c>
      <c r="H20" s="137">
        <v>436</v>
      </c>
    </row>
    <row r="21" spans="1:8" ht="19.8" customHeight="1" x14ac:dyDescent="0.3">
      <c r="A21" s="140">
        <v>45987</v>
      </c>
      <c r="B21" s="129" t="s">
        <v>26</v>
      </c>
      <c r="C21" s="130" t="s">
        <v>473</v>
      </c>
      <c r="D21" s="129" t="s">
        <v>461</v>
      </c>
      <c r="E21" s="141">
        <v>1.2847222222222221</v>
      </c>
      <c r="F21" s="129" t="s">
        <v>372</v>
      </c>
      <c r="G21" s="131">
        <v>13</v>
      </c>
      <c r="H21" s="132">
        <v>579</v>
      </c>
    </row>
    <row r="22" spans="1:8" ht="19.8" customHeight="1" x14ac:dyDescent="0.3">
      <c r="A22" s="140">
        <v>45987</v>
      </c>
      <c r="B22" s="129" t="s">
        <v>148</v>
      </c>
      <c r="C22" s="130" t="s">
        <v>471</v>
      </c>
      <c r="D22" s="129" t="s">
        <v>461</v>
      </c>
      <c r="E22" s="141">
        <v>1.2673611111111109</v>
      </c>
      <c r="F22" s="129" t="s">
        <v>484</v>
      </c>
      <c r="G22" s="131">
        <v>4</v>
      </c>
      <c r="H22" s="132">
        <v>640</v>
      </c>
    </row>
    <row r="23" spans="1:8" ht="19.8" customHeight="1" x14ac:dyDescent="0.3">
      <c r="A23" s="168"/>
      <c r="B23" s="169"/>
      <c r="C23" s="169"/>
      <c r="D23" s="169"/>
      <c r="E23" s="169"/>
      <c r="F23" s="170" t="s">
        <v>460</v>
      </c>
      <c r="G23" s="169"/>
      <c r="H23" s="171"/>
    </row>
    <row r="24" spans="1:8" ht="19.8" customHeight="1" x14ac:dyDescent="0.3">
      <c r="A24" s="140">
        <v>45987</v>
      </c>
      <c r="B24" s="129" t="s">
        <v>26</v>
      </c>
      <c r="C24" s="130" t="s">
        <v>44</v>
      </c>
      <c r="D24" s="129" t="s">
        <v>1</v>
      </c>
      <c r="E24" s="141">
        <v>1.8888888888888891</v>
      </c>
      <c r="F24" s="129" t="s">
        <v>28</v>
      </c>
      <c r="G24" s="131">
        <v>4</v>
      </c>
      <c r="H24" s="132">
        <v>389</v>
      </c>
    </row>
    <row r="25" spans="1:8" ht="19.8" customHeight="1" x14ac:dyDescent="0.3">
      <c r="A25" s="140">
        <v>45987</v>
      </c>
      <c r="B25" s="129" t="s">
        <v>118</v>
      </c>
      <c r="C25" s="130" t="s">
        <v>122</v>
      </c>
      <c r="D25" s="129" t="s">
        <v>1</v>
      </c>
      <c r="E25" s="141">
        <v>1.3715277777777779</v>
      </c>
      <c r="F25" s="129" t="s">
        <v>112</v>
      </c>
      <c r="G25" s="131">
        <v>2</v>
      </c>
      <c r="H25" s="132">
        <v>401</v>
      </c>
    </row>
    <row r="26" spans="1:8" ht="19.8" customHeight="1" x14ac:dyDescent="0.3">
      <c r="A26" s="140">
        <v>45987</v>
      </c>
      <c r="B26" s="129" t="s">
        <v>49</v>
      </c>
      <c r="C26" s="130" t="s">
        <v>69</v>
      </c>
      <c r="D26" s="129" t="s">
        <v>1</v>
      </c>
      <c r="E26" s="141">
        <v>1.256944444444444</v>
      </c>
      <c r="F26" s="129" t="s">
        <v>51</v>
      </c>
      <c r="G26" s="131">
        <v>3</v>
      </c>
      <c r="H26" s="132">
        <v>409</v>
      </c>
    </row>
    <row r="27" spans="1:8" ht="19.8" customHeight="1" x14ac:dyDescent="0.3">
      <c r="A27" s="140">
        <v>45987</v>
      </c>
      <c r="B27" s="129" t="s">
        <v>49</v>
      </c>
      <c r="C27" s="130" t="s">
        <v>76</v>
      </c>
      <c r="D27" s="129" t="s">
        <v>1</v>
      </c>
      <c r="E27" s="141">
        <v>1.302083333333333</v>
      </c>
      <c r="F27" s="129" t="s">
        <v>51</v>
      </c>
      <c r="G27" s="131">
        <v>2</v>
      </c>
      <c r="H27" s="132">
        <v>409</v>
      </c>
    </row>
    <row r="28" spans="1:8" ht="19.8" customHeight="1" x14ac:dyDescent="0.3">
      <c r="A28" s="140">
        <v>45987</v>
      </c>
      <c r="B28" s="129" t="s">
        <v>26</v>
      </c>
      <c r="C28" s="130" t="s">
        <v>36</v>
      </c>
      <c r="D28" s="129" t="s">
        <v>1</v>
      </c>
      <c r="E28" s="141">
        <v>1.302083333333333</v>
      </c>
      <c r="F28" s="129" t="s">
        <v>28</v>
      </c>
      <c r="G28" s="131">
        <v>6</v>
      </c>
      <c r="H28" s="132">
        <v>419</v>
      </c>
    </row>
    <row r="29" spans="1:8" ht="19.8" customHeight="1" x14ac:dyDescent="0.3">
      <c r="A29" s="140">
        <v>45987</v>
      </c>
      <c r="B29" s="129" t="s">
        <v>26</v>
      </c>
      <c r="C29" s="130" t="s">
        <v>27</v>
      </c>
      <c r="D29" s="129" t="s">
        <v>1</v>
      </c>
      <c r="E29" s="141">
        <v>1.1284722222222221</v>
      </c>
      <c r="F29" s="129" t="s">
        <v>28</v>
      </c>
      <c r="G29" s="131">
        <v>6</v>
      </c>
      <c r="H29" s="132">
        <v>419</v>
      </c>
    </row>
    <row r="30" spans="1:8" ht="19.8" customHeight="1" x14ac:dyDescent="0.3">
      <c r="A30" s="140">
        <v>45987</v>
      </c>
      <c r="B30" s="129" t="s">
        <v>26</v>
      </c>
      <c r="C30" s="130" t="s">
        <v>41</v>
      </c>
      <c r="D30" s="129" t="s">
        <v>1</v>
      </c>
      <c r="E30" s="141">
        <v>1.788194444444444</v>
      </c>
      <c r="F30" s="129" t="s">
        <v>28</v>
      </c>
      <c r="G30" s="131">
        <v>9</v>
      </c>
      <c r="H30" s="132">
        <v>419</v>
      </c>
    </row>
    <row r="31" spans="1:8" ht="19.8" customHeight="1" x14ac:dyDescent="0.3">
      <c r="A31" s="140">
        <v>45987</v>
      </c>
      <c r="B31" s="129" t="s">
        <v>49</v>
      </c>
      <c r="C31" s="130" t="s">
        <v>50</v>
      </c>
      <c r="D31" s="129" t="s">
        <v>1</v>
      </c>
      <c r="E31" s="141">
        <v>1.9027777777777779</v>
      </c>
      <c r="F31" s="129" t="s">
        <v>51</v>
      </c>
      <c r="G31" s="131">
        <v>3</v>
      </c>
      <c r="H31" s="132">
        <v>449</v>
      </c>
    </row>
    <row r="32" spans="1:8" ht="19.8" customHeight="1" x14ac:dyDescent="0.3">
      <c r="A32" s="140">
        <v>45987</v>
      </c>
      <c r="B32" s="129" t="s">
        <v>49</v>
      </c>
      <c r="C32" s="130" t="s">
        <v>61</v>
      </c>
      <c r="D32" s="129" t="s">
        <v>1</v>
      </c>
      <c r="E32" s="141">
        <v>1.5173611111111109</v>
      </c>
      <c r="F32" s="129" t="s">
        <v>51</v>
      </c>
      <c r="G32" s="131">
        <v>2</v>
      </c>
      <c r="H32" s="132">
        <v>449</v>
      </c>
    </row>
    <row r="33" spans="1:8" ht="19.8" customHeight="1" x14ac:dyDescent="0.3">
      <c r="A33" s="149">
        <v>45987</v>
      </c>
      <c r="B33" s="150" t="s">
        <v>49</v>
      </c>
      <c r="C33" s="151" t="s">
        <v>75</v>
      </c>
      <c r="D33" s="150" t="s">
        <v>1</v>
      </c>
      <c r="E33" s="152">
        <v>1.395833333333333</v>
      </c>
      <c r="F33" s="150" t="s">
        <v>51</v>
      </c>
      <c r="G33" s="153">
        <v>2</v>
      </c>
      <c r="H33" s="172">
        <v>449</v>
      </c>
    </row>
    <row r="34" spans="1:8" ht="19.8" customHeight="1" x14ac:dyDescent="0.3">
      <c r="A34" s="138">
        <v>45988</v>
      </c>
      <c r="B34" s="134" t="s">
        <v>77</v>
      </c>
      <c r="C34" s="135" t="s">
        <v>486</v>
      </c>
      <c r="D34" s="134" t="s">
        <v>461</v>
      </c>
      <c r="E34" s="139">
        <v>1.083333333333333</v>
      </c>
      <c r="F34" s="134" t="s">
        <v>79</v>
      </c>
      <c r="G34" s="136">
        <v>9</v>
      </c>
      <c r="H34" s="137">
        <v>401</v>
      </c>
    </row>
    <row r="35" spans="1:8" ht="19.8" customHeight="1" x14ac:dyDescent="0.3">
      <c r="A35" s="138">
        <v>45988</v>
      </c>
      <c r="B35" s="134" t="s">
        <v>77</v>
      </c>
      <c r="C35" s="135" t="s">
        <v>462</v>
      </c>
      <c r="D35" s="134" t="s">
        <v>461</v>
      </c>
      <c r="E35" s="139">
        <v>1.489583333333333</v>
      </c>
      <c r="F35" s="134" t="s">
        <v>79</v>
      </c>
      <c r="G35" s="136">
        <v>9</v>
      </c>
      <c r="H35" s="137">
        <v>401</v>
      </c>
    </row>
    <row r="36" spans="1:8" ht="19.8" customHeight="1" x14ac:dyDescent="0.3">
      <c r="A36" s="138">
        <v>45988</v>
      </c>
      <c r="B36" s="134" t="s">
        <v>77</v>
      </c>
      <c r="C36" s="135" t="s">
        <v>467</v>
      </c>
      <c r="D36" s="134" t="s">
        <v>461</v>
      </c>
      <c r="E36" s="139">
        <v>1.708333333333333</v>
      </c>
      <c r="F36" s="134" t="s">
        <v>79</v>
      </c>
      <c r="G36" s="136">
        <v>5</v>
      </c>
      <c r="H36" s="137">
        <v>401</v>
      </c>
    </row>
    <row r="37" spans="1:8" ht="19.8" customHeight="1" x14ac:dyDescent="0.3">
      <c r="A37" s="140">
        <v>45988</v>
      </c>
      <c r="B37" s="129" t="s">
        <v>148</v>
      </c>
      <c r="C37" s="130" t="s">
        <v>471</v>
      </c>
      <c r="D37" s="129" t="s">
        <v>461</v>
      </c>
      <c r="E37" s="141">
        <v>1.489583333333333</v>
      </c>
      <c r="F37" s="129" t="s">
        <v>484</v>
      </c>
      <c r="G37" s="131">
        <v>4</v>
      </c>
      <c r="H37" s="132">
        <v>640</v>
      </c>
    </row>
    <row r="38" spans="1:8" ht="19.8" customHeight="1" x14ac:dyDescent="0.3">
      <c r="A38" s="168"/>
      <c r="B38" s="169"/>
      <c r="C38" s="169"/>
      <c r="D38" s="169"/>
      <c r="E38" s="169"/>
      <c r="F38" s="170" t="s">
        <v>460</v>
      </c>
      <c r="G38" s="169"/>
      <c r="H38" s="171"/>
    </row>
    <row r="39" spans="1:8" ht="19.8" customHeight="1" x14ac:dyDescent="0.3">
      <c r="A39" s="140">
        <v>45988</v>
      </c>
      <c r="B39" s="129" t="s">
        <v>26</v>
      </c>
      <c r="C39" s="130" t="s">
        <v>36</v>
      </c>
      <c r="D39" s="129" t="s">
        <v>1</v>
      </c>
      <c r="E39" s="141">
        <v>1.302083333333333</v>
      </c>
      <c r="F39" s="129" t="s">
        <v>28</v>
      </c>
      <c r="G39" s="131">
        <v>2</v>
      </c>
      <c r="H39" s="132">
        <v>359</v>
      </c>
    </row>
    <row r="40" spans="1:8" ht="19.8" customHeight="1" x14ac:dyDescent="0.3">
      <c r="A40" s="140">
        <v>45988</v>
      </c>
      <c r="B40" s="129" t="s">
        <v>26</v>
      </c>
      <c r="C40" s="130" t="s">
        <v>27</v>
      </c>
      <c r="D40" s="129" t="s">
        <v>1</v>
      </c>
      <c r="E40" s="141">
        <v>1.1284722222222221</v>
      </c>
      <c r="F40" s="129" t="s">
        <v>28</v>
      </c>
      <c r="G40" s="131">
        <v>6</v>
      </c>
      <c r="H40" s="132">
        <v>359</v>
      </c>
    </row>
    <row r="41" spans="1:8" ht="19.8" customHeight="1" x14ac:dyDescent="0.3">
      <c r="A41" s="140">
        <v>45988</v>
      </c>
      <c r="B41" s="129" t="s">
        <v>110</v>
      </c>
      <c r="C41" s="130" t="s">
        <v>111</v>
      </c>
      <c r="D41" s="129" t="s">
        <v>1</v>
      </c>
      <c r="E41" s="141">
        <v>1.291666666666667</v>
      </c>
      <c r="F41" s="129" t="s">
        <v>112</v>
      </c>
      <c r="G41" s="131">
        <v>9</v>
      </c>
      <c r="H41" s="132">
        <v>400</v>
      </c>
    </row>
    <row r="42" spans="1:8" ht="19.8" customHeight="1" x14ac:dyDescent="0.3">
      <c r="A42" s="140">
        <v>45988</v>
      </c>
      <c r="B42" s="129" t="s">
        <v>110</v>
      </c>
      <c r="C42" s="130" t="s">
        <v>115</v>
      </c>
      <c r="D42" s="129" t="s">
        <v>1</v>
      </c>
      <c r="E42" s="141">
        <v>1.59375</v>
      </c>
      <c r="F42" s="129" t="s">
        <v>112</v>
      </c>
      <c r="G42" s="131">
        <v>9</v>
      </c>
      <c r="H42" s="132">
        <v>400</v>
      </c>
    </row>
    <row r="43" spans="1:8" ht="19.8" customHeight="1" x14ac:dyDescent="0.3">
      <c r="A43" s="140">
        <v>45988</v>
      </c>
      <c r="B43" s="129" t="s">
        <v>49</v>
      </c>
      <c r="C43" s="130" t="s">
        <v>50</v>
      </c>
      <c r="D43" s="129" t="s">
        <v>1</v>
      </c>
      <c r="E43" s="141">
        <v>1.9027777777777779</v>
      </c>
      <c r="F43" s="129" t="s">
        <v>51</v>
      </c>
      <c r="G43" s="131">
        <v>1</v>
      </c>
      <c r="H43" s="132">
        <v>409</v>
      </c>
    </row>
    <row r="44" spans="1:8" ht="19.8" customHeight="1" x14ac:dyDescent="0.3">
      <c r="A44" s="140">
        <v>45988</v>
      </c>
      <c r="B44" s="129" t="s">
        <v>49</v>
      </c>
      <c r="C44" s="130" t="s">
        <v>58</v>
      </c>
      <c r="D44" s="129" t="s">
        <v>1</v>
      </c>
      <c r="E44" s="141">
        <v>1.6597222222222221</v>
      </c>
      <c r="F44" s="129" t="s">
        <v>51</v>
      </c>
      <c r="G44" s="131">
        <v>9</v>
      </c>
      <c r="H44" s="132">
        <v>409</v>
      </c>
    </row>
    <row r="45" spans="1:8" ht="19.8" customHeight="1" x14ac:dyDescent="0.3">
      <c r="A45" s="140">
        <v>45988</v>
      </c>
      <c r="B45" s="129" t="s">
        <v>49</v>
      </c>
      <c r="C45" s="130" t="s">
        <v>61</v>
      </c>
      <c r="D45" s="129" t="s">
        <v>1</v>
      </c>
      <c r="E45" s="141">
        <v>1.5173611111111109</v>
      </c>
      <c r="F45" s="129" t="s">
        <v>51</v>
      </c>
      <c r="G45" s="131">
        <v>9</v>
      </c>
      <c r="H45" s="132">
        <v>409</v>
      </c>
    </row>
    <row r="46" spans="1:8" ht="19.8" customHeight="1" x14ac:dyDescent="0.3">
      <c r="A46" s="140">
        <v>45988</v>
      </c>
      <c r="B46" s="129" t="s">
        <v>49</v>
      </c>
      <c r="C46" s="130" t="s">
        <v>63</v>
      </c>
      <c r="D46" s="129" t="s">
        <v>1</v>
      </c>
      <c r="E46" s="141">
        <v>1.854166666666667</v>
      </c>
      <c r="F46" s="129" t="s">
        <v>51</v>
      </c>
      <c r="G46" s="131">
        <v>2</v>
      </c>
      <c r="H46" s="132">
        <v>409</v>
      </c>
    </row>
    <row r="47" spans="1:8" ht="19.8" customHeight="1" x14ac:dyDescent="0.3">
      <c r="A47" s="140">
        <v>45988</v>
      </c>
      <c r="B47" s="129" t="s">
        <v>49</v>
      </c>
      <c r="C47" s="130" t="s">
        <v>76</v>
      </c>
      <c r="D47" s="129" t="s">
        <v>1</v>
      </c>
      <c r="E47" s="141">
        <v>1.302083333333333</v>
      </c>
      <c r="F47" s="129" t="s">
        <v>51</v>
      </c>
      <c r="G47" s="131">
        <v>5</v>
      </c>
      <c r="H47" s="132">
        <v>409</v>
      </c>
    </row>
    <row r="48" spans="1:8" ht="19.8" customHeight="1" x14ac:dyDescent="0.3">
      <c r="A48" s="149">
        <v>45988</v>
      </c>
      <c r="B48" s="150" t="s">
        <v>49</v>
      </c>
      <c r="C48" s="151" t="s">
        <v>66</v>
      </c>
      <c r="D48" s="150" t="s">
        <v>1</v>
      </c>
      <c r="E48" s="152">
        <v>1.7986111111111109</v>
      </c>
      <c r="F48" s="150" t="s">
        <v>51</v>
      </c>
      <c r="G48" s="153">
        <v>6</v>
      </c>
      <c r="H48" s="172">
        <v>409</v>
      </c>
    </row>
    <row r="49" spans="1:8" ht="19.8" customHeight="1" x14ac:dyDescent="0.3">
      <c r="A49" s="138">
        <v>45989</v>
      </c>
      <c r="B49" s="134" t="s">
        <v>77</v>
      </c>
      <c r="C49" s="135" t="s">
        <v>481</v>
      </c>
      <c r="D49" s="134" t="s">
        <v>461</v>
      </c>
      <c r="E49" s="139">
        <v>1.291666666666667</v>
      </c>
      <c r="F49" s="134" t="s">
        <v>79</v>
      </c>
      <c r="G49" s="136">
        <v>4</v>
      </c>
      <c r="H49" s="137">
        <v>401</v>
      </c>
    </row>
    <row r="50" spans="1:8" ht="19.8" customHeight="1" x14ac:dyDescent="0.3">
      <c r="A50" s="168"/>
      <c r="B50" s="169"/>
      <c r="C50" s="169"/>
      <c r="D50" s="169"/>
      <c r="E50" s="169"/>
      <c r="F50" s="170" t="s">
        <v>460</v>
      </c>
      <c r="G50" s="169"/>
      <c r="H50" s="171"/>
    </row>
    <row r="51" spans="1:8" ht="19.8" customHeight="1" x14ac:dyDescent="0.3">
      <c r="A51" s="140">
        <v>45989</v>
      </c>
      <c r="B51" s="129" t="s">
        <v>26</v>
      </c>
      <c r="C51" s="130" t="s">
        <v>27</v>
      </c>
      <c r="D51" s="129" t="s">
        <v>1</v>
      </c>
      <c r="E51" s="141">
        <v>1.1284722222222221</v>
      </c>
      <c r="F51" s="129" t="s">
        <v>28</v>
      </c>
      <c r="G51" s="131">
        <v>4</v>
      </c>
      <c r="H51" s="132">
        <v>359</v>
      </c>
    </row>
    <row r="52" spans="1:8" ht="19.8" customHeight="1" x14ac:dyDescent="0.3">
      <c r="A52" s="140">
        <v>45989</v>
      </c>
      <c r="B52" s="129" t="s">
        <v>26</v>
      </c>
      <c r="C52" s="130" t="s">
        <v>36</v>
      </c>
      <c r="D52" s="129" t="s">
        <v>1</v>
      </c>
      <c r="E52" s="141">
        <v>1.302083333333333</v>
      </c>
      <c r="F52" s="129" t="s">
        <v>28</v>
      </c>
      <c r="G52" s="131">
        <v>10</v>
      </c>
      <c r="H52" s="132">
        <v>389</v>
      </c>
    </row>
    <row r="53" spans="1:8" ht="19.8" customHeight="1" x14ac:dyDescent="0.3">
      <c r="A53" s="140">
        <v>45989</v>
      </c>
      <c r="B53" s="129" t="s">
        <v>49</v>
      </c>
      <c r="C53" s="130" t="s">
        <v>50</v>
      </c>
      <c r="D53" s="129" t="s">
        <v>1</v>
      </c>
      <c r="E53" s="141">
        <v>1.9027777777777779</v>
      </c>
      <c r="F53" s="129" t="s">
        <v>51</v>
      </c>
      <c r="G53" s="131">
        <v>1</v>
      </c>
      <c r="H53" s="132">
        <v>409</v>
      </c>
    </row>
    <row r="54" spans="1:8" ht="19.8" customHeight="1" x14ac:dyDescent="0.3">
      <c r="A54" s="140">
        <v>45989</v>
      </c>
      <c r="B54" s="129" t="s">
        <v>49</v>
      </c>
      <c r="C54" s="130" t="s">
        <v>63</v>
      </c>
      <c r="D54" s="129" t="s">
        <v>1</v>
      </c>
      <c r="E54" s="141">
        <v>1.854166666666667</v>
      </c>
      <c r="F54" s="129" t="s">
        <v>51</v>
      </c>
      <c r="G54" s="131">
        <v>5</v>
      </c>
      <c r="H54" s="132">
        <v>409</v>
      </c>
    </row>
    <row r="55" spans="1:8" ht="19.8" customHeight="1" x14ac:dyDescent="0.3">
      <c r="A55" s="140">
        <v>45989</v>
      </c>
      <c r="B55" s="129" t="s">
        <v>26</v>
      </c>
      <c r="C55" s="130" t="s">
        <v>41</v>
      </c>
      <c r="D55" s="129" t="s">
        <v>1</v>
      </c>
      <c r="E55" s="141">
        <v>1.788194444444444</v>
      </c>
      <c r="F55" s="129" t="s">
        <v>28</v>
      </c>
      <c r="G55" s="131">
        <v>11</v>
      </c>
      <c r="H55" s="132">
        <v>419</v>
      </c>
    </row>
    <row r="56" spans="1:8" ht="19.8" customHeight="1" x14ac:dyDescent="0.3">
      <c r="A56" s="140">
        <v>45989</v>
      </c>
      <c r="B56" s="129" t="s">
        <v>26</v>
      </c>
      <c r="C56" s="130" t="s">
        <v>44</v>
      </c>
      <c r="D56" s="129" t="s">
        <v>1</v>
      </c>
      <c r="E56" s="141">
        <v>1.8888888888888891</v>
      </c>
      <c r="F56" s="129" t="s">
        <v>28</v>
      </c>
      <c r="G56" s="131">
        <v>9</v>
      </c>
      <c r="H56" s="132">
        <v>419</v>
      </c>
    </row>
    <row r="57" spans="1:8" ht="19.8" customHeight="1" x14ac:dyDescent="0.3">
      <c r="A57" s="140">
        <v>45989</v>
      </c>
      <c r="B57" s="129" t="s">
        <v>77</v>
      </c>
      <c r="C57" s="130" t="s">
        <v>87</v>
      </c>
      <c r="D57" s="129" t="s">
        <v>1</v>
      </c>
      <c r="E57" s="141">
        <v>1.114583333333333</v>
      </c>
      <c r="F57" s="129" t="s">
        <v>79</v>
      </c>
      <c r="G57" s="131">
        <v>3</v>
      </c>
      <c r="H57" s="132">
        <v>436</v>
      </c>
    </row>
    <row r="58" spans="1:8" ht="19.8" customHeight="1" x14ac:dyDescent="0.3">
      <c r="A58" s="140">
        <v>45989</v>
      </c>
      <c r="B58" s="129" t="s">
        <v>77</v>
      </c>
      <c r="C58" s="130" t="s">
        <v>84</v>
      </c>
      <c r="D58" s="129" t="s">
        <v>1</v>
      </c>
      <c r="E58" s="141">
        <v>1.319444444444444</v>
      </c>
      <c r="F58" s="129" t="s">
        <v>79</v>
      </c>
      <c r="G58" s="131">
        <v>1</v>
      </c>
      <c r="H58" s="132">
        <v>436</v>
      </c>
    </row>
    <row r="59" spans="1:8" ht="19.8" customHeight="1" x14ac:dyDescent="0.3">
      <c r="A59" s="140">
        <v>45989</v>
      </c>
      <c r="B59" s="129" t="s">
        <v>77</v>
      </c>
      <c r="C59" s="130" t="s">
        <v>92</v>
      </c>
      <c r="D59" s="129" t="s">
        <v>1</v>
      </c>
      <c r="E59" s="141">
        <v>1.458333333333333</v>
      </c>
      <c r="F59" s="129" t="s">
        <v>79</v>
      </c>
      <c r="G59" s="131">
        <v>8</v>
      </c>
      <c r="H59" s="132">
        <v>436</v>
      </c>
    </row>
    <row r="60" spans="1:8" ht="19.8" customHeight="1" x14ac:dyDescent="0.3">
      <c r="A60" s="149">
        <v>45989</v>
      </c>
      <c r="B60" s="150" t="s">
        <v>104</v>
      </c>
      <c r="C60" s="151" t="s">
        <v>227</v>
      </c>
      <c r="D60" s="150" t="s">
        <v>1</v>
      </c>
      <c r="E60" s="152">
        <v>1.975694444444444</v>
      </c>
      <c r="F60" s="150" t="s">
        <v>106</v>
      </c>
      <c r="G60" s="153">
        <v>9</v>
      </c>
      <c r="H60" s="172">
        <v>437</v>
      </c>
    </row>
  </sheetData>
  <pageMargins left="0.75" right="0.75" top="1" bottom="1" header="0.5" footer="0.5"/>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JED-CAI</vt:lpstr>
      <vt:lpstr>JED-CAI LF LEGACY</vt:lpstr>
      <vt:lpstr>JED-CAI - FOCUS MODE</vt:lpstr>
      <vt:lpstr>JED-CAI - OAL Threats Alert</vt:lpstr>
      <vt:lpstr>JED-HBE</vt:lpstr>
      <vt:lpstr>JED-HBE LF LEGACY</vt:lpstr>
      <vt:lpstr>JED-HBE - FOCUS MODE</vt:lpstr>
      <vt:lpstr>JED-ATZ</vt:lpstr>
      <vt:lpstr>JED-ATZ LF LEGACY</vt:lpstr>
      <vt:lpstr>JED-ATZ - FOCUS MODE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Yanbu Office</cp:lastModifiedBy>
  <dcterms:created xsi:type="dcterms:W3CDTF">2025-11-20T07:58:45Z</dcterms:created>
  <dcterms:modified xsi:type="dcterms:W3CDTF">2025-11-20T07:59:09Z</dcterms:modified>
</cp:coreProperties>
</file>