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0623007-D5D6-4B35-8487-935B9FE6A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  <sheet name="JED-HBE - OAL Threats Alert" sheetId="8" r:id="rId8"/>
    <sheet name="JED-ATZ" sheetId="9" r:id="rId9"/>
    <sheet name="JED-ATZ LF LEGACY" sheetId="10" r:id="rId10"/>
    <sheet name="JED-ATZ - FOCUS MODE" sheetId="11" r:id="rId11"/>
    <sheet name="JED-ATZ - OAL Threats Ale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0" l="1"/>
  <c r="E11" i="10"/>
  <c r="G11" i="10"/>
  <c r="H11" i="10"/>
  <c r="I11" i="10"/>
  <c r="J11" i="10"/>
  <c r="M11" i="10"/>
  <c r="N11" i="10"/>
  <c r="O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C9" i="6"/>
  <c r="E9" i="6"/>
  <c r="G9" i="6"/>
  <c r="H9" i="6"/>
  <c r="I9" i="6"/>
  <c r="J9" i="6"/>
  <c r="M9" i="6"/>
  <c r="N9" i="6"/>
  <c r="O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C20" i="2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37" authorId="0" shapeId="0" xr:uid="{D9ECADFE-0DD4-4E4E-8ED3-7F15C68BEA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B37" authorId="0" shapeId="0" xr:uid="{CA09D244-A7DA-48B6-AB30-50F90F9DEDA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C37" authorId="0" shapeId="0" xr:uid="{ABCACFC2-D78B-40F3-92F4-C82D834A71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D37" authorId="0" shapeId="0" xr:uid="{4C39D6E9-F7F3-45C2-A036-FC95464450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E37" authorId="0" shapeId="0" xr:uid="{F87A7F2D-88DD-4362-863A-6CAE5B01D5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F37" authorId="0" shapeId="0" xr:uid="{6D7FC66B-C8FA-41BA-A100-6CAB924C7C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G37" authorId="0" shapeId="0" xr:uid="{CBF942D6-7690-47B4-8D6C-3296F42A42F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H37" authorId="0" shapeId="0" xr:uid="{840739CC-E675-430C-A3A0-B824BE69FA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A68" authorId="0" shapeId="0" xr:uid="{41F0777C-7679-4343-889F-50B5A7EBC7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B68" authorId="0" shapeId="0" xr:uid="{E1F6F076-6F98-4EC3-8F45-9F604499AD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C68" authorId="0" shapeId="0" xr:uid="{224FE488-F521-46B7-BC0D-C4A344667B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D68" authorId="0" shapeId="0" xr:uid="{E1ED5752-695F-42C6-8E80-3A93D77E30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E68" authorId="0" shapeId="0" xr:uid="{2CB7D055-C235-4682-A276-B8818B0D04E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F68" authorId="0" shapeId="0" xr:uid="{68A329C4-9110-4503-B42B-BC16B23236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G68" authorId="0" shapeId="0" xr:uid="{01A0EA4C-5281-49EB-94F3-4DBD5F0E9A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H68" authorId="0" shapeId="0" xr:uid="{95A7F5AA-A92D-42EB-A342-F46C3BC5EE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A69" authorId="0" shapeId="0" xr:uid="{328A82BD-8E91-4757-928F-6725A80383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B69" authorId="0" shapeId="0" xr:uid="{EC5693EE-22CE-4356-BE05-54A26F92C1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C69" authorId="0" shapeId="0" xr:uid="{16CB4798-1F68-4694-A393-6C89B9D196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D69" authorId="0" shapeId="0" xr:uid="{2EE28571-EF01-42CF-8089-81EBB67F4E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E69" authorId="0" shapeId="0" xr:uid="{F32C45E0-B9DF-4867-825B-7CA41BA13EC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F69" authorId="0" shapeId="0" xr:uid="{04A7116A-A9EF-4F32-9737-D54637A81B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G69" authorId="0" shapeId="0" xr:uid="{8A6A5541-F9A5-453C-B561-68D4D29A019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H69" authorId="0" shapeId="0" xr:uid="{0B2977FB-C7DB-485C-8C3E-21CD9859DA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A72" authorId="0" shapeId="0" xr:uid="{9EA810E7-2745-4AC3-B1FE-78873D2C1A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B72" authorId="0" shapeId="0" xr:uid="{D008C162-5CC9-43CA-B346-58D7858B6D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C72" authorId="0" shapeId="0" xr:uid="{B8B7B0CA-5C6E-4F76-8D48-EEF580D322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D72" authorId="0" shapeId="0" xr:uid="{D25BFE48-F854-49FA-86B2-9093FD2E7E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E72" authorId="0" shapeId="0" xr:uid="{549B176B-8E57-4639-8E01-08DFA5D9AE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F72" authorId="0" shapeId="0" xr:uid="{32468C6C-6B82-42C0-8DE5-9892B42CE2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G72" authorId="0" shapeId="0" xr:uid="{639A0639-ED7A-4E82-97D4-60D46A077F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H72" authorId="0" shapeId="0" xr:uid="{758A7593-2DF0-410B-BF98-33A1FD4BF2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A88" authorId="0" shapeId="0" xr:uid="{19531CC0-EC06-425B-A54E-1F1F491841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B88" authorId="0" shapeId="0" xr:uid="{B1E7F7C2-FA22-4D1E-85B4-3D722D9B3C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C88" authorId="0" shapeId="0" xr:uid="{A2ED8D7D-DB8C-453E-8D6B-3CBA937101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D88" authorId="0" shapeId="0" xr:uid="{D9CF8787-C6F3-4EBB-861D-52506B48E8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E88" authorId="0" shapeId="0" xr:uid="{BAE822B2-AB4C-40F2-AB12-C8DBD7F7A1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F88" authorId="0" shapeId="0" xr:uid="{DB97C9C1-8248-44D7-99AD-863742831A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G88" authorId="0" shapeId="0" xr:uid="{FB3F00F1-5669-47B0-81AE-C7325DAFB2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H88" authorId="0" shapeId="0" xr:uid="{250319EC-C896-4256-B057-9EB9B8F39A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A89" authorId="0" shapeId="0" xr:uid="{DDDF2D64-FD43-4AD7-B39A-D8C8E134D3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B89" authorId="0" shapeId="0" xr:uid="{57C6C975-CF29-4C4F-A6D7-F6CA0B9B39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C89" authorId="0" shapeId="0" xr:uid="{66FB24AE-FA99-46F0-B2F5-AD63CE0F05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D89" authorId="0" shapeId="0" xr:uid="{83D8DFC1-CB62-4702-9D9D-32F1290694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E89" authorId="0" shapeId="0" xr:uid="{011F1067-97BC-44A1-9B8F-FEB9D7CBF9B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F89" authorId="0" shapeId="0" xr:uid="{BE1C0DDF-FF90-411B-AC86-A6A1A80DE8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G89" authorId="0" shapeId="0" xr:uid="{4B95DA39-A1EF-48B6-A66C-597C8436125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H89" authorId="0" shapeId="0" xr:uid="{52485A40-FBC0-43B1-84CC-B77BAB3146D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A90" authorId="0" shapeId="0" xr:uid="{EC521401-9321-4D5C-A465-E384EFE843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B90" authorId="0" shapeId="0" xr:uid="{80FCC0D2-3C03-4515-876F-C486BEDEDF4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C90" authorId="0" shapeId="0" xr:uid="{531ED8D8-5D9D-4A54-905E-61534FC47F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D90" authorId="0" shapeId="0" xr:uid="{7AF4784A-8128-43B5-8530-9C00F50540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E90" authorId="0" shapeId="0" xr:uid="{5F0DBCF0-BE91-4C2E-841C-38C89ABF1EB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F90" authorId="0" shapeId="0" xr:uid="{DCFB59F7-DA5B-4F1D-9645-3B8E875E9D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G90" authorId="0" shapeId="0" xr:uid="{BB9ECD03-CFE0-40E6-A34C-5F0337F81F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H90" authorId="0" shapeId="0" xr:uid="{C12A07A5-0A4E-40F9-81F7-2BB2F40D753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A115" authorId="0" shapeId="0" xr:uid="{4C3113A0-73EA-44CF-A91B-6F7CFABD92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B115" authorId="0" shapeId="0" xr:uid="{209B24FF-7BF1-4CE4-ADE3-F571199E67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C115" authorId="0" shapeId="0" xr:uid="{0F1A967B-ED83-4909-ACD9-AB3811F7B6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D115" authorId="0" shapeId="0" xr:uid="{2091C025-4886-4065-9C7E-9EC9FE542D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E115" authorId="0" shapeId="0" xr:uid="{36610838-A9AD-4C89-80D6-599091A7B4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F115" authorId="0" shapeId="0" xr:uid="{CD8DF344-2829-4FF5-B28D-D83ECEDB3F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G115" authorId="0" shapeId="0" xr:uid="{3B00B100-75B3-4FC8-9CAD-5CBAFD6E25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H115" authorId="0" shapeId="0" xr:uid="{AF0FF4E4-80AB-4300-85E7-7A38CBEB9C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A128" authorId="0" shapeId="0" xr:uid="{58722AD2-C77E-4278-9302-22D7546106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B128" authorId="0" shapeId="0" xr:uid="{FFF8C6C0-9848-43F5-B03E-CC53DBAC915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C128" authorId="0" shapeId="0" xr:uid="{3965380D-AA4F-4992-A0FA-0850E032A9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D128" authorId="0" shapeId="0" xr:uid="{28D0AF6D-E74F-420D-A4D8-D91FB7632C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E128" authorId="0" shapeId="0" xr:uid="{B066DADA-EFCD-43E4-BAEF-939E2F5E634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F128" authorId="0" shapeId="0" xr:uid="{665A8188-26E7-490F-9CD3-35600A6D4E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G128" authorId="0" shapeId="0" xr:uid="{B1DA9C7F-D971-42AF-8E19-8C554038DA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H128" authorId="0" shapeId="0" xr:uid="{74ABFCD4-6A43-47E1-BAE1-3261A918A5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A129" authorId="0" shapeId="0" xr:uid="{3B5FAD38-6FC1-4952-9224-0873E85729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B129" authorId="0" shapeId="0" xr:uid="{55A65957-57C9-4E4B-B40B-8E12A14887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C129" authorId="0" shapeId="0" xr:uid="{41A70375-AD6C-421D-8822-F0E9394FED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D129" authorId="0" shapeId="0" xr:uid="{6385F1F7-4923-463F-A32A-98ECDEED690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E129" authorId="0" shapeId="0" xr:uid="{F8EEE6F4-65E0-4050-B274-5ADC03F4DA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F129" authorId="0" shapeId="0" xr:uid="{3FF7D6F7-273A-423C-9FA0-C80719FA4A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G129" authorId="0" shapeId="0" xr:uid="{F808ECA6-9F5A-4047-8D17-1424BA84711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H129" authorId="0" shapeId="0" xr:uid="{14966426-8238-4E20-9A2A-30CC66396B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A130" authorId="0" shapeId="0" xr:uid="{088FAB00-93BD-4EA1-96FA-ACB7E48ADA6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B130" authorId="0" shapeId="0" xr:uid="{69599FDD-845E-4EAA-8D7B-2AF28EE6DC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C130" authorId="0" shapeId="0" xr:uid="{589699ED-F319-4646-BAB4-0B4E09DBCA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D130" authorId="0" shapeId="0" xr:uid="{AC406B46-FA8E-4CB6-AD39-A985772B07D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E130" authorId="0" shapeId="0" xr:uid="{43BCEE9D-DC22-4006-8A59-06395455EF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F130" authorId="0" shapeId="0" xr:uid="{5833E0BA-F055-4122-91E0-57B01EE0C49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G130" authorId="0" shapeId="0" xr:uid="{A8F9BF95-5F55-4ADC-B1A4-51DB3B8009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H130" authorId="0" shapeId="0" xr:uid="{E4D2A120-C065-49B9-8779-E15626D52B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A143" authorId="0" shapeId="0" xr:uid="{E22F99F2-A0A0-42BA-9982-BC9A3B13A4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B143" authorId="0" shapeId="0" xr:uid="{CC356284-A424-4CE9-83E3-AC91A159E4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C143" authorId="0" shapeId="0" xr:uid="{E94FD1C1-2C70-40D9-B6A7-B8BAF625DB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D143" authorId="0" shapeId="0" xr:uid="{DCB5411C-001C-4506-A201-C16A91BB41F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E143" authorId="0" shapeId="0" xr:uid="{DFB1659C-ADA2-4FFE-ACB6-E88B3A6A61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F143" authorId="0" shapeId="0" xr:uid="{822D7957-CAD9-4E82-8068-9770C6F249E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G143" authorId="0" shapeId="0" xr:uid="{B3C06416-17D5-4507-B1CA-C1E0F06714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H143" authorId="0" shapeId="0" xr:uid="{578FDE73-8A6A-4116-9495-A7D71EFDD5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A200" authorId="0" shapeId="0" xr:uid="{CE1B773A-29FD-4DD3-B2EA-99BA10F470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B200" authorId="0" shapeId="0" xr:uid="{1E4BEB73-248A-4128-B267-79CB859877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C200" authorId="0" shapeId="0" xr:uid="{D5CFD93A-346D-4E0A-A96E-53C928D243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D200" authorId="0" shapeId="0" xr:uid="{EB334328-3805-48DD-9E1B-724F217309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E200" authorId="0" shapeId="0" xr:uid="{E5B6ACCC-D85B-44B5-8DA7-EA6BA8DE6E8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F200" authorId="0" shapeId="0" xr:uid="{46BC8170-4722-4978-8484-AAE0C475C1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G200" authorId="0" shapeId="0" xr:uid="{B13F225A-5730-4435-B58B-FE11377BB1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H200" authorId="0" shapeId="0" xr:uid="{1C812B5F-6550-4666-807C-C80D870EC2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A201" authorId="0" shapeId="0" xr:uid="{90425206-F656-4801-806E-673E2D551C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B201" authorId="0" shapeId="0" xr:uid="{68761CF1-38C3-4E19-A16D-3BB6977108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C201" authorId="0" shapeId="0" xr:uid="{3046998F-BEFF-4D8D-9E7C-0C4A476DAFF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D201" authorId="0" shapeId="0" xr:uid="{72426B26-1FA2-472E-8E87-8E2D7EBEF8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E201" authorId="0" shapeId="0" xr:uid="{1251D4A5-3FF9-4654-ABD5-BC99B3E52F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F201" authorId="0" shapeId="0" xr:uid="{C85C5BD8-0CA7-4EB4-B6FC-F4F5ADFA81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G201" authorId="0" shapeId="0" xr:uid="{8739C41F-347C-4945-88A5-776D796FE8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H201" authorId="0" shapeId="0" xr:uid="{235C6FCA-4631-4DF6-831B-50D6165C0E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A205" authorId="0" shapeId="0" xr:uid="{F9F9AB56-A483-4E0D-9777-192FD2D7458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B205" authorId="0" shapeId="0" xr:uid="{44823A99-A008-44D5-AFE2-88396A2152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C205" authorId="0" shapeId="0" xr:uid="{DE5F6EA2-559E-4256-9E52-5A27E9D86E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D205" authorId="0" shapeId="0" xr:uid="{E87AA71A-F408-4118-BB57-8609FE1B44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E205" authorId="0" shapeId="0" xr:uid="{6D30460E-AF9E-40F7-8DF4-288847B289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F205" authorId="0" shapeId="0" xr:uid="{29FDA202-515A-411D-9792-11BE5AAEB3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G205" authorId="0" shapeId="0" xr:uid="{EE61AF4F-A0FA-4E88-9E4E-E0FF0FCF91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H205" authorId="0" shapeId="0" xr:uid="{9799E472-9886-471C-9443-AB30ECC266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A206" authorId="0" shapeId="0" xr:uid="{CE6E0FAA-1B28-4D22-A0AD-5DBCCB4E75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B206" authorId="0" shapeId="0" xr:uid="{263F4107-CAA1-4AED-AB30-B5AE38C01F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C206" authorId="0" shapeId="0" xr:uid="{0A034C5D-CCBB-474B-9632-DF99852557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D206" authorId="0" shapeId="0" xr:uid="{117C219F-9585-4427-A830-C23E244CBFF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E206" authorId="0" shapeId="0" xr:uid="{B9C935B3-40C2-406B-9672-805B47AA22E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F206" authorId="0" shapeId="0" xr:uid="{4FE898BF-3B3F-4556-9396-232119258B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G206" authorId="0" shapeId="0" xr:uid="{B1A48B39-3989-497D-9B56-A962933594D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H206" authorId="0" shapeId="0" xr:uid="{5CBC6B71-0BEF-4654-9E7C-38AA7DA90AB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A264" authorId="0" shapeId="0" xr:uid="{BB296BD1-CA39-4D8D-8CE3-98E856010E4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B264" authorId="0" shapeId="0" xr:uid="{2B6123B6-0B4A-4A25-B426-50A75E9B7F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C264" authorId="0" shapeId="0" xr:uid="{063850E5-9AC1-48CF-B755-3C38C67A3B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D264" authorId="0" shapeId="0" xr:uid="{4D809E87-4495-414B-8532-F2824120698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E264" authorId="0" shapeId="0" xr:uid="{540781FC-9D9E-434A-8122-158D7C5226A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F264" authorId="0" shapeId="0" xr:uid="{4015711A-F801-49A2-8EAA-582DA54C50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G264" authorId="0" shapeId="0" xr:uid="{43CEBDB6-78B1-47DB-8228-CE2AAAD6D4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H264" authorId="0" shapeId="0" xr:uid="{451930FE-D2EA-4FA1-88D9-073790F861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A265" authorId="0" shapeId="0" xr:uid="{331AEEC4-8B3A-47FE-BC2C-E00318B63F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B265" authorId="0" shapeId="0" xr:uid="{DFFDEDF1-A0D1-4D6C-A40E-395D7DCCD3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C265" authorId="0" shapeId="0" xr:uid="{7BDA55E0-EAE5-45D9-BFCC-2313E6C70B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D265" authorId="0" shapeId="0" xr:uid="{4A0BBBB7-213D-4369-8173-FEC83CCAD8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E265" authorId="0" shapeId="0" xr:uid="{C2228192-5C58-4876-B65F-8E2F705FE4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F265" authorId="0" shapeId="0" xr:uid="{DEB94104-9107-4BAA-9424-10B179FF58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G265" authorId="0" shapeId="0" xr:uid="{E4549E2D-E406-4AF7-AFDE-1C88264440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H265" authorId="0" shapeId="0" xr:uid="{01CD5342-8572-4079-8192-78DEF75D3C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35BF31CB-E0A1-4233-BCBF-9389409CC6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B2" authorId="0" shapeId="0" xr:uid="{2CDFF491-BA21-4F80-8180-E0BA805245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C2" authorId="0" shapeId="0" xr:uid="{F0EBC5EF-77B8-43B4-B664-8922E41925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D2" authorId="0" shapeId="0" xr:uid="{CF83F836-6D2C-4D17-A404-8F5B070361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E2" authorId="0" shapeId="0" xr:uid="{E5A04AF4-6683-4BC3-800A-BA7B292F62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F2" authorId="0" shapeId="0" xr:uid="{E9B47D0E-628B-426F-BC02-F6E42A68271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G2" authorId="0" shapeId="0" xr:uid="{D2A871B1-D369-4EB7-BBFB-7EECC0223D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H2" authorId="0" shapeId="0" xr:uid="{11F670E8-9907-4049-8ED3-3C8F013C96D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A4" authorId="0" shapeId="0" xr:uid="{AA2BC8EA-F42F-4BCA-B0D8-3178E8476D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B4" authorId="0" shapeId="0" xr:uid="{DC75B20E-08B4-48C4-8064-E5E8D58642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C4" authorId="0" shapeId="0" xr:uid="{44202A76-4628-492E-A6B8-1E8EB409A7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D4" authorId="0" shapeId="0" xr:uid="{11091D21-6EAA-45D0-AFDA-33DAD96D26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E4" authorId="0" shapeId="0" xr:uid="{80A4102F-A1B7-4572-812F-5B1A2AB952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F4" authorId="0" shapeId="0" xr:uid="{42632B87-4BBA-4B17-87CD-CF7E3B7228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G4" authorId="0" shapeId="0" xr:uid="{BB676278-FED0-4FAC-A44E-84EA7B307B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H4" authorId="0" shapeId="0" xr:uid="{DDF74AC9-B8E9-47DB-9DF7-1A03E82353C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A5" authorId="0" shapeId="0" xr:uid="{3D27273B-7682-4850-B0B4-D4309CBF74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B5" authorId="0" shapeId="0" xr:uid="{2911BD70-B1E7-464A-A08A-F7BB23EC8A5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C5" authorId="0" shapeId="0" xr:uid="{F4E09660-BE5D-4029-B4E8-EA6488B59B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D5" authorId="0" shapeId="0" xr:uid="{11CC0BCF-66F0-4297-9A7F-F89D3BD75C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E5" authorId="0" shapeId="0" xr:uid="{83E4A1F1-BB29-4A91-8E9C-7261FF6526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F5" authorId="0" shapeId="0" xr:uid="{3566800F-1BC5-4402-AE5F-728908F49E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G5" authorId="0" shapeId="0" xr:uid="{4DBEF998-CEBC-44C8-87C4-D3D1D9EB97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H5" authorId="0" shapeId="0" xr:uid="{85736999-0E4A-41AC-9462-C1A98897438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A6" authorId="0" shapeId="0" xr:uid="{02EFD0A5-4A05-46B3-A09F-60199E2C08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B6" authorId="0" shapeId="0" xr:uid="{CB8B75FC-5BD5-4265-8E7A-A688524008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C6" authorId="0" shapeId="0" xr:uid="{8573FC21-AC7B-4983-9D72-A62597EBD6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D6" authorId="0" shapeId="0" xr:uid="{E877759E-DFB2-40A0-8CDF-BEB6CA1F69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E6" authorId="0" shapeId="0" xr:uid="{629ED8B4-FA2E-45A8-972E-7EDD133184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F6" authorId="0" shapeId="0" xr:uid="{0783A947-2AD9-41C3-8BE2-30DE8F30CA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G6" authorId="0" shapeId="0" xr:uid="{FA3B451A-CC3A-4ABE-8506-3A03713C68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H6" authorId="0" shapeId="0" xr:uid="{F8C7E520-3A49-430D-9AD4-498AA10E22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A10" authorId="0" shapeId="0" xr:uid="{E2EC285E-54FA-483E-8AA6-E100BD6FB9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B10" authorId="0" shapeId="0" xr:uid="{35D3F5D4-D523-43F9-8D7F-208B39691D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C10" authorId="0" shapeId="0" xr:uid="{FFDF644C-8928-4D7C-A00C-AEB5D328C3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D10" authorId="0" shapeId="0" xr:uid="{2A5370D6-D5F2-4D58-AD31-60444966671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E10" authorId="0" shapeId="0" xr:uid="{F9281BD5-9AD1-4AD5-AAD7-5EAA3E438B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F10" authorId="0" shapeId="0" xr:uid="{9A74CB9A-24AD-4A1B-B2FA-3923CD960A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G10" authorId="0" shapeId="0" xr:uid="{F56D2F8E-B96C-4A6B-B6EA-2DC85EE6D4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H10" authorId="0" shapeId="0" xr:uid="{31F25CAB-8A51-4F67-8AD0-FAB353D939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A11" authorId="0" shapeId="0" xr:uid="{D862729E-56F3-4E50-9452-8966EF0670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B11" authorId="0" shapeId="0" xr:uid="{DAFC50AE-FB9E-456D-A785-7CA84A4F87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C11" authorId="0" shapeId="0" xr:uid="{80926CFB-FC85-4A52-B016-0A8ACC2B9A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D11" authorId="0" shapeId="0" xr:uid="{5237C8F8-F207-40D6-B0C2-F687CC0B16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E11" authorId="0" shapeId="0" xr:uid="{2A08C82A-05DD-4770-AF08-E92CFD66AD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F11" authorId="0" shapeId="0" xr:uid="{075EA434-2586-4402-818A-34A3146248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G11" authorId="0" shapeId="0" xr:uid="{0F064DB3-5980-41AA-88C0-BF2A217272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H11" authorId="0" shapeId="0" xr:uid="{844BBFF4-2CBB-4BD8-A22F-686E2A3292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A12" authorId="0" shapeId="0" xr:uid="{46A6E43D-5406-4038-B61D-50B7065C27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B12" authorId="0" shapeId="0" xr:uid="{042386DD-1ACA-4CF2-BA02-C06E5A635E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C12" authorId="0" shapeId="0" xr:uid="{7BD3CF8A-D5D3-45AC-BB52-E392F0D8F1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D12" authorId="0" shapeId="0" xr:uid="{8B2605C1-E991-427D-AAF9-EA10320D8D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E12" authorId="0" shapeId="0" xr:uid="{B6701947-96EA-4E12-AD33-FA968E0253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F12" authorId="0" shapeId="0" xr:uid="{B7D256D7-3711-4BC4-B850-A03C7D2B1A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G12" authorId="0" shapeId="0" xr:uid="{FC8A848D-E604-4F87-9A8D-2DABDA7845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H12" authorId="0" shapeId="0" xr:uid="{7F414DBB-DA27-4F9E-98C5-43A847DED96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A13" authorId="0" shapeId="0" xr:uid="{45C3F4FD-104A-45CB-8626-B8CBA83E9D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B13" authorId="0" shapeId="0" xr:uid="{0DA8A7EB-5DFF-4D3C-9330-202EBFE89D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C13" authorId="0" shapeId="0" xr:uid="{2C41EB58-C3F0-4B16-B481-65053869E4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D13" authorId="0" shapeId="0" xr:uid="{EE54F7B2-DC93-4A91-8B31-044D8C40FF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E13" authorId="0" shapeId="0" xr:uid="{9095BC30-5DCA-4CA6-92A9-FE1ADCC4D4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F13" authorId="0" shapeId="0" xr:uid="{F5F2C041-7FD1-4A15-B2F6-8AFD31A3E4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G13" authorId="0" shapeId="0" xr:uid="{03F879F5-DC96-43A0-B6AA-8E60887EFA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H13" authorId="0" shapeId="0" xr:uid="{599F80E8-77C9-48E7-9276-59A19FFF96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A15" authorId="0" shapeId="0" xr:uid="{02DDD88B-8028-4824-B648-22937DD8DD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B15" authorId="0" shapeId="0" xr:uid="{F7DFA746-D478-4F83-A941-9BEE297FB3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C15" authorId="0" shapeId="0" xr:uid="{CACB1DC9-837C-4A22-A80A-A7C8A8F9F5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D15" authorId="0" shapeId="0" xr:uid="{9ADC2BAE-188D-4990-95FA-B18715C7C5D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E15" authorId="0" shapeId="0" xr:uid="{2A1419A9-69DE-4366-AFFB-31DEDD9D9D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F15" authorId="0" shapeId="0" xr:uid="{E08B8C87-1049-419D-810D-DA367FEA44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G15" authorId="0" shapeId="0" xr:uid="{C7ADA023-3F01-4F83-A3A2-2C78BBE810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H15" authorId="0" shapeId="0" xr:uid="{D5D4E3AA-9AF7-4FD7-AF35-150B68340F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A16" authorId="0" shapeId="0" xr:uid="{DED5480F-2DF9-40CD-90A3-C9338CE54A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B16" authorId="0" shapeId="0" xr:uid="{B9982F1D-61DF-44EC-BB28-99E3F7FA8E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C16" authorId="0" shapeId="0" xr:uid="{C5A8A8A9-0272-4406-87F2-EDEBB301D8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D16" authorId="0" shapeId="0" xr:uid="{99C4F022-693B-4749-BA49-5BC71AE8788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E16" authorId="0" shapeId="0" xr:uid="{742EA199-6353-401B-BD18-7D77EC3DF4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F16" authorId="0" shapeId="0" xr:uid="{AC16149B-94C5-404E-BF3C-FE4518BBDE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G16" authorId="0" shapeId="0" xr:uid="{AC9A99BA-3BEE-4D64-81E1-ED58BD4F28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H16" authorId="0" shapeId="0" xr:uid="{77A2B54D-C1E3-40D5-B95B-175FEA1418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20-NOV]_x000D_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A17" authorId="0" shapeId="0" xr:uid="{B7724647-D910-4D95-9AF1-3CFCC751568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B17" authorId="0" shapeId="0" xr:uid="{13A7033E-27BA-4B56-8593-9F481C52A7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C17" authorId="0" shapeId="0" xr:uid="{EE64D2DE-E757-4DE5-A3A9-DF6410D6A6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D17" authorId="0" shapeId="0" xr:uid="{E5DEFA16-3DEE-45E0-9443-0E486A33DBB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E17" authorId="0" shapeId="0" xr:uid="{2BA77A20-95B1-42BE-86A2-8220E2F82D9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F17" authorId="0" shapeId="0" xr:uid="{B61650E0-211B-4A41-9A92-53503CD25D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G17" authorId="0" shapeId="0" xr:uid="{15F1D6EE-F4C2-4CED-8781-8341E47D76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H17" authorId="0" shapeId="0" xr:uid="{16B13D59-AFDB-41FB-9810-6DCC3974C58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A28" authorId="0" shapeId="0" xr:uid="{4FF769F0-06AE-46FE-9AB7-CE41BC1843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B28" authorId="0" shapeId="0" xr:uid="{94F24E30-7900-4C75-8006-B8D6845F30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C28" authorId="0" shapeId="0" xr:uid="{18456AFC-6B87-4A3C-8B42-9FE0319926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D28" authorId="0" shapeId="0" xr:uid="{7B7B4F8A-0DE5-415B-9126-DA113A9BE13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E28" authorId="0" shapeId="0" xr:uid="{BBD147DE-79D6-4D36-BF27-48AEEDFC34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F28" authorId="0" shapeId="0" xr:uid="{F1AFFCFD-2093-4920-B8A8-88695210D5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G28" authorId="0" shapeId="0" xr:uid="{6EA25500-3BDE-4F93-9281-318ECD77AE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H28" authorId="0" shapeId="0" xr:uid="{5808CEAA-A20D-49D0-B17C-44D112AD60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A30" authorId="0" shapeId="0" xr:uid="{DB0D278F-E4CC-4B6A-975A-542BE6436E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B30" authorId="0" shapeId="0" xr:uid="{624F2BD1-C987-4714-A2A3-AA6B67247F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C30" authorId="0" shapeId="0" xr:uid="{D3C2A580-F22D-4B9E-A6CF-424B980E0A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D30" authorId="0" shapeId="0" xr:uid="{6B539E46-8B6C-401F-ACE0-692F072F80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E30" authorId="0" shapeId="0" xr:uid="{0000F8C3-760E-4179-853B-0A2AB7545E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F30" authorId="0" shapeId="0" xr:uid="{27FF03F4-8497-4308-9FCD-9C4238FAD3F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G30" authorId="0" shapeId="0" xr:uid="{BFF5DE4C-4795-4370-B1B8-3691556DDB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H30" authorId="0" shapeId="0" xr:uid="{CFA67866-449E-46F2-B550-5AD27EA467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A31" authorId="0" shapeId="0" xr:uid="{CC020267-772B-4C4B-9146-012FCA7468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B31" authorId="0" shapeId="0" xr:uid="{3B0352C8-F691-425A-BA1F-39EE4B7E3F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C31" authorId="0" shapeId="0" xr:uid="{E92C81D9-3100-446F-B6CA-D118F57E65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D31" authorId="0" shapeId="0" xr:uid="{6E05324E-66EA-47B6-89A7-E4AA1F7A73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E31" authorId="0" shapeId="0" xr:uid="{7562C180-0679-4CDB-92D8-B2978F0FB2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F31" authorId="0" shapeId="0" xr:uid="{114A8612-CFD1-40EA-905B-286B5589AE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G31" authorId="0" shapeId="0" xr:uid="{E5DD0CF1-5D38-45FE-B8C0-830F3492D1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H31" authorId="0" shapeId="0" xr:uid="{A0B5096E-50AB-4207-94F3-27ED1CFD1DB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A32" authorId="0" shapeId="0" xr:uid="{C770709F-216C-4DCF-8220-22A616D8A5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B32" authorId="0" shapeId="0" xr:uid="{81051EAF-BB5E-49F2-BB26-49B8C1F4A8F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C32" authorId="0" shapeId="0" xr:uid="{EA82D839-4070-4D0B-B7C9-3D741F0813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D32" authorId="0" shapeId="0" xr:uid="{C9809567-1072-4BB8-A527-9F12010999D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E32" authorId="0" shapeId="0" xr:uid="{0C25A34C-9472-42C9-94A4-5E8F798D424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F32" authorId="0" shapeId="0" xr:uid="{5103B5EF-FBC4-4EB1-99B7-4521F06CC2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G32" authorId="0" shapeId="0" xr:uid="{9FA80E60-EB30-49D3-9035-1F6548C966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H32" authorId="0" shapeId="0" xr:uid="{B0921F94-135D-4922-9DD8-46AB71528A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A33" authorId="0" shapeId="0" xr:uid="{E518215B-79C7-4950-A629-7D75E65677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B33" authorId="0" shapeId="0" xr:uid="{C4BC1D5C-5D92-4AE1-B9C0-3FA8413A21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C33" authorId="0" shapeId="0" xr:uid="{03D6FA31-D581-44B4-8F35-90E3456AD9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D33" authorId="0" shapeId="0" xr:uid="{B73C98C4-82EF-4E96-AC44-7035A32D5A0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E33" authorId="0" shapeId="0" xr:uid="{D6C1127F-64B9-4780-AD80-62CB5BC465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F33" authorId="0" shapeId="0" xr:uid="{257E796C-4B1C-4BF9-8BC2-C39360840D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G33" authorId="0" shapeId="0" xr:uid="{D7DBBD38-5799-4138-BA17-16CBEF0EEC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H33" authorId="0" shapeId="0" xr:uid="{5B907262-A5AB-4B54-926D-75D8248AC7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A34" authorId="0" shapeId="0" xr:uid="{35CC0C76-369A-4D78-BE57-3EA4D8AE33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B34" authorId="0" shapeId="0" xr:uid="{868FA799-43B9-40A4-BA7C-6E0F7DDF94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C34" authorId="0" shapeId="0" xr:uid="{C991D221-327F-4359-8CE4-FAA0F63428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D34" authorId="0" shapeId="0" xr:uid="{3E07FA76-7F27-40D2-9BB2-A87608C922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E34" authorId="0" shapeId="0" xr:uid="{B1FBDDB1-35C6-4058-9922-88DDFD35A7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F34" authorId="0" shapeId="0" xr:uid="{224553A2-EA0D-4B6C-85D6-9560697882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G34" authorId="0" shapeId="0" xr:uid="{379B2C70-B919-46B7-8D4E-7B9C7E00F8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H34" authorId="0" shapeId="0" xr:uid="{D6DA9086-8876-4D9B-822E-9B636A0AE4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A35" authorId="0" shapeId="0" xr:uid="{46F2A7D9-9452-4F21-A8A4-860637B0978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B35" authorId="0" shapeId="0" xr:uid="{02664F23-7EDB-4A14-9CB1-D7C9F769CAF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C35" authorId="0" shapeId="0" xr:uid="{7FF8087A-C3A5-4ACE-826A-EC18E142DF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D35" authorId="0" shapeId="0" xr:uid="{22FCCE7D-C259-490B-B797-A881A008848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E35" authorId="0" shapeId="0" xr:uid="{57B3FE04-5F28-4C2D-A929-C73BBE887E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F35" authorId="0" shapeId="0" xr:uid="{4E58240B-8B87-4099-8C4A-D5BF0412D3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G35" authorId="0" shapeId="0" xr:uid="{B00E4509-6F4F-40F0-899C-E060320917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H35" authorId="0" shapeId="0" xr:uid="{C6F3C820-F839-4CD1-855C-2382301378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2" authorId="0" shapeId="0" xr:uid="{AA5C8EDC-B367-4E3E-BA61-88326F4D7B0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B12" authorId="0" shapeId="0" xr:uid="{FA00FDA7-7BF8-4895-9EC9-211B8C12731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C12" authorId="0" shapeId="0" xr:uid="{5368BDA4-7A1F-4E91-8E41-83F5791634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D12" authorId="0" shapeId="0" xr:uid="{741FA88A-1C09-4602-9D3D-F875F18C01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E12" authorId="0" shapeId="0" xr:uid="{932527D7-2BB4-4376-95E9-F30F4CB532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F12" authorId="0" shapeId="0" xr:uid="{D8CC326F-E99F-487A-B54F-27257C8577B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G12" authorId="0" shapeId="0" xr:uid="{520C61A7-B2E5-4411-9328-5AAE065748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H12" authorId="0" shapeId="0" xr:uid="{1C4C12CD-FD33-482A-A0B4-93711CB292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A13" authorId="0" shapeId="0" xr:uid="{7A4ED1EB-D019-47A1-AEBB-2FC57632BD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B13" authorId="0" shapeId="0" xr:uid="{BC611389-3603-443B-AE02-D83F2ECC4EA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C13" authorId="0" shapeId="0" xr:uid="{C83B0222-EF63-4DFF-A5DD-C0E155D091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D13" authorId="0" shapeId="0" xr:uid="{AD9FC563-1F35-4977-B340-8C1A045ED2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E13" authorId="0" shapeId="0" xr:uid="{48336903-FEA4-4572-861A-86CBB4EDAD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F13" authorId="0" shapeId="0" xr:uid="{EDFEF4EB-295D-4FD3-B409-47C4592D40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G13" authorId="0" shapeId="0" xr:uid="{9ADA8AAF-1918-44C8-8D87-C234BB0537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H13" authorId="0" shapeId="0" xr:uid="{4C4016F0-1EAA-48A8-B0E6-F93D5E10EB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A27" authorId="0" shapeId="0" xr:uid="{499F9333-6DCB-4B8A-AE71-B96215ABD4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B27" authorId="0" shapeId="0" xr:uid="{EF1F725A-3DB0-4E87-BBF5-A48CD80F35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C27" authorId="0" shapeId="0" xr:uid="{5DF21D44-16E1-49A4-8C45-87D969AE72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D27" authorId="0" shapeId="0" xr:uid="{FC416F67-3935-4C4A-BF0A-2E2523580D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E27" authorId="0" shapeId="0" xr:uid="{8AB359B5-E42C-4A08-9C6F-71C7E2BCADA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F27" authorId="0" shapeId="0" xr:uid="{FD6C6D47-B2EF-4FB4-9DE4-8710070A0F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G27" authorId="0" shapeId="0" xr:uid="{B9EFF10C-4E90-4D70-BDF5-5C7493D36B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H27" authorId="0" shapeId="0" xr:uid="{6D1C25AB-52BB-4957-96AF-5EBDD05DD3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A31" authorId="0" shapeId="0" xr:uid="{6682A2DD-4873-4201-9829-835B8601989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B31" authorId="0" shapeId="0" xr:uid="{4DC241E8-A9B6-4B89-922B-4D510B0F7B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C31" authorId="0" shapeId="0" xr:uid="{97AC5F01-9A00-49F4-B9C5-8610CCA62E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D31" authorId="0" shapeId="0" xr:uid="{92C49865-6F54-4C2D-88AB-60DC274FDD1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E31" authorId="0" shapeId="0" xr:uid="{B186E721-5EAB-47B6-8A2D-4D55D34C2E4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F31" authorId="0" shapeId="0" xr:uid="{9F1F2CAA-0381-40D0-9D08-FFC0D3A290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G31" authorId="0" shapeId="0" xr:uid="{20932A6A-263F-484B-BC31-9A4AB45EA53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H31" authorId="0" shapeId="0" xr:uid="{F90F47E4-92C9-45A0-A26F-78D3E7A613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A48" authorId="0" shapeId="0" xr:uid="{BF207144-2D1A-4B43-A8B6-F01554AE37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B48" authorId="0" shapeId="0" xr:uid="{2F8FE32A-F0A7-47C4-A382-F2819FAFC8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C48" authorId="0" shapeId="0" xr:uid="{F87CC83A-2635-4CBD-832D-B8D1512E28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D48" authorId="0" shapeId="0" xr:uid="{05944869-2C15-4DB4-AC56-5131924AD5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E48" authorId="0" shapeId="0" xr:uid="{94AB75A8-5A04-42D4-8734-9D5E293E55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F48" authorId="0" shapeId="0" xr:uid="{B22D3FED-CF0E-4482-A2B0-FB1C3A972F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G48" authorId="0" shapeId="0" xr:uid="{C9D81E97-8AE7-4A50-AAEA-FA14F76AF6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H48" authorId="0" shapeId="0" xr:uid="{3D28EB99-145B-44F4-BDA9-1BD6F76788F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A49" authorId="0" shapeId="0" xr:uid="{972EDC6E-03AC-4F09-B4ED-C9C0494DC1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B49" authorId="0" shapeId="0" xr:uid="{B19A6FA5-7CB7-4C94-8B80-BD9B9984D5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C49" authorId="0" shapeId="0" xr:uid="{9CD536EE-83A4-4899-B01F-915C4B73CA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D49" authorId="0" shapeId="0" xr:uid="{7CE06843-847F-4EB6-BFBD-02994B3FE5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E49" authorId="0" shapeId="0" xr:uid="{F67AF78B-B594-4187-A3C1-976096E908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F49" authorId="0" shapeId="0" xr:uid="{E6BB1171-9B96-475F-B49D-08179CB9BF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G49" authorId="0" shapeId="0" xr:uid="{87399870-DA80-4EDA-942E-68A793857E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H49" authorId="0" shapeId="0" xr:uid="{78569270-5DBA-46A0-A86B-D98AFDE482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A71" authorId="0" shapeId="0" xr:uid="{89756F68-2ED0-4C03-B741-250E466AF2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B71" authorId="0" shapeId="0" xr:uid="{4323674D-ACC0-4C6E-BDD9-B406584958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C71" authorId="0" shapeId="0" xr:uid="{C6EEA704-8EF8-40A0-A2E5-9B46A30C694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D71" authorId="0" shapeId="0" xr:uid="{89FBDE07-D728-466D-B1C5-037B442768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E71" authorId="0" shapeId="0" xr:uid="{E192083E-4987-4B1A-B70C-BEF6F4819E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F71" authorId="0" shapeId="0" xr:uid="{6A79C87B-4A30-412D-9B80-EDDAD8D910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G71" authorId="0" shapeId="0" xr:uid="{5606FD9B-7FD4-4FA8-89C1-7AEF2E1FFE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H71" authorId="0" shapeId="0" xr:uid="{6FD24DA2-F9CD-46D2-9A11-4F6420688A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D8D82B22-F6A7-4D61-BBC9-C809C1F657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B2" authorId="0" shapeId="0" xr:uid="{88C9097F-5185-449B-90C0-63BBD6AA1A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C2" authorId="0" shapeId="0" xr:uid="{41CA4F01-445F-4F32-BDE5-5EB34A34C1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D2" authorId="0" shapeId="0" xr:uid="{3C1AD91C-CF9F-4AF1-8FA2-0CE47E04BF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E2" authorId="0" shapeId="0" xr:uid="{FC88CA28-3826-49C4-A77B-CFBB059DCD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F2" authorId="0" shapeId="0" xr:uid="{3A1769AB-B34F-4C77-9873-1F5B0AE5EA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G2" authorId="0" shapeId="0" xr:uid="{0C315F4A-68C9-4FAC-A1FE-4BF8873C94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H2" authorId="0" shapeId="0" xr:uid="{DA87E1C5-8DAB-4B90-95E5-A44F101286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A3" authorId="0" shapeId="0" xr:uid="{24292F5B-A6F8-40CF-9549-1DBA7E265C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B3" authorId="0" shapeId="0" xr:uid="{FC8570C0-76DE-40E3-969E-BAE2024BE19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C3" authorId="0" shapeId="0" xr:uid="{C581EC00-02B0-4DED-800F-ECA0940A5F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D3" authorId="0" shapeId="0" xr:uid="{31FF2729-2EDD-4293-9AF6-0A004FE577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E3" authorId="0" shapeId="0" xr:uid="{FAEF3562-554D-4A00-A508-14C124111A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F3" authorId="0" shapeId="0" xr:uid="{69ADC7C6-0FC7-4BDF-9CF0-4774822114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G3" authorId="0" shapeId="0" xr:uid="{3EB4C8C4-3096-4AE9-8761-15E69E7456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H3" authorId="0" shapeId="0" xr:uid="{6FC21C9E-BB7F-4D7C-87C1-5A0BFDE1118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A15" authorId="0" shapeId="0" xr:uid="{FC194B50-6939-4181-9836-01A8088A0D8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B15" authorId="0" shapeId="0" xr:uid="{5E6F887B-0A99-4B49-85D9-A5A022C456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C15" authorId="0" shapeId="0" xr:uid="{68154A35-0E87-4A46-A5EE-5775B36449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D15" authorId="0" shapeId="0" xr:uid="{F830887F-9E93-4B41-B4DE-BCD56B559D1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E15" authorId="0" shapeId="0" xr:uid="{A0C5F0FA-B8E8-4812-A024-C605D60F11F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F15" authorId="0" shapeId="0" xr:uid="{CBA4563B-77DF-41EF-986A-EAE33F11411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G15" authorId="0" shapeId="0" xr:uid="{A586A2FC-E9F5-4AF9-99AE-EC8A69A3934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H15" authorId="0" shapeId="0" xr:uid="{B66C67D6-F684-4001-8E07-9CA052349F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A16" authorId="0" shapeId="0" xr:uid="{B4BEB469-C9BD-472B-8AC4-B422C19B5D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B16" authorId="0" shapeId="0" xr:uid="{BA9FCCDD-0FD9-437C-9855-CA60505505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C16" authorId="0" shapeId="0" xr:uid="{1254BAB2-11D9-4633-B99B-B0FE626A83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D16" authorId="0" shapeId="0" xr:uid="{66310976-9278-4FEA-8A5F-F82B8D9033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E16" authorId="0" shapeId="0" xr:uid="{D3BBCB76-04A9-4425-A8CE-CABDBB55FAB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F16" authorId="0" shapeId="0" xr:uid="{899EF104-BB83-4324-AA26-B3642C1EC9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G16" authorId="0" shapeId="0" xr:uid="{F18A36BB-DE3D-41AA-914E-9FA10ACD5B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H16" authorId="0" shapeId="0" xr:uid="{C80C3FC0-0D42-46BE-BE4D-C5F1480447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A28" authorId="0" shapeId="0" xr:uid="{8358B5DC-AA49-4026-84EB-8D4647B895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B28" authorId="0" shapeId="0" xr:uid="{1007D430-2B8D-4961-B614-1E96EDE711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C28" authorId="0" shapeId="0" xr:uid="{5CF8C6D4-24D0-4252-8E5D-DACCA8504D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D28" authorId="0" shapeId="0" xr:uid="{27839E15-8CA2-4A9C-9B67-C3253B8735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E28" authorId="0" shapeId="0" xr:uid="{D8392A29-B18E-4017-8373-7508819045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F28" authorId="0" shapeId="0" xr:uid="{AAF71694-2029-4AE5-97B7-E7B734949A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G28" authorId="0" shapeId="0" xr:uid="{1077DBF0-C9C5-4E15-AAB8-FB961E2DAD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H28" authorId="0" shapeId="0" xr:uid="{74044F1F-E8F4-449D-8433-284B94D29DF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A29" authorId="0" shapeId="0" xr:uid="{BBFA7C5B-3B9E-4A7F-9796-531939A078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B29" authorId="0" shapeId="0" xr:uid="{C92ECFFE-7F74-42C4-A0E5-E0F4CC212F8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C29" authorId="0" shapeId="0" xr:uid="{5C210076-29AA-4105-A70A-1315901296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D29" authorId="0" shapeId="0" xr:uid="{E4A29A40-87D6-46FD-A759-8491A4A5C7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E29" authorId="0" shapeId="0" xr:uid="{1EA3F2A7-CB6E-411F-8737-6C71DDA227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F29" authorId="0" shapeId="0" xr:uid="{9F715FF8-BBC0-4374-9958-31148BD9E2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G29" authorId="0" shapeId="0" xr:uid="{5E895094-1A95-43C5-BDF3-5EEC9A12B3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H29" authorId="0" shapeId="0" xr:uid="{5EBFDA88-209F-4EBE-8C61-D67178EC45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A42" authorId="0" shapeId="0" xr:uid="{01C04286-592B-408D-A66D-E3CF4B8A06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B42" authorId="0" shapeId="0" xr:uid="{2FE3EEE1-58D4-4EDD-AD62-1D93365E69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C42" authorId="0" shapeId="0" xr:uid="{E898486C-6448-448E-B7C1-09FF674032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D42" authorId="0" shapeId="0" xr:uid="{B52ED863-04DB-4978-9FC1-D8F78675C4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E42" authorId="0" shapeId="0" xr:uid="{E116BD85-527C-4F81-B7F8-237F923ACB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F42" authorId="0" shapeId="0" xr:uid="{95B4F269-0165-47CE-8CBC-5AD55B34E3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G42" authorId="0" shapeId="0" xr:uid="{F72B78F5-B50C-4C78-BC3D-7C78C6DB30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H42" authorId="0" shapeId="0" xr:uid="{291439F2-6D0F-4BC1-84E7-73F2189B2D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606F4076-752D-402D-97B3-1E22D38EBD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B2" authorId="0" shapeId="0" xr:uid="{40B71E58-3496-4A93-8DCE-98A96810CE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C2" authorId="0" shapeId="0" xr:uid="{08B510AB-A0CD-41E0-9130-0199F6C037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D2" authorId="0" shapeId="0" xr:uid="{D731410A-67A7-4AA5-A0DE-7B2C0090F5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E2" authorId="0" shapeId="0" xr:uid="{E56EEB86-30D0-4822-BC75-053349169E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F2" authorId="0" shapeId="0" xr:uid="{599130E9-378A-4035-820D-3ADBA3D356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G2" authorId="0" shapeId="0" xr:uid="{B263F8E0-905F-4C94-8648-F083B93B864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H2" authorId="0" shapeId="0" xr:uid="{AEE57247-438C-4CD1-A4C1-42F3F735444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A3" authorId="0" shapeId="0" xr:uid="{2C65E1F0-6545-4446-941F-EAB65EA856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B3" authorId="0" shapeId="0" xr:uid="{68DD6CEF-30BB-4648-8C20-00A3288EC41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C3" authorId="0" shapeId="0" xr:uid="{E2AADC9E-E0AD-406F-8650-BF0FDB6C75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D3" authorId="0" shapeId="0" xr:uid="{26D3CC2B-1F0A-4ADB-B9AA-53F8552548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E3" authorId="0" shapeId="0" xr:uid="{B1A2E369-7C09-45C4-8723-55AF0B63D8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F3" authorId="0" shapeId="0" xr:uid="{965A6BF5-405C-428C-837F-F4AB217F5C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G3" authorId="0" shapeId="0" xr:uid="{F839983D-E69A-4485-9430-54A2AD20A8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H3" authorId="0" shapeId="0" xr:uid="{8A7BD6D0-603C-4ED8-8332-B5DEE2428E8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A19" authorId="0" shapeId="0" xr:uid="{4128BDC0-A234-4803-B142-3F5B7616799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B19" authorId="0" shapeId="0" xr:uid="{13FF723E-95EA-4DE0-BE7B-1D9AC7422A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C19" authorId="0" shapeId="0" xr:uid="{18286A7F-D9EF-4FF5-BA22-D71082A359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D19" authorId="0" shapeId="0" xr:uid="{4317D4AB-CC4C-4822-BCEA-49A76FC2F3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E19" authorId="0" shapeId="0" xr:uid="{76FBA72B-9C1E-4EBA-B77B-ED5AA87907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F19" authorId="0" shapeId="0" xr:uid="{97B3128E-FF89-4537-B570-3F74186345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G19" authorId="0" shapeId="0" xr:uid="{22E325A0-21CD-454F-9930-94F70024F19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H19" authorId="0" shapeId="0" xr:uid="{3ABA2FC7-BBB1-4745-A5EA-673C9DEFF8D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A20" authorId="0" shapeId="0" xr:uid="{741A2AC5-05DB-4F4D-B67B-5B458BAB7D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B20" authorId="0" shapeId="0" xr:uid="{F37AC2BD-01AB-43E9-BAE2-9B408F723A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C20" authorId="0" shapeId="0" xr:uid="{6E641004-4C34-4C0A-918B-9C9F36CB8A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D20" authorId="0" shapeId="0" xr:uid="{E6A0B522-A95C-4974-92F4-A24B42F37A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E20" authorId="0" shapeId="0" xr:uid="{B1712206-AED4-435A-8F1A-A60AB63EBE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F20" authorId="0" shapeId="0" xr:uid="{47BE7C46-CE3A-4E57-B9E7-4FDD1C4E00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G20" authorId="0" shapeId="0" xr:uid="{FCA2C83B-BC4C-4332-9EC8-E079CDA306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H20" authorId="0" shapeId="0" xr:uid="{C9FECAC5-9784-4E11-AFA7-DDEC082380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A33" authorId="0" shapeId="0" xr:uid="{8A3F6B2F-5289-4904-BE14-B4141BB55E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B33" authorId="0" shapeId="0" xr:uid="{A423B755-6C4B-4992-B3B9-A45D1981EE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C33" authorId="0" shapeId="0" xr:uid="{55A846AA-631E-4464-A80B-6BA15FA533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D33" authorId="0" shapeId="0" xr:uid="{923E80FD-4F45-4B09-B0A5-E25F67D8C4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E33" authorId="0" shapeId="0" xr:uid="{5E81A689-0A84-4F69-8529-E624A13EBC6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F33" authorId="0" shapeId="0" xr:uid="{27AE5B3F-27EC-45AF-B6D2-3D35528538B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G33" authorId="0" shapeId="0" xr:uid="{8CEA26F0-A188-4142-BD15-75E6988A34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H33" authorId="0" shapeId="0" xr:uid="{DCD69F9C-9F1F-47E7-B16C-AC444F3EBC1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A34" authorId="0" shapeId="0" xr:uid="{94D4B5A3-7D22-43B6-AA59-A692B1A795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B34" authorId="0" shapeId="0" xr:uid="{FE8EAC90-E765-4B53-8040-2B2F07DD00A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C34" authorId="0" shapeId="0" xr:uid="{B7496D9B-EC35-4DDD-94D8-0456E3711FF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D34" authorId="0" shapeId="0" xr:uid="{5EE0FE00-1C97-4D2A-BD75-A0EAF93D13F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E34" authorId="0" shapeId="0" xr:uid="{B2EE2F9D-860F-461C-84FF-31E087906D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F34" authorId="0" shapeId="0" xr:uid="{C59A76C7-D029-41D0-A180-ACE5DDDAF01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G34" authorId="0" shapeId="0" xr:uid="{0AFD3133-7D78-4E20-946F-41D9E74DEF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H34" authorId="0" shapeId="0" xr:uid="{F823206C-123B-4C53-BB8C-DE42F53859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A35" authorId="0" shapeId="0" xr:uid="{530AEDE0-754D-4505-A5E6-1944EC01DD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B35" authorId="0" shapeId="0" xr:uid="{1BF568BD-57BB-48CE-860B-A8E430387D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C35" authorId="0" shapeId="0" xr:uid="{72EB78AB-BFAA-4118-9529-BFAF7F05F4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D35" authorId="0" shapeId="0" xr:uid="{5708F9AB-0C79-414C-ABFE-C2CABFFA51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E35" authorId="0" shapeId="0" xr:uid="{A048B5AF-271E-41AB-ACD2-D72524E8239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F35" authorId="0" shapeId="0" xr:uid="{C85D10DB-76F7-4281-94DB-9DFBC93E96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G35" authorId="0" shapeId="0" xr:uid="{CFF22A10-4A99-4D14-A202-07CA871C20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H35" authorId="0" shapeId="0" xr:uid="{6FC15A7C-16E0-4BB9-A3DC-CCD72AAEEDE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A48" authorId="0" shapeId="0" xr:uid="{C989AD98-50C6-42DF-85DD-27CA13EC2A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B48" authorId="0" shapeId="0" xr:uid="{4DE41F9B-4625-4608-A22C-8DCAF67C121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C48" authorId="0" shapeId="0" xr:uid="{5D634195-797A-4C32-B285-BE516BEA029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D48" authorId="0" shapeId="0" xr:uid="{297669BA-5FA1-4C3E-B626-302C2FB0C4D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E48" authorId="0" shapeId="0" xr:uid="{3C25A7F3-6A62-4132-9AE7-6C94541001A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F48" authorId="0" shapeId="0" xr:uid="{7BC9AEC0-CE7A-4EE5-801E-C765B470B1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G48" authorId="0" shapeId="0" xr:uid="{9674A16E-E953-4573-8D85-C2A51B072B1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H48" authorId="0" shapeId="0" xr:uid="{81CC76AA-427A-4885-BE7E-B3DB5ED778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A49" authorId="0" shapeId="0" xr:uid="{A35EC99F-BADA-42F9-958B-140ED6D5C1B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B49" authorId="0" shapeId="0" xr:uid="{FED6620B-30FB-43DB-A2F3-03C3334FE2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C49" authorId="0" shapeId="0" xr:uid="{E5AB7DBC-1E18-4740-B481-E5DFF75A50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D49" authorId="0" shapeId="0" xr:uid="{AD1E0497-728B-4C0F-9286-EB47806D38E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E49" authorId="0" shapeId="0" xr:uid="{2E9AEED8-5F1B-413D-84C8-60B01470AB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F49" authorId="0" shapeId="0" xr:uid="{4FA76FA3-B45D-4DAB-93C4-0F6BB60F5F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G49" authorId="0" shapeId="0" xr:uid="{89D36AAE-B47A-489B-8C36-09705632E9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H49" authorId="0" shapeId="0" xr:uid="{AF64EA9D-FEE7-4A8C-B398-18860C73B2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B5D512CB-BA71-47B4-B936-5AAFF1620F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B2" authorId="0" shapeId="0" xr:uid="{A9C9EBE7-C6DD-4DF8-A7B9-BED1D485DF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C2" authorId="0" shapeId="0" xr:uid="{5AE490B7-7CE6-4645-A471-842763D8C0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D2" authorId="0" shapeId="0" xr:uid="{25EB52DB-E94C-49B8-AE6D-A29FB29533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E2" authorId="0" shapeId="0" xr:uid="{56D64F6C-D866-43E1-9DC6-8213F55D63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F2" authorId="0" shapeId="0" xr:uid="{0FD76BDD-3B8C-4A94-9607-713835C921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G2" authorId="0" shapeId="0" xr:uid="{F8CC14A6-C4E5-4092-93B0-CFC7DBB024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H2" authorId="0" shapeId="0" xr:uid="{3C078B2B-55A4-413D-AA98-08E95B0A4B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A3" authorId="0" shapeId="0" xr:uid="{9BE008C0-F782-44CB-A42F-1D342CB80BB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B3" authorId="0" shapeId="0" xr:uid="{2412CE34-75D1-47FF-BA7D-CA9CA80908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C3" authorId="0" shapeId="0" xr:uid="{524C863A-0E05-484A-A4FE-A991321B2D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D3" authorId="0" shapeId="0" xr:uid="{B82C150B-9C63-418F-B6B8-8181D85C74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E3" authorId="0" shapeId="0" xr:uid="{EF56F487-9F53-4D75-A20D-C07FA311089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F3" authorId="0" shapeId="0" xr:uid="{C96114E0-416F-4DC5-B996-940E349825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G3" authorId="0" shapeId="0" xr:uid="{5B949AF7-4BE9-4FF1-9502-00E51C0944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H3" authorId="0" shapeId="0" xr:uid="{7E101611-704C-475D-A9BE-E2ECE0A99E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A15" authorId="0" shapeId="0" xr:uid="{084C0182-2B6B-45F7-90F6-9F469F12DF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B15" authorId="0" shapeId="0" xr:uid="{52F7EDB6-67DC-4827-A763-19149A34AA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C15" authorId="0" shapeId="0" xr:uid="{11AA9869-7459-4367-80D0-1EC737F9AB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D15" authorId="0" shapeId="0" xr:uid="{8F34325A-102F-4739-8608-568931436B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E15" authorId="0" shapeId="0" xr:uid="{DF15220E-D449-470A-9568-F0E1924728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F15" authorId="0" shapeId="0" xr:uid="{EF6CCD2F-CF2B-407D-9133-CF0174281C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G15" authorId="0" shapeId="0" xr:uid="{427C7B4A-85CF-47A6-8CE5-185115108C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H15" authorId="0" shapeId="0" xr:uid="{73FB9AFB-EB45-4912-A378-0FD93DA40A8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O3 &amp; I3 &amp; P144</t>
        </r>
      </text>
    </comment>
    <comment ref="A16" authorId="0" shapeId="0" xr:uid="{81D1137A-EC0F-4757-BF10-76B9EEB5B0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B16" authorId="0" shapeId="0" xr:uid="{F42E74F3-9DF7-4E50-B497-683085BBF2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C16" authorId="0" shapeId="0" xr:uid="{FDB60513-9E84-4F15-A71D-255F0F7EFC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D16" authorId="0" shapeId="0" xr:uid="{902DEBE3-702C-406C-973B-EB347EF8B18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E16" authorId="0" shapeId="0" xr:uid="{34C98626-7F65-4C63-9B06-92E6168224E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F16" authorId="0" shapeId="0" xr:uid="{25EA4F61-FE97-42E0-B617-872E15DA09F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G16" authorId="0" shapeId="0" xr:uid="{E4FFD61E-5685-4BA4-BFCC-7F921699CE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H16" authorId="0" shapeId="0" xr:uid="{DEAB84A2-CA93-4344-BA24-F13395D1C0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A28" authorId="0" shapeId="0" xr:uid="{12FFC6F7-6315-439D-89E3-25C9A55BA4A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B28" authorId="0" shapeId="0" xr:uid="{0CEC2DA6-0DA7-4183-9DC3-988FC05B91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C28" authorId="0" shapeId="0" xr:uid="{CF46D94B-F4AD-487C-A6BB-E785237DE5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D28" authorId="0" shapeId="0" xr:uid="{D5E9102B-4DC5-412C-881A-A592FED0CA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E28" authorId="0" shapeId="0" xr:uid="{058B9D9D-9DA6-4457-B04D-A143BAD699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F28" authorId="0" shapeId="0" xr:uid="{EFEC1A7C-44B9-43FD-8862-76FEBD6823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G28" authorId="0" shapeId="0" xr:uid="{5BFC3176-A961-4AC2-BC8A-0B1DBA88F2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H28" authorId="0" shapeId="0" xr:uid="{A67AC03B-D4E6-4AF9-BB46-0D0A77A1AC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A29" authorId="0" shapeId="0" xr:uid="{3F4B6AA2-D6F5-45FD-9C2B-406816A4EE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B29" authorId="0" shapeId="0" xr:uid="{3DCE4C5D-D834-41D5-8C36-E881F8D682C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C29" authorId="0" shapeId="0" xr:uid="{B4F56846-9D59-4B60-BAB8-CDEA9D138E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D29" authorId="0" shapeId="0" xr:uid="{8903D9B2-F2ED-4E86-8B7B-016790B720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E29" authorId="0" shapeId="0" xr:uid="{393ACDC1-2E92-46BF-9ABB-5DD93174C7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F29" authorId="0" shapeId="0" xr:uid="{B740D138-021E-48AF-BB67-57312585A1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G29" authorId="0" shapeId="0" xr:uid="{55D820CE-6AC7-4D2E-A7B8-57B3ADDB4A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H29" authorId="0" shapeId="0" xr:uid="{CB6B579B-C2D8-4481-9772-985BEF1202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A30" authorId="0" shapeId="0" xr:uid="{0BA2CFF8-AE80-4F3F-964E-4BBB787057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B30" authorId="0" shapeId="0" xr:uid="{F833805D-A39C-42D1-8DD1-C5717A9980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C30" authorId="0" shapeId="0" xr:uid="{602430CF-8D99-45E6-9FA2-24DECEEEFD1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D30" authorId="0" shapeId="0" xr:uid="{4E5BC042-738D-4E1E-A395-160F6A1623D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E30" authorId="0" shapeId="0" xr:uid="{8B6C7AAD-46E7-4744-BB4C-9CBEC55C42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F30" authorId="0" shapeId="0" xr:uid="{8525ACC5-C15D-4C05-B6F2-4F3C8E2FEE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G30" authorId="0" shapeId="0" xr:uid="{79D027BF-8542-46B5-868D-3F6CCC27638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H30" authorId="0" shapeId="0" xr:uid="{AEA48388-DC91-43E4-9BD5-96C7B17EE69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A42" authorId="0" shapeId="0" xr:uid="{965550DB-DB72-453A-A4DB-C04EC0C02B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B42" authorId="0" shapeId="0" xr:uid="{B626C473-756B-4E50-9A74-12DED043B0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C42" authorId="0" shapeId="0" xr:uid="{B473A208-B9BE-4F9D-BD62-AEC36A478C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D42" authorId="0" shapeId="0" xr:uid="{08979FB1-A6A6-46CE-BB56-4CD9168EE2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E42" authorId="0" shapeId="0" xr:uid="{A9A30593-795E-471F-B8C9-25644FB76A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F42" authorId="0" shapeId="0" xr:uid="{F92142E3-7F42-4B69-A931-56813A3F76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G42" authorId="0" shapeId="0" xr:uid="{C9FD942D-EBCE-455E-9FDA-041BAB377D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H42" authorId="0" shapeId="0" xr:uid="{731E50C0-4FE8-4C96-82DC-65026C89F1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A43" authorId="0" shapeId="0" xr:uid="{115D6319-F3E7-4273-ADB6-603A784F70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B43" authorId="0" shapeId="0" xr:uid="{A9C16F3C-FD0F-4A8B-8EBD-1828EAB804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C43" authorId="0" shapeId="0" xr:uid="{DA547440-7DB8-4BFB-A608-6313C90C66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D43" authorId="0" shapeId="0" xr:uid="{C5458E81-0C0A-41F4-AEDA-B56A9DE4DD2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E43" authorId="0" shapeId="0" xr:uid="{E0E5F934-4E25-49B2-9AC5-7FE9509917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F43" authorId="0" shapeId="0" xr:uid="{C5D7CED2-7951-491D-BCE9-90BE2BF4DC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G43" authorId="0" shapeId="0" xr:uid="{40AD2F52-6005-4342-891F-09162F8F61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H43" authorId="0" shapeId="0" xr:uid="{9F3F7E90-CC27-44F5-906C-0C33CA57D5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0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10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10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10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10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10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0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2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</commentList>
</comments>
</file>

<file path=xl/sharedStrings.xml><?xml version="1.0" encoding="utf-8"?>
<sst xmlns="http://schemas.openxmlformats.org/spreadsheetml/2006/main" count="5454" uniqueCount="566">
  <si>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</si>
  <si>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</si>
  <si>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</si>
  <si>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</si>
  <si>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</si>
  <si>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</si>
  <si>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</si>
  <si>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</si>
  <si>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</si>
  <si>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</si>
  <si>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</si>
  <si>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</si>
  <si>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</si>
  <si>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</si>
  <si>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</si>
  <si>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</si>
  <si>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</si>
  <si>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</si>
  <si>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</si>
  <si>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</si>
  <si>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</si>
  <si>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</si>
  <si>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</si>
  <si>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</si>
  <si>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</si>
  <si>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</si>
  <si>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</si>
  <si>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</si>
  <si>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</si>
  <si>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</si>
  <si>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639 SAR</t>
  </si>
  <si>
    <t>Cabin: 10 KG / Check-in: 25 KG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</si>
  <si>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</si>
  <si>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789 SAR</t>
  </si>
  <si>
    <t>Cabin: 10 KG / Check-in: 2 x 40 KG</t>
  </si>
  <si>
    <t>1,099 SAR</t>
  </si>
  <si>
    <t>F3-755</t>
  </si>
  <si>
    <r>
      <rPr>
        <b/>
        <i/>
        <sz val="13"/>
        <rFont val="Calibri"/>
        <family val="2"/>
      </rPr>
      <t>18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</si>
  <si>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18</t>
    </r>
    <r>
      <rPr>
        <i/>
        <sz val="10"/>
        <rFont val="Calibri"/>
        <family val="2"/>
      </rPr>
      <t xml:space="preserve"> FOR SAME CLASS</t>
    </r>
  </si>
  <si>
    <t>F3-763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</si>
  <si>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</si>
  <si>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</si>
  <si>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F3-761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</si>
  <si>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</si>
  <si>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t>689 SAR</t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</si>
  <si>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</si>
  <si>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839 SAR</t>
  </si>
  <si>
    <t>flynas</t>
  </si>
  <si>
    <t>XY-567</t>
  </si>
  <si>
    <t>Cabin: 7 KG / Check-in: 20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</si>
  <si>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</si>
  <si>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669 SAR</t>
  </si>
  <si>
    <t>Cabin: 7 KG / Check-in: 30 KG</t>
  </si>
  <si>
    <t>769 SAR</t>
  </si>
  <si>
    <t>Cabin: 7 KG / Check-in: 2 x 40 KG</t>
  </si>
  <si>
    <t>859 SAR</t>
  </si>
  <si>
    <t>XY-571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</si>
  <si>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</si>
  <si>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XY-577</t>
  </si>
  <si>
    <t>XY-589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</si>
  <si>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</si>
  <si>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</si>
  <si>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XY-565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</si>
  <si>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</si>
  <si>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719 SAR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</si>
  <si>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</si>
  <si>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819 SAR</t>
  </si>
  <si>
    <t>909 SAR</t>
  </si>
  <si>
    <t>XY-569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</si>
  <si>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</si>
  <si>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</si>
  <si>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XY-573</t>
  </si>
  <si>
    <t>Air Arabia Egypt</t>
  </si>
  <si>
    <t>E5-328</t>
  </si>
  <si>
    <t>Cabin: 10 KG / Check-in: 30 KG</t>
  </si>
  <si>
    <t>701 SAR</t>
  </si>
  <si>
    <t>927 SAR</t>
  </si>
  <si>
    <t>E5-362</t>
  </si>
  <si>
    <t>Nile Air</t>
  </si>
  <si>
    <t>NP-128</t>
  </si>
  <si>
    <t>Cabin: 7 KG | Check-in: 30 KG</t>
  </si>
  <si>
    <t>749 SAR</t>
  </si>
  <si>
    <t>Nesma Airlines</t>
  </si>
  <si>
    <t>NE-171</t>
  </si>
  <si>
    <t>835 SAR</t>
  </si>
  <si>
    <t>Air Cairo</t>
  </si>
  <si>
    <t>SM-478</t>
  </si>
  <si>
    <t>Cabin: 7 KG | Check-in: 40 KG</t>
  </si>
  <si>
    <t>1,066 SAR</t>
  </si>
  <si>
    <t>SM478</t>
  </si>
  <si>
    <t>K1</t>
  </si>
  <si>
    <t>K2 &amp; L1 &amp; G3 &amp; S3 &amp; W4 &amp; T10 &amp; X12 &amp; U5 &amp; O6 &amp; I4 &amp; E45 &amp; P82 &amp; N1</t>
  </si>
  <si>
    <t>SM450</t>
  </si>
  <si>
    <t>30KG + 7KG CABIN</t>
  </si>
  <si>
    <t>FULLY BOOKED</t>
  </si>
  <si>
    <t>CLOSED</t>
  </si>
  <si>
    <t>V3 &amp; G16 &amp; S17 &amp; W22 &amp; T10 &amp; X10 &amp; U17 &amp; O17 &amp; I17 &amp; P50</t>
  </si>
  <si>
    <t>SM476</t>
  </si>
  <si>
    <t>K5 &amp; L6 &amp; S24 &amp; W5 &amp; P135 &amp; N4</t>
  </si>
  <si>
    <t>EgyptAir</t>
  </si>
  <si>
    <t>MS-674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</si>
  <si>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</si>
  <si>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</si>
  <si>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1,080 SAR</t>
  </si>
  <si>
    <t>MS-666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</si>
  <si>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</si>
  <si>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1,260 SAR</t>
  </si>
  <si>
    <t>MS-644</t>
  </si>
  <si>
    <t>1,264 SAR</t>
  </si>
  <si>
    <t>MS-664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</si>
  <si>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</si>
  <si>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1,844 SAR</t>
  </si>
  <si>
    <t>MS-668</t>
  </si>
  <si>
    <t>MS-672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</si>
  <si>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</si>
  <si>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Saudia</t>
  </si>
  <si>
    <t>SV-301</t>
  </si>
  <si>
    <t>Cabin: 7 KG / Check-in: 23 KG</t>
  </si>
  <si>
    <t>1,193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</si>
  <si>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</si>
  <si>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</si>
  <si>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1,326 SAR</t>
  </si>
  <si>
    <t>SV-303</t>
  </si>
  <si>
    <t>SV-309</t>
  </si>
  <si>
    <t>SV-383</t>
  </si>
  <si>
    <t>SV-387</t>
  </si>
  <si>
    <t>SV-335</t>
  </si>
  <si>
    <t>1,586 SAR</t>
  </si>
  <si>
    <t>1,719 SAR</t>
  </si>
  <si>
    <t>SV-6891</t>
  </si>
  <si>
    <t>1,721 SAR</t>
  </si>
  <si>
    <t>SV-6893</t>
  </si>
  <si>
    <t>SV-305</t>
  </si>
  <si>
    <t>1,828 SAR</t>
  </si>
  <si>
    <t>1,961 SAR</t>
  </si>
  <si>
    <t>SV-389</t>
  </si>
  <si>
    <t>SV-6664</t>
  </si>
  <si>
    <t>1,944 SAR</t>
  </si>
  <si>
    <t>SV-6895</t>
  </si>
  <si>
    <t>Cabin: 0 KG | Check-in: 15 KG</t>
  </si>
  <si>
    <t>539 SAR</t>
  </si>
  <si>
    <t>589 SAR</t>
  </si>
  <si>
    <t>SM-432</t>
  </si>
  <si>
    <t>586 SAR</t>
  </si>
  <si>
    <t>SM432</t>
  </si>
  <si>
    <t>T1</t>
  </si>
  <si>
    <t>G1 &amp; S10 &amp; W19 &amp; T17 &amp; X9 &amp; U20 &amp; O4 &amp; I5 &amp; P62</t>
  </si>
  <si>
    <t>SM-424</t>
  </si>
  <si>
    <t>706 SAR</t>
  </si>
  <si>
    <t>SM424</t>
  </si>
  <si>
    <t>S1</t>
  </si>
  <si>
    <t>S14 &amp; W17 &amp; T33 &amp; X4 &amp; U5 &amp; O4 &amp; I4 &amp; P28 &amp; N2</t>
  </si>
  <si>
    <t>SM-476</t>
  </si>
  <si>
    <t>S5</t>
  </si>
  <si>
    <t>G5 &amp; S32 &amp; W20 &amp; T16 &amp; X9 &amp; U5 &amp; O5 &amp; I5</t>
  </si>
  <si>
    <t>SM-460</t>
  </si>
  <si>
    <t>781 SAR</t>
  </si>
  <si>
    <t>SM460</t>
  </si>
  <si>
    <t>G5</t>
  </si>
  <si>
    <t>L6 &amp; G3 &amp; S13 &amp; U3 &amp; O5 &amp; I7 &amp; P128</t>
  </si>
  <si>
    <t>L1 &amp; G4 &amp; S11 &amp; T7 &amp; X12 &amp; U5 &amp; O5 &amp; I7 &amp; P129</t>
  </si>
  <si>
    <t>Cabin: 7 KG | Check-in: 20 KG</t>
  </si>
  <si>
    <t>XY-583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</si>
  <si>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</si>
  <si>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599 SAR</t>
  </si>
  <si>
    <t>NP-228</t>
  </si>
  <si>
    <t>Cabin: 10 KG | Check-in: 30 KG</t>
  </si>
  <si>
    <t>606 SAR</t>
  </si>
  <si>
    <t>NE-177</t>
  </si>
  <si>
    <t>645 SAR</t>
  </si>
  <si>
    <t>695 SAR</t>
  </si>
  <si>
    <t>MS-670</t>
  </si>
  <si>
    <t>MS-662</t>
  </si>
  <si>
    <t>1,407 SAR</t>
  </si>
  <si>
    <t>1,276 SAR</t>
  </si>
  <si>
    <t>1,321 SAR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</si>
  <si>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</si>
  <si>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</si>
  <si>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1,524 SAR</t>
  </si>
  <si>
    <t>1,728 SAR</t>
  </si>
  <si>
    <t>1,773 SAR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</si>
  <si>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</si>
  <si>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</si>
  <si>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</si>
  <si>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459 SAR</t>
  </si>
  <si>
    <t>609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</si>
  <si>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</si>
  <si>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10</t>
    </r>
    <r>
      <rPr>
        <b/>
        <i/>
        <sz val="10"/>
        <rFont val="Calibri"/>
        <family val="2"/>
      </rPr>
      <t xml:space="preserve"> FOR SAME CLASS</t>
    </r>
  </si>
  <si>
    <t>499 SAR</t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</si>
  <si>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</si>
  <si>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649 SAR</t>
  </si>
  <si>
    <t>509 SAR</t>
  </si>
  <si>
    <t>699 SAR</t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</si>
  <si>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</si>
  <si>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t>549 SAR</t>
  </si>
  <si>
    <t>739 SAR</t>
  </si>
  <si>
    <t>568 SAR</t>
  </si>
  <si>
    <t>692 SAR</t>
  </si>
  <si>
    <t>592 SAR</t>
  </si>
  <si>
    <t>716 SAR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</si>
  <si>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</si>
  <si>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T4</t>
  </si>
  <si>
    <t>S1 &amp; T3 &amp; X17 &amp; U10 &amp; O10 &amp; I15 &amp; P108</t>
  </si>
  <si>
    <t>T2</t>
  </si>
  <si>
    <t>S2 &amp; T8 &amp; X11 &amp; U18 &amp; O16 &amp; I11 &amp; P84 &amp; N4</t>
  </si>
  <si>
    <t>SM-480</t>
  </si>
  <si>
    <t>SM480</t>
  </si>
  <si>
    <t>S2 &amp; T6 &amp; X17 &amp; U25 &amp; O10 &amp; I10</t>
  </si>
  <si>
    <t>646 SAR</t>
  </si>
  <si>
    <t>W5</t>
  </si>
  <si>
    <t>S5 &amp; T5 &amp; X22 &amp; U10 &amp; O10 &amp; I5 &amp; P93</t>
  </si>
  <si>
    <t>NE-173</t>
  </si>
  <si>
    <t>595 SAR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</si>
  <si>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</si>
  <si>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842 SAR</t>
  </si>
  <si>
    <t>970 SAR</t>
  </si>
  <si>
    <t>1,642 SAR</t>
  </si>
  <si>
    <t>935 SAR</t>
  </si>
  <si>
    <t>980 SAR</t>
  </si>
  <si>
    <t>1,349 SAR</t>
  </si>
  <si>
    <t>1,486 SAR</t>
  </si>
  <si>
    <t>1,531 SAR</t>
  </si>
  <si>
    <t>NP-328</t>
  </si>
  <si>
    <t>401 SAR</t>
  </si>
  <si>
    <r>
      <rPr>
        <b/>
        <i/>
        <sz val="13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</si>
  <si>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419 SAR</t>
  </si>
  <si>
    <t>569 SAR</t>
  </si>
  <si>
    <t>449 SAR</t>
  </si>
  <si>
    <t>489 SAR</t>
  </si>
  <si>
    <t>679 SAR</t>
  </si>
  <si>
    <t>SM-472</t>
  </si>
  <si>
    <t>471 SAR</t>
  </si>
  <si>
    <t>SM472</t>
  </si>
  <si>
    <t>U1</t>
  </si>
  <si>
    <t>S8 &amp; X3 &amp; U9 &amp; O10 &amp; I30</t>
  </si>
  <si>
    <t>U9 &amp; O15 &amp; I30 &amp; P46</t>
  </si>
  <si>
    <t>526 SAR</t>
  </si>
  <si>
    <t>X3</t>
  </si>
  <si>
    <t>S2 &amp; X2 &amp; U5 &amp; O10 &amp; I15 &amp; P88</t>
  </si>
  <si>
    <t>X4</t>
  </si>
  <si>
    <t>S5 &amp; X6 &amp; U13 &amp; O15 &amp; I15 &amp; P82</t>
  </si>
  <si>
    <t>S2 &amp; X1 &amp; U15 &amp; O15 &amp; I15 &amp; P117 &amp; N3</t>
  </si>
  <si>
    <t>S1 &amp; W2 &amp; X4 &amp; U17 &amp; O15 &amp; I9 &amp; P117</t>
  </si>
  <si>
    <t>536 SAR</t>
  </si>
  <si>
    <t>660 SAR</t>
  </si>
  <si>
    <t>1,093 SAR</t>
  </si>
  <si>
    <t>1,138 SAR</t>
  </si>
  <si>
    <t>2,005 SAR</t>
  </si>
  <si>
    <t>2,050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</si>
  <si>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</si>
  <si>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</si>
  <si>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</si>
  <si>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</si>
  <si>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</si>
  <si>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</si>
  <si>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</si>
  <si>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</si>
  <si>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</si>
  <si>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</si>
  <si>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</si>
  <si>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</si>
  <si>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</si>
  <si>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</si>
  <si>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</si>
  <si>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</si>
  <si>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</si>
  <si>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</si>
  <si>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</si>
  <si>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</si>
  <si>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</si>
  <si>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</si>
  <si>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</si>
  <si>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</si>
  <si>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</si>
  <si>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</si>
  <si>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</si>
  <si>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</si>
  <si>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</si>
  <si>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</si>
  <si>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05:40</t>
  </si>
  <si>
    <t>320</t>
  </si>
  <si>
    <t>UPCOMING</t>
  </si>
  <si>
    <t>V3</t>
  </si>
  <si>
    <t>G16</t>
  </si>
  <si>
    <t>S17</t>
  </si>
  <si>
    <t>W22</t>
  </si>
  <si>
    <t>T10</t>
  </si>
  <si>
    <t>X10</t>
  </si>
  <si>
    <t>U17</t>
  </si>
  <si>
    <t>O17</t>
  </si>
  <si>
    <t>I17</t>
  </si>
  <si>
    <t>P50</t>
  </si>
  <si>
    <t>08:00</t>
  </si>
  <si>
    <t>K5</t>
  </si>
  <si>
    <t>L6</t>
  </si>
  <si>
    <t>S24</t>
  </si>
  <si>
    <t>P135</t>
  </si>
  <si>
    <t>N4</t>
  </si>
  <si>
    <t>16:20</t>
  </si>
  <si>
    <t>K2</t>
  </si>
  <si>
    <t>L1</t>
  </si>
  <si>
    <t>G3</t>
  </si>
  <si>
    <t>S3</t>
  </si>
  <si>
    <t>W4</t>
  </si>
  <si>
    <t>X12</t>
  </si>
  <si>
    <t>U5</t>
  </si>
  <si>
    <t>O6</t>
  </si>
  <si>
    <t>I4</t>
  </si>
  <si>
    <t>E45</t>
  </si>
  <si>
    <t>P82</t>
  </si>
  <si>
    <t>N1</t>
  </si>
  <si>
    <t>SUNDAY</t>
  </si>
  <si>
    <t>02:00</t>
  </si>
  <si>
    <t>S14</t>
  </si>
  <si>
    <t>W17</t>
  </si>
  <si>
    <t>T33</t>
  </si>
  <si>
    <t>O4</t>
  </si>
  <si>
    <t>P28</t>
  </si>
  <si>
    <t>N2</t>
  </si>
  <si>
    <t>07:40</t>
  </si>
  <si>
    <t>S32</t>
  </si>
  <si>
    <t>W20</t>
  </si>
  <si>
    <t>T16</t>
  </si>
  <si>
    <t>X9</t>
  </si>
  <si>
    <t>O5</t>
  </si>
  <si>
    <t>I5</t>
  </si>
  <si>
    <t>G1</t>
  </si>
  <si>
    <t>S10</t>
  </si>
  <si>
    <t>W19</t>
  </si>
  <si>
    <t>T17</t>
  </si>
  <si>
    <t>U20</t>
  </si>
  <si>
    <t>P62</t>
  </si>
  <si>
    <t>12:15</t>
  </si>
  <si>
    <t>S13</t>
  </si>
  <si>
    <t>U3</t>
  </si>
  <si>
    <t>I7</t>
  </si>
  <si>
    <t>P128</t>
  </si>
  <si>
    <t>15:10</t>
  </si>
  <si>
    <t>G4</t>
  </si>
  <si>
    <t>S11</t>
  </si>
  <si>
    <t>T7</t>
  </si>
  <si>
    <t>P129</t>
  </si>
  <si>
    <t>MONDAY</t>
  </si>
  <si>
    <t>00:10</t>
  </si>
  <si>
    <t>S2</t>
  </si>
  <si>
    <t>T6</t>
  </si>
  <si>
    <t>X17</t>
  </si>
  <si>
    <t>U25</t>
  </si>
  <si>
    <t>O10</t>
  </si>
  <si>
    <t>I10</t>
  </si>
  <si>
    <t>10:10</t>
  </si>
  <si>
    <t>T8</t>
  </si>
  <si>
    <t>X11</t>
  </si>
  <si>
    <t>U18</t>
  </si>
  <si>
    <t>O16</t>
  </si>
  <si>
    <t>I11</t>
  </si>
  <si>
    <t>P84</t>
  </si>
  <si>
    <t>14:45</t>
  </si>
  <si>
    <t>T5</t>
  </si>
  <si>
    <t>X22</t>
  </si>
  <si>
    <t>U10</t>
  </si>
  <si>
    <t>P93</t>
  </si>
  <si>
    <t>23:30</t>
  </si>
  <si>
    <t>T3</t>
  </si>
  <si>
    <t>I15</t>
  </si>
  <si>
    <t>P108</t>
  </si>
  <si>
    <t>TUESDAY</t>
  </si>
  <si>
    <t>05:30</t>
  </si>
  <si>
    <t>S8</t>
  </si>
  <si>
    <t>U9</t>
  </si>
  <si>
    <t>I30</t>
  </si>
  <si>
    <t>13:25</t>
  </si>
  <si>
    <t>X1</t>
  </si>
  <si>
    <t>U15</t>
  </si>
  <si>
    <t>O15</t>
  </si>
  <si>
    <t>P117</t>
  </si>
  <si>
    <t>N3</t>
  </si>
  <si>
    <t>X6</t>
  </si>
  <si>
    <t>U13</t>
  </si>
  <si>
    <t>17:30</t>
  </si>
  <si>
    <t>W2</t>
  </si>
  <si>
    <t>I9</t>
  </si>
  <si>
    <t>22:25</t>
  </si>
  <si>
    <t>X2</t>
  </si>
  <si>
    <t>P88</t>
  </si>
  <si>
    <t>23:15</t>
  </si>
  <si>
    <t>P46</t>
  </si>
  <si>
    <t>DATE</t>
  </si>
  <si>
    <t>ROUTE</t>
  </si>
  <si>
    <t>2025-11-22</t>
  </si>
  <si>
    <t>07:15</t>
  </si>
  <si>
    <t>03:05</t>
  </si>
  <si>
    <t>21:20</t>
  </si>
  <si>
    <t>21:40</t>
  </si>
  <si>
    <t>12:25</t>
  </si>
  <si>
    <t>09:30</t>
  </si>
  <si>
    <t>19:10</t>
  </si>
  <si>
    <t>18:55</t>
  </si>
  <si>
    <t>06:55</t>
  </si>
  <si>
    <t>05:10</t>
  </si>
  <si>
    <t>06:10</t>
  </si>
  <si>
    <t>15:50</t>
  </si>
  <si>
    <t>20:30</t>
  </si>
  <si>
    <t>16:00</t>
  </si>
  <si>
    <t>06:30</t>
  </si>
  <si>
    <t>JED-HBE</t>
  </si>
  <si>
    <t>E5-326</t>
  </si>
  <si>
    <t>Cabin: 10 KG</t>
  </si>
  <si>
    <t>873 SAR</t>
  </si>
  <si>
    <t>Cabin: 10 KG / Check-in: 20 KG</t>
  </si>
  <si>
    <t>938 SAR</t>
  </si>
  <si>
    <t>1,120 SAR</t>
  </si>
  <si>
    <t>F3-773</t>
  </si>
  <si>
    <t>Hand baggage only</t>
  </si>
  <si>
    <t>939 SAR</t>
  </si>
  <si>
    <t>998 SAR</t>
  </si>
  <si>
    <t>1,022 SAR</t>
  </si>
  <si>
    <t>Cabin: 10 KG / Check-in: 32 KG</t>
  </si>
  <si>
    <t>1,189 SAR</t>
  </si>
  <si>
    <t>MS-656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</si>
  <si>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</si>
  <si>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1,191 SAR</t>
  </si>
  <si>
    <t>SV-411</t>
  </si>
  <si>
    <t>2,275 SAR</t>
  </si>
  <si>
    <t>2,403 SAR</t>
  </si>
  <si>
    <t>SM458</t>
  </si>
  <si>
    <t>L11 &amp; S16 &amp; W2 &amp; T15 &amp; X17 &amp; P118</t>
  </si>
  <si>
    <t>SM452</t>
  </si>
  <si>
    <t>K3 &amp; V5 &amp; L14 &amp; S7 &amp; X14 &amp; P136</t>
  </si>
  <si>
    <t>Indirect competition route JED – CAI - diversion ratio &amp; passenger leakage</t>
  </si>
  <si>
    <t>1 FOR SAME CLASS</t>
  </si>
  <si>
    <t>18 FOR SAME CLASS</t>
  </si>
  <si>
    <t>9 FOR SAME CLASS</t>
  </si>
  <si>
    <t>5 FOR SAME CLASS</t>
  </si>
  <si>
    <t>12 FOR SAME CLASS</t>
  </si>
  <si>
    <t>815 SAR</t>
  </si>
  <si>
    <t>880 SAR</t>
  </si>
  <si>
    <t>1,061 SAR</t>
  </si>
  <si>
    <t>SM-458</t>
  </si>
  <si>
    <t>952 SAR</t>
  </si>
  <si>
    <t>V2</t>
  </si>
  <si>
    <t>V18 &amp; L5 &amp; G5 &amp; S6 &amp; X9 &amp; P134</t>
  </si>
  <si>
    <t>K1 &amp; V4 &amp; L3 &amp; G5 &amp; S10 &amp; W12 &amp; T3 &amp; X5 &amp; P136</t>
  </si>
  <si>
    <t>2,044 SAR</t>
  </si>
  <si>
    <t>2,172 SAR</t>
  </si>
  <si>
    <t>4 FOR SAME CLASS</t>
  </si>
  <si>
    <t>3 FOR SAME CLASS</t>
  </si>
  <si>
    <t>2 FOR SAME CLASS</t>
  </si>
  <si>
    <t>E5-324</t>
  </si>
  <si>
    <t>580 SAR</t>
  </si>
  <si>
    <t>650 SAR</t>
  </si>
  <si>
    <t>S2 &amp; X10 &amp; U18 &amp; O7 &amp; I7 &amp; P124</t>
  </si>
  <si>
    <t>S22 &amp; W1 &amp; X11 &amp; P134</t>
  </si>
  <si>
    <t>8 FOR SAME CLASS</t>
  </si>
  <si>
    <t>10 FOR SAME CLASS</t>
  </si>
  <si>
    <t>15:30</t>
  </si>
  <si>
    <t>6 FOR SAME CLASS</t>
  </si>
  <si>
    <t>E5-392</t>
  </si>
  <si>
    <t>504 SAR</t>
  </si>
  <si>
    <t>558 SAR</t>
  </si>
  <si>
    <t>627 SAR</t>
  </si>
  <si>
    <t>726 SAR</t>
  </si>
  <si>
    <t>788 SAR</t>
  </si>
  <si>
    <t>519 SAR</t>
  </si>
  <si>
    <t>578 SAR</t>
  </si>
  <si>
    <t>602 SAR</t>
  </si>
  <si>
    <t>SM-452</t>
  </si>
  <si>
    <t>856 SAR</t>
  </si>
  <si>
    <t>L7 &amp; S1 &amp; X11 &amp; P159</t>
  </si>
  <si>
    <t>906 SAR</t>
  </si>
  <si>
    <t>SV-331</t>
  </si>
  <si>
    <t>01:05</t>
  </si>
  <si>
    <t>7 FOR SAME CLASS</t>
  </si>
  <si>
    <t>11:00</t>
  </si>
  <si>
    <t>L11</t>
  </si>
  <si>
    <t>S16</t>
  </si>
  <si>
    <t>T15</t>
  </si>
  <si>
    <t>P118</t>
  </si>
  <si>
    <t>19:00</t>
  </si>
  <si>
    <t>K3</t>
  </si>
  <si>
    <t>V5</t>
  </si>
  <si>
    <t>L14</t>
  </si>
  <si>
    <t>S7</t>
  </si>
  <si>
    <t>X14</t>
  </si>
  <si>
    <t>P136</t>
  </si>
  <si>
    <t>11:45</t>
  </si>
  <si>
    <t>V18</t>
  </si>
  <si>
    <t>L5</t>
  </si>
  <si>
    <t>S6</t>
  </si>
  <si>
    <t>P134</t>
  </si>
  <si>
    <t>16:30</t>
  </si>
  <si>
    <t>V4</t>
  </si>
  <si>
    <t>L3</t>
  </si>
  <si>
    <t>W12</t>
  </si>
  <si>
    <t>X5</t>
  </si>
  <si>
    <t>08:05</t>
  </si>
  <si>
    <t>O7</t>
  </si>
  <si>
    <t>P124</t>
  </si>
  <si>
    <t>S22</t>
  </si>
  <si>
    <t>W1</t>
  </si>
  <si>
    <t>17:00</t>
  </si>
  <si>
    <t>L7</t>
  </si>
  <si>
    <t>P159</t>
  </si>
  <si>
    <t>12:40</t>
  </si>
  <si>
    <t>14:30</t>
  </si>
  <si>
    <t>17:05</t>
  </si>
  <si>
    <t>JED-CAI AS ALTERNATIVE ROUTE</t>
  </si>
  <si>
    <t>JED-ATZ</t>
  </si>
  <si>
    <t>SM-454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</si>
  <si>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</si>
  <si>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SM454</t>
  </si>
  <si>
    <t>X7</t>
  </si>
  <si>
    <t>S2 &amp; W1 &amp; X13 &amp; U20 &amp; O40 &amp; I20 &amp; P34</t>
  </si>
  <si>
    <t>SM-456</t>
  </si>
  <si>
    <t>SM456</t>
  </si>
  <si>
    <t>G1 &amp; S2 &amp; X6 &amp; U19 &amp; P91</t>
  </si>
  <si>
    <t>MS-8224</t>
  </si>
  <si>
    <t>Cabin: 7 KG | Check-in: 1 PIECE</t>
  </si>
  <si>
    <t>640 SAR</t>
  </si>
  <si>
    <t>F3-777</t>
  </si>
  <si>
    <t>329 SAR</t>
  </si>
  <si>
    <t>388 SAR</t>
  </si>
  <si>
    <t>412 SAR</t>
  </si>
  <si>
    <t>579 SAR</t>
  </si>
  <si>
    <t>436 SAR</t>
  </si>
  <si>
    <t>U5 &amp; O3 &amp; I3 &amp; P144</t>
  </si>
  <si>
    <t>SM-492</t>
  </si>
  <si>
    <t>SM492</t>
  </si>
  <si>
    <t>O2</t>
  </si>
  <si>
    <t>U9 &amp; O10 &amp; I14 &amp; E80 &amp; P1</t>
  </si>
  <si>
    <t>I3</t>
  </si>
  <si>
    <t>U3 &amp; O2 &amp; I27</t>
  </si>
  <si>
    <t>S1 &amp; W1 &amp; O5 &amp; I17 &amp; P48</t>
  </si>
  <si>
    <t>SM-422</t>
  </si>
  <si>
    <t>SM422</t>
  </si>
  <si>
    <t>O4 &amp; I45 &amp; P38</t>
  </si>
  <si>
    <t>S4 &amp; U8 &amp; P155</t>
  </si>
  <si>
    <t>L4</t>
  </si>
  <si>
    <t>L1 &amp; S1 &amp; X3 &amp; I3 &amp; P167</t>
  </si>
  <si>
    <t>11:05</t>
  </si>
  <si>
    <t>X13</t>
  </si>
  <si>
    <t>O40</t>
  </si>
  <si>
    <t>I20</t>
  </si>
  <si>
    <t>P34</t>
  </si>
  <si>
    <t>U19</t>
  </si>
  <si>
    <t>P91</t>
  </si>
  <si>
    <t>18:25</t>
  </si>
  <si>
    <t>I14</t>
  </si>
  <si>
    <t>E80</t>
  </si>
  <si>
    <t>P1</t>
  </si>
  <si>
    <t>20:25</t>
  </si>
  <si>
    <t>O3</t>
  </si>
  <si>
    <t>P144</t>
  </si>
  <si>
    <t>06:05</t>
  </si>
  <si>
    <t>P48</t>
  </si>
  <si>
    <t>12:10</t>
  </si>
  <si>
    <t>I45</t>
  </si>
  <si>
    <t>P38</t>
  </si>
  <si>
    <t>I27</t>
  </si>
  <si>
    <t>07:45</t>
  </si>
  <si>
    <t>S4</t>
  </si>
  <si>
    <t>U8</t>
  </si>
  <si>
    <t>P155</t>
  </si>
  <si>
    <t>22:50</t>
  </si>
  <si>
    <t>P167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</si>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</sst>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sz val="12"/>
      <color theme="1"/>
      <name val="Calibri"/>
      <family val="2"/>
    </font>
    <font>
      <b/>
      <i/>
      <sz val="13"/>
      <color rgb="FF9C0006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70C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0"/>
      <name val="Calibri"/>
      <family val="2"/>
    </font>
    <font>
      <b/>
      <sz val="8.5"/>
      <color indexed="12"/>
      <name val="Calibri"/>
      <family val="2"/>
    </font>
    <font>
      <b/>
      <sz val="10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168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68" fontId="16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8" fontId="11" fillId="8" borderId="2" xfId="0" applyNumberFormat="1" applyFont="1" applyFill="1" applyBorder="1" applyAlignment="1">
      <alignment horizontal="center" vertical="center"/>
    </xf>
    <xf numFmtId="49" fontId="17" fillId="8" borderId="9" xfId="0" applyNumberFormat="1" applyFont="1" applyFill="1" applyBorder="1" applyAlignment="1">
      <alignment horizontal="center" vertical="center"/>
    </xf>
    <xf numFmtId="169" fontId="18" fillId="8" borderId="10" xfId="0" applyNumberFormat="1" applyFont="1" applyFill="1" applyBorder="1" applyAlignment="1">
      <alignment horizontal="center" vertical="center"/>
    </xf>
    <xf numFmtId="1" fontId="17" fillId="8" borderId="10" xfId="0" applyNumberFormat="1" applyFont="1" applyFill="1" applyBorder="1" applyAlignment="1">
      <alignment horizontal="center" vertical="center"/>
    </xf>
    <xf numFmtId="16" fontId="17" fillId="8" borderId="10" xfId="0" applyNumberFormat="1" applyFont="1" applyFill="1" applyBorder="1" applyAlignment="1">
      <alignment horizontal="center" vertical="center"/>
    </xf>
    <xf numFmtId="49" fontId="19" fillId="8" borderId="10" xfId="0" applyNumberFormat="1" applyFont="1" applyFill="1" applyBorder="1" applyAlignment="1">
      <alignment horizontal="center" vertical="center"/>
    </xf>
    <xf numFmtId="168" fontId="17" fillId="8" borderId="10" xfId="0" applyNumberFormat="1" applyFont="1" applyFill="1" applyBorder="1" applyAlignment="1">
      <alignment horizontal="center" vertical="center"/>
    </xf>
    <xf numFmtId="49" fontId="17" fillId="8" borderId="11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168" fontId="16" fillId="9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49" fontId="17" fillId="9" borderId="9" xfId="0" applyNumberFormat="1" applyFont="1" applyFill="1" applyBorder="1" applyAlignment="1">
      <alignment horizontal="center" vertical="center"/>
    </xf>
    <xf numFmtId="169" fontId="18" fillId="9" borderId="10" xfId="0" applyNumberFormat="1" applyFont="1" applyFill="1" applyBorder="1" applyAlignment="1">
      <alignment horizontal="center" vertical="center"/>
    </xf>
    <xf numFmtId="1" fontId="17" fillId="9" borderId="10" xfId="0" applyNumberFormat="1" applyFont="1" applyFill="1" applyBorder="1" applyAlignment="1">
      <alignment horizontal="center" vertical="center"/>
    </xf>
    <xf numFmtId="16" fontId="17" fillId="9" borderId="10" xfId="0" applyNumberFormat="1" applyFont="1" applyFill="1" applyBorder="1" applyAlignment="1">
      <alignment horizontal="center" vertical="center"/>
    </xf>
    <xf numFmtId="49" fontId="19" fillId="9" borderId="10" xfId="0" applyNumberFormat="1" applyFont="1" applyFill="1" applyBorder="1" applyAlignment="1">
      <alignment horizontal="center" vertical="center"/>
    </xf>
    <xf numFmtId="168" fontId="17" fillId="9" borderId="10" xfId="0" applyNumberFormat="1" applyFont="1" applyFill="1" applyBorder="1" applyAlignment="1">
      <alignment horizontal="center" vertical="center"/>
    </xf>
    <xf numFmtId="49" fontId="17" fillId="9" borderId="11" xfId="0" applyNumberFormat="1" applyFont="1" applyFill="1" applyBorder="1" applyAlignment="1">
      <alignment horizontal="center" vertical="center"/>
    </xf>
    <xf numFmtId="49" fontId="16" fillId="10" borderId="2" xfId="0" applyNumberFormat="1" applyFont="1" applyFill="1" applyBorder="1" applyAlignment="1">
      <alignment horizontal="center" vertical="center"/>
    </xf>
    <xf numFmtId="168" fontId="16" fillId="10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49" fontId="17" fillId="10" borderId="9" xfId="0" applyNumberFormat="1" applyFont="1" applyFill="1" applyBorder="1" applyAlignment="1">
      <alignment horizontal="center" vertical="center"/>
    </xf>
    <xf numFmtId="169" fontId="18" fillId="10" borderId="10" xfId="0" applyNumberFormat="1" applyFont="1" applyFill="1" applyBorder="1" applyAlignment="1">
      <alignment horizontal="center" vertical="center"/>
    </xf>
    <xf numFmtId="1" fontId="17" fillId="10" borderId="10" xfId="0" applyNumberFormat="1" applyFont="1" applyFill="1" applyBorder="1" applyAlignment="1">
      <alignment horizontal="center" vertical="center"/>
    </xf>
    <xf numFmtId="16" fontId="17" fillId="10" borderId="10" xfId="0" applyNumberFormat="1" applyFont="1" applyFill="1" applyBorder="1" applyAlignment="1">
      <alignment horizontal="center" vertical="center"/>
    </xf>
    <xf numFmtId="49" fontId="19" fillId="10" borderId="10" xfId="0" applyNumberFormat="1" applyFont="1" applyFill="1" applyBorder="1" applyAlignment="1">
      <alignment horizontal="center" vertical="center"/>
    </xf>
    <xf numFmtId="168" fontId="17" fillId="10" borderId="10" xfId="0" applyNumberFormat="1" applyFont="1" applyFill="1" applyBorder="1" applyAlignment="1">
      <alignment horizontal="center" vertical="center"/>
    </xf>
    <xf numFmtId="49" fontId="17" fillId="10" borderId="11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68" fontId="16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7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9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8" fontId="11" fillId="12" borderId="2" xfId="0" applyNumberFormat="1" applyFont="1" applyFill="1" applyBorder="1" applyAlignment="1">
      <alignment horizontal="center" vertical="center"/>
    </xf>
    <xf numFmtId="49" fontId="17" fillId="12" borderId="9" xfId="0" applyNumberFormat="1" applyFont="1" applyFill="1" applyBorder="1" applyAlignment="1">
      <alignment horizontal="center" vertical="center"/>
    </xf>
    <xf numFmtId="169" fontId="18" fillId="12" borderId="10" xfId="0" applyNumberFormat="1" applyFont="1" applyFill="1" applyBorder="1" applyAlignment="1">
      <alignment horizontal="center" vertical="center"/>
    </xf>
    <xf numFmtId="1" fontId="17" fillId="12" borderId="10" xfId="0" applyNumberFormat="1" applyFont="1" applyFill="1" applyBorder="1" applyAlignment="1">
      <alignment horizontal="center" vertical="center"/>
    </xf>
    <xf numFmtId="16" fontId="17" fillId="12" borderId="10" xfId="0" applyNumberFormat="1" applyFont="1" applyFill="1" applyBorder="1" applyAlignment="1">
      <alignment horizontal="center" vertical="center"/>
    </xf>
    <xf numFmtId="49" fontId="19" fillId="12" borderId="10" xfId="0" applyNumberFormat="1" applyFont="1" applyFill="1" applyBorder="1" applyAlignment="1">
      <alignment horizontal="center" vertical="center"/>
    </xf>
    <xf numFmtId="168" fontId="17" fillId="12" borderId="10" xfId="0" applyNumberFormat="1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168" fontId="16" fillId="13" borderId="2" xfId="0" applyNumberFormat="1" applyFont="1" applyFill="1" applyBorder="1" applyAlignment="1">
      <alignment horizontal="center" vertical="center"/>
    </xf>
    <xf numFmtId="49" fontId="17" fillId="13" borderId="9" xfId="0" applyNumberFormat="1" applyFont="1" applyFill="1" applyBorder="1" applyAlignment="1">
      <alignment horizontal="center" vertical="center"/>
    </xf>
    <xf numFmtId="169" fontId="17" fillId="13" borderId="10" xfId="0" applyNumberFormat="1" applyFont="1" applyFill="1" applyBorder="1" applyAlignment="1">
      <alignment horizontal="center" vertical="center"/>
    </xf>
    <xf numFmtId="1" fontId="17" fillId="13" borderId="10" xfId="0" applyNumberFormat="1" applyFont="1" applyFill="1" applyBorder="1" applyAlignment="1">
      <alignment horizontal="center" vertical="center"/>
    </xf>
    <xf numFmtId="16" fontId="17" fillId="13" borderId="10" xfId="0" applyNumberFormat="1" applyFont="1" applyFill="1" applyBorder="1" applyAlignment="1">
      <alignment horizontal="center" vertical="center"/>
    </xf>
    <xf numFmtId="49" fontId="19" fillId="13" borderId="10" xfId="0" applyNumberFormat="1" applyFont="1" applyFill="1" applyBorder="1" applyAlignment="1">
      <alignment horizontal="center" vertical="center"/>
    </xf>
    <xf numFmtId="168" fontId="17" fillId="13" borderId="10" xfId="0" applyNumberFormat="1" applyFont="1" applyFill="1" applyBorder="1" applyAlignment="1">
      <alignment horizontal="center" vertical="center"/>
    </xf>
    <xf numFmtId="49" fontId="17" fillId="13" borderId="11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168" fontId="16" fillId="12" borderId="2" xfId="0" applyNumberFormat="1" applyFont="1" applyFill="1" applyBorder="1" applyAlignment="1">
      <alignment horizontal="center" vertical="center"/>
    </xf>
    <xf numFmtId="169" fontId="21" fillId="12" borderId="10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168" fontId="16" fillId="14" borderId="2" xfId="0" applyNumberFormat="1" applyFont="1" applyFill="1" applyBorder="1" applyAlignment="1">
      <alignment horizontal="center" vertical="center"/>
    </xf>
    <xf numFmtId="49" fontId="17" fillId="14" borderId="9" xfId="0" applyNumberFormat="1" applyFont="1" applyFill="1" applyBorder="1" applyAlignment="1">
      <alignment horizontal="center" vertical="center"/>
    </xf>
    <xf numFmtId="169" fontId="18" fillId="14" borderId="10" xfId="0" applyNumberFormat="1" applyFont="1" applyFill="1" applyBorder="1" applyAlignment="1">
      <alignment horizontal="center" vertical="center"/>
    </xf>
    <xf numFmtId="1" fontId="17" fillId="14" borderId="10" xfId="0" applyNumberFormat="1" applyFont="1" applyFill="1" applyBorder="1" applyAlignment="1">
      <alignment horizontal="center" vertical="center"/>
    </xf>
    <xf numFmtId="16" fontId="17" fillId="14" borderId="10" xfId="0" applyNumberFormat="1" applyFont="1" applyFill="1" applyBorder="1" applyAlignment="1">
      <alignment horizontal="center" vertical="center"/>
    </xf>
    <xf numFmtId="49" fontId="19" fillId="14" borderId="10" xfId="0" applyNumberFormat="1" applyFont="1" applyFill="1" applyBorder="1" applyAlignment="1">
      <alignment horizontal="center" vertical="center"/>
    </xf>
    <xf numFmtId="168" fontId="17" fillId="14" borderId="10" xfId="0" applyNumberFormat="1" applyFont="1" applyFill="1" applyBorder="1" applyAlignment="1">
      <alignment horizontal="center" vertical="center"/>
    </xf>
    <xf numFmtId="49" fontId="17" fillId="14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68" fontId="15" fillId="0" borderId="12" xfId="0" applyNumberFormat="1" applyFont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168" fontId="16" fillId="15" borderId="2" xfId="0" applyNumberFormat="1" applyFont="1" applyFill="1" applyBorder="1" applyAlignment="1">
      <alignment horizontal="center" vertical="center"/>
    </xf>
    <xf numFmtId="49" fontId="17" fillId="15" borderId="9" xfId="0" applyNumberFormat="1" applyFont="1" applyFill="1" applyBorder="1" applyAlignment="1">
      <alignment horizontal="center" vertical="center"/>
    </xf>
    <xf numFmtId="169" fontId="18" fillId="15" borderId="10" xfId="0" applyNumberFormat="1" applyFont="1" applyFill="1" applyBorder="1" applyAlignment="1">
      <alignment horizontal="center" vertical="center"/>
    </xf>
    <xf numFmtId="1" fontId="17" fillId="15" borderId="10" xfId="0" applyNumberFormat="1" applyFont="1" applyFill="1" applyBorder="1" applyAlignment="1">
      <alignment horizontal="center" vertical="center"/>
    </xf>
    <xf numFmtId="16" fontId="17" fillId="15" borderId="10" xfId="0" applyNumberFormat="1" applyFont="1" applyFill="1" applyBorder="1" applyAlignment="1">
      <alignment horizontal="center" vertical="center"/>
    </xf>
    <xf numFmtId="49" fontId="19" fillId="15" borderId="10" xfId="0" applyNumberFormat="1" applyFont="1" applyFill="1" applyBorder="1" applyAlignment="1">
      <alignment horizontal="center" vertical="center"/>
    </xf>
    <xf numFmtId="168" fontId="17" fillId="15" borderId="10" xfId="0" applyNumberFormat="1" applyFont="1" applyFill="1" applyBorder="1" applyAlignment="1">
      <alignment horizontal="center" vertical="center"/>
    </xf>
    <xf numFmtId="49" fontId="17" fillId="15" borderId="11" xfId="0" applyNumberFormat="1" applyFont="1" applyFill="1" applyBorder="1" applyAlignment="1">
      <alignment horizontal="center" vertical="center"/>
    </xf>
    <xf numFmtId="49" fontId="16" fillId="16" borderId="2" xfId="0" applyNumberFormat="1" applyFont="1" applyFill="1" applyBorder="1" applyAlignment="1">
      <alignment horizontal="center" vertical="center"/>
    </xf>
    <xf numFmtId="168" fontId="16" fillId="16" borderId="2" xfId="0" applyNumberFormat="1" applyFont="1" applyFill="1" applyBorder="1" applyAlignment="1">
      <alignment horizontal="center" vertical="center"/>
    </xf>
    <xf numFmtId="49" fontId="17" fillId="16" borderId="9" xfId="0" applyNumberFormat="1" applyFont="1" applyFill="1" applyBorder="1" applyAlignment="1">
      <alignment horizontal="center" vertical="center"/>
    </xf>
    <xf numFmtId="169" fontId="17" fillId="16" borderId="10" xfId="0" applyNumberFormat="1" applyFont="1" applyFill="1" applyBorder="1" applyAlignment="1">
      <alignment horizontal="center" vertical="center"/>
    </xf>
    <xf numFmtId="1" fontId="17" fillId="16" borderId="10" xfId="0" applyNumberFormat="1" applyFont="1" applyFill="1" applyBorder="1" applyAlignment="1">
      <alignment horizontal="center" vertical="center"/>
    </xf>
    <xf numFmtId="16" fontId="17" fillId="16" borderId="10" xfId="0" applyNumberFormat="1" applyFont="1" applyFill="1" applyBorder="1" applyAlignment="1">
      <alignment horizontal="center" vertical="center"/>
    </xf>
    <xf numFmtId="49" fontId="19" fillId="16" borderId="10" xfId="0" applyNumberFormat="1" applyFont="1" applyFill="1" applyBorder="1" applyAlignment="1">
      <alignment horizontal="center" vertical="center"/>
    </xf>
    <xf numFmtId="168" fontId="17" fillId="16" borderId="10" xfId="0" applyNumberFormat="1" applyFont="1" applyFill="1" applyBorder="1" applyAlignment="1">
      <alignment horizontal="center" vertical="center"/>
    </xf>
    <xf numFmtId="49" fontId="17" fillId="16" borderId="11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8" fontId="11" fillId="13" borderId="2" xfId="0" applyNumberFormat="1" applyFont="1" applyFill="1" applyBorder="1" applyAlignment="1">
      <alignment horizontal="center" vertical="center"/>
    </xf>
    <xf numFmtId="169" fontId="21" fillId="13" borderId="10" xfId="0" applyNumberFormat="1" applyFont="1" applyFill="1" applyBorder="1" applyAlignment="1">
      <alignment horizontal="center" vertical="center"/>
    </xf>
    <xf numFmtId="169" fontId="17" fillId="9" borderId="10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168" fontId="16" fillId="8" borderId="2" xfId="0" applyNumberFormat="1" applyFont="1" applyFill="1" applyBorder="1" applyAlignment="1">
      <alignment horizontal="center" vertical="center"/>
    </xf>
    <xf numFmtId="169" fontId="17" fillId="8" borderId="10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9" fontId="18" fillId="13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171" fontId="23" fillId="0" borderId="26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172" fontId="23" fillId="0" borderId="24" xfId="0" applyNumberFormat="1" applyFont="1" applyBorder="1" applyAlignment="1">
      <alignment horizontal="center" vertical="center"/>
    </xf>
    <xf numFmtId="173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72" fontId="24" fillId="0" borderId="24" xfId="0" applyNumberFormat="1" applyFont="1" applyBorder="1" applyAlignment="1">
      <alignment horizontal="center" vertical="center"/>
    </xf>
    <xf numFmtId="173" fontId="24" fillId="0" borderId="25" xfId="0" applyNumberFormat="1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8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8" fontId="11" fillId="9" borderId="2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5" fillId="0" borderId="25" xfId="0" applyFont="1" applyBorder="1" applyAlignment="1">
      <alignment horizontal="center" vertical="center"/>
    </xf>
    <xf numFmtId="0" fontId="0" fillId="0" borderId="26" xfId="0" applyBorder="1"/>
    <xf numFmtId="171" fontId="23" fillId="0" borderId="29" xfId="0" applyNumberFormat="1" applyFont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8" fontId="11" fillId="14" borderId="2" xfId="0" applyNumberFormat="1" applyFont="1" applyFill="1" applyBorder="1" applyAlignment="1">
      <alignment horizontal="center" vertical="center"/>
    </xf>
    <xf numFmtId="169" fontId="21" fillId="14" borderId="10" xfId="0" applyNumberFormat="1" applyFont="1" applyFill="1" applyBorder="1" applyAlignment="1">
      <alignment horizontal="center" vertical="center"/>
    </xf>
    <xf numFmtId="169" fontId="21" fillId="8" borderId="10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8" fontId="11" fillId="16" borderId="2" xfId="0" applyNumberFormat="1" applyFont="1" applyFill="1" applyBorder="1" applyAlignment="1">
      <alignment horizontal="center" vertical="center"/>
    </xf>
    <xf numFmtId="169" fontId="18" fillId="16" borderId="10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2" fillId="0" borderId="16" xfId="0" applyFont="1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49" fontId="25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30" fillId="0" borderId="0" xfId="0" applyFont="1" applyAlignment="1">
      <alignment horizontal="center" vertical="center"/>
    </xf>
    <xf numFmtId="0" fontId="30" fillId="0" borderId="0" xfId="0" applyFont="1"/>
    <xf numFmtId="170" fontId="30" fillId="0" borderId="0" xfId="0" applyNumberFormat="1" applyFont="1" applyAlignment="1">
      <alignment horizontal="center" vertical="center"/>
    </xf>
    <xf numFmtId="15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169" fontId="30" fillId="0" borderId="0" xfId="0" applyNumberFormat="1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6" fontId="30" fillId="0" borderId="0" xfId="0" applyNumberFormat="1" applyFont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5" fontId="31" fillId="18" borderId="0" xfId="0" applyNumberFormat="1" applyFont="1" applyFill="1" applyAlignment="1">
      <alignment horizontal="center" vertical="center"/>
    </xf>
    <xf numFmtId="169" fontId="31" fillId="18" borderId="0" xfId="0" applyNumberFormat="1" applyFont="1" applyFill="1" applyAlignment="1">
      <alignment horizontal="center" vertical="center"/>
    </xf>
    <xf numFmtId="1" fontId="31" fillId="18" borderId="0" xfId="0" applyNumberFormat="1" applyFont="1" applyFill="1" applyAlignment="1">
      <alignment horizontal="center" vertical="center"/>
    </xf>
    <xf numFmtId="0" fontId="31" fillId="18" borderId="0" xfId="0" applyNumberFormat="1" applyFont="1" applyFill="1" applyAlignment="1">
      <alignment horizontal="center" vertical="center"/>
    </xf>
    <xf numFmtId="0" fontId="20" fillId="11" borderId="34" xfId="0" applyFont="1" applyFill="1" applyBorder="1" applyAlignment="1">
      <alignment horizontal="center" vertical="center"/>
    </xf>
    <xf numFmtId="0" fontId="20" fillId="11" borderId="35" xfId="0" applyFont="1" applyFill="1" applyBorder="1" applyAlignment="1">
      <alignment horizontal="center" vertical="center"/>
    </xf>
    <xf numFmtId="0" fontId="20" fillId="11" borderId="36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0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65" totalsRowShown="0">
  <autoFilter ref="A1:H26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35" totalsRowShown="0">
  <autoFilter ref="A1:H3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9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87" totalsRowShown="0">
  <autoFilter ref="A1:H8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atsAlert_JED_HBE" displayName="ThreatsAlert_JED_HBE" ref="A1:H54" totalsRowShown="0">
  <autoFilter ref="A1:H5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ED_ATZ_LF_LEGACY" displayName="JED_ATZ_LF_LEGACY" ref="A1:AJ11" totalsRowCount="1" headerRowDxfId="74" dataDxfId="37" totalsRowDxfId="0">
  <tableColumns count="36">
    <tableColumn id="1" xr3:uid="{00000000-0010-0000-0600-000001000000}" name="Day" totalsRowLabel="TOTAL" dataDxfId="73" totalsRowDxfId="36"/>
    <tableColumn id="2" xr3:uid="{00000000-0010-0000-0600-000002000000}" name="Flt Dt" dataDxfId="72" totalsRowDxfId="35"/>
    <tableColumn id="3" xr3:uid="{00000000-0010-0000-0600-000003000000}" name="Flt" totalsRowFunction="count" dataDxfId="71" totalsRowDxfId="34"/>
    <tableColumn id="4" xr3:uid="{00000000-0010-0000-0600-000004000000}" name="DEP" dataDxfId="70" totalsRowDxfId="33"/>
    <tableColumn id="5" xr3:uid="{00000000-0010-0000-0600-000005000000}" name="Brd-Off" totalsRowFunction="count" dataDxfId="69" totalsRowDxfId="32"/>
    <tableColumn id="6" xr3:uid="{00000000-0010-0000-0600-000006000000}" name="Eqp" dataDxfId="68" totalsRowDxfId="31"/>
    <tableColumn id="7" xr3:uid="{00000000-0010-0000-0600-000007000000}" name="LF%" totalsRowFunction="average" dataDxfId="67" totalsRowDxfId="30"/>
    <tableColumn id="8" xr3:uid="{00000000-0010-0000-0600-000008000000}" name="CAP" totalsRowFunction="sum" dataDxfId="66" totalsRowDxfId="29"/>
    <tableColumn id="9" xr3:uid="{00000000-0010-0000-0600-000009000000}" name="BKG(Y)" totalsRowFunction="sum" dataDxfId="65" totalsRowDxfId="28"/>
    <tableColumn id="10" xr3:uid="{00000000-0010-0000-0600-00000A000000}" name="GRP(Y)" totalsRowFunction="sum" dataDxfId="64" totalsRowDxfId="27"/>
    <tableColumn id="11" xr3:uid="{00000000-0010-0000-0600-00000B000000}" name="FLT ST" dataDxfId="63" totalsRowDxfId="26"/>
    <tableColumn id="12" xr3:uid="{00000000-0010-0000-0600-00000C000000}" name="LST-SOLD" dataDxfId="62" totalsRowDxfId="25"/>
    <tableColumn id="13" xr3:uid="{00000000-0010-0000-0600-00000D000000}" name="TO-DAY" totalsRowFunction="sum" dataDxfId="61" totalsRowDxfId="24"/>
    <tableColumn id="14" xr3:uid="{00000000-0010-0000-0600-00000E000000}" name="Y-DAY" totalsRowFunction="sum" dataDxfId="60" totalsRowDxfId="23"/>
    <tableColumn id="15" xr3:uid="{00000000-0010-0000-0600-00000F000000}" name="WEEKLY" totalsRowFunction="sum" dataDxfId="59" totalsRowDxfId="22"/>
    <tableColumn id="16" xr3:uid="{00000000-0010-0000-0600-000010000000}" name="LOWEST AVAIL" dataDxfId="58" totalsRowDxfId="21"/>
    <tableColumn id="17" xr3:uid="{00000000-0010-0000-0600-000011000000}" name="Y" totalsRowFunction="sum" dataDxfId="57" totalsRowDxfId="20"/>
    <tableColumn id="18" xr3:uid="{00000000-0010-0000-0600-000012000000}" name="B" totalsRowFunction="sum" dataDxfId="56" totalsRowDxfId="19"/>
    <tableColumn id="19" xr3:uid="{00000000-0010-0000-0600-000013000000}" name="M" totalsRowFunction="sum" dataDxfId="55" totalsRowDxfId="18"/>
    <tableColumn id="20" xr3:uid="{00000000-0010-0000-0600-000014000000}" name="H" totalsRowFunction="sum" dataDxfId="54" totalsRowDxfId="17"/>
    <tableColumn id="21" xr3:uid="{00000000-0010-0000-0600-000015000000}" name="Q" totalsRowFunction="sum" dataDxfId="53" totalsRowDxfId="16"/>
    <tableColumn id="22" xr3:uid="{00000000-0010-0000-0600-000016000000}" name="K" totalsRowFunction="sum" dataDxfId="52" totalsRowDxfId="15"/>
    <tableColumn id="23" xr3:uid="{00000000-0010-0000-0600-000017000000}" name="V" totalsRowFunction="sum" dataDxfId="51" totalsRowDxfId="14"/>
    <tableColumn id="24" xr3:uid="{00000000-0010-0000-0600-000018000000}" name="L" totalsRowFunction="sum" dataDxfId="50" totalsRowDxfId="13"/>
    <tableColumn id="25" xr3:uid="{00000000-0010-0000-0600-000019000000}" name="G" totalsRowFunction="sum" dataDxfId="49" totalsRowDxfId="12"/>
    <tableColumn id="26" xr3:uid="{00000000-0010-0000-0600-00001A000000}" name="S" totalsRowFunction="sum" dataDxfId="48" totalsRowDxfId="11"/>
    <tableColumn id="27" xr3:uid="{00000000-0010-0000-0600-00001B000000}" name="W" totalsRowFunction="sum" dataDxfId="47" totalsRowDxfId="10"/>
    <tableColumn id="28" xr3:uid="{00000000-0010-0000-0600-00001C000000}" name="T" totalsRowFunction="sum" dataDxfId="46" totalsRowDxfId="9"/>
    <tableColumn id="29" xr3:uid="{00000000-0010-0000-0600-00001D000000}" name="X" totalsRowFunction="sum" dataDxfId="45" totalsRowDxfId="8"/>
    <tableColumn id="30" xr3:uid="{00000000-0010-0000-0600-00001E000000}" name="U" totalsRowFunction="sum" dataDxfId="44" totalsRowDxfId="7"/>
    <tableColumn id="31" xr3:uid="{00000000-0010-0000-0600-00001F000000}" name="O" totalsRowFunction="sum" dataDxfId="43" totalsRowDxfId="6"/>
    <tableColumn id="32" xr3:uid="{00000000-0010-0000-0600-000020000000}" name="I" totalsRowFunction="sum" dataDxfId="42" totalsRowDxfId="5"/>
    <tableColumn id="33" xr3:uid="{00000000-0010-0000-0600-000021000000}" name="E" totalsRowFunction="sum" dataDxfId="41" totalsRowDxfId="4"/>
    <tableColumn id="34" xr3:uid="{00000000-0010-0000-0600-000022000000}" name="A" totalsRowFunction="sum" dataDxfId="40" totalsRowDxfId="3"/>
    <tableColumn id="35" xr3:uid="{00000000-0010-0000-0600-000023000000}" name="P" totalsRowFunction="sum" dataDxfId="39" totalsRowDxfId="2"/>
    <tableColumn id="36" xr3:uid="{00000000-0010-0000-0600-000024000000}" name="N" totalsRowFunction="count" dataDxfId="38" totalsRow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TZ" displayName="FocusMode_JED_ATZ" ref="A1:H61" totalsRowShown="0">
  <autoFilter ref="A1:H61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hreatsAlert_JED_ATZ" displayName="ThreatsAlert_JED_ATZ" ref="A1:H55" totalsRowShown="0">
  <autoFilter ref="A1:H55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7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6.88671875" bestFit="1" customWidth="1"/>
  </cols>
  <sheetData>
    <row r="1" spans="1:92" ht="28.8" customHeight="1" x14ac:dyDescent="0.3">
      <c r="A1" s="190" t="s">
        <v>0</v>
      </c>
      <c r="B1" s="189"/>
      <c r="C1" s="189"/>
      <c r="D1" s="189"/>
      <c r="E1" s="189"/>
      <c r="F1" s="1" t="s">
        <v>1</v>
      </c>
      <c r="G1" s="2" t="s">
        <v>2</v>
      </c>
      <c r="H1" s="188">
        <v>45983</v>
      </c>
      <c r="I1" s="189"/>
      <c r="J1" s="189"/>
      <c r="K1" s="189"/>
      <c r="L1" s="189"/>
      <c r="M1" s="1" t="s">
        <v>3</v>
      </c>
      <c r="N1" s="197">
        <v>45986</v>
      </c>
      <c r="O1" s="189"/>
      <c r="P1" s="189"/>
      <c r="Q1" s="189"/>
      <c r="R1" s="18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4</v>
      </c>
      <c r="B2" s="189"/>
      <c r="C2" s="189"/>
      <c r="D2" s="189"/>
      <c r="E2" s="189"/>
      <c r="F2" s="189"/>
      <c r="G2" s="195">
        <v>45981.154061666137</v>
      </c>
      <c r="H2" s="189"/>
      <c r="I2" s="189"/>
      <c r="J2" s="189"/>
      <c r="K2" s="198">
        <v>45981.154061666399</v>
      </c>
      <c r="L2" s="189"/>
      <c r="M2" s="189"/>
      <c r="N2" s="189"/>
      <c r="O2" s="189"/>
      <c r="P2" s="189"/>
      <c r="Q2" s="189"/>
      <c r="R2" s="18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3" t="s">
        <v>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6" t="s">
        <v>6</v>
      </c>
      <c r="B4" s="185"/>
      <c r="C4" s="185"/>
      <c r="D4" s="185"/>
      <c r="E4" s="185"/>
      <c r="F4" s="186"/>
      <c r="G4" s="4">
        <v>45983</v>
      </c>
      <c r="H4" s="191" t="s">
        <v>7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0.30208333333333331</v>
      </c>
      <c r="D6" s="8" t="s">
        <v>28</v>
      </c>
      <c r="E6" s="8" t="s">
        <v>29</v>
      </c>
      <c r="F6" s="8" t="s">
        <v>30</v>
      </c>
      <c r="G6" s="187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27</v>
      </c>
      <c r="C7" s="16">
        <v>0.30208333333333331</v>
      </c>
      <c r="D7" s="15" t="s">
        <v>31</v>
      </c>
      <c r="E7" s="15" t="s">
        <v>32</v>
      </c>
      <c r="F7" s="15" t="s">
        <v>33</v>
      </c>
      <c r="G7" s="1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27</v>
      </c>
      <c r="C8" s="16">
        <v>0.30208333333333331</v>
      </c>
      <c r="D8" s="15" t="s">
        <v>34</v>
      </c>
      <c r="E8" s="15" t="s">
        <v>32</v>
      </c>
      <c r="F8" s="15" t="s">
        <v>35</v>
      </c>
      <c r="G8" s="1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26</v>
      </c>
      <c r="B9" s="17" t="s">
        <v>36</v>
      </c>
      <c r="C9" s="18">
        <v>0.12847222222222221</v>
      </c>
      <c r="D9" s="17" t="s">
        <v>28</v>
      </c>
      <c r="E9" s="17" t="s">
        <v>37</v>
      </c>
      <c r="F9" s="17" t="s">
        <v>30</v>
      </c>
      <c r="G9" s="1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36</v>
      </c>
      <c r="C10" s="16">
        <v>0.12847222222222221</v>
      </c>
      <c r="D10" s="15" t="s">
        <v>31</v>
      </c>
      <c r="E10" s="15" t="s">
        <v>38</v>
      </c>
      <c r="F10" s="15" t="s">
        <v>33</v>
      </c>
      <c r="G10" s="1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36</v>
      </c>
      <c r="C11" s="16">
        <v>0.12847222222222221</v>
      </c>
      <c r="D11" s="15" t="s">
        <v>34</v>
      </c>
      <c r="E11" s="15" t="s">
        <v>38</v>
      </c>
      <c r="F11" s="15" t="s">
        <v>35</v>
      </c>
      <c r="G11" s="1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7" t="s">
        <v>26</v>
      </c>
      <c r="B12" s="17" t="s">
        <v>39</v>
      </c>
      <c r="C12" s="18">
        <v>0.88888888888888884</v>
      </c>
      <c r="D12" s="17" t="s">
        <v>28</v>
      </c>
      <c r="E12" s="17" t="s">
        <v>40</v>
      </c>
      <c r="F12" s="17" t="s">
        <v>30</v>
      </c>
      <c r="G12" s="1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26</v>
      </c>
      <c r="B13" s="15" t="s">
        <v>39</v>
      </c>
      <c r="C13" s="16">
        <v>0.88888888888888884</v>
      </c>
      <c r="D13" s="15" t="s">
        <v>31</v>
      </c>
      <c r="E13" s="15" t="s">
        <v>41</v>
      </c>
      <c r="F13" s="15" t="s">
        <v>33</v>
      </c>
      <c r="G13" s="1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39</v>
      </c>
      <c r="C14" s="16">
        <v>0.88888888888888884</v>
      </c>
      <c r="D14" s="15" t="s">
        <v>34</v>
      </c>
      <c r="E14" s="15" t="s">
        <v>41</v>
      </c>
      <c r="F14" s="15" t="s">
        <v>35</v>
      </c>
      <c r="G14" s="1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7" t="s">
        <v>26</v>
      </c>
      <c r="B15" s="17" t="s">
        <v>42</v>
      </c>
      <c r="C15" s="18">
        <v>0.78819444444444453</v>
      </c>
      <c r="D15" s="17" t="s">
        <v>28</v>
      </c>
      <c r="E15" s="17" t="s">
        <v>43</v>
      </c>
      <c r="F15" s="17" t="s">
        <v>44</v>
      </c>
      <c r="G15" s="1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26</v>
      </c>
      <c r="B16" s="15" t="s">
        <v>42</v>
      </c>
      <c r="C16" s="16">
        <v>0.78819444444444453</v>
      </c>
      <c r="D16" s="15" t="s">
        <v>31</v>
      </c>
      <c r="E16" s="15" t="s">
        <v>45</v>
      </c>
      <c r="F16" s="15" t="s">
        <v>46</v>
      </c>
      <c r="G16" s="18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42</v>
      </c>
      <c r="C17" s="16">
        <v>0.78819444444444453</v>
      </c>
      <c r="D17" s="15" t="s">
        <v>34</v>
      </c>
      <c r="E17" s="15" t="s">
        <v>45</v>
      </c>
      <c r="F17" s="15" t="s">
        <v>35</v>
      </c>
      <c r="G17" s="18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9" t="s">
        <v>47</v>
      </c>
      <c r="B18" s="19" t="s">
        <v>48</v>
      </c>
      <c r="C18" s="20">
        <v>0.90277777777777779</v>
      </c>
      <c r="D18" s="19" t="s">
        <v>49</v>
      </c>
      <c r="E18" s="19" t="s">
        <v>50</v>
      </c>
      <c r="F18" s="19" t="s">
        <v>51</v>
      </c>
      <c r="G18" s="18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47</v>
      </c>
      <c r="B19" s="15" t="s">
        <v>48</v>
      </c>
      <c r="C19" s="16">
        <v>0.90277777777777779</v>
      </c>
      <c r="D19" s="15" t="s">
        <v>52</v>
      </c>
      <c r="E19" s="15" t="s">
        <v>41</v>
      </c>
      <c r="F19" s="15" t="s">
        <v>53</v>
      </c>
      <c r="G19" s="18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47</v>
      </c>
      <c r="B20" s="15" t="s">
        <v>48</v>
      </c>
      <c r="C20" s="16">
        <v>0.90277777777777779</v>
      </c>
      <c r="D20" s="15" t="s">
        <v>54</v>
      </c>
      <c r="E20" s="15" t="s">
        <v>41</v>
      </c>
      <c r="F20" s="15" t="s">
        <v>55</v>
      </c>
      <c r="G20" s="182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7" t="s">
        <v>47</v>
      </c>
      <c r="B21" s="17" t="s">
        <v>56</v>
      </c>
      <c r="C21" s="18">
        <v>0.51736111111111105</v>
      </c>
      <c r="D21" s="17" t="s">
        <v>49</v>
      </c>
      <c r="E21" s="17" t="s">
        <v>57</v>
      </c>
      <c r="F21" s="17" t="s">
        <v>51</v>
      </c>
      <c r="G21" s="182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47</v>
      </c>
      <c r="B22" s="15" t="s">
        <v>56</v>
      </c>
      <c r="C22" s="16">
        <v>0.51736111111111105</v>
      </c>
      <c r="D22" s="15" t="s">
        <v>52</v>
      </c>
      <c r="E22" s="15" t="s">
        <v>32</v>
      </c>
      <c r="F22" s="15" t="s">
        <v>53</v>
      </c>
      <c r="G22" s="182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47</v>
      </c>
      <c r="B23" s="15" t="s">
        <v>56</v>
      </c>
      <c r="C23" s="16">
        <v>0.51736111111111105</v>
      </c>
      <c r="D23" s="15" t="s">
        <v>54</v>
      </c>
      <c r="E23" s="15" t="s">
        <v>32</v>
      </c>
      <c r="F23" s="15" t="s">
        <v>55</v>
      </c>
      <c r="G23" s="182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7" t="s">
        <v>47</v>
      </c>
      <c r="B24" s="17" t="s">
        <v>58</v>
      </c>
      <c r="C24" s="18">
        <v>0.39583333333333331</v>
      </c>
      <c r="D24" s="17" t="s">
        <v>49</v>
      </c>
      <c r="E24" s="17" t="s">
        <v>40</v>
      </c>
      <c r="F24" s="17" t="s">
        <v>51</v>
      </c>
      <c r="G24" s="182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47</v>
      </c>
      <c r="B25" s="15" t="s">
        <v>58</v>
      </c>
      <c r="C25" s="16">
        <v>0.39583333333333331</v>
      </c>
      <c r="D25" s="15" t="s">
        <v>52</v>
      </c>
      <c r="E25" s="15" t="s">
        <v>41</v>
      </c>
      <c r="F25" s="15" t="s">
        <v>53</v>
      </c>
      <c r="G25" s="18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47</v>
      </c>
      <c r="B26" s="15" t="s">
        <v>58</v>
      </c>
      <c r="C26" s="16">
        <v>0.39583333333333331</v>
      </c>
      <c r="D26" s="15" t="s">
        <v>54</v>
      </c>
      <c r="E26" s="15" t="s">
        <v>41</v>
      </c>
      <c r="F26" s="15" t="s">
        <v>55</v>
      </c>
      <c r="G26" s="182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7" t="s">
        <v>47</v>
      </c>
      <c r="B27" s="17" t="s">
        <v>59</v>
      </c>
      <c r="C27" s="18">
        <v>0.79861111111111116</v>
      </c>
      <c r="D27" s="17" t="s">
        <v>49</v>
      </c>
      <c r="E27" s="17" t="s">
        <v>60</v>
      </c>
      <c r="F27" s="17" t="s">
        <v>51</v>
      </c>
      <c r="G27" s="182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47</v>
      </c>
      <c r="B28" s="15" t="s">
        <v>59</v>
      </c>
      <c r="C28" s="16">
        <v>0.79861111111111116</v>
      </c>
      <c r="D28" s="15" t="s">
        <v>52</v>
      </c>
      <c r="E28" s="15" t="s">
        <v>61</v>
      </c>
      <c r="F28" s="15" t="s">
        <v>53</v>
      </c>
      <c r="G28" s="182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47</v>
      </c>
      <c r="B29" s="15" t="s">
        <v>59</v>
      </c>
      <c r="C29" s="16">
        <v>0.79861111111111116</v>
      </c>
      <c r="D29" s="15" t="s">
        <v>54</v>
      </c>
      <c r="E29" s="15" t="s">
        <v>61</v>
      </c>
      <c r="F29" s="15" t="s">
        <v>55</v>
      </c>
      <c r="G29" s="182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7" t="s">
        <v>47</v>
      </c>
      <c r="B30" s="17" t="s">
        <v>62</v>
      </c>
      <c r="C30" s="18">
        <v>0.25694444444444448</v>
      </c>
      <c r="D30" s="17" t="s">
        <v>49</v>
      </c>
      <c r="E30" s="17" t="s">
        <v>63</v>
      </c>
      <c r="F30" s="17" t="s">
        <v>64</v>
      </c>
      <c r="G30" s="182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47</v>
      </c>
      <c r="B31" s="15" t="s">
        <v>62</v>
      </c>
      <c r="C31" s="16">
        <v>0.25694444444444448</v>
      </c>
      <c r="D31" s="15" t="s">
        <v>52</v>
      </c>
      <c r="E31" s="15" t="s">
        <v>65</v>
      </c>
      <c r="F31" s="15" t="s">
        <v>66</v>
      </c>
      <c r="G31" s="182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47</v>
      </c>
      <c r="B32" s="15" t="s">
        <v>62</v>
      </c>
      <c r="C32" s="16">
        <v>0.25694444444444448</v>
      </c>
      <c r="D32" s="15" t="s">
        <v>54</v>
      </c>
      <c r="E32" s="15" t="s">
        <v>65</v>
      </c>
      <c r="F32" s="15" t="s">
        <v>67</v>
      </c>
      <c r="G32" s="182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7" t="s">
        <v>47</v>
      </c>
      <c r="B33" s="17" t="s">
        <v>68</v>
      </c>
      <c r="C33" s="18">
        <v>0.65972222222222221</v>
      </c>
      <c r="D33" s="17" t="s">
        <v>49</v>
      </c>
      <c r="E33" s="17" t="s">
        <v>69</v>
      </c>
      <c r="F33" s="17" t="s">
        <v>64</v>
      </c>
      <c r="G33" s="18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47</v>
      </c>
      <c r="B34" s="15" t="s">
        <v>68</v>
      </c>
      <c r="C34" s="16">
        <v>0.65972222222222221</v>
      </c>
      <c r="D34" s="15" t="s">
        <v>52</v>
      </c>
      <c r="E34" s="15" t="s">
        <v>70</v>
      </c>
      <c r="F34" s="15" t="s">
        <v>66</v>
      </c>
      <c r="G34" s="18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47</v>
      </c>
      <c r="B35" s="15" t="s">
        <v>68</v>
      </c>
      <c r="C35" s="16">
        <v>0.65972222222222221</v>
      </c>
      <c r="D35" s="15" t="s">
        <v>54</v>
      </c>
      <c r="E35" s="15" t="s">
        <v>70</v>
      </c>
      <c r="F35" s="15" t="s">
        <v>67</v>
      </c>
      <c r="G35" s="182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7" t="s">
        <v>47</v>
      </c>
      <c r="B36" s="17" t="s">
        <v>71</v>
      </c>
      <c r="C36" s="18">
        <v>0.85416666666666663</v>
      </c>
      <c r="D36" s="17" t="s">
        <v>49</v>
      </c>
      <c r="E36" s="17" t="s">
        <v>40</v>
      </c>
      <c r="F36" s="17" t="s">
        <v>64</v>
      </c>
      <c r="G36" s="182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47</v>
      </c>
      <c r="B37" s="15" t="s">
        <v>71</v>
      </c>
      <c r="C37" s="16">
        <v>0.85416666666666663</v>
      </c>
      <c r="D37" s="15" t="s">
        <v>52</v>
      </c>
      <c r="E37" s="15" t="s">
        <v>41</v>
      </c>
      <c r="F37" s="15" t="s">
        <v>66</v>
      </c>
      <c r="G37" s="18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47</v>
      </c>
      <c r="B38" s="15" t="s">
        <v>71</v>
      </c>
      <c r="C38" s="16">
        <v>0.85416666666666663</v>
      </c>
      <c r="D38" s="15" t="s">
        <v>54</v>
      </c>
      <c r="E38" s="15" t="s">
        <v>41</v>
      </c>
      <c r="F38" s="15" t="s">
        <v>67</v>
      </c>
      <c r="G38" s="182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9" t="s">
        <v>72</v>
      </c>
      <c r="B39" s="19" t="s">
        <v>73</v>
      </c>
      <c r="C39" s="20">
        <v>0.28819444444444448</v>
      </c>
      <c r="D39" s="19" t="s">
        <v>74</v>
      </c>
      <c r="E39" s="19" t="s">
        <v>50</v>
      </c>
      <c r="F39" s="19" t="s">
        <v>75</v>
      </c>
      <c r="G39" s="182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72</v>
      </c>
      <c r="B40" s="15" t="s">
        <v>73</v>
      </c>
      <c r="C40" s="16">
        <v>0.28819444444444448</v>
      </c>
      <c r="D40" s="15" t="s">
        <v>34</v>
      </c>
      <c r="E40" s="15" t="s">
        <v>41</v>
      </c>
      <c r="F40" s="15" t="s">
        <v>76</v>
      </c>
      <c r="G40" s="182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7" t="s">
        <v>72</v>
      </c>
      <c r="B41" s="17" t="s">
        <v>77</v>
      </c>
      <c r="C41" s="18">
        <v>0.21527777777777779</v>
      </c>
      <c r="D41" s="17" t="s">
        <v>74</v>
      </c>
      <c r="E41" s="17" t="s">
        <v>40</v>
      </c>
      <c r="F41" s="17" t="s">
        <v>75</v>
      </c>
      <c r="G41" s="182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72</v>
      </c>
      <c r="B42" s="15" t="s">
        <v>77</v>
      </c>
      <c r="C42" s="16">
        <v>0.21527777777777779</v>
      </c>
      <c r="D42" s="15" t="s">
        <v>34</v>
      </c>
      <c r="E42" s="15" t="s">
        <v>41</v>
      </c>
      <c r="F42" s="15" t="s">
        <v>76</v>
      </c>
      <c r="G42" s="182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78</v>
      </c>
      <c r="B43" s="19" t="s">
        <v>79</v>
      </c>
      <c r="C43" s="20">
        <v>0.66666666666666663</v>
      </c>
      <c r="D43" s="19" t="s">
        <v>80</v>
      </c>
      <c r="E43" s="19" t="s">
        <v>29</v>
      </c>
      <c r="F43" s="19" t="s">
        <v>81</v>
      </c>
      <c r="G43" s="182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82</v>
      </c>
      <c r="B44" s="19" t="s">
        <v>83</v>
      </c>
      <c r="C44" s="20">
        <v>0.27083333333333331</v>
      </c>
      <c r="D44" s="19" t="s">
        <v>80</v>
      </c>
      <c r="E44" s="19" t="s">
        <v>29</v>
      </c>
      <c r="F44" s="19" t="s">
        <v>84</v>
      </c>
      <c r="G44" s="182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21" t="s">
        <v>85</v>
      </c>
      <c r="B45" s="21" t="s">
        <v>86</v>
      </c>
      <c r="C45" s="22">
        <v>0.68055555555555547</v>
      </c>
      <c r="D45" s="21" t="s">
        <v>87</v>
      </c>
      <c r="E45" s="21" t="s">
        <v>29</v>
      </c>
      <c r="F45" s="21" t="s">
        <v>88</v>
      </c>
      <c r="G45" s="182"/>
      <c r="H45" s="23" t="s">
        <v>89</v>
      </c>
      <c r="I45" s="24">
        <v>0.99439999999999995</v>
      </c>
      <c r="J45" s="25">
        <v>178</v>
      </c>
      <c r="K45" s="26">
        <v>45977</v>
      </c>
      <c r="L45" s="25">
        <v>3</v>
      </c>
      <c r="M45" s="25">
        <v>0</v>
      </c>
      <c r="N45" s="25">
        <v>0</v>
      </c>
      <c r="O45" s="27" t="s">
        <v>90</v>
      </c>
      <c r="P45" s="28">
        <v>0.68055555555555547</v>
      </c>
      <c r="Q45" s="25">
        <v>179</v>
      </c>
      <c r="R45" s="29" t="s">
        <v>91</v>
      </c>
    </row>
    <row r="46" spans="1:18" ht="15" customHeight="1" x14ac:dyDescent="0.3">
      <c r="A46" s="30" t="s">
        <v>85</v>
      </c>
      <c r="B46" s="30" t="s">
        <v>92</v>
      </c>
      <c r="C46" s="31">
        <v>0.2361111111111111</v>
      </c>
      <c r="D46" s="30" t="s">
        <v>93</v>
      </c>
      <c r="E46" s="32"/>
      <c r="F46" s="30" t="s">
        <v>94</v>
      </c>
      <c r="G46" s="182"/>
      <c r="H46" s="33" t="s">
        <v>92</v>
      </c>
      <c r="I46" s="34">
        <v>1</v>
      </c>
      <c r="J46" s="35">
        <v>179</v>
      </c>
      <c r="K46" s="36">
        <v>45971</v>
      </c>
      <c r="L46" s="35">
        <v>0</v>
      </c>
      <c r="M46" s="35">
        <v>0</v>
      </c>
      <c r="N46" s="35">
        <v>0</v>
      </c>
      <c r="O46" s="37" t="s">
        <v>95</v>
      </c>
      <c r="P46" s="38">
        <v>0.2361111111111111</v>
      </c>
      <c r="Q46" s="35">
        <v>179</v>
      </c>
      <c r="R46" s="39" t="s">
        <v>96</v>
      </c>
    </row>
    <row r="47" spans="1:18" ht="15" customHeight="1" x14ac:dyDescent="0.3">
      <c r="A47" s="40" t="s">
        <v>85</v>
      </c>
      <c r="B47" s="40" t="s">
        <v>97</v>
      </c>
      <c r="C47" s="41">
        <v>0.33333333333333331</v>
      </c>
      <c r="D47" s="40" t="s">
        <v>93</v>
      </c>
      <c r="E47" s="42"/>
      <c r="F47" s="40" t="s">
        <v>94</v>
      </c>
      <c r="G47" s="182"/>
      <c r="H47" s="43" t="s">
        <v>97</v>
      </c>
      <c r="I47" s="44">
        <v>1</v>
      </c>
      <c r="J47" s="45">
        <v>179</v>
      </c>
      <c r="K47" s="46">
        <v>45979</v>
      </c>
      <c r="L47" s="45">
        <v>4</v>
      </c>
      <c r="M47" s="45">
        <v>0</v>
      </c>
      <c r="N47" s="45">
        <v>0</v>
      </c>
      <c r="O47" s="47" t="s">
        <v>95</v>
      </c>
      <c r="P47" s="48">
        <v>0.33333333333333331</v>
      </c>
      <c r="Q47" s="45">
        <v>179</v>
      </c>
      <c r="R47" s="49" t="s">
        <v>98</v>
      </c>
    </row>
    <row r="48" spans="1:18" ht="15" customHeight="1" x14ac:dyDescent="0.3">
      <c r="A48" s="19" t="s">
        <v>99</v>
      </c>
      <c r="B48" s="19" t="s">
        <v>100</v>
      </c>
      <c r="C48" s="20">
        <v>0.22916666666666671</v>
      </c>
      <c r="D48" s="19" t="s">
        <v>101</v>
      </c>
      <c r="E48" s="19" t="s">
        <v>102</v>
      </c>
      <c r="F48" s="19" t="s">
        <v>103</v>
      </c>
      <c r="G48" s="182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7" t="s">
        <v>99</v>
      </c>
      <c r="B49" s="17" t="s">
        <v>104</v>
      </c>
      <c r="C49" s="18">
        <v>0.27777777777777779</v>
      </c>
      <c r="D49" s="17" t="s">
        <v>101</v>
      </c>
      <c r="E49" s="17" t="s">
        <v>105</v>
      </c>
      <c r="F49" s="17" t="s">
        <v>106</v>
      </c>
      <c r="G49" s="182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7" t="s">
        <v>99</v>
      </c>
      <c r="B50" s="17" t="s">
        <v>107</v>
      </c>
      <c r="C50" s="18">
        <v>1.388888888888889E-2</v>
      </c>
      <c r="D50" s="17" t="s">
        <v>101</v>
      </c>
      <c r="E50" s="17" t="s">
        <v>105</v>
      </c>
      <c r="F50" s="17" t="s">
        <v>108</v>
      </c>
      <c r="G50" s="182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7" t="s">
        <v>99</v>
      </c>
      <c r="B51" s="17" t="s">
        <v>109</v>
      </c>
      <c r="C51" s="18">
        <v>0.14583333333333329</v>
      </c>
      <c r="D51" s="17" t="s">
        <v>101</v>
      </c>
      <c r="E51" s="17" t="s">
        <v>110</v>
      </c>
      <c r="F51" s="17" t="s">
        <v>111</v>
      </c>
      <c r="G51" s="182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7" t="s">
        <v>99</v>
      </c>
      <c r="B52" s="17" t="s">
        <v>112</v>
      </c>
      <c r="C52" s="18">
        <v>0.54166666666666663</v>
      </c>
      <c r="D52" s="17" t="s">
        <v>101</v>
      </c>
      <c r="E52" s="17" t="s">
        <v>60</v>
      </c>
      <c r="F52" s="17" t="s">
        <v>111</v>
      </c>
      <c r="G52" s="182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7" t="s">
        <v>99</v>
      </c>
      <c r="B53" s="17" t="s">
        <v>113</v>
      </c>
      <c r="C53" s="18">
        <v>0.77083333333333337</v>
      </c>
      <c r="D53" s="17" t="s">
        <v>101</v>
      </c>
      <c r="E53" s="17" t="s">
        <v>114</v>
      </c>
      <c r="F53" s="17" t="s">
        <v>111</v>
      </c>
      <c r="G53" s="182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9" t="s">
        <v>115</v>
      </c>
      <c r="B54" s="19" t="s">
        <v>116</v>
      </c>
      <c r="C54" s="20">
        <v>0.37847222222222232</v>
      </c>
      <c r="D54" s="19" t="s">
        <v>117</v>
      </c>
      <c r="E54" s="19" t="s">
        <v>102</v>
      </c>
      <c r="F54" s="19" t="s">
        <v>118</v>
      </c>
      <c r="G54" s="1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115</v>
      </c>
      <c r="B55" s="15" t="s">
        <v>116</v>
      </c>
      <c r="C55" s="16">
        <v>0.37847222222222232</v>
      </c>
      <c r="D55" s="15" t="s">
        <v>119</v>
      </c>
      <c r="E55" s="15" t="s">
        <v>120</v>
      </c>
      <c r="F55" s="15" t="s">
        <v>121</v>
      </c>
      <c r="G55" s="1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7" t="s">
        <v>115</v>
      </c>
      <c r="B56" s="17" t="s">
        <v>122</v>
      </c>
      <c r="C56" s="18">
        <v>0.71875</v>
      </c>
      <c r="D56" s="17" t="s">
        <v>117</v>
      </c>
      <c r="E56" s="17" t="s">
        <v>105</v>
      </c>
      <c r="F56" s="17" t="s">
        <v>118</v>
      </c>
      <c r="G56" s="1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115</v>
      </c>
      <c r="B57" s="15" t="s">
        <v>122</v>
      </c>
      <c r="C57" s="16">
        <v>0.71875</v>
      </c>
      <c r="D57" s="15" t="s">
        <v>119</v>
      </c>
      <c r="E57" s="15" t="s">
        <v>120</v>
      </c>
      <c r="F57" s="15" t="s">
        <v>121</v>
      </c>
      <c r="G57" s="1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7" t="s">
        <v>115</v>
      </c>
      <c r="B58" s="17" t="s">
        <v>123</v>
      </c>
      <c r="C58" s="18">
        <v>6.9444444444444441E-3</v>
      </c>
      <c r="D58" s="17" t="s">
        <v>117</v>
      </c>
      <c r="E58" s="17" t="s">
        <v>105</v>
      </c>
      <c r="F58" s="17" t="s">
        <v>118</v>
      </c>
      <c r="G58" s="182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115</v>
      </c>
      <c r="B59" s="15" t="s">
        <v>123</v>
      </c>
      <c r="C59" s="16">
        <v>6.9444444444444441E-3</v>
      </c>
      <c r="D59" s="15" t="s">
        <v>119</v>
      </c>
      <c r="E59" s="15" t="s">
        <v>120</v>
      </c>
      <c r="F59" s="15" t="s">
        <v>121</v>
      </c>
      <c r="G59" s="182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7" t="s">
        <v>115</v>
      </c>
      <c r="B60" s="17" t="s">
        <v>124</v>
      </c>
      <c r="C60" s="18">
        <v>0.1423611111111111</v>
      </c>
      <c r="D60" s="17" t="s">
        <v>117</v>
      </c>
      <c r="E60" s="17" t="s">
        <v>105</v>
      </c>
      <c r="F60" s="17" t="s">
        <v>118</v>
      </c>
      <c r="G60" s="182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115</v>
      </c>
      <c r="B61" s="15" t="s">
        <v>124</v>
      </c>
      <c r="C61" s="16">
        <v>0.1423611111111111</v>
      </c>
      <c r="D61" s="15" t="s">
        <v>119</v>
      </c>
      <c r="E61" s="15" t="s">
        <v>120</v>
      </c>
      <c r="F61" s="15" t="s">
        <v>121</v>
      </c>
      <c r="G61" s="182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7" t="s">
        <v>115</v>
      </c>
      <c r="B62" s="17" t="s">
        <v>125</v>
      </c>
      <c r="C62" s="18">
        <v>0.93055555555555547</v>
      </c>
      <c r="D62" s="17" t="s">
        <v>117</v>
      </c>
      <c r="E62" s="17" t="s">
        <v>105</v>
      </c>
      <c r="F62" s="17" t="s">
        <v>118</v>
      </c>
      <c r="G62" s="182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115</v>
      </c>
      <c r="B63" s="15" t="s">
        <v>125</v>
      </c>
      <c r="C63" s="16">
        <v>0.93055555555555547</v>
      </c>
      <c r="D63" s="15" t="s">
        <v>119</v>
      </c>
      <c r="E63" s="15" t="s">
        <v>120</v>
      </c>
      <c r="F63" s="15" t="s">
        <v>121</v>
      </c>
      <c r="G63" s="182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7" t="s">
        <v>115</v>
      </c>
      <c r="B64" s="17" t="s">
        <v>126</v>
      </c>
      <c r="C64" s="18">
        <v>0.24305555555555561</v>
      </c>
      <c r="D64" s="17" t="s">
        <v>117</v>
      </c>
      <c r="E64" s="17" t="s">
        <v>105</v>
      </c>
      <c r="F64" s="17" t="s">
        <v>127</v>
      </c>
      <c r="G64" s="182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5" t="s">
        <v>115</v>
      </c>
      <c r="B65" s="15" t="s">
        <v>126</v>
      </c>
      <c r="C65" s="16">
        <v>0.24305555555555561</v>
      </c>
      <c r="D65" s="15" t="s">
        <v>119</v>
      </c>
      <c r="E65" s="15" t="s">
        <v>120</v>
      </c>
      <c r="F65" s="15" t="s">
        <v>128</v>
      </c>
      <c r="G65" s="182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7" t="s">
        <v>115</v>
      </c>
      <c r="B66" s="17" t="s">
        <v>129</v>
      </c>
      <c r="C66" s="18">
        <v>0.30208333333333331</v>
      </c>
      <c r="D66" s="17" t="s">
        <v>119</v>
      </c>
      <c r="E66" s="17" t="s">
        <v>69</v>
      </c>
      <c r="F66" s="17" t="s">
        <v>130</v>
      </c>
      <c r="G66" s="182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7" t="s">
        <v>115</v>
      </c>
      <c r="B67" s="17" t="s">
        <v>131</v>
      </c>
      <c r="C67" s="18">
        <v>0.12847222222222221</v>
      </c>
      <c r="D67" s="17" t="s">
        <v>119</v>
      </c>
      <c r="E67" s="17" t="s">
        <v>69</v>
      </c>
      <c r="F67" s="17" t="s">
        <v>130</v>
      </c>
      <c r="G67" s="182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7" t="s">
        <v>115</v>
      </c>
      <c r="B68" s="17" t="s">
        <v>132</v>
      </c>
      <c r="C68" s="18">
        <v>0.61111111111111105</v>
      </c>
      <c r="D68" s="17" t="s">
        <v>117</v>
      </c>
      <c r="E68" s="17" t="s">
        <v>105</v>
      </c>
      <c r="F68" s="17" t="s">
        <v>133</v>
      </c>
      <c r="G68" s="182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5" t="s">
        <v>115</v>
      </c>
      <c r="B69" s="15" t="s">
        <v>132</v>
      </c>
      <c r="C69" s="16">
        <v>0.61111111111111105</v>
      </c>
      <c r="D69" s="15" t="s">
        <v>119</v>
      </c>
      <c r="E69" s="15" t="s">
        <v>120</v>
      </c>
      <c r="F69" s="15" t="s">
        <v>134</v>
      </c>
      <c r="G69" s="182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7" t="s">
        <v>115</v>
      </c>
      <c r="B70" s="17" t="s">
        <v>135</v>
      </c>
      <c r="C70" s="18">
        <v>0.82986111111111116</v>
      </c>
      <c r="D70" s="17" t="s">
        <v>117</v>
      </c>
      <c r="E70" s="17" t="s">
        <v>105</v>
      </c>
      <c r="F70" s="17" t="s">
        <v>133</v>
      </c>
      <c r="G70" s="182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115</v>
      </c>
      <c r="B71" s="15" t="s">
        <v>135</v>
      </c>
      <c r="C71" s="16">
        <v>0.82986111111111116</v>
      </c>
      <c r="D71" s="15" t="s">
        <v>119</v>
      </c>
      <c r="E71" s="15" t="s">
        <v>120</v>
      </c>
      <c r="F71" s="15" t="s">
        <v>134</v>
      </c>
      <c r="G71" s="182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7" t="s">
        <v>115</v>
      </c>
      <c r="B72" s="17" t="s">
        <v>136</v>
      </c>
      <c r="C72" s="18">
        <v>0.88888888888888884</v>
      </c>
      <c r="D72" s="17" t="s">
        <v>119</v>
      </c>
      <c r="E72" s="17" t="s">
        <v>69</v>
      </c>
      <c r="F72" s="17" t="s">
        <v>137</v>
      </c>
      <c r="G72" s="18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thickBot="1" x14ac:dyDescent="0.35">
      <c r="A73" s="50" t="s">
        <v>115</v>
      </c>
      <c r="B73" s="50" t="s">
        <v>138</v>
      </c>
      <c r="C73" s="51">
        <v>0.78819444444444453</v>
      </c>
      <c r="D73" s="50" t="s">
        <v>119</v>
      </c>
      <c r="E73" s="50" t="s">
        <v>69</v>
      </c>
      <c r="F73" s="50" t="s">
        <v>137</v>
      </c>
      <c r="G73" s="183"/>
      <c r="H73" s="52"/>
      <c r="I73" s="53"/>
      <c r="J73" s="53"/>
      <c r="K73" s="53"/>
      <c r="L73" s="53"/>
      <c r="M73" s="53"/>
      <c r="N73" s="53"/>
      <c r="O73" s="54"/>
      <c r="P73" s="53"/>
      <c r="Q73" s="55"/>
      <c r="R73" s="56"/>
    </row>
    <row r="74" spans="1:18" ht="17.399999999999999" customHeight="1" thickBot="1" x14ac:dyDescent="0.35">
      <c r="A74" s="216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8"/>
    </row>
    <row r="75" spans="1:18" ht="22.05" customHeight="1" thickTop="1" thickBot="1" x14ac:dyDescent="0.35">
      <c r="A75" s="184" t="s">
        <v>6</v>
      </c>
      <c r="B75" s="185"/>
      <c r="C75" s="185"/>
      <c r="D75" s="185"/>
      <c r="E75" s="185"/>
      <c r="F75" s="186"/>
      <c r="G75" s="57">
        <v>45984</v>
      </c>
      <c r="H75" s="194" t="s">
        <v>7</v>
      </c>
      <c r="I75" s="185"/>
      <c r="J75" s="185"/>
      <c r="K75" s="185"/>
      <c r="L75" s="185"/>
      <c r="M75" s="185"/>
      <c r="N75" s="185"/>
      <c r="O75" s="185"/>
      <c r="P75" s="185"/>
      <c r="Q75" s="185"/>
      <c r="R75" s="186"/>
    </row>
    <row r="76" spans="1:18" ht="24" customHeight="1" x14ac:dyDescent="0.3">
      <c r="A76" s="58" t="s">
        <v>8</v>
      </c>
      <c r="B76" s="58" t="s">
        <v>9</v>
      </c>
      <c r="C76" s="59" t="s">
        <v>10</v>
      </c>
      <c r="D76" s="58" t="s">
        <v>11</v>
      </c>
      <c r="E76" s="58" t="s">
        <v>12</v>
      </c>
      <c r="F76" s="60" t="s">
        <v>13</v>
      </c>
      <c r="G76" s="61" t="s">
        <v>14</v>
      </c>
      <c r="H76" s="58" t="s">
        <v>15</v>
      </c>
      <c r="I76" s="62" t="s">
        <v>16</v>
      </c>
      <c r="J76" s="63" t="s">
        <v>17</v>
      </c>
      <c r="K76" s="64" t="s">
        <v>18</v>
      </c>
      <c r="L76" s="63" t="s">
        <v>19</v>
      </c>
      <c r="M76" s="63" t="s">
        <v>20</v>
      </c>
      <c r="N76" s="63" t="s">
        <v>21</v>
      </c>
      <c r="O76" s="58" t="s">
        <v>22</v>
      </c>
      <c r="P76" s="59" t="s">
        <v>23</v>
      </c>
      <c r="Q76" s="63" t="s">
        <v>24</v>
      </c>
      <c r="R76" s="58" t="s">
        <v>25</v>
      </c>
    </row>
    <row r="77" spans="1:18" ht="15" customHeight="1" x14ac:dyDescent="0.3">
      <c r="A77" s="8" t="s">
        <v>26</v>
      </c>
      <c r="B77" s="8" t="s">
        <v>42</v>
      </c>
      <c r="C77" s="9">
        <v>0.78819444444444453</v>
      </c>
      <c r="D77" s="8" t="s">
        <v>139</v>
      </c>
      <c r="E77" s="8" t="s">
        <v>29</v>
      </c>
      <c r="F77" s="8" t="s">
        <v>140</v>
      </c>
      <c r="G77" s="181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7" t="s">
        <v>26</v>
      </c>
      <c r="B78" s="17" t="s">
        <v>39</v>
      </c>
      <c r="C78" s="18">
        <v>0.88888888888888884</v>
      </c>
      <c r="D78" s="17" t="s">
        <v>139</v>
      </c>
      <c r="E78" s="17" t="s">
        <v>69</v>
      </c>
      <c r="F78" s="17" t="s">
        <v>140</v>
      </c>
      <c r="G78" s="182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7" t="s">
        <v>26</v>
      </c>
      <c r="B79" s="17" t="s">
        <v>36</v>
      </c>
      <c r="C79" s="18">
        <v>0.12847222222222221</v>
      </c>
      <c r="D79" s="17" t="s">
        <v>139</v>
      </c>
      <c r="E79" s="17" t="s">
        <v>114</v>
      </c>
      <c r="F79" s="17" t="s">
        <v>141</v>
      </c>
      <c r="G79" s="182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7" t="s">
        <v>26</v>
      </c>
      <c r="B80" s="17" t="s">
        <v>27</v>
      </c>
      <c r="C80" s="18">
        <v>0.30208333333333331</v>
      </c>
      <c r="D80" s="17" t="s">
        <v>139</v>
      </c>
      <c r="E80" s="17" t="s">
        <v>40</v>
      </c>
      <c r="F80" s="17" t="s">
        <v>30</v>
      </c>
      <c r="G80" s="182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65" t="s">
        <v>85</v>
      </c>
      <c r="B81" s="65" t="s">
        <v>142</v>
      </c>
      <c r="C81" s="66">
        <v>0.33333333333333331</v>
      </c>
      <c r="D81" s="65" t="s">
        <v>87</v>
      </c>
      <c r="E81" s="65" t="s">
        <v>29</v>
      </c>
      <c r="F81" s="65" t="s">
        <v>143</v>
      </c>
      <c r="G81" s="182"/>
      <c r="H81" s="67" t="s">
        <v>144</v>
      </c>
      <c r="I81" s="68">
        <v>0.875</v>
      </c>
      <c r="J81" s="69">
        <v>147</v>
      </c>
      <c r="K81" s="70">
        <v>45980</v>
      </c>
      <c r="L81" s="69">
        <v>30</v>
      </c>
      <c r="M81" s="69">
        <v>0</v>
      </c>
      <c r="N81" s="69">
        <v>6</v>
      </c>
      <c r="O81" s="71" t="s">
        <v>145</v>
      </c>
      <c r="P81" s="72">
        <v>0.33333333333333331</v>
      </c>
      <c r="Q81" s="69">
        <v>168</v>
      </c>
      <c r="R81" s="73" t="s">
        <v>146</v>
      </c>
    </row>
    <row r="82" spans="1:18" ht="15" customHeight="1" x14ac:dyDescent="0.3">
      <c r="A82" s="74" t="s">
        <v>85</v>
      </c>
      <c r="B82" s="74" t="s">
        <v>147</v>
      </c>
      <c r="C82" s="75">
        <v>8.3333333333333329E-2</v>
      </c>
      <c r="D82" s="74" t="s">
        <v>87</v>
      </c>
      <c r="E82" s="74" t="s">
        <v>57</v>
      </c>
      <c r="F82" s="74" t="s">
        <v>148</v>
      </c>
      <c r="G82" s="182"/>
      <c r="H82" s="76" t="s">
        <v>149</v>
      </c>
      <c r="I82" s="77">
        <v>0.62009999999999998</v>
      </c>
      <c r="J82" s="78">
        <v>111</v>
      </c>
      <c r="K82" s="79">
        <v>45980</v>
      </c>
      <c r="L82" s="78">
        <v>50</v>
      </c>
      <c r="M82" s="78">
        <v>0</v>
      </c>
      <c r="N82" s="78">
        <v>7</v>
      </c>
      <c r="O82" s="80" t="s">
        <v>150</v>
      </c>
      <c r="P82" s="81">
        <v>8.3333333333333329E-2</v>
      </c>
      <c r="Q82" s="78">
        <v>179</v>
      </c>
      <c r="R82" s="82" t="s">
        <v>151</v>
      </c>
    </row>
    <row r="83" spans="1:18" ht="15" customHeight="1" x14ac:dyDescent="0.3">
      <c r="A83" s="83" t="s">
        <v>85</v>
      </c>
      <c r="B83" s="83" t="s">
        <v>152</v>
      </c>
      <c r="C83" s="84">
        <v>0.31944444444444448</v>
      </c>
      <c r="D83" s="83" t="s">
        <v>87</v>
      </c>
      <c r="E83" s="83" t="s">
        <v>60</v>
      </c>
      <c r="F83" s="83" t="s">
        <v>148</v>
      </c>
      <c r="G83" s="182"/>
      <c r="H83" s="67" t="s">
        <v>97</v>
      </c>
      <c r="I83" s="85">
        <v>0.54190000000000005</v>
      </c>
      <c r="J83" s="69">
        <v>97</v>
      </c>
      <c r="K83" s="70">
        <v>45979</v>
      </c>
      <c r="L83" s="69">
        <v>34</v>
      </c>
      <c r="M83" s="69">
        <v>0</v>
      </c>
      <c r="N83" s="69">
        <v>0</v>
      </c>
      <c r="O83" s="71" t="s">
        <v>153</v>
      </c>
      <c r="P83" s="72">
        <v>0.31944444444444448</v>
      </c>
      <c r="Q83" s="69">
        <v>179</v>
      </c>
      <c r="R83" s="73" t="s">
        <v>154</v>
      </c>
    </row>
    <row r="84" spans="1:18" ht="15" customHeight="1" x14ac:dyDescent="0.3">
      <c r="A84" s="86" t="s">
        <v>85</v>
      </c>
      <c r="B84" s="86" t="s">
        <v>155</v>
      </c>
      <c r="C84" s="87">
        <v>0.51041666666666663</v>
      </c>
      <c r="D84" s="86" t="s">
        <v>87</v>
      </c>
      <c r="E84" s="86" t="s">
        <v>60</v>
      </c>
      <c r="F84" s="86" t="s">
        <v>156</v>
      </c>
      <c r="G84" s="182"/>
      <c r="H84" s="88" t="s">
        <v>157</v>
      </c>
      <c r="I84" s="89">
        <v>0.92179999999999995</v>
      </c>
      <c r="J84" s="90">
        <v>165</v>
      </c>
      <c r="K84" s="91">
        <v>45980</v>
      </c>
      <c r="L84" s="90">
        <v>8</v>
      </c>
      <c r="M84" s="90">
        <v>0</v>
      </c>
      <c r="N84" s="90">
        <v>3</v>
      </c>
      <c r="O84" s="92" t="s">
        <v>158</v>
      </c>
      <c r="P84" s="93">
        <v>0.51041666666666663</v>
      </c>
      <c r="Q84" s="90">
        <v>179</v>
      </c>
      <c r="R84" s="94" t="s">
        <v>159</v>
      </c>
    </row>
    <row r="85" spans="1:18" ht="15" customHeight="1" x14ac:dyDescent="0.3">
      <c r="A85" s="30" t="s">
        <v>85</v>
      </c>
      <c r="B85" s="30" t="s">
        <v>89</v>
      </c>
      <c r="C85" s="31">
        <v>0.63194444444444442</v>
      </c>
      <c r="D85" s="30" t="s">
        <v>93</v>
      </c>
      <c r="E85" s="32"/>
      <c r="F85" s="30" t="s">
        <v>94</v>
      </c>
      <c r="G85" s="182"/>
      <c r="H85" s="33" t="s">
        <v>89</v>
      </c>
      <c r="I85" s="34">
        <v>1.0112000000000001</v>
      </c>
      <c r="J85" s="35">
        <v>181</v>
      </c>
      <c r="K85" s="36">
        <v>45980</v>
      </c>
      <c r="L85" s="35">
        <v>12</v>
      </c>
      <c r="M85" s="35">
        <v>0</v>
      </c>
      <c r="N85" s="35">
        <v>3</v>
      </c>
      <c r="O85" s="37" t="s">
        <v>95</v>
      </c>
      <c r="P85" s="38">
        <v>0.63194444444444442</v>
      </c>
      <c r="Q85" s="35">
        <v>179</v>
      </c>
      <c r="R85" s="39" t="s">
        <v>160</v>
      </c>
    </row>
    <row r="86" spans="1:18" ht="15" customHeight="1" x14ac:dyDescent="0.3">
      <c r="A86" s="19" t="s">
        <v>47</v>
      </c>
      <c r="B86" s="19" t="s">
        <v>62</v>
      </c>
      <c r="C86" s="20">
        <v>0.25694444444444448</v>
      </c>
      <c r="D86" s="19" t="s">
        <v>161</v>
      </c>
      <c r="E86" s="19" t="s">
        <v>29</v>
      </c>
      <c r="F86" s="19" t="s">
        <v>141</v>
      </c>
      <c r="G86" s="182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7" t="s">
        <v>47</v>
      </c>
      <c r="B87" s="17" t="s">
        <v>48</v>
      </c>
      <c r="C87" s="18">
        <v>0.90277777777777779</v>
      </c>
      <c r="D87" s="17" t="s">
        <v>161</v>
      </c>
      <c r="E87" s="17" t="s">
        <v>40</v>
      </c>
      <c r="F87" s="17" t="s">
        <v>141</v>
      </c>
      <c r="G87" s="182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7" t="s">
        <v>47</v>
      </c>
      <c r="B88" s="17" t="s">
        <v>71</v>
      </c>
      <c r="C88" s="18">
        <v>0.85416666666666663</v>
      </c>
      <c r="D88" s="17" t="s">
        <v>161</v>
      </c>
      <c r="E88" s="17" t="s">
        <v>40</v>
      </c>
      <c r="F88" s="17" t="s">
        <v>141</v>
      </c>
      <c r="G88" s="182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7" t="s">
        <v>47</v>
      </c>
      <c r="B89" s="17" t="s">
        <v>162</v>
      </c>
      <c r="C89" s="18">
        <v>0.30208333333333331</v>
      </c>
      <c r="D89" s="17" t="s">
        <v>161</v>
      </c>
      <c r="E89" s="17" t="s">
        <v>114</v>
      </c>
      <c r="F89" s="17" t="s">
        <v>141</v>
      </c>
      <c r="G89" s="182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7" t="s">
        <v>47</v>
      </c>
      <c r="B90" s="17" t="s">
        <v>59</v>
      </c>
      <c r="C90" s="18">
        <v>0.79861111111111116</v>
      </c>
      <c r="D90" s="17" t="s">
        <v>161</v>
      </c>
      <c r="E90" s="17" t="s">
        <v>40</v>
      </c>
      <c r="F90" s="17" t="s">
        <v>141</v>
      </c>
      <c r="G90" s="182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7" t="s">
        <v>47</v>
      </c>
      <c r="B91" s="17" t="s">
        <v>68</v>
      </c>
      <c r="C91" s="18">
        <v>0.64583333333333337</v>
      </c>
      <c r="D91" s="17" t="s">
        <v>161</v>
      </c>
      <c r="E91" s="17" t="s">
        <v>40</v>
      </c>
      <c r="F91" s="17" t="s">
        <v>51</v>
      </c>
      <c r="G91" s="182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7" t="s">
        <v>47</v>
      </c>
      <c r="B92" s="17" t="s">
        <v>56</v>
      </c>
      <c r="C92" s="18">
        <v>0.51736111111111105</v>
      </c>
      <c r="D92" s="17" t="s">
        <v>161</v>
      </c>
      <c r="E92" s="17" t="s">
        <v>40</v>
      </c>
      <c r="F92" s="17" t="s">
        <v>51</v>
      </c>
      <c r="G92" s="182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7" t="s">
        <v>47</v>
      </c>
      <c r="B93" s="17" t="s">
        <v>58</v>
      </c>
      <c r="C93" s="18">
        <v>0.39583333333333331</v>
      </c>
      <c r="D93" s="17" t="s">
        <v>161</v>
      </c>
      <c r="E93" s="17" t="s">
        <v>40</v>
      </c>
      <c r="F93" s="17" t="s">
        <v>51</v>
      </c>
      <c r="G93" s="182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9" t="s">
        <v>78</v>
      </c>
      <c r="B94" s="19" t="s">
        <v>79</v>
      </c>
      <c r="C94" s="20">
        <v>0.66666666666666663</v>
      </c>
      <c r="D94" s="19" t="s">
        <v>80</v>
      </c>
      <c r="E94" s="19" t="s">
        <v>163</v>
      </c>
      <c r="F94" s="19" t="s">
        <v>164</v>
      </c>
      <c r="G94" s="182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78</v>
      </c>
      <c r="B95" s="17" t="s">
        <v>165</v>
      </c>
      <c r="C95" s="18">
        <v>0.38194444444444442</v>
      </c>
      <c r="D95" s="17" t="s">
        <v>80</v>
      </c>
      <c r="E95" s="17" t="s">
        <v>114</v>
      </c>
      <c r="F95" s="17" t="s">
        <v>164</v>
      </c>
      <c r="G95" s="182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9" t="s">
        <v>72</v>
      </c>
      <c r="B96" s="19" t="s">
        <v>73</v>
      </c>
      <c r="C96" s="20">
        <v>0.3888888888888889</v>
      </c>
      <c r="D96" s="19" t="s">
        <v>166</v>
      </c>
      <c r="E96" s="19" t="s">
        <v>50</v>
      </c>
      <c r="F96" s="19" t="s">
        <v>167</v>
      </c>
      <c r="G96" s="182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9" t="s">
        <v>82</v>
      </c>
      <c r="B97" s="19" t="s">
        <v>168</v>
      </c>
      <c r="C97" s="20">
        <v>0.34722222222222232</v>
      </c>
      <c r="D97" s="19" t="s">
        <v>80</v>
      </c>
      <c r="E97" s="19" t="s">
        <v>102</v>
      </c>
      <c r="F97" s="19" t="s">
        <v>169</v>
      </c>
      <c r="G97" s="182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7" t="s">
        <v>82</v>
      </c>
      <c r="B98" s="17" t="s">
        <v>83</v>
      </c>
      <c r="C98" s="18">
        <v>0.27430555555555552</v>
      </c>
      <c r="D98" s="17" t="s">
        <v>80</v>
      </c>
      <c r="E98" s="17" t="s">
        <v>105</v>
      </c>
      <c r="F98" s="17" t="s">
        <v>170</v>
      </c>
      <c r="G98" s="182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9" t="s">
        <v>99</v>
      </c>
      <c r="B99" s="19" t="s">
        <v>100</v>
      </c>
      <c r="C99" s="20">
        <v>0.22222222222222221</v>
      </c>
      <c r="D99" s="19" t="s">
        <v>101</v>
      </c>
      <c r="E99" s="19" t="s">
        <v>102</v>
      </c>
      <c r="F99" s="19" t="s">
        <v>103</v>
      </c>
      <c r="G99" s="182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7" t="s">
        <v>99</v>
      </c>
      <c r="B100" s="17" t="s">
        <v>171</v>
      </c>
      <c r="C100" s="18">
        <v>0.97569444444444453</v>
      </c>
      <c r="D100" s="17" t="s">
        <v>101</v>
      </c>
      <c r="E100" s="17" t="s">
        <v>105</v>
      </c>
      <c r="F100" s="17" t="s">
        <v>106</v>
      </c>
      <c r="G100" s="182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7" t="s">
        <v>99</v>
      </c>
      <c r="B101" s="17" t="s">
        <v>172</v>
      </c>
      <c r="C101" s="18">
        <v>0.4861111111111111</v>
      </c>
      <c r="D101" s="17" t="s">
        <v>101</v>
      </c>
      <c r="E101" s="17" t="s">
        <v>105</v>
      </c>
      <c r="F101" s="17" t="s">
        <v>173</v>
      </c>
      <c r="G101" s="182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7" t="s">
        <v>99</v>
      </c>
      <c r="B102" s="17" t="s">
        <v>104</v>
      </c>
      <c r="C102" s="18">
        <v>0.2638888888888889</v>
      </c>
      <c r="D102" s="17" t="s">
        <v>101</v>
      </c>
      <c r="E102" s="17" t="s">
        <v>105</v>
      </c>
      <c r="F102" s="17" t="s">
        <v>173</v>
      </c>
      <c r="G102" s="182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7" t="s">
        <v>99</v>
      </c>
      <c r="B103" s="17" t="s">
        <v>109</v>
      </c>
      <c r="C103" s="18">
        <v>0.14583333333333329</v>
      </c>
      <c r="D103" s="17" t="s">
        <v>101</v>
      </c>
      <c r="E103" s="17" t="s">
        <v>110</v>
      </c>
      <c r="F103" s="17" t="s">
        <v>111</v>
      </c>
      <c r="G103" s="182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7" t="s">
        <v>99</v>
      </c>
      <c r="B104" s="17" t="s">
        <v>113</v>
      </c>
      <c r="C104" s="18">
        <v>0.77430555555555547</v>
      </c>
      <c r="D104" s="17" t="s">
        <v>101</v>
      </c>
      <c r="E104" s="17" t="s">
        <v>105</v>
      </c>
      <c r="F104" s="17" t="s">
        <v>111</v>
      </c>
      <c r="G104" s="182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9" t="s">
        <v>115</v>
      </c>
      <c r="B105" s="19" t="s">
        <v>123</v>
      </c>
      <c r="C105" s="20">
        <v>6.9444444444444441E-3</v>
      </c>
      <c r="D105" s="19" t="s">
        <v>117</v>
      </c>
      <c r="E105" s="19" t="s">
        <v>102</v>
      </c>
      <c r="F105" s="19" t="s">
        <v>174</v>
      </c>
      <c r="G105" s="182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5" t="s">
        <v>115</v>
      </c>
      <c r="B106" s="15" t="s">
        <v>123</v>
      </c>
      <c r="C106" s="16">
        <v>6.9444444444444441E-3</v>
      </c>
      <c r="D106" s="15" t="s">
        <v>119</v>
      </c>
      <c r="E106" s="15" t="s">
        <v>120</v>
      </c>
      <c r="F106" s="15" t="s">
        <v>175</v>
      </c>
      <c r="G106" s="182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7" t="s">
        <v>115</v>
      </c>
      <c r="B107" s="17" t="s">
        <v>124</v>
      </c>
      <c r="C107" s="18">
        <v>0.1423611111111111</v>
      </c>
      <c r="D107" s="17" t="s">
        <v>117</v>
      </c>
      <c r="E107" s="17" t="s">
        <v>105</v>
      </c>
      <c r="F107" s="17" t="s">
        <v>174</v>
      </c>
      <c r="G107" s="182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5" t="s">
        <v>115</v>
      </c>
      <c r="B108" s="15" t="s">
        <v>124</v>
      </c>
      <c r="C108" s="16">
        <v>0.1423611111111111</v>
      </c>
      <c r="D108" s="15" t="s">
        <v>119</v>
      </c>
      <c r="E108" s="15" t="s">
        <v>120</v>
      </c>
      <c r="F108" s="15" t="s">
        <v>175</v>
      </c>
      <c r="G108" s="182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7" t="s">
        <v>115</v>
      </c>
      <c r="B109" s="17" t="s">
        <v>125</v>
      </c>
      <c r="C109" s="18">
        <v>0.93055555555555547</v>
      </c>
      <c r="D109" s="17" t="s">
        <v>117</v>
      </c>
      <c r="E109" s="17" t="s">
        <v>176</v>
      </c>
      <c r="F109" s="17" t="s">
        <v>174</v>
      </c>
      <c r="G109" s="182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5" t="s">
        <v>115</v>
      </c>
      <c r="B110" s="15" t="s">
        <v>125</v>
      </c>
      <c r="C110" s="16">
        <v>0.93055555555555547</v>
      </c>
      <c r="D110" s="15" t="s">
        <v>119</v>
      </c>
      <c r="E110" s="15" t="s">
        <v>177</v>
      </c>
      <c r="F110" s="15" t="s">
        <v>175</v>
      </c>
      <c r="G110" s="182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7" t="s">
        <v>115</v>
      </c>
      <c r="B111" s="17" t="s">
        <v>136</v>
      </c>
      <c r="C111" s="18">
        <v>0.88888888888888884</v>
      </c>
      <c r="D111" s="17" t="s">
        <v>119</v>
      </c>
      <c r="E111" s="17" t="s">
        <v>69</v>
      </c>
      <c r="F111" s="17" t="s">
        <v>178</v>
      </c>
      <c r="G111" s="182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7" t="s">
        <v>115</v>
      </c>
      <c r="B112" s="17" t="s">
        <v>129</v>
      </c>
      <c r="C112" s="18">
        <v>0.30208333333333331</v>
      </c>
      <c r="D112" s="17" t="s">
        <v>119</v>
      </c>
      <c r="E112" s="17" t="s">
        <v>69</v>
      </c>
      <c r="F112" s="17" t="s">
        <v>130</v>
      </c>
      <c r="G112" s="182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7" t="s">
        <v>115</v>
      </c>
      <c r="B113" s="17" t="s">
        <v>131</v>
      </c>
      <c r="C113" s="18">
        <v>0.12847222222222221</v>
      </c>
      <c r="D113" s="17" t="s">
        <v>119</v>
      </c>
      <c r="E113" s="17" t="s">
        <v>69</v>
      </c>
      <c r="F113" s="17" t="s">
        <v>130</v>
      </c>
      <c r="G113" s="182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7" t="s">
        <v>115</v>
      </c>
      <c r="B114" s="17" t="s">
        <v>138</v>
      </c>
      <c r="C114" s="18">
        <v>0.78819444444444453</v>
      </c>
      <c r="D114" s="17" t="s">
        <v>119</v>
      </c>
      <c r="E114" s="17" t="s">
        <v>69</v>
      </c>
      <c r="F114" s="17" t="s">
        <v>130</v>
      </c>
      <c r="G114" s="182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7" t="s">
        <v>115</v>
      </c>
      <c r="B115" s="17" t="s">
        <v>116</v>
      </c>
      <c r="C115" s="18">
        <v>0.37847222222222232</v>
      </c>
      <c r="D115" s="17" t="s">
        <v>117</v>
      </c>
      <c r="E115" s="17" t="s">
        <v>57</v>
      </c>
      <c r="F115" s="17" t="s">
        <v>179</v>
      </c>
      <c r="G115" s="182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5" t="s">
        <v>115</v>
      </c>
      <c r="B116" s="15" t="s">
        <v>116</v>
      </c>
      <c r="C116" s="16">
        <v>0.37847222222222232</v>
      </c>
      <c r="D116" s="15" t="s">
        <v>119</v>
      </c>
      <c r="E116" s="15" t="s">
        <v>32</v>
      </c>
      <c r="F116" s="15" t="s">
        <v>180</v>
      </c>
      <c r="G116" s="182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7" t="s">
        <v>115</v>
      </c>
      <c r="B117" s="17" t="s">
        <v>132</v>
      </c>
      <c r="C117" s="18">
        <v>0.61111111111111105</v>
      </c>
      <c r="D117" s="17" t="s">
        <v>117</v>
      </c>
      <c r="E117" s="17" t="s">
        <v>105</v>
      </c>
      <c r="F117" s="17" t="s">
        <v>179</v>
      </c>
      <c r="G117" s="182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5" t="s">
        <v>115</v>
      </c>
      <c r="B118" s="15" t="s">
        <v>132</v>
      </c>
      <c r="C118" s="16">
        <v>0.61111111111111105</v>
      </c>
      <c r="D118" s="15" t="s">
        <v>119</v>
      </c>
      <c r="E118" s="15" t="s">
        <v>120</v>
      </c>
      <c r="F118" s="15" t="s">
        <v>180</v>
      </c>
      <c r="G118" s="182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7" t="s">
        <v>115</v>
      </c>
      <c r="B119" s="17" t="s">
        <v>126</v>
      </c>
      <c r="C119" s="18">
        <v>0.23958333333333329</v>
      </c>
      <c r="D119" s="17" t="s">
        <v>117</v>
      </c>
      <c r="E119" s="17" t="s">
        <v>181</v>
      </c>
      <c r="F119" s="17" t="s">
        <v>179</v>
      </c>
      <c r="G119" s="182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5" t="s">
        <v>115</v>
      </c>
      <c r="B120" s="15" t="s">
        <v>126</v>
      </c>
      <c r="C120" s="16">
        <v>0.23958333333333329</v>
      </c>
      <c r="D120" s="15" t="s">
        <v>119</v>
      </c>
      <c r="E120" s="15" t="s">
        <v>182</v>
      </c>
      <c r="F120" s="15" t="s">
        <v>180</v>
      </c>
      <c r="G120" s="182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7" t="s">
        <v>115</v>
      </c>
      <c r="B121" s="17" t="s">
        <v>135</v>
      </c>
      <c r="C121" s="18">
        <v>0.82986111111111116</v>
      </c>
      <c r="D121" s="17" t="s">
        <v>117</v>
      </c>
      <c r="E121" s="17" t="s">
        <v>105</v>
      </c>
      <c r="F121" s="17" t="s">
        <v>179</v>
      </c>
      <c r="G121" s="182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thickBot="1" x14ac:dyDescent="0.35">
      <c r="A122" s="95" t="s">
        <v>115</v>
      </c>
      <c r="B122" s="95" t="s">
        <v>135</v>
      </c>
      <c r="C122" s="96">
        <v>0.82986111111111116</v>
      </c>
      <c r="D122" s="95" t="s">
        <v>119</v>
      </c>
      <c r="E122" s="95" t="s">
        <v>120</v>
      </c>
      <c r="F122" s="95" t="s">
        <v>180</v>
      </c>
      <c r="G122" s="183"/>
      <c r="H122" s="52"/>
      <c r="I122" s="53"/>
      <c r="J122" s="53"/>
      <c r="K122" s="53"/>
      <c r="L122" s="53"/>
      <c r="M122" s="53"/>
      <c r="N122" s="53"/>
      <c r="O122" s="54"/>
      <c r="P122" s="53"/>
      <c r="Q122" s="55"/>
      <c r="R122" s="56"/>
    </row>
    <row r="123" spans="1:18" ht="17.399999999999999" customHeight="1" thickBot="1" x14ac:dyDescent="0.35">
      <c r="A123" s="216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8"/>
    </row>
    <row r="124" spans="1:18" ht="22.05" customHeight="1" thickTop="1" thickBot="1" x14ac:dyDescent="0.35">
      <c r="A124" s="184" t="s">
        <v>6</v>
      </c>
      <c r="B124" s="185"/>
      <c r="C124" s="185"/>
      <c r="D124" s="185"/>
      <c r="E124" s="185"/>
      <c r="F124" s="186"/>
      <c r="G124" s="57">
        <v>45985</v>
      </c>
      <c r="H124" s="194" t="s">
        <v>7</v>
      </c>
      <c r="I124" s="185"/>
      <c r="J124" s="185"/>
      <c r="K124" s="185"/>
      <c r="L124" s="185"/>
      <c r="M124" s="185"/>
      <c r="N124" s="185"/>
      <c r="O124" s="185"/>
      <c r="P124" s="185"/>
      <c r="Q124" s="185"/>
      <c r="R124" s="186"/>
    </row>
    <row r="125" spans="1:18" ht="24" customHeight="1" x14ac:dyDescent="0.3">
      <c r="A125" s="58" t="s">
        <v>8</v>
      </c>
      <c r="B125" s="58" t="s">
        <v>9</v>
      </c>
      <c r="C125" s="59" t="s">
        <v>10</v>
      </c>
      <c r="D125" s="58" t="s">
        <v>11</v>
      </c>
      <c r="E125" s="58" t="s">
        <v>12</v>
      </c>
      <c r="F125" s="60" t="s">
        <v>13</v>
      </c>
      <c r="G125" s="61" t="s">
        <v>14</v>
      </c>
      <c r="H125" s="58" t="s">
        <v>15</v>
      </c>
      <c r="I125" s="62" t="s">
        <v>16</v>
      </c>
      <c r="J125" s="63" t="s">
        <v>17</v>
      </c>
      <c r="K125" s="64" t="s">
        <v>18</v>
      </c>
      <c r="L125" s="63" t="s">
        <v>19</v>
      </c>
      <c r="M125" s="63" t="s">
        <v>20</v>
      </c>
      <c r="N125" s="63" t="s">
        <v>21</v>
      </c>
      <c r="O125" s="58" t="s">
        <v>22</v>
      </c>
      <c r="P125" s="59" t="s">
        <v>23</v>
      </c>
      <c r="Q125" s="63" t="s">
        <v>24</v>
      </c>
      <c r="R125" s="58" t="s">
        <v>25</v>
      </c>
    </row>
    <row r="126" spans="1:18" ht="15" customHeight="1" x14ac:dyDescent="0.3">
      <c r="A126" s="8" t="s">
        <v>26</v>
      </c>
      <c r="B126" s="8" t="s">
        <v>36</v>
      </c>
      <c r="C126" s="9">
        <v>0.12847222222222221</v>
      </c>
      <c r="D126" s="8" t="s">
        <v>28</v>
      </c>
      <c r="E126" s="8" t="s">
        <v>183</v>
      </c>
      <c r="F126" s="8" t="s">
        <v>184</v>
      </c>
      <c r="G126" s="187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5" t="s">
        <v>26</v>
      </c>
      <c r="B127" s="15" t="s">
        <v>36</v>
      </c>
      <c r="C127" s="16">
        <v>0.12847222222222221</v>
      </c>
      <c r="D127" s="15" t="s">
        <v>31</v>
      </c>
      <c r="E127" s="15" t="s">
        <v>177</v>
      </c>
      <c r="F127" s="15" t="s">
        <v>185</v>
      </c>
      <c r="G127" s="182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5" t="s">
        <v>26</v>
      </c>
      <c r="B128" s="15" t="s">
        <v>36</v>
      </c>
      <c r="C128" s="16">
        <v>0.12847222222222221</v>
      </c>
      <c r="D128" s="15" t="s">
        <v>34</v>
      </c>
      <c r="E128" s="15" t="s">
        <v>177</v>
      </c>
      <c r="F128" s="15" t="s">
        <v>35</v>
      </c>
      <c r="G128" s="182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7" t="s">
        <v>26</v>
      </c>
      <c r="B129" s="17" t="s">
        <v>39</v>
      </c>
      <c r="C129" s="18">
        <v>0.88888888888888884</v>
      </c>
      <c r="D129" s="17" t="s">
        <v>28</v>
      </c>
      <c r="E129" s="17" t="s">
        <v>110</v>
      </c>
      <c r="F129" s="17" t="s">
        <v>184</v>
      </c>
      <c r="G129" s="182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5" t="s">
        <v>26</v>
      </c>
      <c r="B130" s="15" t="s">
        <v>39</v>
      </c>
      <c r="C130" s="16">
        <v>0.88888888888888884</v>
      </c>
      <c r="D130" s="15" t="s">
        <v>31</v>
      </c>
      <c r="E130" s="15" t="s">
        <v>186</v>
      </c>
      <c r="F130" s="15" t="s">
        <v>185</v>
      </c>
      <c r="G130" s="182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5" t="s">
        <v>26</v>
      </c>
      <c r="B131" s="15" t="s">
        <v>39</v>
      </c>
      <c r="C131" s="16">
        <v>0.88888888888888884</v>
      </c>
      <c r="D131" s="15" t="s">
        <v>34</v>
      </c>
      <c r="E131" s="15" t="s">
        <v>186</v>
      </c>
      <c r="F131" s="15" t="s">
        <v>35</v>
      </c>
      <c r="G131" s="182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7" t="s">
        <v>26</v>
      </c>
      <c r="B132" s="17" t="s">
        <v>27</v>
      </c>
      <c r="C132" s="18">
        <v>0.30208333333333331</v>
      </c>
      <c r="D132" s="17" t="s">
        <v>28</v>
      </c>
      <c r="E132" s="17" t="s">
        <v>187</v>
      </c>
      <c r="F132" s="17" t="s">
        <v>188</v>
      </c>
      <c r="G132" s="182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15" t="s">
        <v>26</v>
      </c>
      <c r="B133" s="15" t="s">
        <v>27</v>
      </c>
      <c r="C133" s="16">
        <v>0.30208333333333331</v>
      </c>
      <c r="D133" s="15" t="s">
        <v>31</v>
      </c>
      <c r="E133" s="15" t="s">
        <v>189</v>
      </c>
      <c r="F133" s="15" t="s">
        <v>190</v>
      </c>
      <c r="G133" s="182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5" t="s">
        <v>26</v>
      </c>
      <c r="B134" s="15" t="s">
        <v>27</v>
      </c>
      <c r="C134" s="16">
        <v>0.30208333333333331</v>
      </c>
      <c r="D134" s="15" t="s">
        <v>34</v>
      </c>
      <c r="E134" s="15" t="s">
        <v>189</v>
      </c>
      <c r="F134" s="15" t="s">
        <v>35</v>
      </c>
      <c r="G134" s="182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7" t="s">
        <v>26</v>
      </c>
      <c r="B135" s="17" t="s">
        <v>42</v>
      </c>
      <c r="C135" s="18">
        <v>0.78819444444444453</v>
      </c>
      <c r="D135" s="17" t="s">
        <v>28</v>
      </c>
      <c r="E135" s="17" t="s">
        <v>187</v>
      </c>
      <c r="F135" s="17" t="s">
        <v>44</v>
      </c>
      <c r="G135" s="182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5" t="s">
        <v>26</v>
      </c>
      <c r="B136" s="15" t="s">
        <v>42</v>
      </c>
      <c r="C136" s="16">
        <v>0.78819444444444453</v>
      </c>
      <c r="D136" s="15" t="s">
        <v>31</v>
      </c>
      <c r="E136" s="15" t="s">
        <v>189</v>
      </c>
      <c r="F136" s="15" t="s">
        <v>46</v>
      </c>
      <c r="G136" s="182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5" t="s">
        <v>26</v>
      </c>
      <c r="B137" s="15" t="s">
        <v>42</v>
      </c>
      <c r="C137" s="16">
        <v>0.78819444444444453</v>
      </c>
      <c r="D137" s="15" t="s">
        <v>34</v>
      </c>
      <c r="E137" s="15" t="s">
        <v>189</v>
      </c>
      <c r="F137" s="15" t="s">
        <v>35</v>
      </c>
      <c r="G137" s="182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9" t="s">
        <v>47</v>
      </c>
      <c r="B138" s="19" t="s">
        <v>62</v>
      </c>
      <c r="C138" s="20">
        <v>0.25694444444444448</v>
      </c>
      <c r="D138" s="19" t="s">
        <v>49</v>
      </c>
      <c r="E138" s="19" t="s">
        <v>183</v>
      </c>
      <c r="F138" s="19" t="s">
        <v>191</v>
      </c>
      <c r="G138" s="182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5" t="s">
        <v>47</v>
      </c>
      <c r="B139" s="15" t="s">
        <v>62</v>
      </c>
      <c r="C139" s="16">
        <v>0.25694444444444448</v>
      </c>
      <c r="D139" s="15" t="s">
        <v>52</v>
      </c>
      <c r="E139" s="15" t="s">
        <v>177</v>
      </c>
      <c r="F139" s="15" t="s">
        <v>185</v>
      </c>
      <c r="G139" s="182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5" t="s">
        <v>47</v>
      </c>
      <c r="B140" s="15" t="s">
        <v>62</v>
      </c>
      <c r="C140" s="16">
        <v>0.25694444444444448</v>
      </c>
      <c r="D140" s="15" t="s">
        <v>54</v>
      </c>
      <c r="E140" s="15" t="s">
        <v>177</v>
      </c>
      <c r="F140" s="15" t="s">
        <v>192</v>
      </c>
      <c r="G140" s="182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7" t="s">
        <v>47</v>
      </c>
      <c r="B141" s="17" t="s">
        <v>48</v>
      </c>
      <c r="C141" s="18">
        <v>0.90277777777777779</v>
      </c>
      <c r="D141" s="17" t="s">
        <v>49</v>
      </c>
      <c r="E141" s="17" t="s">
        <v>60</v>
      </c>
      <c r="F141" s="17" t="s">
        <v>191</v>
      </c>
      <c r="G141" s="182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5" t="s">
        <v>47</v>
      </c>
      <c r="B142" s="15" t="s">
        <v>48</v>
      </c>
      <c r="C142" s="16">
        <v>0.90277777777777779</v>
      </c>
      <c r="D142" s="15" t="s">
        <v>52</v>
      </c>
      <c r="E142" s="15" t="s">
        <v>61</v>
      </c>
      <c r="F142" s="15" t="s">
        <v>185</v>
      </c>
      <c r="G142" s="182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5" t="s">
        <v>47</v>
      </c>
      <c r="B143" s="15" t="s">
        <v>48</v>
      </c>
      <c r="C143" s="16">
        <v>0.90277777777777779</v>
      </c>
      <c r="D143" s="15" t="s">
        <v>54</v>
      </c>
      <c r="E143" s="15" t="s">
        <v>61</v>
      </c>
      <c r="F143" s="15" t="s">
        <v>192</v>
      </c>
      <c r="G143" s="182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7" t="s">
        <v>47</v>
      </c>
      <c r="B144" s="17" t="s">
        <v>68</v>
      </c>
      <c r="C144" s="18">
        <v>0.64583333333333337</v>
      </c>
      <c r="D144" s="17" t="s">
        <v>49</v>
      </c>
      <c r="E144" s="17" t="s">
        <v>110</v>
      </c>
      <c r="F144" s="17" t="s">
        <v>191</v>
      </c>
      <c r="G144" s="182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5" t="s">
        <v>47</v>
      </c>
      <c r="B145" s="15" t="s">
        <v>68</v>
      </c>
      <c r="C145" s="16">
        <v>0.64583333333333337</v>
      </c>
      <c r="D145" s="15" t="s">
        <v>52</v>
      </c>
      <c r="E145" s="15" t="s">
        <v>186</v>
      </c>
      <c r="F145" s="15" t="s">
        <v>185</v>
      </c>
      <c r="G145" s="182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47</v>
      </c>
      <c r="B146" s="15" t="s">
        <v>68</v>
      </c>
      <c r="C146" s="16">
        <v>0.64583333333333337</v>
      </c>
      <c r="D146" s="15" t="s">
        <v>54</v>
      </c>
      <c r="E146" s="15" t="s">
        <v>186</v>
      </c>
      <c r="F146" s="15" t="s">
        <v>192</v>
      </c>
      <c r="G146" s="182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7" t="s">
        <v>47</v>
      </c>
      <c r="B147" s="17" t="s">
        <v>56</v>
      </c>
      <c r="C147" s="18">
        <v>0.51736111111111105</v>
      </c>
      <c r="D147" s="17" t="s">
        <v>49</v>
      </c>
      <c r="E147" s="17" t="s">
        <v>181</v>
      </c>
      <c r="F147" s="17" t="s">
        <v>191</v>
      </c>
      <c r="G147" s="182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15" t="s">
        <v>47</v>
      </c>
      <c r="B148" s="15" t="s">
        <v>56</v>
      </c>
      <c r="C148" s="16">
        <v>0.51736111111111105</v>
      </c>
      <c r="D148" s="15" t="s">
        <v>52</v>
      </c>
      <c r="E148" s="15" t="s">
        <v>182</v>
      </c>
      <c r="F148" s="15" t="s">
        <v>185</v>
      </c>
      <c r="G148" s="182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5" t="s">
        <v>47</v>
      </c>
      <c r="B149" s="15" t="s">
        <v>56</v>
      </c>
      <c r="C149" s="16">
        <v>0.51736111111111105</v>
      </c>
      <c r="D149" s="15" t="s">
        <v>54</v>
      </c>
      <c r="E149" s="15" t="s">
        <v>182</v>
      </c>
      <c r="F149" s="15" t="s">
        <v>192</v>
      </c>
      <c r="G149" s="182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17" t="s">
        <v>47</v>
      </c>
      <c r="B150" s="17" t="s">
        <v>71</v>
      </c>
      <c r="C150" s="18">
        <v>0.85416666666666663</v>
      </c>
      <c r="D150" s="17" t="s">
        <v>49</v>
      </c>
      <c r="E150" s="17" t="s">
        <v>114</v>
      </c>
      <c r="F150" s="17" t="s">
        <v>191</v>
      </c>
      <c r="G150" s="182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15" t="s">
        <v>47</v>
      </c>
      <c r="B151" s="15" t="s">
        <v>71</v>
      </c>
      <c r="C151" s="16">
        <v>0.85416666666666663</v>
      </c>
      <c r="D151" s="15" t="s">
        <v>52</v>
      </c>
      <c r="E151" s="15" t="s">
        <v>193</v>
      </c>
      <c r="F151" s="15" t="s">
        <v>185</v>
      </c>
      <c r="G151" s="182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5" t="s">
        <v>47</v>
      </c>
      <c r="B152" s="15" t="s">
        <v>71</v>
      </c>
      <c r="C152" s="16">
        <v>0.85416666666666663</v>
      </c>
      <c r="D152" s="15" t="s">
        <v>54</v>
      </c>
      <c r="E152" s="15" t="s">
        <v>193</v>
      </c>
      <c r="F152" s="15" t="s">
        <v>192</v>
      </c>
      <c r="G152" s="182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7" t="s">
        <v>47</v>
      </c>
      <c r="B153" s="17" t="s">
        <v>59</v>
      </c>
      <c r="C153" s="18">
        <v>0.79861111111111116</v>
      </c>
      <c r="D153" s="17" t="s">
        <v>49</v>
      </c>
      <c r="E153" s="17" t="s">
        <v>40</v>
      </c>
      <c r="F153" s="17" t="s">
        <v>191</v>
      </c>
      <c r="G153" s="182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5" t="s">
        <v>47</v>
      </c>
      <c r="B154" s="15" t="s">
        <v>59</v>
      </c>
      <c r="C154" s="16">
        <v>0.79861111111111116</v>
      </c>
      <c r="D154" s="15" t="s">
        <v>52</v>
      </c>
      <c r="E154" s="15" t="s">
        <v>41</v>
      </c>
      <c r="F154" s="15" t="s">
        <v>185</v>
      </c>
      <c r="G154" s="182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5" t="s">
        <v>47</v>
      </c>
      <c r="B155" s="15" t="s">
        <v>59</v>
      </c>
      <c r="C155" s="16">
        <v>0.79861111111111116</v>
      </c>
      <c r="D155" s="15" t="s">
        <v>54</v>
      </c>
      <c r="E155" s="15" t="s">
        <v>41</v>
      </c>
      <c r="F155" s="15" t="s">
        <v>192</v>
      </c>
      <c r="G155" s="182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7" t="s">
        <v>47</v>
      </c>
      <c r="B156" s="17" t="s">
        <v>58</v>
      </c>
      <c r="C156" s="18">
        <v>0.39583333333333331</v>
      </c>
      <c r="D156" s="17" t="s">
        <v>49</v>
      </c>
      <c r="E156" s="17" t="s">
        <v>40</v>
      </c>
      <c r="F156" s="17" t="s">
        <v>194</v>
      </c>
      <c r="G156" s="182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5" t="s">
        <v>47</v>
      </c>
      <c r="B157" s="15" t="s">
        <v>58</v>
      </c>
      <c r="C157" s="16">
        <v>0.39583333333333331</v>
      </c>
      <c r="D157" s="15" t="s">
        <v>52</v>
      </c>
      <c r="E157" s="15" t="s">
        <v>41</v>
      </c>
      <c r="F157" s="15" t="s">
        <v>190</v>
      </c>
      <c r="G157" s="182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47</v>
      </c>
      <c r="B158" s="15" t="s">
        <v>58</v>
      </c>
      <c r="C158" s="16">
        <v>0.39583333333333331</v>
      </c>
      <c r="D158" s="15" t="s">
        <v>54</v>
      </c>
      <c r="E158" s="15" t="s">
        <v>41</v>
      </c>
      <c r="F158" s="15" t="s">
        <v>195</v>
      </c>
      <c r="G158" s="182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7" t="s">
        <v>47</v>
      </c>
      <c r="B159" s="17" t="s">
        <v>162</v>
      </c>
      <c r="C159" s="18">
        <v>0.46875</v>
      </c>
      <c r="D159" s="17" t="s">
        <v>49</v>
      </c>
      <c r="E159" s="17" t="s">
        <v>40</v>
      </c>
      <c r="F159" s="17" t="s">
        <v>194</v>
      </c>
      <c r="G159" s="182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5" t="s">
        <v>47</v>
      </c>
      <c r="B160" s="15" t="s">
        <v>162</v>
      </c>
      <c r="C160" s="16">
        <v>0.46875</v>
      </c>
      <c r="D160" s="15" t="s">
        <v>52</v>
      </c>
      <c r="E160" s="15" t="s">
        <v>41</v>
      </c>
      <c r="F160" s="15" t="s">
        <v>190</v>
      </c>
      <c r="G160" s="182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47</v>
      </c>
      <c r="B161" s="15" t="s">
        <v>162</v>
      </c>
      <c r="C161" s="16">
        <v>0.46875</v>
      </c>
      <c r="D161" s="15" t="s">
        <v>54</v>
      </c>
      <c r="E161" s="15" t="s">
        <v>41</v>
      </c>
      <c r="F161" s="15" t="s">
        <v>195</v>
      </c>
      <c r="G161" s="182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9" t="s">
        <v>72</v>
      </c>
      <c r="B162" s="19" t="s">
        <v>77</v>
      </c>
      <c r="C162" s="20">
        <v>0.1736111111111111</v>
      </c>
      <c r="D162" s="19" t="s">
        <v>74</v>
      </c>
      <c r="E162" s="19" t="s">
        <v>50</v>
      </c>
      <c r="F162" s="19" t="s">
        <v>196</v>
      </c>
      <c r="G162" s="182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5" t="s">
        <v>72</v>
      </c>
      <c r="B163" s="15" t="s">
        <v>77</v>
      </c>
      <c r="C163" s="16">
        <v>0.1736111111111111</v>
      </c>
      <c r="D163" s="15" t="s">
        <v>34</v>
      </c>
      <c r="E163" s="15" t="s">
        <v>41</v>
      </c>
      <c r="F163" s="15" t="s">
        <v>197</v>
      </c>
      <c r="G163" s="182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7" t="s">
        <v>72</v>
      </c>
      <c r="B164" s="17" t="s">
        <v>73</v>
      </c>
      <c r="C164" s="18">
        <v>0.3923611111111111</v>
      </c>
      <c r="D164" s="17" t="s">
        <v>74</v>
      </c>
      <c r="E164" s="17" t="s">
        <v>63</v>
      </c>
      <c r="F164" s="17" t="s">
        <v>198</v>
      </c>
      <c r="G164" s="182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5" t="s">
        <v>72</v>
      </c>
      <c r="B165" s="15" t="s">
        <v>73</v>
      </c>
      <c r="C165" s="16">
        <v>0.3923611111111111</v>
      </c>
      <c r="D165" s="15" t="s">
        <v>34</v>
      </c>
      <c r="E165" s="15" t="s">
        <v>65</v>
      </c>
      <c r="F165" s="15" t="s">
        <v>199</v>
      </c>
      <c r="G165" s="182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21" t="s">
        <v>85</v>
      </c>
      <c r="B166" s="21" t="s">
        <v>155</v>
      </c>
      <c r="C166" s="22">
        <v>0.97916666666666663</v>
      </c>
      <c r="D166" s="21" t="s">
        <v>87</v>
      </c>
      <c r="E166" s="21" t="s">
        <v>200</v>
      </c>
      <c r="F166" s="21" t="s">
        <v>143</v>
      </c>
      <c r="G166" s="182"/>
      <c r="H166" s="23" t="s">
        <v>157</v>
      </c>
      <c r="I166" s="24">
        <v>0.91620000000000001</v>
      </c>
      <c r="J166" s="25">
        <v>164</v>
      </c>
      <c r="K166" s="26">
        <v>45980</v>
      </c>
      <c r="L166" s="25">
        <v>23</v>
      </c>
      <c r="M166" s="25">
        <v>0</v>
      </c>
      <c r="N166" s="25">
        <v>8</v>
      </c>
      <c r="O166" s="27" t="s">
        <v>201</v>
      </c>
      <c r="P166" s="28">
        <v>0.97916666666666663</v>
      </c>
      <c r="Q166" s="25">
        <v>179</v>
      </c>
      <c r="R166" s="29" t="s">
        <v>202</v>
      </c>
    </row>
    <row r="167" spans="1:18" ht="15" customHeight="1" x14ac:dyDescent="0.3">
      <c r="A167" s="97" t="s">
        <v>85</v>
      </c>
      <c r="B167" s="97" t="s">
        <v>152</v>
      </c>
      <c r="C167" s="98">
        <v>0.4236111111111111</v>
      </c>
      <c r="D167" s="97" t="s">
        <v>87</v>
      </c>
      <c r="E167" s="97" t="s">
        <v>110</v>
      </c>
      <c r="F167" s="97" t="s">
        <v>143</v>
      </c>
      <c r="G167" s="182"/>
      <c r="H167" s="99" t="s">
        <v>97</v>
      </c>
      <c r="I167" s="100">
        <v>0.86029999999999995</v>
      </c>
      <c r="J167" s="101">
        <v>154</v>
      </c>
      <c r="K167" s="102">
        <v>45981</v>
      </c>
      <c r="L167" s="101">
        <v>33</v>
      </c>
      <c r="M167" s="101">
        <v>1</v>
      </c>
      <c r="N167" s="101">
        <v>9</v>
      </c>
      <c r="O167" s="103" t="s">
        <v>203</v>
      </c>
      <c r="P167" s="104">
        <v>0.4236111111111111</v>
      </c>
      <c r="Q167" s="101">
        <v>179</v>
      </c>
      <c r="R167" s="105" t="s">
        <v>204</v>
      </c>
    </row>
    <row r="168" spans="1:18" ht="15" customHeight="1" x14ac:dyDescent="0.3">
      <c r="A168" s="83" t="s">
        <v>85</v>
      </c>
      <c r="B168" s="83" t="s">
        <v>205</v>
      </c>
      <c r="C168" s="84">
        <v>6.9444444444444441E-3</v>
      </c>
      <c r="D168" s="83" t="s">
        <v>87</v>
      </c>
      <c r="E168" s="83" t="s">
        <v>69</v>
      </c>
      <c r="F168" s="83" t="s">
        <v>143</v>
      </c>
      <c r="G168" s="182"/>
      <c r="H168" s="67" t="s">
        <v>206</v>
      </c>
      <c r="I168" s="85">
        <v>0.3911</v>
      </c>
      <c r="J168" s="69">
        <v>70</v>
      </c>
      <c r="K168" s="70">
        <v>45980</v>
      </c>
      <c r="L168" s="69">
        <v>43</v>
      </c>
      <c r="M168" s="69">
        <v>0</v>
      </c>
      <c r="N168" s="69">
        <v>7</v>
      </c>
      <c r="O168" s="71" t="s">
        <v>201</v>
      </c>
      <c r="P168" s="72">
        <v>6.9444444444444441E-3</v>
      </c>
      <c r="Q168" s="69">
        <v>179</v>
      </c>
      <c r="R168" s="73" t="s">
        <v>207</v>
      </c>
    </row>
    <row r="169" spans="1:18" ht="15" customHeight="1" x14ac:dyDescent="0.3">
      <c r="A169" s="106" t="s">
        <v>85</v>
      </c>
      <c r="B169" s="106" t="s">
        <v>86</v>
      </c>
      <c r="C169" s="107">
        <v>0.61458333333333337</v>
      </c>
      <c r="D169" s="106" t="s">
        <v>87</v>
      </c>
      <c r="E169" s="106" t="s">
        <v>60</v>
      </c>
      <c r="F169" s="106" t="s">
        <v>208</v>
      </c>
      <c r="G169" s="182"/>
      <c r="H169" s="108" t="s">
        <v>89</v>
      </c>
      <c r="I169" s="109">
        <v>0.83799999999999997</v>
      </c>
      <c r="J169" s="110">
        <v>150</v>
      </c>
      <c r="K169" s="111">
        <v>45980</v>
      </c>
      <c r="L169" s="110">
        <v>32</v>
      </c>
      <c r="M169" s="110">
        <v>0</v>
      </c>
      <c r="N169" s="110">
        <v>9</v>
      </c>
      <c r="O169" s="112" t="s">
        <v>209</v>
      </c>
      <c r="P169" s="113">
        <v>0.61458333333333337</v>
      </c>
      <c r="Q169" s="110">
        <v>179</v>
      </c>
      <c r="R169" s="114" t="s">
        <v>210</v>
      </c>
    </row>
    <row r="170" spans="1:18" ht="15" customHeight="1" x14ac:dyDescent="0.3">
      <c r="A170" s="19" t="s">
        <v>82</v>
      </c>
      <c r="B170" s="19" t="s">
        <v>211</v>
      </c>
      <c r="C170" s="20">
        <v>0.20833333333333329</v>
      </c>
      <c r="D170" s="19" t="s">
        <v>80</v>
      </c>
      <c r="E170" s="19" t="s">
        <v>102</v>
      </c>
      <c r="F170" s="19" t="s">
        <v>212</v>
      </c>
      <c r="G170" s="182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9" t="s">
        <v>78</v>
      </c>
      <c r="B171" s="19" t="s">
        <v>79</v>
      </c>
      <c r="C171" s="20">
        <v>0.66666666666666663</v>
      </c>
      <c r="D171" s="19" t="s">
        <v>80</v>
      </c>
      <c r="E171" s="19" t="s">
        <v>213</v>
      </c>
      <c r="F171" s="19" t="s">
        <v>164</v>
      </c>
      <c r="G171" s="182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7" t="s">
        <v>78</v>
      </c>
      <c r="B172" s="17" t="s">
        <v>165</v>
      </c>
      <c r="C172" s="18">
        <v>0.3125</v>
      </c>
      <c r="D172" s="17" t="s">
        <v>80</v>
      </c>
      <c r="E172" s="17" t="s">
        <v>176</v>
      </c>
      <c r="F172" s="17" t="s">
        <v>164</v>
      </c>
      <c r="G172" s="182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9" t="s">
        <v>99</v>
      </c>
      <c r="B173" s="19" t="s">
        <v>109</v>
      </c>
      <c r="C173" s="20">
        <v>0.14583333333333329</v>
      </c>
      <c r="D173" s="19" t="s">
        <v>101</v>
      </c>
      <c r="E173" s="19" t="s">
        <v>102</v>
      </c>
      <c r="F173" s="19" t="s">
        <v>214</v>
      </c>
      <c r="G173" s="182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7" t="s">
        <v>99</v>
      </c>
      <c r="B174" s="17" t="s">
        <v>100</v>
      </c>
      <c r="C174" s="18">
        <v>0.22916666666666671</v>
      </c>
      <c r="D174" s="17" t="s">
        <v>101</v>
      </c>
      <c r="E174" s="17" t="s">
        <v>105</v>
      </c>
      <c r="F174" s="17" t="s">
        <v>214</v>
      </c>
      <c r="G174" s="182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7" t="s">
        <v>99</v>
      </c>
      <c r="B175" s="17" t="s">
        <v>107</v>
      </c>
      <c r="C175" s="18">
        <v>1.388888888888889E-2</v>
      </c>
      <c r="D175" s="17" t="s">
        <v>101</v>
      </c>
      <c r="E175" s="17" t="s">
        <v>105</v>
      </c>
      <c r="F175" s="17" t="s">
        <v>215</v>
      </c>
      <c r="G175" s="182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7" t="s">
        <v>99</v>
      </c>
      <c r="B176" s="17" t="s">
        <v>112</v>
      </c>
      <c r="C176" s="18">
        <v>0.55208333333333337</v>
      </c>
      <c r="D176" s="17" t="s">
        <v>101</v>
      </c>
      <c r="E176" s="17" t="s">
        <v>105</v>
      </c>
      <c r="F176" s="17" t="s">
        <v>215</v>
      </c>
      <c r="G176" s="182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17" t="s">
        <v>99</v>
      </c>
      <c r="B177" s="17" t="s">
        <v>104</v>
      </c>
      <c r="C177" s="18">
        <v>0.27777777777777779</v>
      </c>
      <c r="D177" s="17" t="s">
        <v>101</v>
      </c>
      <c r="E177" s="17" t="s">
        <v>105</v>
      </c>
      <c r="F177" s="17" t="s">
        <v>103</v>
      </c>
      <c r="G177" s="182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7" t="s">
        <v>99</v>
      </c>
      <c r="B178" s="17" t="s">
        <v>113</v>
      </c>
      <c r="C178" s="18">
        <v>0.77430555555555547</v>
      </c>
      <c r="D178" s="17" t="s">
        <v>101</v>
      </c>
      <c r="E178" s="17" t="s">
        <v>105</v>
      </c>
      <c r="F178" s="17" t="s">
        <v>216</v>
      </c>
      <c r="G178" s="182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7" t="s">
        <v>99</v>
      </c>
      <c r="B179" s="17" t="s">
        <v>171</v>
      </c>
      <c r="C179" s="18">
        <v>0.95833333333333337</v>
      </c>
      <c r="D179" s="17" t="s">
        <v>101</v>
      </c>
      <c r="E179" s="17" t="s">
        <v>60</v>
      </c>
      <c r="F179" s="17" t="s">
        <v>111</v>
      </c>
      <c r="G179" s="182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9" t="s">
        <v>115</v>
      </c>
      <c r="B180" s="19" t="s">
        <v>125</v>
      </c>
      <c r="C180" s="20">
        <v>0.93055555555555547</v>
      </c>
      <c r="D180" s="19" t="s">
        <v>117</v>
      </c>
      <c r="E180" s="19" t="s">
        <v>102</v>
      </c>
      <c r="F180" s="19" t="s">
        <v>217</v>
      </c>
      <c r="G180" s="182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5" t="s">
        <v>115</v>
      </c>
      <c r="B181" s="15" t="s">
        <v>125</v>
      </c>
      <c r="C181" s="16">
        <v>0.93055555555555547</v>
      </c>
      <c r="D181" s="15" t="s">
        <v>119</v>
      </c>
      <c r="E181" s="15" t="s">
        <v>120</v>
      </c>
      <c r="F181" s="15" t="s">
        <v>218</v>
      </c>
      <c r="G181" s="182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7" t="s">
        <v>115</v>
      </c>
      <c r="B182" s="17" t="s">
        <v>116</v>
      </c>
      <c r="C182" s="18">
        <v>0.37847222222222232</v>
      </c>
      <c r="D182" s="17" t="s">
        <v>117</v>
      </c>
      <c r="E182" s="17" t="s">
        <v>105</v>
      </c>
      <c r="F182" s="17" t="s">
        <v>174</v>
      </c>
      <c r="G182" s="182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5" t="s">
        <v>115</v>
      </c>
      <c r="B183" s="15" t="s">
        <v>116</v>
      </c>
      <c r="C183" s="16">
        <v>0.37847222222222232</v>
      </c>
      <c r="D183" s="15" t="s">
        <v>119</v>
      </c>
      <c r="E183" s="15" t="s">
        <v>120</v>
      </c>
      <c r="F183" s="15" t="s">
        <v>175</v>
      </c>
      <c r="G183" s="182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7" t="s">
        <v>115</v>
      </c>
      <c r="B184" s="17" t="s">
        <v>123</v>
      </c>
      <c r="C184" s="18">
        <v>6.9444444444444441E-3</v>
      </c>
      <c r="D184" s="17" t="s">
        <v>117</v>
      </c>
      <c r="E184" s="17" t="s">
        <v>105</v>
      </c>
      <c r="F184" s="17" t="s">
        <v>174</v>
      </c>
      <c r="G184" s="182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115</v>
      </c>
      <c r="B185" s="15" t="s">
        <v>123</v>
      </c>
      <c r="C185" s="16">
        <v>6.9444444444444441E-3</v>
      </c>
      <c r="D185" s="15" t="s">
        <v>119</v>
      </c>
      <c r="E185" s="15" t="s">
        <v>120</v>
      </c>
      <c r="F185" s="15" t="s">
        <v>175</v>
      </c>
      <c r="G185" s="182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7" t="s">
        <v>115</v>
      </c>
      <c r="B186" s="17" t="s">
        <v>126</v>
      </c>
      <c r="C186" s="18">
        <v>0.23958333333333329</v>
      </c>
      <c r="D186" s="17" t="s">
        <v>117</v>
      </c>
      <c r="E186" s="17" t="s">
        <v>105</v>
      </c>
      <c r="F186" s="17" t="s">
        <v>174</v>
      </c>
      <c r="G186" s="182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5" t="s">
        <v>115</v>
      </c>
      <c r="B187" s="15" t="s">
        <v>126</v>
      </c>
      <c r="C187" s="16">
        <v>0.23958333333333329</v>
      </c>
      <c r="D187" s="15" t="s">
        <v>119</v>
      </c>
      <c r="E187" s="15" t="s">
        <v>120</v>
      </c>
      <c r="F187" s="15" t="s">
        <v>175</v>
      </c>
      <c r="G187" s="182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7" t="s">
        <v>115</v>
      </c>
      <c r="B188" s="17" t="s">
        <v>124</v>
      </c>
      <c r="C188" s="18">
        <v>0.1423611111111111</v>
      </c>
      <c r="D188" s="17" t="s">
        <v>117</v>
      </c>
      <c r="E188" s="17" t="s">
        <v>105</v>
      </c>
      <c r="F188" s="17" t="s">
        <v>174</v>
      </c>
      <c r="G188" s="182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115</v>
      </c>
      <c r="B189" s="15" t="s">
        <v>124</v>
      </c>
      <c r="C189" s="16">
        <v>0.1423611111111111</v>
      </c>
      <c r="D189" s="15" t="s">
        <v>119</v>
      </c>
      <c r="E189" s="15" t="s">
        <v>120</v>
      </c>
      <c r="F189" s="15" t="s">
        <v>175</v>
      </c>
      <c r="G189" s="182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7" t="s">
        <v>115</v>
      </c>
      <c r="B190" s="17" t="s">
        <v>131</v>
      </c>
      <c r="C190" s="18">
        <v>0.12847222222222221</v>
      </c>
      <c r="D190" s="17" t="s">
        <v>119</v>
      </c>
      <c r="E190" s="17" t="s">
        <v>69</v>
      </c>
      <c r="F190" s="17" t="s">
        <v>219</v>
      </c>
      <c r="G190" s="182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7" t="s">
        <v>115</v>
      </c>
      <c r="B191" s="17" t="s">
        <v>122</v>
      </c>
      <c r="C191" s="18">
        <v>0.71875</v>
      </c>
      <c r="D191" s="17" t="s">
        <v>117</v>
      </c>
      <c r="E191" s="17" t="s">
        <v>105</v>
      </c>
      <c r="F191" s="17" t="s">
        <v>220</v>
      </c>
      <c r="G191" s="182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5" t="s">
        <v>115</v>
      </c>
      <c r="B192" s="15" t="s">
        <v>122</v>
      </c>
      <c r="C192" s="16">
        <v>0.71875</v>
      </c>
      <c r="D192" s="15" t="s">
        <v>119</v>
      </c>
      <c r="E192" s="15" t="s">
        <v>120</v>
      </c>
      <c r="F192" s="15" t="s">
        <v>221</v>
      </c>
      <c r="G192" s="182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7" t="s">
        <v>115</v>
      </c>
      <c r="B193" s="17" t="s">
        <v>132</v>
      </c>
      <c r="C193" s="18">
        <v>0.61111111111111105</v>
      </c>
      <c r="D193" s="17" t="s">
        <v>117</v>
      </c>
      <c r="E193" s="17" t="s">
        <v>105</v>
      </c>
      <c r="F193" s="17" t="s">
        <v>220</v>
      </c>
      <c r="G193" s="182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5" t="s">
        <v>115</v>
      </c>
      <c r="B194" s="15" t="s">
        <v>132</v>
      </c>
      <c r="C194" s="16">
        <v>0.61111111111111105</v>
      </c>
      <c r="D194" s="15" t="s">
        <v>119</v>
      </c>
      <c r="E194" s="15" t="s">
        <v>120</v>
      </c>
      <c r="F194" s="15" t="s">
        <v>221</v>
      </c>
      <c r="G194" s="182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7" t="s">
        <v>115</v>
      </c>
      <c r="B195" s="17" t="s">
        <v>136</v>
      </c>
      <c r="C195" s="18">
        <v>0.88888888888888884</v>
      </c>
      <c r="D195" s="17" t="s">
        <v>119</v>
      </c>
      <c r="E195" s="17" t="s">
        <v>69</v>
      </c>
      <c r="F195" s="17" t="s">
        <v>178</v>
      </c>
      <c r="G195" s="182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7" t="s">
        <v>115</v>
      </c>
      <c r="B196" s="17" t="s">
        <v>129</v>
      </c>
      <c r="C196" s="18">
        <v>0.30208333333333331</v>
      </c>
      <c r="D196" s="17" t="s">
        <v>119</v>
      </c>
      <c r="E196" s="17" t="s">
        <v>69</v>
      </c>
      <c r="F196" s="17" t="s">
        <v>178</v>
      </c>
      <c r="G196" s="182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17" t="s">
        <v>115</v>
      </c>
      <c r="B197" s="17" t="s">
        <v>135</v>
      </c>
      <c r="C197" s="18">
        <v>0.82986111111111116</v>
      </c>
      <c r="D197" s="17" t="s">
        <v>117</v>
      </c>
      <c r="E197" s="17" t="s">
        <v>105</v>
      </c>
      <c r="F197" s="17" t="s">
        <v>179</v>
      </c>
      <c r="G197" s="182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115</v>
      </c>
      <c r="B198" s="15" t="s">
        <v>135</v>
      </c>
      <c r="C198" s="16">
        <v>0.82986111111111116</v>
      </c>
      <c r="D198" s="15" t="s">
        <v>119</v>
      </c>
      <c r="E198" s="15" t="s">
        <v>120</v>
      </c>
      <c r="F198" s="15" t="s">
        <v>180</v>
      </c>
      <c r="G198" s="182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thickBot="1" x14ac:dyDescent="0.35">
      <c r="A199" s="50" t="s">
        <v>115</v>
      </c>
      <c r="B199" s="50" t="s">
        <v>138</v>
      </c>
      <c r="C199" s="51">
        <v>0.78819444444444453</v>
      </c>
      <c r="D199" s="50" t="s">
        <v>119</v>
      </c>
      <c r="E199" s="50" t="s">
        <v>69</v>
      </c>
      <c r="F199" s="50" t="s">
        <v>137</v>
      </c>
      <c r="G199" s="183"/>
      <c r="H199" s="52"/>
      <c r="I199" s="53"/>
      <c r="J199" s="53"/>
      <c r="K199" s="53"/>
      <c r="L199" s="53"/>
      <c r="M199" s="53"/>
      <c r="N199" s="53"/>
      <c r="O199" s="54"/>
      <c r="P199" s="53"/>
      <c r="Q199" s="55"/>
      <c r="R199" s="56"/>
    </row>
    <row r="200" spans="1:18" ht="17.399999999999999" customHeight="1" thickBot="1" x14ac:dyDescent="0.35">
      <c r="A200" s="216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8"/>
    </row>
    <row r="201" spans="1:18" ht="22.05" customHeight="1" thickTop="1" thickBot="1" x14ac:dyDescent="0.35">
      <c r="A201" s="184" t="s">
        <v>6</v>
      </c>
      <c r="B201" s="185"/>
      <c r="C201" s="185"/>
      <c r="D201" s="185"/>
      <c r="E201" s="185"/>
      <c r="F201" s="186"/>
      <c r="G201" s="57">
        <v>45986</v>
      </c>
      <c r="H201" s="194" t="s">
        <v>7</v>
      </c>
      <c r="I201" s="185"/>
      <c r="J201" s="185"/>
      <c r="K201" s="185"/>
      <c r="L201" s="185"/>
      <c r="M201" s="185"/>
      <c r="N201" s="185"/>
      <c r="O201" s="185"/>
      <c r="P201" s="185"/>
      <c r="Q201" s="185"/>
      <c r="R201" s="186"/>
    </row>
    <row r="202" spans="1:18" ht="24" customHeight="1" x14ac:dyDescent="0.3">
      <c r="A202" s="58" t="s">
        <v>8</v>
      </c>
      <c r="B202" s="58" t="s">
        <v>9</v>
      </c>
      <c r="C202" s="59" t="s">
        <v>10</v>
      </c>
      <c r="D202" s="58" t="s">
        <v>11</v>
      </c>
      <c r="E202" s="58" t="s">
        <v>12</v>
      </c>
      <c r="F202" s="60" t="s">
        <v>13</v>
      </c>
      <c r="G202" s="61" t="s">
        <v>14</v>
      </c>
      <c r="H202" s="58" t="s">
        <v>15</v>
      </c>
      <c r="I202" s="62" t="s">
        <v>16</v>
      </c>
      <c r="J202" s="63" t="s">
        <v>17</v>
      </c>
      <c r="K202" s="64" t="s">
        <v>18</v>
      </c>
      <c r="L202" s="63" t="s">
        <v>19</v>
      </c>
      <c r="M202" s="63" t="s">
        <v>20</v>
      </c>
      <c r="N202" s="63" t="s">
        <v>21</v>
      </c>
      <c r="O202" s="58" t="s">
        <v>22</v>
      </c>
      <c r="P202" s="59" t="s">
        <v>23</v>
      </c>
      <c r="Q202" s="63" t="s">
        <v>24</v>
      </c>
      <c r="R202" s="58" t="s">
        <v>25</v>
      </c>
    </row>
    <row r="203" spans="1:18" ht="15" customHeight="1" x14ac:dyDescent="0.3">
      <c r="A203" s="8" t="s">
        <v>78</v>
      </c>
      <c r="B203" s="8" t="s">
        <v>222</v>
      </c>
      <c r="C203" s="9">
        <v>4.5138888888888888E-2</v>
      </c>
      <c r="D203" s="8" t="s">
        <v>80</v>
      </c>
      <c r="E203" s="8" t="s">
        <v>29</v>
      </c>
      <c r="F203" s="8" t="s">
        <v>223</v>
      </c>
      <c r="G203" s="187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17" t="s">
        <v>78</v>
      </c>
      <c r="B204" s="17" t="s">
        <v>79</v>
      </c>
      <c r="C204" s="18">
        <v>0.66666666666666663</v>
      </c>
      <c r="D204" s="17" t="s">
        <v>80</v>
      </c>
      <c r="E204" s="17" t="s">
        <v>63</v>
      </c>
      <c r="F204" s="17" t="s">
        <v>164</v>
      </c>
      <c r="G204" s="182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7" t="s">
        <v>78</v>
      </c>
      <c r="B205" s="17" t="s">
        <v>165</v>
      </c>
      <c r="C205" s="18">
        <v>0.36458333333333331</v>
      </c>
      <c r="D205" s="17" t="s">
        <v>80</v>
      </c>
      <c r="E205" s="17" t="s">
        <v>63</v>
      </c>
      <c r="F205" s="17" t="s">
        <v>164</v>
      </c>
      <c r="G205" s="182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9" t="s">
        <v>26</v>
      </c>
      <c r="B206" s="19" t="s">
        <v>27</v>
      </c>
      <c r="C206" s="20">
        <v>0.30208333333333331</v>
      </c>
      <c r="D206" s="19" t="s">
        <v>28</v>
      </c>
      <c r="E206" s="19" t="s">
        <v>224</v>
      </c>
      <c r="F206" s="19" t="s">
        <v>225</v>
      </c>
      <c r="G206" s="182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5" t="s">
        <v>26</v>
      </c>
      <c r="B207" s="15" t="s">
        <v>27</v>
      </c>
      <c r="C207" s="16">
        <v>0.30208333333333331</v>
      </c>
      <c r="D207" s="15" t="s">
        <v>31</v>
      </c>
      <c r="E207" s="15" t="s">
        <v>193</v>
      </c>
      <c r="F207" s="15" t="s">
        <v>226</v>
      </c>
      <c r="G207" s="182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5" t="s">
        <v>26</v>
      </c>
      <c r="B208" s="15" t="s">
        <v>27</v>
      </c>
      <c r="C208" s="16">
        <v>0.30208333333333331</v>
      </c>
      <c r="D208" s="15" t="s">
        <v>34</v>
      </c>
      <c r="E208" s="15" t="s">
        <v>193</v>
      </c>
      <c r="F208" s="15" t="s">
        <v>35</v>
      </c>
      <c r="G208" s="182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7" t="s">
        <v>26</v>
      </c>
      <c r="B209" s="17" t="s">
        <v>36</v>
      </c>
      <c r="C209" s="18">
        <v>0.12847222222222221</v>
      </c>
      <c r="D209" s="17" t="s">
        <v>28</v>
      </c>
      <c r="E209" s="17" t="s">
        <v>187</v>
      </c>
      <c r="F209" s="17" t="s">
        <v>225</v>
      </c>
      <c r="G209" s="182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5" t="s">
        <v>26</v>
      </c>
      <c r="B210" s="15" t="s">
        <v>36</v>
      </c>
      <c r="C210" s="16">
        <v>0.12847222222222221</v>
      </c>
      <c r="D210" s="15" t="s">
        <v>31</v>
      </c>
      <c r="E210" s="15" t="s">
        <v>189</v>
      </c>
      <c r="F210" s="15" t="s">
        <v>226</v>
      </c>
      <c r="G210" s="182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5" t="s">
        <v>26</v>
      </c>
      <c r="B211" s="15" t="s">
        <v>36</v>
      </c>
      <c r="C211" s="16">
        <v>0.12847222222222221</v>
      </c>
      <c r="D211" s="15" t="s">
        <v>34</v>
      </c>
      <c r="E211" s="15" t="s">
        <v>189</v>
      </c>
      <c r="F211" s="15" t="s">
        <v>35</v>
      </c>
      <c r="G211" s="182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7" t="s">
        <v>26</v>
      </c>
      <c r="B212" s="17" t="s">
        <v>42</v>
      </c>
      <c r="C212" s="18">
        <v>0.78819444444444453</v>
      </c>
      <c r="D212" s="17" t="s">
        <v>28</v>
      </c>
      <c r="E212" s="17" t="s">
        <v>40</v>
      </c>
      <c r="F212" s="17" t="s">
        <v>225</v>
      </c>
      <c r="G212" s="182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15" t="s">
        <v>26</v>
      </c>
      <c r="B213" s="15" t="s">
        <v>42</v>
      </c>
      <c r="C213" s="16">
        <v>0.78819444444444453</v>
      </c>
      <c r="D213" s="15" t="s">
        <v>31</v>
      </c>
      <c r="E213" s="15" t="s">
        <v>41</v>
      </c>
      <c r="F213" s="15" t="s">
        <v>226</v>
      </c>
      <c r="G213" s="182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5" t="s">
        <v>26</v>
      </c>
      <c r="B214" s="15" t="s">
        <v>42</v>
      </c>
      <c r="C214" s="16">
        <v>0.78819444444444453</v>
      </c>
      <c r="D214" s="15" t="s">
        <v>34</v>
      </c>
      <c r="E214" s="15" t="s">
        <v>41</v>
      </c>
      <c r="F214" s="15" t="s">
        <v>35</v>
      </c>
      <c r="G214" s="182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7" t="s">
        <v>26</v>
      </c>
      <c r="B215" s="17" t="s">
        <v>39</v>
      </c>
      <c r="C215" s="18">
        <v>0.88888888888888884</v>
      </c>
      <c r="D215" s="17" t="s">
        <v>28</v>
      </c>
      <c r="E215" s="17" t="s">
        <v>63</v>
      </c>
      <c r="F215" s="17" t="s">
        <v>225</v>
      </c>
      <c r="G215" s="182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5" t="s">
        <v>26</v>
      </c>
      <c r="B216" s="15" t="s">
        <v>39</v>
      </c>
      <c r="C216" s="16">
        <v>0.88888888888888884</v>
      </c>
      <c r="D216" s="15" t="s">
        <v>31</v>
      </c>
      <c r="E216" s="15" t="s">
        <v>65</v>
      </c>
      <c r="F216" s="15" t="s">
        <v>226</v>
      </c>
      <c r="G216" s="182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5" t="s">
        <v>26</v>
      </c>
      <c r="B217" s="15" t="s">
        <v>39</v>
      </c>
      <c r="C217" s="16">
        <v>0.88888888888888884</v>
      </c>
      <c r="D217" s="15" t="s">
        <v>34</v>
      </c>
      <c r="E217" s="15" t="s">
        <v>65</v>
      </c>
      <c r="F217" s="15" t="s">
        <v>35</v>
      </c>
      <c r="G217" s="182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9" t="s">
        <v>47</v>
      </c>
      <c r="B218" s="19" t="s">
        <v>48</v>
      </c>
      <c r="C218" s="20">
        <v>0.90277777777777779</v>
      </c>
      <c r="D218" s="19" t="s">
        <v>49</v>
      </c>
      <c r="E218" s="19" t="s">
        <v>224</v>
      </c>
      <c r="F218" s="19" t="s">
        <v>227</v>
      </c>
      <c r="G218" s="182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5" t="s">
        <v>47</v>
      </c>
      <c r="B219" s="15" t="s">
        <v>48</v>
      </c>
      <c r="C219" s="16">
        <v>0.90277777777777779</v>
      </c>
      <c r="D219" s="15" t="s">
        <v>52</v>
      </c>
      <c r="E219" s="15" t="s">
        <v>193</v>
      </c>
      <c r="F219" s="15" t="s">
        <v>194</v>
      </c>
      <c r="G219" s="182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15" t="s">
        <v>47</v>
      </c>
      <c r="B220" s="15" t="s">
        <v>48</v>
      </c>
      <c r="C220" s="16">
        <v>0.90277777777777779</v>
      </c>
      <c r="D220" s="15" t="s">
        <v>54</v>
      </c>
      <c r="E220" s="15" t="s">
        <v>193</v>
      </c>
      <c r="F220" s="15" t="s">
        <v>30</v>
      </c>
      <c r="G220" s="182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7" t="s">
        <v>47</v>
      </c>
      <c r="B221" s="17" t="s">
        <v>56</v>
      </c>
      <c r="C221" s="18">
        <v>0.51736111111111105</v>
      </c>
      <c r="D221" s="17" t="s">
        <v>49</v>
      </c>
      <c r="E221" s="17" t="s">
        <v>110</v>
      </c>
      <c r="F221" s="17" t="s">
        <v>227</v>
      </c>
      <c r="G221" s="182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15" t="s">
        <v>47</v>
      </c>
      <c r="B222" s="15" t="s">
        <v>56</v>
      </c>
      <c r="C222" s="16">
        <v>0.51736111111111105</v>
      </c>
      <c r="D222" s="15" t="s">
        <v>52</v>
      </c>
      <c r="E222" s="15" t="s">
        <v>186</v>
      </c>
      <c r="F222" s="15" t="s">
        <v>194</v>
      </c>
      <c r="G222" s="182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15" t="s">
        <v>47</v>
      </c>
      <c r="B223" s="15" t="s">
        <v>56</v>
      </c>
      <c r="C223" s="16">
        <v>0.51736111111111105</v>
      </c>
      <c r="D223" s="15" t="s">
        <v>54</v>
      </c>
      <c r="E223" s="15" t="s">
        <v>186</v>
      </c>
      <c r="F223" s="15" t="s">
        <v>30</v>
      </c>
      <c r="G223" s="182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7" t="s">
        <v>47</v>
      </c>
      <c r="B224" s="17" t="s">
        <v>71</v>
      </c>
      <c r="C224" s="18">
        <v>0.85416666666666663</v>
      </c>
      <c r="D224" s="17" t="s">
        <v>49</v>
      </c>
      <c r="E224" s="17" t="s">
        <v>181</v>
      </c>
      <c r="F224" s="17" t="s">
        <v>227</v>
      </c>
      <c r="G224" s="182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15" t="s">
        <v>47</v>
      </c>
      <c r="B225" s="15" t="s">
        <v>71</v>
      </c>
      <c r="C225" s="16">
        <v>0.85416666666666663</v>
      </c>
      <c r="D225" s="15" t="s">
        <v>52</v>
      </c>
      <c r="E225" s="15" t="s">
        <v>182</v>
      </c>
      <c r="F225" s="15" t="s">
        <v>194</v>
      </c>
      <c r="G225" s="182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15" t="s">
        <v>47</v>
      </c>
      <c r="B226" s="15" t="s">
        <v>71</v>
      </c>
      <c r="C226" s="16">
        <v>0.85416666666666663</v>
      </c>
      <c r="D226" s="15" t="s">
        <v>54</v>
      </c>
      <c r="E226" s="15" t="s">
        <v>182</v>
      </c>
      <c r="F226" s="15" t="s">
        <v>30</v>
      </c>
      <c r="G226" s="182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17" t="s">
        <v>47</v>
      </c>
      <c r="B227" s="17" t="s">
        <v>162</v>
      </c>
      <c r="C227" s="18">
        <v>0.30208333333333331</v>
      </c>
      <c r="D227" s="17" t="s">
        <v>49</v>
      </c>
      <c r="E227" s="17" t="s">
        <v>110</v>
      </c>
      <c r="F227" s="17" t="s">
        <v>227</v>
      </c>
      <c r="G227" s="182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x14ac:dyDescent="0.3">
      <c r="A228" s="15" t="s">
        <v>47</v>
      </c>
      <c r="B228" s="15" t="s">
        <v>162</v>
      </c>
      <c r="C228" s="16">
        <v>0.30208333333333331</v>
      </c>
      <c r="D228" s="15" t="s">
        <v>52</v>
      </c>
      <c r="E228" s="15" t="s">
        <v>186</v>
      </c>
      <c r="F228" s="15" t="s">
        <v>194</v>
      </c>
      <c r="G228" s="182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15" customHeight="1" x14ac:dyDescent="0.3">
      <c r="A229" s="15" t="s">
        <v>47</v>
      </c>
      <c r="B229" s="15" t="s">
        <v>162</v>
      </c>
      <c r="C229" s="16">
        <v>0.30208333333333331</v>
      </c>
      <c r="D229" s="15" t="s">
        <v>54</v>
      </c>
      <c r="E229" s="15" t="s">
        <v>186</v>
      </c>
      <c r="F229" s="15" t="s">
        <v>30</v>
      </c>
      <c r="G229" s="182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15" customHeight="1" x14ac:dyDescent="0.3">
      <c r="A230" s="17" t="s">
        <v>47</v>
      </c>
      <c r="B230" s="17" t="s">
        <v>59</v>
      </c>
      <c r="C230" s="18">
        <v>0.79861111111111116</v>
      </c>
      <c r="D230" s="17" t="s">
        <v>49</v>
      </c>
      <c r="E230" s="17" t="s">
        <v>60</v>
      </c>
      <c r="F230" s="17" t="s">
        <v>227</v>
      </c>
      <c r="G230" s="182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</row>
    <row r="231" spans="1:18" ht="15" customHeight="1" x14ac:dyDescent="0.3">
      <c r="A231" s="15" t="s">
        <v>47</v>
      </c>
      <c r="B231" s="15" t="s">
        <v>59</v>
      </c>
      <c r="C231" s="16">
        <v>0.79861111111111116</v>
      </c>
      <c r="D231" s="15" t="s">
        <v>52</v>
      </c>
      <c r="E231" s="15" t="s">
        <v>61</v>
      </c>
      <c r="F231" s="15" t="s">
        <v>194</v>
      </c>
      <c r="G231" s="182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</row>
    <row r="232" spans="1:18" ht="15" customHeight="1" x14ac:dyDescent="0.3">
      <c r="A232" s="15" t="s">
        <v>47</v>
      </c>
      <c r="B232" s="15" t="s">
        <v>59</v>
      </c>
      <c r="C232" s="16">
        <v>0.79861111111111116</v>
      </c>
      <c r="D232" s="15" t="s">
        <v>54</v>
      </c>
      <c r="E232" s="15" t="s">
        <v>61</v>
      </c>
      <c r="F232" s="15" t="s">
        <v>30</v>
      </c>
      <c r="G232" s="182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7" t="s">
        <v>47</v>
      </c>
      <c r="B233" s="17" t="s">
        <v>62</v>
      </c>
      <c r="C233" s="18">
        <v>0.25694444444444448</v>
      </c>
      <c r="D233" s="17" t="s">
        <v>49</v>
      </c>
      <c r="E233" s="17" t="s">
        <v>40</v>
      </c>
      <c r="F233" s="17" t="s">
        <v>228</v>
      </c>
      <c r="G233" s="182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15" t="s">
        <v>47</v>
      </c>
      <c r="B234" s="15" t="s">
        <v>62</v>
      </c>
      <c r="C234" s="16">
        <v>0.25694444444444448</v>
      </c>
      <c r="D234" s="15" t="s">
        <v>52</v>
      </c>
      <c r="E234" s="15" t="s">
        <v>41</v>
      </c>
      <c r="F234" s="15" t="s">
        <v>141</v>
      </c>
      <c r="G234" s="182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15" t="s">
        <v>47</v>
      </c>
      <c r="B235" s="15" t="s">
        <v>62</v>
      </c>
      <c r="C235" s="16">
        <v>0.25694444444444448</v>
      </c>
      <c r="D235" s="15" t="s">
        <v>54</v>
      </c>
      <c r="E235" s="15" t="s">
        <v>41</v>
      </c>
      <c r="F235" s="15" t="s">
        <v>229</v>
      </c>
      <c r="G235" s="182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7" t="s">
        <v>47</v>
      </c>
      <c r="B236" s="17" t="s">
        <v>68</v>
      </c>
      <c r="C236" s="18">
        <v>0.64583333333333337</v>
      </c>
      <c r="D236" s="17" t="s">
        <v>49</v>
      </c>
      <c r="E236" s="17" t="s">
        <v>40</v>
      </c>
      <c r="F236" s="17" t="s">
        <v>228</v>
      </c>
      <c r="G236" s="182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15" t="s">
        <v>47</v>
      </c>
      <c r="B237" s="15" t="s">
        <v>68</v>
      </c>
      <c r="C237" s="16">
        <v>0.64583333333333337</v>
      </c>
      <c r="D237" s="15" t="s">
        <v>52</v>
      </c>
      <c r="E237" s="15" t="s">
        <v>41</v>
      </c>
      <c r="F237" s="15" t="s">
        <v>141</v>
      </c>
      <c r="G237" s="182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15" t="s">
        <v>47</v>
      </c>
      <c r="B238" s="15" t="s">
        <v>68</v>
      </c>
      <c r="C238" s="16">
        <v>0.64583333333333337</v>
      </c>
      <c r="D238" s="15" t="s">
        <v>54</v>
      </c>
      <c r="E238" s="15" t="s">
        <v>41</v>
      </c>
      <c r="F238" s="15" t="s">
        <v>229</v>
      </c>
      <c r="G238" s="182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</row>
    <row r="239" spans="1:18" ht="15" customHeight="1" x14ac:dyDescent="0.3">
      <c r="A239" s="17" t="s">
        <v>47</v>
      </c>
      <c r="B239" s="17" t="s">
        <v>58</v>
      </c>
      <c r="C239" s="18">
        <v>0.39583333333333331</v>
      </c>
      <c r="D239" s="17" t="s">
        <v>49</v>
      </c>
      <c r="E239" s="17" t="s">
        <v>110</v>
      </c>
      <c r="F239" s="17" t="s">
        <v>228</v>
      </c>
      <c r="G239" s="182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15" t="s">
        <v>47</v>
      </c>
      <c r="B240" s="15" t="s">
        <v>58</v>
      </c>
      <c r="C240" s="16">
        <v>0.39583333333333331</v>
      </c>
      <c r="D240" s="15" t="s">
        <v>52</v>
      </c>
      <c r="E240" s="15" t="s">
        <v>186</v>
      </c>
      <c r="F240" s="15" t="s">
        <v>141</v>
      </c>
      <c r="G240" s="182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15" t="s">
        <v>47</v>
      </c>
      <c r="B241" s="15" t="s">
        <v>58</v>
      </c>
      <c r="C241" s="16">
        <v>0.39583333333333331</v>
      </c>
      <c r="D241" s="15" t="s">
        <v>54</v>
      </c>
      <c r="E241" s="15" t="s">
        <v>186</v>
      </c>
      <c r="F241" s="15" t="s">
        <v>229</v>
      </c>
      <c r="G241" s="182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115" t="s">
        <v>85</v>
      </c>
      <c r="B242" s="115" t="s">
        <v>230</v>
      </c>
      <c r="C242" s="116">
        <v>0.22916666666666671</v>
      </c>
      <c r="D242" s="115" t="s">
        <v>87</v>
      </c>
      <c r="E242" s="115" t="s">
        <v>29</v>
      </c>
      <c r="F242" s="115" t="s">
        <v>231</v>
      </c>
      <c r="G242" s="182"/>
      <c r="H242" s="76" t="s">
        <v>232</v>
      </c>
      <c r="I242" s="117">
        <v>0.3352</v>
      </c>
      <c r="J242" s="78">
        <v>60</v>
      </c>
      <c r="K242" s="79">
        <v>45980</v>
      </c>
      <c r="L242" s="78">
        <v>43</v>
      </c>
      <c r="M242" s="78">
        <v>0</v>
      </c>
      <c r="N242" s="78">
        <v>6</v>
      </c>
      <c r="O242" s="80" t="s">
        <v>233</v>
      </c>
      <c r="P242" s="81">
        <v>0.22916666666666671</v>
      </c>
      <c r="Q242" s="78">
        <v>179</v>
      </c>
      <c r="R242" s="82" t="s">
        <v>234</v>
      </c>
    </row>
    <row r="243" spans="1:18" ht="15" customHeight="1" x14ac:dyDescent="0.3">
      <c r="A243" s="30" t="s">
        <v>85</v>
      </c>
      <c r="B243" s="30" t="s">
        <v>152</v>
      </c>
      <c r="C243" s="31">
        <v>0.96875</v>
      </c>
      <c r="D243" s="30" t="s">
        <v>87</v>
      </c>
      <c r="E243" s="30" t="s">
        <v>57</v>
      </c>
      <c r="F243" s="30" t="s">
        <v>231</v>
      </c>
      <c r="G243" s="182"/>
      <c r="H243" s="33" t="s">
        <v>97</v>
      </c>
      <c r="I243" s="118">
        <v>0.55869999999999997</v>
      </c>
      <c r="J243" s="35">
        <v>100</v>
      </c>
      <c r="K243" s="36">
        <v>45980</v>
      </c>
      <c r="L243" s="35">
        <v>31</v>
      </c>
      <c r="M243" s="35">
        <v>0</v>
      </c>
      <c r="N243" s="35">
        <v>7</v>
      </c>
      <c r="O243" s="37" t="s">
        <v>233</v>
      </c>
      <c r="P243" s="38">
        <v>0.96875</v>
      </c>
      <c r="Q243" s="35">
        <v>179</v>
      </c>
      <c r="R243" s="39" t="s">
        <v>235</v>
      </c>
    </row>
    <row r="244" spans="1:18" ht="15" customHeight="1" x14ac:dyDescent="0.3">
      <c r="A244" s="119" t="s">
        <v>85</v>
      </c>
      <c r="B244" s="119" t="s">
        <v>147</v>
      </c>
      <c r="C244" s="120">
        <v>0.93402777777777779</v>
      </c>
      <c r="D244" s="119" t="s">
        <v>87</v>
      </c>
      <c r="E244" s="119" t="s">
        <v>114</v>
      </c>
      <c r="F244" s="119" t="s">
        <v>236</v>
      </c>
      <c r="G244" s="182"/>
      <c r="H244" s="23" t="s">
        <v>149</v>
      </c>
      <c r="I244" s="121">
        <v>0.68159999999999998</v>
      </c>
      <c r="J244" s="25">
        <v>122</v>
      </c>
      <c r="K244" s="26">
        <v>45980</v>
      </c>
      <c r="L244" s="25">
        <v>24</v>
      </c>
      <c r="M244" s="25">
        <v>0</v>
      </c>
      <c r="N244" s="25">
        <v>2</v>
      </c>
      <c r="O244" s="27" t="s">
        <v>237</v>
      </c>
      <c r="P244" s="28">
        <v>0.93402777777777779</v>
      </c>
      <c r="Q244" s="25">
        <v>179</v>
      </c>
      <c r="R244" s="29" t="s">
        <v>238</v>
      </c>
    </row>
    <row r="245" spans="1:18" ht="15" customHeight="1" x14ac:dyDescent="0.3">
      <c r="A245" s="106" t="s">
        <v>85</v>
      </c>
      <c r="B245" s="106" t="s">
        <v>86</v>
      </c>
      <c r="C245" s="107">
        <v>0.61458333333333337</v>
      </c>
      <c r="D245" s="106" t="s">
        <v>87</v>
      </c>
      <c r="E245" s="106" t="s">
        <v>69</v>
      </c>
      <c r="F245" s="106" t="s">
        <v>236</v>
      </c>
      <c r="G245" s="182"/>
      <c r="H245" s="108" t="s">
        <v>89</v>
      </c>
      <c r="I245" s="109">
        <v>0.75980000000000003</v>
      </c>
      <c r="J245" s="110">
        <v>136</v>
      </c>
      <c r="K245" s="111">
        <v>45980</v>
      </c>
      <c r="L245" s="110">
        <v>25</v>
      </c>
      <c r="M245" s="110">
        <v>0</v>
      </c>
      <c r="N245" s="110">
        <v>3</v>
      </c>
      <c r="O245" s="112" t="s">
        <v>239</v>
      </c>
      <c r="P245" s="113">
        <v>0.61458333333333337</v>
      </c>
      <c r="Q245" s="110">
        <v>179</v>
      </c>
      <c r="R245" s="114" t="s">
        <v>240</v>
      </c>
    </row>
    <row r="246" spans="1:18" ht="15" customHeight="1" x14ac:dyDescent="0.3">
      <c r="A246" s="74" t="s">
        <v>85</v>
      </c>
      <c r="B246" s="74" t="s">
        <v>206</v>
      </c>
      <c r="C246" s="75">
        <v>0.55902777777777779</v>
      </c>
      <c r="D246" s="74" t="s">
        <v>93</v>
      </c>
      <c r="E246" s="122"/>
      <c r="F246" s="74" t="s">
        <v>94</v>
      </c>
      <c r="G246" s="182"/>
      <c r="H246" s="76" t="s">
        <v>206</v>
      </c>
      <c r="I246" s="123">
        <v>0.9385</v>
      </c>
      <c r="J246" s="78">
        <v>168</v>
      </c>
      <c r="K246" s="79">
        <v>45979</v>
      </c>
      <c r="L246" s="78">
        <v>27</v>
      </c>
      <c r="M246" s="78">
        <v>0</v>
      </c>
      <c r="N246" s="78">
        <v>0</v>
      </c>
      <c r="O246" s="80" t="s">
        <v>95</v>
      </c>
      <c r="P246" s="81">
        <v>0.55902777777777779</v>
      </c>
      <c r="Q246" s="78">
        <v>179</v>
      </c>
      <c r="R246" s="82" t="s">
        <v>241</v>
      </c>
    </row>
    <row r="247" spans="1:18" ht="15" customHeight="1" x14ac:dyDescent="0.3">
      <c r="A247" s="40" t="s">
        <v>85</v>
      </c>
      <c r="B247" s="40" t="s">
        <v>157</v>
      </c>
      <c r="C247" s="41">
        <v>0.72916666666666663</v>
      </c>
      <c r="D247" s="40" t="s">
        <v>93</v>
      </c>
      <c r="E247" s="42"/>
      <c r="F247" s="40" t="s">
        <v>94</v>
      </c>
      <c r="G247" s="182"/>
      <c r="H247" s="43" t="s">
        <v>157</v>
      </c>
      <c r="I247" s="44">
        <v>0.92179999999999995</v>
      </c>
      <c r="J247" s="45">
        <v>165</v>
      </c>
      <c r="K247" s="46">
        <v>45980</v>
      </c>
      <c r="L247" s="45">
        <v>24</v>
      </c>
      <c r="M247" s="45">
        <v>0</v>
      </c>
      <c r="N247" s="45">
        <v>4</v>
      </c>
      <c r="O247" s="47" t="s">
        <v>95</v>
      </c>
      <c r="P247" s="48">
        <v>0.72916666666666663</v>
      </c>
      <c r="Q247" s="45">
        <v>179</v>
      </c>
      <c r="R247" s="49" t="s">
        <v>242</v>
      </c>
    </row>
    <row r="248" spans="1:18" ht="15" customHeight="1" x14ac:dyDescent="0.3">
      <c r="A248" s="19" t="s">
        <v>72</v>
      </c>
      <c r="B248" s="19" t="s">
        <v>77</v>
      </c>
      <c r="C248" s="20">
        <v>0.22222222222222221</v>
      </c>
      <c r="D248" s="19" t="s">
        <v>74</v>
      </c>
      <c r="E248" s="19" t="s">
        <v>50</v>
      </c>
      <c r="F248" s="19" t="s">
        <v>243</v>
      </c>
      <c r="G248" s="182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</row>
    <row r="249" spans="1:18" ht="15" customHeight="1" x14ac:dyDescent="0.3">
      <c r="A249" s="15" t="s">
        <v>72</v>
      </c>
      <c r="B249" s="15" t="s">
        <v>77</v>
      </c>
      <c r="C249" s="16">
        <v>0.22222222222222221</v>
      </c>
      <c r="D249" s="15" t="s">
        <v>34</v>
      </c>
      <c r="E249" s="15" t="s">
        <v>41</v>
      </c>
      <c r="F249" s="15" t="s">
        <v>244</v>
      </c>
      <c r="G249" s="182"/>
      <c r="H249" s="10"/>
      <c r="I249" s="11"/>
      <c r="J249" s="11"/>
      <c r="K249" s="11"/>
      <c r="L249" s="11"/>
      <c r="M249" s="11"/>
      <c r="N249" s="11"/>
      <c r="O249" s="12"/>
      <c r="P249" s="11"/>
      <c r="Q249" s="13"/>
      <c r="R249" s="14"/>
    </row>
    <row r="250" spans="1:18" ht="15" customHeight="1" x14ac:dyDescent="0.3">
      <c r="A250" s="19" t="s">
        <v>82</v>
      </c>
      <c r="B250" s="19" t="s">
        <v>83</v>
      </c>
      <c r="C250" s="20">
        <v>0.27430555555555552</v>
      </c>
      <c r="D250" s="19" t="s">
        <v>80</v>
      </c>
      <c r="E250" s="19" t="s">
        <v>102</v>
      </c>
      <c r="F250" s="19" t="s">
        <v>212</v>
      </c>
      <c r="G250" s="182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</row>
    <row r="251" spans="1:18" ht="15" customHeight="1" x14ac:dyDescent="0.3">
      <c r="A251" s="17" t="s">
        <v>82</v>
      </c>
      <c r="B251" s="17" t="s">
        <v>211</v>
      </c>
      <c r="C251" s="18">
        <v>0.73958333333333337</v>
      </c>
      <c r="D251" s="17" t="s">
        <v>80</v>
      </c>
      <c r="E251" s="17" t="s">
        <v>105</v>
      </c>
      <c r="F251" s="17" t="s">
        <v>169</v>
      </c>
      <c r="G251" s="182"/>
      <c r="H251" s="10"/>
      <c r="I251" s="11"/>
      <c r="J251" s="11"/>
      <c r="K251" s="11"/>
      <c r="L251" s="11"/>
      <c r="M251" s="11"/>
      <c r="N251" s="11"/>
      <c r="O251" s="12"/>
      <c r="P251" s="11"/>
      <c r="Q251" s="13"/>
      <c r="R251" s="14"/>
    </row>
    <row r="252" spans="1:18" ht="15" customHeight="1" x14ac:dyDescent="0.3">
      <c r="A252" s="19" t="s">
        <v>115</v>
      </c>
      <c r="B252" s="19" t="s">
        <v>116</v>
      </c>
      <c r="C252" s="20">
        <v>0.37847222222222232</v>
      </c>
      <c r="D252" s="19" t="s">
        <v>117</v>
      </c>
      <c r="E252" s="19" t="s">
        <v>102</v>
      </c>
      <c r="F252" s="19" t="s">
        <v>217</v>
      </c>
      <c r="G252" s="182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</row>
    <row r="253" spans="1:18" ht="15" customHeight="1" x14ac:dyDescent="0.3">
      <c r="A253" s="15" t="s">
        <v>115</v>
      </c>
      <c r="B253" s="15" t="s">
        <v>116</v>
      </c>
      <c r="C253" s="16">
        <v>0.37847222222222232</v>
      </c>
      <c r="D253" s="15" t="s">
        <v>119</v>
      </c>
      <c r="E253" s="15" t="s">
        <v>120</v>
      </c>
      <c r="F253" s="15" t="s">
        <v>218</v>
      </c>
      <c r="G253" s="182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7" t="s">
        <v>115</v>
      </c>
      <c r="B254" s="17" t="s">
        <v>123</v>
      </c>
      <c r="C254" s="18">
        <v>6.9444444444444441E-3</v>
      </c>
      <c r="D254" s="17" t="s">
        <v>117</v>
      </c>
      <c r="E254" s="17" t="s">
        <v>105</v>
      </c>
      <c r="F254" s="17" t="s">
        <v>217</v>
      </c>
      <c r="G254" s="182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15" t="s">
        <v>115</v>
      </c>
      <c r="B255" s="15" t="s">
        <v>123</v>
      </c>
      <c r="C255" s="16">
        <v>6.9444444444444441E-3</v>
      </c>
      <c r="D255" s="15" t="s">
        <v>119</v>
      </c>
      <c r="E255" s="15" t="s">
        <v>120</v>
      </c>
      <c r="F255" s="15" t="s">
        <v>218</v>
      </c>
      <c r="G255" s="182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17" t="s">
        <v>115</v>
      </c>
      <c r="B256" s="17" t="s">
        <v>126</v>
      </c>
      <c r="C256" s="18">
        <v>0.23958333333333329</v>
      </c>
      <c r="D256" s="17" t="s">
        <v>117</v>
      </c>
      <c r="E256" s="17" t="s">
        <v>105</v>
      </c>
      <c r="F256" s="17" t="s">
        <v>217</v>
      </c>
      <c r="G256" s="182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15" t="s">
        <v>115</v>
      </c>
      <c r="B257" s="15" t="s">
        <v>126</v>
      </c>
      <c r="C257" s="16">
        <v>0.23958333333333329</v>
      </c>
      <c r="D257" s="15" t="s">
        <v>119</v>
      </c>
      <c r="E257" s="15" t="s">
        <v>120</v>
      </c>
      <c r="F257" s="15" t="s">
        <v>218</v>
      </c>
      <c r="G257" s="182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7" t="s">
        <v>115</v>
      </c>
      <c r="B258" s="17" t="s">
        <v>124</v>
      </c>
      <c r="C258" s="18">
        <v>0.1423611111111111</v>
      </c>
      <c r="D258" s="17" t="s">
        <v>117</v>
      </c>
      <c r="E258" s="17" t="s">
        <v>105</v>
      </c>
      <c r="F258" s="17" t="s">
        <v>217</v>
      </c>
      <c r="G258" s="182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5" t="s">
        <v>115</v>
      </c>
      <c r="B259" s="15" t="s">
        <v>124</v>
      </c>
      <c r="C259" s="16">
        <v>0.1423611111111111</v>
      </c>
      <c r="D259" s="15" t="s">
        <v>119</v>
      </c>
      <c r="E259" s="15" t="s">
        <v>120</v>
      </c>
      <c r="F259" s="15" t="s">
        <v>218</v>
      </c>
      <c r="G259" s="182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7" t="s">
        <v>115</v>
      </c>
      <c r="B260" s="17" t="s">
        <v>125</v>
      </c>
      <c r="C260" s="18">
        <v>0.93055555555555547</v>
      </c>
      <c r="D260" s="17" t="s">
        <v>117</v>
      </c>
      <c r="E260" s="17" t="s">
        <v>105</v>
      </c>
      <c r="F260" s="17" t="s">
        <v>217</v>
      </c>
      <c r="G260" s="182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115</v>
      </c>
      <c r="B261" s="15" t="s">
        <v>125</v>
      </c>
      <c r="C261" s="16">
        <v>0.93055555555555547</v>
      </c>
      <c r="D261" s="15" t="s">
        <v>119</v>
      </c>
      <c r="E261" s="15" t="s">
        <v>120</v>
      </c>
      <c r="F261" s="15" t="s">
        <v>218</v>
      </c>
      <c r="G261" s="182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7" t="s">
        <v>115</v>
      </c>
      <c r="B262" s="17" t="s">
        <v>122</v>
      </c>
      <c r="C262" s="18">
        <v>0.71875</v>
      </c>
      <c r="D262" s="17" t="s">
        <v>117</v>
      </c>
      <c r="E262" s="17" t="s">
        <v>105</v>
      </c>
      <c r="F262" s="17" t="s">
        <v>245</v>
      </c>
      <c r="G262" s="182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15" t="s">
        <v>115</v>
      </c>
      <c r="B263" s="15" t="s">
        <v>122</v>
      </c>
      <c r="C263" s="16">
        <v>0.71875</v>
      </c>
      <c r="D263" s="15" t="s">
        <v>119</v>
      </c>
      <c r="E263" s="15" t="s">
        <v>120</v>
      </c>
      <c r="F263" s="15" t="s">
        <v>246</v>
      </c>
      <c r="G263" s="182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17" t="s">
        <v>115</v>
      </c>
      <c r="B264" s="17" t="s">
        <v>135</v>
      </c>
      <c r="C264" s="18">
        <v>0.82986111111111116</v>
      </c>
      <c r="D264" s="17" t="s">
        <v>117</v>
      </c>
      <c r="E264" s="17" t="s">
        <v>105</v>
      </c>
      <c r="F264" s="17" t="s">
        <v>245</v>
      </c>
      <c r="G264" s="182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15" t="s">
        <v>115</v>
      </c>
      <c r="B265" s="15" t="s">
        <v>135</v>
      </c>
      <c r="C265" s="16">
        <v>0.82986111111111116</v>
      </c>
      <c r="D265" s="15" t="s">
        <v>119</v>
      </c>
      <c r="E265" s="15" t="s">
        <v>120</v>
      </c>
      <c r="F265" s="15" t="s">
        <v>246</v>
      </c>
      <c r="G265" s="182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17" t="s">
        <v>115</v>
      </c>
      <c r="B266" s="17" t="s">
        <v>136</v>
      </c>
      <c r="C266" s="18">
        <v>0.88888888888888884</v>
      </c>
      <c r="D266" s="17" t="s">
        <v>119</v>
      </c>
      <c r="E266" s="17" t="s">
        <v>69</v>
      </c>
      <c r="F266" s="17" t="s">
        <v>219</v>
      </c>
      <c r="G266" s="182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17" t="s">
        <v>115</v>
      </c>
      <c r="B267" s="17" t="s">
        <v>129</v>
      </c>
      <c r="C267" s="18">
        <v>0.30208333333333331</v>
      </c>
      <c r="D267" s="17" t="s">
        <v>119</v>
      </c>
      <c r="E267" s="17" t="s">
        <v>69</v>
      </c>
      <c r="F267" s="17" t="s">
        <v>219</v>
      </c>
      <c r="G267" s="182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17" t="s">
        <v>115</v>
      </c>
      <c r="B268" s="17" t="s">
        <v>131</v>
      </c>
      <c r="C268" s="18">
        <v>0.12847222222222221</v>
      </c>
      <c r="D268" s="17" t="s">
        <v>119</v>
      </c>
      <c r="E268" s="17" t="s">
        <v>69</v>
      </c>
      <c r="F268" s="17" t="s">
        <v>219</v>
      </c>
      <c r="G268" s="182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7" t="s">
        <v>115</v>
      </c>
      <c r="B269" s="17" t="s">
        <v>138</v>
      </c>
      <c r="C269" s="18">
        <v>0.78819444444444453</v>
      </c>
      <c r="D269" s="17" t="s">
        <v>119</v>
      </c>
      <c r="E269" s="17" t="s">
        <v>69</v>
      </c>
      <c r="F269" s="17" t="s">
        <v>219</v>
      </c>
      <c r="G269" s="182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17" t="s">
        <v>115</v>
      </c>
      <c r="B270" s="17" t="s">
        <v>132</v>
      </c>
      <c r="C270" s="18">
        <v>0.61111111111111105</v>
      </c>
      <c r="D270" s="17" t="s">
        <v>117</v>
      </c>
      <c r="E270" s="17" t="s">
        <v>110</v>
      </c>
      <c r="F270" s="17" t="s">
        <v>247</v>
      </c>
      <c r="G270" s="182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15" t="s">
        <v>115</v>
      </c>
      <c r="B271" s="15" t="s">
        <v>132</v>
      </c>
      <c r="C271" s="16">
        <v>0.61111111111111105</v>
      </c>
      <c r="D271" s="15" t="s">
        <v>119</v>
      </c>
      <c r="E271" s="15" t="s">
        <v>186</v>
      </c>
      <c r="F271" s="15" t="s">
        <v>248</v>
      </c>
      <c r="G271" s="182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9" t="s">
        <v>99</v>
      </c>
      <c r="B272" s="19" t="s">
        <v>172</v>
      </c>
      <c r="C272" s="20">
        <v>0.4861111111111111</v>
      </c>
      <c r="D272" s="19" t="s">
        <v>101</v>
      </c>
      <c r="E272" s="19" t="s">
        <v>102</v>
      </c>
      <c r="F272" s="19" t="s">
        <v>215</v>
      </c>
      <c r="G272" s="182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17" t="s">
        <v>99</v>
      </c>
      <c r="B273" s="17" t="s">
        <v>112</v>
      </c>
      <c r="C273" s="18">
        <v>0.51388888888888895</v>
      </c>
      <c r="D273" s="17" t="s">
        <v>101</v>
      </c>
      <c r="E273" s="17" t="s">
        <v>105</v>
      </c>
      <c r="F273" s="17" t="s">
        <v>215</v>
      </c>
      <c r="G273" s="182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7" t="s">
        <v>99</v>
      </c>
      <c r="B274" s="17" t="s">
        <v>100</v>
      </c>
      <c r="C274" s="18">
        <v>0.22222222222222221</v>
      </c>
      <c r="D274" s="17" t="s">
        <v>101</v>
      </c>
      <c r="E274" s="17" t="s">
        <v>105</v>
      </c>
      <c r="F274" s="17" t="s">
        <v>103</v>
      </c>
      <c r="G274" s="182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7" t="s">
        <v>99</v>
      </c>
      <c r="B275" s="17" t="s">
        <v>107</v>
      </c>
      <c r="C275" s="18">
        <v>1.388888888888889E-2</v>
      </c>
      <c r="D275" s="17" t="s">
        <v>101</v>
      </c>
      <c r="E275" s="17" t="s">
        <v>105</v>
      </c>
      <c r="F275" s="17" t="s">
        <v>106</v>
      </c>
      <c r="G275" s="182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7" t="s">
        <v>99</v>
      </c>
      <c r="B276" s="17" t="s">
        <v>109</v>
      </c>
      <c r="C276" s="18">
        <v>0.14583333333333329</v>
      </c>
      <c r="D276" s="17" t="s">
        <v>101</v>
      </c>
      <c r="E276" s="17" t="s">
        <v>105</v>
      </c>
      <c r="F276" s="17" t="s">
        <v>106</v>
      </c>
      <c r="G276" s="182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7" t="s">
        <v>99</v>
      </c>
      <c r="B277" s="17" t="s">
        <v>104</v>
      </c>
      <c r="C277" s="18">
        <v>0.27777777777777779</v>
      </c>
      <c r="D277" s="17" t="s">
        <v>101</v>
      </c>
      <c r="E277" s="17" t="s">
        <v>105</v>
      </c>
      <c r="F277" s="17" t="s">
        <v>173</v>
      </c>
      <c r="G277" s="182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50" t="s">
        <v>99</v>
      </c>
      <c r="B278" s="50" t="s">
        <v>113</v>
      </c>
      <c r="C278" s="51">
        <v>0.77430555555555547</v>
      </c>
      <c r="D278" s="50" t="s">
        <v>101</v>
      </c>
      <c r="E278" s="50" t="s">
        <v>105</v>
      </c>
      <c r="F278" s="50" t="s">
        <v>111</v>
      </c>
      <c r="G278" s="183"/>
      <c r="H278" s="52"/>
      <c r="I278" s="53"/>
      <c r="J278" s="53"/>
      <c r="K278" s="53"/>
      <c r="L278" s="53"/>
      <c r="M278" s="53"/>
      <c r="N278" s="53"/>
      <c r="O278" s="54"/>
      <c r="P278" s="53"/>
      <c r="Q278" s="55"/>
      <c r="R278" s="56"/>
    </row>
  </sheetData>
  <mergeCells count="22">
    <mergeCell ref="K2:R2"/>
    <mergeCell ref="H75:R75"/>
    <mergeCell ref="A201:F201"/>
    <mergeCell ref="H124:R124"/>
    <mergeCell ref="A123:R123"/>
    <mergeCell ref="A124:F124"/>
    <mergeCell ref="G77:G122"/>
    <mergeCell ref="A75:F75"/>
    <mergeCell ref="G203:G278"/>
    <mergeCell ref="H1:L1"/>
    <mergeCell ref="A1:E1"/>
    <mergeCell ref="H4:R4"/>
    <mergeCell ref="A74:R74"/>
    <mergeCell ref="A2:F2"/>
    <mergeCell ref="A3:R3"/>
    <mergeCell ref="H201:R201"/>
    <mergeCell ref="G6:G73"/>
    <mergeCell ref="G2:J2"/>
    <mergeCell ref="A4:F4"/>
    <mergeCell ref="G126:G199"/>
    <mergeCell ref="N1:R1"/>
    <mergeCell ref="A200:R2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/>
  </sheetViews>
  <sheetFormatPr defaultRowHeight="15.6" outlineLevelCol="1" x14ac:dyDescent="0.3"/>
  <cols>
    <col min="1" max="1" width="11.6640625" style="203" bestFit="1" customWidth="1"/>
    <col min="2" max="2" width="11.109375" style="203" bestFit="1" customWidth="1"/>
    <col min="3" max="3" width="7.88671875" style="203" bestFit="1" customWidth="1"/>
    <col min="4" max="4" width="6.77734375" style="203" bestFit="1" customWidth="1"/>
    <col min="5" max="5" width="8.6640625" style="203" bestFit="1" customWidth="1"/>
    <col min="6" max="6" width="5.21875" style="203" bestFit="1" customWidth="1"/>
    <col min="7" max="7" width="10" style="203" bestFit="1" customWidth="1"/>
    <col min="8" max="10" width="8.5546875" style="203" bestFit="1" customWidth="1"/>
    <col min="11" max="11" width="12.21875" style="203" bestFit="1" customWidth="1"/>
    <col min="12" max="12" width="10.109375" style="203" bestFit="1" customWidth="1"/>
    <col min="13" max="13" width="8.77734375" style="203" bestFit="1" customWidth="1" outlineLevel="1"/>
    <col min="14" max="14" width="7.33203125" style="203" bestFit="1" customWidth="1" outlineLevel="1"/>
    <col min="15" max="15" width="9.109375" style="203" bestFit="1" customWidth="1" outlineLevel="1"/>
    <col min="16" max="16" width="15.33203125" style="203" bestFit="1" customWidth="1"/>
    <col min="17" max="21" width="3.88671875" style="203" bestFit="1" customWidth="1"/>
    <col min="22" max="22" width="4" style="203" bestFit="1" customWidth="1"/>
    <col min="23" max="23" width="4.109375" style="203" bestFit="1" customWidth="1"/>
    <col min="24" max="24" width="3.88671875" style="203" bestFit="1" customWidth="1"/>
    <col min="25" max="25" width="5.33203125" style="203" bestFit="1" customWidth="1"/>
    <col min="26" max="26" width="4.88671875" style="203" bestFit="1" customWidth="1"/>
    <col min="27" max="27" width="5.88671875" style="203" bestFit="1" customWidth="1"/>
    <col min="28" max="28" width="5" style="203" bestFit="1" customWidth="1"/>
    <col min="29" max="29" width="5.109375" style="203" bestFit="1" customWidth="1"/>
    <col min="30" max="31" width="5.33203125" style="203" bestFit="1" customWidth="1"/>
    <col min="32" max="32" width="4.44140625" style="203" bestFit="1" customWidth="1"/>
    <col min="33" max="33" width="5" style="203" bestFit="1" customWidth="1"/>
    <col min="34" max="34" width="3.88671875" style="203" bestFit="1" customWidth="1"/>
    <col min="35" max="35" width="6.21875" style="203" bestFit="1" customWidth="1"/>
    <col min="36" max="36" width="4.21875" style="203" bestFit="1" customWidth="1"/>
    <col min="37" max="16384" width="8.88671875" style="203"/>
  </cols>
  <sheetData>
    <row r="1" spans="1:36" x14ac:dyDescent="0.3">
      <c r="A1" s="202" t="s">
        <v>249</v>
      </c>
      <c r="B1" s="202" t="s">
        <v>250</v>
      </c>
      <c r="C1" s="202" t="s">
        <v>251</v>
      </c>
      <c r="D1" s="202" t="s">
        <v>23</v>
      </c>
      <c r="E1" s="202" t="s">
        <v>252</v>
      </c>
      <c r="F1" s="202" t="s">
        <v>253</v>
      </c>
      <c r="G1" s="202" t="s">
        <v>16</v>
      </c>
      <c r="H1" s="202" t="s">
        <v>254</v>
      </c>
      <c r="I1" s="202" t="s">
        <v>255</v>
      </c>
      <c r="J1" s="202" t="s">
        <v>256</v>
      </c>
      <c r="K1" s="202" t="s">
        <v>257</v>
      </c>
      <c r="L1" s="202" t="s">
        <v>18</v>
      </c>
      <c r="M1" s="202" t="s">
        <v>20</v>
      </c>
      <c r="N1" s="202" t="s">
        <v>21</v>
      </c>
      <c r="O1" s="202" t="s">
        <v>19</v>
      </c>
      <c r="P1" s="202" t="s">
        <v>22</v>
      </c>
      <c r="Q1" s="202" t="s">
        <v>258</v>
      </c>
      <c r="R1" s="202" t="s">
        <v>259</v>
      </c>
      <c r="S1" s="202" t="s">
        <v>260</v>
      </c>
      <c r="T1" s="202" t="s">
        <v>261</v>
      </c>
      <c r="U1" s="202" t="s">
        <v>262</v>
      </c>
      <c r="V1" s="202" t="s">
        <v>263</v>
      </c>
      <c r="W1" s="202" t="s">
        <v>264</v>
      </c>
      <c r="X1" s="202" t="s">
        <v>265</v>
      </c>
      <c r="Y1" s="202" t="s">
        <v>266</v>
      </c>
      <c r="Z1" s="202" t="s">
        <v>267</v>
      </c>
      <c r="AA1" s="202" t="s">
        <v>268</v>
      </c>
      <c r="AB1" s="202" t="s">
        <v>269</v>
      </c>
      <c r="AC1" s="202" t="s">
        <v>270</v>
      </c>
      <c r="AD1" s="202" t="s">
        <v>271</v>
      </c>
      <c r="AE1" s="202" t="s">
        <v>272</v>
      </c>
      <c r="AF1" s="202" t="s">
        <v>273</v>
      </c>
      <c r="AG1" s="202" t="s">
        <v>274</v>
      </c>
      <c r="AH1" s="202" t="s">
        <v>275</v>
      </c>
      <c r="AI1" s="202" t="s">
        <v>276</v>
      </c>
      <c r="AJ1" s="202" t="s">
        <v>277</v>
      </c>
    </row>
    <row r="2" spans="1:36" x14ac:dyDescent="0.3">
      <c r="A2" s="204" t="s">
        <v>278</v>
      </c>
      <c r="B2" s="205">
        <v>45983</v>
      </c>
      <c r="C2" s="206" t="s">
        <v>92</v>
      </c>
      <c r="D2" s="207" t="s">
        <v>279</v>
      </c>
      <c r="E2" s="206" t="s">
        <v>1</v>
      </c>
      <c r="F2" s="206" t="s">
        <v>280</v>
      </c>
      <c r="G2" s="208">
        <v>1</v>
      </c>
      <c r="H2" s="209">
        <v>179</v>
      </c>
      <c r="I2" s="209">
        <v>179</v>
      </c>
      <c r="J2" s="209">
        <v>50</v>
      </c>
      <c r="K2" s="206" t="s">
        <v>281</v>
      </c>
      <c r="L2" s="210">
        <v>45971</v>
      </c>
      <c r="M2" s="209">
        <v>0</v>
      </c>
      <c r="N2" s="209">
        <v>0</v>
      </c>
      <c r="O2" s="209">
        <v>0</v>
      </c>
      <c r="P2" s="206" t="s">
        <v>95</v>
      </c>
      <c r="Q2" s="202"/>
      <c r="R2" s="202"/>
      <c r="S2" s="202"/>
      <c r="T2" s="202"/>
      <c r="U2" s="202"/>
      <c r="V2" s="202"/>
      <c r="W2" s="209" t="s">
        <v>282</v>
      </c>
      <c r="X2" s="202"/>
      <c r="Y2" s="209" t="s">
        <v>283</v>
      </c>
      <c r="Z2" s="209" t="s">
        <v>284</v>
      </c>
      <c r="AA2" s="209" t="s">
        <v>285</v>
      </c>
      <c r="AB2" s="209" t="s">
        <v>286</v>
      </c>
      <c r="AC2" s="209" t="s">
        <v>287</v>
      </c>
      <c r="AD2" s="209" t="s">
        <v>288</v>
      </c>
      <c r="AE2" s="209" t="s">
        <v>289</v>
      </c>
      <c r="AF2" s="209" t="s">
        <v>290</v>
      </c>
      <c r="AG2" s="202"/>
      <c r="AH2" s="202"/>
      <c r="AI2" s="209" t="s">
        <v>291</v>
      </c>
      <c r="AJ2" s="202"/>
    </row>
    <row r="3" spans="1:36" x14ac:dyDescent="0.3">
      <c r="A3" s="204" t="s">
        <v>278</v>
      </c>
      <c r="B3" s="205">
        <v>45983</v>
      </c>
      <c r="C3" s="206" t="s">
        <v>97</v>
      </c>
      <c r="D3" s="207" t="s">
        <v>292</v>
      </c>
      <c r="E3" s="206" t="s">
        <v>1</v>
      </c>
      <c r="F3" s="206" t="s">
        <v>280</v>
      </c>
      <c r="G3" s="208">
        <v>1</v>
      </c>
      <c r="H3" s="209">
        <v>179</v>
      </c>
      <c r="I3" s="209">
        <v>179</v>
      </c>
      <c r="J3" s="209">
        <v>134</v>
      </c>
      <c r="K3" s="206" t="s">
        <v>281</v>
      </c>
      <c r="L3" s="210">
        <v>45979</v>
      </c>
      <c r="M3" s="209">
        <v>0</v>
      </c>
      <c r="N3" s="209">
        <v>0</v>
      </c>
      <c r="O3" s="209">
        <v>4</v>
      </c>
      <c r="P3" s="206" t="s">
        <v>95</v>
      </c>
      <c r="Q3" s="202"/>
      <c r="R3" s="202"/>
      <c r="S3" s="202"/>
      <c r="T3" s="202"/>
      <c r="U3" s="202"/>
      <c r="V3" s="209" t="s">
        <v>293</v>
      </c>
      <c r="W3" s="202"/>
      <c r="X3" s="209" t="s">
        <v>294</v>
      </c>
      <c r="Y3" s="202"/>
      <c r="Z3" s="209" t="s">
        <v>295</v>
      </c>
      <c r="AA3" s="209" t="s">
        <v>209</v>
      </c>
      <c r="AB3" s="202"/>
      <c r="AC3" s="202"/>
      <c r="AD3" s="202"/>
      <c r="AE3" s="202"/>
      <c r="AF3" s="202"/>
      <c r="AG3" s="202"/>
      <c r="AH3" s="202"/>
      <c r="AI3" s="209" t="s">
        <v>296</v>
      </c>
      <c r="AJ3" s="209" t="s">
        <v>297</v>
      </c>
    </row>
    <row r="4" spans="1:36" x14ac:dyDescent="0.3">
      <c r="A4" s="204" t="s">
        <v>278</v>
      </c>
      <c r="B4" s="205">
        <v>45983</v>
      </c>
      <c r="C4" s="206" t="s">
        <v>89</v>
      </c>
      <c r="D4" s="207" t="s">
        <v>298</v>
      </c>
      <c r="E4" s="206" t="s">
        <v>1</v>
      </c>
      <c r="F4" s="206" t="s">
        <v>280</v>
      </c>
      <c r="G4" s="208">
        <v>0.99439999999999995</v>
      </c>
      <c r="H4" s="209">
        <v>179</v>
      </c>
      <c r="I4" s="209">
        <v>178</v>
      </c>
      <c r="J4" s="209">
        <v>127</v>
      </c>
      <c r="K4" s="206" t="s">
        <v>281</v>
      </c>
      <c r="L4" s="210">
        <v>45977</v>
      </c>
      <c r="M4" s="209">
        <v>0</v>
      </c>
      <c r="N4" s="209">
        <v>0</v>
      </c>
      <c r="O4" s="209">
        <v>3</v>
      </c>
      <c r="P4" s="206" t="s">
        <v>90</v>
      </c>
      <c r="Q4" s="202"/>
      <c r="R4" s="202"/>
      <c r="S4" s="202"/>
      <c r="T4" s="202"/>
      <c r="U4" s="202"/>
      <c r="V4" s="209" t="s">
        <v>299</v>
      </c>
      <c r="W4" s="202"/>
      <c r="X4" s="209" t="s">
        <v>300</v>
      </c>
      <c r="Y4" s="209" t="s">
        <v>301</v>
      </c>
      <c r="Z4" s="209" t="s">
        <v>302</v>
      </c>
      <c r="AA4" s="209" t="s">
        <v>303</v>
      </c>
      <c r="AB4" s="209" t="s">
        <v>286</v>
      </c>
      <c r="AC4" s="209" t="s">
        <v>304</v>
      </c>
      <c r="AD4" s="209" t="s">
        <v>305</v>
      </c>
      <c r="AE4" s="209" t="s">
        <v>306</v>
      </c>
      <c r="AF4" s="209" t="s">
        <v>307</v>
      </c>
      <c r="AG4" s="209" t="s">
        <v>308</v>
      </c>
      <c r="AH4" s="202"/>
      <c r="AI4" s="209" t="s">
        <v>309</v>
      </c>
      <c r="AJ4" s="209" t="s">
        <v>310</v>
      </c>
    </row>
    <row r="5" spans="1:36" x14ac:dyDescent="0.3">
      <c r="A5" s="204" t="s">
        <v>311</v>
      </c>
      <c r="B5" s="205">
        <v>45984</v>
      </c>
      <c r="C5" s="206" t="s">
        <v>149</v>
      </c>
      <c r="D5" s="207" t="s">
        <v>312</v>
      </c>
      <c r="E5" s="206" t="s">
        <v>1</v>
      </c>
      <c r="F5" s="206" t="s">
        <v>280</v>
      </c>
      <c r="G5" s="208">
        <v>0.62009999999999998</v>
      </c>
      <c r="H5" s="209">
        <v>179</v>
      </c>
      <c r="I5" s="209">
        <v>111</v>
      </c>
      <c r="J5" s="209">
        <v>28</v>
      </c>
      <c r="K5" s="206" t="s">
        <v>281</v>
      </c>
      <c r="L5" s="210">
        <v>45980</v>
      </c>
      <c r="M5" s="209">
        <v>0</v>
      </c>
      <c r="N5" s="209">
        <v>7</v>
      </c>
      <c r="O5" s="209">
        <v>50</v>
      </c>
      <c r="P5" s="206" t="s">
        <v>150</v>
      </c>
      <c r="Q5" s="202"/>
      <c r="R5" s="202"/>
      <c r="S5" s="202"/>
      <c r="T5" s="202"/>
      <c r="U5" s="202"/>
      <c r="V5" s="202"/>
      <c r="W5" s="202"/>
      <c r="X5" s="202"/>
      <c r="Y5" s="202"/>
      <c r="Z5" s="209" t="s">
        <v>313</v>
      </c>
      <c r="AA5" s="209" t="s">
        <v>314</v>
      </c>
      <c r="AB5" s="209" t="s">
        <v>315</v>
      </c>
      <c r="AC5" s="209" t="s">
        <v>239</v>
      </c>
      <c r="AD5" s="209" t="s">
        <v>305</v>
      </c>
      <c r="AE5" s="209" t="s">
        <v>316</v>
      </c>
      <c r="AF5" s="209" t="s">
        <v>307</v>
      </c>
      <c r="AG5" s="202"/>
      <c r="AH5" s="202"/>
      <c r="AI5" s="209" t="s">
        <v>317</v>
      </c>
      <c r="AJ5" s="209" t="s">
        <v>318</v>
      </c>
    </row>
    <row r="6" spans="1:36" x14ac:dyDescent="0.3">
      <c r="A6" s="204" t="s">
        <v>311</v>
      </c>
      <c r="B6" s="205">
        <v>45984</v>
      </c>
      <c r="C6" s="206" t="s">
        <v>97</v>
      </c>
      <c r="D6" s="207" t="s">
        <v>319</v>
      </c>
      <c r="E6" s="206" t="s">
        <v>1</v>
      </c>
      <c r="F6" s="206" t="s">
        <v>280</v>
      </c>
      <c r="G6" s="208">
        <v>0.54190000000000005</v>
      </c>
      <c r="H6" s="209">
        <v>179</v>
      </c>
      <c r="I6" s="209">
        <v>97</v>
      </c>
      <c r="J6" s="209">
        <v>0</v>
      </c>
      <c r="K6" s="206" t="s">
        <v>281</v>
      </c>
      <c r="L6" s="210">
        <v>45979</v>
      </c>
      <c r="M6" s="209">
        <v>0</v>
      </c>
      <c r="N6" s="209">
        <v>0</v>
      </c>
      <c r="O6" s="209">
        <v>34</v>
      </c>
      <c r="P6" s="206" t="s">
        <v>153</v>
      </c>
      <c r="Q6" s="202"/>
      <c r="R6" s="202"/>
      <c r="S6" s="202"/>
      <c r="T6" s="202"/>
      <c r="U6" s="202"/>
      <c r="V6" s="202"/>
      <c r="W6" s="202"/>
      <c r="X6" s="202"/>
      <c r="Y6" s="209" t="s">
        <v>158</v>
      </c>
      <c r="Z6" s="209" t="s">
        <v>320</v>
      </c>
      <c r="AA6" s="209" t="s">
        <v>321</v>
      </c>
      <c r="AB6" s="209" t="s">
        <v>322</v>
      </c>
      <c r="AC6" s="209" t="s">
        <v>323</v>
      </c>
      <c r="AD6" s="209" t="s">
        <v>305</v>
      </c>
      <c r="AE6" s="209" t="s">
        <v>324</v>
      </c>
      <c r="AF6" s="209" t="s">
        <v>325</v>
      </c>
      <c r="AG6" s="202"/>
      <c r="AH6" s="202"/>
      <c r="AI6" s="202"/>
      <c r="AJ6" s="202"/>
    </row>
    <row r="7" spans="1:36" x14ac:dyDescent="0.3">
      <c r="A7" s="204" t="s">
        <v>311</v>
      </c>
      <c r="B7" s="205">
        <v>45984</v>
      </c>
      <c r="C7" s="206" t="s">
        <v>144</v>
      </c>
      <c r="D7" s="207" t="s">
        <v>292</v>
      </c>
      <c r="E7" s="206" t="s">
        <v>1</v>
      </c>
      <c r="F7" s="206" t="s">
        <v>280</v>
      </c>
      <c r="G7" s="208">
        <v>0.875</v>
      </c>
      <c r="H7" s="209">
        <v>168</v>
      </c>
      <c r="I7" s="209">
        <v>147</v>
      </c>
      <c r="J7" s="209">
        <v>62</v>
      </c>
      <c r="K7" s="206" t="s">
        <v>281</v>
      </c>
      <c r="L7" s="210">
        <v>45980</v>
      </c>
      <c r="M7" s="209">
        <v>0</v>
      </c>
      <c r="N7" s="209">
        <v>6</v>
      </c>
      <c r="O7" s="209">
        <v>30</v>
      </c>
      <c r="P7" s="206" t="s">
        <v>145</v>
      </c>
      <c r="Q7" s="202"/>
      <c r="R7" s="202"/>
      <c r="S7" s="202"/>
      <c r="T7" s="202"/>
      <c r="U7" s="202"/>
      <c r="V7" s="202"/>
      <c r="W7" s="202"/>
      <c r="X7" s="202"/>
      <c r="Y7" s="209" t="s">
        <v>326</v>
      </c>
      <c r="Z7" s="209" t="s">
        <v>327</v>
      </c>
      <c r="AA7" s="209" t="s">
        <v>328</v>
      </c>
      <c r="AB7" s="209" t="s">
        <v>329</v>
      </c>
      <c r="AC7" s="209" t="s">
        <v>323</v>
      </c>
      <c r="AD7" s="209" t="s">
        <v>330</v>
      </c>
      <c r="AE7" s="209" t="s">
        <v>316</v>
      </c>
      <c r="AF7" s="209" t="s">
        <v>325</v>
      </c>
      <c r="AG7" s="202"/>
      <c r="AH7" s="202"/>
      <c r="AI7" s="209" t="s">
        <v>331</v>
      </c>
      <c r="AJ7" s="202"/>
    </row>
    <row r="8" spans="1:36" x14ac:dyDescent="0.3">
      <c r="A8" s="204" t="s">
        <v>311</v>
      </c>
      <c r="B8" s="205">
        <v>45984</v>
      </c>
      <c r="C8" s="206" t="s">
        <v>157</v>
      </c>
      <c r="D8" s="207" t="s">
        <v>332</v>
      </c>
      <c r="E8" s="206" t="s">
        <v>1</v>
      </c>
      <c r="F8" s="206" t="s">
        <v>280</v>
      </c>
      <c r="G8" s="208">
        <v>0.92179999999999995</v>
      </c>
      <c r="H8" s="209">
        <v>179</v>
      </c>
      <c r="I8" s="209">
        <v>165</v>
      </c>
      <c r="J8" s="209">
        <v>128</v>
      </c>
      <c r="K8" s="206" t="s">
        <v>281</v>
      </c>
      <c r="L8" s="210">
        <v>45980</v>
      </c>
      <c r="M8" s="209">
        <v>0</v>
      </c>
      <c r="N8" s="209">
        <v>3</v>
      </c>
      <c r="O8" s="209">
        <v>8</v>
      </c>
      <c r="P8" s="206" t="s">
        <v>158</v>
      </c>
      <c r="Q8" s="202"/>
      <c r="R8" s="202"/>
      <c r="S8" s="202"/>
      <c r="T8" s="202"/>
      <c r="U8" s="202"/>
      <c r="V8" s="202"/>
      <c r="W8" s="202"/>
      <c r="X8" s="209" t="s">
        <v>294</v>
      </c>
      <c r="Y8" s="209" t="s">
        <v>301</v>
      </c>
      <c r="Z8" s="209" t="s">
        <v>333</v>
      </c>
      <c r="AA8" s="202"/>
      <c r="AB8" s="202"/>
      <c r="AC8" s="202"/>
      <c r="AD8" s="209" t="s">
        <v>334</v>
      </c>
      <c r="AE8" s="209" t="s">
        <v>324</v>
      </c>
      <c r="AF8" s="209" t="s">
        <v>335</v>
      </c>
      <c r="AG8" s="202"/>
      <c r="AH8" s="202"/>
      <c r="AI8" s="209" t="s">
        <v>336</v>
      </c>
      <c r="AJ8" s="202"/>
    </row>
    <row r="9" spans="1:36" x14ac:dyDescent="0.3">
      <c r="A9" s="204" t="s">
        <v>311</v>
      </c>
      <c r="B9" s="205">
        <v>45984</v>
      </c>
      <c r="C9" s="206" t="s">
        <v>89</v>
      </c>
      <c r="D9" s="207" t="s">
        <v>337</v>
      </c>
      <c r="E9" s="206" t="s">
        <v>1</v>
      </c>
      <c r="F9" s="206" t="s">
        <v>280</v>
      </c>
      <c r="G9" s="208">
        <v>1.0112000000000001</v>
      </c>
      <c r="H9" s="209">
        <v>179</v>
      </c>
      <c r="I9" s="209">
        <v>181</v>
      </c>
      <c r="J9" s="209">
        <v>128</v>
      </c>
      <c r="K9" s="206" t="s">
        <v>281</v>
      </c>
      <c r="L9" s="210">
        <v>45980</v>
      </c>
      <c r="M9" s="209">
        <v>0</v>
      </c>
      <c r="N9" s="209">
        <v>3</v>
      </c>
      <c r="O9" s="209">
        <v>12</v>
      </c>
      <c r="P9" s="206" t="s">
        <v>95</v>
      </c>
      <c r="Q9" s="202"/>
      <c r="R9" s="202"/>
      <c r="S9" s="202"/>
      <c r="T9" s="202"/>
      <c r="U9" s="202"/>
      <c r="V9" s="202"/>
      <c r="W9" s="202"/>
      <c r="X9" s="209" t="s">
        <v>300</v>
      </c>
      <c r="Y9" s="209" t="s">
        <v>338</v>
      </c>
      <c r="Z9" s="209" t="s">
        <v>339</v>
      </c>
      <c r="AA9" s="202"/>
      <c r="AB9" s="209" t="s">
        <v>340</v>
      </c>
      <c r="AC9" s="209" t="s">
        <v>304</v>
      </c>
      <c r="AD9" s="209" t="s">
        <v>305</v>
      </c>
      <c r="AE9" s="209" t="s">
        <v>324</v>
      </c>
      <c r="AF9" s="209" t="s">
        <v>335</v>
      </c>
      <c r="AG9" s="202"/>
      <c r="AH9" s="202"/>
      <c r="AI9" s="209" t="s">
        <v>341</v>
      </c>
      <c r="AJ9" s="202"/>
    </row>
    <row r="10" spans="1:36" x14ac:dyDescent="0.3">
      <c r="A10" s="204" t="s">
        <v>342</v>
      </c>
      <c r="B10" s="205">
        <v>45985</v>
      </c>
      <c r="C10" s="206" t="s">
        <v>206</v>
      </c>
      <c r="D10" s="207" t="s">
        <v>343</v>
      </c>
      <c r="E10" s="206" t="s">
        <v>1</v>
      </c>
      <c r="F10" s="206" t="s">
        <v>280</v>
      </c>
      <c r="G10" s="208">
        <v>0.3911</v>
      </c>
      <c r="H10" s="209">
        <v>179</v>
      </c>
      <c r="I10" s="209">
        <v>70</v>
      </c>
      <c r="J10" s="209">
        <v>0</v>
      </c>
      <c r="K10" s="206" t="s">
        <v>281</v>
      </c>
      <c r="L10" s="210">
        <v>45980</v>
      </c>
      <c r="M10" s="209">
        <v>0</v>
      </c>
      <c r="N10" s="209">
        <v>7</v>
      </c>
      <c r="O10" s="209">
        <v>43</v>
      </c>
      <c r="P10" s="206" t="s">
        <v>201</v>
      </c>
      <c r="Q10" s="202"/>
      <c r="R10" s="202"/>
      <c r="S10" s="202"/>
      <c r="T10" s="202"/>
      <c r="U10" s="202"/>
      <c r="V10" s="202"/>
      <c r="W10" s="202"/>
      <c r="X10" s="202"/>
      <c r="Y10" s="202"/>
      <c r="Z10" s="209" t="s">
        <v>344</v>
      </c>
      <c r="AA10" s="202"/>
      <c r="AB10" s="209" t="s">
        <v>345</v>
      </c>
      <c r="AC10" s="209" t="s">
        <v>346</v>
      </c>
      <c r="AD10" s="209" t="s">
        <v>347</v>
      </c>
      <c r="AE10" s="209" t="s">
        <v>348</v>
      </c>
      <c r="AF10" s="209" t="s">
        <v>349</v>
      </c>
      <c r="AG10" s="202"/>
      <c r="AH10" s="202"/>
      <c r="AI10" s="202"/>
      <c r="AJ10" s="202"/>
    </row>
    <row r="11" spans="1:36" x14ac:dyDescent="0.3">
      <c r="A11" s="204" t="s">
        <v>342</v>
      </c>
      <c r="B11" s="205">
        <v>45985</v>
      </c>
      <c r="C11" s="206" t="s">
        <v>97</v>
      </c>
      <c r="D11" s="207" t="s">
        <v>350</v>
      </c>
      <c r="E11" s="206" t="s">
        <v>1</v>
      </c>
      <c r="F11" s="206" t="s">
        <v>280</v>
      </c>
      <c r="G11" s="208">
        <v>0.86029999999999995</v>
      </c>
      <c r="H11" s="209">
        <v>179</v>
      </c>
      <c r="I11" s="209">
        <v>154</v>
      </c>
      <c r="J11" s="209">
        <v>84</v>
      </c>
      <c r="K11" s="206" t="s">
        <v>281</v>
      </c>
      <c r="L11" s="210">
        <v>45981</v>
      </c>
      <c r="M11" s="209">
        <v>1</v>
      </c>
      <c r="N11" s="209">
        <v>9</v>
      </c>
      <c r="O11" s="209">
        <v>33</v>
      </c>
      <c r="P11" s="206" t="s">
        <v>203</v>
      </c>
      <c r="Q11" s="202"/>
      <c r="R11" s="202"/>
      <c r="S11" s="202"/>
      <c r="T11" s="202"/>
      <c r="U11" s="202"/>
      <c r="V11" s="202"/>
      <c r="W11" s="202"/>
      <c r="X11" s="202"/>
      <c r="Y11" s="202"/>
      <c r="Z11" s="209" t="s">
        <v>344</v>
      </c>
      <c r="AA11" s="202"/>
      <c r="AB11" s="209" t="s">
        <v>351</v>
      </c>
      <c r="AC11" s="209" t="s">
        <v>352</v>
      </c>
      <c r="AD11" s="209" t="s">
        <v>353</v>
      </c>
      <c r="AE11" s="209" t="s">
        <v>354</v>
      </c>
      <c r="AF11" s="209" t="s">
        <v>355</v>
      </c>
      <c r="AG11" s="202"/>
      <c r="AH11" s="202"/>
      <c r="AI11" s="209" t="s">
        <v>356</v>
      </c>
      <c r="AJ11" s="209" t="s">
        <v>297</v>
      </c>
    </row>
    <row r="12" spans="1:36" x14ac:dyDescent="0.3">
      <c r="A12" s="204" t="s">
        <v>342</v>
      </c>
      <c r="B12" s="205">
        <v>45985</v>
      </c>
      <c r="C12" s="206" t="s">
        <v>89</v>
      </c>
      <c r="D12" s="207" t="s">
        <v>357</v>
      </c>
      <c r="E12" s="206" t="s">
        <v>1</v>
      </c>
      <c r="F12" s="206" t="s">
        <v>280</v>
      </c>
      <c r="G12" s="208">
        <v>0.83799999999999997</v>
      </c>
      <c r="H12" s="209">
        <v>179</v>
      </c>
      <c r="I12" s="209">
        <v>150</v>
      </c>
      <c r="J12" s="209">
        <v>93</v>
      </c>
      <c r="K12" s="206" t="s">
        <v>281</v>
      </c>
      <c r="L12" s="210">
        <v>45980</v>
      </c>
      <c r="M12" s="209">
        <v>0</v>
      </c>
      <c r="N12" s="209">
        <v>9</v>
      </c>
      <c r="O12" s="209">
        <v>32</v>
      </c>
      <c r="P12" s="206" t="s">
        <v>209</v>
      </c>
      <c r="Q12" s="202"/>
      <c r="R12" s="202"/>
      <c r="S12" s="202"/>
      <c r="T12" s="202"/>
      <c r="U12" s="202"/>
      <c r="V12" s="202"/>
      <c r="W12" s="202"/>
      <c r="X12" s="202"/>
      <c r="Y12" s="202"/>
      <c r="Z12" s="209" t="s">
        <v>153</v>
      </c>
      <c r="AA12" s="202"/>
      <c r="AB12" s="209" t="s">
        <v>358</v>
      </c>
      <c r="AC12" s="209" t="s">
        <v>359</v>
      </c>
      <c r="AD12" s="209" t="s">
        <v>360</v>
      </c>
      <c r="AE12" s="209" t="s">
        <v>348</v>
      </c>
      <c r="AF12" s="209" t="s">
        <v>325</v>
      </c>
      <c r="AG12" s="202"/>
      <c r="AH12" s="202"/>
      <c r="AI12" s="209" t="s">
        <v>361</v>
      </c>
      <c r="AJ12" s="202"/>
    </row>
    <row r="13" spans="1:36" x14ac:dyDescent="0.3">
      <c r="A13" s="204" t="s">
        <v>342</v>
      </c>
      <c r="B13" s="205">
        <v>45985</v>
      </c>
      <c r="C13" s="206" t="s">
        <v>157</v>
      </c>
      <c r="D13" s="207" t="s">
        <v>362</v>
      </c>
      <c r="E13" s="206" t="s">
        <v>1</v>
      </c>
      <c r="F13" s="206" t="s">
        <v>280</v>
      </c>
      <c r="G13" s="208">
        <v>0.91620000000000001</v>
      </c>
      <c r="H13" s="209">
        <v>179</v>
      </c>
      <c r="I13" s="209">
        <v>164</v>
      </c>
      <c r="J13" s="209">
        <v>108</v>
      </c>
      <c r="K13" s="206" t="s">
        <v>281</v>
      </c>
      <c r="L13" s="210">
        <v>45980</v>
      </c>
      <c r="M13" s="209">
        <v>0</v>
      </c>
      <c r="N13" s="209">
        <v>8</v>
      </c>
      <c r="O13" s="209">
        <v>23</v>
      </c>
      <c r="P13" s="206" t="s">
        <v>201</v>
      </c>
      <c r="Q13" s="202"/>
      <c r="R13" s="202"/>
      <c r="S13" s="202"/>
      <c r="T13" s="202"/>
      <c r="U13" s="202"/>
      <c r="V13" s="202"/>
      <c r="W13" s="202"/>
      <c r="X13" s="202"/>
      <c r="Y13" s="202"/>
      <c r="Z13" s="209" t="s">
        <v>150</v>
      </c>
      <c r="AA13" s="202"/>
      <c r="AB13" s="209" t="s">
        <v>363</v>
      </c>
      <c r="AC13" s="209" t="s">
        <v>346</v>
      </c>
      <c r="AD13" s="209" t="s">
        <v>360</v>
      </c>
      <c r="AE13" s="209" t="s">
        <v>348</v>
      </c>
      <c r="AF13" s="209" t="s">
        <v>364</v>
      </c>
      <c r="AG13" s="202"/>
      <c r="AH13" s="202"/>
      <c r="AI13" s="209" t="s">
        <v>365</v>
      </c>
      <c r="AJ13" s="202"/>
    </row>
    <row r="14" spans="1:36" x14ac:dyDescent="0.3">
      <c r="A14" s="204" t="s">
        <v>366</v>
      </c>
      <c r="B14" s="205">
        <v>45986</v>
      </c>
      <c r="C14" s="206" t="s">
        <v>232</v>
      </c>
      <c r="D14" s="207" t="s">
        <v>367</v>
      </c>
      <c r="E14" s="206" t="s">
        <v>1</v>
      </c>
      <c r="F14" s="206" t="s">
        <v>280</v>
      </c>
      <c r="G14" s="208">
        <v>0.3352</v>
      </c>
      <c r="H14" s="209">
        <v>179</v>
      </c>
      <c r="I14" s="209">
        <v>60</v>
      </c>
      <c r="J14" s="209">
        <v>0</v>
      </c>
      <c r="K14" s="206" t="s">
        <v>281</v>
      </c>
      <c r="L14" s="210">
        <v>45980</v>
      </c>
      <c r="M14" s="209">
        <v>0</v>
      </c>
      <c r="N14" s="209">
        <v>6</v>
      </c>
      <c r="O14" s="209">
        <v>43</v>
      </c>
      <c r="P14" s="206" t="s">
        <v>233</v>
      </c>
      <c r="Q14" s="202"/>
      <c r="R14" s="202"/>
      <c r="S14" s="202"/>
      <c r="T14" s="202"/>
      <c r="U14" s="202"/>
      <c r="V14" s="202"/>
      <c r="W14" s="202"/>
      <c r="X14" s="202"/>
      <c r="Y14" s="202"/>
      <c r="Z14" s="209" t="s">
        <v>368</v>
      </c>
      <c r="AA14" s="202"/>
      <c r="AB14" s="202"/>
      <c r="AC14" s="209" t="s">
        <v>237</v>
      </c>
      <c r="AD14" s="209" t="s">
        <v>369</v>
      </c>
      <c r="AE14" s="209" t="s">
        <v>348</v>
      </c>
      <c r="AF14" s="209" t="s">
        <v>370</v>
      </c>
      <c r="AG14" s="202"/>
      <c r="AH14" s="202"/>
      <c r="AI14" s="202"/>
      <c r="AJ14" s="202"/>
    </row>
    <row r="15" spans="1:36" x14ac:dyDescent="0.3">
      <c r="A15" s="204" t="s">
        <v>366</v>
      </c>
      <c r="B15" s="205">
        <v>45986</v>
      </c>
      <c r="C15" s="206" t="s">
        <v>206</v>
      </c>
      <c r="D15" s="207" t="s">
        <v>371</v>
      </c>
      <c r="E15" s="206" t="s">
        <v>1</v>
      </c>
      <c r="F15" s="206" t="s">
        <v>280</v>
      </c>
      <c r="G15" s="208">
        <v>0.9385</v>
      </c>
      <c r="H15" s="209">
        <v>179</v>
      </c>
      <c r="I15" s="209">
        <v>168</v>
      </c>
      <c r="J15" s="209">
        <v>117</v>
      </c>
      <c r="K15" s="206" t="s">
        <v>281</v>
      </c>
      <c r="L15" s="210">
        <v>45979</v>
      </c>
      <c r="M15" s="209">
        <v>0</v>
      </c>
      <c r="N15" s="209">
        <v>0</v>
      </c>
      <c r="O15" s="209">
        <v>27</v>
      </c>
      <c r="P15" s="206" t="s">
        <v>95</v>
      </c>
      <c r="Q15" s="202"/>
      <c r="R15" s="202"/>
      <c r="S15" s="202"/>
      <c r="T15" s="202"/>
      <c r="U15" s="202"/>
      <c r="V15" s="202"/>
      <c r="W15" s="202"/>
      <c r="X15" s="202"/>
      <c r="Y15" s="202"/>
      <c r="Z15" s="209" t="s">
        <v>344</v>
      </c>
      <c r="AA15" s="202"/>
      <c r="AB15" s="202"/>
      <c r="AC15" s="209" t="s">
        <v>372</v>
      </c>
      <c r="AD15" s="209" t="s">
        <v>373</v>
      </c>
      <c r="AE15" s="209" t="s">
        <v>374</v>
      </c>
      <c r="AF15" s="209" t="s">
        <v>364</v>
      </c>
      <c r="AG15" s="202"/>
      <c r="AH15" s="202"/>
      <c r="AI15" s="209" t="s">
        <v>375</v>
      </c>
      <c r="AJ15" s="209" t="s">
        <v>376</v>
      </c>
    </row>
    <row r="16" spans="1:36" x14ac:dyDescent="0.3">
      <c r="A16" s="204" t="s">
        <v>366</v>
      </c>
      <c r="B16" s="205">
        <v>45986</v>
      </c>
      <c r="C16" s="206" t="s">
        <v>89</v>
      </c>
      <c r="D16" s="207" t="s">
        <v>357</v>
      </c>
      <c r="E16" s="206" t="s">
        <v>1</v>
      </c>
      <c r="F16" s="206" t="s">
        <v>280</v>
      </c>
      <c r="G16" s="208">
        <v>0.75980000000000003</v>
      </c>
      <c r="H16" s="209">
        <v>179</v>
      </c>
      <c r="I16" s="209">
        <v>136</v>
      </c>
      <c r="J16" s="209">
        <v>82</v>
      </c>
      <c r="K16" s="206" t="s">
        <v>281</v>
      </c>
      <c r="L16" s="210">
        <v>45980</v>
      </c>
      <c r="M16" s="209">
        <v>0</v>
      </c>
      <c r="N16" s="209">
        <v>3</v>
      </c>
      <c r="O16" s="209">
        <v>25</v>
      </c>
      <c r="P16" s="206" t="s">
        <v>239</v>
      </c>
      <c r="Q16" s="202"/>
      <c r="R16" s="202"/>
      <c r="S16" s="202"/>
      <c r="T16" s="202"/>
      <c r="U16" s="202"/>
      <c r="V16" s="202"/>
      <c r="W16" s="202"/>
      <c r="X16" s="202"/>
      <c r="Y16" s="202"/>
      <c r="Z16" s="209" t="s">
        <v>153</v>
      </c>
      <c r="AA16" s="202"/>
      <c r="AB16" s="202"/>
      <c r="AC16" s="209" t="s">
        <v>377</v>
      </c>
      <c r="AD16" s="209" t="s">
        <v>378</v>
      </c>
      <c r="AE16" s="209" t="s">
        <v>374</v>
      </c>
      <c r="AF16" s="209" t="s">
        <v>364</v>
      </c>
      <c r="AG16" s="202"/>
      <c r="AH16" s="202"/>
      <c r="AI16" s="209" t="s">
        <v>309</v>
      </c>
      <c r="AJ16" s="202"/>
    </row>
    <row r="17" spans="1:36" x14ac:dyDescent="0.3">
      <c r="A17" s="204" t="s">
        <v>366</v>
      </c>
      <c r="B17" s="205">
        <v>45986</v>
      </c>
      <c r="C17" s="206" t="s">
        <v>157</v>
      </c>
      <c r="D17" s="207" t="s">
        <v>379</v>
      </c>
      <c r="E17" s="206" t="s">
        <v>1</v>
      </c>
      <c r="F17" s="206" t="s">
        <v>280</v>
      </c>
      <c r="G17" s="208">
        <v>0.92179999999999995</v>
      </c>
      <c r="H17" s="209">
        <v>179</v>
      </c>
      <c r="I17" s="209">
        <v>165</v>
      </c>
      <c r="J17" s="209">
        <v>117</v>
      </c>
      <c r="K17" s="206" t="s">
        <v>281</v>
      </c>
      <c r="L17" s="210">
        <v>45980</v>
      </c>
      <c r="M17" s="209">
        <v>0</v>
      </c>
      <c r="N17" s="209">
        <v>4</v>
      </c>
      <c r="O17" s="209">
        <v>24</v>
      </c>
      <c r="P17" s="206" t="s">
        <v>95</v>
      </c>
      <c r="Q17" s="202"/>
      <c r="R17" s="202"/>
      <c r="S17" s="202"/>
      <c r="T17" s="202"/>
      <c r="U17" s="202"/>
      <c r="V17" s="202"/>
      <c r="W17" s="202"/>
      <c r="X17" s="202"/>
      <c r="Y17" s="202"/>
      <c r="Z17" s="209" t="s">
        <v>150</v>
      </c>
      <c r="AA17" s="209" t="s">
        <v>380</v>
      </c>
      <c r="AB17" s="202"/>
      <c r="AC17" s="209" t="s">
        <v>239</v>
      </c>
      <c r="AD17" s="209" t="s">
        <v>288</v>
      </c>
      <c r="AE17" s="209" t="s">
        <v>374</v>
      </c>
      <c r="AF17" s="209" t="s">
        <v>381</v>
      </c>
      <c r="AG17" s="202"/>
      <c r="AH17" s="202"/>
      <c r="AI17" s="209" t="s">
        <v>375</v>
      </c>
      <c r="AJ17" s="202"/>
    </row>
    <row r="18" spans="1:36" x14ac:dyDescent="0.3">
      <c r="A18" s="204" t="s">
        <v>366</v>
      </c>
      <c r="B18" s="205">
        <v>45986</v>
      </c>
      <c r="C18" s="206" t="s">
        <v>149</v>
      </c>
      <c r="D18" s="207" t="s">
        <v>382</v>
      </c>
      <c r="E18" s="206" t="s">
        <v>1</v>
      </c>
      <c r="F18" s="206" t="s">
        <v>280</v>
      </c>
      <c r="G18" s="208">
        <v>0.68159999999999998</v>
      </c>
      <c r="H18" s="209">
        <v>179</v>
      </c>
      <c r="I18" s="209">
        <v>122</v>
      </c>
      <c r="J18" s="209">
        <v>88</v>
      </c>
      <c r="K18" s="206" t="s">
        <v>281</v>
      </c>
      <c r="L18" s="210">
        <v>45980</v>
      </c>
      <c r="M18" s="209">
        <v>0</v>
      </c>
      <c r="N18" s="209">
        <v>2</v>
      </c>
      <c r="O18" s="209">
        <v>24</v>
      </c>
      <c r="P18" s="206" t="s">
        <v>237</v>
      </c>
      <c r="Q18" s="202"/>
      <c r="R18" s="202"/>
      <c r="S18" s="202"/>
      <c r="T18" s="202"/>
      <c r="U18" s="202"/>
      <c r="V18" s="202"/>
      <c r="W18" s="202"/>
      <c r="X18" s="202"/>
      <c r="Y18" s="202"/>
      <c r="Z18" s="209" t="s">
        <v>344</v>
      </c>
      <c r="AA18" s="202"/>
      <c r="AB18" s="202"/>
      <c r="AC18" s="209" t="s">
        <v>383</v>
      </c>
      <c r="AD18" s="209" t="s">
        <v>305</v>
      </c>
      <c r="AE18" s="209" t="s">
        <v>348</v>
      </c>
      <c r="AF18" s="209" t="s">
        <v>364</v>
      </c>
      <c r="AG18" s="202"/>
      <c r="AH18" s="202"/>
      <c r="AI18" s="209" t="s">
        <v>384</v>
      </c>
      <c r="AJ18" s="202"/>
    </row>
    <row r="19" spans="1:36" x14ac:dyDescent="0.3">
      <c r="A19" s="204" t="s">
        <v>366</v>
      </c>
      <c r="B19" s="205">
        <v>45986</v>
      </c>
      <c r="C19" s="206" t="s">
        <v>97</v>
      </c>
      <c r="D19" s="207" t="s">
        <v>385</v>
      </c>
      <c r="E19" s="206" t="s">
        <v>1</v>
      </c>
      <c r="F19" s="206" t="s">
        <v>280</v>
      </c>
      <c r="G19" s="208">
        <v>0.55869999999999997</v>
      </c>
      <c r="H19" s="209">
        <v>179</v>
      </c>
      <c r="I19" s="209">
        <v>100</v>
      </c>
      <c r="J19" s="209">
        <v>46</v>
      </c>
      <c r="K19" s="206" t="s">
        <v>281</v>
      </c>
      <c r="L19" s="210">
        <v>45980</v>
      </c>
      <c r="M19" s="209">
        <v>0</v>
      </c>
      <c r="N19" s="209">
        <v>7</v>
      </c>
      <c r="O19" s="209">
        <v>31</v>
      </c>
      <c r="P19" s="206" t="s">
        <v>233</v>
      </c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9" t="s">
        <v>369</v>
      </c>
      <c r="AE19" s="209" t="s">
        <v>374</v>
      </c>
      <c r="AF19" s="209" t="s">
        <v>370</v>
      </c>
      <c r="AG19" s="202"/>
      <c r="AH19" s="202"/>
      <c r="AI19" s="209" t="s">
        <v>386</v>
      </c>
      <c r="AJ19" s="202"/>
    </row>
    <row r="20" spans="1:36" ht="21" x14ac:dyDescent="0.3">
      <c r="A20" s="211" t="s">
        <v>565</v>
      </c>
      <c r="B20" s="212"/>
      <c r="C20" s="211">
        <f>SUBTOTAL(103,JED_CAI_LF_LEGACY[Flt])</f>
        <v>18</v>
      </c>
      <c r="D20" s="211"/>
      <c r="E20" s="211">
        <f>SUBTOTAL(103,JED_CAI_LF_LEGACY[Brd-Off])</f>
        <v>18</v>
      </c>
      <c r="F20" s="211"/>
      <c r="G20" s="213">
        <f>SUBTOTAL(101,JED_CAI_LF_LEGACY[LF%])</f>
        <v>0.78697777777777767</v>
      </c>
      <c r="H20" s="214">
        <f>SUBTOTAL(109,JED_CAI_LF_LEGACY[CAP])</f>
        <v>3211</v>
      </c>
      <c r="I20" s="214">
        <f>SUBTOTAL(109,JED_CAI_LF_LEGACY[BKG(Y)])</f>
        <v>2526</v>
      </c>
      <c r="J20" s="214">
        <f>SUBTOTAL(109,JED_CAI_LF_LEGACY[GRP(Y)])</f>
        <v>1392</v>
      </c>
      <c r="K20" s="211"/>
      <c r="L20" s="212"/>
      <c r="M20" s="214">
        <f>SUBTOTAL(109,JED_CAI_LF_LEGACY[TO-DAY])</f>
        <v>1</v>
      </c>
      <c r="N20" s="214">
        <f>SUBTOTAL(109,JED_CAI_LF_LEGACY[Y-DAY])</f>
        <v>74</v>
      </c>
      <c r="O20" s="214">
        <f>SUBTOTAL(109,JED_CAI_LF_LEGACY[WEEKLY])</f>
        <v>446</v>
      </c>
      <c r="P20" s="215"/>
      <c r="Q20" s="211">
        <f>SUBTOTAL(109,JED_CAI_LF_LEGACY[Y])</f>
        <v>0</v>
      </c>
      <c r="R20" s="211">
        <f>SUBTOTAL(109,JED_CAI_LF_LEGACY[B])</f>
        <v>0</v>
      </c>
      <c r="S20" s="211">
        <f>SUBTOTAL(109,JED_CAI_LF_LEGACY[M])</f>
        <v>0</v>
      </c>
      <c r="T20" s="211">
        <f>SUBTOTAL(109,JED_CAI_LF_LEGACY[H])</f>
        <v>0</v>
      </c>
      <c r="U20" s="211">
        <f>SUBTOTAL(109,JED_CAI_LF_LEGACY[Q])</f>
        <v>0</v>
      </c>
      <c r="V20" s="211">
        <f>SUBTOTAL(109,JED_CAI_LF_LEGACY[K])</f>
        <v>0</v>
      </c>
      <c r="W20" s="211">
        <f>SUBTOTAL(109,JED_CAI_LF_LEGACY[V])</f>
        <v>0</v>
      </c>
      <c r="X20" s="211">
        <f>SUBTOTAL(109,JED_CAI_LF_LEGACY[L])</f>
        <v>0</v>
      </c>
      <c r="Y20" s="211">
        <f>SUBTOTAL(109,JED_CAI_LF_LEGACY[G])</f>
        <v>0</v>
      </c>
      <c r="Z20" s="214">
        <f>SUBTOTAL(109,JED_CAI_LF_LEGACY[S])</f>
        <v>0</v>
      </c>
      <c r="AA20" s="211">
        <f>SUBTOTAL(109,JED_CAI_LF_LEGACY[W])</f>
        <v>0</v>
      </c>
      <c r="AB20" s="211">
        <f>SUBTOTAL(109,JED_CAI_LF_LEGACY[T])</f>
        <v>0</v>
      </c>
      <c r="AC20" s="214">
        <f>SUBTOTAL(109,JED_CAI_LF_LEGACY[X])</f>
        <v>0</v>
      </c>
      <c r="AD20" s="214">
        <f>SUBTOTAL(109,JED_CAI_LF_LEGACY[U])</f>
        <v>0</v>
      </c>
      <c r="AE20" s="214">
        <f>SUBTOTAL(109,JED_CAI_LF_LEGACY[O])</f>
        <v>0</v>
      </c>
      <c r="AF20" s="214">
        <f>SUBTOTAL(109,JED_CAI_LF_LEGACY[I])</f>
        <v>0</v>
      </c>
      <c r="AG20" s="211">
        <f>SUBTOTAL(109,JED_CAI_LF_LEGACY[E])</f>
        <v>0</v>
      </c>
      <c r="AH20" s="211">
        <f>SUBTOTAL(109,JED_CAI_LF_LEGACY[A])</f>
        <v>0</v>
      </c>
      <c r="AI20" s="214">
        <f>SUBTOTAL(109,JED_CAI_LF_LEGACY[P])</f>
        <v>0</v>
      </c>
      <c r="AJ20" s="211">
        <f>SUBTOTAL(103,JED_CAI_LF_LEGACY[N])</f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5" t="s">
        <v>387</v>
      </c>
      <c r="B1" s="126" t="s">
        <v>8</v>
      </c>
      <c r="C1" s="126" t="s">
        <v>9</v>
      </c>
      <c r="D1" s="126" t="s">
        <v>388</v>
      </c>
      <c r="E1" s="126" t="s">
        <v>10</v>
      </c>
      <c r="F1" s="126" t="s">
        <v>11</v>
      </c>
      <c r="G1" s="126" t="s">
        <v>12</v>
      </c>
      <c r="H1" s="127" t="s">
        <v>13</v>
      </c>
    </row>
    <row r="2" spans="1:8" ht="19.8" customHeight="1" x14ac:dyDescent="0.3">
      <c r="A2" s="128" t="s">
        <v>389</v>
      </c>
      <c r="B2" s="129" t="s">
        <v>26</v>
      </c>
      <c r="C2" s="130" t="s">
        <v>27</v>
      </c>
      <c r="D2" s="129" t="s">
        <v>1</v>
      </c>
      <c r="E2" s="129" t="s">
        <v>390</v>
      </c>
      <c r="F2" s="129" t="s">
        <v>28</v>
      </c>
      <c r="G2" s="131">
        <v>1</v>
      </c>
      <c r="H2" s="132">
        <v>639</v>
      </c>
    </row>
    <row r="3" spans="1:8" ht="19.8" customHeight="1" x14ac:dyDescent="0.3">
      <c r="A3" s="128" t="s">
        <v>389</v>
      </c>
      <c r="B3" s="129" t="s">
        <v>26</v>
      </c>
      <c r="C3" s="130" t="s">
        <v>36</v>
      </c>
      <c r="D3" s="129" t="s">
        <v>1</v>
      </c>
      <c r="E3" s="129" t="s">
        <v>391</v>
      </c>
      <c r="F3" s="129" t="s">
        <v>28</v>
      </c>
      <c r="G3" s="131">
        <v>18</v>
      </c>
      <c r="H3" s="132">
        <v>639</v>
      </c>
    </row>
    <row r="4" spans="1:8" ht="19.8" customHeight="1" x14ac:dyDescent="0.3">
      <c r="A4" s="128" t="s">
        <v>389</v>
      </c>
      <c r="B4" s="129" t="s">
        <v>26</v>
      </c>
      <c r="C4" s="130" t="s">
        <v>39</v>
      </c>
      <c r="D4" s="129" t="s">
        <v>1</v>
      </c>
      <c r="E4" s="129" t="s">
        <v>392</v>
      </c>
      <c r="F4" s="129" t="s">
        <v>28</v>
      </c>
      <c r="G4" s="131">
        <v>9</v>
      </c>
      <c r="H4" s="132">
        <v>639</v>
      </c>
    </row>
    <row r="5" spans="1:8" ht="19.8" customHeight="1" x14ac:dyDescent="0.3">
      <c r="A5" s="128" t="s">
        <v>389</v>
      </c>
      <c r="B5" s="129" t="s">
        <v>47</v>
      </c>
      <c r="C5" s="130" t="s">
        <v>48</v>
      </c>
      <c r="D5" s="129" t="s">
        <v>1</v>
      </c>
      <c r="E5" s="129" t="s">
        <v>393</v>
      </c>
      <c r="F5" s="129" t="s">
        <v>49</v>
      </c>
      <c r="G5" s="131">
        <v>9</v>
      </c>
      <c r="H5" s="132">
        <v>669</v>
      </c>
    </row>
    <row r="6" spans="1:8" ht="19.8" customHeight="1" x14ac:dyDescent="0.3">
      <c r="A6" s="128" t="s">
        <v>389</v>
      </c>
      <c r="B6" s="129" t="s">
        <v>47</v>
      </c>
      <c r="C6" s="130" t="s">
        <v>56</v>
      </c>
      <c r="D6" s="129" t="s">
        <v>1</v>
      </c>
      <c r="E6" s="129" t="s">
        <v>394</v>
      </c>
      <c r="F6" s="129" t="s">
        <v>49</v>
      </c>
      <c r="G6" s="131">
        <v>1</v>
      </c>
      <c r="H6" s="132">
        <v>669</v>
      </c>
    </row>
    <row r="7" spans="1:8" ht="19.8" customHeight="1" x14ac:dyDescent="0.3">
      <c r="A7" s="128" t="s">
        <v>389</v>
      </c>
      <c r="B7" s="129" t="s">
        <v>47</v>
      </c>
      <c r="C7" s="130" t="s">
        <v>58</v>
      </c>
      <c r="D7" s="129" t="s">
        <v>1</v>
      </c>
      <c r="E7" s="129" t="s">
        <v>395</v>
      </c>
      <c r="F7" s="129" t="s">
        <v>49</v>
      </c>
      <c r="G7" s="131">
        <v>9</v>
      </c>
      <c r="H7" s="132">
        <v>669</v>
      </c>
    </row>
    <row r="8" spans="1:8" ht="19.8" customHeight="1" x14ac:dyDescent="0.3">
      <c r="A8" s="128" t="s">
        <v>389</v>
      </c>
      <c r="B8" s="129" t="s">
        <v>47</v>
      </c>
      <c r="C8" s="130" t="s">
        <v>59</v>
      </c>
      <c r="D8" s="129" t="s">
        <v>1</v>
      </c>
      <c r="E8" s="129" t="s">
        <v>396</v>
      </c>
      <c r="F8" s="129" t="s">
        <v>49</v>
      </c>
      <c r="G8" s="131">
        <v>5</v>
      </c>
      <c r="H8" s="132">
        <v>669</v>
      </c>
    </row>
    <row r="9" spans="1:8" ht="19.8" customHeight="1" x14ac:dyDescent="0.3">
      <c r="A9" s="128" t="s">
        <v>389</v>
      </c>
      <c r="B9" s="129" t="s">
        <v>26</v>
      </c>
      <c r="C9" s="130" t="s">
        <v>42</v>
      </c>
      <c r="D9" s="129" t="s">
        <v>1</v>
      </c>
      <c r="E9" s="129" t="s">
        <v>397</v>
      </c>
      <c r="F9" s="129" t="s">
        <v>28</v>
      </c>
      <c r="G9" s="131">
        <v>12</v>
      </c>
      <c r="H9" s="132">
        <v>689</v>
      </c>
    </row>
    <row r="10" spans="1:8" ht="19.8" customHeight="1" x14ac:dyDescent="0.3">
      <c r="A10" s="128" t="s">
        <v>389</v>
      </c>
      <c r="B10" s="129" t="s">
        <v>72</v>
      </c>
      <c r="C10" s="130" t="s">
        <v>73</v>
      </c>
      <c r="D10" s="129" t="s">
        <v>1</v>
      </c>
      <c r="E10" s="129" t="s">
        <v>398</v>
      </c>
      <c r="F10" s="129" t="s">
        <v>74</v>
      </c>
      <c r="G10" s="131">
        <v>9</v>
      </c>
      <c r="H10" s="132">
        <v>701</v>
      </c>
    </row>
    <row r="11" spans="1:8" ht="19.8" customHeight="1" x14ac:dyDescent="0.3">
      <c r="A11" s="128" t="s">
        <v>389</v>
      </c>
      <c r="B11" s="129" t="s">
        <v>72</v>
      </c>
      <c r="C11" s="130" t="s">
        <v>77</v>
      </c>
      <c r="D11" s="129" t="s">
        <v>1</v>
      </c>
      <c r="E11" s="129" t="s">
        <v>399</v>
      </c>
      <c r="F11" s="129" t="s">
        <v>74</v>
      </c>
      <c r="G11" s="131">
        <v>9</v>
      </c>
      <c r="H11" s="132">
        <v>701</v>
      </c>
    </row>
    <row r="12" spans="1:8" ht="19.8" customHeight="1" x14ac:dyDescent="0.3">
      <c r="A12" s="128" t="s">
        <v>389</v>
      </c>
      <c r="B12" s="129" t="s">
        <v>47</v>
      </c>
      <c r="C12" s="130" t="s">
        <v>62</v>
      </c>
      <c r="D12" s="129" t="s">
        <v>1</v>
      </c>
      <c r="E12" s="129" t="s">
        <v>400</v>
      </c>
      <c r="F12" s="129" t="s">
        <v>49</v>
      </c>
      <c r="G12" s="131">
        <v>7</v>
      </c>
      <c r="H12" s="132">
        <v>719</v>
      </c>
    </row>
    <row r="13" spans="1:8" ht="19.8" customHeight="1" x14ac:dyDescent="0.3">
      <c r="A13" s="128" t="s">
        <v>389</v>
      </c>
      <c r="B13" s="129" t="s">
        <v>47</v>
      </c>
      <c r="C13" s="130" t="s">
        <v>68</v>
      </c>
      <c r="D13" s="129" t="s">
        <v>1</v>
      </c>
      <c r="E13" s="129" t="s">
        <v>401</v>
      </c>
      <c r="F13" s="129" t="s">
        <v>49</v>
      </c>
      <c r="G13" s="131">
        <v>4</v>
      </c>
      <c r="H13" s="132">
        <v>719</v>
      </c>
    </row>
    <row r="14" spans="1:8" ht="19.8" customHeight="1" x14ac:dyDescent="0.3">
      <c r="A14" s="128" t="s">
        <v>389</v>
      </c>
      <c r="B14" s="129" t="s">
        <v>47</v>
      </c>
      <c r="C14" s="130" t="s">
        <v>71</v>
      </c>
      <c r="D14" s="129" t="s">
        <v>1</v>
      </c>
      <c r="E14" s="129" t="s">
        <v>402</v>
      </c>
      <c r="F14" s="129" t="s">
        <v>49</v>
      </c>
      <c r="G14" s="131">
        <v>9</v>
      </c>
      <c r="H14" s="132">
        <v>719</v>
      </c>
    </row>
    <row r="15" spans="1:8" ht="19.8" customHeight="1" x14ac:dyDescent="0.3">
      <c r="A15" s="128" t="s">
        <v>389</v>
      </c>
      <c r="B15" s="129" t="s">
        <v>78</v>
      </c>
      <c r="C15" s="130" t="s">
        <v>79</v>
      </c>
      <c r="D15" s="129" t="s">
        <v>1</v>
      </c>
      <c r="E15" s="129" t="s">
        <v>403</v>
      </c>
      <c r="F15" s="129" t="s">
        <v>80</v>
      </c>
      <c r="G15" s="131">
        <v>1</v>
      </c>
      <c r="H15" s="132">
        <v>749</v>
      </c>
    </row>
    <row r="16" spans="1:8" ht="19.8" customHeight="1" x14ac:dyDescent="0.3">
      <c r="A16" s="128" t="s">
        <v>389</v>
      </c>
      <c r="B16" s="129" t="s">
        <v>47</v>
      </c>
      <c r="C16" s="130" t="s">
        <v>48</v>
      </c>
      <c r="D16" s="129" t="s">
        <v>1</v>
      </c>
      <c r="E16" s="129" t="s">
        <v>393</v>
      </c>
      <c r="F16" s="129" t="s">
        <v>52</v>
      </c>
      <c r="G16" s="131">
        <v>9</v>
      </c>
      <c r="H16" s="132">
        <v>769</v>
      </c>
    </row>
    <row r="17" spans="1:8" ht="19.8" customHeight="1" x14ac:dyDescent="0.3">
      <c r="A17" s="128" t="s">
        <v>389</v>
      </c>
      <c r="B17" s="129" t="s">
        <v>47</v>
      </c>
      <c r="C17" s="130" t="s">
        <v>56</v>
      </c>
      <c r="D17" s="129" t="s">
        <v>1</v>
      </c>
      <c r="E17" s="129" t="s">
        <v>394</v>
      </c>
      <c r="F17" s="129" t="s">
        <v>52</v>
      </c>
      <c r="G17" s="131">
        <v>1</v>
      </c>
      <c r="H17" s="132">
        <v>769</v>
      </c>
    </row>
    <row r="18" spans="1:8" ht="19.8" customHeight="1" x14ac:dyDescent="0.3">
      <c r="A18" s="128" t="s">
        <v>389</v>
      </c>
      <c r="B18" s="129" t="s">
        <v>47</v>
      </c>
      <c r="C18" s="130" t="s">
        <v>58</v>
      </c>
      <c r="D18" s="129" t="s">
        <v>1</v>
      </c>
      <c r="E18" s="129" t="s">
        <v>395</v>
      </c>
      <c r="F18" s="129" t="s">
        <v>52</v>
      </c>
      <c r="G18" s="131">
        <v>9</v>
      </c>
      <c r="H18" s="132">
        <v>769</v>
      </c>
    </row>
    <row r="19" spans="1:8" ht="19.8" customHeight="1" x14ac:dyDescent="0.3">
      <c r="A19" s="128" t="s">
        <v>389</v>
      </c>
      <c r="B19" s="129" t="s">
        <v>47</v>
      </c>
      <c r="C19" s="130" t="s">
        <v>59</v>
      </c>
      <c r="D19" s="129" t="s">
        <v>1</v>
      </c>
      <c r="E19" s="129" t="s">
        <v>396</v>
      </c>
      <c r="F19" s="129" t="s">
        <v>52</v>
      </c>
      <c r="G19" s="131">
        <v>5</v>
      </c>
      <c r="H19" s="132">
        <v>769</v>
      </c>
    </row>
    <row r="20" spans="1:8" ht="19.8" customHeight="1" x14ac:dyDescent="0.3">
      <c r="A20" s="128" t="s">
        <v>389</v>
      </c>
      <c r="B20" s="129" t="s">
        <v>26</v>
      </c>
      <c r="C20" s="130" t="s">
        <v>27</v>
      </c>
      <c r="D20" s="129" t="s">
        <v>1</v>
      </c>
      <c r="E20" s="129" t="s">
        <v>390</v>
      </c>
      <c r="F20" s="129" t="s">
        <v>31</v>
      </c>
      <c r="G20" s="131">
        <v>1</v>
      </c>
      <c r="H20" s="132">
        <v>789</v>
      </c>
    </row>
    <row r="21" spans="1:8" ht="19.8" customHeight="1" x14ac:dyDescent="0.3">
      <c r="A21" s="128" t="s">
        <v>389</v>
      </c>
      <c r="B21" s="129" t="s">
        <v>26</v>
      </c>
      <c r="C21" s="130" t="s">
        <v>36</v>
      </c>
      <c r="D21" s="129" t="s">
        <v>1</v>
      </c>
      <c r="E21" s="129" t="s">
        <v>391</v>
      </c>
      <c r="F21" s="129" t="s">
        <v>31</v>
      </c>
      <c r="G21" s="131">
        <v>18</v>
      </c>
      <c r="H21" s="132">
        <v>789</v>
      </c>
    </row>
    <row r="22" spans="1:8" ht="19.8" customHeight="1" x14ac:dyDescent="0.3">
      <c r="A22" s="128" t="s">
        <v>389</v>
      </c>
      <c r="B22" s="129" t="s">
        <v>26</v>
      </c>
      <c r="C22" s="130" t="s">
        <v>39</v>
      </c>
      <c r="D22" s="129" t="s">
        <v>1</v>
      </c>
      <c r="E22" s="129" t="s">
        <v>392</v>
      </c>
      <c r="F22" s="129" t="s">
        <v>31</v>
      </c>
      <c r="G22" s="131">
        <v>9</v>
      </c>
      <c r="H22" s="132">
        <v>789</v>
      </c>
    </row>
    <row r="23" spans="1:8" ht="19.8" customHeight="1" x14ac:dyDescent="0.3">
      <c r="A23" s="128" t="s">
        <v>389</v>
      </c>
      <c r="B23" s="129" t="s">
        <v>47</v>
      </c>
      <c r="C23" s="130" t="s">
        <v>62</v>
      </c>
      <c r="D23" s="129" t="s">
        <v>1</v>
      </c>
      <c r="E23" s="129" t="s">
        <v>400</v>
      </c>
      <c r="F23" s="129" t="s">
        <v>52</v>
      </c>
      <c r="G23" s="131">
        <v>7</v>
      </c>
      <c r="H23" s="132">
        <v>819</v>
      </c>
    </row>
    <row r="24" spans="1:8" ht="19.8" customHeight="1" x14ac:dyDescent="0.3">
      <c r="A24" s="128" t="s">
        <v>389</v>
      </c>
      <c r="B24" s="129" t="s">
        <v>47</v>
      </c>
      <c r="C24" s="130" t="s">
        <v>68</v>
      </c>
      <c r="D24" s="129" t="s">
        <v>1</v>
      </c>
      <c r="E24" s="129" t="s">
        <v>401</v>
      </c>
      <c r="F24" s="129" t="s">
        <v>52</v>
      </c>
      <c r="G24" s="131">
        <v>4</v>
      </c>
      <c r="H24" s="132">
        <v>819</v>
      </c>
    </row>
    <row r="25" spans="1:8" ht="19.8" customHeight="1" x14ac:dyDescent="0.3">
      <c r="A25" s="128" t="s">
        <v>389</v>
      </c>
      <c r="B25" s="129" t="s">
        <v>47</v>
      </c>
      <c r="C25" s="130" t="s">
        <v>71</v>
      </c>
      <c r="D25" s="129" t="s">
        <v>1</v>
      </c>
      <c r="E25" s="129" t="s">
        <v>402</v>
      </c>
      <c r="F25" s="129" t="s">
        <v>52</v>
      </c>
      <c r="G25" s="131">
        <v>9</v>
      </c>
      <c r="H25" s="132">
        <v>819</v>
      </c>
    </row>
    <row r="26" spans="1:8" ht="19.8" customHeight="1" x14ac:dyDescent="0.3">
      <c r="A26" s="128" t="s">
        <v>389</v>
      </c>
      <c r="B26" s="129" t="s">
        <v>82</v>
      </c>
      <c r="C26" s="130" t="s">
        <v>83</v>
      </c>
      <c r="D26" s="129" t="s">
        <v>1</v>
      </c>
      <c r="E26" s="129" t="s">
        <v>404</v>
      </c>
      <c r="F26" s="129" t="s">
        <v>80</v>
      </c>
      <c r="G26" s="131">
        <v>1</v>
      </c>
      <c r="H26" s="132">
        <v>835</v>
      </c>
    </row>
    <row r="27" spans="1:8" ht="19.8" customHeight="1" x14ac:dyDescent="0.3">
      <c r="A27" s="128" t="s">
        <v>389</v>
      </c>
      <c r="B27" s="129" t="s">
        <v>26</v>
      </c>
      <c r="C27" s="130" t="s">
        <v>42</v>
      </c>
      <c r="D27" s="129" t="s">
        <v>1</v>
      </c>
      <c r="E27" s="129" t="s">
        <v>397</v>
      </c>
      <c r="F27" s="129" t="s">
        <v>31</v>
      </c>
      <c r="G27" s="131">
        <v>12</v>
      </c>
      <c r="H27" s="132">
        <v>839</v>
      </c>
    </row>
    <row r="28" spans="1:8" ht="19.8" customHeight="1" x14ac:dyDescent="0.3">
      <c r="A28" s="128" t="s">
        <v>389</v>
      </c>
      <c r="B28" s="129" t="s">
        <v>47</v>
      </c>
      <c r="C28" s="130" t="s">
        <v>48</v>
      </c>
      <c r="D28" s="129" t="s">
        <v>1</v>
      </c>
      <c r="E28" s="129" t="s">
        <v>393</v>
      </c>
      <c r="F28" s="129" t="s">
        <v>54</v>
      </c>
      <c r="G28" s="131">
        <v>9</v>
      </c>
      <c r="H28" s="132">
        <v>859</v>
      </c>
    </row>
    <row r="29" spans="1:8" ht="19.8" customHeight="1" x14ac:dyDescent="0.3">
      <c r="A29" s="128" t="s">
        <v>389</v>
      </c>
      <c r="B29" s="129" t="s">
        <v>47</v>
      </c>
      <c r="C29" s="130" t="s">
        <v>56</v>
      </c>
      <c r="D29" s="129" t="s">
        <v>1</v>
      </c>
      <c r="E29" s="129" t="s">
        <v>394</v>
      </c>
      <c r="F29" s="129" t="s">
        <v>54</v>
      </c>
      <c r="G29" s="131">
        <v>1</v>
      </c>
      <c r="H29" s="132">
        <v>859</v>
      </c>
    </row>
    <row r="30" spans="1:8" ht="19.8" customHeight="1" x14ac:dyDescent="0.3">
      <c r="A30" s="128" t="s">
        <v>389</v>
      </c>
      <c r="B30" s="129" t="s">
        <v>47</v>
      </c>
      <c r="C30" s="130" t="s">
        <v>58</v>
      </c>
      <c r="D30" s="129" t="s">
        <v>1</v>
      </c>
      <c r="E30" s="129" t="s">
        <v>395</v>
      </c>
      <c r="F30" s="129" t="s">
        <v>54</v>
      </c>
      <c r="G30" s="131">
        <v>9</v>
      </c>
      <c r="H30" s="132">
        <v>859</v>
      </c>
    </row>
    <row r="31" spans="1:8" ht="19.8" customHeight="1" x14ac:dyDescent="0.3">
      <c r="A31" s="128" t="s">
        <v>389</v>
      </c>
      <c r="B31" s="129" t="s">
        <v>47</v>
      </c>
      <c r="C31" s="130" t="s">
        <v>59</v>
      </c>
      <c r="D31" s="129" t="s">
        <v>1</v>
      </c>
      <c r="E31" s="129" t="s">
        <v>396</v>
      </c>
      <c r="F31" s="129" t="s">
        <v>54</v>
      </c>
      <c r="G31" s="131">
        <v>5</v>
      </c>
      <c r="H31" s="132">
        <v>859</v>
      </c>
    </row>
    <row r="32" spans="1:8" ht="19.8" customHeight="1" x14ac:dyDescent="0.3">
      <c r="A32" s="128" t="s">
        <v>389</v>
      </c>
      <c r="B32" s="129" t="s">
        <v>47</v>
      </c>
      <c r="C32" s="130" t="s">
        <v>62</v>
      </c>
      <c r="D32" s="129" t="s">
        <v>1</v>
      </c>
      <c r="E32" s="129" t="s">
        <v>400</v>
      </c>
      <c r="F32" s="129" t="s">
        <v>54</v>
      </c>
      <c r="G32" s="131">
        <v>7</v>
      </c>
      <c r="H32" s="132">
        <v>909</v>
      </c>
    </row>
    <row r="33" spans="1:8" ht="19.8" customHeight="1" x14ac:dyDescent="0.3">
      <c r="A33" s="128" t="s">
        <v>389</v>
      </c>
      <c r="B33" s="129" t="s">
        <v>47</v>
      </c>
      <c r="C33" s="130" t="s">
        <v>68</v>
      </c>
      <c r="D33" s="129" t="s">
        <v>1</v>
      </c>
      <c r="E33" s="129" t="s">
        <v>401</v>
      </c>
      <c r="F33" s="129" t="s">
        <v>54</v>
      </c>
      <c r="G33" s="131">
        <v>4</v>
      </c>
      <c r="H33" s="132">
        <v>909</v>
      </c>
    </row>
    <row r="34" spans="1:8" ht="19.8" customHeight="1" x14ac:dyDescent="0.3">
      <c r="A34" s="128" t="s">
        <v>389</v>
      </c>
      <c r="B34" s="129" t="s">
        <v>47</v>
      </c>
      <c r="C34" s="130" t="s">
        <v>71</v>
      </c>
      <c r="D34" s="129" t="s">
        <v>1</v>
      </c>
      <c r="E34" s="129" t="s">
        <v>402</v>
      </c>
      <c r="F34" s="129" t="s">
        <v>54</v>
      </c>
      <c r="G34" s="131">
        <v>9</v>
      </c>
      <c r="H34" s="132">
        <v>909</v>
      </c>
    </row>
    <row r="35" spans="1:8" ht="19.8" customHeight="1" x14ac:dyDescent="0.3">
      <c r="A35" s="128" t="s">
        <v>389</v>
      </c>
      <c r="B35" s="129" t="s">
        <v>72</v>
      </c>
      <c r="C35" s="130" t="s">
        <v>73</v>
      </c>
      <c r="D35" s="129" t="s">
        <v>1</v>
      </c>
      <c r="E35" s="129" t="s">
        <v>398</v>
      </c>
      <c r="F35" s="129" t="s">
        <v>34</v>
      </c>
      <c r="G35" s="131">
        <v>9</v>
      </c>
      <c r="H35" s="132">
        <v>927</v>
      </c>
    </row>
    <row r="36" spans="1:8" ht="19.8" customHeight="1" x14ac:dyDescent="0.3">
      <c r="A36" s="128" t="s">
        <v>389</v>
      </c>
      <c r="B36" s="129" t="s">
        <v>72</v>
      </c>
      <c r="C36" s="130" t="s">
        <v>77</v>
      </c>
      <c r="D36" s="129" t="s">
        <v>1</v>
      </c>
      <c r="E36" s="129" t="s">
        <v>399</v>
      </c>
      <c r="F36" s="129" t="s">
        <v>34</v>
      </c>
      <c r="G36" s="131">
        <v>9</v>
      </c>
      <c r="H36" s="132">
        <v>927</v>
      </c>
    </row>
    <row r="37" spans="1:8" ht="19.8" customHeight="1" x14ac:dyDescent="0.3">
      <c r="A37" s="133" t="s">
        <v>389</v>
      </c>
      <c r="B37" s="134" t="s">
        <v>85</v>
      </c>
      <c r="C37" s="135" t="s">
        <v>86</v>
      </c>
      <c r="D37" s="134" t="s">
        <v>1</v>
      </c>
      <c r="E37" s="134" t="s">
        <v>298</v>
      </c>
      <c r="F37" s="134" t="s">
        <v>87</v>
      </c>
      <c r="G37" s="136">
        <v>1</v>
      </c>
      <c r="H37" s="137" t="s">
        <v>88</v>
      </c>
    </row>
    <row r="38" spans="1:8" ht="19.8" customHeight="1" x14ac:dyDescent="0.3">
      <c r="A38" s="138">
        <v>45983</v>
      </c>
      <c r="B38" s="129" t="s">
        <v>99</v>
      </c>
      <c r="C38" s="130" t="s">
        <v>100</v>
      </c>
      <c r="D38" s="129" t="s">
        <v>1</v>
      </c>
      <c r="E38" s="139">
        <v>1.229166666666667</v>
      </c>
      <c r="F38" s="129" t="s">
        <v>101</v>
      </c>
      <c r="G38" s="131">
        <v>9</v>
      </c>
      <c r="H38" s="140" t="s">
        <v>103</v>
      </c>
    </row>
    <row r="39" spans="1:8" ht="19.8" customHeight="1" x14ac:dyDescent="0.3">
      <c r="A39" s="138">
        <v>45983</v>
      </c>
      <c r="B39" s="129" t="s">
        <v>26</v>
      </c>
      <c r="C39" s="130" t="s">
        <v>27</v>
      </c>
      <c r="D39" s="129" t="s">
        <v>1</v>
      </c>
      <c r="E39" s="139">
        <v>1.302083333333333</v>
      </c>
      <c r="F39" s="129" t="s">
        <v>34</v>
      </c>
      <c r="G39" s="131">
        <v>1</v>
      </c>
      <c r="H39" s="140" t="s">
        <v>35</v>
      </c>
    </row>
    <row r="40" spans="1:8" ht="19.8" customHeight="1" x14ac:dyDescent="0.3">
      <c r="A40" s="138">
        <v>45983</v>
      </c>
      <c r="B40" s="129" t="s">
        <v>26</v>
      </c>
      <c r="C40" s="130" t="s">
        <v>36</v>
      </c>
      <c r="D40" s="129" t="s">
        <v>1</v>
      </c>
      <c r="E40" s="139">
        <v>1.1284722222222221</v>
      </c>
      <c r="F40" s="129" t="s">
        <v>34</v>
      </c>
      <c r="G40" s="131">
        <v>18</v>
      </c>
      <c r="H40" s="140" t="s">
        <v>35</v>
      </c>
    </row>
    <row r="41" spans="1:8" ht="19.8" customHeight="1" x14ac:dyDescent="0.3">
      <c r="A41" s="138">
        <v>45983</v>
      </c>
      <c r="B41" s="129" t="s">
        <v>26</v>
      </c>
      <c r="C41" s="130" t="s">
        <v>42</v>
      </c>
      <c r="D41" s="129" t="s">
        <v>1</v>
      </c>
      <c r="E41" s="139">
        <v>1.788194444444444</v>
      </c>
      <c r="F41" s="129" t="s">
        <v>34</v>
      </c>
      <c r="G41" s="131">
        <v>12</v>
      </c>
      <c r="H41" s="140" t="s">
        <v>35</v>
      </c>
    </row>
    <row r="42" spans="1:8" ht="19.8" customHeight="1" x14ac:dyDescent="0.3">
      <c r="A42" s="138">
        <v>45983</v>
      </c>
      <c r="B42" s="129" t="s">
        <v>26</v>
      </c>
      <c r="C42" s="130" t="s">
        <v>39</v>
      </c>
      <c r="D42" s="129" t="s">
        <v>1</v>
      </c>
      <c r="E42" s="139">
        <v>1.8888888888888891</v>
      </c>
      <c r="F42" s="129" t="s">
        <v>34</v>
      </c>
      <c r="G42" s="131">
        <v>9</v>
      </c>
      <c r="H42" s="140" t="s">
        <v>35</v>
      </c>
    </row>
    <row r="43" spans="1:8" ht="19.8" customHeight="1" x14ac:dyDescent="0.3">
      <c r="A43" s="138">
        <v>45983</v>
      </c>
      <c r="B43" s="129" t="s">
        <v>115</v>
      </c>
      <c r="C43" s="130" t="s">
        <v>116</v>
      </c>
      <c r="D43" s="129" t="s">
        <v>1</v>
      </c>
      <c r="E43" s="139">
        <v>1.3784722222222221</v>
      </c>
      <c r="F43" s="129" t="s">
        <v>117</v>
      </c>
      <c r="G43" s="131">
        <v>9</v>
      </c>
      <c r="H43" s="140" t="s">
        <v>118</v>
      </c>
    </row>
    <row r="44" spans="1:8" ht="19.8" customHeight="1" x14ac:dyDescent="0.3">
      <c r="A44" s="138">
        <v>45983</v>
      </c>
      <c r="B44" s="129" t="s">
        <v>115</v>
      </c>
      <c r="C44" s="130" t="s">
        <v>122</v>
      </c>
      <c r="D44" s="129" t="s">
        <v>1</v>
      </c>
      <c r="E44" s="139">
        <v>1.71875</v>
      </c>
      <c r="F44" s="129" t="s">
        <v>117</v>
      </c>
      <c r="G44" s="131">
        <v>9</v>
      </c>
      <c r="H44" s="140" t="s">
        <v>118</v>
      </c>
    </row>
    <row r="45" spans="1:8" ht="19.8" customHeight="1" x14ac:dyDescent="0.3">
      <c r="A45" s="138">
        <v>45983</v>
      </c>
      <c r="B45" s="129" t="s">
        <v>115</v>
      </c>
      <c r="C45" s="130" t="s">
        <v>123</v>
      </c>
      <c r="D45" s="129" t="s">
        <v>1</v>
      </c>
      <c r="E45" s="139">
        <v>1.006944444444444</v>
      </c>
      <c r="F45" s="129" t="s">
        <v>117</v>
      </c>
      <c r="G45" s="131">
        <v>9</v>
      </c>
      <c r="H45" s="140" t="s">
        <v>118</v>
      </c>
    </row>
    <row r="46" spans="1:8" ht="19.8" customHeight="1" x14ac:dyDescent="0.3">
      <c r="A46" s="138">
        <v>45983</v>
      </c>
      <c r="B46" s="129" t="s">
        <v>115</v>
      </c>
      <c r="C46" s="130" t="s">
        <v>124</v>
      </c>
      <c r="D46" s="129" t="s">
        <v>1</v>
      </c>
      <c r="E46" s="139">
        <v>1.1423611111111109</v>
      </c>
      <c r="F46" s="129" t="s">
        <v>117</v>
      </c>
      <c r="G46" s="131">
        <v>9</v>
      </c>
      <c r="H46" s="140" t="s">
        <v>118</v>
      </c>
    </row>
    <row r="47" spans="1:8" ht="19.8" customHeight="1" x14ac:dyDescent="0.3">
      <c r="A47" s="138">
        <v>45983</v>
      </c>
      <c r="B47" s="129" t="s">
        <v>115</v>
      </c>
      <c r="C47" s="130" t="s">
        <v>125</v>
      </c>
      <c r="D47" s="129" t="s">
        <v>1</v>
      </c>
      <c r="E47" s="139">
        <v>1.930555555555556</v>
      </c>
      <c r="F47" s="129" t="s">
        <v>117</v>
      </c>
      <c r="G47" s="131">
        <v>9</v>
      </c>
      <c r="H47" s="140" t="s">
        <v>118</v>
      </c>
    </row>
    <row r="48" spans="1:8" ht="19.8" customHeight="1" x14ac:dyDescent="0.3">
      <c r="A48" s="138">
        <v>45983</v>
      </c>
      <c r="B48" s="129" t="s">
        <v>99</v>
      </c>
      <c r="C48" s="130" t="s">
        <v>104</v>
      </c>
      <c r="D48" s="129" t="s">
        <v>1</v>
      </c>
      <c r="E48" s="139">
        <v>1.2777777777777779</v>
      </c>
      <c r="F48" s="129" t="s">
        <v>101</v>
      </c>
      <c r="G48" s="131">
        <v>9</v>
      </c>
      <c r="H48" s="140" t="s">
        <v>106</v>
      </c>
    </row>
    <row r="49" spans="1:8" ht="19.8" customHeight="1" x14ac:dyDescent="0.3">
      <c r="A49" s="138">
        <v>45983</v>
      </c>
      <c r="B49" s="129" t="s">
        <v>99</v>
      </c>
      <c r="C49" s="130" t="s">
        <v>107</v>
      </c>
      <c r="D49" s="129" t="s">
        <v>1</v>
      </c>
      <c r="E49" s="139">
        <v>1.0138888888888891</v>
      </c>
      <c r="F49" s="129" t="s">
        <v>101</v>
      </c>
      <c r="G49" s="131">
        <v>9</v>
      </c>
      <c r="H49" s="140" t="s">
        <v>108</v>
      </c>
    </row>
    <row r="50" spans="1:8" ht="19.8" customHeight="1" x14ac:dyDescent="0.3">
      <c r="A50" s="138">
        <v>45983</v>
      </c>
      <c r="B50" s="129" t="s">
        <v>115</v>
      </c>
      <c r="C50" s="130" t="s">
        <v>116</v>
      </c>
      <c r="D50" s="129" t="s">
        <v>1</v>
      </c>
      <c r="E50" s="139">
        <v>1.3784722222222221</v>
      </c>
      <c r="F50" s="129" t="s">
        <v>119</v>
      </c>
      <c r="G50" s="131">
        <v>9</v>
      </c>
      <c r="H50" s="140" t="s">
        <v>121</v>
      </c>
    </row>
    <row r="51" spans="1:8" ht="19.8" customHeight="1" x14ac:dyDescent="0.3">
      <c r="A51" s="138">
        <v>45983</v>
      </c>
      <c r="B51" s="129" t="s">
        <v>115</v>
      </c>
      <c r="C51" s="130" t="s">
        <v>122</v>
      </c>
      <c r="D51" s="129" t="s">
        <v>1</v>
      </c>
      <c r="E51" s="139">
        <v>1.71875</v>
      </c>
      <c r="F51" s="129" t="s">
        <v>119</v>
      </c>
      <c r="G51" s="131">
        <v>9</v>
      </c>
      <c r="H51" s="140" t="s">
        <v>121</v>
      </c>
    </row>
    <row r="52" spans="1:8" ht="19.8" customHeight="1" x14ac:dyDescent="0.3">
      <c r="A52" s="138">
        <v>45983</v>
      </c>
      <c r="B52" s="129" t="s">
        <v>115</v>
      </c>
      <c r="C52" s="130" t="s">
        <v>123</v>
      </c>
      <c r="D52" s="129" t="s">
        <v>1</v>
      </c>
      <c r="E52" s="139">
        <v>1.006944444444444</v>
      </c>
      <c r="F52" s="129" t="s">
        <v>119</v>
      </c>
      <c r="G52" s="131">
        <v>9</v>
      </c>
      <c r="H52" s="140" t="s">
        <v>121</v>
      </c>
    </row>
    <row r="53" spans="1:8" ht="19.8" customHeight="1" x14ac:dyDescent="0.3">
      <c r="A53" s="138">
        <v>45983</v>
      </c>
      <c r="B53" s="129" t="s">
        <v>115</v>
      </c>
      <c r="C53" s="130" t="s">
        <v>124</v>
      </c>
      <c r="D53" s="129" t="s">
        <v>1</v>
      </c>
      <c r="E53" s="139">
        <v>1.1423611111111109</v>
      </c>
      <c r="F53" s="129" t="s">
        <v>119</v>
      </c>
      <c r="G53" s="131">
        <v>9</v>
      </c>
      <c r="H53" s="140" t="s">
        <v>121</v>
      </c>
    </row>
    <row r="54" spans="1:8" ht="19.8" customHeight="1" x14ac:dyDescent="0.3">
      <c r="A54" s="138">
        <v>45983</v>
      </c>
      <c r="B54" s="129" t="s">
        <v>115</v>
      </c>
      <c r="C54" s="130" t="s">
        <v>125</v>
      </c>
      <c r="D54" s="129" t="s">
        <v>1</v>
      </c>
      <c r="E54" s="139">
        <v>1.930555555555556</v>
      </c>
      <c r="F54" s="129" t="s">
        <v>119</v>
      </c>
      <c r="G54" s="131">
        <v>9</v>
      </c>
      <c r="H54" s="140" t="s">
        <v>121</v>
      </c>
    </row>
    <row r="55" spans="1:8" ht="19.8" customHeight="1" x14ac:dyDescent="0.3">
      <c r="A55" s="138">
        <v>45983</v>
      </c>
      <c r="B55" s="129" t="s">
        <v>115</v>
      </c>
      <c r="C55" s="130" t="s">
        <v>126</v>
      </c>
      <c r="D55" s="129" t="s">
        <v>1</v>
      </c>
      <c r="E55" s="139">
        <v>1.243055555555556</v>
      </c>
      <c r="F55" s="129" t="s">
        <v>117</v>
      </c>
      <c r="G55" s="131">
        <v>9</v>
      </c>
      <c r="H55" s="140" t="s">
        <v>127</v>
      </c>
    </row>
    <row r="56" spans="1:8" ht="19.8" customHeight="1" x14ac:dyDescent="0.3">
      <c r="A56" s="138">
        <v>45983</v>
      </c>
      <c r="B56" s="129" t="s">
        <v>115</v>
      </c>
      <c r="C56" s="130" t="s">
        <v>126</v>
      </c>
      <c r="D56" s="129" t="s">
        <v>1</v>
      </c>
      <c r="E56" s="139">
        <v>1.243055555555556</v>
      </c>
      <c r="F56" s="129" t="s">
        <v>119</v>
      </c>
      <c r="G56" s="131">
        <v>9</v>
      </c>
      <c r="H56" s="140" t="s">
        <v>128</v>
      </c>
    </row>
    <row r="57" spans="1:8" ht="19.8" customHeight="1" x14ac:dyDescent="0.3">
      <c r="A57" s="138">
        <v>45983</v>
      </c>
      <c r="B57" s="129" t="s">
        <v>115</v>
      </c>
      <c r="C57" s="130" t="s">
        <v>129</v>
      </c>
      <c r="D57" s="129" t="s">
        <v>1</v>
      </c>
      <c r="E57" s="139">
        <v>1.302083333333333</v>
      </c>
      <c r="F57" s="129" t="s">
        <v>119</v>
      </c>
      <c r="G57" s="131">
        <v>4</v>
      </c>
      <c r="H57" s="140" t="s">
        <v>130</v>
      </c>
    </row>
    <row r="58" spans="1:8" ht="19.8" customHeight="1" x14ac:dyDescent="0.3">
      <c r="A58" s="138">
        <v>45983</v>
      </c>
      <c r="B58" s="129" t="s">
        <v>115</v>
      </c>
      <c r="C58" s="130" t="s">
        <v>131</v>
      </c>
      <c r="D58" s="129" t="s">
        <v>1</v>
      </c>
      <c r="E58" s="139">
        <v>1.1284722222222221</v>
      </c>
      <c r="F58" s="129" t="s">
        <v>119</v>
      </c>
      <c r="G58" s="131">
        <v>4</v>
      </c>
      <c r="H58" s="140" t="s">
        <v>130</v>
      </c>
    </row>
    <row r="59" spans="1:8" ht="19.8" customHeight="1" x14ac:dyDescent="0.3">
      <c r="A59" s="138">
        <v>45983</v>
      </c>
      <c r="B59" s="129" t="s">
        <v>115</v>
      </c>
      <c r="C59" s="130" t="s">
        <v>132</v>
      </c>
      <c r="D59" s="129" t="s">
        <v>1</v>
      </c>
      <c r="E59" s="139">
        <v>1.6111111111111109</v>
      </c>
      <c r="F59" s="129" t="s">
        <v>117</v>
      </c>
      <c r="G59" s="131">
        <v>9</v>
      </c>
      <c r="H59" s="140" t="s">
        <v>133</v>
      </c>
    </row>
    <row r="60" spans="1:8" ht="19.8" customHeight="1" x14ac:dyDescent="0.3">
      <c r="A60" s="138">
        <v>45983</v>
      </c>
      <c r="B60" s="129" t="s">
        <v>115</v>
      </c>
      <c r="C60" s="130" t="s">
        <v>135</v>
      </c>
      <c r="D60" s="129" t="s">
        <v>1</v>
      </c>
      <c r="E60" s="139">
        <v>1.8298611111111109</v>
      </c>
      <c r="F60" s="129" t="s">
        <v>117</v>
      </c>
      <c r="G60" s="131">
        <v>9</v>
      </c>
      <c r="H60" s="140" t="s">
        <v>133</v>
      </c>
    </row>
    <row r="61" spans="1:8" ht="19.8" customHeight="1" x14ac:dyDescent="0.3">
      <c r="A61" s="138">
        <v>45983</v>
      </c>
      <c r="B61" s="129" t="s">
        <v>99</v>
      </c>
      <c r="C61" s="130" t="s">
        <v>109</v>
      </c>
      <c r="D61" s="129" t="s">
        <v>1</v>
      </c>
      <c r="E61" s="139">
        <v>1.145833333333333</v>
      </c>
      <c r="F61" s="129" t="s">
        <v>101</v>
      </c>
      <c r="G61" s="131">
        <v>2</v>
      </c>
      <c r="H61" s="140" t="s">
        <v>111</v>
      </c>
    </row>
    <row r="62" spans="1:8" ht="19.8" customHeight="1" x14ac:dyDescent="0.3">
      <c r="A62" s="138">
        <v>45983</v>
      </c>
      <c r="B62" s="129" t="s">
        <v>99</v>
      </c>
      <c r="C62" s="130" t="s">
        <v>112</v>
      </c>
      <c r="D62" s="129" t="s">
        <v>1</v>
      </c>
      <c r="E62" s="139">
        <v>1.541666666666667</v>
      </c>
      <c r="F62" s="129" t="s">
        <v>101</v>
      </c>
      <c r="G62" s="131">
        <v>5</v>
      </c>
      <c r="H62" s="140" t="s">
        <v>111</v>
      </c>
    </row>
    <row r="63" spans="1:8" ht="19.8" customHeight="1" x14ac:dyDescent="0.3">
      <c r="A63" s="138">
        <v>45983</v>
      </c>
      <c r="B63" s="129" t="s">
        <v>99</v>
      </c>
      <c r="C63" s="130" t="s">
        <v>113</v>
      </c>
      <c r="D63" s="129" t="s">
        <v>1</v>
      </c>
      <c r="E63" s="139">
        <v>1.770833333333333</v>
      </c>
      <c r="F63" s="129" t="s">
        <v>101</v>
      </c>
      <c r="G63" s="131">
        <v>3</v>
      </c>
      <c r="H63" s="140" t="s">
        <v>111</v>
      </c>
    </row>
    <row r="64" spans="1:8" ht="19.8" customHeight="1" x14ac:dyDescent="0.3">
      <c r="A64" s="138">
        <v>45983</v>
      </c>
      <c r="B64" s="129" t="s">
        <v>115</v>
      </c>
      <c r="C64" s="130" t="s">
        <v>136</v>
      </c>
      <c r="D64" s="129" t="s">
        <v>1</v>
      </c>
      <c r="E64" s="139">
        <v>1.8888888888888891</v>
      </c>
      <c r="F64" s="129" t="s">
        <v>119</v>
      </c>
      <c r="G64" s="131">
        <v>4</v>
      </c>
      <c r="H64" s="140" t="s">
        <v>137</v>
      </c>
    </row>
    <row r="65" spans="1:8" ht="19.8" customHeight="1" x14ac:dyDescent="0.3">
      <c r="A65" s="138">
        <v>45983</v>
      </c>
      <c r="B65" s="129" t="s">
        <v>115</v>
      </c>
      <c r="C65" s="130" t="s">
        <v>138</v>
      </c>
      <c r="D65" s="129" t="s">
        <v>1</v>
      </c>
      <c r="E65" s="139">
        <v>1.788194444444444</v>
      </c>
      <c r="F65" s="129" t="s">
        <v>119</v>
      </c>
      <c r="G65" s="131">
        <v>4</v>
      </c>
      <c r="H65" s="140" t="s">
        <v>137</v>
      </c>
    </row>
    <row r="66" spans="1:8" ht="19.8" customHeight="1" x14ac:dyDescent="0.3">
      <c r="A66" s="138">
        <v>45983</v>
      </c>
      <c r="B66" s="129" t="s">
        <v>115</v>
      </c>
      <c r="C66" s="130" t="s">
        <v>132</v>
      </c>
      <c r="D66" s="129" t="s">
        <v>1</v>
      </c>
      <c r="E66" s="139">
        <v>1.6111111111111109</v>
      </c>
      <c r="F66" s="129" t="s">
        <v>119</v>
      </c>
      <c r="G66" s="131">
        <v>9</v>
      </c>
      <c r="H66" s="140" t="s">
        <v>134</v>
      </c>
    </row>
    <row r="67" spans="1:8" ht="19.8" customHeight="1" x14ac:dyDescent="0.3">
      <c r="A67" s="138">
        <v>45983</v>
      </c>
      <c r="B67" s="129" t="s">
        <v>115</v>
      </c>
      <c r="C67" s="130" t="s">
        <v>135</v>
      </c>
      <c r="D67" s="129" t="s">
        <v>1</v>
      </c>
      <c r="E67" s="139">
        <v>1.8298611111111109</v>
      </c>
      <c r="F67" s="129" t="s">
        <v>119</v>
      </c>
      <c r="G67" s="131">
        <v>9</v>
      </c>
      <c r="H67" s="140" t="s">
        <v>134</v>
      </c>
    </row>
    <row r="68" spans="1:8" ht="19.8" customHeight="1" x14ac:dyDescent="0.3">
      <c r="A68" s="141">
        <v>45983</v>
      </c>
      <c r="B68" s="134" t="s">
        <v>85</v>
      </c>
      <c r="C68" s="135" t="s">
        <v>92</v>
      </c>
      <c r="D68" s="134" t="s">
        <v>1</v>
      </c>
      <c r="E68" s="142">
        <v>1.2361111111111109</v>
      </c>
      <c r="F68" s="134" t="s">
        <v>93</v>
      </c>
      <c r="G68" s="134"/>
      <c r="H68" s="137" t="s">
        <v>94</v>
      </c>
    </row>
    <row r="69" spans="1:8" ht="19.8" customHeight="1" x14ac:dyDescent="0.3">
      <c r="A69" s="143">
        <v>45983</v>
      </c>
      <c r="B69" s="144" t="s">
        <v>85</v>
      </c>
      <c r="C69" s="145" t="s">
        <v>97</v>
      </c>
      <c r="D69" s="144" t="s">
        <v>1</v>
      </c>
      <c r="E69" s="146">
        <v>1.333333333333333</v>
      </c>
      <c r="F69" s="144" t="s">
        <v>93</v>
      </c>
      <c r="G69" s="144"/>
      <c r="H69" s="147" t="s">
        <v>94</v>
      </c>
    </row>
    <row r="70" spans="1:8" ht="19.8" customHeight="1" x14ac:dyDescent="0.3">
      <c r="A70" s="138">
        <v>45984</v>
      </c>
      <c r="B70" s="129" t="s">
        <v>26</v>
      </c>
      <c r="C70" s="130" t="s">
        <v>42</v>
      </c>
      <c r="D70" s="129" t="s">
        <v>1</v>
      </c>
      <c r="E70" s="139">
        <v>1.788194444444444</v>
      </c>
      <c r="F70" s="129" t="s">
        <v>139</v>
      </c>
      <c r="G70" s="131">
        <v>1</v>
      </c>
      <c r="H70" s="132">
        <v>539</v>
      </c>
    </row>
    <row r="71" spans="1:8" ht="19.8" customHeight="1" x14ac:dyDescent="0.3">
      <c r="A71" s="138">
        <v>45984</v>
      </c>
      <c r="B71" s="129" t="s">
        <v>26</v>
      </c>
      <c r="C71" s="130" t="s">
        <v>39</v>
      </c>
      <c r="D71" s="129" t="s">
        <v>1</v>
      </c>
      <c r="E71" s="139">
        <v>1.8888888888888891</v>
      </c>
      <c r="F71" s="129" t="s">
        <v>139</v>
      </c>
      <c r="G71" s="131">
        <v>4</v>
      </c>
      <c r="H71" s="132">
        <v>539</v>
      </c>
    </row>
    <row r="72" spans="1:8" ht="19.8" customHeight="1" x14ac:dyDescent="0.3">
      <c r="A72" s="141">
        <v>45984</v>
      </c>
      <c r="B72" s="134" t="s">
        <v>85</v>
      </c>
      <c r="C72" s="135" t="s">
        <v>142</v>
      </c>
      <c r="D72" s="134" t="s">
        <v>1</v>
      </c>
      <c r="E72" s="142">
        <v>1.333333333333333</v>
      </c>
      <c r="F72" s="134" t="s">
        <v>87</v>
      </c>
      <c r="G72" s="136">
        <v>1</v>
      </c>
      <c r="H72" s="148">
        <v>586</v>
      </c>
    </row>
    <row r="73" spans="1:8" ht="19.8" customHeight="1" x14ac:dyDescent="0.3">
      <c r="A73" s="138">
        <v>45984</v>
      </c>
      <c r="B73" s="129" t="s">
        <v>26</v>
      </c>
      <c r="C73" s="130" t="s">
        <v>36</v>
      </c>
      <c r="D73" s="129" t="s">
        <v>1</v>
      </c>
      <c r="E73" s="139">
        <v>1.1284722222222221</v>
      </c>
      <c r="F73" s="129" t="s">
        <v>139</v>
      </c>
      <c r="G73" s="131">
        <v>3</v>
      </c>
      <c r="H73" s="132">
        <v>589</v>
      </c>
    </row>
    <row r="74" spans="1:8" ht="19.8" customHeight="1" x14ac:dyDescent="0.3">
      <c r="A74" s="138">
        <v>45984</v>
      </c>
      <c r="B74" s="129" t="s">
        <v>47</v>
      </c>
      <c r="C74" s="130" t="s">
        <v>62</v>
      </c>
      <c r="D74" s="129" t="s">
        <v>1</v>
      </c>
      <c r="E74" s="139">
        <v>1.256944444444444</v>
      </c>
      <c r="F74" s="129" t="s">
        <v>161</v>
      </c>
      <c r="G74" s="131">
        <v>1</v>
      </c>
      <c r="H74" s="132">
        <v>589</v>
      </c>
    </row>
    <row r="75" spans="1:8" ht="19.8" customHeight="1" x14ac:dyDescent="0.3">
      <c r="A75" s="138">
        <v>45984</v>
      </c>
      <c r="B75" s="129" t="s">
        <v>47</v>
      </c>
      <c r="C75" s="130" t="s">
        <v>48</v>
      </c>
      <c r="D75" s="129" t="s">
        <v>1</v>
      </c>
      <c r="E75" s="139">
        <v>1.9027777777777779</v>
      </c>
      <c r="F75" s="129" t="s">
        <v>161</v>
      </c>
      <c r="G75" s="131">
        <v>9</v>
      </c>
      <c r="H75" s="132">
        <v>589</v>
      </c>
    </row>
    <row r="76" spans="1:8" ht="19.8" customHeight="1" x14ac:dyDescent="0.3">
      <c r="A76" s="138">
        <v>45984</v>
      </c>
      <c r="B76" s="129" t="s">
        <v>47</v>
      </c>
      <c r="C76" s="130" t="s">
        <v>71</v>
      </c>
      <c r="D76" s="129" t="s">
        <v>1</v>
      </c>
      <c r="E76" s="139">
        <v>1.854166666666667</v>
      </c>
      <c r="F76" s="129" t="s">
        <v>161</v>
      </c>
      <c r="G76" s="131">
        <v>9</v>
      </c>
      <c r="H76" s="132">
        <v>589</v>
      </c>
    </row>
    <row r="77" spans="1:8" ht="19.8" customHeight="1" x14ac:dyDescent="0.3">
      <c r="A77" s="138">
        <v>45984</v>
      </c>
      <c r="B77" s="129" t="s">
        <v>47</v>
      </c>
      <c r="C77" s="130" t="s">
        <v>162</v>
      </c>
      <c r="D77" s="129" t="s">
        <v>1</v>
      </c>
      <c r="E77" s="139">
        <v>1.302083333333333</v>
      </c>
      <c r="F77" s="129" t="s">
        <v>161</v>
      </c>
      <c r="G77" s="131">
        <v>3</v>
      </c>
      <c r="H77" s="132">
        <v>589</v>
      </c>
    </row>
    <row r="78" spans="1:8" ht="19.8" customHeight="1" x14ac:dyDescent="0.3">
      <c r="A78" s="138">
        <v>45984</v>
      </c>
      <c r="B78" s="129" t="s">
        <v>47</v>
      </c>
      <c r="C78" s="130" t="s">
        <v>59</v>
      </c>
      <c r="D78" s="129" t="s">
        <v>1</v>
      </c>
      <c r="E78" s="139">
        <v>1.7986111111111109</v>
      </c>
      <c r="F78" s="129" t="s">
        <v>161</v>
      </c>
      <c r="G78" s="131">
        <v>9</v>
      </c>
      <c r="H78" s="132">
        <v>589</v>
      </c>
    </row>
    <row r="79" spans="1:8" ht="19.8" customHeight="1" x14ac:dyDescent="0.3">
      <c r="A79" s="138">
        <v>45984</v>
      </c>
      <c r="B79" s="129" t="s">
        <v>78</v>
      </c>
      <c r="C79" s="130" t="s">
        <v>79</v>
      </c>
      <c r="D79" s="129" t="s">
        <v>1</v>
      </c>
      <c r="E79" s="139">
        <v>1.666666666666667</v>
      </c>
      <c r="F79" s="129" t="s">
        <v>80</v>
      </c>
      <c r="G79" s="131">
        <v>2</v>
      </c>
      <c r="H79" s="132">
        <v>599</v>
      </c>
    </row>
    <row r="80" spans="1:8" ht="19.8" customHeight="1" x14ac:dyDescent="0.3">
      <c r="A80" s="138">
        <v>45984</v>
      </c>
      <c r="B80" s="129" t="s">
        <v>78</v>
      </c>
      <c r="C80" s="130" t="s">
        <v>165</v>
      </c>
      <c r="D80" s="129" t="s">
        <v>1</v>
      </c>
      <c r="E80" s="139">
        <v>1.381944444444444</v>
      </c>
      <c r="F80" s="129" t="s">
        <v>80</v>
      </c>
      <c r="G80" s="131">
        <v>3</v>
      </c>
      <c r="H80" s="132">
        <v>599</v>
      </c>
    </row>
    <row r="81" spans="1:8" ht="19.8" customHeight="1" x14ac:dyDescent="0.3">
      <c r="A81" s="138">
        <v>45984</v>
      </c>
      <c r="B81" s="129" t="s">
        <v>72</v>
      </c>
      <c r="C81" s="130" t="s">
        <v>73</v>
      </c>
      <c r="D81" s="129" t="s">
        <v>1</v>
      </c>
      <c r="E81" s="139">
        <v>1.3888888888888891</v>
      </c>
      <c r="F81" s="129" t="s">
        <v>166</v>
      </c>
      <c r="G81" s="131">
        <v>9</v>
      </c>
      <c r="H81" s="132">
        <v>606</v>
      </c>
    </row>
    <row r="82" spans="1:8" ht="19.8" customHeight="1" x14ac:dyDescent="0.3">
      <c r="A82" s="138">
        <v>45984</v>
      </c>
      <c r="B82" s="129" t="s">
        <v>26</v>
      </c>
      <c r="C82" s="130" t="s">
        <v>27</v>
      </c>
      <c r="D82" s="129" t="s">
        <v>1</v>
      </c>
      <c r="E82" s="139">
        <v>1.302083333333333</v>
      </c>
      <c r="F82" s="129" t="s">
        <v>139</v>
      </c>
      <c r="G82" s="131">
        <v>9</v>
      </c>
      <c r="H82" s="132">
        <v>639</v>
      </c>
    </row>
    <row r="83" spans="1:8" ht="19.8" customHeight="1" x14ac:dyDescent="0.3">
      <c r="A83" s="138">
        <v>45984</v>
      </c>
      <c r="B83" s="129" t="s">
        <v>82</v>
      </c>
      <c r="C83" s="130" t="s">
        <v>168</v>
      </c>
      <c r="D83" s="129" t="s">
        <v>1</v>
      </c>
      <c r="E83" s="139">
        <v>1.3472222222222221</v>
      </c>
      <c r="F83" s="129" t="s">
        <v>80</v>
      </c>
      <c r="G83" s="131">
        <v>9</v>
      </c>
      <c r="H83" s="132">
        <v>645</v>
      </c>
    </row>
    <row r="84" spans="1:8" ht="19.8" customHeight="1" x14ac:dyDescent="0.3">
      <c r="A84" s="138">
        <v>45984</v>
      </c>
      <c r="B84" s="129" t="s">
        <v>47</v>
      </c>
      <c r="C84" s="130" t="s">
        <v>68</v>
      </c>
      <c r="D84" s="129" t="s">
        <v>1</v>
      </c>
      <c r="E84" s="139">
        <v>1.645833333333333</v>
      </c>
      <c r="F84" s="129" t="s">
        <v>161</v>
      </c>
      <c r="G84" s="131">
        <v>9</v>
      </c>
      <c r="H84" s="132">
        <v>669</v>
      </c>
    </row>
    <row r="85" spans="1:8" ht="19.8" customHeight="1" x14ac:dyDescent="0.3">
      <c r="A85" s="138">
        <v>45984</v>
      </c>
      <c r="B85" s="129" t="s">
        <v>47</v>
      </c>
      <c r="C85" s="130" t="s">
        <v>56</v>
      </c>
      <c r="D85" s="129" t="s">
        <v>1</v>
      </c>
      <c r="E85" s="139">
        <v>1.5173611111111109</v>
      </c>
      <c r="F85" s="129" t="s">
        <v>161</v>
      </c>
      <c r="G85" s="131">
        <v>9</v>
      </c>
      <c r="H85" s="132">
        <v>669</v>
      </c>
    </row>
    <row r="86" spans="1:8" ht="19.8" customHeight="1" x14ac:dyDescent="0.3">
      <c r="A86" s="138">
        <v>45984</v>
      </c>
      <c r="B86" s="129" t="s">
        <v>47</v>
      </c>
      <c r="C86" s="130" t="s">
        <v>58</v>
      </c>
      <c r="D86" s="129" t="s">
        <v>1</v>
      </c>
      <c r="E86" s="139">
        <v>1.395833333333333</v>
      </c>
      <c r="F86" s="129" t="s">
        <v>161</v>
      </c>
      <c r="G86" s="131">
        <v>9</v>
      </c>
      <c r="H86" s="132">
        <v>669</v>
      </c>
    </row>
    <row r="87" spans="1:8" ht="19.8" customHeight="1" x14ac:dyDescent="0.3">
      <c r="A87" s="138">
        <v>45984</v>
      </c>
      <c r="B87" s="129" t="s">
        <v>82</v>
      </c>
      <c r="C87" s="130" t="s">
        <v>83</v>
      </c>
      <c r="D87" s="129" t="s">
        <v>1</v>
      </c>
      <c r="E87" s="139">
        <v>1.274305555555556</v>
      </c>
      <c r="F87" s="129" t="s">
        <v>80</v>
      </c>
      <c r="G87" s="131">
        <v>9</v>
      </c>
      <c r="H87" s="132">
        <v>695</v>
      </c>
    </row>
    <row r="88" spans="1:8" ht="19.8" customHeight="1" x14ac:dyDescent="0.3">
      <c r="A88" s="141">
        <v>45984</v>
      </c>
      <c r="B88" s="134" t="s">
        <v>85</v>
      </c>
      <c r="C88" s="135" t="s">
        <v>147</v>
      </c>
      <c r="D88" s="134" t="s">
        <v>1</v>
      </c>
      <c r="E88" s="142">
        <v>1.083333333333333</v>
      </c>
      <c r="F88" s="134" t="s">
        <v>87</v>
      </c>
      <c r="G88" s="136">
        <v>1</v>
      </c>
      <c r="H88" s="148">
        <v>706</v>
      </c>
    </row>
    <row r="89" spans="1:8" ht="19.8" customHeight="1" x14ac:dyDescent="0.3">
      <c r="A89" s="141">
        <v>45984</v>
      </c>
      <c r="B89" s="134" t="s">
        <v>85</v>
      </c>
      <c r="C89" s="135" t="s">
        <v>152</v>
      </c>
      <c r="D89" s="134" t="s">
        <v>1</v>
      </c>
      <c r="E89" s="142">
        <v>1.319444444444444</v>
      </c>
      <c r="F89" s="134" t="s">
        <v>87</v>
      </c>
      <c r="G89" s="136">
        <v>5</v>
      </c>
      <c r="H89" s="148">
        <v>706</v>
      </c>
    </row>
    <row r="90" spans="1:8" ht="19.8" customHeight="1" x14ac:dyDescent="0.3">
      <c r="A90" s="141">
        <v>45984</v>
      </c>
      <c r="B90" s="134" t="s">
        <v>85</v>
      </c>
      <c r="C90" s="135" t="s">
        <v>155</v>
      </c>
      <c r="D90" s="134" t="s">
        <v>1</v>
      </c>
      <c r="E90" s="142">
        <v>1.510416666666667</v>
      </c>
      <c r="F90" s="134" t="s">
        <v>87</v>
      </c>
      <c r="G90" s="136">
        <v>5</v>
      </c>
      <c r="H90" s="148">
        <v>781</v>
      </c>
    </row>
    <row r="91" spans="1:8" ht="19.8" customHeight="1" x14ac:dyDescent="0.3">
      <c r="A91" s="138">
        <v>45984</v>
      </c>
      <c r="B91" s="129" t="s">
        <v>99</v>
      </c>
      <c r="C91" s="130" t="s">
        <v>100</v>
      </c>
      <c r="D91" s="129" t="s">
        <v>1</v>
      </c>
      <c r="E91" s="139">
        <v>1.2222222222222221</v>
      </c>
      <c r="F91" s="129" t="s">
        <v>101</v>
      </c>
      <c r="G91" s="131">
        <v>9</v>
      </c>
      <c r="H91" s="140" t="s">
        <v>103</v>
      </c>
    </row>
    <row r="92" spans="1:8" ht="19.8" customHeight="1" x14ac:dyDescent="0.3">
      <c r="A92" s="138">
        <v>45984</v>
      </c>
      <c r="B92" s="129" t="s">
        <v>99</v>
      </c>
      <c r="C92" s="130" t="s">
        <v>171</v>
      </c>
      <c r="D92" s="129" t="s">
        <v>1</v>
      </c>
      <c r="E92" s="139">
        <v>1.975694444444444</v>
      </c>
      <c r="F92" s="129" t="s">
        <v>101</v>
      </c>
      <c r="G92" s="131">
        <v>9</v>
      </c>
      <c r="H92" s="140" t="s">
        <v>106</v>
      </c>
    </row>
    <row r="93" spans="1:8" ht="19.8" customHeight="1" x14ac:dyDescent="0.3">
      <c r="A93" s="138">
        <v>45984</v>
      </c>
      <c r="B93" s="129" t="s">
        <v>115</v>
      </c>
      <c r="C93" s="130" t="s">
        <v>123</v>
      </c>
      <c r="D93" s="129" t="s">
        <v>1</v>
      </c>
      <c r="E93" s="139">
        <v>1.006944444444444</v>
      </c>
      <c r="F93" s="129" t="s">
        <v>117</v>
      </c>
      <c r="G93" s="131">
        <v>9</v>
      </c>
      <c r="H93" s="140" t="s">
        <v>174</v>
      </c>
    </row>
    <row r="94" spans="1:8" ht="19.8" customHeight="1" x14ac:dyDescent="0.3">
      <c r="A94" s="138">
        <v>45984</v>
      </c>
      <c r="B94" s="129" t="s">
        <v>115</v>
      </c>
      <c r="C94" s="130" t="s">
        <v>124</v>
      </c>
      <c r="D94" s="129" t="s">
        <v>1</v>
      </c>
      <c r="E94" s="139">
        <v>1.1423611111111109</v>
      </c>
      <c r="F94" s="129" t="s">
        <v>117</v>
      </c>
      <c r="G94" s="131">
        <v>9</v>
      </c>
      <c r="H94" s="140" t="s">
        <v>174</v>
      </c>
    </row>
    <row r="95" spans="1:8" ht="19.8" customHeight="1" x14ac:dyDescent="0.3">
      <c r="A95" s="138">
        <v>45984</v>
      </c>
      <c r="B95" s="129" t="s">
        <v>115</v>
      </c>
      <c r="C95" s="130" t="s">
        <v>125</v>
      </c>
      <c r="D95" s="129" t="s">
        <v>1</v>
      </c>
      <c r="E95" s="139">
        <v>1.930555555555556</v>
      </c>
      <c r="F95" s="129" t="s">
        <v>117</v>
      </c>
      <c r="G95" s="131">
        <v>8</v>
      </c>
      <c r="H95" s="140" t="s">
        <v>174</v>
      </c>
    </row>
    <row r="96" spans="1:8" ht="19.8" customHeight="1" x14ac:dyDescent="0.3">
      <c r="A96" s="138">
        <v>45984</v>
      </c>
      <c r="B96" s="129" t="s">
        <v>115</v>
      </c>
      <c r="C96" s="130" t="s">
        <v>123</v>
      </c>
      <c r="D96" s="129" t="s">
        <v>1</v>
      </c>
      <c r="E96" s="139">
        <v>1.006944444444444</v>
      </c>
      <c r="F96" s="129" t="s">
        <v>119</v>
      </c>
      <c r="G96" s="131">
        <v>9</v>
      </c>
      <c r="H96" s="140" t="s">
        <v>175</v>
      </c>
    </row>
    <row r="97" spans="1:8" ht="19.8" customHeight="1" x14ac:dyDescent="0.3">
      <c r="A97" s="138">
        <v>45984</v>
      </c>
      <c r="B97" s="129" t="s">
        <v>115</v>
      </c>
      <c r="C97" s="130" t="s">
        <v>124</v>
      </c>
      <c r="D97" s="129" t="s">
        <v>1</v>
      </c>
      <c r="E97" s="139">
        <v>1.1423611111111109</v>
      </c>
      <c r="F97" s="129" t="s">
        <v>119</v>
      </c>
      <c r="G97" s="131">
        <v>9</v>
      </c>
      <c r="H97" s="140" t="s">
        <v>175</v>
      </c>
    </row>
    <row r="98" spans="1:8" ht="19.8" customHeight="1" x14ac:dyDescent="0.3">
      <c r="A98" s="138">
        <v>45984</v>
      </c>
      <c r="B98" s="129" t="s">
        <v>115</v>
      </c>
      <c r="C98" s="130" t="s">
        <v>125</v>
      </c>
      <c r="D98" s="129" t="s">
        <v>1</v>
      </c>
      <c r="E98" s="139">
        <v>1.930555555555556</v>
      </c>
      <c r="F98" s="129" t="s">
        <v>119</v>
      </c>
      <c r="G98" s="131">
        <v>8</v>
      </c>
      <c r="H98" s="140" t="s">
        <v>175</v>
      </c>
    </row>
    <row r="99" spans="1:8" ht="19.8" customHeight="1" x14ac:dyDescent="0.3">
      <c r="A99" s="138">
        <v>45984</v>
      </c>
      <c r="B99" s="129" t="s">
        <v>99</v>
      </c>
      <c r="C99" s="130" t="s">
        <v>172</v>
      </c>
      <c r="D99" s="129" t="s">
        <v>1</v>
      </c>
      <c r="E99" s="139">
        <v>1.4861111111111109</v>
      </c>
      <c r="F99" s="129" t="s">
        <v>101</v>
      </c>
      <c r="G99" s="131">
        <v>9</v>
      </c>
      <c r="H99" s="140" t="s">
        <v>173</v>
      </c>
    </row>
    <row r="100" spans="1:8" ht="19.8" customHeight="1" x14ac:dyDescent="0.3">
      <c r="A100" s="138">
        <v>45984</v>
      </c>
      <c r="B100" s="129" t="s">
        <v>99</v>
      </c>
      <c r="C100" s="130" t="s">
        <v>104</v>
      </c>
      <c r="D100" s="129" t="s">
        <v>1</v>
      </c>
      <c r="E100" s="139">
        <v>1.2638888888888891</v>
      </c>
      <c r="F100" s="129" t="s">
        <v>101</v>
      </c>
      <c r="G100" s="131">
        <v>9</v>
      </c>
      <c r="H100" s="140" t="s">
        <v>173</v>
      </c>
    </row>
    <row r="101" spans="1:8" ht="19.8" customHeight="1" x14ac:dyDescent="0.3">
      <c r="A101" s="138">
        <v>45984</v>
      </c>
      <c r="B101" s="129" t="s">
        <v>115</v>
      </c>
      <c r="C101" s="130" t="s">
        <v>136</v>
      </c>
      <c r="D101" s="129" t="s">
        <v>1</v>
      </c>
      <c r="E101" s="139">
        <v>1.8888888888888891</v>
      </c>
      <c r="F101" s="129" t="s">
        <v>119</v>
      </c>
      <c r="G101" s="131">
        <v>4</v>
      </c>
      <c r="H101" s="140" t="s">
        <v>178</v>
      </c>
    </row>
    <row r="102" spans="1:8" ht="19.8" customHeight="1" x14ac:dyDescent="0.3">
      <c r="A102" s="138">
        <v>45984</v>
      </c>
      <c r="B102" s="129" t="s">
        <v>115</v>
      </c>
      <c r="C102" s="130" t="s">
        <v>129</v>
      </c>
      <c r="D102" s="129" t="s">
        <v>1</v>
      </c>
      <c r="E102" s="139">
        <v>1.302083333333333</v>
      </c>
      <c r="F102" s="129" t="s">
        <v>119</v>
      </c>
      <c r="G102" s="131">
        <v>4</v>
      </c>
      <c r="H102" s="140" t="s">
        <v>130</v>
      </c>
    </row>
    <row r="103" spans="1:8" ht="19.8" customHeight="1" x14ac:dyDescent="0.3">
      <c r="A103" s="138">
        <v>45984</v>
      </c>
      <c r="B103" s="129" t="s">
        <v>115</v>
      </c>
      <c r="C103" s="130" t="s">
        <v>131</v>
      </c>
      <c r="D103" s="129" t="s">
        <v>1</v>
      </c>
      <c r="E103" s="139">
        <v>1.1284722222222221</v>
      </c>
      <c r="F103" s="129" t="s">
        <v>119</v>
      </c>
      <c r="G103" s="131">
        <v>4</v>
      </c>
      <c r="H103" s="140" t="s">
        <v>130</v>
      </c>
    </row>
    <row r="104" spans="1:8" ht="19.8" customHeight="1" x14ac:dyDescent="0.3">
      <c r="A104" s="138">
        <v>45984</v>
      </c>
      <c r="B104" s="129" t="s">
        <v>115</v>
      </c>
      <c r="C104" s="130" t="s">
        <v>138</v>
      </c>
      <c r="D104" s="129" t="s">
        <v>1</v>
      </c>
      <c r="E104" s="139">
        <v>1.788194444444444</v>
      </c>
      <c r="F104" s="129" t="s">
        <v>119</v>
      </c>
      <c r="G104" s="131">
        <v>4</v>
      </c>
      <c r="H104" s="140" t="s">
        <v>130</v>
      </c>
    </row>
    <row r="105" spans="1:8" ht="19.8" customHeight="1" x14ac:dyDescent="0.3">
      <c r="A105" s="138">
        <v>45984</v>
      </c>
      <c r="B105" s="129" t="s">
        <v>115</v>
      </c>
      <c r="C105" s="130" t="s">
        <v>116</v>
      </c>
      <c r="D105" s="129" t="s">
        <v>1</v>
      </c>
      <c r="E105" s="139">
        <v>1.3784722222222221</v>
      </c>
      <c r="F105" s="129" t="s">
        <v>117</v>
      </c>
      <c r="G105" s="131">
        <v>1</v>
      </c>
      <c r="H105" s="140" t="s">
        <v>179</v>
      </c>
    </row>
    <row r="106" spans="1:8" ht="19.8" customHeight="1" x14ac:dyDescent="0.3">
      <c r="A106" s="138">
        <v>45984</v>
      </c>
      <c r="B106" s="129" t="s">
        <v>115</v>
      </c>
      <c r="C106" s="130" t="s">
        <v>132</v>
      </c>
      <c r="D106" s="129" t="s">
        <v>1</v>
      </c>
      <c r="E106" s="139">
        <v>1.6111111111111109</v>
      </c>
      <c r="F106" s="129" t="s">
        <v>117</v>
      </c>
      <c r="G106" s="131">
        <v>9</v>
      </c>
      <c r="H106" s="140" t="s">
        <v>179</v>
      </c>
    </row>
    <row r="107" spans="1:8" ht="19.8" customHeight="1" x14ac:dyDescent="0.3">
      <c r="A107" s="138">
        <v>45984</v>
      </c>
      <c r="B107" s="129" t="s">
        <v>115</v>
      </c>
      <c r="C107" s="130" t="s">
        <v>126</v>
      </c>
      <c r="D107" s="129" t="s">
        <v>1</v>
      </c>
      <c r="E107" s="139">
        <v>1.239583333333333</v>
      </c>
      <c r="F107" s="129" t="s">
        <v>117</v>
      </c>
      <c r="G107" s="131">
        <v>6</v>
      </c>
      <c r="H107" s="140" t="s">
        <v>179</v>
      </c>
    </row>
    <row r="108" spans="1:8" ht="19.8" customHeight="1" x14ac:dyDescent="0.3">
      <c r="A108" s="138">
        <v>45984</v>
      </c>
      <c r="B108" s="129" t="s">
        <v>115</v>
      </c>
      <c r="C108" s="130" t="s">
        <v>135</v>
      </c>
      <c r="D108" s="129" t="s">
        <v>1</v>
      </c>
      <c r="E108" s="139">
        <v>1.8298611111111109</v>
      </c>
      <c r="F108" s="129" t="s">
        <v>117</v>
      </c>
      <c r="G108" s="131">
        <v>9</v>
      </c>
      <c r="H108" s="140" t="s">
        <v>179</v>
      </c>
    </row>
    <row r="109" spans="1:8" ht="19.8" customHeight="1" x14ac:dyDescent="0.3">
      <c r="A109" s="138">
        <v>45984</v>
      </c>
      <c r="B109" s="129" t="s">
        <v>115</v>
      </c>
      <c r="C109" s="130" t="s">
        <v>116</v>
      </c>
      <c r="D109" s="129" t="s">
        <v>1</v>
      </c>
      <c r="E109" s="139">
        <v>1.3784722222222221</v>
      </c>
      <c r="F109" s="129" t="s">
        <v>119</v>
      </c>
      <c r="G109" s="131">
        <v>1</v>
      </c>
      <c r="H109" s="140" t="s">
        <v>180</v>
      </c>
    </row>
    <row r="110" spans="1:8" ht="19.8" customHeight="1" x14ac:dyDescent="0.3">
      <c r="A110" s="138">
        <v>45984</v>
      </c>
      <c r="B110" s="129" t="s">
        <v>115</v>
      </c>
      <c r="C110" s="130" t="s">
        <v>132</v>
      </c>
      <c r="D110" s="129" t="s">
        <v>1</v>
      </c>
      <c r="E110" s="139">
        <v>1.6111111111111109</v>
      </c>
      <c r="F110" s="129" t="s">
        <v>119</v>
      </c>
      <c r="G110" s="131">
        <v>9</v>
      </c>
      <c r="H110" s="140" t="s">
        <v>180</v>
      </c>
    </row>
    <row r="111" spans="1:8" ht="19.8" customHeight="1" x14ac:dyDescent="0.3">
      <c r="A111" s="138">
        <v>45984</v>
      </c>
      <c r="B111" s="129" t="s">
        <v>115</v>
      </c>
      <c r="C111" s="130" t="s">
        <v>126</v>
      </c>
      <c r="D111" s="129" t="s">
        <v>1</v>
      </c>
      <c r="E111" s="139">
        <v>1.239583333333333</v>
      </c>
      <c r="F111" s="129" t="s">
        <v>119</v>
      </c>
      <c r="G111" s="131">
        <v>6</v>
      </c>
      <c r="H111" s="140" t="s">
        <v>180</v>
      </c>
    </row>
    <row r="112" spans="1:8" ht="19.8" customHeight="1" x14ac:dyDescent="0.3">
      <c r="A112" s="138">
        <v>45984</v>
      </c>
      <c r="B112" s="129" t="s">
        <v>115</v>
      </c>
      <c r="C112" s="130" t="s">
        <v>135</v>
      </c>
      <c r="D112" s="129" t="s">
        <v>1</v>
      </c>
      <c r="E112" s="139">
        <v>1.8298611111111109</v>
      </c>
      <c r="F112" s="129" t="s">
        <v>119</v>
      </c>
      <c r="G112" s="131">
        <v>9</v>
      </c>
      <c r="H112" s="140" t="s">
        <v>180</v>
      </c>
    </row>
    <row r="113" spans="1:8" ht="19.8" customHeight="1" x14ac:dyDescent="0.3">
      <c r="A113" s="138">
        <v>45984</v>
      </c>
      <c r="B113" s="129" t="s">
        <v>99</v>
      </c>
      <c r="C113" s="130" t="s">
        <v>109</v>
      </c>
      <c r="D113" s="129" t="s">
        <v>1</v>
      </c>
      <c r="E113" s="139">
        <v>1.145833333333333</v>
      </c>
      <c r="F113" s="129" t="s">
        <v>101</v>
      </c>
      <c r="G113" s="131">
        <v>2</v>
      </c>
      <c r="H113" s="140" t="s">
        <v>111</v>
      </c>
    </row>
    <row r="114" spans="1:8" ht="19.8" customHeight="1" x14ac:dyDescent="0.3">
      <c r="A114" s="138">
        <v>45984</v>
      </c>
      <c r="B114" s="129" t="s">
        <v>99</v>
      </c>
      <c r="C114" s="130" t="s">
        <v>113</v>
      </c>
      <c r="D114" s="129" t="s">
        <v>1</v>
      </c>
      <c r="E114" s="139">
        <v>1.774305555555556</v>
      </c>
      <c r="F114" s="129" t="s">
        <v>101</v>
      </c>
      <c r="G114" s="131">
        <v>9</v>
      </c>
      <c r="H114" s="140" t="s">
        <v>111</v>
      </c>
    </row>
    <row r="115" spans="1:8" ht="19.8" customHeight="1" x14ac:dyDescent="0.3">
      <c r="A115" s="143">
        <v>45984</v>
      </c>
      <c r="B115" s="144" t="s">
        <v>85</v>
      </c>
      <c r="C115" s="145" t="s">
        <v>89</v>
      </c>
      <c r="D115" s="144" t="s">
        <v>1</v>
      </c>
      <c r="E115" s="146">
        <v>1.631944444444444</v>
      </c>
      <c r="F115" s="144" t="s">
        <v>93</v>
      </c>
      <c r="G115" s="144"/>
      <c r="H115" s="147" t="s">
        <v>94</v>
      </c>
    </row>
    <row r="116" spans="1:8" ht="19.8" customHeight="1" x14ac:dyDescent="0.3">
      <c r="A116" s="138">
        <v>45985</v>
      </c>
      <c r="B116" s="129" t="s">
        <v>26</v>
      </c>
      <c r="C116" s="130" t="s">
        <v>36</v>
      </c>
      <c r="D116" s="129" t="s">
        <v>1</v>
      </c>
      <c r="E116" s="139">
        <v>1.1284722222222221</v>
      </c>
      <c r="F116" s="129" t="s">
        <v>28</v>
      </c>
      <c r="G116" s="131">
        <v>8</v>
      </c>
      <c r="H116" s="132">
        <v>459</v>
      </c>
    </row>
    <row r="117" spans="1:8" ht="19.8" customHeight="1" x14ac:dyDescent="0.3">
      <c r="A117" s="138">
        <v>45985</v>
      </c>
      <c r="B117" s="129" t="s">
        <v>26</v>
      </c>
      <c r="C117" s="130" t="s">
        <v>39</v>
      </c>
      <c r="D117" s="129" t="s">
        <v>1</v>
      </c>
      <c r="E117" s="139">
        <v>1.8888888888888891</v>
      </c>
      <c r="F117" s="129" t="s">
        <v>28</v>
      </c>
      <c r="G117" s="131">
        <v>2</v>
      </c>
      <c r="H117" s="132">
        <v>459</v>
      </c>
    </row>
    <row r="118" spans="1:8" ht="19.8" customHeight="1" x14ac:dyDescent="0.3">
      <c r="A118" s="138">
        <v>45985</v>
      </c>
      <c r="B118" s="129" t="s">
        <v>26</v>
      </c>
      <c r="C118" s="130" t="s">
        <v>27</v>
      </c>
      <c r="D118" s="129" t="s">
        <v>1</v>
      </c>
      <c r="E118" s="139">
        <v>1.302083333333333</v>
      </c>
      <c r="F118" s="129" t="s">
        <v>28</v>
      </c>
      <c r="G118" s="131">
        <v>10</v>
      </c>
      <c r="H118" s="132">
        <v>499</v>
      </c>
    </row>
    <row r="119" spans="1:8" ht="19.8" customHeight="1" x14ac:dyDescent="0.3">
      <c r="A119" s="138">
        <v>45985</v>
      </c>
      <c r="B119" s="129" t="s">
        <v>47</v>
      </c>
      <c r="C119" s="130" t="s">
        <v>62</v>
      </c>
      <c r="D119" s="129" t="s">
        <v>1</v>
      </c>
      <c r="E119" s="139">
        <v>1.256944444444444</v>
      </c>
      <c r="F119" s="129" t="s">
        <v>49</v>
      </c>
      <c r="G119" s="131">
        <v>8</v>
      </c>
      <c r="H119" s="132">
        <v>509</v>
      </c>
    </row>
    <row r="120" spans="1:8" ht="19.8" customHeight="1" x14ac:dyDescent="0.3">
      <c r="A120" s="138">
        <v>45985</v>
      </c>
      <c r="B120" s="129" t="s">
        <v>47</v>
      </c>
      <c r="C120" s="130" t="s">
        <v>48</v>
      </c>
      <c r="D120" s="129" t="s">
        <v>1</v>
      </c>
      <c r="E120" s="139">
        <v>1.9027777777777779</v>
      </c>
      <c r="F120" s="129" t="s">
        <v>49</v>
      </c>
      <c r="G120" s="131">
        <v>5</v>
      </c>
      <c r="H120" s="132">
        <v>509</v>
      </c>
    </row>
    <row r="121" spans="1:8" ht="19.8" customHeight="1" x14ac:dyDescent="0.3">
      <c r="A121" s="138">
        <v>45985</v>
      </c>
      <c r="B121" s="129" t="s">
        <v>47</v>
      </c>
      <c r="C121" s="130" t="s">
        <v>68</v>
      </c>
      <c r="D121" s="129" t="s">
        <v>1</v>
      </c>
      <c r="E121" s="139">
        <v>1.645833333333333</v>
      </c>
      <c r="F121" s="129" t="s">
        <v>49</v>
      </c>
      <c r="G121" s="131">
        <v>2</v>
      </c>
      <c r="H121" s="132">
        <v>509</v>
      </c>
    </row>
    <row r="122" spans="1:8" ht="19.8" customHeight="1" x14ac:dyDescent="0.3">
      <c r="A122" s="138">
        <v>45985</v>
      </c>
      <c r="B122" s="129" t="s">
        <v>47</v>
      </c>
      <c r="C122" s="130" t="s">
        <v>56</v>
      </c>
      <c r="D122" s="129" t="s">
        <v>1</v>
      </c>
      <c r="E122" s="139">
        <v>1.5173611111111109</v>
      </c>
      <c r="F122" s="129" t="s">
        <v>49</v>
      </c>
      <c r="G122" s="131">
        <v>6</v>
      </c>
      <c r="H122" s="132">
        <v>509</v>
      </c>
    </row>
    <row r="123" spans="1:8" ht="19.8" customHeight="1" x14ac:dyDescent="0.3">
      <c r="A123" s="138">
        <v>45985</v>
      </c>
      <c r="B123" s="129" t="s">
        <v>47</v>
      </c>
      <c r="C123" s="130" t="s">
        <v>71</v>
      </c>
      <c r="D123" s="129" t="s">
        <v>1</v>
      </c>
      <c r="E123" s="139">
        <v>1.854166666666667</v>
      </c>
      <c r="F123" s="129" t="s">
        <v>49</v>
      </c>
      <c r="G123" s="131">
        <v>3</v>
      </c>
      <c r="H123" s="132">
        <v>509</v>
      </c>
    </row>
    <row r="124" spans="1:8" ht="19.8" customHeight="1" x14ac:dyDescent="0.3">
      <c r="A124" s="138">
        <v>45985</v>
      </c>
      <c r="B124" s="129" t="s">
        <v>47</v>
      </c>
      <c r="C124" s="130" t="s">
        <v>59</v>
      </c>
      <c r="D124" s="129" t="s">
        <v>1</v>
      </c>
      <c r="E124" s="139">
        <v>1.7986111111111109</v>
      </c>
      <c r="F124" s="129" t="s">
        <v>49</v>
      </c>
      <c r="G124" s="131">
        <v>9</v>
      </c>
      <c r="H124" s="132">
        <v>509</v>
      </c>
    </row>
    <row r="125" spans="1:8" ht="19.8" customHeight="1" x14ac:dyDescent="0.3">
      <c r="A125" s="138">
        <v>45985</v>
      </c>
      <c r="B125" s="129" t="s">
        <v>47</v>
      </c>
      <c r="C125" s="130" t="s">
        <v>58</v>
      </c>
      <c r="D125" s="129" t="s">
        <v>1</v>
      </c>
      <c r="E125" s="139">
        <v>1.395833333333333</v>
      </c>
      <c r="F125" s="129" t="s">
        <v>49</v>
      </c>
      <c r="G125" s="131">
        <v>9</v>
      </c>
      <c r="H125" s="132">
        <v>549</v>
      </c>
    </row>
    <row r="126" spans="1:8" ht="19.8" customHeight="1" x14ac:dyDescent="0.3">
      <c r="A126" s="138">
        <v>45985</v>
      </c>
      <c r="B126" s="129" t="s">
        <v>47</v>
      </c>
      <c r="C126" s="130" t="s">
        <v>162</v>
      </c>
      <c r="D126" s="129" t="s">
        <v>1</v>
      </c>
      <c r="E126" s="139">
        <v>1.46875</v>
      </c>
      <c r="F126" s="129" t="s">
        <v>49</v>
      </c>
      <c r="G126" s="131">
        <v>9</v>
      </c>
      <c r="H126" s="132">
        <v>549</v>
      </c>
    </row>
    <row r="127" spans="1:8" ht="19.8" customHeight="1" x14ac:dyDescent="0.3">
      <c r="A127" s="138">
        <v>45985</v>
      </c>
      <c r="B127" s="129" t="s">
        <v>72</v>
      </c>
      <c r="C127" s="130" t="s">
        <v>77</v>
      </c>
      <c r="D127" s="129" t="s">
        <v>1</v>
      </c>
      <c r="E127" s="139">
        <v>1.1736111111111109</v>
      </c>
      <c r="F127" s="129" t="s">
        <v>74</v>
      </c>
      <c r="G127" s="131">
        <v>9</v>
      </c>
      <c r="H127" s="132">
        <v>568</v>
      </c>
    </row>
    <row r="128" spans="1:8" ht="19.8" customHeight="1" x14ac:dyDescent="0.3">
      <c r="A128" s="141">
        <v>45985</v>
      </c>
      <c r="B128" s="134" t="s">
        <v>85</v>
      </c>
      <c r="C128" s="135" t="s">
        <v>155</v>
      </c>
      <c r="D128" s="134" t="s">
        <v>1</v>
      </c>
      <c r="E128" s="142">
        <v>1.979166666666667</v>
      </c>
      <c r="F128" s="134" t="s">
        <v>87</v>
      </c>
      <c r="G128" s="136">
        <v>4</v>
      </c>
      <c r="H128" s="148">
        <v>586</v>
      </c>
    </row>
    <row r="129" spans="1:8" ht="19.8" customHeight="1" x14ac:dyDescent="0.3">
      <c r="A129" s="141">
        <v>45985</v>
      </c>
      <c r="B129" s="134" t="s">
        <v>85</v>
      </c>
      <c r="C129" s="135" t="s">
        <v>152</v>
      </c>
      <c r="D129" s="134" t="s">
        <v>1</v>
      </c>
      <c r="E129" s="142">
        <v>1.4236111111111109</v>
      </c>
      <c r="F129" s="134" t="s">
        <v>87</v>
      </c>
      <c r="G129" s="136">
        <v>2</v>
      </c>
      <c r="H129" s="148">
        <v>586</v>
      </c>
    </row>
    <row r="130" spans="1:8" ht="19.8" customHeight="1" x14ac:dyDescent="0.3">
      <c r="A130" s="141">
        <v>45985</v>
      </c>
      <c r="B130" s="134" t="s">
        <v>85</v>
      </c>
      <c r="C130" s="135" t="s">
        <v>205</v>
      </c>
      <c r="D130" s="134" t="s">
        <v>1</v>
      </c>
      <c r="E130" s="142">
        <v>1.006944444444444</v>
      </c>
      <c r="F130" s="134" t="s">
        <v>87</v>
      </c>
      <c r="G130" s="136">
        <v>4</v>
      </c>
      <c r="H130" s="148">
        <v>586</v>
      </c>
    </row>
    <row r="131" spans="1:8" ht="19.8" customHeight="1" x14ac:dyDescent="0.3">
      <c r="A131" s="138">
        <v>45985</v>
      </c>
      <c r="B131" s="129" t="s">
        <v>72</v>
      </c>
      <c r="C131" s="130" t="s">
        <v>73</v>
      </c>
      <c r="D131" s="129" t="s">
        <v>1</v>
      </c>
      <c r="E131" s="139">
        <v>1.3923611111111109</v>
      </c>
      <c r="F131" s="129" t="s">
        <v>74</v>
      </c>
      <c r="G131" s="131">
        <v>7</v>
      </c>
      <c r="H131" s="132">
        <v>592</v>
      </c>
    </row>
    <row r="132" spans="1:8" ht="19.8" customHeight="1" x14ac:dyDescent="0.3">
      <c r="A132" s="138">
        <v>45985</v>
      </c>
      <c r="B132" s="129" t="s">
        <v>82</v>
      </c>
      <c r="C132" s="130" t="s">
        <v>211</v>
      </c>
      <c r="D132" s="129" t="s">
        <v>1</v>
      </c>
      <c r="E132" s="139">
        <v>1.208333333333333</v>
      </c>
      <c r="F132" s="129" t="s">
        <v>80</v>
      </c>
      <c r="G132" s="131">
        <v>9</v>
      </c>
      <c r="H132" s="132">
        <v>595</v>
      </c>
    </row>
    <row r="133" spans="1:8" ht="19.8" customHeight="1" x14ac:dyDescent="0.3">
      <c r="A133" s="138">
        <v>45985</v>
      </c>
      <c r="B133" s="129" t="s">
        <v>78</v>
      </c>
      <c r="C133" s="130" t="s">
        <v>79</v>
      </c>
      <c r="D133" s="129" t="s">
        <v>1</v>
      </c>
      <c r="E133" s="139">
        <v>1.666666666666667</v>
      </c>
      <c r="F133" s="129" t="s">
        <v>80</v>
      </c>
      <c r="G133" s="131">
        <v>6</v>
      </c>
      <c r="H133" s="132">
        <v>599</v>
      </c>
    </row>
    <row r="134" spans="1:8" ht="19.8" customHeight="1" x14ac:dyDescent="0.3">
      <c r="A134" s="138">
        <v>45985</v>
      </c>
      <c r="B134" s="129" t="s">
        <v>78</v>
      </c>
      <c r="C134" s="130" t="s">
        <v>165</v>
      </c>
      <c r="D134" s="129" t="s">
        <v>1</v>
      </c>
      <c r="E134" s="139">
        <v>1.3125</v>
      </c>
      <c r="F134" s="129" t="s">
        <v>80</v>
      </c>
      <c r="G134" s="131">
        <v>8</v>
      </c>
      <c r="H134" s="132">
        <v>599</v>
      </c>
    </row>
    <row r="135" spans="1:8" ht="19.8" customHeight="1" x14ac:dyDescent="0.3">
      <c r="A135" s="138">
        <v>45985</v>
      </c>
      <c r="B135" s="129" t="s">
        <v>26</v>
      </c>
      <c r="C135" s="130" t="s">
        <v>36</v>
      </c>
      <c r="D135" s="129" t="s">
        <v>1</v>
      </c>
      <c r="E135" s="139">
        <v>1.1284722222222221</v>
      </c>
      <c r="F135" s="129" t="s">
        <v>31</v>
      </c>
      <c r="G135" s="131">
        <v>8</v>
      </c>
      <c r="H135" s="132">
        <v>609</v>
      </c>
    </row>
    <row r="136" spans="1:8" ht="19.8" customHeight="1" x14ac:dyDescent="0.3">
      <c r="A136" s="138">
        <v>45985</v>
      </c>
      <c r="B136" s="129" t="s">
        <v>26</v>
      </c>
      <c r="C136" s="130" t="s">
        <v>39</v>
      </c>
      <c r="D136" s="129" t="s">
        <v>1</v>
      </c>
      <c r="E136" s="139">
        <v>1.8888888888888891</v>
      </c>
      <c r="F136" s="129" t="s">
        <v>31</v>
      </c>
      <c r="G136" s="131">
        <v>2</v>
      </c>
      <c r="H136" s="132">
        <v>609</v>
      </c>
    </row>
    <row r="137" spans="1:8" ht="19.8" customHeight="1" x14ac:dyDescent="0.3">
      <c r="A137" s="138">
        <v>45985</v>
      </c>
      <c r="B137" s="129" t="s">
        <v>47</v>
      </c>
      <c r="C137" s="130" t="s">
        <v>62</v>
      </c>
      <c r="D137" s="129" t="s">
        <v>1</v>
      </c>
      <c r="E137" s="139">
        <v>1.256944444444444</v>
      </c>
      <c r="F137" s="129" t="s">
        <v>52</v>
      </c>
      <c r="G137" s="131">
        <v>8</v>
      </c>
      <c r="H137" s="132">
        <v>609</v>
      </c>
    </row>
    <row r="138" spans="1:8" ht="19.8" customHeight="1" x14ac:dyDescent="0.3">
      <c r="A138" s="138">
        <v>45985</v>
      </c>
      <c r="B138" s="129" t="s">
        <v>47</v>
      </c>
      <c r="C138" s="130" t="s">
        <v>48</v>
      </c>
      <c r="D138" s="129" t="s">
        <v>1</v>
      </c>
      <c r="E138" s="139">
        <v>1.9027777777777779</v>
      </c>
      <c r="F138" s="129" t="s">
        <v>52</v>
      </c>
      <c r="G138" s="131">
        <v>5</v>
      </c>
      <c r="H138" s="132">
        <v>609</v>
      </c>
    </row>
    <row r="139" spans="1:8" ht="19.8" customHeight="1" x14ac:dyDescent="0.3">
      <c r="A139" s="138">
        <v>45985</v>
      </c>
      <c r="B139" s="129" t="s">
        <v>47</v>
      </c>
      <c r="C139" s="130" t="s">
        <v>68</v>
      </c>
      <c r="D139" s="129" t="s">
        <v>1</v>
      </c>
      <c r="E139" s="139">
        <v>1.645833333333333</v>
      </c>
      <c r="F139" s="129" t="s">
        <v>52</v>
      </c>
      <c r="G139" s="131">
        <v>2</v>
      </c>
      <c r="H139" s="132">
        <v>609</v>
      </c>
    </row>
    <row r="140" spans="1:8" ht="19.8" customHeight="1" x14ac:dyDescent="0.3">
      <c r="A140" s="138">
        <v>45985</v>
      </c>
      <c r="B140" s="129" t="s">
        <v>47</v>
      </c>
      <c r="C140" s="130" t="s">
        <v>56</v>
      </c>
      <c r="D140" s="129" t="s">
        <v>1</v>
      </c>
      <c r="E140" s="139">
        <v>1.5173611111111109</v>
      </c>
      <c r="F140" s="129" t="s">
        <v>52</v>
      </c>
      <c r="G140" s="131">
        <v>6</v>
      </c>
      <c r="H140" s="132">
        <v>609</v>
      </c>
    </row>
    <row r="141" spans="1:8" ht="19.8" customHeight="1" x14ac:dyDescent="0.3">
      <c r="A141" s="138">
        <v>45985</v>
      </c>
      <c r="B141" s="129" t="s">
        <v>47</v>
      </c>
      <c r="C141" s="130" t="s">
        <v>71</v>
      </c>
      <c r="D141" s="129" t="s">
        <v>1</v>
      </c>
      <c r="E141" s="139">
        <v>1.854166666666667</v>
      </c>
      <c r="F141" s="129" t="s">
        <v>52</v>
      </c>
      <c r="G141" s="131">
        <v>3</v>
      </c>
      <c r="H141" s="132">
        <v>609</v>
      </c>
    </row>
    <row r="142" spans="1:8" ht="19.8" customHeight="1" x14ac:dyDescent="0.3">
      <c r="A142" s="138">
        <v>45985</v>
      </c>
      <c r="B142" s="129" t="s">
        <v>47</v>
      </c>
      <c r="C142" s="130" t="s">
        <v>59</v>
      </c>
      <c r="D142" s="129" t="s">
        <v>1</v>
      </c>
      <c r="E142" s="139">
        <v>1.7986111111111109</v>
      </c>
      <c r="F142" s="129" t="s">
        <v>52</v>
      </c>
      <c r="G142" s="131">
        <v>9</v>
      </c>
      <c r="H142" s="132">
        <v>609</v>
      </c>
    </row>
    <row r="143" spans="1:8" ht="19.8" customHeight="1" x14ac:dyDescent="0.3">
      <c r="A143" s="141">
        <v>45985</v>
      </c>
      <c r="B143" s="134" t="s">
        <v>85</v>
      </c>
      <c r="C143" s="135" t="s">
        <v>86</v>
      </c>
      <c r="D143" s="134" t="s">
        <v>1</v>
      </c>
      <c r="E143" s="142">
        <v>1.614583333333333</v>
      </c>
      <c r="F143" s="134" t="s">
        <v>87</v>
      </c>
      <c r="G143" s="136">
        <v>5</v>
      </c>
      <c r="H143" s="148">
        <v>646</v>
      </c>
    </row>
    <row r="144" spans="1:8" ht="19.8" customHeight="1" x14ac:dyDescent="0.3">
      <c r="A144" s="138">
        <v>45985</v>
      </c>
      <c r="B144" s="129" t="s">
        <v>26</v>
      </c>
      <c r="C144" s="130" t="s">
        <v>27</v>
      </c>
      <c r="D144" s="129" t="s">
        <v>1</v>
      </c>
      <c r="E144" s="139">
        <v>1.302083333333333</v>
      </c>
      <c r="F144" s="129" t="s">
        <v>31</v>
      </c>
      <c r="G144" s="131">
        <v>10</v>
      </c>
      <c r="H144" s="132">
        <v>649</v>
      </c>
    </row>
    <row r="145" spans="1:8" ht="19.8" customHeight="1" x14ac:dyDescent="0.3">
      <c r="A145" s="138">
        <v>45985</v>
      </c>
      <c r="B145" s="129" t="s">
        <v>47</v>
      </c>
      <c r="C145" s="130" t="s">
        <v>58</v>
      </c>
      <c r="D145" s="129" t="s">
        <v>1</v>
      </c>
      <c r="E145" s="139">
        <v>1.395833333333333</v>
      </c>
      <c r="F145" s="129" t="s">
        <v>52</v>
      </c>
      <c r="G145" s="131">
        <v>9</v>
      </c>
      <c r="H145" s="132">
        <v>649</v>
      </c>
    </row>
    <row r="146" spans="1:8" ht="19.8" customHeight="1" x14ac:dyDescent="0.3">
      <c r="A146" s="138">
        <v>45985</v>
      </c>
      <c r="B146" s="129" t="s">
        <v>47</v>
      </c>
      <c r="C146" s="130" t="s">
        <v>162</v>
      </c>
      <c r="D146" s="129" t="s">
        <v>1</v>
      </c>
      <c r="E146" s="139">
        <v>1.46875</v>
      </c>
      <c r="F146" s="129" t="s">
        <v>52</v>
      </c>
      <c r="G146" s="131">
        <v>9</v>
      </c>
      <c r="H146" s="132">
        <v>649</v>
      </c>
    </row>
    <row r="147" spans="1:8" ht="19.8" customHeight="1" x14ac:dyDescent="0.3">
      <c r="A147" s="138">
        <v>45985</v>
      </c>
      <c r="B147" s="129" t="s">
        <v>26</v>
      </c>
      <c r="C147" s="130" t="s">
        <v>42</v>
      </c>
      <c r="D147" s="129" t="s">
        <v>1</v>
      </c>
      <c r="E147" s="139">
        <v>1.788194444444444</v>
      </c>
      <c r="F147" s="129" t="s">
        <v>28</v>
      </c>
      <c r="G147" s="131">
        <v>10</v>
      </c>
      <c r="H147" s="132">
        <v>689</v>
      </c>
    </row>
    <row r="148" spans="1:8" ht="19.8" customHeight="1" x14ac:dyDescent="0.3">
      <c r="A148" s="138">
        <v>45985</v>
      </c>
      <c r="B148" s="129" t="s">
        <v>72</v>
      </c>
      <c r="C148" s="130" t="s">
        <v>77</v>
      </c>
      <c r="D148" s="129" t="s">
        <v>1</v>
      </c>
      <c r="E148" s="139">
        <v>1.1736111111111109</v>
      </c>
      <c r="F148" s="129" t="s">
        <v>34</v>
      </c>
      <c r="G148" s="131">
        <v>9</v>
      </c>
      <c r="H148" s="132">
        <v>692</v>
      </c>
    </row>
    <row r="149" spans="1:8" ht="19.8" customHeight="1" x14ac:dyDescent="0.3">
      <c r="A149" s="138">
        <v>45985</v>
      </c>
      <c r="B149" s="129" t="s">
        <v>47</v>
      </c>
      <c r="C149" s="130" t="s">
        <v>62</v>
      </c>
      <c r="D149" s="129" t="s">
        <v>1</v>
      </c>
      <c r="E149" s="139">
        <v>1.256944444444444</v>
      </c>
      <c r="F149" s="129" t="s">
        <v>54</v>
      </c>
      <c r="G149" s="131">
        <v>8</v>
      </c>
      <c r="H149" s="132">
        <v>699</v>
      </c>
    </row>
    <row r="150" spans="1:8" ht="19.8" customHeight="1" x14ac:dyDescent="0.3">
      <c r="A150" s="138">
        <v>45985</v>
      </c>
      <c r="B150" s="129" t="s">
        <v>47</v>
      </c>
      <c r="C150" s="130" t="s">
        <v>48</v>
      </c>
      <c r="D150" s="129" t="s">
        <v>1</v>
      </c>
      <c r="E150" s="139">
        <v>1.9027777777777779</v>
      </c>
      <c r="F150" s="129" t="s">
        <v>54</v>
      </c>
      <c r="G150" s="131">
        <v>5</v>
      </c>
      <c r="H150" s="132">
        <v>699</v>
      </c>
    </row>
    <row r="151" spans="1:8" ht="19.8" customHeight="1" x14ac:dyDescent="0.3">
      <c r="A151" s="138">
        <v>45985</v>
      </c>
      <c r="B151" s="129" t="s">
        <v>47</v>
      </c>
      <c r="C151" s="130" t="s">
        <v>68</v>
      </c>
      <c r="D151" s="129" t="s">
        <v>1</v>
      </c>
      <c r="E151" s="139">
        <v>1.645833333333333</v>
      </c>
      <c r="F151" s="129" t="s">
        <v>54</v>
      </c>
      <c r="G151" s="131">
        <v>2</v>
      </c>
      <c r="H151" s="132">
        <v>699</v>
      </c>
    </row>
    <row r="152" spans="1:8" ht="19.8" customHeight="1" x14ac:dyDescent="0.3">
      <c r="A152" s="138">
        <v>45985</v>
      </c>
      <c r="B152" s="129" t="s">
        <v>47</v>
      </c>
      <c r="C152" s="130" t="s">
        <v>56</v>
      </c>
      <c r="D152" s="129" t="s">
        <v>1</v>
      </c>
      <c r="E152" s="139">
        <v>1.5173611111111109</v>
      </c>
      <c r="F152" s="129" t="s">
        <v>54</v>
      </c>
      <c r="G152" s="131">
        <v>6</v>
      </c>
      <c r="H152" s="132">
        <v>699</v>
      </c>
    </row>
    <row r="153" spans="1:8" ht="19.8" customHeight="1" x14ac:dyDescent="0.3">
      <c r="A153" s="138">
        <v>45985</v>
      </c>
      <c r="B153" s="129" t="s">
        <v>47</v>
      </c>
      <c r="C153" s="130" t="s">
        <v>71</v>
      </c>
      <c r="D153" s="129" t="s">
        <v>1</v>
      </c>
      <c r="E153" s="139">
        <v>1.854166666666667</v>
      </c>
      <c r="F153" s="129" t="s">
        <v>54</v>
      </c>
      <c r="G153" s="131">
        <v>3</v>
      </c>
      <c r="H153" s="132">
        <v>699</v>
      </c>
    </row>
    <row r="154" spans="1:8" ht="19.8" customHeight="1" x14ac:dyDescent="0.3">
      <c r="A154" s="138">
        <v>45985</v>
      </c>
      <c r="B154" s="129" t="s">
        <v>47</v>
      </c>
      <c r="C154" s="130" t="s">
        <v>59</v>
      </c>
      <c r="D154" s="129" t="s">
        <v>1</v>
      </c>
      <c r="E154" s="139">
        <v>1.7986111111111109</v>
      </c>
      <c r="F154" s="129" t="s">
        <v>54</v>
      </c>
      <c r="G154" s="131">
        <v>9</v>
      </c>
      <c r="H154" s="132">
        <v>699</v>
      </c>
    </row>
    <row r="155" spans="1:8" ht="19.8" customHeight="1" x14ac:dyDescent="0.3">
      <c r="A155" s="138">
        <v>45985</v>
      </c>
      <c r="B155" s="129" t="s">
        <v>72</v>
      </c>
      <c r="C155" s="130" t="s">
        <v>73</v>
      </c>
      <c r="D155" s="129" t="s">
        <v>1</v>
      </c>
      <c r="E155" s="139">
        <v>1.3923611111111109</v>
      </c>
      <c r="F155" s="129" t="s">
        <v>34</v>
      </c>
      <c r="G155" s="131">
        <v>7</v>
      </c>
      <c r="H155" s="132">
        <v>716</v>
      </c>
    </row>
    <row r="156" spans="1:8" ht="19.8" customHeight="1" x14ac:dyDescent="0.3">
      <c r="A156" s="138">
        <v>45985</v>
      </c>
      <c r="B156" s="129" t="s">
        <v>47</v>
      </c>
      <c r="C156" s="130" t="s">
        <v>58</v>
      </c>
      <c r="D156" s="129" t="s">
        <v>1</v>
      </c>
      <c r="E156" s="139">
        <v>1.395833333333333</v>
      </c>
      <c r="F156" s="129" t="s">
        <v>54</v>
      </c>
      <c r="G156" s="131">
        <v>9</v>
      </c>
      <c r="H156" s="132">
        <v>739</v>
      </c>
    </row>
    <row r="157" spans="1:8" ht="19.8" customHeight="1" x14ac:dyDescent="0.3">
      <c r="A157" s="138">
        <v>45985</v>
      </c>
      <c r="B157" s="129" t="s">
        <v>47</v>
      </c>
      <c r="C157" s="130" t="s">
        <v>162</v>
      </c>
      <c r="D157" s="129" t="s">
        <v>1</v>
      </c>
      <c r="E157" s="139">
        <v>1.46875</v>
      </c>
      <c r="F157" s="129" t="s">
        <v>54</v>
      </c>
      <c r="G157" s="131">
        <v>9</v>
      </c>
      <c r="H157" s="132">
        <v>739</v>
      </c>
    </row>
    <row r="158" spans="1:8" ht="19.8" customHeight="1" x14ac:dyDescent="0.3">
      <c r="A158" s="138">
        <v>45985</v>
      </c>
      <c r="B158" s="129" t="s">
        <v>26</v>
      </c>
      <c r="C158" s="130" t="s">
        <v>42</v>
      </c>
      <c r="D158" s="129" t="s">
        <v>1</v>
      </c>
      <c r="E158" s="139">
        <v>1.788194444444444</v>
      </c>
      <c r="F158" s="129" t="s">
        <v>31</v>
      </c>
      <c r="G158" s="131">
        <v>10</v>
      </c>
      <c r="H158" s="132">
        <v>839</v>
      </c>
    </row>
    <row r="159" spans="1:8" ht="19.8" customHeight="1" x14ac:dyDescent="0.3">
      <c r="A159" s="138">
        <v>45985</v>
      </c>
      <c r="B159" s="129" t="s">
        <v>99</v>
      </c>
      <c r="C159" s="130" t="s">
        <v>109</v>
      </c>
      <c r="D159" s="129" t="s">
        <v>1</v>
      </c>
      <c r="E159" s="139">
        <v>1.145833333333333</v>
      </c>
      <c r="F159" s="129" t="s">
        <v>101</v>
      </c>
      <c r="G159" s="131">
        <v>9</v>
      </c>
      <c r="H159" s="132">
        <v>842</v>
      </c>
    </row>
    <row r="160" spans="1:8" ht="19.8" customHeight="1" x14ac:dyDescent="0.3">
      <c r="A160" s="138">
        <v>45985</v>
      </c>
      <c r="B160" s="129" t="s">
        <v>99</v>
      </c>
      <c r="C160" s="130" t="s">
        <v>100</v>
      </c>
      <c r="D160" s="129" t="s">
        <v>1</v>
      </c>
      <c r="E160" s="139">
        <v>1.229166666666667</v>
      </c>
      <c r="F160" s="129" t="s">
        <v>101</v>
      </c>
      <c r="G160" s="131">
        <v>9</v>
      </c>
      <c r="H160" s="132">
        <v>842</v>
      </c>
    </row>
    <row r="161" spans="1:8" ht="19.8" customHeight="1" x14ac:dyDescent="0.3">
      <c r="A161" s="138">
        <v>45985</v>
      </c>
      <c r="B161" s="129" t="s">
        <v>115</v>
      </c>
      <c r="C161" s="130" t="s">
        <v>125</v>
      </c>
      <c r="D161" s="129" t="s">
        <v>1</v>
      </c>
      <c r="E161" s="139">
        <v>1.930555555555556</v>
      </c>
      <c r="F161" s="129" t="s">
        <v>117</v>
      </c>
      <c r="G161" s="131">
        <v>9</v>
      </c>
      <c r="H161" s="132">
        <v>935</v>
      </c>
    </row>
    <row r="162" spans="1:8" ht="19.8" customHeight="1" x14ac:dyDescent="0.3">
      <c r="A162" s="138">
        <v>45985</v>
      </c>
      <c r="B162" s="129" t="s">
        <v>99</v>
      </c>
      <c r="C162" s="130" t="s">
        <v>107</v>
      </c>
      <c r="D162" s="129" t="s">
        <v>1</v>
      </c>
      <c r="E162" s="139">
        <v>1.0138888888888891</v>
      </c>
      <c r="F162" s="129" t="s">
        <v>101</v>
      </c>
      <c r="G162" s="131">
        <v>9</v>
      </c>
      <c r="H162" s="132">
        <v>970</v>
      </c>
    </row>
    <row r="163" spans="1:8" ht="19.8" customHeight="1" x14ac:dyDescent="0.3">
      <c r="A163" s="138">
        <v>45985</v>
      </c>
      <c r="B163" s="129" t="s">
        <v>99</v>
      </c>
      <c r="C163" s="130" t="s">
        <v>112</v>
      </c>
      <c r="D163" s="129" t="s">
        <v>1</v>
      </c>
      <c r="E163" s="139">
        <v>1.552083333333333</v>
      </c>
      <c r="F163" s="129" t="s">
        <v>101</v>
      </c>
      <c r="G163" s="131">
        <v>9</v>
      </c>
      <c r="H163" s="132">
        <v>970</v>
      </c>
    </row>
    <row r="164" spans="1:8" ht="19.8" customHeight="1" x14ac:dyDescent="0.3">
      <c r="A164" s="138">
        <v>45985</v>
      </c>
      <c r="B164" s="129" t="s">
        <v>115</v>
      </c>
      <c r="C164" s="130" t="s">
        <v>125</v>
      </c>
      <c r="D164" s="129" t="s">
        <v>1</v>
      </c>
      <c r="E164" s="139">
        <v>1.930555555555556</v>
      </c>
      <c r="F164" s="129" t="s">
        <v>119</v>
      </c>
      <c r="G164" s="131">
        <v>9</v>
      </c>
      <c r="H164" s="132">
        <v>980</v>
      </c>
    </row>
    <row r="165" spans="1:8" ht="19.8" customHeight="1" x14ac:dyDescent="0.3">
      <c r="A165" s="138">
        <v>45985</v>
      </c>
      <c r="B165" s="129" t="s">
        <v>99</v>
      </c>
      <c r="C165" s="130" t="s">
        <v>104</v>
      </c>
      <c r="D165" s="129" t="s">
        <v>1</v>
      </c>
      <c r="E165" s="139">
        <v>1.2777777777777779</v>
      </c>
      <c r="F165" s="129" t="s">
        <v>101</v>
      </c>
      <c r="G165" s="131">
        <v>9</v>
      </c>
      <c r="H165" s="140" t="s">
        <v>103</v>
      </c>
    </row>
    <row r="166" spans="1:8" ht="19.8" customHeight="1" x14ac:dyDescent="0.3">
      <c r="A166" s="138">
        <v>45985</v>
      </c>
      <c r="B166" s="129" t="s">
        <v>26</v>
      </c>
      <c r="C166" s="130" t="s">
        <v>27</v>
      </c>
      <c r="D166" s="129" t="s">
        <v>1</v>
      </c>
      <c r="E166" s="139">
        <v>1.302083333333333</v>
      </c>
      <c r="F166" s="129" t="s">
        <v>34</v>
      </c>
      <c r="G166" s="131">
        <v>10</v>
      </c>
      <c r="H166" s="140" t="s">
        <v>35</v>
      </c>
    </row>
    <row r="167" spans="1:8" ht="19.8" customHeight="1" x14ac:dyDescent="0.3">
      <c r="A167" s="138">
        <v>45985</v>
      </c>
      <c r="B167" s="129" t="s">
        <v>26</v>
      </c>
      <c r="C167" s="130" t="s">
        <v>36</v>
      </c>
      <c r="D167" s="129" t="s">
        <v>1</v>
      </c>
      <c r="E167" s="139">
        <v>1.1284722222222221</v>
      </c>
      <c r="F167" s="129" t="s">
        <v>34</v>
      </c>
      <c r="G167" s="131">
        <v>8</v>
      </c>
      <c r="H167" s="140" t="s">
        <v>35</v>
      </c>
    </row>
    <row r="168" spans="1:8" ht="19.8" customHeight="1" x14ac:dyDescent="0.3">
      <c r="A168" s="138">
        <v>45985</v>
      </c>
      <c r="B168" s="129" t="s">
        <v>26</v>
      </c>
      <c r="C168" s="130" t="s">
        <v>42</v>
      </c>
      <c r="D168" s="129" t="s">
        <v>1</v>
      </c>
      <c r="E168" s="139">
        <v>1.788194444444444</v>
      </c>
      <c r="F168" s="129" t="s">
        <v>34</v>
      </c>
      <c r="G168" s="131">
        <v>10</v>
      </c>
      <c r="H168" s="140" t="s">
        <v>35</v>
      </c>
    </row>
    <row r="169" spans="1:8" ht="19.8" customHeight="1" x14ac:dyDescent="0.3">
      <c r="A169" s="138">
        <v>45985</v>
      </c>
      <c r="B169" s="129" t="s">
        <v>26</v>
      </c>
      <c r="C169" s="130" t="s">
        <v>39</v>
      </c>
      <c r="D169" s="129" t="s">
        <v>1</v>
      </c>
      <c r="E169" s="139">
        <v>1.8888888888888891</v>
      </c>
      <c r="F169" s="129" t="s">
        <v>34</v>
      </c>
      <c r="G169" s="131">
        <v>2</v>
      </c>
      <c r="H169" s="140" t="s">
        <v>35</v>
      </c>
    </row>
    <row r="170" spans="1:8" ht="19.8" customHeight="1" x14ac:dyDescent="0.3">
      <c r="A170" s="138">
        <v>45985</v>
      </c>
      <c r="B170" s="129" t="s">
        <v>115</v>
      </c>
      <c r="C170" s="130" t="s">
        <v>116</v>
      </c>
      <c r="D170" s="129" t="s">
        <v>1</v>
      </c>
      <c r="E170" s="139">
        <v>1.3784722222222221</v>
      </c>
      <c r="F170" s="129" t="s">
        <v>117</v>
      </c>
      <c r="G170" s="131">
        <v>9</v>
      </c>
      <c r="H170" s="140" t="s">
        <v>174</v>
      </c>
    </row>
    <row r="171" spans="1:8" ht="19.8" customHeight="1" x14ac:dyDescent="0.3">
      <c r="A171" s="138">
        <v>45985</v>
      </c>
      <c r="B171" s="129" t="s">
        <v>115</v>
      </c>
      <c r="C171" s="130" t="s">
        <v>123</v>
      </c>
      <c r="D171" s="129" t="s">
        <v>1</v>
      </c>
      <c r="E171" s="139">
        <v>1.006944444444444</v>
      </c>
      <c r="F171" s="129" t="s">
        <v>117</v>
      </c>
      <c r="G171" s="131">
        <v>9</v>
      </c>
      <c r="H171" s="140" t="s">
        <v>174</v>
      </c>
    </row>
    <row r="172" spans="1:8" ht="19.8" customHeight="1" x14ac:dyDescent="0.3">
      <c r="A172" s="138">
        <v>45985</v>
      </c>
      <c r="B172" s="129" t="s">
        <v>115</v>
      </c>
      <c r="C172" s="130" t="s">
        <v>126</v>
      </c>
      <c r="D172" s="129" t="s">
        <v>1</v>
      </c>
      <c r="E172" s="139">
        <v>1.239583333333333</v>
      </c>
      <c r="F172" s="129" t="s">
        <v>117</v>
      </c>
      <c r="G172" s="131">
        <v>9</v>
      </c>
      <c r="H172" s="140" t="s">
        <v>174</v>
      </c>
    </row>
    <row r="173" spans="1:8" ht="19.8" customHeight="1" x14ac:dyDescent="0.3">
      <c r="A173" s="138">
        <v>45985</v>
      </c>
      <c r="B173" s="129" t="s">
        <v>115</v>
      </c>
      <c r="C173" s="130" t="s">
        <v>124</v>
      </c>
      <c r="D173" s="129" t="s">
        <v>1</v>
      </c>
      <c r="E173" s="139">
        <v>1.1423611111111109</v>
      </c>
      <c r="F173" s="129" t="s">
        <v>117</v>
      </c>
      <c r="G173" s="131">
        <v>9</v>
      </c>
      <c r="H173" s="140" t="s">
        <v>174</v>
      </c>
    </row>
    <row r="174" spans="1:8" ht="19.8" customHeight="1" x14ac:dyDescent="0.3">
      <c r="A174" s="138">
        <v>45985</v>
      </c>
      <c r="B174" s="129" t="s">
        <v>115</v>
      </c>
      <c r="C174" s="130" t="s">
        <v>116</v>
      </c>
      <c r="D174" s="129" t="s">
        <v>1</v>
      </c>
      <c r="E174" s="139">
        <v>1.3784722222222221</v>
      </c>
      <c r="F174" s="129" t="s">
        <v>119</v>
      </c>
      <c r="G174" s="131">
        <v>9</v>
      </c>
      <c r="H174" s="140" t="s">
        <v>175</v>
      </c>
    </row>
    <row r="175" spans="1:8" ht="19.8" customHeight="1" x14ac:dyDescent="0.3">
      <c r="A175" s="138">
        <v>45985</v>
      </c>
      <c r="B175" s="129" t="s">
        <v>115</v>
      </c>
      <c r="C175" s="130" t="s">
        <v>123</v>
      </c>
      <c r="D175" s="129" t="s">
        <v>1</v>
      </c>
      <c r="E175" s="139">
        <v>1.006944444444444</v>
      </c>
      <c r="F175" s="129" t="s">
        <v>119</v>
      </c>
      <c r="G175" s="131">
        <v>9</v>
      </c>
      <c r="H175" s="140" t="s">
        <v>175</v>
      </c>
    </row>
    <row r="176" spans="1:8" ht="19.8" customHeight="1" x14ac:dyDescent="0.3">
      <c r="A176" s="138">
        <v>45985</v>
      </c>
      <c r="B176" s="129" t="s">
        <v>115</v>
      </c>
      <c r="C176" s="130" t="s">
        <v>126</v>
      </c>
      <c r="D176" s="129" t="s">
        <v>1</v>
      </c>
      <c r="E176" s="139">
        <v>1.239583333333333</v>
      </c>
      <c r="F176" s="129" t="s">
        <v>119</v>
      </c>
      <c r="G176" s="131">
        <v>9</v>
      </c>
      <c r="H176" s="140" t="s">
        <v>175</v>
      </c>
    </row>
    <row r="177" spans="1:8" ht="19.8" customHeight="1" x14ac:dyDescent="0.3">
      <c r="A177" s="138">
        <v>45985</v>
      </c>
      <c r="B177" s="129" t="s">
        <v>115</v>
      </c>
      <c r="C177" s="130" t="s">
        <v>124</v>
      </c>
      <c r="D177" s="129" t="s">
        <v>1</v>
      </c>
      <c r="E177" s="139">
        <v>1.1423611111111109</v>
      </c>
      <c r="F177" s="129" t="s">
        <v>119</v>
      </c>
      <c r="G177" s="131">
        <v>9</v>
      </c>
      <c r="H177" s="140" t="s">
        <v>175</v>
      </c>
    </row>
    <row r="178" spans="1:8" ht="19.8" customHeight="1" x14ac:dyDescent="0.3">
      <c r="A178" s="138">
        <v>45985</v>
      </c>
      <c r="B178" s="129" t="s">
        <v>115</v>
      </c>
      <c r="C178" s="130" t="s">
        <v>131</v>
      </c>
      <c r="D178" s="129" t="s">
        <v>1</v>
      </c>
      <c r="E178" s="139">
        <v>1.1284722222222221</v>
      </c>
      <c r="F178" s="129" t="s">
        <v>119</v>
      </c>
      <c r="G178" s="131">
        <v>4</v>
      </c>
      <c r="H178" s="140" t="s">
        <v>219</v>
      </c>
    </row>
    <row r="179" spans="1:8" ht="19.8" customHeight="1" x14ac:dyDescent="0.3">
      <c r="A179" s="138">
        <v>45985</v>
      </c>
      <c r="B179" s="129" t="s">
        <v>115</v>
      </c>
      <c r="C179" s="130" t="s">
        <v>122</v>
      </c>
      <c r="D179" s="129" t="s">
        <v>1</v>
      </c>
      <c r="E179" s="139">
        <v>1.71875</v>
      </c>
      <c r="F179" s="129" t="s">
        <v>117</v>
      </c>
      <c r="G179" s="131">
        <v>9</v>
      </c>
      <c r="H179" s="140" t="s">
        <v>220</v>
      </c>
    </row>
    <row r="180" spans="1:8" ht="19.8" customHeight="1" x14ac:dyDescent="0.3">
      <c r="A180" s="138">
        <v>45985</v>
      </c>
      <c r="B180" s="129" t="s">
        <v>115</v>
      </c>
      <c r="C180" s="130" t="s">
        <v>132</v>
      </c>
      <c r="D180" s="129" t="s">
        <v>1</v>
      </c>
      <c r="E180" s="139">
        <v>1.6111111111111109</v>
      </c>
      <c r="F180" s="129" t="s">
        <v>117</v>
      </c>
      <c r="G180" s="131">
        <v>9</v>
      </c>
      <c r="H180" s="140" t="s">
        <v>220</v>
      </c>
    </row>
    <row r="181" spans="1:8" ht="19.8" customHeight="1" x14ac:dyDescent="0.3">
      <c r="A181" s="138">
        <v>45985</v>
      </c>
      <c r="B181" s="129" t="s">
        <v>115</v>
      </c>
      <c r="C181" s="130" t="s">
        <v>136</v>
      </c>
      <c r="D181" s="129" t="s">
        <v>1</v>
      </c>
      <c r="E181" s="139">
        <v>1.8888888888888891</v>
      </c>
      <c r="F181" s="129" t="s">
        <v>119</v>
      </c>
      <c r="G181" s="131">
        <v>4</v>
      </c>
      <c r="H181" s="140" t="s">
        <v>178</v>
      </c>
    </row>
    <row r="182" spans="1:8" ht="19.8" customHeight="1" x14ac:dyDescent="0.3">
      <c r="A182" s="138">
        <v>45985</v>
      </c>
      <c r="B182" s="129" t="s">
        <v>115</v>
      </c>
      <c r="C182" s="130" t="s">
        <v>129</v>
      </c>
      <c r="D182" s="129" t="s">
        <v>1</v>
      </c>
      <c r="E182" s="139">
        <v>1.302083333333333</v>
      </c>
      <c r="F182" s="129" t="s">
        <v>119</v>
      </c>
      <c r="G182" s="131">
        <v>4</v>
      </c>
      <c r="H182" s="140" t="s">
        <v>178</v>
      </c>
    </row>
    <row r="183" spans="1:8" ht="19.8" customHeight="1" x14ac:dyDescent="0.3">
      <c r="A183" s="138">
        <v>45985</v>
      </c>
      <c r="B183" s="129" t="s">
        <v>115</v>
      </c>
      <c r="C183" s="130" t="s">
        <v>122</v>
      </c>
      <c r="D183" s="129" t="s">
        <v>1</v>
      </c>
      <c r="E183" s="139">
        <v>1.71875</v>
      </c>
      <c r="F183" s="129" t="s">
        <v>119</v>
      </c>
      <c r="G183" s="131">
        <v>9</v>
      </c>
      <c r="H183" s="140" t="s">
        <v>221</v>
      </c>
    </row>
    <row r="184" spans="1:8" ht="19.8" customHeight="1" x14ac:dyDescent="0.3">
      <c r="A184" s="138">
        <v>45985</v>
      </c>
      <c r="B184" s="129" t="s">
        <v>115</v>
      </c>
      <c r="C184" s="130" t="s">
        <v>132</v>
      </c>
      <c r="D184" s="129" t="s">
        <v>1</v>
      </c>
      <c r="E184" s="139">
        <v>1.6111111111111109</v>
      </c>
      <c r="F184" s="129" t="s">
        <v>119</v>
      </c>
      <c r="G184" s="131">
        <v>9</v>
      </c>
      <c r="H184" s="140" t="s">
        <v>221</v>
      </c>
    </row>
    <row r="185" spans="1:8" ht="19.8" customHeight="1" x14ac:dyDescent="0.3">
      <c r="A185" s="138">
        <v>45985</v>
      </c>
      <c r="B185" s="129" t="s">
        <v>99</v>
      </c>
      <c r="C185" s="130" t="s">
        <v>113</v>
      </c>
      <c r="D185" s="129" t="s">
        <v>1</v>
      </c>
      <c r="E185" s="139">
        <v>1.774305555555556</v>
      </c>
      <c r="F185" s="129" t="s">
        <v>101</v>
      </c>
      <c r="G185" s="131">
        <v>9</v>
      </c>
      <c r="H185" s="140" t="s">
        <v>216</v>
      </c>
    </row>
    <row r="186" spans="1:8" ht="19.8" customHeight="1" x14ac:dyDescent="0.3">
      <c r="A186" s="138">
        <v>45985</v>
      </c>
      <c r="B186" s="129" t="s">
        <v>115</v>
      </c>
      <c r="C186" s="130" t="s">
        <v>135</v>
      </c>
      <c r="D186" s="129" t="s">
        <v>1</v>
      </c>
      <c r="E186" s="139">
        <v>1.8298611111111109</v>
      </c>
      <c r="F186" s="129" t="s">
        <v>117</v>
      </c>
      <c r="G186" s="131">
        <v>9</v>
      </c>
      <c r="H186" s="140" t="s">
        <v>179</v>
      </c>
    </row>
    <row r="187" spans="1:8" ht="19.8" customHeight="1" x14ac:dyDescent="0.3">
      <c r="A187" s="138">
        <v>45985</v>
      </c>
      <c r="B187" s="129" t="s">
        <v>115</v>
      </c>
      <c r="C187" s="130" t="s">
        <v>135</v>
      </c>
      <c r="D187" s="129" t="s">
        <v>1</v>
      </c>
      <c r="E187" s="139">
        <v>1.8298611111111109</v>
      </c>
      <c r="F187" s="129" t="s">
        <v>119</v>
      </c>
      <c r="G187" s="131">
        <v>9</v>
      </c>
      <c r="H187" s="140" t="s">
        <v>180</v>
      </c>
    </row>
    <row r="188" spans="1:8" ht="19.8" customHeight="1" x14ac:dyDescent="0.3">
      <c r="A188" s="138">
        <v>45985</v>
      </c>
      <c r="B188" s="129" t="s">
        <v>99</v>
      </c>
      <c r="C188" s="130" t="s">
        <v>171</v>
      </c>
      <c r="D188" s="129" t="s">
        <v>1</v>
      </c>
      <c r="E188" s="139">
        <v>1.958333333333333</v>
      </c>
      <c r="F188" s="129" t="s">
        <v>101</v>
      </c>
      <c r="G188" s="131">
        <v>5</v>
      </c>
      <c r="H188" s="140" t="s">
        <v>111</v>
      </c>
    </row>
    <row r="189" spans="1:8" ht="19.8" customHeight="1" x14ac:dyDescent="0.3">
      <c r="A189" s="149">
        <v>45985</v>
      </c>
      <c r="B189" s="150" t="s">
        <v>115</v>
      </c>
      <c r="C189" s="151" t="s">
        <v>138</v>
      </c>
      <c r="D189" s="150" t="s">
        <v>1</v>
      </c>
      <c r="E189" s="152">
        <v>1.788194444444444</v>
      </c>
      <c r="F189" s="150" t="s">
        <v>119</v>
      </c>
      <c r="G189" s="153">
        <v>4</v>
      </c>
      <c r="H189" s="154" t="s">
        <v>137</v>
      </c>
    </row>
    <row r="190" spans="1:8" ht="19.8" customHeight="1" x14ac:dyDescent="0.3">
      <c r="A190" s="138">
        <v>45986</v>
      </c>
      <c r="B190" s="129" t="s">
        <v>78</v>
      </c>
      <c r="C190" s="130" t="s">
        <v>222</v>
      </c>
      <c r="D190" s="129" t="s">
        <v>1</v>
      </c>
      <c r="E190" s="139">
        <v>1.0451388888888891</v>
      </c>
      <c r="F190" s="129" t="s">
        <v>80</v>
      </c>
      <c r="G190" s="131">
        <v>1</v>
      </c>
      <c r="H190" s="132">
        <v>401</v>
      </c>
    </row>
    <row r="191" spans="1:8" ht="19.8" customHeight="1" x14ac:dyDescent="0.3">
      <c r="A191" s="138">
        <v>45986</v>
      </c>
      <c r="B191" s="129" t="s">
        <v>26</v>
      </c>
      <c r="C191" s="130" t="s">
        <v>27</v>
      </c>
      <c r="D191" s="129" t="s">
        <v>1</v>
      </c>
      <c r="E191" s="139">
        <v>1.302083333333333</v>
      </c>
      <c r="F191" s="129" t="s">
        <v>28</v>
      </c>
      <c r="G191" s="131">
        <v>3</v>
      </c>
      <c r="H191" s="132">
        <v>419</v>
      </c>
    </row>
    <row r="192" spans="1:8" ht="19.8" customHeight="1" x14ac:dyDescent="0.3">
      <c r="A192" s="138">
        <v>45986</v>
      </c>
      <c r="B192" s="129" t="s">
        <v>26</v>
      </c>
      <c r="C192" s="130" t="s">
        <v>36</v>
      </c>
      <c r="D192" s="129" t="s">
        <v>1</v>
      </c>
      <c r="E192" s="139">
        <v>1.1284722222222221</v>
      </c>
      <c r="F192" s="129" t="s">
        <v>28</v>
      </c>
      <c r="G192" s="131">
        <v>10</v>
      </c>
      <c r="H192" s="132">
        <v>419</v>
      </c>
    </row>
    <row r="193" spans="1:8" ht="19.8" customHeight="1" x14ac:dyDescent="0.3">
      <c r="A193" s="138">
        <v>45986</v>
      </c>
      <c r="B193" s="129" t="s">
        <v>26</v>
      </c>
      <c r="C193" s="130" t="s">
        <v>42</v>
      </c>
      <c r="D193" s="129" t="s">
        <v>1</v>
      </c>
      <c r="E193" s="139">
        <v>1.788194444444444</v>
      </c>
      <c r="F193" s="129" t="s">
        <v>28</v>
      </c>
      <c r="G193" s="131">
        <v>9</v>
      </c>
      <c r="H193" s="132">
        <v>419</v>
      </c>
    </row>
    <row r="194" spans="1:8" ht="19.8" customHeight="1" x14ac:dyDescent="0.3">
      <c r="A194" s="138">
        <v>45986</v>
      </c>
      <c r="B194" s="129" t="s">
        <v>26</v>
      </c>
      <c r="C194" s="130" t="s">
        <v>39</v>
      </c>
      <c r="D194" s="129" t="s">
        <v>1</v>
      </c>
      <c r="E194" s="139">
        <v>1.8888888888888891</v>
      </c>
      <c r="F194" s="129" t="s">
        <v>28</v>
      </c>
      <c r="G194" s="131">
        <v>7</v>
      </c>
      <c r="H194" s="132">
        <v>419</v>
      </c>
    </row>
    <row r="195" spans="1:8" ht="19.8" customHeight="1" x14ac:dyDescent="0.3">
      <c r="A195" s="138">
        <v>45986</v>
      </c>
      <c r="B195" s="129" t="s">
        <v>47</v>
      </c>
      <c r="C195" s="130" t="s">
        <v>48</v>
      </c>
      <c r="D195" s="129" t="s">
        <v>1</v>
      </c>
      <c r="E195" s="139">
        <v>1.9027777777777779</v>
      </c>
      <c r="F195" s="129" t="s">
        <v>49</v>
      </c>
      <c r="G195" s="131">
        <v>3</v>
      </c>
      <c r="H195" s="132">
        <v>449</v>
      </c>
    </row>
    <row r="196" spans="1:8" ht="19.8" customHeight="1" x14ac:dyDescent="0.3">
      <c r="A196" s="138">
        <v>45986</v>
      </c>
      <c r="B196" s="129" t="s">
        <v>47</v>
      </c>
      <c r="C196" s="130" t="s">
        <v>56</v>
      </c>
      <c r="D196" s="129" t="s">
        <v>1</v>
      </c>
      <c r="E196" s="139">
        <v>1.5173611111111109</v>
      </c>
      <c r="F196" s="129" t="s">
        <v>49</v>
      </c>
      <c r="G196" s="131">
        <v>2</v>
      </c>
      <c r="H196" s="132">
        <v>449</v>
      </c>
    </row>
    <row r="197" spans="1:8" ht="19.8" customHeight="1" x14ac:dyDescent="0.3">
      <c r="A197" s="138">
        <v>45986</v>
      </c>
      <c r="B197" s="129" t="s">
        <v>47</v>
      </c>
      <c r="C197" s="130" t="s">
        <v>71</v>
      </c>
      <c r="D197" s="129" t="s">
        <v>1</v>
      </c>
      <c r="E197" s="139">
        <v>1.854166666666667</v>
      </c>
      <c r="F197" s="129" t="s">
        <v>49</v>
      </c>
      <c r="G197" s="131">
        <v>6</v>
      </c>
      <c r="H197" s="132">
        <v>449</v>
      </c>
    </row>
    <row r="198" spans="1:8" ht="19.8" customHeight="1" x14ac:dyDescent="0.3">
      <c r="A198" s="138">
        <v>45986</v>
      </c>
      <c r="B198" s="129" t="s">
        <v>47</v>
      </c>
      <c r="C198" s="130" t="s">
        <v>162</v>
      </c>
      <c r="D198" s="129" t="s">
        <v>1</v>
      </c>
      <c r="E198" s="139">
        <v>1.302083333333333</v>
      </c>
      <c r="F198" s="129" t="s">
        <v>49</v>
      </c>
      <c r="G198" s="131">
        <v>2</v>
      </c>
      <c r="H198" s="132">
        <v>449</v>
      </c>
    </row>
    <row r="199" spans="1:8" ht="19.8" customHeight="1" x14ac:dyDescent="0.3">
      <c r="A199" s="138">
        <v>45986</v>
      </c>
      <c r="B199" s="129" t="s">
        <v>47</v>
      </c>
      <c r="C199" s="130" t="s">
        <v>59</v>
      </c>
      <c r="D199" s="129" t="s">
        <v>1</v>
      </c>
      <c r="E199" s="139">
        <v>1.7986111111111109</v>
      </c>
      <c r="F199" s="129" t="s">
        <v>49</v>
      </c>
      <c r="G199" s="131">
        <v>5</v>
      </c>
      <c r="H199" s="132">
        <v>449</v>
      </c>
    </row>
    <row r="200" spans="1:8" ht="19.8" customHeight="1" x14ac:dyDescent="0.3">
      <c r="A200" s="141">
        <v>45986</v>
      </c>
      <c r="B200" s="134" t="s">
        <v>85</v>
      </c>
      <c r="C200" s="135" t="s">
        <v>230</v>
      </c>
      <c r="D200" s="134" t="s">
        <v>1</v>
      </c>
      <c r="E200" s="142">
        <v>1.229166666666667</v>
      </c>
      <c r="F200" s="134" t="s">
        <v>87</v>
      </c>
      <c r="G200" s="136">
        <v>1</v>
      </c>
      <c r="H200" s="148">
        <v>471</v>
      </c>
    </row>
    <row r="201" spans="1:8" ht="19.8" customHeight="1" x14ac:dyDescent="0.3">
      <c r="A201" s="141">
        <v>45986</v>
      </c>
      <c r="B201" s="134" t="s">
        <v>85</v>
      </c>
      <c r="C201" s="135" t="s">
        <v>152</v>
      </c>
      <c r="D201" s="134" t="s">
        <v>1</v>
      </c>
      <c r="E201" s="142">
        <v>1.96875</v>
      </c>
      <c r="F201" s="134" t="s">
        <v>87</v>
      </c>
      <c r="G201" s="136">
        <v>1</v>
      </c>
      <c r="H201" s="148">
        <v>471</v>
      </c>
    </row>
    <row r="202" spans="1:8" ht="19.8" customHeight="1" x14ac:dyDescent="0.3">
      <c r="A202" s="138">
        <v>45986</v>
      </c>
      <c r="B202" s="129" t="s">
        <v>47</v>
      </c>
      <c r="C202" s="130" t="s">
        <v>62</v>
      </c>
      <c r="D202" s="129" t="s">
        <v>1</v>
      </c>
      <c r="E202" s="139">
        <v>1.256944444444444</v>
      </c>
      <c r="F202" s="129" t="s">
        <v>49</v>
      </c>
      <c r="G202" s="131">
        <v>9</v>
      </c>
      <c r="H202" s="132">
        <v>489</v>
      </c>
    </row>
    <row r="203" spans="1:8" ht="19.8" customHeight="1" x14ac:dyDescent="0.3">
      <c r="A203" s="138">
        <v>45986</v>
      </c>
      <c r="B203" s="129" t="s">
        <v>47</v>
      </c>
      <c r="C203" s="130" t="s">
        <v>68</v>
      </c>
      <c r="D203" s="129" t="s">
        <v>1</v>
      </c>
      <c r="E203" s="139">
        <v>1.645833333333333</v>
      </c>
      <c r="F203" s="129" t="s">
        <v>49</v>
      </c>
      <c r="G203" s="131">
        <v>9</v>
      </c>
      <c r="H203" s="132">
        <v>489</v>
      </c>
    </row>
    <row r="204" spans="1:8" ht="19.8" customHeight="1" x14ac:dyDescent="0.3">
      <c r="A204" s="138">
        <v>45986</v>
      </c>
      <c r="B204" s="129" t="s">
        <v>47</v>
      </c>
      <c r="C204" s="130" t="s">
        <v>58</v>
      </c>
      <c r="D204" s="129" t="s">
        <v>1</v>
      </c>
      <c r="E204" s="139">
        <v>1.395833333333333</v>
      </c>
      <c r="F204" s="129" t="s">
        <v>49</v>
      </c>
      <c r="G204" s="131">
        <v>2</v>
      </c>
      <c r="H204" s="132">
        <v>489</v>
      </c>
    </row>
    <row r="205" spans="1:8" ht="19.8" customHeight="1" x14ac:dyDescent="0.3">
      <c r="A205" s="141">
        <v>45986</v>
      </c>
      <c r="B205" s="134" t="s">
        <v>85</v>
      </c>
      <c r="C205" s="135" t="s">
        <v>147</v>
      </c>
      <c r="D205" s="134" t="s">
        <v>1</v>
      </c>
      <c r="E205" s="142">
        <v>1.9340277777777779</v>
      </c>
      <c r="F205" s="134" t="s">
        <v>87</v>
      </c>
      <c r="G205" s="136">
        <v>3</v>
      </c>
      <c r="H205" s="148">
        <v>526</v>
      </c>
    </row>
    <row r="206" spans="1:8" ht="19.8" customHeight="1" x14ac:dyDescent="0.3">
      <c r="A206" s="141">
        <v>45986</v>
      </c>
      <c r="B206" s="134" t="s">
        <v>85</v>
      </c>
      <c r="C206" s="135" t="s">
        <v>86</v>
      </c>
      <c r="D206" s="134" t="s">
        <v>1</v>
      </c>
      <c r="E206" s="142">
        <v>1.614583333333333</v>
      </c>
      <c r="F206" s="134" t="s">
        <v>87</v>
      </c>
      <c r="G206" s="136">
        <v>4</v>
      </c>
      <c r="H206" s="148">
        <v>526</v>
      </c>
    </row>
    <row r="207" spans="1:8" ht="19.8" customHeight="1" x14ac:dyDescent="0.3">
      <c r="A207" s="138">
        <v>45986</v>
      </c>
      <c r="B207" s="129" t="s">
        <v>72</v>
      </c>
      <c r="C207" s="130" t="s">
        <v>77</v>
      </c>
      <c r="D207" s="129" t="s">
        <v>1</v>
      </c>
      <c r="E207" s="139">
        <v>1.2222222222222221</v>
      </c>
      <c r="F207" s="129" t="s">
        <v>74</v>
      </c>
      <c r="G207" s="131">
        <v>9</v>
      </c>
      <c r="H207" s="132">
        <v>536</v>
      </c>
    </row>
    <row r="208" spans="1:8" ht="19.8" customHeight="1" x14ac:dyDescent="0.3">
      <c r="A208" s="138">
        <v>45986</v>
      </c>
      <c r="B208" s="129" t="s">
        <v>47</v>
      </c>
      <c r="C208" s="130" t="s">
        <v>48</v>
      </c>
      <c r="D208" s="129" t="s">
        <v>1</v>
      </c>
      <c r="E208" s="139">
        <v>1.9027777777777779</v>
      </c>
      <c r="F208" s="129" t="s">
        <v>52</v>
      </c>
      <c r="G208" s="131">
        <v>3</v>
      </c>
      <c r="H208" s="132">
        <v>549</v>
      </c>
    </row>
    <row r="209" spans="1:8" ht="19.8" customHeight="1" x14ac:dyDescent="0.3">
      <c r="A209" s="138">
        <v>45986</v>
      </c>
      <c r="B209" s="129" t="s">
        <v>47</v>
      </c>
      <c r="C209" s="130" t="s">
        <v>56</v>
      </c>
      <c r="D209" s="129" t="s">
        <v>1</v>
      </c>
      <c r="E209" s="139">
        <v>1.5173611111111109</v>
      </c>
      <c r="F209" s="129" t="s">
        <v>52</v>
      </c>
      <c r="G209" s="131">
        <v>2</v>
      </c>
      <c r="H209" s="132">
        <v>549</v>
      </c>
    </row>
    <row r="210" spans="1:8" ht="19.8" customHeight="1" x14ac:dyDescent="0.3">
      <c r="A210" s="138">
        <v>45986</v>
      </c>
      <c r="B210" s="129" t="s">
        <v>47</v>
      </c>
      <c r="C210" s="130" t="s">
        <v>71</v>
      </c>
      <c r="D210" s="129" t="s">
        <v>1</v>
      </c>
      <c r="E210" s="139">
        <v>1.854166666666667</v>
      </c>
      <c r="F210" s="129" t="s">
        <v>52</v>
      </c>
      <c r="G210" s="131">
        <v>6</v>
      </c>
      <c r="H210" s="132">
        <v>549</v>
      </c>
    </row>
    <row r="211" spans="1:8" ht="19.8" customHeight="1" x14ac:dyDescent="0.3">
      <c r="A211" s="138">
        <v>45986</v>
      </c>
      <c r="B211" s="129" t="s">
        <v>47</v>
      </c>
      <c r="C211" s="130" t="s">
        <v>162</v>
      </c>
      <c r="D211" s="129" t="s">
        <v>1</v>
      </c>
      <c r="E211" s="139">
        <v>1.302083333333333</v>
      </c>
      <c r="F211" s="129" t="s">
        <v>52</v>
      </c>
      <c r="G211" s="131">
        <v>2</v>
      </c>
      <c r="H211" s="132">
        <v>549</v>
      </c>
    </row>
    <row r="212" spans="1:8" ht="19.8" customHeight="1" x14ac:dyDescent="0.3">
      <c r="A212" s="138">
        <v>45986</v>
      </c>
      <c r="B212" s="129" t="s">
        <v>47</v>
      </c>
      <c r="C212" s="130" t="s">
        <v>59</v>
      </c>
      <c r="D212" s="129" t="s">
        <v>1</v>
      </c>
      <c r="E212" s="139">
        <v>1.7986111111111109</v>
      </c>
      <c r="F212" s="129" t="s">
        <v>52</v>
      </c>
      <c r="G212" s="131">
        <v>5</v>
      </c>
      <c r="H212" s="132">
        <v>549</v>
      </c>
    </row>
    <row r="213" spans="1:8" ht="19.8" customHeight="1" x14ac:dyDescent="0.3">
      <c r="A213" s="138">
        <v>45986</v>
      </c>
      <c r="B213" s="129" t="s">
        <v>26</v>
      </c>
      <c r="C213" s="130" t="s">
        <v>27</v>
      </c>
      <c r="D213" s="129" t="s">
        <v>1</v>
      </c>
      <c r="E213" s="139">
        <v>1.302083333333333</v>
      </c>
      <c r="F213" s="129" t="s">
        <v>31</v>
      </c>
      <c r="G213" s="131">
        <v>3</v>
      </c>
      <c r="H213" s="132">
        <v>569</v>
      </c>
    </row>
    <row r="214" spans="1:8" ht="19.8" customHeight="1" x14ac:dyDescent="0.3">
      <c r="A214" s="138">
        <v>45986</v>
      </c>
      <c r="B214" s="129" t="s">
        <v>26</v>
      </c>
      <c r="C214" s="130" t="s">
        <v>36</v>
      </c>
      <c r="D214" s="129" t="s">
        <v>1</v>
      </c>
      <c r="E214" s="139">
        <v>1.1284722222222221</v>
      </c>
      <c r="F214" s="129" t="s">
        <v>31</v>
      </c>
      <c r="G214" s="131">
        <v>10</v>
      </c>
      <c r="H214" s="132">
        <v>569</v>
      </c>
    </row>
    <row r="215" spans="1:8" ht="19.8" customHeight="1" x14ac:dyDescent="0.3">
      <c r="A215" s="138">
        <v>45986</v>
      </c>
      <c r="B215" s="129" t="s">
        <v>26</v>
      </c>
      <c r="C215" s="130" t="s">
        <v>42</v>
      </c>
      <c r="D215" s="129" t="s">
        <v>1</v>
      </c>
      <c r="E215" s="139">
        <v>1.788194444444444</v>
      </c>
      <c r="F215" s="129" t="s">
        <v>31</v>
      </c>
      <c r="G215" s="131">
        <v>9</v>
      </c>
      <c r="H215" s="132">
        <v>569</v>
      </c>
    </row>
    <row r="216" spans="1:8" ht="19.8" customHeight="1" x14ac:dyDescent="0.3">
      <c r="A216" s="138">
        <v>45986</v>
      </c>
      <c r="B216" s="129" t="s">
        <v>26</v>
      </c>
      <c r="C216" s="130" t="s">
        <v>39</v>
      </c>
      <c r="D216" s="129" t="s">
        <v>1</v>
      </c>
      <c r="E216" s="139">
        <v>1.8888888888888891</v>
      </c>
      <c r="F216" s="129" t="s">
        <v>31</v>
      </c>
      <c r="G216" s="131">
        <v>7</v>
      </c>
      <c r="H216" s="132">
        <v>569</v>
      </c>
    </row>
    <row r="217" spans="1:8" ht="19.8" customHeight="1" x14ac:dyDescent="0.3">
      <c r="A217" s="138">
        <v>45986</v>
      </c>
      <c r="B217" s="129" t="s">
        <v>47</v>
      </c>
      <c r="C217" s="130" t="s">
        <v>62</v>
      </c>
      <c r="D217" s="129" t="s">
        <v>1</v>
      </c>
      <c r="E217" s="139">
        <v>1.256944444444444</v>
      </c>
      <c r="F217" s="129" t="s">
        <v>52</v>
      </c>
      <c r="G217" s="131">
        <v>9</v>
      </c>
      <c r="H217" s="132">
        <v>589</v>
      </c>
    </row>
    <row r="218" spans="1:8" ht="19.8" customHeight="1" x14ac:dyDescent="0.3">
      <c r="A218" s="138">
        <v>45986</v>
      </c>
      <c r="B218" s="129" t="s">
        <v>47</v>
      </c>
      <c r="C218" s="130" t="s">
        <v>68</v>
      </c>
      <c r="D218" s="129" t="s">
        <v>1</v>
      </c>
      <c r="E218" s="139">
        <v>1.645833333333333</v>
      </c>
      <c r="F218" s="129" t="s">
        <v>52</v>
      </c>
      <c r="G218" s="131">
        <v>9</v>
      </c>
      <c r="H218" s="132">
        <v>589</v>
      </c>
    </row>
    <row r="219" spans="1:8" ht="19.8" customHeight="1" x14ac:dyDescent="0.3">
      <c r="A219" s="138">
        <v>45986</v>
      </c>
      <c r="B219" s="129" t="s">
        <v>47</v>
      </c>
      <c r="C219" s="130" t="s">
        <v>58</v>
      </c>
      <c r="D219" s="129" t="s">
        <v>1</v>
      </c>
      <c r="E219" s="139">
        <v>1.395833333333333</v>
      </c>
      <c r="F219" s="129" t="s">
        <v>52</v>
      </c>
      <c r="G219" s="131">
        <v>2</v>
      </c>
      <c r="H219" s="132">
        <v>589</v>
      </c>
    </row>
    <row r="220" spans="1:8" ht="19.8" customHeight="1" x14ac:dyDescent="0.3">
      <c r="A220" s="138">
        <v>45986</v>
      </c>
      <c r="B220" s="129" t="s">
        <v>82</v>
      </c>
      <c r="C220" s="130" t="s">
        <v>83</v>
      </c>
      <c r="D220" s="129" t="s">
        <v>1</v>
      </c>
      <c r="E220" s="139">
        <v>1.274305555555556</v>
      </c>
      <c r="F220" s="129" t="s">
        <v>80</v>
      </c>
      <c r="G220" s="131">
        <v>9</v>
      </c>
      <c r="H220" s="132">
        <v>595</v>
      </c>
    </row>
    <row r="221" spans="1:8" ht="19.8" customHeight="1" x14ac:dyDescent="0.3">
      <c r="A221" s="138">
        <v>45986</v>
      </c>
      <c r="B221" s="129" t="s">
        <v>78</v>
      </c>
      <c r="C221" s="130" t="s">
        <v>79</v>
      </c>
      <c r="D221" s="129" t="s">
        <v>1</v>
      </c>
      <c r="E221" s="139">
        <v>1.666666666666667</v>
      </c>
      <c r="F221" s="129" t="s">
        <v>80</v>
      </c>
      <c r="G221" s="131">
        <v>7</v>
      </c>
      <c r="H221" s="132">
        <v>599</v>
      </c>
    </row>
    <row r="222" spans="1:8" ht="19.8" customHeight="1" x14ac:dyDescent="0.3">
      <c r="A222" s="138">
        <v>45986</v>
      </c>
      <c r="B222" s="129" t="s">
        <v>78</v>
      </c>
      <c r="C222" s="130" t="s">
        <v>165</v>
      </c>
      <c r="D222" s="129" t="s">
        <v>1</v>
      </c>
      <c r="E222" s="139">
        <v>1.364583333333333</v>
      </c>
      <c r="F222" s="129" t="s">
        <v>80</v>
      </c>
      <c r="G222" s="131">
        <v>7</v>
      </c>
      <c r="H222" s="132">
        <v>599</v>
      </c>
    </row>
    <row r="223" spans="1:8" ht="19.8" customHeight="1" x14ac:dyDescent="0.3">
      <c r="A223" s="138">
        <v>45986</v>
      </c>
      <c r="B223" s="129" t="s">
        <v>47</v>
      </c>
      <c r="C223" s="130" t="s">
        <v>48</v>
      </c>
      <c r="D223" s="129" t="s">
        <v>1</v>
      </c>
      <c r="E223" s="139">
        <v>1.9027777777777779</v>
      </c>
      <c r="F223" s="129" t="s">
        <v>54</v>
      </c>
      <c r="G223" s="131">
        <v>3</v>
      </c>
      <c r="H223" s="132">
        <v>639</v>
      </c>
    </row>
    <row r="224" spans="1:8" ht="19.8" customHeight="1" x14ac:dyDescent="0.3">
      <c r="A224" s="138">
        <v>45986</v>
      </c>
      <c r="B224" s="129" t="s">
        <v>47</v>
      </c>
      <c r="C224" s="130" t="s">
        <v>56</v>
      </c>
      <c r="D224" s="129" t="s">
        <v>1</v>
      </c>
      <c r="E224" s="139">
        <v>1.5173611111111109</v>
      </c>
      <c r="F224" s="129" t="s">
        <v>54</v>
      </c>
      <c r="G224" s="131">
        <v>2</v>
      </c>
      <c r="H224" s="132">
        <v>639</v>
      </c>
    </row>
    <row r="225" spans="1:8" ht="19.8" customHeight="1" x14ac:dyDescent="0.3">
      <c r="A225" s="138">
        <v>45986</v>
      </c>
      <c r="B225" s="129" t="s">
        <v>47</v>
      </c>
      <c r="C225" s="130" t="s">
        <v>71</v>
      </c>
      <c r="D225" s="129" t="s">
        <v>1</v>
      </c>
      <c r="E225" s="139">
        <v>1.854166666666667</v>
      </c>
      <c r="F225" s="129" t="s">
        <v>54</v>
      </c>
      <c r="G225" s="131">
        <v>6</v>
      </c>
      <c r="H225" s="132">
        <v>639</v>
      </c>
    </row>
    <row r="226" spans="1:8" ht="19.8" customHeight="1" x14ac:dyDescent="0.3">
      <c r="A226" s="138">
        <v>45986</v>
      </c>
      <c r="B226" s="129" t="s">
        <v>47</v>
      </c>
      <c r="C226" s="130" t="s">
        <v>162</v>
      </c>
      <c r="D226" s="129" t="s">
        <v>1</v>
      </c>
      <c r="E226" s="139">
        <v>1.302083333333333</v>
      </c>
      <c r="F226" s="129" t="s">
        <v>54</v>
      </c>
      <c r="G226" s="131">
        <v>2</v>
      </c>
      <c r="H226" s="132">
        <v>639</v>
      </c>
    </row>
    <row r="227" spans="1:8" ht="19.8" customHeight="1" x14ac:dyDescent="0.3">
      <c r="A227" s="138">
        <v>45986</v>
      </c>
      <c r="B227" s="129" t="s">
        <v>47</v>
      </c>
      <c r="C227" s="130" t="s">
        <v>59</v>
      </c>
      <c r="D227" s="129" t="s">
        <v>1</v>
      </c>
      <c r="E227" s="139">
        <v>1.7986111111111109</v>
      </c>
      <c r="F227" s="129" t="s">
        <v>54</v>
      </c>
      <c r="G227" s="131">
        <v>5</v>
      </c>
      <c r="H227" s="132">
        <v>639</v>
      </c>
    </row>
    <row r="228" spans="1:8" ht="19.8" customHeight="1" x14ac:dyDescent="0.3">
      <c r="A228" s="138">
        <v>45986</v>
      </c>
      <c r="B228" s="129" t="s">
        <v>82</v>
      </c>
      <c r="C228" s="130" t="s">
        <v>211</v>
      </c>
      <c r="D228" s="129" t="s">
        <v>1</v>
      </c>
      <c r="E228" s="139">
        <v>1.739583333333333</v>
      </c>
      <c r="F228" s="129" t="s">
        <v>80</v>
      </c>
      <c r="G228" s="131">
        <v>9</v>
      </c>
      <c r="H228" s="132">
        <v>645</v>
      </c>
    </row>
    <row r="229" spans="1:8" ht="19.8" customHeight="1" x14ac:dyDescent="0.3">
      <c r="A229" s="138">
        <v>45986</v>
      </c>
      <c r="B229" s="129" t="s">
        <v>72</v>
      </c>
      <c r="C229" s="130" t="s">
        <v>77</v>
      </c>
      <c r="D229" s="129" t="s">
        <v>1</v>
      </c>
      <c r="E229" s="139">
        <v>1.2222222222222221</v>
      </c>
      <c r="F229" s="129" t="s">
        <v>34</v>
      </c>
      <c r="G229" s="131">
        <v>9</v>
      </c>
      <c r="H229" s="132">
        <v>660</v>
      </c>
    </row>
    <row r="230" spans="1:8" ht="19.8" customHeight="1" x14ac:dyDescent="0.3">
      <c r="A230" s="138">
        <v>45986</v>
      </c>
      <c r="B230" s="129" t="s">
        <v>47</v>
      </c>
      <c r="C230" s="130" t="s">
        <v>62</v>
      </c>
      <c r="D230" s="129" t="s">
        <v>1</v>
      </c>
      <c r="E230" s="139">
        <v>1.256944444444444</v>
      </c>
      <c r="F230" s="129" t="s">
        <v>54</v>
      </c>
      <c r="G230" s="131">
        <v>9</v>
      </c>
      <c r="H230" s="132">
        <v>679</v>
      </c>
    </row>
    <row r="231" spans="1:8" ht="19.8" customHeight="1" x14ac:dyDescent="0.3">
      <c r="A231" s="138">
        <v>45986</v>
      </c>
      <c r="B231" s="129" t="s">
        <v>47</v>
      </c>
      <c r="C231" s="130" t="s">
        <v>68</v>
      </c>
      <c r="D231" s="129" t="s">
        <v>1</v>
      </c>
      <c r="E231" s="139">
        <v>1.645833333333333</v>
      </c>
      <c r="F231" s="129" t="s">
        <v>54</v>
      </c>
      <c r="G231" s="131">
        <v>9</v>
      </c>
      <c r="H231" s="132">
        <v>679</v>
      </c>
    </row>
    <row r="232" spans="1:8" ht="19.8" customHeight="1" x14ac:dyDescent="0.3">
      <c r="A232" s="138">
        <v>45986</v>
      </c>
      <c r="B232" s="129" t="s">
        <v>47</v>
      </c>
      <c r="C232" s="130" t="s">
        <v>58</v>
      </c>
      <c r="D232" s="129" t="s">
        <v>1</v>
      </c>
      <c r="E232" s="139">
        <v>1.395833333333333</v>
      </c>
      <c r="F232" s="129" t="s">
        <v>54</v>
      </c>
      <c r="G232" s="131">
        <v>2</v>
      </c>
      <c r="H232" s="132">
        <v>679</v>
      </c>
    </row>
    <row r="233" spans="1:8" ht="19.8" customHeight="1" x14ac:dyDescent="0.3">
      <c r="A233" s="138">
        <v>45986</v>
      </c>
      <c r="B233" s="129" t="s">
        <v>115</v>
      </c>
      <c r="C233" s="130" t="s">
        <v>116</v>
      </c>
      <c r="D233" s="129" t="s">
        <v>1</v>
      </c>
      <c r="E233" s="139">
        <v>1.3784722222222221</v>
      </c>
      <c r="F233" s="129" t="s">
        <v>117</v>
      </c>
      <c r="G233" s="131">
        <v>9</v>
      </c>
      <c r="H233" s="132">
        <v>935</v>
      </c>
    </row>
    <row r="234" spans="1:8" ht="19.8" customHeight="1" x14ac:dyDescent="0.3">
      <c r="A234" s="138">
        <v>45986</v>
      </c>
      <c r="B234" s="129" t="s">
        <v>115</v>
      </c>
      <c r="C234" s="130" t="s">
        <v>123</v>
      </c>
      <c r="D234" s="129" t="s">
        <v>1</v>
      </c>
      <c r="E234" s="139">
        <v>1.006944444444444</v>
      </c>
      <c r="F234" s="129" t="s">
        <v>117</v>
      </c>
      <c r="G234" s="131">
        <v>9</v>
      </c>
      <c r="H234" s="132">
        <v>935</v>
      </c>
    </row>
    <row r="235" spans="1:8" ht="19.8" customHeight="1" x14ac:dyDescent="0.3">
      <c r="A235" s="138">
        <v>45986</v>
      </c>
      <c r="B235" s="129" t="s">
        <v>115</v>
      </c>
      <c r="C235" s="130" t="s">
        <v>126</v>
      </c>
      <c r="D235" s="129" t="s">
        <v>1</v>
      </c>
      <c r="E235" s="139">
        <v>1.239583333333333</v>
      </c>
      <c r="F235" s="129" t="s">
        <v>117</v>
      </c>
      <c r="G235" s="131">
        <v>9</v>
      </c>
      <c r="H235" s="132">
        <v>935</v>
      </c>
    </row>
    <row r="236" spans="1:8" ht="19.8" customHeight="1" x14ac:dyDescent="0.3">
      <c r="A236" s="138">
        <v>45986</v>
      </c>
      <c r="B236" s="129" t="s">
        <v>115</v>
      </c>
      <c r="C236" s="130" t="s">
        <v>124</v>
      </c>
      <c r="D236" s="129" t="s">
        <v>1</v>
      </c>
      <c r="E236" s="139">
        <v>1.1423611111111109</v>
      </c>
      <c r="F236" s="129" t="s">
        <v>117</v>
      </c>
      <c r="G236" s="131">
        <v>9</v>
      </c>
      <c r="H236" s="132">
        <v>935</v>
      </c>
    </row>
    <row r="237" spans="1:8" ht="19.8" customHeight="1" x14ac:dyDescent="0.3">
      <c r="A237" s="138">
        <v>45986</v>
      </c>
      <c r="B237" s="129" t="s">
        <v>115</v>
      </c>
      <c r="C237" s="130" t="s">
        <v>125</v>
      </c>
      <c r="D237" s="129" t="s">
        <v>1</v>
      </c>
      <c r="E237" s="139">
        <v>1.930555555555556</v>
      </c>
      <c r="F237" s="129" t="s">
        <v>117</v>
      </c>
      <c r="G237" s="131">
        <v>9</v>
      </c>
      <c r="H237" s="132">
        <v>935</v>
      </c>
    </row>
    <row r="238" spans="1:8" ht="19.8" customHeight="1" x14ac:dyDescent="0.3">
      <c r="A238" s="138">
        <v>45986</v>
      </c>
      <c r="B238" s="129" t="s">
        <v>99</v>
      </c>
      <c r="C238" s="130" t="s">
        <v>172</v>
      </c>
      <c r="D238" s="129" t="s">
        <v>1</v>
      </c>
      <c r="E238" s="139">
        <v>1.4861111111111109</v>
      </c>
      <c r="F238" s="129" t="s">
        <v>101</v>
      </c>
      <c r="G238" s="131">
        <v>9</v>
      </c>
      <c r="H238" s="132">
        <v>970</v>
      </c>
    </row>
    <row r="239" spans="1:8" ht="19.8" customHeight="1" x14ac:dyDescent="0.3">
      <c r="A239" s="138">
        <v>45986</v>
      </c>
      <c r="B239" s="129" t="s">
        <v>99</v>
      </c>
      <c r="C239" s="130" t="s">
        <v>112</v>
      </c>
      <c r="D239" s="129" t="s">
        <v>1</v>
      </c>
      <c r="E239" s="139">
        <v>1.5138888888888891</v>
      </c>
      <c r="F239" s="129" t="s">
        <v>101</v>
      </c>
      <c r="G239" s="131">
        <v>9</v>
      </c>
      <c r="H239" s="132">
        <v>970</v>
      </c>
    </row>
    <row r="240" spans="1:8" ht="19.8" customHeight="1" x14ac:dyDescent="0.3">
      <c r="A240" s="138">
        <v>45986</v>
      </c>
      <c r="B240" s="129" t="s">
        <v>115</v>
      </c>
      <c r="C240" s="130" t="s">
        <v>116</v>
      </c>
      <c r="D240" s="129" t="s">
        <v>1</v>
      </c>
      <c r="E240" s="139">
        <v>1.3784722222222221</v>
      </c>
      <c r="F240" s="129" t="s">
        <v>119</v>
      </c>
      <c r="G240" s="131">
        <v>9</v>
      </c>
      <c r="H240" s="132">
        <v>980</v>
      </c>
    </row>
    <row r="241" spans="1:8" ht="19.8" customHeight="1" x14ac:dyDescent="0.3">
      <c r="A241" s="138">
        <v>45986</v>
      </c>
      <c r="B241" s="129" t="s">
        <v>115</v>
      </c>
      <c r="C241" s="130" t="s">
        <v>123</v>
      </c>
      <c r="D241" s="129" t="s">
        <v>1</v>
      </c>
      <c r="E241" s="139">
        <v>1.006944444444444</v>
      </c>
      <c r="F241" s="129" t="s">
        <v>119</v>
      </c>
      <c r="G241" s="131">
        <v>9</v>
      </c>
      <c r="H241" s="132">
        <v>980</v>
      </c>
    </row>
    <row r="242" spans="1:8" ht="19.8" customHeight="1" x14ac:dyDescent="0.3">
      <c r="A242" s="138">
        <v>45986</v>
      </c>
      <c r="B242" s="129" t="s">
        <v>115</v>
      </c>
      <c r="C242" s="130" t="s">
        <v>126</v>
      </c>
      <c r="D242" s="129" t="s">
        <v>1</v>
      </c>
      <c r="E242" s="139">
        <v>1.239583333333333</v>
      </c>
      <c r="F242" s="129" t="s">
        <v>119</v>
      </c>
      <c r="G242" s="131">
        <v>9</v>
      </c>
      <c r="H242" s="132">
        <v>980</v>
      </c>
    </row>
    <row r="243" spans="1:8" ht="19.8" customHeight="1" x14ac:dyDescent="0.3">
      <c r="A243" s="138">
        <v>45986</v>
      </c>
      <c r="B243" s="129" t="s">
        <v>115</v>
      </c>
      <c r="C243" s="130" t="s">
        <v>124</v>
      </c>
      <c r="D243" s="129" t="s">
        <v>1</v>
      </c>
      <c r="E243" s="139">
        <v>1.1423611111111109</v>
      </c>
      <c r="F243" s="129" t="s">
        <v>119</v>
      </c>
      <c r="G243" s="131">
        <v>9</v>
      </c>
      <c r="H243" s="132">
        <v>980</v>
      </c>
    </row>
    <row r="244" spans="1:8" ht="19.8" customHeight="1" x14ac:dyDescent="0.3">
      <c r="A244" s="138">
        <v>45986</v>
      </c>
      <c r="B244" s="129" t="s">
        <v>115</v>
      </c>
      <c r="C244" s="130" t="s">
        <v>125</v>
      </c>
      <c r="D244" s="129" t="s">
        <v>1</v>
      </c>
      <c r="E244" s="139">
        <v>1.930555555555556</v>
      </c>
      <c r="F244" s="129" t="s">
        <v>119</v>
      </c>
      <c r="G244" s="131">
        <v>9</v>
      </c>
      <c r="H244" s="132">
        <v>980</v>
      </c>
    </row>
    <row r="245" spans="1:8" ht="19.8" customHeight="1" x14ac:dyDescent="0.3">
      <c r="A245" s="138">
        <v>45986</v>
      </c>
      <c r="B245" s="129" t="s">
        <v>99</v>
      </c>
      <c r="C245" s="130" t="s">
        <v>100</v>
      </c>
      <c r="D245" s="129" t="s">
        <v>1</v>
      </c>
      <c r="E245" s="139">
        <v>1.2222222222222221</v>
      </c>
      <c r="F245" s="129" t="s">
        <v>101</v>
      </c>
      <c r="G245" s="131">
        <v>9</v>
      </c>
      <c r="H245" s="140" t="s">
        <v>103</v>
      </c>
    </row>
    <row r="246" spans="1:8" ht="19.8" customHeight="1" x14ac:dyDescent="0.3">
      <c r="A246" s="138">
        <v>45986</v>
      </c>
      <c r="B246" s="129" t="s">
        <v>115</v>
      </c>
      <c r="C246" s="130" t="s">
        <v>122</v>
      </c>
      <c r="D246" s="129" t="s">
        <v>1</v>
      </c>
      <c r="E246" s="139">
        <v>1.71875</v>
      </c>
      <c r="F246" s="129" t="s">
        <v>117</v>
      </c>
      <c r="G246" s="131">
        <v>9</v>
      </c>
      <c r="H246" s="140" t="s">
        <v>245</v>
      </c>
    </row>
    <row r="247" spans="1:8" ht="19.8" customHeight="1" x14ac:dyDescent="0.3">
      <c r="A247" s="138">
        <v>45986</v>
      </c>
      <c r="B247" s="129" t="s">
        <v>115</v>
      </c>
      <c r="C247" s="130" t="s">
        <v>135</v>
      </c>
      <c r="D247" s="129" t="s">
        <v>1</v>
      </c>
      <c r="E247" s="139">
        <v>1.8298611111111109</v>
      </c>
      <c r="F247" s="129" t="s">
        <v>117</v>
      </c>
      <c r="G247" s="131">
        <v>9</v>
      </c>
      <c r="H247" s="140" t="s">
        <v>245</v>
      </c>
    </row>
    <row r="248" spans="1:8" ht="19.8" customHeight="1" x14ac:dyDescent="0.3">
      <c r="A248" s="138">
        <v>45986</v>
      </c>
      <c r="B248" s="129" t="s">
        <v>26</v>
      </c>
      <c r="C248" s="130" t="s">
        <v>27</v>
      </c>
      <c r="D248" s="129" t="s">
        <v>1</v>
      </c>
      <c r="E248" s="139">
        <v>1.302083333333333</v>
      </c>
      <c r="F248" s="129" t="s">
        <v>34</v>
      </c>
      <c r="G248" s="131">
        <v>3</v>
      </c>
      <c r="H248" s="140" t="s">
        <v>35</v>
      </c>
    </row>
    <row r="249" spans="1:8" ht="19.8" customHeight="1" x14ac:dyDescent="0.3">
      <c r="A249" s="138">
        <v>45986</v>
      </c>
      <c r="B249" s="129" t="s">
        <v>26</v>
      </c>
      <c r="C249" s="130" t="s">
        <v>36</v>
      </c>
      <c r="D249" s="129" t="s">
        <v>1</v>
      </c>
      <c r="E249" s="139">
        <v>1.1284722222222221</v>
      </c>
      <c r="F249" s="129" t="s">
        <v>34</v>
      </c>
      <c r="G249" s="131">
        <v>10</v>
      </c>
      <c r="H249" s="140" t="s">
        <v>35</v>
      </c>
    </row>
    <row r="250" spans="1:8" ht="19.8" customHeight="1" x14ac:dyDescent="0.3">
      <c r="A250" s="138">
        <v>45986</v>
      </c>
      <c r="B250" s="129" t="s">
        <v>26</v>
      </c>
      <c r="C250" s="130" t="s">
        <v>42</v>
      </c>
      <c r="D250" s="129" t="s">
        <v>1</v>
      </c>
      <c r="E250" s="139">
        <v>1.788194444444444</v>
      </c>
      <c r="F250" s="129" t="s">
        <v>34</v>
      </c>
      <c r="G250" s="131">
        <v>9</v>
      </c>
      <c r="H250" s="140" t="s">
        <v>35</v>
      </c>
    </row>
    <row r="251" spans="1:8" ht="19.8" customHeight="1" x14ac:dyDescent="0.3">
      <c r="A251" s="138">
        <v>45986</v>
      </c>
      <c r="B251" s="129" t="s">
        <v>26</v>
      </c>
      <c r="C251" s="130" t="s">
        <v>39</v>
      </c>
      <c r="D251" s="129" t="s">
        <v>1</v>
      </c>
      <c r="E251" s="139">
        <v>1.8888888888888891</v>
      </c>
      <c r="F251" s="129" t="s">
        <v>34</v>
      </c>
      <c r="G251" s="131">
        <v>7</v>
      </c>
      <c r="H251" s="140" t="s">
        <v>35</v>
      </c>
    </row>
    <row r="252" spans="1:8" ht="19.8" customHeight="1" x14ac:dyDescent="0.3">
      <c r="A252" s="138">
        <v>45986</v>
      </c>
      <c r="B252" s="129" t="s">
        <v>115</v>
      </c>
      <c r="C252" s="130" t="s">
        <v>122</v>
      </c>
      <c r="D252" s="129" t="s">
        <v>1</v>
      </c>
      <c r="E252" s="139">
        <v>1.71875</v>
      </c>
      <c r="F252" s="129" t="s">
        <v>119</v>
      </c>
      <c r="G252" s="131">
        <v>9</v>
      </c>
      <c r="H252" s="140" t="s">
        <v>246</v>
      </c>
    </row>
    <row r="253" spans="1:8" ht="19.8" customHeight="1" x14ac:dyDescent="0.3">
      <c r="A253" s="138">
        <v>45986</v>
      </c>
      <c r="B253" s="129" t="s">
        <v>115</v>
      </c>
      <c r="C253" s="130" t="s">
        <v>135</v>
      </c>
      <c r="D253" s="129" t="s">
        <v>1</v>
      </c>
      <c r="E253" s="139">
        <v>1.8298611111111109</v>
      </c>
      <c r="F253" s="129" t="s">
        <v>119</v>
      </c>
      <c r="G253" s="131">
        <v>9</v>
      </c>
      <c r="H253" s="140" t="s">
        <v>246</v>
      </c>
    </row>
    <row r="254" spans="1:8" ht="19.8" customHeight="1" x14ac:dyDescent="0.3">
      <c r="A254" s="138">
        <v>45986</v>
      </c>
      <c r="B254" s="129" t="s">
        <v>99</v>
      </c>
      <c r="C254" s="130" t="s">
        <v>107</v>
      </c>
      <c r="D254" s="129" t="s">
        <v>1</v>
      </c>
      <c r="E254" s="139">
        <v>1.0138888888888891</v>
      </c>
      <c r="F254" s="129" t="s">
        <v>101</v>
      </c>
      <c r="G254" s="131">
        <v>9</v>
      </c>
      <c r="H254" s="140" t="s">
        <v>106</v>
      </c>
    </row>
    <row r="255" spans="1:8" ht="19.8" customHeight="1" x14ac:dyDescent="0.3">
      <c r="A255" s="138">
        <v>45986</v>
      </c>
      <c r="B255" s="129" t="s">
        <v>99</v>
      </c>
      <c r="C255" s="130" t="s">
        <v>109</v>
      </c>
      <c r="D255" s="129" t="s">
        <v>1</v>
      </c>
      <c r="E255" s="139">
        <v>1.145833333333333</v>
      </c>
      <c r="F255" s="129" t="s">
        <v>101</v>
      </c>
      <c r="G255" s="131">
        <v>9</v>
      </c>
      <c r="H255" s="140" t="s">
        <v>106</v>
      </c>
    </row>
    <row r="256" spans="1:8" ht="19.8" customHeight="1" x14ac:dyDescent="0.3">
      <c r="A256" s="138">
        <v>45986</v>
      </c>
      <c r="B256" s="129" t="s">
        <v>115</v>
      </c>
      <c r="C256" s="130" t="s">
        <v>136</v>
      </c>
      <c r="D256" s="129" t="s">
        <v>1</v>
      </c>
      <c r="E256" s="139">
        <v>1.8888888888888891</v>
      </c>
      <c r="F256" s="129" t="s">
        <v>119</v>
      </c>
      <c r="G256" s="131">
        <v>4</v>
      </c>
      <c r="H256" s="140" t="s">
        <v>219</v>
      </c>
    </row>
    <row r="257" spans="1:8" ht="19.8" customHeight="1" x14ac:dyDescent="0.3">
      <c r="A257" s="138">
        <v>45986</v>
      </c>
      <c r="B257" s="129" t="s">
        <v>115</v>
      </c>
      <c r="C257" s="130" t="s">
        <v>129</v>
      </c>
      <c r="D257" s="129" t="s">
        <v>1</v>
      </c>
      <c r="E257" s="139">
        <v>1.302083333333333</v>
      </c>
      <c r="F257" s="129" t="s">
        <v>119</v>
      </c>
      <c r="G257" s="131">
        <v>4</v>
      </c>
      <c r="H257" s="140" t="s">
        <v>219</v>
      </c>
    </row>
    <row r="258" spans="1:8" ht="19.8" customHeight="1" x14ac:dyDescent="0.3">
      <c r="A258" s="138">
        <v>45986</v>
      </c>
      <c r="B258" s="129" t="s">
        <v>115</v>
      </c>
      <c r="C258" s="130" t="s">
        <v>131</v>
      </c>
      <c r="D258" s="129" t="s">
        <v>1</v>
      </c>
      <c r="E258" s="139">
        <v>1.1284722222222221</v>
      </c>
      <c r="F258" s="129" t="s">
        <v>119</v>
      </c>
      <c r="G258" s="131">
        <v>4</v>
      </c>
      <c r="H258" s="140" t="s">
        <v>219</v>
      </c>
    </row>
    <row r="259" spans="1:8" ht="19.8" customHeight="1" x14ac:dyDescent="0.3">
      <c r="A259" s="138">
        <v>45986</v>
      </c>
      <c r="B259" s="129" t="s">
        <v>115</v>
      </c>
      <c r="C259" s="130" t="s">
        <v>138</v>
      </c>
      <c r="D259" s="129" t="s">
        <v>1</v>
      </c>
      <c r="E259" s="139">
        <v>1.788194444444444</v>
      </c>
      <c r="F259" s="129" t="s">
        <v>119</v>
      </c>
      <c r="G259" s="131">
        <v>4</v>
      </c>
      <c r="H259" s="140" t="s">
        <v>219</v>
      </c>
    </row>
    <row r="260" spans="1:8" ht="19.8" customHeight="1" x14ac:dyDescent="0.3">
      <c r="A260" s="138">
        <v>45986</v>
      </c>
      <c r="B260" s="129" t="s">
        <v>99</v>
      </c>
      <c r="C260" s="130" t="s">
        <v>104</v>
      </c>
      <c r="D260" s="129" t="s">
        <v>1</v>
      </c>
      <c r="E260" s="139">
        <v>1.2777777777777779</v>
      </c>
      <c r="F260" s="129" t="s">
        <v>101</v>
      </c>
      <c r="G260" s="131">
        <v>9</v>
      </c>
      <c r="H260" s="140" t="s">
        <v>173</v>
      </c>
    </row>
    <row r="261" spans="1:8" ht="19.8" customHeight="1" x14ac:dyDescent="0.3">
      <c r="A261" s="138">
        <v>45986</v>
      </c>
      <c r="B261" s="129" t="s">
        <v>99</v>
      </c>
      <c r="C261" s="130" t="s">
        <v>113</v>
      </c>
      <c r="D261" s="129" t="s">
        <v>1</v>
      </c>
      <c r="E261" s="139">
        <v>1.774305555555556</v>
      </c>
      <c r="F261" s="129" t="s">
        <v>101</v>
      </c>
      <c r="G261" s="131">
        <v>9</v>
      </c>
      <c r="H261" s="140" t="s">
        <v>111</v>
      </c>
    </row>
    <row r="262" spans="1:8" ht="19.8" customHeight="1" x14ac:dyDescent="0.3">
      <c r="A262" s="138">
        <v>45986</v>
      </c>
      <c r="B262" s="129" t="s">
        <v>115</v>
      </c>
      <c r="C262" s="130" t="s">
        <v>132</v>
      </c>
      <c r="D262" s="129" t="s">
        <v>1</v>
      </c>
      <c r="E262" s="139">
        <v>1.6111111111111109</v>
      </c>
      <c r="F262" s="129" t="s">
        <v>117</v>
      </c>
      <c r="G262" s="131">
        <v>2</v>
      </c>
      <c r="H262" s="140" t="s">
        <v>247</v>
      </c>
    </row>
    <row r="263" spans="1:8" ht="19.8" customHeight="1" x14ac:dyDescent="0.3">
      <c r="A263" s="138">
        <v>45986</v>
      </c>
      <c r="B263" s="129" t="s">
        <v>115</v>
      </c>
      <c r="C263" s="130" t="s">
        <v>132</v>
      </c>
      <c r="D263" s="129" t="s">
        <v>1</v>
      </c>
      <c r="E263" s="139">
        <v>1.6111111111111109</v>
      </c>
      <c r="F263" s="129" t="s">
        <v>119</v>
      </c>
      <c r="G263" s="131">
        <v>2</v>
      </c>
      <c r="H263" s="140" t="s">
        <v>248</v>
      </c>
    </row>
    <row r="264" spans="1:8" ht="19.8" customHeight="1" x14ac:dyDescent="0.3">
      <c r="A264" s="141">
        <v>45986</v>
      </c>
      <c r="B264" s="134" t="s">
        <v>85</v>
      </c>
      <c r="C264" s="135" t="s">
        <v>206</v>
      </c>
      <c r="D264" s="134" t="s">
        <v>1</v>
      </c>
      <c r="E264" s="142">
        <v>1.5590277777777779</v>
      </c>
      <c r="F264" s="134" t="s">
        <v>93</v>
      </c>
      <c r="G264" s="134"/>
      <c r="H264" s="137" t="s">
        <v>94</v>
      </c>
    </row>
    <row r="265" spans="1:8" ht="19.8" customHeight="1" x14ac:dyDescent="0.3">
      <c r="A265" s="143">
        <v>45986</v>
      </c>
      <c r="B265" s="144" t="s">
        <v>85</v>
      </c>
      <c r="C265" s="145" t="s">
        <v>157</v>
      </c>
      <c r="D265" s="144" t="s">
        <v>1</v>
      </c>
      <c r="E265" s="146">
        <v>1.729166666666667</v>
      </c>
      <c r="F265" s="144" t="s">
        <v>93</v>
      </c>
      <c r="G265" s="144"/>
      <c r="H265" s="147" t="s">
        <v>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5" t="s">
        <v>387</v>
      </c>
      <c r="B1" s="126" t="s">
        <v>8</v>
      </c>
      <c r="C1" s="126" t="s">
        <v>9</v>
      </c>
      <c r="D1" s="126" t="s">
        <v>388</v>
      </c>
      <c r="E1" s="126" t="s">
        <v>10</v>
      </c>
      <c r="F1" s="126" t="s">
        <v>11</v>
      </c>
      <c r="G1" s="126" t="s">
        <v>12</v>
      </c>
      <c r="H1" s="127" t="s">
        <v>13</v>
      </c>
    </row>
    <row r="2" spans="1:8" ht="19.8" customHeight="1" x14ac:dyDescent="0.3">
      <c r="A2" s="133" t="s">
        <v>389</v>
      </c>
      <c r="B2" s="134" t="s">
        <v>85</v>
      </c>
      <c r="C2" s="135" t="s">
        <v>86</v>
      </c>
      <c r="D2" s="134" t="s">
        <v>1</v>
      </c>
      <c r="E2" s="134" t="s">
        <v>298</v>
      </c>
      <c r="F2" s="134" t="s">
        <v>87</v>
      </c>
      <c r="G2" s="136">
        <v>1</v>
      </c>
      <c r="H2" s="137" t="s">
        <v>88</v>
      </c>
    </row>
    <row r="3" spans="1:8" ht="19.8" customHeight="1" x14ac:dyDescent="0.3">
      <c r="A3" s="138">
        <v>45983</v>
      </c>
      <c r="B3" s="129" t="s">
        <v>99</v>
      </c>
      <c r="C3" s="130" t="s">
        <v>100</v>
      </c>
      <c r="D3" s="129" t="s">
        <v>1</v>
      </c>
      <c r="E3" s="139">
        <v>1.229166666666667</v>
      </c>
      <c r="F3" s="129" t="s">
        <v>101</v>
      </c>
      <c r="G3" s="131">
        <v>9</v>
      </c>
      <c r="H3" s="140" t="s">
        <v>103</v>
      </c>
    </row>
    <row r="4" spans="1:8" ht="19.8" customHeight="1" x14ac:dyDescent="0.3">
      <c r="A4" s="141">
        <v>45983</v>
      </c>
      <c r="B4" s="134" t="s">
        <v>85</v>
      </c>
      <c r="C4" s="135" t="s">
        <v>92</v>
      </c>
      <c r="D4" s="134" t="s">
        <v>1</v>
      </c>
      <c r="E4" s="142">
        <v>1.2361111111111109</v>
      </c>
      <c r="F4" s="134" t="s">
        <v>93</v>
      </c>
      <c r="G4" s="134"/>
      <c r="H4" s="137" t="s">
        <v>94</v>
      </c>
    </row>
    <row r="5" spans="1:8" ht="19.8" customHeight="1" x14ac:dyDescent="0.3">
      <c r="A5" s="143">
        <v>45983</v>
      </c>
      <c r="B5" s="144" t="s">
        <v>85</v>
      </c>
      <c r="C5" s="145" t="s">
        <v>97</v>
      </c>
      <c r="D5" s="144" t="s">
        <v>1</v>
      </c>
      <c r="E5" s="146">
        <v>1.333333333333333</v>
      </c>
      <c r="F5" s="144" t="s">
        <v>93</v>
      </c>
      <c r="G5" s="144"/>
      <c r="H5" s="147" t="s">
        <v>94</v>
      </c>
    </row>
    <row r="6" spans="1:8" ht="19.8" customHeight="1" x14ac:dyDescent="0.3">
      <c r="A6" s="141">
        <v>45984</v>
      </c>
      <c r="B6" s="134" t="s">
        <v>85</v>
      </c>
      <c r="C6" s="135" t="s">
        <v>142</v>
      </c>
      <c r="D6" s="134" t="s">
        <v>1</v>
      </c>
      <c r="E6" s="142">
        <v>1.333333333333333</v>
      </c>
      <c r="F6" s="134" t="s">
        <v>87</v>
      </c>
      <c r="G6" s="136">
        <v>1</v>
      </c>
      <c r="H6" s="148">
        <v>586</v>
      </c>
    </row>
    <row r="7" spans="1:8" ht="19.8" customHeight="1" x14ac:dyDescent="0.3">
      <c r="A7" s="138">
        <v>45984</v>
      </c>
      <c r="B7" s="129" t="s">
        <v>72</v>
      </c>
      <c r="C7" s="130" t="s">
        <v>73</v>
      </c>
      <c r="D7" s="129" t="s">
        <v>1</v>
      </c>
      <c r="E7" s="139">
        <v>1.3888888888888891</v>
      </c>
      <c r="F7" s="129" t="s">
        <v>166</v>
      </c>
      <c r="G7" s="131">
        <v>9</v>
      </c>
      <c r="H7" s="132">
        <v>606</v>
      </c>
    </row>
    <row r="8" spans="1:8" ht="19.8" customHeight="1" x14ac:dyDescent="0.3">
      <c r="A8" s="138">
        <v>45984</v>
      </c>
      <c r="B8" s="129" t="s">
        <v>82</v>
      </c>
      <c r="C8" s="130" t="s">
        <v>168</v>
      </c>
      <c r="D8" s="129" t="s">
        <v>1</v>
      </c>
      <c r="E8" s="139">
        <v>1.3472222222222221</v>
      </c>
      <c r="F8" s="129" t="s">
        <v>80</v>
      </c>
      <c r="G8" s="131">
        <v>9</v>
      </c>
      <c r="H8" s="132">
        <v>645</v>
      </c>
    </row>
    <row r="9" spans="1:8" ht="19.8" customHeight="1" x14ac:dyDescent="0.3">
      <c r="A9" s="138">
        <v>45984</v>
      </c>
      <c r="B9" s="129" t="s">
        <v>82</v>
      </c>
      <c r="C9" s="130" t="s">
        <v>83</v>
      </c>
      <c r="D9" s="129" t="s">
        <v>1</v>
      </c>
      <c r="E9" s="139">
        <v>1.274305555555556</v>
      </c>
      <c r="F9" s="129" t="s">
        <v>80</v>
      </c>
      <c r="G9" s="131">
        <v>9</v>
      </c>
      <c r="H9" s="132">
        <v>695</v>
      </c>
    </row>
    <row r="10" spans="1:8" ht="19.8" customHeight="1" x14ac:dyDescent="0.3">
      <c r="A10" s="141">
        <v>45984</v>
      </c>
      <c r="B10" s="134" t="s">
        <v>85</v>
      </c>
      <c r="C10" s="135" t="s">
        <v>147</v>
      </c>
      <c r="D10" s="134" t="s">
        <v>1</v>
      </c>
      <c r="E10" s="142">
        <v>1.083333333333333</v>
      </c>
      <c r="F10" s="134" t="s">
        <v>87</v>
      </c>
      <c r="G10" s="136">
        <v>1</v>
      </c>
      <c r="H10" s="148">
        <v>706</v>
      </c>
    </row>
    <row r="11" spans="1:8" ht="19.8" customHeight="1" x14ac:dyDescent="0.3">
      <c r="A11" s="141">
        <v>45984</v>
      </c>
      <c r="B11" s="134" t="s">
        <v>85</v>
      </c>
      <c r="C11" s="135" t="s">
        <v>152</v>
      </c>
      <c r="D11" s="134" t="s">
        <v>1</v>
      </c>
      <c r="E11" s="142">
        <v>1.319444444444444</v>
      </c>
      <c r="F11" s="134" t="s">
        <v>87</v>
      </c>
      <c r="G11" s="136">
        <v>5</v>
      </c>
      <c r="H11" s="148">
        <v>706</v>
      </c>
    </row>
    <row r="12" spans="1:8" ht="19.8" customHeight="1" x14ac:dyDescent="0.3">
      <c r="A12" s="141">
        <v>45984</v>
      </c>
      <c r="B12" s="134" t="s">
        <v>85</v>
      </c>
      <c r="C12" s="135" t="s">
        <v>155</v>
      </c>
      <c r="D12" s="134" t="s">
        <v>1</v>
      </c>
      <c r="E12" s="142">
        <v>1.510416666666667</v>
      </c>
      <c r="F12" s="134" t="s">
        <v>87</v>
      </c>
      <c r="G12" s="136">
        <v>5</v>
      </c>
      <c r="H12" s="148">
        <v>781</v>
      </c>
    </row>
    <row r="13" spans="1:8" ht="19.8" customHeight="1" x14ac:dyDescent="0.3">
      <c r="A13" s="143">
        <v>45984</v>
      </c>
      <c r="B13" s="144" t="s">
        <v>85</v>
      </c>
      <c r="C13" s="145" t="s">
        <v>89</v>
      </c>
      <c r="D13" s="144" t="s">
        <v>1</v>
      </c>
      <c r="E13" s="146">
        <v>1.631944444444444</v>
      </c>
      <c r="F13" s="144" t="s">
        <v>93</v>
      </c>
      <c r="G13" s="144"/>
      <c r="H13" s="147" t="s">
        <v>94</v>
      </c>
    </row>
    <row r="14" spans="1:8" ht="19.8" customHeight="1" x14ac:dyDescent="0.3">
      <c r="A14" s="138">
        <v>45985</v>
      </c>
      <c r="B14" s="129" t="s">
        <v>72</v>
      </c>
      <c r="C14" s="130" t="s">
        <v>77</v>
      </c>
      <c r="D14" s="129" t="s">
        <v>1</v>
      </c>
      <c r="E14" s="139">
        <v>1.1736111111111109</v>
      </c>
      <c r="F14" s="129" t="s">
        <v>74</v>
      </c>
      <c r="G14" s="131">
        <v>9</v>
      </c>
      <c r="H14" s="132">
        <v>568</v>
      </c>
    </row>
    <row r="15" spans="1:8" ht="19.8" customHeight="1" x14ac:dyDescent="0.3">
      <c r="A15" s="141">
        <v>45985</v>
      </c>
      <c r="B15" s="134" t="s">
        <v>85</v>
      </c>
      <c r="C15" s="135" t="s">
        <v>155</v>
      </c>
      <c r="D15" s="134" t="s">
        <v>1</v>
      </c>
      <c r="E15" s="142">
        <v>1.979166666666667</v>
      </c>
      <c r="F15" s="134" t="s">
        <v>87</v>
      </c>
      <c r="G15" s="136">
        <v>4</v>
      </c>
      <c r="H15" s="148">
        <v>586</v>
      </c>
    </row>
    <row r="16" spans="1:8" ht="19.8" customHeight="1" x14ac:dyDescent="0.3">
      <c r="A16" s="141">
        <v>45985</v>
      </c>
      <c r="B16" s="134" t="s">
        <v>85</v>
      </c>
      <c r="C16" s="135" t="s">
        <v>152</v>
      </c>
      <c r="D16" s="134" t="s">
        <v>1</v>
      </c>
      <c r="E16" s="142">
        <v>1.4236111111111109</v>
      </c>
      <c r="F16" s="134" t="s">
        <v>87</v>
      </c>
      <c r="G16" s="136">
        <v>2</v>
      </c>
      <c r="H16" s="148">
        <v>586</v>
      </c>
    </row>
    <row r="17" spans="1:8" ht="19.8" customHeight="1" x14ac:dyDescent="0.3">
      <c r="A17" s="141">
        <v>45985</v>
      </c>
      <c r="B17" s="134" t="s">
        <v>85</v>
      </c>
      <c r="C17" s="135" t="s">
        <v>205</v>
      </c>
      <c r="D17" s="134" t="s">
        <v>1</v>
      </c>
      <c r="E17" s="142">
        <v>1.006944444444444</v>
      </c>
      <c r="F17" s="134" t="s">
        <v>87</v>
      </c>
      <c r="G17" s="136">
        <v>4</v>
      </c>
      <c r="H17" s="148">
        <v>586</v>
      </c>
    </row>
    <row r="18" spans="1:8" ht="19.8" customHeight="1" x14ac:dyDescent="0.3">
      <c r="A18" s="138">
        <v>45985</v>
      </c>
      <c r="B18" s="129" t="s">
        <v>72</v>
      </c>
      <c r="C18" s="130" t="s">
        <v>73</v>
      </c>
      <c r="D18" s="129" t="s">
        <v>1</v>
      </c>
      <c r="E18" s="139">
        <v>1.3923611111111109</v>
      </c>
      <c r="F18" s="129" t="s">
        <v>74</v>
      </c>
      <c r="G18" s="131">
        <v>7</v>
      </c>
      <c r="H18" s="132">
        <v>592</v>
      </c>
    </row>
    <row r="19" spans="1:8" ht="19.8" customHeight="1" x14ac:dyDescent="0.3">
      <c r="A19" s="138">
        <v>45985</v>
      </c>
      <c r="B19" s="129" t="s">
        <v>82</v>
      </c>
      <c r="C19" s="130" t="s">
        <v>211</v>
      </c>
      <c r="D19" s="129" t="s">
        <v>1</v>
      </c>
      <c r="E19" s="139">
        <v>1.208333333333333</v>
      </c>
      <c r="F19" s="129" t="s">
        <v>80</v>
      </c>
      <c r="G19" s="131">
        <v>9</v>
      </c>
      <c r="H19" s="132">
        <v>595</v>
      </c>
    </row>
    <row r="20" spans="1:8" ht="19.8" customHeight="1" x14ac:dyDescent="0.3">
      <c r="A20" s="138">
        <v>45985</v>
      </c>
      <c r="B20" s="129" t="s">
        <v>78</v>
      </c>
      <c r="C20" s="130" t="s">
        <v>79</v>
      </c>
      <c r="D20" s="129" t="s">
        <v>1</v>
      </c>
      <c r="E20" s="139">
        <v>1.666666666666667</v>
      </c>
      <c r="F20" s="129" t="s">
        <v>80</v>
      </c>
      <c r="G20" s="131">
        <v>6</v>
      </c>
      <c r="H20" s="132">
        <v>599</v>
      </c>
    </row>
    <row r="21" spans="1:8" ht="19.8" customHeight="1" x14ac:dyDescent="0.3">
      <c r="A21" s="138">
        <v>45985</v>
      </c>
      <c r="B21" s="129" t="s">
        <v>78</v>
      </c>
      <c r="C21" s="130" t="s">
        <v>165</v>
      </c>
      <c r="D21" s="129" t="s">
        <v>1</v>
      </c>
      <c r="E21" s="139">
        <v>1.3125</v>
      </c>
      <c r="F21" s="129" t="s">
        <v>80</v>
      </c>
      <c r="G21" s="131">
        <v>8</v>
      </c>
      <c r="H21" s="132">
        <v>599</v>
      </c>
    </row>
    <row r="22" spans="1:8" ht="19.8" customHeight="1" x14ac:dyDescent="0.3">
      <c r="A22" s="138">
        <v>45985</v>
      </c>
      <c r="B22" s="129" t="s">
        <v>47</v>
      </c>
      <c r="C22" s="130" t="s">
        <v>62</v>
      </c>
      <c r="D22" s="129" t="s">
        <v>1</v>
      </c>
      <c r="E22" s="139">
        <v>1.256944444444444</v>
      </c>
      <c r="F22" s="129" t="s">
        <v>52</v>
      </c>
      <c r="G22" s="131">
        <v>8</v>
      </c>
      <c r="H22" s="132">
        <v>609</v>
      </c>
    </row>
    <row r="23" spans="1:8" ht="19.8" customHeight="1" x14ac:dyDescent="0.3">
      <c r="A23" s="138">
        <v>45985</v>
      </c>
      <c r="B23" s="129" t="s">
        <v>47</v>
      </c>
      <c r="C23" s="130" t="s">
        <v>48</v>
      </c>
      <c r="D23" s="129" t="s">
        <v>1</v>
      </c>
      <c r="E23" s="139">
        <v>1.9027777777777779</v>
      </c>
      <c r="F23" s="129" t="s">
        <v>52</v>
      </c>
      <c r="G23" s="131">
        <v>5</v>
      </c>
      <c r="H23" s="132">
        <v>609</v>
      </c>
    </row>
    <row r="24" spans="1:8" ht="19.8" customHeight="1" x14ac:dyDescent="0.3">
      <c r="A24" s="138">
        <v>45985</v>
      </c>
      <c r="B24" s="129" t="s">
        <v>47</v>
      </c>
      <c r="C24" s="130" t="s">
        <v>68</v>
      </c>
      <c r="D24" s="129" t="s">
        <v>1</v>
      </c>
      <c r="E24" s="139">
        <v>1.645833333333333</v>
      </c>
      <c r="F24" s="129" t="s">
        <v>52</v>
      </c>
      <c r="G24" s="131">
        <v>2</v>
      </c>
      <c r="H24" s="132">
        <v>609</v>
      </c>
    </row>
    <row r="25" spans="1:8" ht="19.8" customHeight="1" x14ac:dyDescent="0.3">
      <c r="A25" s="138">
        <v>45985</v>
      </c>
      <c r="B25" s="129" t="s">
        <v>47</v>
      </c>
      <c r="C25" s="130" t="s">
        <v>56</v>
      </c>
      <c r="D25" s="129" t="s">
        <v>1</v>
      </c>
      <c r="E25" s="139">
        <v>1.5173611111111109</v>
      </c>
      <c r="F25" s="129" t="s">
        <v>52</v>
      </c>
      <c r="G25" s="131">
        <v>6</v>
      </c>
      <c r="H25" s="132">
        <v>609</v>
      </c>
    </row>
    <row r="26" spans="1:8" ht="19.8" customHeight="1" x14ac:dyDescent="0.3">
      <c r="A26" s="138">
        <v>45985</v>
      </c>
      <c r="B26" s="129" t="s">
        <v>47</v>
      </c>
      <c r="C26" s="130" t="s">
        <v>71</v>
      </c>
      <c r="D26" s="129" t="s">
        <v>1</v>
      </c>
      <c r="E26" s="139">
        <v>1.854166666666667</v>
      </c>
      <c r="F26" s="129" t="s">
        <v>52</v>
      </c>
      <c r="G26" s="131">
        <v>3</v>
      </c>
      <c r="H26" s="132">
        <v>609</v>
      </c>
    </row>
    <row r="27" spans="1:8" ht="19.8" customHeight="1" x14ac:dyDescent="0.3">
      <c r="A27" s="138">
        <v>45985</v>
      </c>
      <c r="B27" s="129" t="s">
        <v>47</v>
      </c>
      <c r="C27" s="130" t="s">
        <v>59</v>
      </c>
      <c r="D27" s="129" t="s">
        <v>1</v>
      </c>
      <c r="E27" s="139">
        <v>1.7986111111111109</v>
      </c>
      <c r="F27" s="129" t="s">
        <v>52</v>
      </c>
      <c r="G27" s="131">
        <v>9</v>
      </c>
      <c r="H27" s="132">
        <v>609</v>
      </c>
    </row>
    <row r="28" spans="1:8" ht="19.8" customHeight="1" x14ac:dyDescent="0.3">
      <c r="A28" s="143">
        <v>45985</v>
      </c>
      <c r="B28" s="144" t="s">
        <v>85</v>
      </c>
      <c r="C28" s="145" t="s">
        <v>86</v>
      </c>
      <c r="D28" s="144" t="s">
        <v>1</v>
      </c>
      <c r="E28" s="146">
        <v>1.614583333333333</v>
      </c>
      <c r="F28" s="144" t="s">
        <v>87</v>
      </c>
      <c r="G28" s="155">
        <v>5</v>
      </c>
      <c r="H28" s="156">
        <v>646</v>
      </c>
    </row>
    <row r="29" spans="1:8" ht="19.8" customHeight="1" x14ac:dyDescent="0.3">
      <c r="A29" s="138">
        <v>45986</v>
      </c>
      <c r="B29" s="129" t="s">
        <v>78</v>
      </c>
      <c r="C29" s="130" t="s">
        <v>222</v>
      </c>
      <c r="D29" s="129" t="s">
        <v>1</v>
      </c>
      <c r="E29" s="139">
        <v>1.0451388888888891</v>
      </c>
      <c r="F29" s="129" t="s">
        <v>80</v>
      </c>
      <c r="G29" s="131">
        <v>1</v>
      </c>
      <c r="H29" s="132">
        <v>401</v>
      </c>
    </row>
    <row r="30" spans="1:8" ht="19.8" customHeight="1" x14ac:dyDescent="0.3">
      <c r="A30" s="141">
        <v>45986</v>
      </c>
      <c r="B30" s="134" t="s">
        <v>85</v>
      </c>
      <c r="C30" s="135" t="s">
        <v>230</v>
      </c>
      <c r="D30" s="134" t="s">
        <v>1</v>
      </c>
      <c r="E30" s="142">
        <v>1.229166666666667</v>
      </c>
      <c r="F30" s="134" t="s">
        <v>87</v>
      </c>
      <c r="G30" s="136">
        <v>1</v>
      </c>
      <c r="H30" s="148">
        <v>471</v>
      </c>
    </row>
    <row r="31" spans="1:8" ht="19.8" customHeight="1" x14ac:dyDescent="0.3">
      <c r="A31" s="141">
        <v>45986</v>
      </c>
      <c r="B31" s="134" t="s">
        <v>85</v>
      </c>
      <c r="C31" s="135" t="s">
        <v>152</v>
      </c>
      <c r="D31" s="134" t="s">
        <v>1</v>
      </c>
      <c r="E31" s="142">
        <v>1.96875</v>
      </c>
      <c r="F31" s="134" t="s">
        <v>87</v>
      </c>
      <c r="G31" s="136">
        <v>1</v>
      </c>
      <c r="H31" s="148">
        <v>471</v>
      </c>
    </row>
    <row r="32" spans="1:8" ht="19.8" customHeight="1" x14ac:dyDescent="0.3">
      <c r="A32" s="141">
        <v>45986</v>
      </c>
      <c r="B32" s="134" t="s">
        <v>85</v>
      </c>
      <c r="C32" s="135" t="s">
        <v>147</v>
      </c>
      <c r="D32" s="134" t="s">
        <v>1</v>
      </c>
      <c r="E32" s="142">
        <v>1.9340277777777779</v>
      </c>
      <c r="F32" s="134" t="s">
        <v>87</v>
      </c>
      <c r="G32" s="136">
        <v>3</v>
      </c>
      <c r="H32" s="148">
        <v>526</v>
      </c>
    </row>
    <row r="33" spans="1:8" ht="19.8" customHeight="1" x14ac:dyDescent="0.3">
      <c r="A33" s="141">
        <v>45986</v>
      </c>
      <c r="B33" s="134" t="s">
        <v>85</v>
      </c>
      <c r="C33" s="135" t="s">
        <v>86</v>
      </c>
      <c r="D33" s="134" t="s">
        <v>1</v>
      </c>
      <c r="E33" s="142">
        <v>1.614583333333333</v>
      </c>
      <c r="F33" s="134" t="s">
        <v>87</v>
      </c>
      <c r="G33" s="136">
        <v>4</v>
      </c>
      <c r="H33" s="148">
        <v>526</v>
      </c>
    </row>
    <row r="34" spans="1:8" ht="19.8" customHeight="1" x14ac:dyDescent="0.3">
      <c r="A34" s="141">
        <v>45986</v>
      </c>
      <c r="B34" s="134" t="s">
        <v>85</v>
      </c>
      <c r="C34" s="135" t="s">
        <v>206</v>
      </c>
      <c r="D34" s="134" t="s">
        <v>1</v>
      </c>
      <c r="E34" s="142">
        <v>1.5590277777777779</v>
      </c>
      <c r="F34" s="134" t="s">
        <v>93</v>
      </c>
      <c r="G34" s="134"/>
      <c r="H34" s="137" t="s">
        <v>94</v>
      </c>
    </row>
    <row r="35" spans="1:8" ht="19.8" customHeight="1" x14ac:dyDescent="0.3">
      <c r="A35" s="143">
        <v>45986</v>
      </c>
      <c r="B35" s="144" t="s">
        <v>85</v>
      </c>
      <c r="C35" s="145" t="s">
        <v>157</v>
      </c>
      <c r="D35" s="144" t="s">
        <v>1</v>
      </c>
      <c r="E35" s="146">
        <v>1.729166666666667</v>
      </c>
      <c r="F35" s="144" t="s">
        <v>93</v>
      </c>
      <c r="G35" s="144"/>
      <c r="H35" s="147" t="s">
        <v>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00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2.88671875" bestFit="1" customWidth="1"/>
    <col min="5" max="5" width="20.1093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4.6640625" bestFit="1" customWidth="1"/>
  </cols>
  <sheetData>
    <row r="1" spans="1:92" ht="28.8" customHeight="1" x14ac:dyDescent="0.3">
      <c r="A1" s="190" t="s">
        <v>0</v>
      </c>
      <c r="B1" s="189"/>
      <c r="C1" s="189"/>
      <c r="D1" s="189"/>
      <c r="E1" s="189"/>
      <c r="F1" s="1" t="s">
        <v>405</v>
      </c>
      <c r="G1" s="2" t="s">
        <v>2</v>
      </c>
      <c r="H1" s="188">
        <v>45983</v>
      </c>
      <c r="I1" s="189"/>
      <c r="J1" s="189"/>
      <c r="K1" s="189"/>
      <c r="L1" s="189"/>
      <c r="M1" s="1" t="s">
        <v>3</v>
      </c>
      <c r="N1" s="197">
        <v>45986</v>
      </c>
      <c r="O1" s="189"/>
      <c r="P1" s="189"/>
      <c r="Q1" s="189"/>
      <c r="R1" s="18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4</v>
      </c>
      <c r="B2" s="189"/>
      <c r="C2" s="189"/>
      <c r="D2" s="189"/>
      <c r="E2" s="189"/>
      <c r="F2" s="189"/>
      <c r="G2" s="195">
        <v>45981.154116159283</v>
      </c>
      <c r="H2" s="189"/>
      <c r="I2" s="189"/>
      <c r="J2" s="189"/>
      <c r="K2" s="198">
        <v>45981.154116159523</v>
      </c>
      <c r="L2" s="189"/>
      <c r="M2" s="189"/>
      <c r="N2" s="189"/>
      <c r="O2" s="189"/>
      <c r="P2" s="189"/>
      <c r="Q2" s="189"/>
      <c r="R2" s="18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3" t="s">
        <v>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6" t="s">
        <v>6</v>
      </c>
      <c r="B4" s="185"/>
      <c r="C4" s="185"/>
      <c r="D4" s="185"/>
      <c r="E4" s="185"/>
      <c r="F4" s="186"/>
      <c r="G4" s="4">
        <v>45983</v>
      </c>
      <c r="H4" s="191" t="s">
        <v>7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72</v>
      </c>
      <c r="B6" s="8" t="s">
        <v>406</v>
      </c>
      <c r="C6" s="9">
        <v>0.52777777777777779</v>
      </c>
      <c r="D6" s="8" t="s">
        <v>407</v>
      </c>
      <c r="E6" s="8" t="s">
        <v>163</v>
      </c>
      <c r="F6" s="8" t="s">
        <v>408</v>
      </c>
      <c r="G6" s="1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72</v>
      </c>
      <c r="B7" s="15" t="s">
        <v>406</v>
      </c>
      <c r="C7" s="16">
        <v>0.52777777777777779</v>
      </c>
      <c r="D7" s="15" t="s">
        <v>409</v>
      </c>
      <c r="E7" s="15" t="s">
        <v>186</v>
      </c>
      <c r="F7" s="15" t="s">
        <v>410</v>
      </c>
      <c r="G7" s="1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72</v>
      </c>
      <c r="B8" s="15" t="s">
        <v>406</v>
      </c>
      <c r="C8" s="16">
        <v>0.52777777777777779</v>
      </c>
      <c r="D8" s="15" t="s">
        <v>34</v>
      </c>
      <c r="E8" s="15" t="s">
        <v>186</v>
      </c>
      <c r="F8" s="15" t="s">
        <v>411</v>
      </c>
      <c r="G8" s="1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9" t="s">
        <v>26</v>
      </c>
      <c r="B9" s="19" t="s">
        <v>412</v>
      </c>
      <c r="C9" s="20">
        <v>0.25694444444444448</v>
      </c>
      <c r="D9" s="19" t="s">
        <v>413</v>
      </c>
      <c r="E9" s="19" t="s">
        <v>200</v>
      </c>
      <c r="F9" s="19" t="s">
        <v>414</v>
      </c>
      <c r="G9" s="1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412</v>
      </c>
      <c r="C10" s="16">
        <v>0.25694444444444448</v>
      </c>
      <c r="D10" s="15" t="s">
        <v>407</v>
      </c>
      <c r="E10" s="15" t="s">
        <v>70</v>
      </c>
      <c r="F10" s="15" t="s">
        <v>415</v>
      </c>
      <c r="G10" s="1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412</v>
      </c>
      <c r="C11" s="16">
        <v>0.25694444444444448</v>
      </c>
      <c r="D11" s="15" t="s">
        <v>409</v>
      </c>
      <c r="E11" s="15" t="s">
        <v>70</v>
      </c>
      <c r="F11" s="15" t="s">
        <v>416</v>
      </c>
      <c r="G11" s="1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5" t="s">
        <v>26</v>
      </c>
      <c r="B12" s="15" t="s">
        <v>412</v>
      </c>
      <c r="C12" s="16">
        <v>0.25694444444444448</v>
      </c>
      <c r="D12" s="15" t="s">
        <v>417</v>
      </c>
      <c r="E12" s="15" t="s">
        <v>70</v>
      </c>
      <c r="F12" s="15" t="s">
        <v>418</v>
      </c>
      <c r="G12" s="1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9" t="s">
        <v>99</v>
      </c>
      <c r="B13" s="19" t="s">
        <v>419</v>
      </c>
      <c r="C13" s="20">
        <v>0.60416666666666663</v>
      </c>
      <c r="D13" s="19" t="s">
        <v>101</v>
      </c>
      <c r="E13" s="19" t="s">
        <v>420</v>
      </c>
      <c r="F13" s="19" t="s">
        <v>421</v>
      </c>
      <c r="G13" s="1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9" t="s">
        <v>115</v>
      </c>
      <c r="B14" s="19" t="s">
        <v>422</v>
      </c>
      <c r="C14" s="20">
        <v>0.71180555555555547</v>
      </c>
      <c r="D14" s="19" t="s">
        <v>117</v>
      </c>
      <c r="E14" s="19" t="s">
        <v>29</v>
      </c>
      <c r="F14" s="19" t="s">
        <v>423</v>
      </c>
      <c r="G14" s="1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5" t="s">
        <v>115</v>
      </c>
      <c r="B15" s="15" t="s">
        <v>422</v>
      </c>
      <c r="C15" s="16">
        <v>0.71180555555555547</v>
      </c>
      <c r="D15" s="15" t="s">
        <v>119</v>
      </c>
      <c r="E15" s="15" t="s">
        <v>32</v>
      </c>
      <c r="F15" s="15" t="s">
        <v>424</v>
      </c>
      <c r="G15" s="1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7" t="s">
        <v>85</v>
      </c>
      <c r="B16" s="157" t="s">
        <v>425</v>
      </c>
      <c r="C16" s="158">
        <v>0.45833333333333331</v>
      </c>
      <c r="D16" s="157" t="s">
        <v>93</v>
      </c>
      <c r="E16" s="159"/>
      <c r="F16" s="157" t="s">
        <v>94</v>
      </c>
      <c r="G16" s="182"/>
      <c r="H16" s="99" t="s">
        <v>425</v>
      </c>
      <c r="I16" s="100">
        <v>1</v>
      </c>
      <c r="J16" s="101">
        <v>179</v>
      </c>
      <c r="K16" s="102">
        <v>45980</v>
      </c>
      <c r="L16" s="101">
        <v>12</v>
      </c>
      <c r="M16" s="101">
        <v>0</v>
      </c>
      <c r="N16" s="101">
        <v>2</v>
      </c>
      <c r="O16" s="103" t="s">
        <v>95</v>
      </c>
      <c r="P16" s="104">
        <v>0.45833333333333331</v>
      </c>
      <c r="Q16" s="101">
        <v>179</v>
      </c>
      <c r="R16" s="105" t="s">
        <v>426</v>
      </c>
    </row>
    <row r="17" spans="1:18" ht="15" customHeight="1" x14ac:dyDescent="0.3">
      <c r="A17" s="86" t="s">
        <v>85</v>
      </c>
      <c r="B17" s="86" t="s">
        <v>427</v>
      </c>
      <c r="C17" s="87">
        <v>0.79166666666666663</v>
      </c>
      <c r="D17" s="86" t="s">
        <v>93</v>
      </c>
      <c r="E17" s="160"/>
      <c r="F17" s="86" t="s">
        <v>94</v>
      </c>
      <c r="G17" s="182"/>
      <c r="H17" s="88" t="s">
        <v>427</v>
      </c>
      <c r="I17" s="89">
        <v>1</v>
      </c>
      <c r="J17" s="90">
        <v>179</v>
      </c>
      <c r="K17" s="91">
        <v>45980</v>
      </c>
      <c r="L17" s="90">
        <v>8</v>
      </c>
      <c r="M17" s="90">
        <v>0</v>
      </c>
      <c r="N17" s="90">
        <v>2</v>
      </c>
      <c r="O17" s="92" t="s">
        <v>95</v>
      </c>
      <c r="P17" s="93">
        <v>0.79166666666666663</v>
      </c>
      <c r="Q17" s="90">
        <v>179</v>
      </c>
      <c r="R17" s="94" t="s">
        <v>428</v>
      </c>
    </row>
    <row r="18" spans="1:18" ht="18" x14ac:dyDescent="0.3">
      <c r="A18" s="199" t="s">
        <v>429</v>
      </c>
      <c r="B18" s="200"/>
      <c r="C18" s="200"/>
      <c r="D18" s="200"/>
      <c r="E18" s="200"/>
      <c r="F18" s="201"/>
      <c r="G18" s="182"/>
      <c r="H18" s="161"/>
      <c r="I18" s="161"/>
      <c r="J18" s="161"/>
      <c r="K18" s="161"/>
      <c r="L18" s="161"/>
      <c r="M18" s="161"/>
      <c r="N18" s="161"/>
      <c r="O18" s="162"/>
      <c r="P18" s="161"/>
      <c r="Q18" s="124"/>
      <c r="R18" s="124"/>
    </row>
    <row r="19" spans="1:18" ht="15" customHeight="1" x14ac:dyDescent="0.3">
      <c r="A19" s="17" t="s">
        <v>26</v>
      </c>
      <c r="B19" s="17" t="s">
        <v>27</v>
      </c>
      <c r="C19" s="18" t="s">
        <v>390</v>
      </c>
      <c r="D19" s="17" t="s">
        <v>28</v>
      </c>
      <c r="E19" s="17" t="s">
        <v>430</v>
      </c>
      <c r="F19" s="17" t="s">
        <v>30</v>
      </c>
      <c r="G19" s="182"/>
      <c r="H19" s="161"/>
      <c r="I19" s="161"/>
      <c r="J19" s="161"/>
      <c r="K19" s="161"/>
      <c r="L19" s="161"/>
      <c r="M19" s="161"/>
      <c r="N19" s="161"/>
      <c r="O19" s="162"/>
      <c r="P19" s="161"/>
      <c r="Q19" s="124"/>
      <c r="R19" s="124"/>
    </row>
    <row r="20" spans="1:18" ht="15" customHeight="1" x14ac:dyDescent="0.3">
      <c r="A20" s="17" t="s">
        <v>26</v>
      </c>
      <c r="B20" s="17" t="s">
        <v>36</v>
      </c>
      <c r="C20" s="18" t="s">
        <v>391</v>
      </c>
      <c r="D20" s="17" t="s">
        <v>28</v>
      </c>
      <c r="E20" s="17" t="s">
        <v>431</v>
      </c>
      <c r="F20" s="17" t="s">
        <v>30</v>
      </c>
      <c r="G20" s="182"/>
      <c r="H20" s="161"/>
      <c r="I20" s="161"/>
      <c r="J20" s="161"/>
      <c r="K20" s="161"/>
      <c r="L20" s="161"/>
      <c r="M20" s="161"/>
      <c r="N20" s="161"/>
      <c r="O20" s="162"/>
      <c r="P20" s="161"/>
      <c r="Q20" s="124"/>
      <c r="R20" s="124"/>
    </row>
    <row r="21" spans="1:18" ht="15" customHeight="1" x14ac:dyDescent="0.3">
      <c r="A21" s="17" t="s">
        <v>26</v>
      </c>
      <c r="B21" s="17" t="s">
        <v>39</v>
      </c>
      <c r="C21" s="18" t="s">
        <v>392</v>
      </c>
      <c r="D21" s="17" t="s">
        <v>28</v>
      </c>
      <c r="E21" s="17" t="s">
        <v>432</v>
      </c>
      <c r="F21" s="17" t="s">
        <v>30</v>
      </c>
      <c r="G21" s="182"/>
      <c r="H21" s="161"/>
      <c r="I21" s="161"/>
      <c r="J21" s="161"/>
      <c r="K21" s="161"/>
      <c r="L21" s="161"/>
      <c r="M21" s="161"/>
      <c r="N21" s="161"/>
      <c r="O21" s="162"/>
      <c r="P21" s="161"/>
      <c r="Q21" s="124"/>
      <c r="R21" s="124"/>
    </row>
    <row r="22" spans="1:18" ht="15" customHeight="1" x14ac:dyDescent="0.3">
      <c r="A22" s="17" t="s">
        <v>47</v>
      </c>
      <c r="B22" s="17" t="s">
        <v>48</v>
      </c>
      <c r="C22" s="18" t="s">
        <v>393</v>
      </c>
      <c r="D22" s="17" t="s">
        <v>49</v>
      </c>
      <c r="E22" s="17" t="s">
        <v>432</v>
      </c>
      <c r="F22" s="17" t="s">
        <v>51</v>
      </c>
      <c r="G22" s="182"/>
      <c r="H22" s="161"/>
      <c r="I22" s="161"/>
      <c r="J22" s="161"/>
      <c r="K22" s="161"/>
      <c r="L22" s="161"/>
      <c r="M22" s="161"/>
      <c r="N22" s="161"/>
      <c r="O22" s="162"/>
      <c r="P22" s="161"/>
      <c r="Q22" s="124"/>
      <c r="R22" s="124"/>
    </row>
    <row r="23" spans="1:18" ht="15" customHeight="1" x14ac:dyDescent="0.3">
      <c r="A23" s="17" t="s">
        <v>47</v>
      </c>
      <c r="B23" s="17" t="s">
        <v>56</v>
      </c>
      <c r="C23" s="18" t="s">
        <v>394</v>
      </c>
      <c r="D23" s="17" t="s">
        <v>49</v>
      </c>
      <c r="E23" s="17" t="s">
        <v>430</v>
      </c>
      <c r="F23" s="17" t="s">
        <v>51</v>
      </c>
      <c r="G23" s="182"/>
      <c r="H23" s="161"/>
      <c r="I23" s="161"/>
      <c r="J23" s="161"/>
      <c r="K23" s="161"/>
      <c r="L23" s="161"/>
      <c r="M23" s="161"/>
      <c r="N23" s="161"/>
      <c r="O23" s="162"/>
      <c r="P23" s="161"/>
      <c r="Q23" s="124"/>
      <c r="R23" s="124"/>
    </row>
    <row r="24" spans="1:18" ht="15" customHeight="1" x14ac:dyDescent="0.3">
      <c r="A24" s="17" t="s">
        <v>47</v>
      </c>
      <c r="B24" s="17" t="s">
        <v>58</v>
      </c>
      <c r="C24" s="18" t="s">
        <v>395</v>
      </c>
      <c r="D24" s="17" t="s">
        <v>49</v>
      </c>
      <c r="E24" s="17" t="s">
        <v>432</v>
      </c>
      <c r="F24" s="17" t="s">
        <v>51</v>
      </c>
      <c r="G24" s="182"/>
      <c r="H24" s="161"/>
      <c r="I24" s="161"/>
      <c r="J24" s="161"/>
      <c r="K24" s="161"/>
      <c r="L24" s="161"/>
      <c r="M24" s="161"/>
      <c r="N24" s="161"/>
      <c r="O24" s="162"/>
      <c r="P24" s="161"/>
      <c r="Q24" s="124"/>
      <c r="R24" s="124"/>
    </row>
    <row r="25" spans="1:18" ht="15" customHeight="1" x14ac:dyDescent="0.3">
      <c r="A25" s="17" t="s">
        <v>47</v>
      </c>
      <c r="B25" s="17" t="s">
        <v>59</v>
      </c>
      <c r="C25" s="18" t="s">
        <v>396</v>
      </c>
      <c r="D25" s="17" t="s">
        <v>49</v>
      </c>
      <c r="E25" s="17" t="s">
        <v>433</v>
      </c>
      <c r="F25" s="17" t="s">
        <v>51</v>
      </c>
      <c r="G25" s="182"/>
      <c r="H25" s="161"/>
      <c r="I25" s="161"/>
      <c r="J25" s="161"/>
      <c r="K25" s="161"/>
      <c r="L25" s="161"/>
      <c r="M25" s="161"/>
      <c r="N25" s="161"/>
      <c r="O25" s="162"/>
      <c r="P25" s="161"/>
      <c r="Q25" s="124"/>
      <c r="R25" s="124"/>
    </row>
    <row r="26" spans="1:18" ht="15" customHeight="1" x14ac:dyDescent="0.3">
      <c r="A26" s="17" t="s">
        <v>26</v>
      </c>
      <c r="B26" s="17" t="s">
        <v>42</v>
      </c>
      <c r="C26" s="18" t="s">
        <v>397</v>
      </c>
      <c r="D26" s="17" t="s">
        <v>28</v>
      </c>
      <c r="E26" s="17" t="s">
        <v>434</v>
      </c>
      <c r="F26" s="17" t="s">
        <v>44</v>
      </c>
      <c r="G26" s="182"/>
      <c r="H26" s="161"/>
      <c r="I26" s="161"/>
      <c r="J26" s="161"/>
      <c r="K26" s="161"/>
      <c r="L26" s="161"/>
      <c r="M26" s="161"/>
      <c r="N26" s="161"/>
      <c r="O26" s="162"/>
      <c r="P26" s="161"/>
      <c r="Q26" s="124"/>
      <c r="R26" s="124"/>
    </row>
    <row r="27" spans="1:18" ht="15" customHeight="1" x14ac:dyDescent="0.3">
      <c r="A27" s="17" t="s">
        <v>72</v>
      </c>
      <c r="B27" s="17" t="s">
        <v>73</v>
      </c>
      <c r="C27" s="18" t="s">
        <v>398</v>
      </c>
      <c r="D27" s="17" t="s">
        <v>74</v>
      </c>
      <c r="E27" s="17" t="s">
        <v>432</v>
      </c>
      <c r="F27" s="17" t="s">
        <v>75</v>
      </c>
      <c r="G27" s="182"/>
      <c r="H27" s="161"/>
      <c r="I27" s="161"/>
      <c r="J27" s="161"/>
      <c r="K27" s="161"/>
      <c r="L27" s="161"/>
      <c r="M27" s="161"/>
      <c r="N27" s="161"/>
      <c r="O27" s="162"/>
      <c r="P27" s="161"/>
      <c r="Q27" s="124"/>
      <c r="R27" s="124"/>
    </row>
    <row r="28" spans="1:18" ht="15" customHeight="1" thickBot="1" x14ac:dyDescent="0.35">
      <c r="A28" s="50" t="s">
        <v>72</v>
      </c>
      <c r="B28" s="50" t="s">
        <v>77</v>
      </c>
      <c r="C28" s="51" t="s">
        <v>399</v>
      </c>
      <c r="D28" s="50" t="s">
        <v>74</v>
      </c>
      <c r="E28" s="50" t="s">
        <v>432</v>
      </c>
      <c r="F28" s="50" t="s">
        <v>75</v>
      </c>
      <c r="G28" s="183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7.399999999999999" customHeight="1" thickBot="1" x14ac:dyDescent="0.35">
      <c r="A29" s="216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8"/>
    </row>
    <row r="30" spans="1:18" ht="22.05" customHeight="1" thickTop="1" thickBot="1" x14ac:dyDescent="0.35">
      <c r="A30" s="184" t="s">
        <v>6</v>
      </c>
      <c r="B30" s="185"/>
      <c r="C30" s="185"/>
      <c r="D30" s="185"/>
      <c r="E30" s="185"/>
      <c r="F30" s="186"/>
      <c r="G30" s="57">
        <v>45984</v>
      </c>
      <c r="H30" s="194" t="s">
        <v>7</v>
      </c>
      <c r="I30" s="185"/>
      <c r="J30" s="185"/>
      <c r="K30" s="185"/>
      <c r="L30" s="185"/>
      <c r="M30" s="185"/>
      <c r="N30" s="185"/>
      <c r="O30" s="185"/>
      <c r="P30" s="185"/>
      <c r="Q30" s="185"/>
      <c r="R30" s="186"/>
    </row>
    <row r="31" spans="1:18" ht="24" customHeight="1" x14ac:dyDescent="0.3">
      <c r="A31" s="58" t="s">
        <v>8</v>
      </c>
      <c r="B31" s="58" t="s">
        <v>9</v>
      </c>
      <c r="C31" s="59" t="s">
        <v>10</v>
      </c>
      <c r="D31" s="58" t="s">
        <v>11</v>
      </c>
      <c r="E31" s="58" t="s">
        <v>12</v>
      </c>
      <c r="F31" s="60" t="s">
        <v>13</v>
      </c>
      <c r="G31" s="61" t="s">
        <v>14</v>
      </c>
      <c r="H31" s="58" t="s">
        <v>15</v>
      </c>
      <c r="I31" s="62" t="s">
        <v>16</v>
      </c>
      <c r="J31" s="63" t="s">
        <v>17</v>
      </c>
      <c r="K31" s="64" t="s">
        <v>18</v>
      </c>
      <c r="L31" s="63" t="s">
        <v>19</v>
      </c>
      <c r="M31" s="63" t="s">
        <v>20</v>
      </c>
      <c r="N31" s="63" t="s">
        <v>21</v>
      </c>
      <c r="O31" s="58" t="s">
        <v>22</v>
      </c>
      <c r="P31" s="59" t="s">
        <v>23</v>
      </c>
      <c r="Q31" s="63" t="s">
        <v>24</v>
      </c>
      <c r="R31" s="58" t="s">
        <v>25</v>
      </c>
    </row>
    <row r="32" spans="1:18" ht="15" customHeight="1" x14ac:dyDescent="0.3">
      <c r="A32" s="8" t="s">
        <v>72</v>
      </c>
      <c r="B32" s="8" t="s">
        <v>406</v>
      </c>
      <c r="C32" s="9">
        <v>0.52777777777777779</v>
      </c>
      <c r="D32" s="8" t="s">
        <v>407</v>
      </c>
      <c r="E32" s="8" t="s">
        <v>183</v>
      </c>
      <c r="F32" s="8" t="s">
        <v>435</v>
      </c>
      <c r="G32" s="187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5" t="s">
        <v>72</v>
      </c>
      <c r="B33" s="15" t="s">
        <v>406</v>
      </c>
      <c r="C33" s="16">
        <v>0.52777777777777779</v>
      </c>
      <c r="D33" s="15" t="s">
        <v>409</v>
      </c>
      <c r="E33" s="15" t="s">
        <v>177</v>
      </c>
      <c r="F33" s="15" t="s">
        <v>436</v>
      </c>
      <c r="G33" s="18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72</v>
      </c>
      <c r="B34" s="15" t="s">
        <v>406</v>
      </c>
      <c r="C34" s="16">
        <v>0.52777777777777779</v>
      </c>
      <c r="D34" s="15" t="s">
        <v>34</v>
      </c>
      <c r="E34" s="15" t="s">
        <v>177</v>
      </c>
      <c r="F34" s="15" t="s">
        <v>437</v>
      </c>
      <c r="G34" s="18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15" t="s">
        <v>85</v>
      </c>
      <c r="B35" s="115" t="s">
        <v>438</v>
      </c>
      <c r="C35" s="116">
        <v>0.48958333333333331</v>
      </c>
      <c r="D35" s="115" t="s">
        <v>87</v>
      </c>
      <c r="E35" s="115" t="s">
        <v>163</v>
      </c>
      <c r="F35" s="115" t="s">
        <v>439</v>
      </c>
      <c r="G35" s="182"/>
      <c r="H35" s="76" t="s">
        <v>425</v>
      </c>
      <c r="I35" s="123">
        <v>0.98880000000000001</v>
      </c>
      <c r="J35" s="78">
        <v>177</v>
      </c>
      <c r="K35" s="79">
        <v>45980</v>
      </c>
      <c r="L35" s="78">
        <v>29</v>
      </c>
      <c r="M35" s="78">
        <v>0</v>
      </c>
      <c r="N35" s="78">
        <v>7</v>
      </c>
      <c r="O35" s="80" t="s">
        <v>440</v>
      </c>
      <c r="P35" s="81">
        <v>0.48958333333333331</v>
      </c>
      <c r="Q35" s="78">
        <v>179</v>
      </c>
      <c r="R35" s="82" t="s">
        <v>441</v>
      </c>
    </row>
    <row r="36" spans="1:18" ht="15" customHeight="1" x14ac:dyDescent="0.3">
      <c r="A36" s="86" t="s">
        <v>85</v>
      </c>
      <c r="B36" s="86" t="s">
        <v>427</v>
      </c>
      <c r="C36" s="87">
        <v>0.6875</v>
      </c>
      <c r="D36" s="86" t="s">
        <v>93</v>
      </c>
      <c r="E36" s="160"/>
      <c r="F36" s="86" t="s">
        <v>94</v>
      </c>
      <c r="G36" s="182"/>
      <c r="H36" s="88" t="s">
        <v>427</v>
      </c>
      <c r="I36" s="89">
        <v>1</v>
      </c>
      <c r="J36" s="90">
        <v>179</v>
      </c>
      <c r="K36" s="91">
        <v>45980</v>
      </c>
      <c r="L36" s="90">
        <v>15</v>
      </c>
      <c r="M36" s="90">
        <v>0</v>
      </c>
      <c r="N36" s="90">
        <v>2</v>
      </c>
      <c r="O36" s="92" t="s">
        <v>95</v>
      </c>
      <c r="P36" s="93">
        <v>0.6875</v>
      </c>
      <c r="Q36" s="90">
        <v>179</v>
      </c>
      <c r="R36" s="94" t="s">
        <v>442</v>
      </c>
    </row>
    <row r="37" spans="1:18" ht="15" customHeight="1" x14ac:dyDescent="0.3">
      <c r="A37" s="19" t="s">
        <v>115</v>
      </c>
      <c r="B37" s="19" t="s">
        <v>422</v>
      </c>
      <c r="C37" s="20">
        <v>0.71180555555555547</v>
      </c>
      <c r="D37" s="19" t="s">
        <v>117</v>
      </c>
      <c r="E37" s="19" t="s">
        <v>102</v>
      </c>
      <c r="F37" s="19" t="s">
        <v>443</v>
      </c>
      <c r="G37" s="18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115</v>
      </c>
      <c r="B38" s="15" t="s">
        <v>422</v>
      </c>
      <c r="C38" s="16">
        <v>0.71180555555555547</v>
      </c>
      <c r="D38" s="15" t="s">
        <v>119</v>
      </c>
      <c r="E38" s="15" t="s">
        <v>120</v>
      </c>
      <c r="F38" s="15" t="s">
        <v>444</v>
      </c>
      <c r="G38" s="182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8" x14ac:dyDescent="0.3">
      <c r="A39" s="199" t="s">
        <v>429</v>
      </c>
      <c r="B39" s="200"/>
      <c r="C39" s="200"/>
      <c r="D39" s="200"/>
      <c r="E39" s="200"/>
      <c r="F39" s="201"/>
      <c r="G39" s="182"/>
      <c r="H39" s="161"/>
      <c r="I39" s="161"/>
      <c r="J39" s="161"/>
      <c r="K39" s="161"/>
      <c r="L39" s="161"/>
      <c r="M39" s="161"/>
      <c r="N39" s="161"/>
      <c r="O39" s="162"/>
      <c r="P39" s="161"/>
      <c r="Q39" s="124"/>
      <c r="R39" s="124"/>
    </row>
    <row r="40" spans="1:18" ht="15" customHeight="1" x14ac:dyDescent="0.3">
      <c r="A40" s="17" t="s">
        <v>26</v>
      </c>
      <c r="B40" s="17" t="s">
        <v>42</v>
      </c>
      <c r="C40" s="18" t="s">
        <v>397</v>
      </c>
      <c r="D40" s="17" t="s">
        <v>139</v>
      </c>
      <c r="E40" s="17" t="s">
        <v>430</v>
      </c>
      <c r="F40" s="17" t="s">
        <v>140</v>
      </c>
      <c r="G40" s="182"/>
      <c r="H40" s="161"/>
      <c r="I40" s="161"/>
      <c r="J40" s="161"/>
      <c r="K40" s="161"/>
      <c r="L40" s="161"/>
      <c r="M40" s="161"/>
      <c r="N40" s="161"/>
      <c r="O40" s="162"/>
      <c r="P40" s="161"/>
      <c r="Q40" s="124"/>
      <c r="R40" s="124"/>
    </row>
    <row r="41" spans="1:18" ht="15" customHeight="1" x14ac:dyDescent="0.3">
      <c r="A41" s="17" t="s">
        <v>26</v>
      </c>
      <c r="B41" s="17" t="s">
        <v>39</v>
      </c>
      <c r="C41" s="18" t="s">
        <v>392</v>
      </c>
      <c r="D41" s="17" t="s">
        <v>139</v>
      </c>
      <c r="E41" s="17" t="s">
        <v>445</v>
      </c>
      <c r="F41" s="17" t="s">
        <v>140</v>
      </c>
      <c r="G41" s="182"/>
      <c r="H41" s="161"/>
      <c r="I41" s="161"/>
      <c r="J41" s="161"/>
      <c r="K41" s="161"/>
      <c r="L41" s="161"/>
      <c r="M41" s="161"/>
      <c r="N41" s="161"/>
      <c r="O41" s="162"/>
      <c r="P41" s="161"/>
      <c r="Q41" s="124"/>
      <c r="R41" s="124"/>
    </row>
    <row r="42" spans="1:18" ht="15" customHeight="1" x14ac:dyDescent="0.3">
      <c r="A42" s="17" t="s">
        <v>85</v>
      </c>
      <c r="B42" s="17" t="s">
        <v>142</v>
      </c>
      <c r="C42" s="18" t="s">
        <v>292</v>
      </c>
      <c r="D42" s="17" t="s">
        <v>87</v>
      </c>
      <c r="E42" s="17" t="s">
        <v>430</v>
      </c>
      <c r="F42" s="17" t="s">
        <v>143</v>
      </c>
      <c r="G42" s="182"/>
      <c r="H42" s="161"/>
      <c r="I42" s="161"/>
      <c r="J42" s="161"/>
      <c r="K42" s="161"/>
      <c r="L42" s="161"/>
      <c r="M42" s="161"/>
      <c r="N42" s="161"/>
      <c r="O42" s="162"/>
      <c r="P42" s="161"/>
      <c r="Q42" s="124"/>
      <c r="R42" s="124"/>
    </row>
    <row r="43" spans="1:18" ht="15" customHeight="1" x14ac:dyDescent="0.3">
      <c r="A43" s="17" t="s">
        <v>26</v>
      </c>
      <c r="B43" s="17" t="s">
        <v>36</v>
      </c>
      <c r="C43" s="18" t="s">
        <v>391</v>
      </c>
      <c r="D43" s="17" t="s">
        <v>139</v>
      </c>
      <c r="E43" s="17" t="s">
        <v>446</v>
      </c>
      <c r="F43" s="17" t="s">
        <v>141</v>
      </c>
      <c r="G43" s="182"/>
      <c r="H43" s="161"/>
      <c r="I43" s="161"/>
      <c r="J43" s="161"/>
      <c r="K43" s="161"/>
      <c r="L43" s="161"/>
      <c r="M43" s="161"/>
      <c r="N43" s="161"/>
      <c r="O43" s="162"/>
      <c r="P43" s="161"/>
      <c r="Q43" s="124"/>
      <c r="R43" s="124"/>
    </row>
    <row r="44" spans="1:18" ht="15" customHeight="1" x14ac:dyDescent="0.3">
      <c r="A44" s="17" t="s">
        <v>47</v>
      </c>
      <c r="B44" s="17" t="s">
        <v>62</v>
      </c>
      <c r="C44" s="18" t="s">
        <v>400</v>
      </c>
      <c r="D44" s="17" t="s">
        <v>161</v>
      </c>
      <c r="E44" s="17" t="s">
        <v>430</v>
      </c>
      <c r="F44" s="17" t="s">
        <v>141</v>
      </c>
      <c r="G44" s="182"/>
      <c r="H44" s="161"/>
      <c r="I44" s="161"/>
      <c r="J44" s="161"/>
      <c r="K44" s="161"/>
      <c r="L44" s="161"/>
      <c r="M44" s="161"/>
      <c r="N44" s="161"/>
      <c r="O44" s="162"/>
      <c r="P44" s="161"/>
      <c r="Q44" s="124"/>
      <c r="R44" s="124"/>
    </row>
    <row r="45" spans="1:18" ht="15" customHeight="1" x14ac:dyDescent="0.3">
      <c r="A45" s="17" t="s">
        <v>47</v>
      </c>
      <c r="B45" s="17" t="s">
        <v>48</v>
      </c>
      <c r="C45" s="18" t="s">
        <v>393</v>
      </c>
      <c r="D45" s="17" t="s">
        <v>161</v>
      </c>
      <c r="E45" s="17" t="s">
        <v>432</v>
      </c>
      <c r="F45" s="17" t="s">
        <v>141</v>
      </c>
      <c r="G45" s="182"/>
      <c r="H45" s="161"/>
      <c r="I45" s="161"/>
      <c r="J45" s="161"/>
      <c r="K45" s="161"/>
      <c r="L45" s="161"/>
      <c r="M45" s="161"/>
      <c r="N45" s="161"/>
      <c r="O45" s="162"/>
      <c r="P45" s="161"/>
      <c r="Q45" s="124"/>
      <c r="R45" s="124"/>
    </row>
    <row r="46" spans="1:18" ht="15" customHeight="1" x14ac:dyDescent="0.3">
      <c r="A46" s="17" t="s">
        <v>47</v>
      </c>
      <c r="B46" s="17" t="s">
        <v>71</v>
      </c>
      <c r="C46" s="18" t="s">
        <v>402</v>
      </c>
      <c r="D46" s="17" t="s">
        <v>161</v>
      </c>
      <c r="E46" s="17" t="s">
        <v>432</v>
      </c>
      <c r="F46" s="17" t="s">
        <v>141</v>
      </c>
      <c r="G46" s="182"/>
      <c r="H46" s="161"/>
      <c r="I46" s="161"/>
      <c r="J46" s="161"/>
      <c r="K46" s="161"/>
      <c r="L46" s="161"/>
      <c r="M46" s="161"/>
      <c r="N46" s="161"/>
      <c r="O46" s="162"/>
      <c r="P46" s="161"/>
      <c r="Q46" s="124"/>
      <c r="R46" s="124"/>
    </row>
    <row r="47" spans="1:18" ht="15" customHeight="1" x14ac:dyDescent="0.3">
      <c r="A47" s="17" t="s">
        <v>47</v>
      </c>
      <c r="B47" s="17" t="s">
        <v>162</v>
      </c>
      <c r="C47" s="18" t="s">
        <v>390</v>
      </c>
      <c r="D47" s="17" t="s">
        <v>161</v>
      </c>
      <c r="E47" s="17" t="s">
        <v>446</v>
      </c>
      <c r="F47" s="17" t="s">
        <v>141</v>
      </c>
      <c r="G47" s="182"/>
      <c r="H47" s="161"/>
      <c r="I47" s="161"/>
      <c r="J47" s="161"/>
      <c r="K47" s="161"/>
      <c r="L47" s="161"/>
      <c r="M47" s="161"/>
      <c r="N47" s="161"/>
      <c r="O47" s="162"/>
      <c r="P47" s="161"/>
      <c r="Q47" s="124"/>
      <c r="R47" s="124"/>
    </row>
    <row r="48" spans="1:18" ht="15" customHeight="1" x14ac:dyDescent="0.3">
      <c r="A48" s="17" t="s">
        <v>47</v>
      </c>
      <c r="B48" s="17" t="s">
        <v>59</v>
      </c>
      <c r="C48" s="18" t="s">
        <v>396</v>
      </c>
      <c r="D48" s="17" t="s">
        <v>161</v>
      </c>
      <c r="E48" s="17" t="s">
        <v>432</v>
      </c>
      <c r="F48" s="17" t="s">
        <v>141</v>
      </c>
      <c r="G48" s="182"/>
      <c r="H48" s="161"/>
      <c r="I48" s="161"/>
      <c r="J48" s="161"/>
      <c r="K48" s="161"/>
      <c r="L48" s="161"/>
      <c r="M48" s="161"/>
      <c r="N48" s="161"/>
      <c r="O48" s="162"/>
      <c r="P48" s="161"/>
      <c r="Q48" s="124"/>
      <c r="R48" s="124"/>
    </row>
    <row r="49" spans="1:18" ht="15" customHeight="1" thickBot="1" x14ac:dyDescent="0.35">
      <c r="A49" s="50" t="s">
        <v>78</v>
      </c>
      <c r="B49" s="50" t="s">
        <v>79</v>
      </c>
      <c r="C49" s="51" t="s">
        <v>403</v>
      </c>
      <c r="D49" s="50" t="s">
        <v>80</v>
      </c>
      <c r="E49" s="50" t="s">
        <v>447</v>
      </c>
      <c r="F49" s="50" t="s">
        <v>164</v>
      </c>
      <c r="G49" s="183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17.399999999999999" customHeight="1" thickBot="1" x14ac:dyDescent="0.35">
      <c r="A50" s="216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/>
    </row>
    <row r="51" spans="1:18" ht="22.05" customHeight="1" thickTop="1" thickBot="1" x14ac:dyDescent="0.35">
      <c r="A51" s="184" t="s">
        <v>6</v>
      </c>
      <c r="B51" s="185"/>
      <c r="C51" s="185"/>
      <c r="D51" s="185"/>
      <c r="E51" s="185"/>
      <c r="F51" s="186"/>
      <c r="G51" s="57">
        <v>45985</v>
      </c>
      <c r="H51" s="194" t="s">
        <v>7</v>
      </c>
      <c r="I51" s="185"/>
      <c r="J51" s="185"/>
      <c r="K51" s="185"/>
      <c r="L51" s="185"/>
      <c r="M51" s="185"/>
      <c r="N51" s="185"/>
      <c r="O51" s="185"/>
      <c r="P51" s="185"/>
      <c r="Q51" s="185"/>
      <c r="R51" s="186"/>
    </row>
    <row r="52" spans="1:18" ht="24" customHeight="1" x14ac:dyDescent="0.3">
      <c r="A52" s="58" t="s">
        <v>8</v>
      </c>
      <c r="B52" s="58" t="s">
        <v>9</v>
      </c>
      <c r="C52" s="59" t="s">
        <v>10</v>
      </c>
      <c r="D52" s="58" t="s">
        <v>11</v>
      </c>
      <c r="E52" s="58" t="s">
        <v>12</v>
      </c>
      <c r="F52" s="60" t="s">
        <v>13</v>
      </c>
      <c r="G52" s="61" t="s">
        <v>14</v>
      </c>
      <c r="H52" s="58" t="s">
        <v>15</v>
      </c>
      <c r="I52" s="62" t="s">
        <v>16</v>
      </c>
      <c r="J52" s="63" t="s">
        <v>17</v>
      </c>
      <c r="K52" s="64" t="s">
        <v>18</v>
      </c>
      <c r="L52" s="63" t="s">
        <v>19</v>
      </c>
      <c r="M52" s="63" t="s">
        <v>20</v>
      </c>
      <c r="N52" s="63" t="s">
        <v>21</v>
      </c>
      <c r="O52" s="58" t="s">
        <v>22</v>
      </c>
      <c r="P52" s="59" t="s">
        <v>23</v>
      </c>
      <c r="Q52" s="63" t="s">
        <v>24</v>
      </c>
      <c r="R52" s="58" t="s">
        <v>25</v>
      </c>
    </row>
    <row r="53" spans="1:18" ht="15" customHeight="1" x14ac:dyDescent="0.3">
      <c r="A53" s="8" t="s">
        <v>72</v>
      </c>
      <c r="B53" s="8" t="s">
        <v>448</v>
      </c>
      <c r="C53" s="9">
        <v>0.2951388888888889</v>
      </c>
      <c r="D53" s="8" t="s">
        <v>407</v>
      </c>
      <c r="E53" s="8" t="s">
        <v>420</v>
      </c>
      <c r="F53" s="8" t="s">
        <v>236</v>
      </c>
      <c r="G53" s="187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5" t="s">
        <v>72</v>
      </c>
      <c r="B54" s="15" t="s">
        <v>448</v>
      </c>
      <c r="C54" s="16">
        <v>0.2951388888888889</v>
      </c>
      <c r="D54" s="15" t="s">
        <v>409</v>
      </c>
      <c r="E54" s="15" t="s">
        <v>61</v>
      </c>
      <c r="F54" s="15" t="s">
        <v>449</v>
      </c>
      <c r="G54" s="1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72</v>
      </c>
      <c r="B55" s="15" t="s">
        <v>448</v>
      </c>
      <c r="C55" s="16">
        <v>0.2951388888888889</v>
      </c>
      <c r="D55" s="15" t="s">
        <v>34</v>
      </c>
      <c r="E55" s="15" t="s">
        <v>61</v>
      </c>
      <c r="F55" s="15" t="s">
        <v>450</v>
      </c>
      <c r="G55" s="1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9" t="s">
        <v>115</v>
      </c>
      <c r="B56" s="19" t="s">
        <v>422</v>
      </c>
      <c r="C56" s="20">
        <v>0.71180555555555547</v>
      </c>
      <c r="D56" s="19" t="s">
        <v>117</v>
      </c>
      <c r="E56" s="19" t="s">
        <v>102</v>
      </c>
      <c r="F56" s="19" t="s">
        <v>443</v>
      </c>
      <c r="G56" s="1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115</v>
      </c>
      <c r="B57" s="15" t="s">
        <v>422</v>
      </c>
      <c r="C57" s="16">
        <v>0.71180555555555547</v>
      </c>
      <c r="D57" s="15" t="s">
        <v>119</v>
      </c>
      <c r="E57" s="15" t="s">
        <v>120</v>
      </c>
      <c r="F57" s="15" t="s">
        <v>444</v>
      </c>
      <c r="G57" s="1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65" t="s">
        <v>85</v>
      </c>
      <c r="B58" s="65" t="s">
        <v>425</v>
      </c>
      <c r="C58" s="66">
        <v>0.33680555555555558</v>
      </c>
      <c r="D58" s="65" t="s">
        <v>93</v>
      </c>
      <c r="E58" s="166"/>
      <c r="F58" s="65" t="s">
        <v>94</v>
      </c>
      <c r="G58" s="182"/>
      <c r="H58" s="67" t="s">
        <v>425</v>
      </c>
      <c r="I58" s="68">
        <v>1</v>
      </c>
      <c r="J58" s="69">
        <v>168</v>
      </c>
      <c r="K58" s="70">
        <v>45980</v>
      </c>
      <c r="L58" s="69">
        <v>4</v>
      </c>
      <c r="M58" s="69">
        <v>0</v>
      </c>
      <c r="N58" s="69">
        <v>1</v>
      </c>
      <c r="O58" s="71" t="s">
        <v>95</v>
      </c>
      <c r="P58" s="72">
        <v>0.33680555555555558</v>
      </c>
      <c r="Q58" s="69">
        <v>168</v>
      </c>
      <c r="R58" s="73" t="s">
        <v>451</v>
      </c>
    </row>
    <row r="59" spans="1:18" ht="15" customHeight="1" x14ac:dyDescent="0.3">
      <c r="A59" s="74" t="s">
        <v>85</v>
      </c>
      <c r="B59" s="74" t="s">
        <v>427</v>
      </c>
      <c r="C59" s="75">
        <v>0.64583333333333337</v>
      </c>
      <c r="D59" s="74" t="s">
        <v>93</v>
      </c>
      <c r="E59" s="122"/>
      <c r="F59" s="74" t="s">
        <v>94</v>
      </c>
      <c r="G59" s="182"/>
      <c r="H59" s="76" t="s">
        <v>427</v>
      </c>
      <c r="I59" s="123">
        <v>1</v>
      </c>
      <c r="J59" s="78">
        <v>168</v>
      </c>
      <c r="K59" s="79">
        <v>45980</v>
      </c>
      <c r="L59" s="78">
        <v>12</v>
      </c>
      <c r="M59" s="78">
        <v>0</v>
      </c>
      <c r="N59" s="78">
        <v>1</v>
      </c>
      <c r="O59" s="80" t="s">
        <v>95</v>
      </c>
      <c r="P59" s="81">
        <v>0.64583333333333337</v>
      </c>
      <c r="Q59" s="78">
        <v>168</v>
      </c>
      <c r="R59" s="82" t="s">
        <v>452</v>
      </c>
    </row>
    <row r="60" spans="1:18" ht="18" x14ac:dyDescent="0.3">
      <c r="A60" s="199" t="s">
        <v>429</v>
      </c>
      <c r="B60" s="200"/>
      <c r="C60" s="200"/>
      <c r="D60" s="200"/>
      <c r="E60" s="200"/>
      <c r="F60" s="201"/>
      <c r="G60" s="182"/>
      <c r="H60" s="161"/>
      <c r="I60" s="161"/>
      <c r="J60" s="161"/>
      <c r="K60" s="161"/>
      <c r="L60" s="161"/>
      <c r="M60" s="161"/>
      <c r="N60" s="161"/>
      <c r="O60" s="162"/>
      <c r="P60" s="161"/>
      <c r="Q60" s="124"/>
      <c r="R60" s="124"/>
    </row>
    <row r="61" spans="1:18" ht="15" customHeight="1" x14ac:dyDescent="0.3">
      <c r="A61" s="17" t="s">
        <v>26</v>
      </c>
      <c r="B61" s="17" t="s">
        <v>36</v>
      </c>
      <c r="C61" s="18" t="s">
        <v>391</v>
      </c>
      <c r="D61" s="17" t="s">
        <v>28</v>
      </c>
      <c r="E61" s="17" t="s">
        <v>453</v>
      </c>
      <c r="F61" s="17" t="s">
        <v>184</v>
      </c>
      <c r="G61" s="182"/>
      <c r="H61" s="161"/>
      <c r="I61" s="161"/>
      <c r="J61" s="161"/>
      <c r="K61" s="161"/>
      <c r="L61" s="161"/>
      <c r="M61" s="161"/>
      <c r="N61" s="161"/>
      <c r="O61" s="162"/>
      <c r="P61" s="161"/>
      <c r="Q61" s="124"/>
      <c r="R61" s="124"/>
    </row>
    <row r="62" spans="1:18" ht="15" customHeight="1" x14ac:dyDescent="0.3">
      <c r="A62" s="17" t="s">
        <v>26</v>
      </c>
      <c r="B62" s="17" t="s">
        <v>39</v>
      </c>
      <c r="C62" s="18" t="s">
        <v>392</v>
      </c>
      <c r="D62" s="17" t="s">
        <v>28</v>
      </c>
      <c r="E62" s="17" t="s">
        <v>447</v>
      </c>
      <c r="F62" s="17" t="s">
        <v>184</v>
      </c>
      <c r="G62" s="182"/>
      <c r="H62" s="161"/>
      <c r="I62" s="161"/>
      <c r="J62" s="161"/>
      <c r="K62" s="161"/>
      <c r="L62" s="161"/>
      <c r="M62" s="161"/>
      <c r="N62" s="161"/>
      <c r="O62" s="162"/>
      <c r="P62" s="161"/>
      <c r="Q62" s="124"/>
      <c r="R62" s="124"/>
    </row>
    <row r="63" spans="1:18" ht="15" customHeight="1" x14ac:dyDescent="0.3">
      <c r="A63" s="17" t="s">
        <v>26</v>
      </c>
      <c r="B63" s="17" t="s">
        <v>27</v>
      </c>
      <c r="C63" s="18" t="s">
        <v>390</v>
      </c>
      <c r="D63" s="17" t="s">
        <v>28</v>
      </c>
      <c r="E63" s="17" t="s">
        <v>454</v>
      </c>
      <c r="F63" s="17" t="s">
        <v>188</v>
      </c>
      <c r="G63" s="182"/>
      <c r="H63" s="161"/>
      <c r="I63" s="161"/>
      <c r="J63" s="161"/>
      <c r="K63" s="161"/>
      <c r="L63" s="161"/>
      <c r="M63" s="161"/>
      <c r="N63" s="161"/>
      <c r="O63" s="162"/>
      <c r="P63" s="161"/>
      <c r="Q63" s="124"/>
      <c r="R63" s="124"/>
    </row>
    <row r="64" spans="1:18" ht="15" customHeight="1" x14ac:dyDescent="0.3">
      <c r="A64" s="17" t="s">
        <v>47</v>
      </c>
      <c r="B64" s="17" t="s">
        <v>62</v>
      </c>
      <c r="C64" s="18" t="s">
        <v>400</v>
      </c>
      <c r="D64" s="17" t="s">
        <v>49</v>
      </c>
      <c r="E64" s="17" t="s">
        <v>453</v>
      </c>
      <c r="F64" s="17" t="s">
        <v>191</v>
      </c>
      <c r="G64" s="182"/>
      <c r="H64" s="161"/>
      <c r="I64" s="161"/>
      <c r="J64" s="161"/>
      <c r="K64" s="161"/>
      <c r="L64" s="161"/>
      <c r="M64" s="161"/>
      <c r="N64" s="161"/>
      <c r="O64" s="162"/>
      <c r="P64" s="161"/>
      <c r="Q64" s="124"/>
      <c r="R64" s="124"/>
    </row>
    <row r="65" spans="1:18" ht="15" customHeight="1" x14ac:dyDescent="0.3">
      <c r="A65" s="17" t="s">
        <v>47</v>
      </c>
      <c r="B65" s="17" t="s">
        <v>48</v>
      </c>
      <c r="C65" s="18" t="s">
        <v>393</v>
      </c>
      <c r="D65" s="17" t="s">
        <v>49</v>
      </c>
      <c r="E65" s="17" t="s">
        <v>433</v>
      </c>
      <c r="F65" s="17" t="s">
        <v>191</v>
      </c>
      <c r="G65" s="182"/>
      <c r="H65" s="161"/>
      <c r="I65" s="161"/>
      <c r="J65" s="161"/>
      <c r="K65" s="161"/>
      <c r="L65" s="161"/>
      <c r="M65" s="161"/>
      <c r="N65" s="161"/>
      <c r="O65" s="162"/>
      <c r="P65" s="161"/>
      <c r="Q65" s="124"/>
      <c r="R65" s="124"/>
    </row>
    <row r="66" spans="1:18" ht="15" customHeight="1" x14ac:dyDescent="0.3">
      <c r="A66" s="17" t="s">
        <v>47</v>
      </c>
      <c r="B66" s="17" t="s">
        <v>68</v>
      </c>
      <c r="C66" s="18" t="s">
        <v>455</v>
      </c>
      <c r="D66" s="17" t="s">
        <v>49</v>
      </c>
      <c r="E66" s="17" t="s">
        <v>447</v>
      </c>
      <c r="F66" s="17" t="s">
        <v>191</v>
      </c>
      <c r="G66" s="182"/>
      <c r="H66" s="161"/>
      <c r="I66" s="161"/>
      <c r="J66" s="161"/>
      <c r="K66" s="161"/>
      <c r="L66" s="161"/>
      <c r="M66" s="161"/>
      <c r="N66" s="161"/>
      <c r="O66" s="162"/>
      <c r="P66" s="161"/>
      <c r="Q66" s="124"/>
      <c r="R66" s="124"/>
    </row>
    <row r="67" spans="1:18" ht="15" customHeight="1" x14ac:dyDescent="0.3">
      <c r="A67" s="17" t="s">
        <v>47</v>
      </c>
      <c r="B67" s="17" t="s">
        <v>56</v>
      </c>
      <c r="C67" s="18" t="s">
        <v>394</v>
      </c>
      <c r="D67" s="17" t="s">
        <v>49</v>
      </c>
      <c r="E67" s="17" t="s">
        <v>456</v>
      </c>
      <c r="F67" s="17" t="s">
        <v>191</v>
      </c>
      <c r="G67" s="182"/>
      <c r="H67" s="161"/>
      <c r="I67" s="161"/>
      <c r="J67" s="161"/>
      <c r="K67" s="161"/>
      <c r="L67" s="161"/>
      <c r="M67" s="161"/>
      <c r="N67" s="161"/>
      <c r="O67" s="162"/>
      <c r="P67" s="161"/>
      <c r="Q67" s="124"/>
      <c r="R67" s="124"/>
    </row>
    <row r="68" spans="1:18" ht="15" customHeight="1" x14ac:dyDescent="0.3">
      <c r="A68" s="17" t="s">
        <v>47</v>
      </c>
      <c r="B68" s="17" t="s">
        <v>71</v>
      </c>
      <c r="C68" s="18" t="s">
        <v>402</v>
      </c>
      <c r="D68" s="17" t="s">
        <v>49</v>
      </c>
      <c r="E68" s="17" t="s">
        <v>446</v>
      </c>
      <c r="F68" s="17" t="s">
        <v>191</v>
      </c>
      <c r="G68" s="182"/>
      <c r="H68" s="161"/>
      <c r="I68" s="161"/>
      <c r="J68" s="161"/>
      <c r="K68" s="161"/>
      <c r="L68" s="161"/>
      <c r="M68" s="161"/>
      <c r="N68" s="161"/>
      <c r="O68" s="162"/>
      <c r="P68" s="161"/>
      <c r="Q68" s="124"/>
      <c r="R68" s="124"/>
    </row>
    <row r="69" spans="1:18" ht="15" customHeight="1" x14ac:dyDescent="0.3">
      <c r="A69" s="17" t="s">
        <v>47</v>
      </c>
      <c r="B69" s="17" t="s">
        <v>59</v>
      </c>
      <c r="C69" s="18" t="s">
        <v>396</v>
      </c>
      <c r="D69" s="17" t="s">
        <v>49</v>
      </c>
      <c r="E69" s="17" t="s">
        <v>432</v>
      </c>
      <c r="F69" s="17" t="s">
        <v>191</v>
      </c>
      <c r="G69" s="182"/>
      <c r="H69" s="161"/>
      <c r="I69" s="161"/>
      <c r="J69" s="161"/>
      <c r="K69" s="161"/>
      <c r="L69" s="161"/>
      <c r="M69" s="161"/>
      <c r="N69" s="161"/>
      <c r="O69" s="162"/>
      <c r="P69" s="161"/>
      <c r="Q69" s="124"/>
      <c r="R69" s="124"/>
    </row>
    <row r="70" spans="1:18" ht="15" customHeight="1" thickBot="1" x14ac:dyDescent="0.35">
      <c r="A70" s="50" t="s">
        <v>47</v>
      </c>
      <c r="B70" s="50" t="s">
        <v>58</v>
      </c>
      <c r="C70" s="51" t="s">
        <v>395</v>
      </c>
      <c r="D70" s="50" t="s">
        <v>49</v>
      </c>
      <c r="E70" s="50" t="s">
        <v>432</v>
      </c>
      <c r="F70" s="50" t="s">
        <v>194</v>
      </c>
      <c r="G70" s="183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7.399999999999999" customHeight="1" thickBot="1" x14ac:dyDescent="0.35">
      <c r="A71" s="216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</row>
    <row r="72" spans="1:18" ht="22.05" customHeight="1" thickTop="1" thickBot="1" x14ac:dyDescent="0.35">
      <c r="A72" s="184" t="s">
        <v>6</v>
      </c>
      <c r="B72" s="185"/>
      <c r="C72" s="185"/>
      <c r="D72" s="185"/>
      <c r="E72" s="185"/>
      <c r="F72" s="186"/>
      <c r="G72" s="57">
        <v>45986</v>
      </c>
      <c r="H72" s="194" t="s">
        <v>7</v>
      </c>
      <c r="I72" s="185"/>
      <c r="J72" s="185"/>
      <c r="K72" s="185"/>
      <c r="L72" s="185"/>
      <c r="M72" s="185"/>
      <c r="N72" s="185"/>
      <c r="O72" s="185"/>
      <c r="P72" s="185"/>
      <c r="Q72" s="185"/>
      <c r="R72" s="186"/>
    </row>
    <row r="73" spans="1:18" ht="24" customHeight="1" x14ac:dyDescent="0.3">
      <c r="A73" s="58" t="s">
        <v>8</v>
      </c>
      <c r="B73" s="58" t="s">
        <v>9</v>
      </c>
      <c r="C73" s="59" t="s">
        <v>10</v>
      </c>
      <c r="D73" s="58" t="s">
        <v>11</v>
      </c>
      <c r="E73" s="58" t="s">
        <v>12</v>
      </c>
      <c r="F73" s="60" t="s">
        <v>13</v>
      </c>
      <c r="G73" s="61" t="s">
        <v>14</v>
      </c>
      <c r="H73" s="58" t="s">
        <v>15</v>
      </c>
      <c r="I73" s="62" t="s">
        <v>16</v>
      </c>
      <c r="J73" s="63" t="s">
        <v>17</v>
      </c>
      <c r="K73" s="64" t="s">
        <v>18</v>
      </c>
      <c r="L73" s="63" t="s">
        <v>19</v>
      </c>
      <c r="M73" s="63" t="s">
        <v>20</v>
      </c>
      <c r="N73" s="63" t="s">
        <v>21</v>
      </c>
      <c r="O73" s="58" t="s">
        <v>22</v>
      </c>
      <c r="P73" s="59" t="s">
        <v>23</v>
      </c>
      <c r="Q73" s="63" t="s">
        <v>24</v>
      </c>
      <c r="R73" s="58" t="s">
        <v>25</v>
      </c>
    </row>
    <row r="74" spans="1:18" ht="15" customHeight="1" x14ac:dyDescent="0.3">
      <c r="A74" s="8" t="s">
        <v>72</v>
      </c>
      <c r="B74" s="8" t="s">
        <v>457</v>
      </c>
      <c r="C74" s="9">
        <v>0.1875</v>
      </c>
      <c r="D74" s="8" t="s">
        <v>407</v>
      </c>
      <c r="E74" s="8" t="s">
        <v>50</v>
      </c>
      <c r="F74" s="8" t="s">
        <v>458</v>
      </c>
      <c r="G74" s="187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72</v>
      </c>
      <c r="B75" s="15" t="s">
        <v>457</v>
      </c>
      <c r="C75" s="16">
        <v>0.1875</v>
      </c>
      <c r="D75" s="15" t="s">
        <v>409</v>
      </c>
      <c r="E75" s="15" t="s">
        <v>41</v>
      </c>
      <c r="F75" s="15" t="s">
        <v>459</v>
      </c>
      <c r="G75" s="182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5" t="s">
        <v>72</v>
      </c>
      <c r="B76" s="15" t="s">
        <v>457</v>
      </c>
      <c r="C76" s="16">
        <v>0.1875</v>
      </c>
      <c r="D76" s="15" t="s">
        <v>34</v>
      </c>
      <c r="E76" s="15" t="s">
        <v>41</v>
      </c>
      <c r="F76" s="15" t="s">
        <v>460</v>
      </c>
      <c r="G76" s="182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7" t="s">
        <v>72</v>
      </c>
      <c r="B77" s="17" t="s">
        <v>406</v>
      </c>
      <c r="C77" s="18">
        <v>0.52777777777777779</v>
      </c>
      <c r="D77" s="17" t="s">
        <v>407</v>
      </c>
      <c r="E77" s="17" t="s">
        <v>40</v>
      </c>
      <c r="F77" s="17" t="s">
        <v>244</v>
      </c>
      <c r="G77" s="182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72</v>
      </c>
      <c r="B78" s="15" t="s">
        <v>406</v>
      </c>
      <c r="C78" s="16">
        <v>0.52777777777777779</v>
      </c>
      <c r="D78" s="15" t="s">
        <v>409</v>
      </c>
      <c r="E78" s="15" t="s">
        <v>41</v>
      </c>
      <c r="F78" s="15" t="s">
        <v>461</v>
      </c>
      <c r="G78" s="182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5" t="s">
        <v>72</v>
      </c>
      <c r="B79" s="15" t="s">
        <v>406</v>
      </c>
      <c r="C79" s="16">
        <v>0.52777777777777779</v>
      </c>
      <c r="D79" s="15" t="s">
        <v>34</v>
      </c>
      <c r="E79" s="15" t="s">
        <v>41</v>
      </c>
      <c r="F79" s="15" t="s">
        <v>462</v>
      </c>
      <c r="G79" s="182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9" t="s">
        <v>26</v>
      </c>
      <c r="B80" s="19" t="s">
        <v>412</v>
      </c>
      <c r="C80" s="20">
        <v>0.25694444444444448</v>
      </c>
      <c r="D80" s="19" t="s">
        <v>413</v>
      </c>
      <c r="E80" s="19" t="s">
        <v>420</v>
      </c>
      <c r="F80" s="19" t="s">
        <v>463</v>
      </c>
      <c r="G80" s="182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26</v>
      </c>
      <c r="B81" s="15" t="s">
        <v>412</v>
      </c>
      <c r="C81" s="16">
        <v>0.25694444444444448</v>
      </c>
      <c r="D81" s="15" t="s">
        <v>407</v>
      </c>
      <c r="E81" s="15" t="s">
        <v>61</v>
      </c>
      <c r="F81" s="15" t="s">
        <v>464</v>
      </c>
      <c r="G81" s="182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5" t="s">
        <v>26</v>
      </c>
      <c r="B82" s="15" t="s">
        <v>412</v>
      </c>
      <c r="C82" s="16">
        <v>0.25694444444444448</v>
      </c>
      <c r="D82" s="15" t="s">
        <v>409</v>
      </c>
      <c r="E82" s="15" t="s">
        <v>61</v>
      </c>
      <c r="F82" s="15" t="s">
        <v>465</v>
      </c>
      <c r="G82" s="182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5" t="s">
        <v>26</v>
      </c>
      <c r="B83" s="15" t="s">
        <v>412</v>
      </c>
      <c r="C83" s="16">
        <v>0.25694444444444448</v>
      </c>
      <c r="D83" s="15" t="s">
        <v>417</v>
      </c>
      <c r="E83" s="15" t="s">
        <v>61</v>
      </c>
      <c r="F83" s="15" t="s">
        <v>53</v>
      </c>
      <c r="G83" s="182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67" t="s">
        <v>85</v>
      </c>
      <c r="B84" s="167" t="s">
        <v>466</v>
      </c>
      <c r="C84" s="168">
        <v>0.70833333333333337</v>
      </c>
      <c r="D84" s="167" t="s">
        <v>87</v>
      </c>
      <c r="E84" s="167" t="s">
        <v>29</v>
      </c>
      <c r="F84" s="167" t="s">
        <v>467</v>
      </c>
      <c r="G84" s="182"/>
      <c r="H84" s="33" t="s">
        <v>427</v>
      </c>
      <c r="I84" s="34">
        <v>0.99439999999999995</v>
      </c>
      <c r="J84" s="35">
        <v>178</v>
      </c>
      <c r="K84" s="36">
        <v>45980</v>
      </c>
      <c r="L84" s="35">
        <v>7</v>
      </c>
      <c r="M84" s="35">
        <v>0</v>
      </c>
      <c r="N84" s="35">
        <v>5</v>
      </c>
      <c r="O84" s="37" t="s">
        <v>300</v>
      </c>
      <c r="P84" s="38">
        <v>0.70833333333333337</v>
      </c>
      <c r="Q84" s="35">
        <v>179</v>
      </c>
      <c r="R84" s="39" t="s">
        <v>468</v>
      </c>
    </row>
    <row r="85" spans="1:18" ht="15" customHeight="1" x14ac:dyDescent="0.3">
      <c r="A85" s="19" t="s">
        <v>99</v>
      </c>
      <c r="B85" s="19" t="s">
        <v>419</v>
      </c>
      <c r="C85" s="20">
        <v>0.60416666666666663</v>
      </c>
      <c r="D85" s="19" t="s">
        <v>101</v>
      </c>
      <c r="E85" s="19" t="s">
        <v>102</v>
      </c>
      <c r="F85" s="19" t="s">
        <v>469</v>
      </c>
      <c r="G85" s="182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9" t="s">
        <v>115</v>
      </c>
      <c r="B86" s="19" t="s">
        <v>470</v>
      </c>
      <c r="C86" s="20">
        <v>0.34027777777777768</v>
      </c>
      <c r="D86" s="19" t="s">
        <v>117</v>
      </c>
      <c r="E86" s="19" t="s">
        <v>102</v>
      </c>
      <c r="F86" s="19" t="s">
        <v>443</v>
      </c>
      <c r="G86" s="182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5" t="s">
        <v>115</v>
      </c>
      <c r="B87" s="15" t="s">
        <v>470</v>
      </c>
      <c r="C87" s="16">
        <v>0.34027777777777768</v>
      </c>
      <c r="D87" s="15" t="s">
        <v>119</v>
      </c>
      <c r="E87" s="15" t="s">
        <v>120</v>
      </c>
      <c r="F87" s="15" t="s">
        <v>444</v>
      </c>
      <c r="G87" s="182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7" t="s">
        <v>115</v>
      </c>
      <c r="B88" s="17" t="s">
        <v>422</v>
      </c>
      <c r="C88" s="18">
        <v>0.71180555555555547</v>
      </c>
      <c r="D88" s="17" t="s">
        <v>117</v>
      </c>
      <c r="E88" s="17" t="s">
        <v>105</v>
      </c>
      <c r="F88" s="17" t="s">
        <v>443</v>
      </c>
      <c r="G88" s="182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5" t="s">
        <v>115</v>
      </c>
      <c r="B89" s="15" t="s">
        <v>422</v>
      </c>
      <c r="C89" s="16">
        <v>0.71180555555555547</v>
      </c>
      <c r="D89" s="15" t="s">
        <v>119</v>
      </c>
      <c r="E89" s="15" t="s">
        <v>120</v>
      </c>
      <c r="F89" s="15" t="s">
        <v>444</v>
      </c>
      <c r="G89" s="182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8" x14ac:dyDescent="0.3">
      <c r="A90" s="199" t="s">
        <v>429</v>
      </c>
      <c r="B90" s="200"/>
      <c r="C90" s="200"/>
      <c r="D90" s="200"/>
      <c r="E90" s="200"/>
      <c r="F90" s="201"/>
      <c r="G90" s="182"/>
      <c r="H90" s="161"/>
      <c r="I90" s="161"/>
      <c r="J90" s="161"/>
      <c r="K90" s="161"/>
      <c r="L90" s="161"/>
      <c r="M90" s="161"/>
      <c r="N90" s="161"/>
      <c r="O90" s="162"/>
      <c r="P90" s="161"/>
      <c r="Q90" s="124"/>
      <c r="R90" s="124"/>
    </row>
    <row r="91" spans="1:18" ht="15" customHeight="1" x14ac:dyDescent="0.3">
      <c r="A91" s="17" t="s">
        <v>78</v>
      </c>
      <c r="B91" s="17" t="s">
        <v>222</v>
      </c>
      <c r="C91" s="18" t="s">
        <v>471</v>
      </c>
      <c r="D91" s="17" t="s">
        <v>80</v>
      </c>
      <c r="E91" s="17" t="s">
        <v>430</v>
      </c>
      <c r="F91" s="17" t="s">
        <v>223</v>
      </c>
      <c r="G91" s="182"/>
      <c r="H91" s="161"/>
      <c r="I91" s="161"/>
      <c r="J91" s="161"/>
      <c r="K91" s="161"/>
      <c r="L91" s="161"/>
      <c r="M91" s="161"/>
      <c r="N91" s="161"/>
      <c r="O91" s="162"/>
      <c r="P91" s="161"/>
      <c r="Q91" s="124"/>
      <c r="R91" s="124"/>
    </row>
    <row r="92" spans="1:18" ht="15" customHeight="1" x14ac:dyDescent="0.3">
      <c r="A92" s="17" t="s">
        <v>26</v>
      </c>
      <c r="B92" s="17" t="s">
        <v>27</v>
      </c>
      <c r="C92" s="18" t="s">
        <v>390</v>
      </c>
      <c r="D92" s="17" t="s">
        <v>28</v>
      </c>
      <c r="E92" s="17" t="s">
        <v>446</v>
      </c>
      <c r="F92" s="17" t="s">
        <v>225</v>
      </c>
      <c r="G92" s="182"/>
      <c r="H92" s="161"/>
      <c r="I92" s="161"/>
      <c r="J92" s="161"/>
      <c r="K92" s="161"/>
      <c r="L92" s="161"/>
      <c r="M92" s="161"/>
      <c r="N92" s="161"/>
      <c r="O92" s="162"/>
      <c r="P92" s="161"/>
      <c r="Q92" s="124"/>
      <c r="R92" s="124"/>
    </row>
    <row r="93" spans="1:18" ht="15" customHeight="1" x14ac:dyDescent="0.3">
      <c r="A93" s="17" t="s">
        <v>26</v>
      </c>
      <c r="B93" s="17" t="s">
        <v>36</v>
      </c>
      <c r="C93" s="18" t="s">
        <v>391</v>
      </c>
      <c r="D93" s="17" t="s">
        <v>28</v>
      </c>
      <c r="E93" s="17" t="s">
        <v>454</v>
      </c>
      <c r="F93" s="17" t="s">
        <v>225</v>
      </c>
      <c r="G93" s="182"/>
      <c r="H93" s="161"/>
      <c r="I93" s="161"/>
      <c r="J93" s="161"/>
      <c r="K93" s="161"/>
      <c r="L93" s="161"/>
      <c r="M93" s="161"/>
      <c r="N93" s="161"/>
      <c r="O93" s="162"/>
      <c r="P93" s="161"/>
      <c r="Q93" s="124"/>
      <c r="R93" s="124"/>
    </row>
    <row r="94" spans="1:18" ht="15" customHeight="1" x14ac:dyDescent="0.3">
      <c r="A94" s="17" t="s">
        <v>26</v>
      </c>
      <c r="B94" s="17" t="s">
        <v>42</v>
      </c>
      <c r="C94" s="18" t="s">
        <v>397</v>
      </c>
      <c r="D94" s="17" t="s">
        <v>28</v>
      </c>
      <c r="E94" s="17" t="s">
        <v>432</v>
      </c>
      <c r="F94" s="17" t="s">
        <v>225</v>
      </c>
      <c r="G94" s="182"/>
      <c r="H94" s="161"/>
      <c r="I94" s="161"/>
      <c r="J94" s="161"/>
      <c r="K94" s="161"/>
      <c r="L94" s="161"/>
      <c r="M94" s="161"/>
      <c r="N94" s="161"/>
      <c r="O94" s="162"/>
      <c r="P94" s="161"/>
      <c r="Q94" s="124"/>
      <c r="R94" s="124"/>
    </row>
    <row r="95" spans="1:18" ht="15" customHeight="1" x14ac:dyDescent="0.3">
      <c r="A95" s="17" t="s">
        <v>26</v>
      </c>
      <c r="B95" s="17" t="s">
        <v>39</v>
      </c>
      <c r="C95" s="18" t="s">
        <v>392</v>
      </c>
      <c r="D95" s="17" t="s">
        <v>28</v>
      </c>
      <c r="E95" s="17" t="s">
        <v>472</v>
      </c>
      <c r="F95" s="17" t="s">
        <v>225</v>
      </c>
      <c r="G95" s="182"/>
      <c r="H95" s="161"/>
      <c r="I95" s="161"/>
      <c r="J95" s="161"/>
      <c r="K95" s="161"/>
      <c r="L95" s="161"/>
      <c r="M95" s="161"/>
      <c r="N95" s="161"/>
      <c r="O95" s="162"/>
      <c r="P95" s="161"/>
      <c r="Q95" s="124"/>
      <c r="R95" s="124"/>
    </row>
    <row r="96" spans="1:18" ht="15" customHeight="1" x14ac:dyDescent="0.3">
      <c r="A96" s="17" t="s">
        <v>47</v>
      </c>
      <c r="B96" s="17" t="s">
        <v>48</v>
      </c>
      <c r="C96" s="18" t="s">
        <v>393</v>
      </c>
      <c r="D96" s="17" t="s">
        <v>49</v>
      </c>
      <c r="E96" s="17" t="s">
        <v>446</v>
      </c>
      <c r="F96" s="17" t="s">
        <v>227</v>
      </c>
      <c r="G96" s="182"/>
      <c r="H96" s="161"/>
      <c r="I96" s="161"/>
      <c r="J96" s="161"/>
      <c r="K96" s="161"/>
      <c r="L96" s="161"/>
      <c r="M96" s="161"/>
      <c r="N96" s="161"/>
      <c r="O96" s="162"/>
      <c r="P96" s="161"/>
      <c r="Q96" s="124"/>
      <c r="R96" s="124"/>
    </row>
    <row r="97" spans="1:18" ht="15" customHeight="1" x14ac:dyDescent="0.3">
      <c r="A97" s="17" t="s">
        <v>47</v>
      </c>
      <c r="B97" s="17" t="s">
        <v>56</v>
      </c>
      <c r="C97" s="18" t="s">
        <v>394</v>
      </c>
      <c r="D97" s="17" t="s">
        <v>49</v>
      </c>
      <c r="E97" s="17" t="s">
        <v>447</v>
      </c>
      <c r="F97" s="17" t="s">
        <v>227</v>
      </c>
      <c r="G97" s="182"/>
      <c r="H97" s="161"/>
      <c r="I97" s="161"/>
      <c r="J97" s="161"/>
      <c r="K97" s="161"/>
      <c r="L97" s="161"/>
      <c r="M97" s="161"/>
      <c r="N97" s="161"/>
      <c r="O97" s="162"/>
      <c r="P97" s="161"/>
      <c r="Q97" s="124"/>
      <c r="R97" s="124"/>
    </row>
    <row r="98" spans="1:18" ht="15" customHeight="1" x14ac:dyDescent="0.3">
      <c r="A98" s="17" t="s">
        <v>47</v>
      </c>
      <c r="B98" s="17" t="s">
        <v>71</v>
      </c>
      <c r="C98" s="18" t="s">
        <v>402</v>
      </c>
      <c r="D98" s="17" t="s">
        <v>49</v>
      </c>
      <c r="E98" s="17" t="s">
        <v>456</v>
      </c>
      <c r="F98" s="17" t="s">
        <v>227</v>
      </c>
      <c r="G98" s="182"/>
      <c r="H98" s="161"/>
      <c r="I98" s="161"/>
      <c r="J98" s="161"/>
      <c r="K98" s="161"/>
      <c r="L98" s="161"/>
      <c r="M98" s="161"/>
      <c r="N98" s="161"/>
      <c r="O98" s="162"/>
      <c r="P98" s="161"/>
      <c r="Q98" s="124"/>
      <c r="R98" s="124"/>
    </row>
    <row r="99" spans="1:18" ht="15" customHeight="1" x14ac:dyDescent="0.3">
      <c r="A99" s="17" t="s">
        <v>47</v>
      </c>
      <c r="B99" s="17" t="s">
        <v>162</v>
      </c>
      <c r="C99" s="18" t="s">
        <v>390</v>
      </c>
      <c r="D99" s="17" t="s">
        <v>49</v>
      </c>
      <c r="E99" s="17" t="s">
        <v>447</v>
      </c>
      <c r="F99" s="17" t="s">
        <v>227</v>
      </c>
      <c r="G99" s="182"/>
      <c r="H99" s="161"/>
      <c r="I99" s="161"/>
      <c r="J99" s="161"/>
      <c r="K99" s="161"/>
      <c r="L99" s="161"/>
      <c r="M99" s="161"/>
      <c r="N99" s="161"/>
      <c r="O99" s="162"/>
      <c r="P99" s="161"/>
      <c r="Q99" s="124"/>
      <c r="R99" s="124"/>
    </row>
    <row r="100" spans="1:18" ht="15" customHeight="1" x14ac:dyDescent="0.3">
      <c r="A100" s="50" t="s">
        <v>47</v>
      </c>
      <c r="B100" s="50" t="s">
        <v>59</v>
      </c>
      <c r="C100" s="51" t="s">
        <v>396</v>
      </c>
      <c r="D100" s="50" t="s">
        <v>49</v>
      </c>
      <c r="E100" s="50" t="s">
        <v>433</v>
      </c>
      <c r="F100" s="50" t="s">
        <v>227</v>
      </c>
      <c r="G100" s="183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</sheetData>
  <mergeCells count="26">
    <mergeCell ref="A72:F72"/>
    <mergeCell ref="N1:R1"/>
    <mergeCell ref="A29:R29"/>
    <mergeCell ref="H72:R72"/>
    <mergeCell ref="K2:R2"/>
    <mergeCell ref="A30:F30"/>
    <mergeCell ref="A39:F39"/>
    <mergeCell ref="A51:F51"/>
    <mergeCell ref="A60:F60"/>
    <mergeCell ref="G6:G28"/>
    <mergeCell ref="H30:R30"/>
    <mergeCell ref="G53:G70"/>
    <mergeCell ref="A90:F90"/>
    <mergeCell ref="G74:G100"/>
    <mergeCell ref="H1:L1"/>
    <mergeCell ref="A1:E1"/>
    <mergeCell ref="A18:F18"/>
    <mergeCell ref="H4:R4"/>
    <mergeCell ref="A50:R50"/>
    <mergeCell ref="A2:F2"/>
    <mergeCell ref="A3:R3"/>
    <mergeCell ref="A71:R71"/>
    <mergeCell ref="G2:J2"/>
    <mergeCell ref="H51:R51"/>
    <mergeCell ref="A4:F4"/>
    <mergeCell ref="G32:G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"/>
  <sheetViews>
    <sheetView workbookViewId="0"/>
  </sheetViews>
  <sheetFormatPr defaultRowHeight="15.6" outlineLevelCol="1" x14ac:dyDescent="0.3"/>
  <cols>
    <col min="1" max="1" width="11.6640625" style="203" bestFit="1" customWidth="1"/>
    <col min="2" max="2" width="11.109375" style="203" bestFit="1" customWidth="1"/>
    <col min="3" max="3" width="7.88671875" style="203" bestFit="1" customWidth="1"/>
    <col min="4" max="4" width="6.77734375" style="203" bestFit="1" customWidth="1"/>
    <col min="5" max="5" width="9.44140625" style="203" bestFit="1" customWidth="1"/>
    <col min="6" max="6" width="5.21875" style="203" bestFit="1" customWidth="1"/>
    <col min="7" max="7" width="10" style="203" bestFit="1" customWidth="1"/>
    <col min="8" max="9" width="8.5546875" style="203" bestFit="1" customWidth="1"/>
    <col min="10" max="10" width="8" style="203" bestFit="1" customWidth="1"/>
    <col min="11" max="11" width="12.21875" style="203" bestFit="1" customWidth="1"/>
    <col min="12" max="12" width="10.109375" style="203" bestFit="1" customWidth="1"/>
    <col min="13" max="13" width="8.77734375" style="203" bestFit="1" customWidth="1" outlineLevel="1"/>
    <col min="14" max="14" width="7.33203125" style="203" bestFit="1" customWidth="1" outlineLevel="1"/>
    <col min="15" max="15" width="9.109375" style="203" bestFit="1" customWidth="1" outlineLevel="1"/>
    <col min="16" max="16" width="15.33203125" style="203" bestFit="1" customWidth="1"/>
    <col min="17" max="21" width="3.88671875" style="203" bestFit="1" customWidth="1"/>
    <col min="22" max="22" width="4" style="203" bestFit="1" customWidth="1"/>
    <col min="23" max="23" width="5.21875" style="203" bestFit="1" customWidth="1"/>
    <col min="24" max="24" width="4.77734375" style="203" bestFit="1" customWidth="1"/>
    <col min="25" max="25" width="4.21875" style="203" bestFit="1" customWidth="1"/>
    <col min="26" max="26" width="4.88671875" style="203" bestFit="1" customWidth="1"/>
    <col min="27" max="27" width="5.88671875" style="203" bestFit="1" customWidth="1"/>
    <col min="28" max="28" width="5" style="203" bestFit="1" customWidth="1"/>
    <col min="29" max="29" width="5.109375" style="203" bestFit="1" customWidth="1"/>
    <col min="30" max="30" width="5.33203125" style="203" bestFit="1" customWidth="1"/>
    <col min="31" max="31" width="4.21875" style="203" bestFit="1" customWidth="1"/>
    <col min="32" max="34" width="3.88671875" style="203" bestFit="1" customWidth="1"/>
    <col min="35" max="35" width="6.21875" style="203" bestFit="1" customWidth="1"/>
    <col min="36" max="36" width="3.88671875" style="203" bestFit="1" customWidth="1"/>
    <col min="37" max="16384" width="8.88671875" style="203"/>
  </cols>
  <sheetData>
    <row r="1" spans="1:36" x14ac:dyDescent="0.3">
      <c r="A1" s="202" t="s">
        <v>249</v>
      </c>
      <c r="B1" s="202" t="s">
        <v>250</v>
      </c>
      <c r="C1" s="202" t="s">
        <v>251</v>
      </c>
      <c r="D1" s="202" t="s">
        <v>23</v>
      </c>
      <c r="E1" s="202" t="s">
        <v>252</v>
      </c>
      <c r="F1" s="202" t="s">
        <v>253</v>
      </c>
      <c r="G1" s="202" t="s">
        <v>16</v>
      </c>
      <c r="H1" s="202" t="s">
        <v>254</v>
      </c>
      <c r="I1" s="202" t="s">
        <v>255</v>
      </c>
      <c r="J1" s="202" t="s">
        <v>256</v>
      </c>
      <c r="K1" s="202" t="s">
        <v>257</v>
      </c>
      <c r="L1" s="202" t="s">
        <v>18</v>
      </c>
      <c r="M1" s="202" t="s">
        <v>20</v>
      </c>
      <c r="N1" s="202" t="s">
        <v>21</v>
      </c>
      <c r="O1" s="202" t="s">
        <v>19</v>
      </c>
      <c r="P1" s="202" t="s">
        <v>22</v>
      </c>
      <c r="Q1" s="202" t="s">
        <v>258</v>
      </c>
      <c r="R1" s="202" t="s">
        <v>259</v>
      </c>
      <c r="S1" s="202" t="s">
        <v>260</v>
      </c>
      <c r="T1" s="202" t="s">
        <v>261</v>
      </c>
      <c r="U1" s="202" t="s">
        <v>262</v>
      </c>
      <c r="V1" s="202" t="s">
        <v>263</v>
      </c>
      <c r="W1" s="202" t="s">
        <v>264</v>
      </c>
      <c r="X1" s="202" t="s">
        <v>265</v>
      </c>
      <c r="Y1" s="202" t="s">
        <v>266</v>
      </c>
      <c r="Z1" s="202" t="s">
        <v>267</v>
      </c>
      <c r="AA1" s="202" t="s">
        <v>268</v>
      </c>
      <c r="AB1" s="202" t="s">
        <v>269</v>
      </c>
      <c r="AC1" s="202" t="s">
        <v>270</v>
      </c>
      <c r="AD1" s="202" t="s">
        <v>271</v>
      </c>
      <c r="AE1" s="202" t="s">
        <v>272</v>
      </c>
      <c r="AF1" s="202" t="s">
        <v>273</v>
      </c>
      <c r="AG1" s="202" t="s">
        <v>274</v>
      </c>
      <c r="AH1" s="202" t="s">
        <v>275</v>
      </c>
      <c r="AI1" s="202" t="s">
        <v>276</v>
      </c>
      <c r="AJ1" s="202" t="s">
        <v>277</v>
      </c>
    </row>
    <row r="2" spans="1:36" x14ac:dyDescent="0.3">
      <c r="A2" s="204" t="s">
        <v>278</v>
      </c>
      <c r="B2" s="205">
        <v>45983</v>
      </c>
      <c r="C2" s="206" t="s">
        <v>425</v>
      </c>
      <c r="D2" s="207" t="s">
        <v>473</v>
      </c>
      <c r="E2" s="206" t="s">
        <v>405</v>
      </c>
      <c r="F2" s="206" t="s">
        <v>280</v>
      </c>
      <c r="G2" s="208">
        <v>1</v>
      </c>
      <c r="H2" s="209">
        <v>179</v>
      </c>
      <c r="I2" s="209">
        <v>179</v>
      </c>
      <c r="J2" s="209">
        <v>118</v>
      </c>
      <c r="K2" s="206" t="s">
        <v>281</v>
      </c>
      <c r="L2" s="210">
        <v>45980</v>
      </c>
      <c r="M2" s="209">
        <v>0</v>
      </c>
      <c r="N2" s="209">
        <v>2</v>
      </c>
      <c r="O2" s="209">
        <v>12</v>
      </c>
      <c r="P2" s="206" t="s">
        <v>95</v>
      </c>
      <c r="Q2" s="202"/>
      <c r="R2" s="202"/>
      <c r="S2" s="202"/>
      <c r="T2" s="202"/>
      <c r="U2" s="202"/>
      <c r="V2" s="202"/>
      <c r="W2" s="202"/>
      <c r="X2" s="209" t="s">
        <v>474</v>
      </c>
      <c r="Y2" s="202"/>
      <c r="Z2" s="209" t="s">
        <v>475</v>
      </c>
      <c r="AA2" s="209" t="s">
        <v>380</v>
      </c>
      <c r="AB2" s="209" t="s">
        <v>476</v>
      </c>
      <c r="AC2" s="209" t="s">
        <v>346</v>
      </c>
      <c r="AD2" s="202"/>
      <c r="AE2" s="202"/>
      <c r="AF2" s="202"/>
      <c r="AG2" s="202"/>
      <c r="AH2" s="202"/>
      <c r="AI2" s="209" t="s">
        <v>477</v>
      </c>
      <c r="AJ2" s="202"/>
    </row>
    <row r="3" spans="1:36" x14ac:dyDescent="0.3">
      <c r="A3" s="204" t="s">
        <v>278</v>
      </c>
      <c r="B3" s="205">
        <v>45983</v>
      </c>
      <c r="C3" s="206" t="s">
        <v>427</v>
      </c>
      <c r="D3" s="207" t="s">
        <v>478</v>
      </c>
      <c r="E3" s="206" t="s">
        <v>405</v>
      </c>
      <c r="F3" s="206" t="s">
        <v>280</v>
      </c>
      <c r="G3" s="208">
        <v>1</v>
      </c>
      <c r="H3" s="209">
        <v>179</v>
      </c>
      <c r="I3" s="209">
        <v>179</v>
      </c>
      <c r="J3" s="209">
        <v>136</v>
      </c>
      <c r="K3" s="206" t="s">
        <v>281</v>
      </c>
      <c r="L3" s="210">
        <v>45980</v>
      </c>
      <c r="M3" s="209">
        <v>0</v>
      </c>
      <c r="N3" s="209">
        <v>2</v>
      </c>
      <c r="O3" s="209">
        <v>8</v>
      </c>
      <c r="P3" s="206" t="s">
        <v>95</v>
      </c>
      <c r="Q3" s="202"/>
      <c r="R3" s="202"/>
      <c r="S3" s="202"/>
      <c r="T3" s="202"/>
      <c r="U3" s="202"/>
      <c r="V3" s="209" t="s">
        <v>479</v>
      </c>
      <c r="W3" s="209" t="s">
        <v>480</v>
      </c>
      <c r="X3" s="209" t="s">
        <v>481</v>
      </c>
      <c r="Y3" s="202"/>
      <c r="Z3" s="209" t="s">
        <v>482</v>
      </c>
      <c r="AA3" s="202"/>
      <c r="AB3" s="202"/>
      <c r="AC3" s="209" t="s">
        <v>483</v>
      </c>
      <c r="AD3" s="202"/>
      <c r="AE3" s="202"/>
      <c r="AF3" s="202"/>
      <c r="AG3" s="202"/>
      <c r="AH3" s="202"/>
      <c r="AI3" s="209" t="s">
        <v>484</v>
      </c>
      <c r="AJ3" s="202"/>
    </row>
    <row r="4" spans="1:36" x14ac:dyDescent="0.3">
      <c r="A4" s="204" t="s">
        <v>311</v>
      </c>
      <c r="B4" s="205">
        <v>45984</v>
      </c>
      <c r="C4" s="206" t="s">
        <v>425</v>
      </c>
      <c r="D4" s="207" t="s">
        <v>485</v>
      </c>
      <c r="E4" s="206" t="s">
        <v>405</v>
      </c>
      <c r="F4" s="206" t="s">
        <v>280</v>
      </c>
      <c r="G4" s="208">
        <v>0.98880000000000001</v>
      </c>
      <c r="H4" s="209">
        <v>179</v>
      </c>
      <c r="I4" s="209">
        <v>177</v>
      </c>
      <c r="J4" s="209">
        <v>134</v>
      </c>
      <c r="K4" s="206" t="s">
        <v>281</v>
      </c>
      <c r="L4" s="210">
        <v>45980</v>
      </c>
      <c r="M4" s="209">
        <v>0</v>
      </c>
      <c r="N4" s="209">
        <v>7</v>
      </c>
      <c r="O4" s="209">
        <v>29</v>
      </c>
      <c r="P4" s="206" t="s">
        <v>440</v>
      </c>
      <c r="Q4" s="202"/>
      <c r="R4" s="202"/>
      <c r="S4" s="202"/>
      <c r="T4" s="202"/>
      <c r="U4" s="202"/>
      <c r="V4" s="202"/>
      <c r="W4" s="209" t="s">
        <v>486</v>
      </c>
      <c r="X4" s="209" t="s">
        <v>487</v>
      </c>
      <c r="Y4" s="209" t="s">
        <v>158</v>
      </c>
      <c r="Z4" s="209" t="s">
        <v>488</v>
      </c>
      <c r="AA4" s="202"/>
      <c r="AB4" s="202"/>
      <c r="AC4" s="209" t="s">
        <v>323</v>
      </c>
      <c r="AD4" s="202"/>
      <c r="AE4" s="202"/>
      <c r="AF4" s="202"/>
      <c r="AG4" s="202"/>
      <c r="AH4" s="202"/>
      <c r="AI4" s="209" t="s">
        <v>489</v>
      </c>
      <c r="AJ4" s="202"/>
    </row>
    <row r="5" spans="1:36" x14ac:dyDescent="0.3">
      <c r="A5" s="204" t="s">
        <v>311</v>
      </c>
      <c r="B5" s="205">
        <v>45984</v>
      </c>
      <c r="C5" s="206" t="s">
        <v>427</v>
      </c>
      <c r="D5" s="207" t="s">
        <v>490</v>
      </c>
      <c r="E5" s="206" t="s">
        <v>405</v>
      </c>
      <c r="F5" s="206" t="s">
        <v>280</v>
      </c>
      <c r="G5" s="208">
        <v>1</v>
      </c>
      <c r="H5" s="209">
        <v>179</v>
      </c>
      <c r="I5" s="209">
        <v>179</v>
      </c>
      <c r="J5" s="209">
        <v>136</v>
      </c>
      <c r="K5" s="206" t="s">
        <v>281</v>
      </c>
      <c r="L5" s="210">
        <v>45980</v>
      </c>
      <c r="M5" s="209">
        <v>0</v>
      </c>
      <c r="N5" s="209">
        <v>2</v>
      </c>
      <c r="O5" s="209">
        <v>15</v>
      </c>
      <c r="P5" s="206" t="s">
        <v>95</v>
      </c>
      <c r="Q5" s="202"/>
      <c r="R5" s="202"/>
      <c r="S5" s="202"/>
      <c r="T5" s="202"/>
      <c r="U5" s="202"/>
      <c r="V5" s="209" t="s">
        <v>90</v>
      </c>
      <c r="W5" s="209" t="s">
        <v>491</v>
      </c>
      <c r="X5" s="209" t="s">
        <v>492</v>
      </c>
      <c r="Y5" s="209" t="s">
        <v>158</v>
      </c>
      <c r="Z5" s="209" t="s">
        <v>327</v>
      </c>
      <c r="AA5" s="209" t="s">
        <v>493</v>
      </c>
      <c r="AB5" s="209" t="s">
        <v>363</v>
      </c>
      <c r="AC5" s="209" t="s">
        <v>494</v>
      </c>
      <c r="AD5" s="202"/>
      <c r="AE5" s="202"/>
      <c r="AF5" s="202"/>
      <c r="AG5" s="202"/>
      <c r="AH5" s="202"/>
      <c r="AI5" s="209" t="s">
        <v>484</v>
      </c>
      <c r="AJ5" s="202"/>
    </row>
    <row r="6" spans="1:36" x14ac:dyDescent="0.3">
      <c r="A6" s="204" t="s">
        <v>342</v>
      </c>
      <c r="B6" s="205">
        <v>45985</v>
      </c>
      <c r="C6" s="206" t="s">
        <v>425</v>
      </c>
      <c r="D6" s="207" t="s">
        <v>495</v>
      </c>
      <c r="E6" s="206" t="s">
        <v>405</v>
      </c>
      <c r="F6" s="206" t="s">
        <v>280</v>
      </c>
      <c r="G6" s="208">
        <v>1</v>
      </c>
      <c r="H6" s="209">
        <v>168</v>
      </c>
      <c r="I6" s="209">
        <v>168</v>
      </c>
      <c r="J6" s="209">
        <v>124</v>
      </c>
      <c r="K6" s="206" t="s">
        <v>281</v>
      </c>
      <c r="L6" s="210">
        <v>45980</v>
      </c>
      <c r="M6" s="209">
        <v>0</v>
      </c>
      <c r="N6" s="209">
        <v>1</v>
      </c>
      <c r="O6" s="209">
        <v>4</v>
      </c>
      <c r="P6" s="206" t="s">
        <v>95</v>
      </c>
      <c r="Q6" s="202"/>
      <c r="R6" s="202"/>
      <c r="S6" s="202"/>
      <c r="T6" s="202"/>
      <c r="U6" s="202"/>
      <c r="V6" s="202"/>
      <c r="W6" s="202"/>
      <c r="X6" s="202"/>
      <c r="Y6" s="202"/>
      <c r="Z6" s="209" t="s">
        <v>344</v>
      </c>
      <c r="AA6" s="202"/>
      <c r="AB6" s="202"/>
      <c r="AC6" s="209" t="s">
        <v>287</v>
      </c>
      <c r="AD6" s="209" t="s">
        <v>353</v>
      </c>
      <c r="AE6" s="209" t="s">
        <v>496</v>
      </c>
      <c r="AF6" s="209" t="s">
        <v>335</v>
      </c>
      <c r="AG6" s="202"/>
      <c r="AH6" s="202"/>
      <c r="AI6" s="209" t="s">
        <v>497</v>
      </c>
      <c r="AJ6" s="202"/>
    </row>
    <row r="7" spans="1:36" x14ac:dyDescent="0.3">
      <c r="A7" s="204" t="s">
        <v>342</v>
      </c>
      <c r="B7" s="205">
        <v>45985</v>
      </c>
      <c r="C7" s="206" t="s">
        <v>427</v>
      </c>
      <c r="D7" s="207" t="s">
        <v>455</v>
      </c>
      <c r="E7" s="206" t="s">
        <v>405</v>
      </c>
      <c r="F7" s="206" t="s">
        <v>280</v>
      </c>
      <c r="G7" s="208">
        <v>1</v>
      </c>
      <c r="H7" s="209">
        <v>168</v>
      </c>
      <c r="I7" s="209">
        <v>168</v>
      </c>
      <c r="J7" s="209">
        <v>134</v>
      </c>
      <c r="K7" s="206" t="s">
        <v>281</v>
      </c>
      <c r="L7" s="210">
        <v>45980</v>
      </c>
      <c r="M7" s="209">
        <v>0</v>
      </c>
      <c r="N7" s="209">
        <v>1</v>
      </c>
      <c r="O7" s="209">
        <v>12</v>
      </c>
      <c r="P7" s="206" t="s">
        <v>95</v>
      </c>
      <c r="Q7" s="202"/>
      <c r="R7" s="202"/>
      <c r="S7" s="202"/>
      <c r="T7" s="202"/>
      <c r="U7" s="202"/>
      <c r="V7" s="202"/>
      <c r="W7" s="202"/>
      <c r="X7" s="202"/>
      <c r="Y7" s="202"/>
      <c r="Z7" s="209" t="s">
        <v>498</v>
      </c>
      <c r="AA7" s="209" t="s">
        <v>499</v>
      </c>
      <c r="AB7" s="202"/>
      <c r="AC7" s="209" t="s">
        <v>352</v>
      </c>
      <c r="AD7" s="202"/>
      <c r="AE7" s="202"/>
      <c r="AF7" s="202"/>
      <c r="AG7" s="202"/>
      <c r="AH7" s="202"/>
      <c r="AI7" s="209" t="s">
        <v>489</v>
      </c>
      <c r="AJ7" s="202"/>
    </row>
    <row r="8" spans="1:36" x14ac:dyDescent="0.3">
      <c r="A8" s="204" t="s">
        <v>366</v>
      </c>
      <c r="B8" s="205">
        <v>45986</v>
      </c>
      <c r="C8" s="206" t="s">
        <v>427</v>
      </c>
      <c r="D8" s="207" t="s">
        <v>500</v>
      </c>
      <c r="E8" s="206" t="s">
        <v>405</v>
      </c>
      <c r="F8" s="206" t="s">
        <v>280</v>
      </c>
      <c r="G8" s="208">
        <v>0.99439999999999995</v>
      </c>
      <c r="H8" s="209">
        <v>179</v>
      </c>
      <c r="I8" s="209">
        <v>178</v>
      </c>
      <c r="J8" s="209">
        <v>159</v>
      </c>
      <c r="K8" s="206" t="s">
        <v>281</v>
      </c>
      <c r="L8" s="210">
        <v>45980</v>
      </c>
      <c r="M8" s="209">
        <v>0</v>
      </c>
      <c r="N8" s="209">
        <v>5</v>
      </c>
      <c r="O8" s="209">
        <v>7</v>
      </c>
      <c r="P8" s="206" t="s">
        <v>300</v>
      </c>
      <c r="Q8" s="202"/>
      <c r="R8" s="202"/>
      <c r="S8" s="202"/>
      <c r="T8" s="202"/>
      <c r="U8" s="202"/>
      <c r="V8" s="202"/>
      <c r="W8" s="202"/>
      <c r="X8" s="209" t="s">
        <v>501</v>
      </c>
      <c r="Y8" s="202"/>
      <c r="Z8" s="209" t="s">
        <v>150</v>
      </c>
      <c r="AA8" s="202"/>
      <c r="AB8" s="202"/>
      <c r="AC8" s="209" t="s">
        <v>352</v>
      </c>
      <c r="AD8" s="202"/>
      <c r="AE8" s="202"/>
      <c r="AF8" s="202"/>
      <c r="AG8" s="202"/>
      <c r="AH8" s="202"/>
      <c r="AI8" s="209" t="s">
        <v>502</v>
      </c>
      <c r="AJ8" s="202"/>
    </row>
    <row r="9" spans="1:36" ht="21" x14ac:dyDescent="0.3">
      <c r="A9" s="211" t="s">
        <v>565</v>
      </c>
      <c r="B9" s="212"/>
      <c r="C9" s="211">
        <f>SUBTOTAL(103,JED_HBE_LF_LEGACY[Flt])</f>
        <v>7</v>
      </c>
      <c r="D9" s="211"/>
      <c r="E9" s="211">
        <f>SUBTOTAL(103,JED_HBE_LF_LEGACY[Brd-Off])</f>
        <v>7</v>
      </c>
      <c r="F9" s="211"/>
      <c r="G9" s="213">
        <f>SUBTOTAL(101,JED_HBE_LF_LEGACY[LF%])</f>
        <v>0.99759999999999993</v>
      </c>
      <c r="H9" s="214">
        <f>SUBTOTAL(109,JED_HBE_LF_LEGACY[CAP])</f>
        <v>1231</v>
      </c>
      <c r="I9" s="214">
        <f>SUBTOTAL(109,JED_HBE_LF_LEGACY[BKG(Y)])</f>
        <v>1228</v>
      </c>
      <c r="J9" s="214">
        <f>SUBTOTAL(109,JED_HBE_LF_LEGACY[GRP(Y)])</f>
        <v>941</v>
      </c>
      <c r="K9" s="211"/>
      <c r="L9" s="212"/>
      <c r="M9" s="214">
        <f>SUBTOTAL(109,JED_HBE_LF_LEGACY[TO-DAY])</f>
        <v>0</v>
      </c>
      <c r="N9" s="214">
        <f>SUBTOTAL(109,JED_HBE_LF_LEGACY[Y-DAY])</f>
        <v>20</v>
      </c>
      <c r="O9" s="214">
        <f>SUBTOTAL(109,JED_HBE_LF_LEGACY[WEEKLY])</f>
        <v>87</v>
      </c>
      <c r="P9" s="215"/>
      <c r="Q9" s="211">
        <f>SUBTOTAL(109,JED_HBE_LF_LEGACY[Y])</f>
        <v>0</v>
      </c>
      <c r="R9" s="211">
        <f>SUBTOTAL(109,JED_HBE_LF_LEGACY[B])</f>
        <v>0</v>
      </c>
      <c r="S9" s="211">
        <f>SUBTOTAL(109,JED_HBE_LF_LEGACY[M])</f>
        <v>0</v>
      </c>
      <c r="T9" s="211">
        <f>SUBTOTAL(109,JED_HBE_LF_LEGACY[H])</f>
        <v>0</v>
      </c>
      <c r="U9" s="211">
        <f>SUBTOTAL(109,JED_HBE_LF_LEGACY[Q])</f>
        <v>0</v>
      </c>
      <c r="V9" s="211">
        <f>SUBTOTAL(109,JED_HBE_LF_LEGACY[K])</f>
        <v>0</v>
      </c>
      <c r="W9" s="211">
        <f>SUBTOTAL(109,JED_HBE_LF_LEGACY[V])</f>
        <v>0</v>
      </c>
      <c r="X9" s="214">
        <f>SUBTOTAL(109,JED_HBE_LF_LEGACY[L])</f>
        <v>0</v>
      </c>
      <c r="Y9" s="211">
        <f>SUBTOTAL(109,JED_HBE_LF_LEGACY[G])</f>
        <v>0</v>
      </c>
      <c r="Z9" s="214">
        <f>SUBTOTAL(109,JED_HBE_LF_LEGACY[S])</f>
        <v>0</v>
      </c>
      <c r="AA9" s="211">
        <f>SUBTOTAL(109,JED_HBE_LF_LEGACY[W])</f>
        <v>0</v>
      </c>
      <c r="AB9" s="211">
        <f>SUBTOTAL(109,JED_HBE_LF_LEGACY[T])</f>
        <v>0</v>
      </c>
      <c r="AC9" s="214">
        <f>SUBTOTAL(109,JED_HBE_LF_LEGACY[X])</f>
        <v>0</v>
      </c>
      <c r="AD9" s="211">
        <f>SUBTOTAL(109,JED_HBE_LF_LEGACY[U])</f>
        <v>0</v>
      </c>
      <c r="AE9" s="211">
        <f>SUBTOTAL(109,JED_HBE_LF_LEGACY[O])</f>
        <v>0</v>
      </c>
      <c r="AF9" s="211">
        <f>SUBTOTAL(109,JED_HBE_LF_LEGACY[I])</f>
        <v>0</v>
      </c>
      <c r="AG9" s="211">
        <f>SUBTOTAL(109,JED_HBE_LF_LEGACY[E])</f>
        <v>0</v>
      </c>
      <c r="AH9" s="211">
        <f>SUBTOTAL(109,JED_HBE_LF_LEGACY[A])</f>
        <v>0</v>
      </c>
      <c r="AI9" s="214">
        <f>SUBTOTAL(109,JED_HBE_LF_LEGACY[P])</f>
        <v>0</v>
      </c>
      <c r="AJ9" s="211">
        <f>SUBTOTAL(103,JED_HBE_LF_LEGACY[N])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5" t="s">
        <v>387</v>
      </c>
      <c r="B1" s="126" t="s">
        <v>8</v>
      </c>
      <c r="C1" s="126" t="s">
        <v>9</v>
      </c>
      <c r="D1" s="126" t="s">
        <v>388</v>
      </c>
      <c r="E1" s="126" t="s">
        <v>10</v>
      </c>
      <c r="F1" s="126" t="s">
        <v>11</v>
      </c>
      <c r="G1" s="126" t="s">
        <v>12</v>
      </c>
      <c r="H1" s="127" t="s">
        <v>13</v>
      </c>
    </row>
    <row r="2" spans="1:8" ht="19.8" customHeight="1" x14ac:dyDescent="0.3">
      <c r="A2" s="128" t="s">
        <v>389</v>
      </c>
      <c r="B2" s="129" t="s">
        <v>72</v>
      </c>
      <c r="C2" s="130" t="s">
        <v>406</v>
      </c>
      <c r="D2" s="129" t="s">
        <v>405</v>
      </c>
      <c r="E2" s="129" t="s">
        <v>503</v>
      </c>
      <c r="F2" s="129" t="s">
        <v>407</v>
      </c>
      <c r="G2" s="131">
        <v>2</v>
      </c>
      <c r="H2" s="132">
        <v>873</v>
      </c>
    </row>
    <row r="3" spans="1:8" ht="19.8" customHeight="1" x14ac:dyDescent="0.3">
      <c r="A3" s="128" t="s">
        <v>389</v>
      </c>
      <c r="B3" s="129" t="s">
        <v>72</v>
      </c>
      <c r="C3" s="130" t="s">
        <v>406</v>
      </c>
      <c r="D3" s="129" t="s">
        <v>405</v>
      </c>
      <c r="E3" s="129" t="s">
        <v>503</v>
      </c>
      <c r="F3" s="129" t="s">
        <v>409</v>
      </c>
      <c r="G3" s="131">
        <v>2</v>
      </c>
      <c r="H3" s="132">
        <v>938</v>
      </c>
    </row>
    <row r="4" spans="1:8" ht="19.8" customHeight="1" x14ac:dyDescent="0.3">
      <c r="A4" s="128" t="s">
        <v>389</v>
      </c>
      <c r="B4" s="129" t="s">
        <v>26</v>
      </c>
      <c r="C4" s="130" t="s">
        <v>412</v>
      </c>
      <c r="D4" s="129" t="s">
        <v>405</v>
      </c>
      <c r="E4" s="129" t="s">
        <v>400</v>
      </c>
      <c r="F4" s="129" t="s">
        <v>413</v>
      </c>
      <c r="G4" s="131">
        <v>4</v>
      </c>
      <c r="H4" s="132">
        <v>939</v>
      </c>
    </row>
    <row r="5" spans="1:8" ht="19.8" customHeight="1" x14ac:dyDescent="0.3">
      <c r="A5" s="128" t="s">
        <v>389</v>
      </c>
      <c r="B5" s="129" t="s">
        <v>26</v>
      </c>
      <c r="C5" s="130" t="s">
        <v>412</v>
      </c>
      <c r="D5" s="129" t="s">
        <v>405</v>
      </c>
      <c r="E5" s="129" t="s">
        <v>400</v>
      </c>
      <c r="F5" s="129" t="s">
        <v>407</v>
      </c>
      <c r="G5" s="131">
        <v>4</v>
      </c>
      <c r="H5" s="132">
        <v>998</v>
      </c>
    </row>
    <row r="6" spans="1:8" ht="19.8" customHeight="1" x14ac:dyDescent="0.3">
      <c r="A6" s="128" t="s">
        <v>389</v>
      </c>
      <c r="B6" s="129" t="s">
        <v>26</v>
      </c>
      <c r="C6" s="130" t="s">
        <v>412</v>
      </c>
      <c r="D6" s="129" t="s">
        <v>405</v>
      </c>
      <c r="E6" s="129" t="s">
        <v>400</v>
      </c>
      <c r="F6" s="129" t="s">
        <v>409</v>
      </c>
      <c r="G6" s="131">
        <v>4</v>
      </c>
      <c r="H6" s="140" t="s">
        <v>416</v>
      </c>
    </row>
    <row r="7" spans="1:8" ht="19.8" customHeight="1" x14ac:dyDescent="0.3">
      <c r="A7" s="128" t="s">
        <v>389</v>
      </c>
      <c r="B7" s="129" t="s">
        <v>72</v>
      </c>
      <c r="C7" s="130" t="s">
        <v>406</v>
      </c>
      <c r="D7" s="129" t="s">
        <v>405</v>
      </c>
      <c r="E7" s="129" t="s">
        <v>503</v>
      </c>
      <c r="F7" s="129" t="s">
        <v>34</v>
      </c>
      <c r="G7" s="131">
        <v>2</v>
      </c>
      <c r="H7" s="140" t="s">
        <v>411</v>
      </c>
    </row>
    <row r="8" spans="1:8" ht="19.8" customHeight="1" x14ac:dyDescent="0.3">
      <c r="A8" s="128" t="s">
        <v>389</v>
      </c>
      <c r="B8" s="129" t="s">
        <v>26</v>
      </c>
      <c r="C8" s="130" t="s">
        <v>412</v>
      </c>
      <c r="D8" s="129" t="s">
        <v>405</v>
      </c>
      <c r="E8" s="129" t="s">
        <v>400</v>
      </c>
      <c r="F8" s="129" t="s">
        <v>417</v>
      </c>
      <c r="G8" s="131">
        <v>4</v>
      </c>
      <c r="H8" s="140" t="s">
        <v>418</v>
      </c>
    </row>
    <row r="9" spans="1:8" ht="19.8" customHeight="1" x14ac:dyDescent="0.3">
      <c r="A9" s="128" t="s">
        <v>389</v>
      </c>
      <c r="B9" s="129" t="s">
        <v>99</v>
      </c>
      <c r="C9" s="130" t="s">
        <v>419</v>
      </c>
      <c r="D9" s="129" t="s">
        <v>405</v>
      </c>
      <c r="E9" s="129" t="s">
        <v>504</v>
      </c>
      <c r="F9" s="129" t="s">
        <v>101</v>
      </c>
      <c r="G9" s="131">
        <v>5</v>
      </c>
      <c r="H9" s="140" t="s">
        <v>421</v>
      </c>
    </row>
    <row r="10" spans="1:8" ht="19.8" customHeight="1" x14ac:dyDescent="0.3">
      <c r="A10" s="128" t="s">
        <v>389</v>
      </c>
      <c r="B10" s="129" t="s">
        <v>115</v>
      </c>
      <c r="C10" s="130" t="s">
        <v>422</v>
      </c>
      <c r="D10" s="129" t="s">
        <v>405</v>
      </c>
      <c r="E10" s="129" t="s">
        <v>505</v>
      </c>
      <c r="F10" s="129" t="s">
        <v>117</v>
      </c>
      <c r="G10" s="131">
        <v>1</v>
      </c>
      <c r="H10" s="140" t="s">
        <v>423</v>
      </c>
    </row>
    <row r="11" spans="1:8" ht="19.8" customHeight="1" x14ac:dyDescent="0.3">
      <c r="A11" s="128" t="s">
        <v>389</v>
      </c>
      <c r="B11" s="129" t="s">
        <v>115</v>
      </c>
      <c r="C11" s="130" t="s">
        <v>422</v>
      </c>
      <c r="D11" s="129" t="s">
        <v>405</v>
      </c>
      <c r="E11" s="129" t="s">
        <v>505</v>
      </c>
      <c r="F11" s="129" t="s">
        <v>119</v>
      </c>
      <c r="G11" s="131">
        <v>1</v>
      </c>
      <c r="H11" s="140" t="s">
        <v>424</v>
      </c>
    </row>
    <row r="12" spans="1:8" ht="19.8" customHeight="1" x14ac:dyDescent="0.3">
      <c r="A12" s="133" t="s">
        <v>389</v>
      </c>
      <c r="B12" s="134" t="s">
        <v>85</v>
      </c>
      <c r="C12" s="135" t="s">
        <v>425</v>
      </c>
      <c r="D12" s="134" t="s">
        <v>405</v>
      </c>
      <c r="E12" s="134" t="s">
        <v>473</v>
      </c>
      <c r="F12" s="134" t="s">
        <v>93</v>
      </c>
      <c r="G12" s="134"/>
      <c r="H12" s="137" t="s">
        <v>94</v>
      </c>
    </row>
    <row r="13" spans="1:8" ht="19.8" customHeight="1" x14ac:dyDescent="0.3">
      <c r="A13" s="141">
        <v>45983</v>
      </c>
      <c r="B13" s="134" t="s">
        <v>85</v>
      </c>
      <c r="C13" s="135" t="s">
        <v>427</v>
      </c>
      <c r="D13" s="134" t="s">
        <v>405</v>
      </c>
      <c r="E13" s="142">
        <v>1.791666666666667</v>
      </c>
      <c r="F13" s="134" t="s">
        <v>93</v>
      </c>
      <c r="G13" s="134"/>
      <c r="H13" s="137" t="s">
        <v>94</v>
      </c>
    </row>
    <row r="14" spans="1:8" ht="19.8" customHeight="1" x14ac:dyDescent="0.3">
      <c r="A14" s="169"/>
      <c r="B14" s="170"/>
      <c r="C14" s="170"/>
      <c r="D14" s="170"/>
      <c r="E14" s="170"/>
      <c r="F14" s="171" t="s">
        <v>506</v>
      </c>
      <c r="G14" s="170"/>
      <c r="H14" s="172"/>
    </row>
    <row r="15" spans="1:8" ht="19.8" customHeight="1" x14ac:dyDescent="0.3">
      <c r="A15" s="138">
        <v>45983</v>
      </c>
      <c r="B15" s="129" t="s">
        <v>26</v>
      </c>
      <c r="C15" s="130" t="s">
        <v>27</v>
      </c>
      <c r="D15" s="129" t="s">
        <v>1</v>
      </c>
      <c r="E15" s="139">
        <v>1.302083333333333</v>
      </c>
      <c r="F15" s="129" t="s">
        <v>28</v>
      </c>
      <c r="G15" s="131">
        <v>1</v>
      </c>
      <c r="H15" s="132">
        <v>639</v>
      </c>
    </row>
    <row r="16" spans="1:8" ht="19.8" customHeight="1" x14ac:dyDescent="0.3">
      <c r="A16" s="138">
        <v>45983</v>
      </c>
      <c r="B16" s="129" t="s">
        <v>26</v>
      </c>
      <c r="C16" s="130" t="s">
        <v>36</v>
      </c>
      <c r="D16" s="129" t="s">
        <v>1</v>
      </c>
      <c r="E16" s="139">
        <v>1.1284722222222221</v>
      </c>
      <c r="F16" s="129" t="s">
        <v>28</v>
      </c>
      <c r="G16" s="131">
        <v>18</v>
      </c>
      <c r="H16" s="132">
        <v>639</v>
      </c>
    </row>
    <row r="17" spans="1:8" ht="19.8" customHeight="1" x14ac:dyDescent="0.3">
      <c r="A17" s="138">
        <v>45983</v>
      </c>
      <c r="B17" s="129" t="s">
        <v>26</v>
      </c>
      <c r="C17" s="130" t="s">
        <v>39</v>
      </c>
      <c r="D17" s="129" t="s">
        <v>1</v>
      </c>
      <c r="E17" s="139">
        <v>1.8888888888888891</v>
      </c>
      <c r="F17" s="129" t="s">
        <v>28</v>
      </c>
      <c r="G17" s="131">
        <v>9</v>
      </c>
      <c r="H17" s="132">
        <v>639</v>
      </c>
    </row>
    <row r="18" spans="1:8" ht="19.8" customHeight="1" x14ac:dyDescent="0.3">
      <c r="A18" s="138">
        <v>45983</v>
      </c>
      <c r="B18" s="129" t="s">
        <v>47</v>
      </c>
      <c r="C18" s="130" t="s">
        <v>48</v>
      </c>
      <c r="D18" s="129" t="s">
        <v>1</v>
      </c>
      <c r="E18" s="139">
        <v>1.9027777777777779</v>
      </c>
      <c r="F18" s="129" t="s">
        <v>49</v>
      </c>
      <c r="G18" s="131">
        <v>9</v>
      </c>
      <c r="H18" s="132">
        <v>669</v>
      </c>
    </row>
    <row r="19" spans="1:8" ht="19.8" customHeight="1" x14ac:dyDescent="0.3">
      <c r="A19" s="138">
        <v>45983</v>
      </c>
      <c r="B19" s="129" t="s">
        <v>47</v>
      </c>
      <c r="C19" s="130" t="s">
        <v>56</v>
      </c>
      <c r="D19" s="129" t="s">
        <v>1</v>
      </c>
      <c r="E19" s="139">
        <v>1.5173611111111109</v>
      </c>
      <c r="F19" s="129" t="s">
        <v>49</v>
      </c>
      <c r="G19" s="131">
        <v>1</v>
      </c>
      <c r="H19" s="132">
        <v>669</v>
      </c>
    </row>
    <row r="20" spans="1:8" ht="19.8" customHeight="1" x14ac:dyDescent="0.3">
      <c r="A20" s="138">
        <v>45983</v>
      </c>
      <c r="B20" s="129" t="s">
        <v>47</v>
      </c>
      <c r="C20" s="130" t="s">
        <v>58</v>
      </c>
      <c r="D20" s="129" t="s">
        <v>1</v>
      </c>
      <c r="E20" s="139">
        <v>1.395833333333333</v>
      </c>
      <c r="F20" s="129" t="s">
        <v>49</v>
      </c>
      <c r="G20" s="131">
        <v>9</v>
      </c>
      <c r="H20" s="132">
        <v>669</v>
      </c>
    </row>
    <row r="21" spans="1:8" ht="19.8" customHeight="1" x14ac:dyDescent="0.3">
      <c r="A21" s="138">
        <v>45983</v>
      </c>
      <c r="B21" s="129" t="s">
        <v>47</v>
      </c>
      <c r="C21" s="130" t="s">
        <v>59</v>
      </c>
      <c r="D21" s="129" t="s">
        <v>1</v>
      </c>
      <c r="E21" s="139">
        <v>1.7986111111111109</v>
      </c>
      <c r="F21" s="129" t="s">
        <v>49</v>
      </c>
      <c r="G21" s="131">
        <v>5</v>
      </c>
      <c r="H21" s="132">
        <v>669</v>
      </c>
    </row>
    <row r="22" spans="1:8" ht="19.8" customHeight="1" x14ac:dyDescent="0.3">
      <c r="A22" s="138">
        <v>45983</v>
      </c>
      <c r="B22" s="129" t="s">
        <v>26</v>
      </c>
      <c r="C22" s="130" t="s">
        <v>42</v>
      </c>
      <c r="D22" s="129" t="s">
        <v>1</v>
      </c>
      <c r="E22" s="139">
        <v>1.788194444444444</v>
      </c>
      <c r="F22" s="129" t="s">
        <v>28</v>
      </c>
      <c r="G22" s="131">
        <v>12</v>
      </c>
      <c r="H22" s="132">
        <v>689</v>
      </c>
    </row>
    <row r="23" spans="1:8" ht="19.8" customHeight="1" x14ac:dyDescent="0.3">
      <c r="A23" s="138">
        <v>45983</v>
      </c>
      <c r="B23" s="129" t="s">
        <v>72</v>
      </c>
      <c r="C23" s="130" t="s">
        <v>73</v>
      </c>
      <c r="D23" s="129" t="s">
        <v>1</v>
      </c>
      <c r="E23" s="139">
        <v>1.288194444444444</v>
      </c>
      <c r="F23" s="129" t="s">
        <v>74</v>
      </c>
      <c r="G23" s="131">
        <v>9</v>
      </c>
      <c r="H23" s="132">
        <v>701</v>
      </c>
    </row>
    <row r="24" spans="1:8" ht="19.8" customHeight="1" x14ac:dyDescent="0.3">
      <c r="A24" s="149">
        <v>45983</v>
      </c>
      <c r="B24" s="150" t="s">
        <v>72</v>
      </c>
      <c r="C24" s="151" t="s">
        <v>77</v>
      </c>
      <c r="D24" s="150" t="s">
        <v>1</v>
      </c>
      <c r="E24" s="152">
        <v>1.2152777777777779</v>
      </c>
      <c r="F24" s="150" t="s">
        <v>74</v>
      </c>
      <c r="G24" s="153">
        <v>9</v>
      </c>
      <c r="H24" s="173">
        <v>701</v>
      </c>
    </row>
    <row r="25" spans="1:8" ht="19.8" customHeight="1" x14ac:dyDescent="0.3">
      <c r="A25" s="138">
        <v>45984</v>
      </c>
      <c r="B25" s="129" t="s">
        <v>72</v>
      </c>
      <c r="C25" s="130" t="s">
        <v>406</v>
      </c>
      <c r="D25" s="129" t="s">
        <v>405</v>
      </c>
      <c r="E25" s="139">
        <v>1.5277777777777779</v>
      </c>
      <c r="F25" s="129" t="s">
        <v>407</v>
      </c>
      <c r="G25" s="131">
        <v>8</v>
      </c>
      <c r="H25" s="132">
        <v>815</v>
      </c>
    </row>
    <row r="26" spans="1:8" ht="19.8" customHeight="1" x14ac:dyDescent="0.3">
      <c r="A26" s="138">
        <v>45984</v>
      </c>
      <c r="B26" s="129" t="s">
        <v>72</v>
      </c>
      <c r="C26" s="130" t="s">
        <v>406</v>
      </c>
      <c r="D26" s="129" t="s">
        <v>405</v>
      </c>
      <c r="E26" s="139">
        <v>1.5277777777777779</v>
      </c>
      <c r="F26" s="129" t="s">
        <v>409</v>
      </c>
      <c r="G26" s="131">
        <v>8</v>
      </c>
      <c r="H26" s="132">
        <v>880</v>
      </c>
    </row>
    <row r="27" spans="1:8" ht="19.8" customHeight="1" x14ac:dyDescent="0.3">
      <c r="A27" s="141">
        <v>45984</v>
      </c>
      <c r="B27" s="134" t="s">
        <v>85</v>
      </c>
      <c r="C27" s="135" t="s">
        <v>438</v>
      </c>
      <c r="D27" s="134" t="s">
        <v>405</v>
      </c>
      <c r="E27" s="142">
        <v>1.489583333333333</v>
      </c>
      <c r="F27" s="134" t="s">
        <v>87</v>
      </c>
      <c r="G27" s="136">
        <v>2</v>
      </c>
      <c r="H27" s="148">
        <v>952</v>
      </c>
    </row>
    <row r="28" spans="1:8" ht="19.8" customHeight="1" x14ac:dyDescent="0.3">
      <c r="A28" s="138">
        <v>45984</v>
      </c>
      <c r="B28" s="129" t="s">
        <v>72</v>
      </c>
      <c r="C28" s="130" t="s">
        <v>406</v>
      </c>
      <c r="D28" s="129" t="s">
        <v>405</v>
      </c>
      <c r="E28" s="139">
        <v>1.5277777777777779</v>
      </c>
      <c r="F28" s="129" t="s">
        <v>34</v>
      </c>
      <c r="G28" s="131">
        <v>8</v>
      </c>
      <c r="H28" s="140" t="s">
        <v>437</v>
      </c>
    </row>
    <row r="29" spans="1:8" ht="19.8" customHeight="1" x14ac:dyDescent="0.3">
      <c r="A29" s="138">
        <v>45984</v>
      </c>
      <c r="B29" s="129" t="s">
        <v>115</v>
      </c>
      <c r="C29" s="130" t="s">
        <v>422</v>
      </c>
      <c r="D29" s="129" t="s">
        <v>405</v>
      </c>
      <c r="E29" s="139">
        <v>1.711805555555556</v>
      </c>
      <c r="F29" s="129" t="s">
        <v>117</v>
      </c>
      <c r="G29" s="131">
        <v>9</v>
      </c>
      <c r="H29" s="140" t="s">
        <v>443</v>
      </c>
    </row>
    <row r="30" spans="1:8" ht="19.8" customHeight="1" x14ac:dyDescent="0.3">
      <c r="A30" s="138">
        <v>45984</v>
      </c>
      <c r="B30" s="129" t="s">
        <v>115</v>
      </c>
      <c r="C30" s="130" t="s">
        <v>422</v>
      </c>
      <c r="D30" s="129" t="s">
        <v>405</v>
      </c>
      <c r="E30" s="139">
        <v>1.711805555555556</v>
      </c>
      <c r="F30" s="129" t="s">
        <v>119</v>
      </c>
      <c r="G30" s="131">
        <v>9</v>
      </c>
      <c r="H30" s="140" t="s">
        <v>444</v>
      </c>
    </row>
    <row r="31" spans="1:8" ht="19.8" customHeight="1" x14ac:dyDescent="0.3">
      <c r="A31" s="141">
        <v>45984</v>
      </c>
      <c r="B31" s="134" t="s">
        <v>85</v>
      </c>
      <c r="C31" s="135" t="s">
        <v>427</v>
      </c>
      <c r="D31" s="134" t="s">
        <v>405</v>
      </c>
      <c r="E31" s="142">
        <v>1.6875</v>
      </c>
      <c r="F31" s="134" t="s">
        <v>93</v>
      </c>
      <c r="G31" s="134"/>
      <c r="H31" s="137" t="s">
        <v>94</v>
      </c>
    </row>
    <row r="32" spans="1:8" ht="19.8" customHeight="1" x14ac:dyDescent="0.3">
      <c r="A32" s="169"/>
      <c r="B32" s="170"/>
      <c r="C32" s="170"/>
      <c r="D32" s="170"/>
      <c r="E32" s="170"/>
      <c r="F32" s="171" t="s">
        <v>506</v>
      </c>
      <c r="G32" s="170"/>
      <c r="H32" s="172"/>
    </row>
    <row r="33" spans="1:8" ht="19.8" customHeight="1" x14ac:dyDescent="0.3">
      <c r="A33" s="138">
        <v>45984</v>
      </c>
      <c r="B33" s="129" t="s">
        <v>26</v>
      </c>
      <c r="C33" s="130" t="s">
        <v>42</v>
      </c>
      <c r="D33" s="129" t="s">
        <v>1</v>
      </c>
      <c r="E33" s="139">
        <v>1.788194444444444</v>
      </c>
      <c r="F33" s="129" t="s">
        <v>139</v>
      </c>
      <c r="G33" s="131">
        <v>1</v>
      </c>
      <c r="H33" s="132">
        <v>539</v>
      </c>
    </row>
    <row r="34" spans="1:8" ht="19.8" customHeight="1" x14ac:dyDescent="0.3">
      <c r="A34" s="138">
        <v>45984</v>
      </c>
      <c r="B34" s="129" t="s">
        <v>26</v>
      </c>
      <c r="C34" s="130" t="s">
        <v>39</v>
      </c>
      <c r="D34" s="129" t="s">
        <v>1</v>
      </c>
      <c r="E34" s="139">
        <v>1.8888888888888891</v>
      </c>
      <c r="F34" s="129" t="s">
        <v>139</v>
      </c>
      <c r="G34" s="131">
        <v>4</v>
      </c>
      <c r="H34" s="132">
        <v>539</v>
      </c>
    </row>
    <row r="35" spans="1:8" ht="19.8" customHeight="1" x14ac:dyDescent="0.3">
      <c r="A35" s="138">
        <v>45984</v>
      </c>
      <c r="B35" s="129" t="s">
        <v>85</v>
      </c>
      <c r="C35" s="130" t="s">
        <v>142</v>
      </c>
      <c r="D35" s="129" t="s">
        <v>1</v>
      </c>
      <c r="E35" s="139">
        <v>1.333333333333333</v>
      </c>
      <c r="F35" s="129" t="s">
        <v>87</v>
      </c>
      <c r="G35" s="131">
        <v>1</v>
      </c>
      <c r="H35" s="132">
        <v>586</v>
      </c>
    </row>
    <row r="36" spans="1:8" ht="19.8" customHeight="1" x14ac:dyDescent="0.3">
      <c r="A36" s="138">
        <v>45984</v>
      </c>
      <c r="B36" s="129" t="s">
        <v>26</v>
      </c>
      <c r="C36" s="130" t="s">
        <v>36</v>
      </c>
      <c r="D36" s="129" t="s">
        <v>1</v>
      </c>
      <c r="E36" s="139">
        <v>1.1284722222222221</v>
      </c>
      <c r="F36" s="129" t="s">
        <v>139</v>
      </c>
      <c r="G36" s="131">
        <v>3</v>
      </c>
      <c r="H36" s="132">
        <v>589</v>
      </c>
    </row>
    <row r="37" spans="1:8" ht="19.8" customHeight="1" x14ac:dyDescent="0.3">
      <c r="A37" s="138">
        <v>45984</v>
      </c>
      <c r="B37" s="129" t="s">
        <v>47</v>
      </c>
      <c r="C37" s="130" t="s">
        <v>62</v>
      </c>
      <c r="D37" s="129" t="s">
        <v>1</v>
      </c>
      <c r="E37" s="139">
        <v>1.256944444444444</v>
      </c>
      <c r="F37" s="129" t="s">
        <v>161</v>
      </c>
      <c r="G37" s="131">
        <v>1</v>
      </c>
      <c r="H37" s="132">
        <v>589</v>
      </c>
    </row>
    <row r="38" spans="1:8" ht="19.8" customHeight="1" x14ac:dyDescent="0.3">
      <c r="A38" s="138">
        <v>45984</v>
      </c>
      <c r="B38" s="129" t="s">
        <v>47</v>
      </c>
      <c r="C38" s="130" t="s">
        <v>48</v>
      </c>
      <c r="D38" s="129" t="s">
        <v>1</v>
      </c>
      <c r="E38" s="139">
        <v>1.9027777777777779</v>
      </c>
      <c r="F38" s="129" t="s">
        <v>161</v>
      </c>
      <c r="G38" s="131">
        <v>9</v>
      </c>
      <c r="H38" s="132">
        <v>589</v>
      </c>
    </row>
    <row r="39" spans="1:8" ht="19.8" customHeight="1" x14ac:dyDescent="0.3">
      <c r="A39" s="138">
        <v>45984</v>
      </c>
      <c r="B39" s="129" t="s">
        <v>47</v>
      </c>
      <c r="C39" s="130" t="s">
        <v>71</v>
      </c>
      <c r="D39" s="129" t="s">
        <v>1</v>
      </c>
      <c r="E39" s="139">
        <v>1.854166666666667</v>
      </c>
      <c r="F39" s="129" t="s">
        <v>161</v>
      </c>
      <c r="G39" s="131">
        <v>9</v>
      </c>
      <c r="H39" s="132">
        <v>589</v>
      </c>
    </row>
    <row r="40" spans="1:8" ht="19.8" customHeight="1" x14ac:dyDescent="0.3">
      <c r="A40" s="138">
        <v>45984</v>
      </c>
      <c r="B40" s="129" t="s">
        <v>47</v>
      </c>
      <c r="C40" s="130" t="s">
        <v>162</v>
      </c>
      <c r="D40" s="129" t="s">
        <v>1</v>
      </c>
      <c r="E40" s="139">
        <v>1.302083333333333</v>
      </c>
      <c r="F40" s="129" t="s">
        <v>161</v>
      </c>
      <c r="G40" s="131">
        <v>3</v>
      </c>
      <c r="H40" s="132">
        <v>589</v>
      </c>
    </row>
    <row r="41" spans="1:8" ht="19.8" customHeight="1" x14ac:dyDescent="0.3">
      <c r="A41" s="138">
        <v>45984</v>
      </c>
      <c r="B41" s="129" t="s">
        <v>47</v>
      </c>
      <c r="C41" s="130" t="s">
        <v>59</v>
      </c>
      <c r="D41" s="129" t="s">
        <v>1</v>
      </c>
      <c r="E41" s="139">
        <v>1.7986111111111109</v>
      </c>
      <c r="F41" s="129" t="s">
        <v>161</v>
      </c>
      <c r="G41" s="131">
        <v>9</v>
      </c>
      <c r="H41" s="132">
        <v>589</v>
      </c>
    </row>
    <row r="42" spans="1:8" ht="19.8" customHeight="1" x14ac:dyDescent="0.3">
      <c r="A42" s="149">
        <v>45984</v>
      </c>
      <c r="B42" s="150" t="s">
        <v>78</v>
      </c>
      <c r="C42" s="151" t="s">
        <v>79</v>
      </c>
      <c r="D42" s="150" t="s">
        <v>1</v>
      </c>
      <c r="E42" s="152">
        <v>1.666666666666667</v>
      </c>
      <c r="F42" s="150" t="s">
        <v>80</v>
      </c>
      <c r="G42" s="153">
        <v>2</v>
      </c>
      <c r="H42" s="173">
        <v>599</v>
      </c>
    </row>
    <row r="43" spans="1:8" ht="19.8" customHeight="1" x14ac:dyDescent="0.3">
      <c r="A43" s="138">
        <v>45985</v>
      </c>
      <c r="B43" s="129" t="s">
        <v>72</v>
      </c>
      <c r="C43" s="130" t="s">
        <v>448</v>
      </c>
      <c r="D43" s="129" t="s">
        <v>405</v>
      </c>
      <c r="E43" s="139">
        <v>1.2951388888888891</v>
      </c>
      <c r="F43" s="129" t="s">
        <v>407</v>
      </c>
      <c r="G43" s="131">
        <v>5</v>
      </c>
      <c r="H43" s="132">
        <v>526</v>
      </c>
    </row>
    <row r="44" spans="1:8" ht="19.8" customHeight="1" x14ac:dyDescent="0.3">
      <c r="A44" s="138">
        <v>45985</v>
      </c>
      <c r="B44" s="129" t="s">
        <v>72</v>
      </c>
      <c r="C44" s="130" t="s">
        <v>448</v>
      </c>
      <c r="D44" s="129" t="s">
        <v>405</v>
      </c>
      <c r="E44" s="139">
        <v>1.2951388888888891</v>
      </c>
      <c r="F44" s="129" t="s">
        <v>409</v>
      </c>
      <c r="G44" s="131">
        <v>5</v>
      </c>
      <c r="H44" s="132">
        <v>580</v>
      </c>
    </row>
    <row r="45" spans="1:8" ht="19.8" customHeight="1" x14ac:dyDescent="0.3">
      <c r="A45" s="138">
        <v>45985</v>
      </c>
      <c r="B45" s="129" t="s">
        <v>72</v>
      </c>
      <c r="C45" s="130" t="s">
        <v>448</v>
      </c>
      <c r="D45" s="129" t="s">
        <v>405</v>
      </c>
      <c r="E45" s="139">
        <v>1.2951388888888891</v>
      </c>
      <c r="F45" s="129" t="s">
        <v>34</v>
      </c>
      <c r="G45" s="131">
        <v>5</v>
      </c>
      <c r="H45" s="132">
        <v>650</v>
      </c>
    </row>
    <row r="46" spans="1:8" ht="19.8" customHeight="1" x14ac:dyDescent="0.3">
      <c r="A46" s="138">
        <v>45985</v>
      </c>
      <c r="B46" s="129" t="s">
        <v>115</v>
      </c>
      <c r="C46" s="130" t="s">
        <v>422</v>
      </c>
      <c r="D46" s="129" t="s">
        <v>405</v>
      </c>
      <c r="E46" s="139">
        <v>1.711805555555556</v>
      </c>
      <c r="F46" s="129" t="s">
        <v>117</v>
      </c>
      <c r="G46" s="131">
        <v>9</v>
      </c>
      <c r="H46" s="140" t="s">
        <v>443</v>
      </c>
    </row>
    <row r="47" spans="1:8" ht="19.8" customHeight="1" x14ac:dyDescent="0.3">
      <c r="A47" s="138">
        <v>45985</v>
      </c>
      <c r="B47" s="129" t="s">
        <v>115</v>
      </c>
      <c r="C47" s="130" t="s">
        <v>422</v>
      </c>
      <c r="D47" s="129" t="s">
        <v>405</v>
      </c>
      <c r="E47" s="139">
        <v>1.711805555555556</v>
      </c>
      <c r="F47" s="129" t="s">
        <v>119</v>
      </c>
      <c r="G47" s="131">
        <v>9</v>
      </c>
      <c r="H47" s="140" t="s">
        <v>444</v>
      </c>
    </row>
    <row r="48" spans="1:8" ht="19.8" customHeight="1" x14ac:dyDescent="0.3">
      <c r="A48" s="141">
        <v>45985</v>
      </c>
      <c r="B48" s="134" t="s">
        <v>85</v>
      </c>
      <c r="C48" s="135" t="s">
        <v>425</v>
      </c>
      <c r="D48" s="134" t="s">
        <v>405</v>
      </c>
      <c r="E48" s="142">
        <v>1.336805555555556</v>
      </c>
      <c r="F48" s="134" t="s">
        <v>93</v>
      </c>
      <c r="G48" s="134"/>
      <c r="H48" s="137" t="s">
        <v>94</v>
      </c>
    </row>
    <row r="49" spans="1:8" ht="19.8" customHeight="1" x14ac:dyDescent="0.3">
      <c r="A49" s="141">
        <v>45985</v>
      </c>
      <c r="B49" s="134" t="s">
        <v>85</v>
      </c>
      <c r="C49" s="135" t="s">
        <v>427</v>
      </c>
      <c r="D49" s="134" t="s">
        <v>405</v>
      </c>
      <c r="E49" s="142">
        <v>1.645833333333333</v>
      </c>
      <c r="F49" s="134" t="s">
        <v>93</v>
      </c>
      <c r="G49" s="134"/>
      <c r="H49" s="137" t="s">
        <v>94</v>
      </c>
    </row>
    <row r="50" spans="1:8" ht="19.8" customHeight="1" x14ac:dyDescent="0.3">
      <c r="A50" s="169"/>
      <c r="B50" s="170"/>
      <c r="C50" s="170"/>
      <c r="D50" s="170"/>
      <c r="E50" s="170"/>
      <c r="F50" s="171" t="s">
        <v>506</v>
      </c>
      <c r="G50" s="170"/>
      <c r="H50" s="172"/>
    </row>
    <row r="51" spans="1:8" ht="19.8" customHeight="1" x14ac:dyDescent="0.3">
      <c r="A51" s="138">
        <v>45985</v>
      </c>
      <c r="B51" s="129" t="s">
        <v>26</v>
      </c>
      <c r="C51" s="130" t="s">
        <v>36</v>
      </c>
      <c r="D51" s="129" t="s">
        <v>1</v>
      </c>
      <c r="E51" s="139">
        <v>1.1284722222222221</v>
      </c>
      <c r="F51" s="129" t="s">
        <v>28</v>
      </c>
      <c r="G51" s="131">
        <v>8</v>
      </c>
      <c r="H51" s="132">
        <v>459</v>
      </c>
    </row>
    <row r="52" spans="1:8" ht="19.8" customHeight="1" x14ac:dyDescent="0.3">
      <c r="A52" s="138">
        <v>45985</v>
      </c>
      <c r="B52" s="129" t="s">
        <v>26</v>
      </c>
      <c r="C52" s="130" t="s">
        <v>39</v>
      </c>
      <c r="D52" s="129" t="s">
        <v>1</v>
      </c>
      <c r="E52" s="139">
        <v>1.8888888888888891</v>
      </c>
      <c r="F52" s="129" t="s">
        <v>28</v>
      </c>
      <c r="G52" s="131">
        <v>2</v>
      </c>
      <c r="H52" s="132">
        <v>459</v>
      </c>
    </row>
    <row r="53" spans="1:8" ht="19.8" customHeight="1" x14ac:dyDescent="0.3">
      <c r="A53" s="138">
        <v>45985</v>
      </c>
      <c r="B53" s="129" t="s">
        <v>26</v>
      </c>
      <c r="C53" s="130" t="s">
        <v>27</v>
      </c>
      <c r="D53" s="129" t="s">
        <v>1</v>
      </c>
      <c r="E53" s="139">
        <v>1.302083333333333</v>
      </c>
      <c r="F53" s="129" t="s">
        <v>28</v>
      </c>
      <c r="G53" s="131">
        <v>10</v>
      </c>
      <c r="H53" s="132">
        <v>499</v>
      </c>
    </row>
    <row r="54" spans="1:8" ht="19.8" customHeight="1" x14ac:dyDescent="0.3">
      <c r="A54" s="138">
        <v>45985</v>
      </c>
      <c r="B54" s="129" t="s">
        <v>47</v>
      </c>
      <c r="C54" s="130" t="s">
        <v>62</v>
      </c>
      <c r="D54" s="129" t="s">
        <v>1</v>
      </c>
      <c r="E54" s="139">
        <v>1.256944444444444</v>
      </c>
      <c r="F54" s="129" t="s">
        <v>49</v>
      </c>
      <c r="G54" s="131">
        <v>8</v>
      </c>
      <c r="H54" s="132">
        <v>509</v>
      </c>
    </row>
    <row r="55" spans="1:8" ht="19.8" customHeight="1" x14ac:dyDescent="0.3">
      <c r="A55" s="138">
        <v>45985</v>
      </c>
      <c r="B55" s="129" t="s">
        <v>47</v>
      </c>
      <c r="C55" s="130" t="s">
        <v>48</v>
      </c>
      <c r="D55" s="129" t="s">
        <v>1</v>
      </c>
      <c r="E55" s="139">
        <v>1.9027777777777779</v>
      </c>
      <c r="F55" s="129" t="s">
        <v>49</v>
      </c>
      <c r="G55" s="131">
        <v>5</v>
      </c>
      <c r="H55" s="132">
        <v>509</v>
      </c>
    </row>
    <row r="56" spans="1:8" ht="19.8" customHeight="1" x14ac:dyDescent="0.3">
      <c r="A56" s="138">
        <v>45985</v>
      </c>
      <c r="B56" s="129" t="s">
        <v>47</v>
      </c>
      <c r="C56" s="130" t="s">
        <v>68</v>
      </c>
      <c r="D56" s="129" t="s">
        <v>1</v>
      </c>
      <c r="E56" s="139">
        <v>1.645833333333333</v>
      </c>
      <c r="F56" s="129" t="s">
        <v>49</v>
      </c>
      <c r="G56" s="131">
        <v>2</v>
      </c>
      <c r="H56" s="132">
        <v>509</v>
      </c>
    </row>
    <row r="57" spans="1:8" ht="19.8" customHeight="1" x14ac:dyDescent="0.3">
      <c r="A57" s="138">
        <v>45985</v>
      </c>
      <c r="B57" s="129" t="s">
        <v>47</v>
      </c>
      <c r="C57" s="130" t="s">
        <v>56</v>
      </c>
      <c r="D57" s="129" t="s">
        <v>1</v>
      </c>
      <c r="E57" s="139">
        <v>1.5173611111111109</v>
      </c>
      <c r="F57" s="129" t="s">
        <v>49</v>
      </c>
      <c r="G57" s="131">
        <v>6</v>
      </c>
      <c r="H57" s="132">
        <v>509</v>
      </c>
    </row>
    <row r="58" spans="1:8" ht="19.8" customHeight="1" x14ac:dyDescent="0.3">
      <c r="A58" s="138">
        <v>45985</v>
      </c>
      <c r="B58" s="129" t="s">
        <v>47</v>
      </c>
      <c r="C58" s="130" t="s">
        <v>71</v>
      </c>
      <c r="D58" s="129" t="s">
        <v>1</v>
      </c>
      <c r="E58" s="139">
        <v>1.854166666666667</v>
      </c>
      <c r="F58" s="129" t="s">
        <v>49</v>
      </c>
      <c r="G58" s="131">
        <v>3</v>
      </c>
      <c r="H58" s="132">
        <v>509</v>
      </c>
    </row>
    <row r="59" spans="1:8" ht="19.8" customHeight="1" x14ac:dyDescent="0.3">
      <c r="A59" s="138">
        <v>45985</v>
      </c>
      <c r="B59" s="129" t="s">
        <v>47</v>
      </c>
      <c r="C59" s="130" t="s">
        <v>59</v>
      </c>
      <c r="D59" s="129" t="s">
        <v>1</v>
      </c>
      <c r="E59" s="139">
        <v>1.7986111111111109</v>
      </c>
      <c r="F59" s="129" t="s">
        <v>49</v>
      </c>
      <c r="G59" s="131">
        <v>9</v>
      </c>
      <c r="H59" s="132">
        <v>509</v>
      </c>
    </row>
    <row r="60" spans="1:8" ht="19.8" customHeight="1" x14ac:dyDescent="0.3">
      <c r="A60" s="149">
        <v>45985</v>
      </c>
      <c r="B60" s="150" t="s">
        <v>47</v>
      </c>
      <c r="C60" s="151" t="s">
        <v>58</v>
      </c>
      <c r="D60" s="150" t="s">
        <v>1</v>
      </c>
      <c r="E60" s="152">
        <v>1.395833333333333</v>
      </c>
      <c r="F60" s="150" t="s">
        <v>49</v>
      </c>
      <c r="G60" s="153">
        <v>9</v>
      </c>
      <c r="H60" s="173">
        <v>549</v>
      </c>
    </row>
    <row r="61" spans="1:8" ht="19.8" customHeight="1" x14ac:dyDescent="0.3">
      <c r="A61" s="138">
        <v>45986</v>
      </c>
      <c r="B61" s="129" t="s">
        <v>72</v>
      </c>
      <c r="C61" s="130" t="s">
        <v>457</v>
      </c>
      <c r="D61" s="129" t="s">
        <v>405</v>
      </c>
      <c r="E61" s="139">
        <v>1.1875</v>
      </c>
      <c r="F61" s="129" t="s">
        <v>407</v>
      </c>
      <c r="G61" s="131">
        <v>9</v>
      </c>
      <c r="H61" s="132">
        <v>504</v>
      </c>
    </row>
    <row r="62" spans="1:8" ht="19.8" customHeight="1" x14ac:dyDescent="0.3">
      <c r="A62" s="138">
        <v>45986</v>
      </c>
      <c r="B62" s="129" t="s">
        <v>26</v>
      </c>
      <c r="C62" s="130" t="s">
        <v>412</v>
      </c>
      <c r="D62" s="129" t="s">
        <v>405</v>
      </c>
      <c r="E62" s="139">
        <v>1.256944444444444</v>
      </c>
      <c r="F62" s="129" t="s">
        <v>413</v>
      </c>
      <c r="G62" s="131">
        <v>5</v>
      </c>
      <c r="H62" s="132">
        <v>519</v>
      </c>
    </row>
    <row r="63" spans="1:8" ht="19.8" customHeight="1" x14ac:dyDescent="0.3">
      <c r="A63" s="138">
        <v>45986</v>
      </c>
      <c r="B63" s="129" t="s">
        <v>72</v>
      </c>
      <c r="C63" s="130" t="s">
        <v>457</v>
      </c>
      <c r="D63" s="129" t="s">
        <v>405</v>
      </c>
      <c r="E63" s="139">
        <v>1.1875</v>
      </c>
      <c r="F63" s="129" t="s">
        <v>409</v>
      </c>
      <c r="G63" s="131">
        <v>9</v>
      </c>
      <c r="H63" s="132">
        <v>558</v>
      </c>
    </row>
    <row r="64" spans="1:8" ht="19.8" customHeight="1" x14ac:dyDescent="0.3">
      <c r="A64" s="138">
        <v>45986</v>
      </c>
      <c r="B64" s="129" t="s">
        <v>26</v>
      </c>
      <c r="C64" s="130" t="s">
        <v>412</v>
      </c>
      <c r="D64" s="129" t="s">
        <v>405</v>
      </c>
      <c r="E64" s="139">
        <v>1.256944444444444</v>
      </c>
      <c r="F64" s="129" t="s">
        <v>407</v>
      </c>
      <c r="G64" s="131">
        <v>5</v>
      </c>
      <c r="H64" s="132">
        <v>578</v>
      </c>
    </row>
    <row r="65" spans="1:8" ht="19.8" customHeight="1" x14ac:dyDescent="0.3">
      <c r="A65" s="138">
        <v>45986</v>
      </c>
      <c r="B65" s="129" t="s">
        <v>26</v>
      </c>
      <c r="C65" s="130" t="s">
        <v>412</v>
      </c>
      <c r="D65" s="129" t="s">
        <v>405</v>
      </c>
      <c r="E65" s="139">
        <v>1.256944444444444</v>
      </c>
      <c r="F65" s="129" t="s">
        <v>409</v>
      </c>
      <c r="G65" s="131">
        <v>5</v>
      </c>
      <c r="H65" s="132">
        <v>602</v>
      </c>
    </row>
    <row r="66" spans="1:8" ht="19.8" customHeight="1" x14ac:dyDescent="0.3">
      <c r="A66" s="138">
        <v>45986</v>
      </c>
      <c r="B66" s="129" t="s">
        <v>72</v>
      </c>
      <c r="C66" s="130" t="s">
        <v>457</v>
      </c>
      <c r="D66" s="129" t="s">
        <v>405</v>
      </c>
      <c r="E66" s="139">
        <v>1.1875</v>
      </c>
      <c r="F66" s="129" t="s">
        <v>34</v>
      </c>
      <c r="G66" s="131">
        <v>9</v>
      </c>
      <c r="H66" s="132">
        <v>627</v>
      </c>
    </row>
    <row r="67" spans="1:8" ht="19.8" customHeight="1" x14ac:dyDescent="0.3">
      <c r="A67" s="138">
        <v>45986</v>
      </c>
      <c r="B67" s="129" t="s">
        <v>72</v>
      </c>
      <c r="C67" s="130" t="s">
        <v>406</v>
      </c>
      <c r="D67" s="129" t="s">
        <v>405</v>
      </c>
      <c r="E67" s="139">
        <v>1.5277777777777779</v>
      </c>
      <c r="F67" s="129" t="s">
        <v>407</v>
      </c>
      <c r="G67" s="131">
        <v>9</v>
      </c>
      <c r="H67" s="132">
        <v>660</v>
      </c>
    </row>
    <row r="68" spans="1:8" ht="19.8" customHeight="1" x14ac:dyDescent="0.3">
      <c r="A68" s="138">
        <v>45986</v>
      </c>
      <c r="B68" s="129" t="s">
        <v>72</v>
      </c>
      <c r="C68" s="130" t="s">
        <v>406</v>
      </c>
      <c r="D68" s="129" t="s">
        <v>405</v>
      </c>
      <c r="E68" s="139">
        <v>1.5277777777777779</v>
      </c>
      <c r="F68" s="129" t="s">
        <v>409</v>
      </c>
      <c r="G68" s="131">
        <v>9</v>
      </c>
      <c r="H68" s="132">
        <v>726</v>
      </c>
    </row>
    <row r="69" spans="1:8" ht="19.8" customHeight="1" x14ac:dyDescent="0.3">
      <c r="A69" s="138">
        <v>45986</v>
      </c>
      <c r="B69" s="129" t="s">
        <v>26</v>
      </c>
      <c r="C69" s="130" t="s">
        <v>412</v>
      </c>
      <c r="D69" s="129" t="s">
        <v>405</v>
      </c>
      <c r="E69" s="139">
        <v>1.256944444444444</v>
      </c>
      <c r="F69" s="129" t="s">
        <v>417</v>
      </c>
      <c r="G69" s="131">
        <v>5</v>
      </c>
      <c r="H69" s="132">
        <v>769</v>
      </c>
    </row>
    <row r="70" spans="1:8" ht="19.8" customHeight="1" x14ac:dyDescent="0.3">
      <c r="A70" s="138">
        <v>45986</v>
      </c>
      <c r="B70" s="129" t="s">
        <v>72</v>
      </c>
      <c r="C70" s="130" t="s">
        <v>406</v>
      </c>
      <c r="D70" s="129" t="s">
        <v>405</v>
      </c>
      <c r="E70" s="139">
        <v>1.5277777777777779</v>
      </c>
      <c r="F70" s="129" t="s">
        <v>34</v>
      </c>
      <c r="G70" s="131">
        <v>9</v>
      </c>
      <c r="H70" s="132">
        <v>788</v>
      </c>
    </row>
    <row r="71" spans="1:8" ht="19.8" customHeight="1" x14ac:dyDescent="0.3">
      <c r="A71" s="141">
        <v>45986</v>
      </c>
      <c r="B71" s="134" t="s">
        <v>85</v>
      </c>
      <c r="C71" s="135" t="s">
        <v>466</v>
      </c>
      <c r="D71" s="134" t="s">
        <v>405</v>
      </c>
      <c r="E71" s="142">
        <v>1.708333333333333</v>
      </c>
      <c r="F71" s="134" t="s">
        <v>87</v>
      </c>
      <c r="G71" s="136">
        <v>1</v>
      </c>
      <c r="H71" s="148">
        <v>856</v>
      </c>
    </row>
    <row r="72" spans="1:8" ht="19.8" customHeight="1" x14ac:dyDescent="0.3">
      <c r="A72" s="138">
        <v>45986</v>
      </c>
      <c r="B72" s="129" t="s">
        <v>99</v>
      </c>
      <c r="C72" s="130" t="s">
        <v>419</v>
      </c>
      <c r="D72" s="129" t="s">
        <v>405</v>
      </c>
      <c r="E72" s="139">
        <v>1.604166666666667</v>
      </c>
      <c r="F72" s="129" t="s">
        <v>101</v>
      </c>
      <c r="G72" s="131">
        <v>9</v>
      </c>
      <c r="H72" s="132">
        <v>906</v>
      </c>
    </row>
    <row r="73" spans="1:8" ht="19.8" customHeight="1" x14ac:dyDescent="0.3">
      <c r="A73" s="138">
        <v>45986</v>
      </c>
      <c r="B73" s="129" t="s">
        <v>115</v>
      </c>
      <c r="C73" s="130" t="s">
        <v>470</v>
      </c>
      <c r="D73" s="129" t="s">
        <v>405</v>
      </c>
      <c r="E73" s="139">
        <v>1.3402777777777779</v>
      </c>
      <c r="F73" s="129" t="s">
        <v>117</v>
      </c>
      <c r="G73" s="131">
        <v>9</v>
      </c>
      <c r="H73" s="140" t="s">
        <v>443</v>
      </c>
    </row>
    <row r="74" spans="1:8" ht="19.8" customHeight="1" x14ac:dyDescent="0.3">
      <c r="A74" s="138">
        <v>45986</v>
      </c>
      <c r="B74" s="129" t="s">
        <v>115</v>
      </c>
      <c r="C74" s="130" t="s">
        <v>422</v>
      </c>
      <c r="D74" s="129" t="s">
        <v>405</v>
      </c>
      <c r="E74" s="139">
        <v>1.711805555555556</v>
      </c>
      <c r="F74" s="129" t="s">
        <v>117</v>
      </c>
      <c r="G74" s="131">
        <v>9</v>
      </c>
      <c r="H74" s="140" t="s">
        <v>443</v>
      </c>
    </row>
    <row r="75" spans="1:8" ht="19.8" customHeight="1" x14ac:dyDescent="0.3">
      <c r="A75" s="138">
        <v>45986</v>
      </c>
      <c r="B75" s="129" t="s">
        <v>115</v>
      </c>
      <c r="C75" s="130" t="s">
        <v>470</v>
      </c>
      <c r="D75" s="129" t="s">
        <v>405</v>
      </c>
      <c r="E75" s="139">
        <v>1.3402777777777779</v>
      </c>
      <c r="F75" s="129" t="s">
        <v>119</v>
      </c>
      <c r="G75" s="131">
        <v>9</v>
      </c>
      <c r="H75" s="140" t="s">
        <v>444</v>
      </c>
    </row>
    <row r="76" spans="1:8" ht="19.8" customHeight="1" x14ac:dyDescent="0.3">
      <c r="A76" s="138">
        <v>45986</v>
      </c>
      <c r="B76" s="129" t="s">
        <v>115</v>
      </c>
      <c r="C76" s="130" t="s">
        <v>422</v>
      </c>
      <c r="D76" s="129" t="s">
        <v>405</v>
      </c>
      <c r="E76" s="139">
        <v>1.711805555555556</v>
      </c>
      <c r="F76" s="129" t="s">
        <v>119</v>
      </c>
      <c r="G76" s="131">
        <v>9</v>
      </c>
      <c r="H76" s="140" t="s">
        <v>444</v>
      </c>
    </row>
    <row r="77" spans="1:8" ht="19.8" customHeight="1" x14ac:dyDescent="0.3">
      <c r="A77" s="169"/>
      <c r="B77" s="170"/>
      <c r="C77" s="170"/>
      <c r="D77" s="170"/>
      <c r="E77" s="170"/>
      <c r="F77" s="171" t="s">
        <v>506</v>
      </c>
      <c r="G77" s="170"/>
      <c r="H77" s="172"/>
    </row>
    <row r="78" spans="1:8" ht="19.8" customHeight="1" x14ac:dyDescent="0.3">
      <c r="A78" s="138">
        <v>45986</v>
      </c>
      <c r="B78" s="129" t="s">
        <v>78</v>
      </c>
      <c r="C78" s="130" t="s">
        <v>222</v>
      </c>
      <c r="D78" s="129" t="s">
        <v>1</v>
      </c>
      <c r="E78" s="139">
        <v>1.0451388888888891</v>
      </c>
      <c r="F78" s="129" t="s">
        <v>80</v>
      </c>
      <c r="G78" s="131">
        <v>1</v>
      </c>
      <c r="H78" s="132">
        <v>401</v>
      </c>
    </row>
    <row r="79" spans="1:8" ht="19.8" customHeight="1" x14ac:dyDescent="0.3">
      <c r="A79" s="138">
        <v>45986</v>
      </c>
      <c r="B79" s="129" t="s">
        <v>26</v>
      </c>
      <c r="C79" s="130" t="s">
        <v>27</v>
      </c>
      <c r="D79" s="129" t="s">
        <v>1</v>
      </c>
      <c r="E79" s="139">
        <v>1.302083333333333</v>
      </c>
      <c r="F79" s="129" t="s">
        <v>28</v>
      </c>
      <c r="G79" s="131">
        <v>3</v>
      </c>
      <c r="H79" s="132">
        <v>419</v>
      </c>
    </row>
    <row r="80" spans="1:8" ht="19.8" customHeight="1" x14ac:dyDescent="0.3">
      <c r="A80" s="138">
        <v>45986</v>
      </c>
      <c r="B80" s="129" t="s">
        <v>26</v>
      </c>
      <c r="C80" s="130" t="s">
        <v>36</v>
      </c>
      <c r="D80" s="129" t="s">
        <v>1</v>
      </c>
      <c r="E80" s="139">
        <v>1.1284722222222221</v>
      </c>
      <c r="F80" s="129" t="s">
        <v>28</v>
      </c>
      <c r="G80" s="131">
        <v>10</v>
      </c>
      <c r="H80" s="132">
        <v>419</v>
      </c>
    </row>
    <row r="81" spans="1:8" ht="19.8" customHeight="1" x14ac:dyDescent="0.3">
      <c r="A81" s="138">
        <v>45986</v>
      </c>
      <c r="B81" s="129" t="s">
        <v>26</v>
      </c>
      <c r="C81" s="130" t="s">
        <v>42</v>
      </c>
      <c r="D81" s="129" t="s">
        <v>1</v>
      </c>
      <c r="E81" s="139">
        <v>1.788194444444444</v>
      </c>
      <c r="F81" s="129" t="s">
        <v>28</v>
      </c>
      <c r="G81" s="131">
        <v>9</v>
      </c>
      <c r="H81" s="132">
        <v>419</v>
      </c>
    </row>
    <row r="82" spans="1:8" ht="19.8" customHeight="1" x14ac:dyDescent="0.3">
      <c r="A82" s="138">
        <v>45986</v>
      </c>
      <c r="B82" s="129" t="s">
        <v>26</v>
      </c>
      <c r="C82" s="130" t="s">
        <v>39</v>
      </c>
      <c r="D82" s="129" t="s">
        <v>1</v>
      </c>
      <c r="E82" s="139">
        <v>1.8888888888888891</v>
      </c>
      <c r="F82" s="129" t="s">
        <v>28</v>
      </c>
      <c r="G82" s="131">
        <v>7</v>
      </c>
      <c r="H82" s="132">
        <v>419</v>
      </c>
    </row>
    <row r="83" spans="1:8" ht="19.8" customHeight="1" x14ac:dyDescent="0.3">
      <c r="A83" s="138">
        <v>45986</v>
      </c>
      <c r="B83" s="129" t="s">
        <v>47</v>
      </c>
      <c r="C83" s="130" t="s">
        <v>48</v>
      </c>
      <c r="D83" s="129" t="s">
        <v>1</v>
      </c>
      <c r="E83" s="139">
        <v>1.9027777777777779</v>
      </c>
      <c r="F83" s="129" t="s">
        <v>49</v>
      </c>
      <c r="G83" s="131">
        <v>3</v>
      </c>
      <c r="H83" s="132">
        <v>449</v>
      </c>
    </row>
    <row r="84" spans="1:8" ht="19.8" customHeight="1" x14ac:dyDescent="0.3">
      <c r="A84" s="138">
        <v>45986</v>
      </c>
      <c r="B84" s="129" t="s">
        <v>47</v>
      </c>
      <c r="C84" s="130" t="s">
        <v>56</v>
      </c>
      <c r="D84" s="129" t="s">
        <v>1</v>
      </c>
      <c r="E84" s="139">
        <v>1.5173611111111109</v>
      </c>
      <c r="F84" s="129" t="s">
        <v>49</v>
      </c>
      <c r="G84" s="131">
        <v>2</v>
      </c>
      <c r="H84" s="132">
        <v>449</v>
      </c>
    </row>
    <row r="85" spans="1:8" ht="19.8" customHeight="1" x14ac:dyDescent="0.3">
      <c r="A85" s="138">
        <v>45986</v>
      </c>
      <c r="B85" s="129" t="s">
        <v>47</v>
      </c>
      <c r="C85" s="130" t="s">
        <v>71</v>
      </c>
      <c r="D85" s="129" t="s">
        <v>1</v>
      </c>
      <c r="E85" s="139">
        <v>1.854166666666667</v>
      </c>
      <c r="F85" s="129" t="s">
        <v>49</v>
      </c>
      <c r="G85" s="131">
        <v>6</v>
      </c>
      <c r="H85" s="132">
        <v>449</v>
      </c>
    </row>
    <row r="86" spans="1:8" ht="19.8" customHeight="1" x14ac:dyDescent="0.3">
      <c r="A86" s="138">
        <v>45986</v>
      </c>
      <c r="B86" s="129" t="s">
        <v>47</v>
      </c>
      <c r="C86" s="130" t="s">
        <v>162</v>
      </c>
      <c r="D86" s="129" t="s">
        <v>1</v>
      </c>
      <c r="E86" s="139">
        <v>1.302083333333333</v>
      </c>
      <c r="F86" s="129" t="s">
        <v>49</v>
      </c>
      <c r="G86" s="131">
        <v>2</v>
      </c>
      <c r="H86" s="132">
        <v>449</v>
      </c>
    </row>
    <row r="87" spans="1:8" ht="19.8" customHeight="1" x14ac:dyDescent="0.3">
      <c r="A87" s="149">
        <v>45986</v>
      </c>
      <c r="B87" s="150" t="s">
        <v>47</v>
      </c>
      <c r="C87" s="151" t="s">
        <v>59</v>
      </c>
      <c r="D87" s="150" t="s">
        <v>1</v>
      </c>
      <c r="E87" s="152">
        <v>1.7986111111111109</v>
      </c>
      <c r="F87" s="150" t="s">
        <v>49</v>
      </c>
      <c r="G87" s="153">
        <v>5</v>
      </c>
      <c r="H87" s="173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5" t="s">
        <v>387</v>
      </c>
      <c r="B1" s="126" t="s">
        <v>8</v>
      </c>
      <c r="C1" s="126" t="s">
        <v>9</v>
      </c>
      <c r="D1" s="126" t="s">
        <v>388</v>
      </c>
      <c r="E1" s="126" t="s">
        <v>10</v>
      </c>
      <c r="F1" s="126" t="s">
        <v>11</v>
      </c>
      <c r="G1" s="126" t="s">
        <v>12</v>
      </c>
      <c r="H1" s="127" t="s">
        <v>13</v>
      </c>
    </row>
    <row r="2" spans="1:8" ht="19.8" customHeight="1" x14ac:dyDescent="0.3">
      <c r="A2" s="133" t="s">
        <v>389</v>
      </c>
      <c r="B2" s="134" t="s">
        <v>85</v>
      </c>
      <c r="C2" s="135" t="s">
        <v>425</v>
      </c>
      <c r="D2" s="134" t="s">
        <v>405</v>
      </c>
      <c r="E2" s="134" t="s">
        <v>473</v>
      </c>
      <c r="F2" s="134" t="s">
        <v>93</v>
      </c>
      <c r="G2" s="134"/>
      <c r="H2" s="137" t="s">
        <v>94</v>
      </c>
    </row>
    <row r="3" spans="1:8" ht="19.8" customHeight="1" x14ac:dyDescent="0.3">
      <c r="A3" s="141">
        <v>45983</v>
      </c>
      <c r="B3" s="134" t="s">
        <v>85</v>
      </c>
      <c r="C3" s="135" t="s">
        <v>427</v>
      </c>
      <c r="D3" s="134" t="s">
        <v>405</v>
      </c>
      <c r="E3" s="142">
        <v>1.791666666666667</v>
      </c>
      <c r="F3" s="134" t="s">
        <v>93</v>
      </c>
      <c r="G3" s="134"/>
      <c r="H3" s="137" t="s">
        <v>94</v>
      </c>
    </row>
    <row r="4" spans="1:8" ht="19.8" customHeight="1" x14ac:dyDescent="0.3">
      <c r="A4" s="169"/>
      <c r="B4" s="170"/>
      <c r="C4" s="170"/>
      <c r="D4" s="170"/>
      <c r="E4" s="170"/>
      <c r="F4" s="171" t="s">
        <v>506</v>
      </c>
      <c r="G4" s="170"/>
      <c r="H4" s="172"/>
    </row>
    <row r="5" spans="1:8" ht="19.8" customHeight="1" x14ac:dyDescent="0.3">
      <c r="A5" s="138">
        <v>45983</v>
      </c>
      <c r="B5" s="129" t="s">
        <v>26</v>
      </c>
      <c r="C5" s="130" t="s">
        <v>27</v>
      </c>
      <c r="D5" s="129" t="s">
        <v>1</v>
      </c>
      <c r="E5" s="139">
        <v>1.302083333333333</v>
      </c>
      <c r="F5" s="129" t="s">
        <v>28</v>
      </c>
      <c r="G5" s="131">
        <v>1</v>
      </c>
      <c r="H5" s="132">
        <v>639</v>
      </c>
    </row>
    <row r="6" spans="1:8" ht="19.8" customHeight="1" x14ac:dyDescent="0.3">
      <c r="A6" s="138">
        <v>45983</v>
      </c>
      <c r="B6" s="129" t="s">
        <v>26</v>
      </c>
      <c r="C6" s="130" t="s">
        <v>36</v>
      </c>
      <c r="D6" s="129" t="s">
        <v>1</v>
      </c>
      <c r="E6" s="139">
        <v>1.1284722222222221</v>
      </c>
      <c r="F6" s="129" t="s">
        <v>28</v>
      </c>
      <c r="G6" s="131">
        <v>18</v>
      </c>
      <c r="H6" s="132">
        <v>639</v>
      </c>
    </row>
    <row r="7" spans="1:8" ht="19.8" customHeight="1" x14ac:dyDescent="0.3">
      <c r="A7" s="138">
        <v>45983</v>
      </c>
      <c r="B7" s="129" t="s">
        <v>26</v>
      </c>
      <c r="C7" s="130" t="s">
        <v>39</v>
      </c>
      <c r="D7" s="129" t="s">
        <v>1</v>
      </c>
      <c r="E7" s="139">
        <v>1.8888888888888891</v>
      </c>
      <c r="F7" s="129" t="s">
        <v>28</v>
      </c>
      <c r="G7" s="131">
        <v>9</v>
      </c>
      <c r="H7" s="132">
        <v>639</v>
      </c>
    </row>
    <row r="8" spans="1:8" ht="19.8" customHeight="1" x14ac:dyDescent="0.3">
      <c r="A8" s="138">
        <v>45983</v>
      </c>
      <c r="B8" s="129" t="s">
        <v>47</v>
      </c>
      <c r="C8" s="130" t="s">
        <v>48</v>
      </c>
      <c r="D8" s="129" t="s">
        <v>1</v>
      </c>
      <c r="E8" s="139">
        <v>1.9027777777777779</v>
      </c>
      <c r="F8" s="129" t="s">
        <v>49</v>
      </c>
      <c r="G8" s="131">
        <v>9</v>
      </c>
      <c r="H8" s="132">
        <v>669</v>
      </c>
    </row>
    <row r="9" spans="1:8" ht="19.8" customHeight="1" x14ac:dyDescent="0.3">
      <c r="A9" s="138">
        <v>45983</v>
      </c>
      <c r="B9" s="129" t="s">
        <v>47</v>
      </c>
      <c r="C9" s="130" t="s">
        <v>56</v>
      </c>
      <c r="D9" s="129" t="s">
        <v>1</v>
      </c>
      <c r="E9" s="139">
        <v>1.5173611111111109</v>
      </c>
      <c r="F9" s="129" t="s">
        <v>49</v>
      </c>
      <c r="G9" s="131">
        <v>1</v>
      </c>
      <c r="H9" s="132">
        <v>669</v>
      </c>
    </row>
    <row r="10" spans="1:8" ht="19.8" customHeight="1" x14ac:dyDescent="0.3">
      <c r="A10" s="138">
        <v>45983</v>
      </c>
      <c r="B10" s="129" t="s">
        <v>47</v>
      </c>
      <c r="C10" s="130" t="s">
        <v>58</v>
      </c>
      <c r="D10" s="129" t="s">
        <v>1</v>
      </c>
      <c r="E10" s="139">
        <v>1.395833333333333</v>
      </c>
      <c r="F10" s="129" t="s">
        <v>49</v>
      </c>
      <c r="G10" s="131">
        <v>9</v>
      </c>
      <c r="H10" s="132">
        <v>669</v>
      </c>
    </row>
    <row r="11" spans="1:8" ht="19.8" customHeight="1" x14ac:dyDescent="0.3">
      <c r="A11" s="138">
        <v>45983</v>
      </c>
      <c r="B11" s="129" t="s">
        <v>47</v>
      </c>
      <c r="C11" s="130" t="s">
        <v>59</v>
      </c>
      <c r="D11" s="129" t="s">
        <v>1</v>
      </c>
      <c r="E11" s="139">
        <v>1.7986111111111109</v>
      </c>
      <c r="F11" s="129" t="s">
        <v>49</v>
      </c>
      <c r="G11" s="131">
        <v>5</v>
      </c>
      <c r="H11" s="132">
        <v>669</v>
      </c>
    </row>
    <row r="12" spans="1:8" ht="19.8" customHeight="1" x14ac:dyDescent="0.3">
      <c r="A12" s="138">
        <v>45983</v>
      </c>
      <c r="B12" s="129" t="s">
        <v>26</v>
      </c>
      <c r="C12" s="130" t="s">
        <v>42</v>
      </c>
      <c r="D12" s="129" t="s">
        <v>1</v>
      </c>
      <c r="E12" s="139">
        <v>1.788194444444444</v>
      </c>
      <c r="F12" s="129" t="s">
        <v>28</v>
      </c>
      <c r="G12" s="131">
        <v>12</v>
      </c>
      <c r="H12" s="132">
        <v>689</v>
      </c>
    </row>
    <row r="13" spans="1:8" ht="19.8" customHeight="1" x14ac:dyDescent="0.3">
      <c r="A13" s="138">
        <v>45983</v>
      </c>
      <c r="B13" s="129" t="s">
        <v>72</v>
      </c>
      <c r="C13" s="130" t="s">
        <v>73</v>
      </c>
      <c r="D13" s="129" t="s">
        <v>1</v>
      </c>
      <c r="E13" s="139">
        <v>1.288194444444444</v>
      </c>
      <c r="F13" s="129" t="s">
        <v>74</v>
      </c>
      <c r="G13" s="131">
        <v>9</v>
      </c>
      <c r="H13" s="132">
        <v>701</v>
      </c>
    </row>
    <row r="14" spans="1:8" ht="19.8" customHeight="1" x14ac:dyDescent="0.3">
      <c r="A14" s="149">
        <v>45983</v>
      </c>
      <c r="B14" s="150" t="s">
        <v>72</v>
      </c>
      <c r="C14" s="151" t="s">
        <v>77</v>
      </c>
      <c r="D14" s="150" t="s">
        <v>1</v>
      </c>
      <c r="E14" s="152">
        <v>1.2152777777777779</v>
      </c>
      <c r="F14" s="150" t="s">
        <v>74</v>
      </c>
      <c r="G14" s="153">
        <v>9</v>
      </c>
      <c r="H14" s="173">
        <v>701</v>
      </c>
    </row>
    <row r="15" spans="1:8" ht="19.8" customHeight="1" x14ac:dyDescent="0.3">
      <c r="A15" s="141">
        <v>45984</v>
      </c>
      <c r="B15" s="134" t="s">
        <v>85</v>
      </c>
      <c r="C15" s="135" t="s">
        <v>438</v>
      </c>
      <c r="D15" s="134" t="s">
        <v>405</v>
      </c>
      <c r="E15" s="142">
        <v>1.489583333333333</v>
      </c>
      <c r="F15" s="134" t="s">
        <v>87</v>
      </c>
      <c r="G15" s="136">
        <v>2</v>
      </c>
      <c r="H15" s="148">
        <v>952</v>
      </c>
    </row>
    <row r="16" spans="1:8" ht="19.8" customHeight="1" x14ac:dyDescent="0.3">
      <c r="A16" s="141">
        <v>45984</v>
      </c>
      <c r="B16" s="134" t="s">
        <v>85</v>
      </c>
      <c r="C16" s="135" t="s">
        <v>427</v>
      </c>
      <c r="D16" s="134" t="s">
        <v>405</v>
      </c>
      <c r="E16" s="142">
        <v>1.6875</v>
      </c>
      <c r="F16" s="134" t="s">
        <v>93</v>
      </c>
      <c r="G16" s="134"/>
      <c r="H16" s="137" t="s">
        <v>94</v>
      </c>
    </row>
    <row r="17" spans="1:8" ht="19.8" customHeight="1" x14ac:dyDescent="0.3">
      <c r="A17" s="169"/>
      <c r="B17" s="170"/>
      <c r="C17" s="170"/>
      <c r="D17" s="170"/>
      <c r="E17" s="170"/>
      <c r="F17" s="171" t="s">
        <v>506</v>
      </c>
      <c r="G17" s="170"/>
      <c r="H17" s="172"/>
    </row>
    <row r="18" spans="1:8" ht="19.8" customHeight="1" x14ac:dyDescent="0.3">
      <c r="A18" s="138">
        <v>45984</v>
      </c>
      <c r="B18" s="129" t="s">
        <v>26</v>
      </c>
      <c r="C18" s="130" t="s">
        <v>42</v>
      </c>
      <c r="D18" s="129" t="s">
        <v>1</v>
      </c>
      <c r="E18" s="139">
        <v>1.788194444444444</v>
      </c>
      <c r="F18" s="129" t="s">
        <v>139</v>
      </c>
      <c r="G18" s="131">
        <v>1</v>
      </c>
      <c r="H18" s="132">
        <v>539</v>
      </c>
    </row>
    <row r="19" spans="1:8" ht="19.8" customHeight="1" x14ac:dyDescent="0.3">
      <c r="A19" s="138">
        <v>45984</v>
      </c>
      <c r="B19" s="129" t="s">
        <v>26</v>
      </c>
      <c r="C19" s="130" t="s">
        <v>39</v>
      </c>
      <c r="D19" s="129" t="s">
        <v>1</v>
      </c>
      <c r="E19" s="139">
        <v>1.8888888888888891</v>
      </c>
      <c r="F19" s="129" t="s">
        <v>139</v>
      </c>
      <c r="G19" s="131">
        <v>4</v>
      </c>
      <c r="H19" s="132">
        <v>539</v>
      </c>
    </row>
    <row r="20" spans="1:8" ht="19.8" customHeight="1" x14ac:dyDescent="0.3">
      <c r="A20" s="138">
        <v>45984</v>
      </c>
      <c r="B20" s="129" t="s">
        <v>85</v>
      </c>
      <c r="C20" s="130" t="s">
        <v>142</v>
      </c>
      <c r="D20" s="129" t="s">
        <v>1</v>
      </c>
      <c r="E20" s="139">
        <v>1.333333333333333</v>
      </c>
      <c r="F20" s="129" t="s">
        <v>87</v>
      </c>
      <c r="G20" s="131">
        <v>1</v>
      </c>
      <c r="H20" s="132">
        <v>586</v>
      </c>
    </row>
    <row r="21" spans="1:8" ht="19.8" customHeight="1" x14ac:dyDescent="0.3">
      <c r="A21" s="138">
        <v>45984</v>
      </c>
      <c r="B21" s="129" t="s">
        <v>26</v>
      </c>
      <c r="C21" s="130" t="s">
        <v>36</v>
      </c>
      <c r="D21" s="129" t="s">
        <v>1</v>
      </c>
      <c r="E21" s="139">
        <v>1.1284722222222221</v>
      </c>
      <c r="F21" s="129" t="s">
        <v>139</v>
      </c>
      <c r="G21" s="131">
        <v>3</v>
      </c>
      <c r="H21" s="132">
        <v>589</v>
      </c>
    </row>
    <row r="22" spans="1:8" ht="19.8" customHeight="1" x14ac:dyDescent="0.3">
      <c r="A22" s="138">
        <v>45984</v>
      </c>
      <c r="B22" s="129" t="s">
        <v>47</v>
      </c>
      <c r="C22" s="130" t="s">
        <v>62</v>
      </c>
      <c r="D22" s="129" t="s">
        <v>1</v>
      </c>
      <c r="E22" s="139">
        <v>1.256944444444444</v>
      </c>
      <c r="F22" s="129" t="s">
        <v>161</v>
      </c>
      <c r="G22" s="131">
        <v>1</v>
      </c>
      <c r="H22" s="132">
        <v>589</v>
      </c>
    </row>
    <row r="23" spans="1:8" ht="19.8" customHeight="1" x14ac:dyDescent="0.3">
      <c r="A23" s="138">
        <v>45984</v>
      </c>
      <c r="B23" s="129" t="s">
        <v>47</v>
      </c>
      <c r="C23" s="130" t="s">
        <v>48</v>
      </c>
      <c r="D23" s="129" t="s">
        <v>1</v>
      </c>
      <c r="E23" s="139">
        <v>1.9027777777777779</v>
      </c>
      <c r="F23" s="129" t="s">
        <v>161</v>
      </c>
      <c r="G23" s="131">
        <v>9</v>
      </c>
      <c r="H23" s="132">
        <v>589</v>
      </c>
    </row>
    <row r="24" spans="1:8" ht="19.8" customHeight="1" x14ac:dyDescent="0.3">
      <c r="A24" s="138">
        <v>45984</v>
      </c>
      <c r="B24" s="129" t="s">
        <v>47</v>
      </c>
      <c r="C24" s="130" t="s">
        <v>71</v>
      </c>
      <c r="D24" s="129" t="s">
        <v>1</v>
      </c>
      <c r="E24" s="139">
        <v>1.854166666666667</v>
      </c>
      <c r="F24" s="129" t="s">
        <v>161</v>
      </c>
      <c r="G24" s="131">
        <v>9</v>
      </c>
      <c r="H24" s="132">
        <v>589</v>
      </c>
    </row>
    <row r="25" spans="1:8" ht="19.8" customHeight="1" x14ac:dyDescent="0.3">
      <c r="A25" s="138">
        <v>45984</v>
      </c>
      <c r="B25" s="129" t="s">
        <v>47</v>
      </c>
      <c r="C25" s="130" t="s">
        <v>162</v>
      </c>
      <c r="D25" s="129" t="s">
        <v>1</v>
      </c>
      <c r="E25" s="139">
        <v>1.302083333333333</v>
      </c>
      <c r="F25" s="129" t="s">
        <v>161</v>
      </c>
      <c r="G25" s="131">
        <v>3</v>
      </c>
      <c r="H25" s="132">
        <v>589</v>
      </c>
    </row>
    <row r="26" spans="1:8" ht="19.8" customHeight="1" x14ac:dyDescent="0.3">
      <c r="A26" s="138">
        <v>45984</v>
      </c>
      <c r="B26" s="129" t="s">
        <v>47</v>
      </c>
      <c r="C26" s="130" t="s">
        <v>59</v>
      </c>
      <c r="D26" s="129" t="s">
        <v>1</v>
      </c>
      <c r="E26" s="139">
        <v>1.7986111111111109</v>
      </c>
      <c r="F26" s="129" t="s">
        <v>161</v>
      </c>
      <c r="G26" s="131">
        <v>9</v>
      </c>
      <c r="H26" s="132">
        <v>589</v>
      </c>
    </row>
    <row r="27" spans="1:8" ht="19.8" customHeight="1" x14ac:dyDescent="0.3">
      <c r="A27" s="149">
        <v>45984</v>
      </c>
      <c r="B27" s="150" t="s">
        <v>78</v>
      </c>
      <c r="C27" s="151" t="s">
        <v>79</v>
      </c>
      <c r="D27" s="150" t="s">
        <v>1</v>
      </c>
      <c r="E27" s="152">
        <v>1.666666666666667</v>
      </c>
      <c r="F27" s="150" t="s">
        <v>80</v>
      </c>
      <c r="G27" s="153">
        <v>2</v>
      </c>
      <c r="H27" s="173">
        <v>599</v>
      </c>
    </row>
    <row r="28" spans="1:8" ht="19.8" customHeight="1" x14ac:dyDescent="0.3">
      <c r="A28" s="141">
        <v>45985</v>
      </c>
      <c r="B28" s="134" t="s">
        <v>85</v>
      </c>
      <c r="C28" s="135" t="s">
        <v>425</v>
      </c>
      <c r="D28" s="134" t="s">
        <v>405</v>
      </c>
      <c r="E28" s="142">
        <v>1.336805555555556</v>
      </c>
      <c r="F28" s="134" t="s">
        <v>93</v>
      </c>
      <c r="G28" s="134"/>
      <c r="H28" s="137" t="s">
        <v>94</v>
      </c>
    </row>
    <row r="29" spans="1:8" ht="19.8" customHeight="1" x14ac:dyDescent="0.3">
      <c r="A29" s="141">
        <v>45985</v>
      </c>
      <c r="B29" s="134" t="s">
        <v>85</v>
      </c>
      <c r="C29" s="135" t="s">
        <v>427</v>
      </c>
      <c r="D29" s="134" t="s">
        <v>405</v>
      </c>
      <c r="E29" s="142">
        <v>1.645833333333333</v>
      </c>
      <c r="F29" s="134" t="s">
        <v>93</v>
      </c>
      <c r="G29" s="134"/>
      <c r="H29" s="137" t="s">
        <v>94</v>
      </c>
    </row>
    <row r="30" spans="1:8" ht="19.8" customHeight="1" x14ac:dyDescent="0.3">
      <c r="A30" s="169"/>
      <c r="B30" s="170"/>
      <c r="C30" s="170"/>
      <c r="D30" s="170"/>
      <c r="E30" s="170"/>
      <c r="F30" s="171" t="s">
        <v>506</v>
      </c>
      <c r="G30" s="170"/>
      <c r="H30" s="172"/>
    </row>
    <row r="31" spans="1:8" ht="19.8" customHeight="1" x14ac:dyDescent="0.3">
      <c r="A31" s="138">
        <v>45985</v>
      </c>
      <c r="B31" s="129" t="s">
        <v>26</v>
      </c>
      <c r="C31" s="130" t="s">
        <v>36</v>
      </c>
      <c r="D31" s="129" t="s">
        <v>1</v>
      </c>
      <c r="E31" s="139">
        <v>1.1284722222222221</v>
      </c>
      <c r="F31" s="129" t="s">
        <v>28</v>
      </c>
      <c r="G31" s="131">
        <v>8</v>
      </c>
      <c r="H31" s="132">
        <v>459</v>
      </c>
    </row>
    <row r="32" spans="1:8" ht="19.8" customHeight="1" x14ac:dyDescent="0.3">
      <c r="A32" s="138">
        <v>45985</v>
      </c>
      <c r="B32" s="129" t="s">
        <v>26</v>
      </c>
      <c r="C32" s="130" t="s">
        <v>39</v>
      </c>
      <c r="D32" s="129" t="s">
        <v>1</v>
      </c>
      <c r="E32" s="139">
        <v>1.8888888888888891</v>
      </c>
      <c r="F32" s="129" t="s">
        <v>28</v>
      </c>
      <c r="G32" s="131">
        <v>2</v>
      </c>
      <c r="H32" s="132">
        <v>459</v>
      </c>
    </row>
    <row r="33" spans="1:8" ht="19.8" customHeight="1" x14ac:dyDescent="0.3">
      <c r="A33" s="138">
        <v>45985</v>
      </c>
      <c r="B33" s="129" t="s">
        <v>26</v>
      </c>
      <c r="C33" s="130" t="s">
        <v>27</v>
      </c>
      <c r="D33" s="129" t="s">
        <v>1</v>
      </c>
      <c r="E33" s="139">
        <v>1.302083333333333</v>
      </c>
      <c r="F33" s="129" t="s">
        <v>28</v>
      </c>
      <c r="G33" s="131">
        <v>10</v>
      </c>
      <c r="H33" s="132">
        <v>499</v>
      </c>
    </row>
    <row r="34" spans="1:8" ht="19.8" customHeight="1" x14ac:dyDescent="0.3">
      <c r="A34" s="138">
        <v>45985</v>
      </c>
      <c r="B34" s="129" t="s">
        <v>47</v>
      </c>
      <c r="C34" s="130" t="s">
        <v>62</v>
      </c>
      <c r="D34" s="129" t="s">
        <v>1</v>
      </c>
      <c r="E34" s="139">
        <v>1.256944444444444</v>
      </c>
      <c r="F34" s="129" t="s">
        <v>49</v>
      </c>
      <c r="G34" s="131">
        <v>8</v>
      </c>
      <c r="H34" s="132">
        <v>509</v>
      </c>
    </row>
    <row r="35" spans="1:8" ht="19.8" customHeight="1" x14ac:dyDescent="0.3">
      <c r="A35" s="138">
        <v>45985</v>
      </c>
      <c r="B35" s="129" t="s">
        <v>47</v>
      </c>
      <c r="C35" s="130" t="s">
        <v>48</v>
      </c>
      <c r="D35" s="129" t="s">
        <v>1</v>
      </c>
      <c r="E35" s="139">
        <v>1.9027777777777779</v>
      </c>
      <c r="F35" s="129" t="s">
        <v>49</v>
      </c>
      <c r="G35" s="131">
        <v>5</v>
      </c>
      <c r="H35" s="132">
        <v>509</v>
      </c>
    </row>
    <row r="36" spans="1:8" ht="19.8" customHeight="1" x14ac:dyDescent="0.3">
      <c r="A36" s="138">
        <v>45985</v>
      </c>
      <c r="B36" s="129" t="s">
        <v>47</v>
      </c>
      <c r="C36" s="130" t="s">
        <v>68</v>
      </c>
      <c r="D36" s="129" t="s">
        <v>1</v>
      </c>
      <c r="E36" s="139">
        <v>1.645833333333333</v>
      </c>
      <c r="F36" s="129" t="s">
        <v>49</v>
      </c>
      <c r="G36" s="131">
        <v>2</v>
      </c>
      <c r="H36" s="132">
        <v>509</v>
      </c>
    </row>
    <row r="37" spans="1:8" ht="19.8" customHeight="1" x14ac:dyDescent="0.3">
      <c r="A37" s="138">
        <v>45985</v>
      </c>
      <c r="B37" s="129" t="s">
        <v>47</v>
      </c>
      <c r="C37" s="130" t="s">
        <v>56</v>
      </c>
      <c r="D37" s="129" t="s">
        <v>1</v>
      </c>
      <c r="E37" s="139">
        <v>1.5173611111111109</v>
      </c>
      <c r="F37" s="129" t="s">
        <v>49</v>
      </c>
      <c r="G37" s="131">
        <v>6</v>
      </c>
      <c r="H37" s="132">
        <v>509</v>
      </c>
    </row>
    <row r="38" spans="1:8" ht="19.8" customHeight="1" x14ac:dyDescent="0.3">
      <c r="A38" s="138">
        <v>45985</v>
      </c>
      <c r="B38" s="129" t="s">
        <v>47</v>
      </c>
      <c r="C38" s="130" t="s">
        <v>71</v>
      </c>
      <c r="D38" s="129" t="s">
        <v>1</v>
      </c>
      <c r="E38" s="139">
        <v>1.854166666666667</v>
      </c>
      <c r="F38" s="129" t="s">
        <v>49</v>
      </c>
      <c r="G38" s="131">
        <v>3</v>
      </c>
      <c r="H38" s="132">
        <v>509</v>
      </c>
    </row>
    <row r="39" spans="1:8" ht="19.8" customHeight="1" x14ac:dyDescent="0.3">
      <c r="A39" s="138">
        <v>45985</v>
      </c>
      <c r="B39" s="129" t="s">
        <v>47</v>
      </c>
      <c r="C39" s="130" t="s">
        <v>59</v>
      </c>
      <c r="D39" s="129" t="s">
        <v>1</v>
      </c>
      <c r="E39" s="139">
        <v>1.7986111111111109</v>
      </c>
      <c r="F39" s="129" t="s">
        <v>49</v>
      </c>
      <c r="G39" s="131">
        <v>9</v>
      </c>
      <c r="H39" s="132">
        <v>509</v>
      </c>
    </row>
    <row r="40" spans="1:8" ht="19.8" customHeight="1" x14ac:dyDescent="0.3">
      <c r="A40" s="149">
        <v>45985</v>
      </c>
      <c r="B40" s="150" t="s">
        <v>47</v>
      </c>
      <c r="C40" s="151" t="s">
        <v>58</v>
      </c>
      <c r="D40" s="150" t="s">
        <v>1</v>
      </c>
      <c r="E40" s="152">
        <v>1.395833333333333</v>
      </c>
      <c r="F40" s="150" t="s">
        <v>49</v>
      </c>
      <c r="G40" s="153">
        <v>9</v>
      </c>
      <c r="H40" s="173">
        <v>549</v>
      </c>
    </row>
    <row r="41" spans="1:8" ht="19.8" customHeight="1" x14ac:dyDescent="0.3">
      <c r="A41" s="138">
        <v>45986</v>
      </c>
      <c r="B41" s="129" t="s">
        <v>26</v>
      </c>
      <c r="C41" s="130" t="s">
        <v>412</v>
      </c>
      <c r="D41" s="129" t="s">
        <v>405</v>
      </c>
      <c r="E41" s="139">
        <v>1.256944444444444</v>
      </c>
      <c r="F41" s="129" t="s">
        <v>417</v>
      </c>
      <c r="G41" s="131">
        <v>5</v>
      </c>
      <c r="H41" s="132">
        <v>769</v>
      </c>
    </row>
    <row r="42" spans="1:8" ht="19.8" customHeight="1" x14ac:dyDescent="0.3">
      <c r="A42" s="141">
        <v>45986</v>
      </c>
      <c r="B42" s="134" t="s">
        <v>85</v>
      </c>
      <c r="C42" s="135" t="s">
        <v>466</v>
      </c>
      <c r="D42" s="134" t="s">
        <v>405</v>
      </c>
      <c r="E42" s="142">
        <v>1.708333333333333</v>
      </c>
      <c r="F42" s="134" t="s">
        <v>87</v>
      </c>
      <c r="G42" s="136">
        <v>1</v>
      </c>
      <c r="H42" s="148">
        <v>856</v>
      </c>
    </row>
    <row r="43" spans="1:8" ht="19.8" customHeight="1" x14ac:dyDescent="0.3">
      <c r="A43" s="138">
        <v>45986</v>
      </c>
      <c r="B43" s="129" t="s">
        <v>99</v>
      </c>
      <c r="C43" s="130" t="s">
        <v>419</v>
      </c>
      <c r="D43" s="129" t="s">
        <v>405</v>
      </c>
      <c r="E43" s="139">
        <v>1.604166666666667</v>
      </c>
      <c r="F43" s="129" t="s">
        <v>101</v>
      </c>
      <c r="G43" s="131">
        <v>9</v>
      </c>
      <c r="H43" s="132">
        <v>906</v>
      </c>
    </row>
    <row r="44" spans="1:8" ht="19.8" customHeight="1" x14ac:dyDescent="0.3">
      <c r="A44" s="169"/>
      <c r="B44" s="170"/>
      <c r="C44" s="170"/>
      <c r="D44" s="170"/>
      <c r="E44" s="170"/>
      <c r="F44" s="171" t="s">
        <v>506</v>
      </c>
      <c r="G44" s="170"/>
      <c r="H44" s="172"/>
    </row>
    <row r="45" spans="1:8" ht="19.8" customHeight="1" x14ac:dyDescent="0.3">
      <c r="A45" s="138">
        <v>45986</v>
      </c>
      <c r="B45" s="129" t="s">
        <v>78</v>
      </c>
      <c r="C45" s="130" t="s">
        <v>222</v>
      </c>
      <c r="D45" s="129" t="s">
        <v>1</v>
      </c>
      <c r="E45" s="139">
        <v>1.0451388888888891</v>
      </c>
      <c r="F45" s="129" t="s">
        <v>80</v>
      </c>
      <c r="G45" s="131">
        <v>1</v>
      </c>
      <c r="H45" s="132">
        <v>401</v>
      </c>
    </row>
    <row r="46" spans="1:8" ht="19.8" customHeight="1" x14ac:dyDescent="0.3">
      <c r="A46" s="138">
        <v>45986</v>
      </c>
      <c r="B46" s="129" t="s">
        <v>26</v>
      </c>
      <c r="C46" s="130" t="s">
        <v>27</v>
      </c>
      <c r="D46" s="129" t="s">
        <v>1</v>
      </c>
      <c r="E46" s="139">
        <v>1.302083333333333</v>
      </c>
      <c r="F46" s="129" t="s">
        <v>28</v>
      </c>
      <c r="G46" s="131">
        <v>3</v>
      </c>
      <c r="H46" s="132">
        <v>419</v>
      </c>
    </row>
    <row r="47" spans="1:8" ht="19.8" customHeight="1" x14ac:dyDescent="0.3">
      <c r="A47" s="138">
        <v>45986</v>
      </c>
      <c r="B47" s="129" t="s">
        <v>26</v>
      </c>
      <c r="C47" s="130" t="s">
        <v>36</v>
      </c>
      <c r="D47" s="129" t="s">
        <v>1</v>
      </c>
      <c r="E47" s="139">
        <v>1.1284722222222221</v>
      </c>
      <c r="F47" s="129" t="s">
        <v>28</v>
      </c>
      <c r="G47" s="131">
        <v>10</v>
      </c>
      <c r="H47" s="132">
        <v>419</v>
      </c>
    </row>
    <row r="48" spans="1:8" ht="19.8" customHeight="1" x14ac:dyDescent="0.3">
      <c r="A48" s="138">
        <v>45986</v>
      </c>
      <c r="B48" s="129" t="s">
        <v>26</v>
      </c>
      <c r="C48" s="130" t="s">
        <v>42</v>
      </c>
      <c r="D48" s="129" t="s">
        <v>1</v>
      </c>
      <c r="E48" s="139">
        <v>1.788194444444444</v>
      </c>
      <c r="F48" s="129" t="s">
        <v>28</v>
      </c>
      <c r="G48" s="131">
        <v>9</v>
      </c>
      <c r="H48" s="132">
        <v>419</v>
      </c>
    </row>
    <row r="49" spans="1:8" ht="19.8" customHeight="1" x14ac:dyDescent="0.3">
      <c r="A49" s="138">
        <v>45986</v>
      </c>
      <c r="B49" s="129" t="s">
        <v>26</v>
      </c>
      <c r="C49" s="130" t="s">
        <v>39</v>
      </c>
      <c r="D49" s="129" t="s">
        <v>1</v>
      </c>
      <c r="E49" s="139">
        <v>1.8888888888888891</v>
      </c>
      <c r="F49" s="129" t="s">
        <v>28</v>
      </c>
      <c r="G49" s="131">
        <v>7</v>
      </c>
      <c r="H49" s="132">
        <v>419</v>
      </c>
    </row>
    <row r="50" spans="1:8" ht="19.8" customHeight="1" x14ac:dyDescent="0.3">
      <c r="A50" s="138">
        <v>45986</v>
      </c>
      <c r="B50" s="129" t="s">
        <v>47</v>
      </c>
      <c r="C50" s="130" t="s">
        <v>48</v>
      </c>
      <c r="D50" s="129" t="s">
        <v>1</v>
      </c>
      <c r="E50" s="139">
        <v>1.9027777777777779</v>
      </c>
      <c r="F50" s="129" t="s">
        <v>49</v>
      </c>
      <c r="G50" s="131">
        <v>3</v>
      </c>
      <c r="H50" s="132">
        <v>449</v>
      </c>
    </row>
    <row r="51" spans="1:8" ht="19.8" customHeight="1" x14ac:dyDescent="0.3">
      <c r="A51" s="138">
        <v>45986</v>
      </c>
      <c r="B51" s="129" t="s">
        <v>47</v>
      </c>
      <c r="C51" s="130" t="s">
        <v>56</v>
      </c>
      <c r="D51" s="129" t="s">
        <v>1</v>
      </c>
      <c r="E51" s="139">
        <v>1.5173611111111109</v>
      </c>
      <c r="F51" s="129" t="s">
        <v>49</v>
      </c>
      <c r="G51" s="131">
        <v>2</v>
      </c>
      <c r="H51" s="132">
        <v>449</v>
      </c>
    </row>
    <row r="52" spans="1:8" ht="19.8" customHeight="1" x14ac:dyDescent="0.3">
      <c r="A52" s="138">
        <v>45986</v>
      </c>
      <c r="B52" s="129" t="s">
        <v>47</v>
      </c>
      <c r="C52" s="130" t="s">
        <v>71</v>
      </c>
      <c r="D52" s="129" t="s">
        <v>1</v>
      </c>
      <c r="E52" s="139">
        <v>1.854166666666667</v>
      </c>
      <c r="F52" s="129" t="s">
        <v>49</v>
      </c>
      <c r="G52" s="131">
        <v>6</v>
      </c>
      <c r="H52" s="132">
        <v>449</v>
      </c>
    </row>
    <row r="53" spans="1:8" ht="19.8" customHeight="1" x14ac:dyDescent="0.3">
      <c r="A53" s="138">
        <v>45986</v>
      </c>
      <c r="B53" s="129" t="s">
        <v>47</v>
      </c>
      <c r="C53" s="130" t="s">
        <v>162</v>
      </c>
      <c r="D53" s="129" t="s">
        <v>1</v>
      </c>
      <c r="E53" s="139">
        <v>1.302083333333333</v>
      </c>
      <c r="F53" s="129" t="s">
        <v>49</v>
      </c>
      <c r="G53" s="131">
        <v>2</v>
      </c>
      <c r="H53" s="132">
        <v>449</v>
      </c>
    </row>
    <row r="54" spans="1:8" ht="19.8" customHeight="1" x14ac:dyDescent="0.3">
      <c r="A54" s="149">
        <v>45986</v>
      </c>
      <c r="B54" s="150" t="s">
        <v>47</v>
      </c>
      <c r="C54" s="151" t="s">
        <v>59</v>
      </c>
      <c r="D54" s="150" t="s">
        <v>1</v>
      </c>
      <c r="E54" s="152">
        <v>1.7986111111111109</v>
      </c>
      <c r="F54" s="150" t="s">
        <v>49</v>
      </c>
      <c r="G54" s="153">
        <v>5</v>
      </c>
      <c r="H54" s="173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74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1.21875" bestFit="1" customWidth="1"/>
    <col min="5" max="5" width="20.1093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.6640625" bestFit="1" customWidth="1"/>
  </cols>
  <sheetData>
    <row r="1" spans="1:92" ht="28.8" customHeight="1" x14ac:dyDescent="0.3">
      <c r="A1" s="190" t="s">
        <v>0</v>
      </c>
      <c r="B1" s="189"/>
      <c r="C1" s="189"/>
      <c r="D1" s="189"/>
      <c r="E1" s="189"/>
      <c r="F1" s="1" t="s">
        <v>507</v>
      </c>
      <c r="G1" s="2" t="s">
        <v>2</v>
      </c>
      <c r="H1" s="188">
        <v>45983</v>
      </c>
      <c r="I1" s="189"/>
      <c r="J1" s="189"/>
      <c r="K1" s="189"/>
      <c r="L1" s="189"/>
      <c r="M1" s="1" t="s">
        <v>3</v>
      </c>
      <c r="N1" s="197">
        <v>45986</v>
      </c>
      <c r="O1" s="189"/>
      <c r="P1" s="189"/>
      <c r="Q1" s="189"/>
      <c r="R1" s="18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4</v>
      </c>
      <c r="B2" s="189"/>
      <c r="C2" s="189"/>
      <c r="D2" s="189"/>
      <c r="E2" s="189"/>
      <c r="F2" s="189"/>
      <c r="G2" s="195">
        <v>45981.154129669078</v>
      </c>
      <c r="H2" s="189"/>
      <c r="I2" s="189"/>
      <c r="J2" s="189"/>
      <c r="K2" s="198">
        <v>45981.154129669347</v>
      </c>
      <c r="L2" s="189"/>
      <c r="M2" s="189"/>
      <c r="N2" s="189"/>
      <c r="O2" s="189"/>
      <c r="P2" s="189"/>
      <c r="Q2" s="189"/>
      <c r="R2" s="18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3" t="s">
        <v>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6" t="s">
        <v>6</v>
      </c>
      <c r="B4" s="185"/>
      <c r="C4" s="185"/>
      <c r="D4" s="185"/>
      <c r="E4" s="185"/>
      <c r="F4" s="186"/>
      <c r="G4" s="4">
        <v>45983</v>
      </c>
      <c r="H4" s="191" t="s">
        <v>7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67" t="s">
        <v>85</v>
      </c>
      <c r="B6" s="167" t="s">
        <v>508</v>
      </c>
      <c r="C6" s="168">
        <v>0.46180555555555558</v>
      </c>
      <c r="D6" s="167" t="s">
        <v>87</v>
      </c>
      <c r="E6" s="167" t="s">
        <v>509</v>
      </c>
      <c r="F6" s="167" t="s">
        <v>236</v>
      </c>
      <c r="G6" s="187"/>
      <c r="H6" s="33" t="s">
        <v>510</v>
      </c>
      <c r="I6" s="118">
        <v>0.77380000000000004</v>
      </c>
      <c r="J6" s="35">
        <v>130</v>
      </c>
      <c r="K6" s="36">
        <v>45980</v>
      </c>
      <c r="L6" s="35">
        <v>53</v>
      </c>
      <c r="M6" s="35">
        <v>0</v>
      </c>
      <c r="N6" s="35">
        <v>7</v>
      </c>
      <c r="O6" s="37" t="s">
        <v>511</v>
      </c>
      <c r="P6" s="38">
        <v>0.46180555555555558</v>
      </c>
      <c r="Q6" s="35">
        <v>168</v>
      </c>
      <c r="R6" s="39" t="s">
        <v>512</v>
      </c>
    </row>
    <row r="7" spans="1:92" ht="15" customHeight="1" x14ac:dyDescent="0.3">
      <c r="A7" s="106" t="s">
        <v>85</v>
      </c>
      <c r="B7" s="106" t="s">
        <v>513</v>
      </c>
      <c r="C7" s="107">
        <v>0.6875</v>
      </c>
      <c r="D7" s="106" t="s">
        <v>87</v>
      </c>
      <c r="E7" s="106" t="s">
        <v>110</v>
      </c>
      <c r="F7" s="106" t="s">
        <v>236</v>
      </c>
      <c r="G7" s="182"/>
      <c r="H7" s="108" t="s">
        <v>514</v>
      </c>
      <c r="I7" s="109">
        <v>0.70830000000000004</v>
      </c>
      <c r="J7" s="110">
        <v>119</v>
      </c>
      <c r="K7" s="111">
        <v>45980</v>
      </c>
      <c r="L7" s="110">
        <v>8</v>
      </c>
      <c r="M7" s="110">
        <v>0</v>
      </c>
      <c r="N7" s="110">
        <v>1</v>
      </c>
      <c r="O7" s="112" t="s">
        <v>383</v>
      </c>
      <c r="P7" s="113">
        <v>0.6875</v>
      </c>
      <c r="Q7" s="110">
        <v>168</v>
      </c>
      <c r="R7" s="114" t="s">
        <v>515</v>
      </c>
    </row>
    <row r="8" spans="1:92" ht="15" customHeight="1" x14ac:dyDescent="0.3">
      <c r="A8" s="19" t="s">
        <v>99</v>
      </c>
      <c r="B8" s="19" t="s">
        <v>516</v>
      </c>
      <c r="C8" s="20">
        <v>0.46180555555555558</v>
      </c>
      <c r="D8" s="19" t="s">
        <v>517</v>
      </c>
      <c r="E8" s="19" t="s">
        <v>200</v>
      </c>
      <c r="F8" s="19" t="s">
        <v>518</v>
      </c>
      <c r="G8" s="1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8" x14ac:dyDescent="0.3">
      <c r="A9" s="199" t="s">
        <v>429</v>
      </c>
      <c r="B9" s="200"/>
      <c r="C9" s="200"/>
      <c r="D9" s="200"/>
      <c r="E9" s="200"/>
      <c r="F9" s="201"/>
      <c r="G9" s="182"/>
      <c r="H9" s="161"/>
      <c r="I9" s="161"/>
      <c r="J9" s="161"/>
      <c r="K9" s="161"/>
      <c r="L9" s="161"/>
      <c r="M9" s="161"/>
      <c r="N9" s="161"/>
      <c r="O9" s="162"/>
      <c r="P9" s="161"/>
      <c r="Q9" s="124"/>
      <c r="R9" s="124"/>
    </row>
    <row r="10" spans="1:92" ht="15" customHeight="1" x14ac:dyDescent="0.3">
      <c r="A10" s="17" t="s">
        <v>26</v>
      </c>
      <c r="B10" s="17" t="s">
        <v>27</v>
      </c>
      <c r="C10" s="18" t="s">
        <v>390</v>
      </c>
      <c r="D10" s="17" t="s">
        <v>28</v>
      </c>
      <c r="E10" s="17" t="s">
        <v>430</v>
      </c>
      <c r="F10" s="17" t="s">
        <v>30</v>
      </c>
      <c r="G10" s="182"/>
      <c r="H10" s="161"/>
      <c r="I10" s="161"/>
      <c r="J10" s="161"/>
      <c r="K10" s="161"/>
      <c r="L10" s="161"/>
      <c r="M10" s="161"/>
      <c r="N10" s="161"/>
      <c r="O10" s="162"/>
      <c r="P10" s="161"/>
      <c r="Q10" s="124"/>
      <c r="R10" s="124"/>
    </row>
    <row r="11" spans="1:92" ht="15" customHeight="1" x14ac:dyDescent="0.3">
      <c r="A11" s="17" t="s">
        <v>26</v>
      </c>
      <c r="B11" s="17" t="s">
        <v>36</v>
      </c>
      <c r="C11" s="18" t="s">
        <v>391</v>
      </c>
      <c r="D11" s="17" t="s">
        <v>28</v>
      </c>
      <c r="E11" s="17" t="s">
        <v>431</v>
      </c>
      <c r="F11" s="17" t="s">
        <v>30</v>
      </c>
      <c r="G11" s="182"/>
      <c r="H11" s="161"/>
      <c r="I11" s="161"/>
      <c r="J11" s="161"/>
      <c r="K11" s="161"/>
      <c r="L11" s="161"/>
      <c r="M11" s="161"/>
      <c r="N11" s="161"/>
      <c r="O11" s="162"/>
      <c r="P11" s="161"/>
      <c r="Q11" s="124"/>
      <c r="R11" s="124"/>
    </row>
    <row r="12" spans="1:92" ht="15" customHeight="1" x14ac:dyDescent="0.3">
      <c r="A12" s="17" t="s">
        <v>26</v>
      </c>
      <c r="B12" s="17" t="s">
        <v>39</v>
      </c>
      <c r="C12" s="18" t="s">
        <v>392</v>
      </c>
      <c r="D12" s="17" t="s">
        <v>28</v>
      </c>
      <c r="E12" s="17" t="s">
        <v>432</v>
      </c>
      <c r="F12" s="17" t="s">
        <v>30</v>
      </c>
      <c r="G12" s="182"/>
      <c r="H12" s="161"/>
      <c r="I12" s="161"/>
      <c r="J12" s="161"/>
      <c r="K12" s="161"/>
      <c r="L12" s="161"/>
      <c r="M12" s="161"/>
      <c r="N12" s="161"/>
      <c r="O12" s="162"/>
      <c r="P12" s="161"/>
      <c r="Q12" s="124"/>
      <c r="R12" s="124"/>
    </row>
    <row r="13" spans="1:92" ht="15" customHeight="1" x14ac:dyDescent="0.3">
      <c r="A13" s="17" t="s">
        <v>47</v>
      </c>
      <c r="B13" s="17" t="s">
        <v>48</v>
      </c>
      <c r="C13" s="18" t="s">
        <v>393</v>
      </c>
      <c r="D13" s="17" t="s">
        <v>49</v>
      </c>
      <c r="E13" s="17" t="s">
        <v>432</v>
      </c>
      <c r="F13" s="17" t="s">
        <v>51</v>
      </c>
      <c r="G13" s="182"/>
      <c r="H13" s="161"/>
      <c r="I13" s="161"/>
      <c r="J13" s="161"/>
      <c r="K13" s="161"/>
      <c r="L13" s="161"/>
      <c r="M13" s="161"/>
      <c r="N13" s="161"/>
      <c r="O13" s="162"/>
      <c r="P13" s="161"/>
      <c r="Q13" s="124"/>
      <c r="R13" s="124"/>
    </row>
    <row r="14" spans="1:92" ht="15" customHeight="1" x14ac:dyDescent="0.3">
      <c r="A14" s="17" t="s">
        <v>47</v>
      </c>
      <c r="B14" s="17" t="s">
        <v>56</v>
      </c>
      <c r="C14" s="18" t="s">
        <v>394</v>
      </c>
      <c r="D14" s="17" t="s">
        <v>49</v>
      </c>
      <c r="E14" s="17" t="s">
        <v>430</v>
      </c>
      <c r="F14" s="17" t="s">
        <v>51</v>
      </c>
      <c r="G14" s="182"/>
      <c r="H14" s="161"/>
      <c r="I14" s="161"/>
      <c r="J14" s="161"/>
      <c r="K14" s="161"/>
      <c r="L14" s="161"/>
      <c r="M14" s="161"/>
      <c r="N14" s="161"/>
      <c r="O14" s="162"/>
      <c r="P14" s="161"/>
      <c r="Q14" s="124"/>
      <c r="R14" s="124"/>
    </row>
    <row r="15" spans="1:92" ht="15" customHeight="1" x14ac:dyDescent="0.3">
      <c r="A15" s="17" t="s">
        <v>47</v>
      </c>
      <c r="B15" s="17" t="s">
        <v>58</v>
      </c>
      <c r="C15" s="18" t="s">
        <v>395</v>
      </c>
      <c r="D15" s="17" t="s">
        <v>49</v>
      </c>
      <c r="E15" s="17" t="s">
        <v>432</v>
      </c>
      <c r="F15" s="17" t="s">
        <v>51</v>
      </c>
      <c r="G15" s="182"/>
      <c r="H15" s="161"/>
      <c r="I15" s="161"/>
      <c r="J15" s="161"/>
      <c r="K15" s="161"/>
      <c r="L15" s="161"/>
      <c r="M15" s="161"/>
      <c r="N15" s="161"/>
      <c r="O15" s="162"/>
      <c r="P15" s="161"/>
      <c r="Q15" s="124"/>
      <c r="R15" s="124"/>
    </row>
    <row r="16" spans="1:92" ht="15" customHeight="1" x14ac:dyDescent="0.3">
      <c r="A16" s="17" t="s">
        <v>47</v>
      </c>
      <c r="B16" s="17" t="s">
        <v>59</v>
      </c>
      <c r="C16" s="18" t="s">
        <v>396</v>
      </c>
      <c r="D16" s="17" t="s">
        <v>49</v>
      </c>
      <c r="E16" s="17" t="s">
        <v>433</v>
      </c>
      <c r="F16" s="17" t="s">
        <v>51</v>
      </c>
      <c r="G16" s="182"/>
      <c r="H16" s="161"/>
      <c r="I16" s="161"/>
      <c r="J16" s="161"/>
      <c r="K16" s="161"/>
      <c r="L16" s="161"/>
      <c r="M16" s="161"/>
      <c r="N16" s="161"/>
      <c r="O16" s="162"/>
      <c r="P16" s="161"/>
      <c r="Q16" s="124"/>
      <c r="R16" s="124"/>
    </row>
    <row r="17" spans="1:18" ht="15" customHeight="1" x14ac:dyDescent="0.3">
      <c r="A17" s="17" t="s">
        <v>26</v>
      </c>
      <c r="B17" s="17" t="s">
        <v>42</v>
      </c>
      <c r="C17" s="18" t="s">
        <v>397</v>
      </c>
      <c r="D17" s="17" t="s">
        <v>28</v>
      </c>
      <c r="E17" s="17" t="s">
        <v>434</v>
      </c>
      <c r="F17" s="17" t="s">
        <v>44</v>
      </c>
      <c r="G17" s="182"/>
      <c r="H17" s="161"/>
      <c r="I17" s="161"/>
      <c r="J17" s="161"/>
      <c r="K17" s="161"/>
      <c r="L17" s="161"/>
      <c r="M17" s="161"/>
      <c r="N17" s="161"/>
      <c r="O17" s="162"/>
      <c r="P17" s="161"/>
      <c r="Q17" s="124"/>
      <c r="R17" s="124"/>
    </row>
    <row r="18" spans="1:18" ht="15" customHeight="1" x14ac:dyDescent="0.3">
      <c r="A18" s="17" t="s">
        <v>72</v>
      </c>
      <c r="B18" s="17" t="s">
        <v>73</v>
      </c>
      <c r="C18" s="18" t="s">
        <v>398</v>
      </c>
      <c r="D18" s="17" t="s">
        <v>74</v>
      </c>
      <c r="E18" s="17" t="s">
        <v>432</v>
      </c>
      <c r="F18" s="17" t="s">
        <v>75</v>
      </c>
      <c r="G18" s="182"/>
      <c r="H18" s="161"/>
      <c r="I18" s="161"/>
      <c r="J18" s="161"/>
      <c r="K18" s="161"/>
      <c r="L18" s="161"/>
      <c r="M18" s="161"/>
      <c r="N18" s="161"/>
      <c r="O18" s="162"/>
      <c r="P18" s="161"/>
      <c r="Q18" s="124"/>
      <c r="R18" s="124"/>
    </row>
    <row r="19" spans="1:18" ht="15" customHeight="1" thickBot="1" x14ac:dyDescent="0.35">
      <c r="A19" s="50" t="s">
        <v>72</v>
      </c>
      <c r="B19" s="50" t="s">
        <v>77</v>
      </c>
      <c r="C19" s="51" t="s">
        <v>399</v>
      </c>
      <c r="D19" s="50" t="s">
        <v>74</v>
      </c>
      <c r="E19" s="50" t="s">
        <v>432</v>
      </c>
      <c r="F19" s="50" t="s">
        <v>75</v>
      </c>
      <c r="G19" s="183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17.399999999999999" customHeight="1" thickBot="1" x14ac:dyDescent="0.35">
      <c r="A20" s="216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</row>
    <row r="21" spans="1:18" ht="22.05" customHeight="1" thickTop="1" thickBot="1" x14ac:dyDescent="0.35">
      <c r="A21" s="184" t="s">
        <v>6</v>
      </c>
      <c r="B21" s="185"/>
      <c r="C21" s="185"/>
      <c r="D21" s="185"/>
      <c r="E21" s="185"/>
      <c r="F21" s="186"/>
      <c r="G21" s="57">
        <v>45984</v>
      </c>
      <c r="H21" s="194" t="s">
        <v>7</v>
      </c>
      <c r="I21" s="185"/>
      <c r="J21" s="185"/>
      <c r="K21" s="185"/>
      <c r="L21" s="185"/>
      <c r="M21" s="185"/>
      <c r="N21" s="185"/>
      <c r="O21" s="185"/>
      <c r="P21" s="185"/>
      <c r="Q21" s="185"/>
      <c r="R21" s="186"/>
    </row>
    <row r="22" spans="1:18" ht="24" customHeight="1" x14ac:dyDescent="0.3">
      <c r="A22" s="58" t="s">
        <v>8</v>
      </c>
      <c r="B22" s="58" t="s">
        <v>9</v>
      </c>
      <c r="C22" s="59" t="s">
        <v>10</v>
      </c>
      <c r="D22" s="58" t="s">
        <v>11</v>
      </c>
      <c r="E22" s="58" t="s">
        <v>12</v>
      </c>
      <c r="F22" s="60" t="s">
        <v>13</v>
      </c>
      <c r="G22" s="61" t="s">
        <v>14</v>
      </c>
      <c r="H22" s="58" t="s">
        <v>15</v>
      </c>
      <c r="I22" s="62" t="s">
        <v>16</v>
      </c>
      <c r="J22" s="63" t="s">
        <v>17</v>
      </c>
      <c r="K22" s="64" t="s">
        <v>18</v>
      </c>
      <c r="L22" s="63" t="s">
        <v>19</v>
      </c>
      <c r="M22" s="63" t="s">
        <v>20</v>
      </c>
      <c r="N22" s="63" t="s">
        <v>21</v>
      </c>
      <c r="O22" s="58" t="s">
        <v>22</v>
      </c>
      <c r="P22" s="59" t="s">
        <v>23</v>
      </c>
      <c r="Q22" s="63" t="s">
        <v>24</v>
      </c>
      <c r="R22" s="58" t="s">
        <v>25</v>
      </c>
    </row>
    <row r="23" spans="1:18" ht="15" customHeight="1" x14ac:dyDescent="0.3">
      <c r="A23" s="8" t="s">
        <v>26</v>
      </c>
      <c r="B23" s="8" t="s">
        <v>519</v>
      </c>
      <c r="C23" s="9">
        <v>0.28472222222222221</v>
      </c>
      <c r="D23" s="8" t="s">
        <v>413</v>
      </c>
      <c r="E23" s="8" t="s">
        <v>183</v>
      </c>
      <c r="F23" s="8" t="s">
        <v>520</v>
      </c>
      <c r="G23" s="181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5" t="s">
        <v>26</v>
      </c>
      <c r="B24" s="15" t="s">
        <v>519</v>
      </c>
      <c r="C24" s="16">
        <v>0.28472222222222221</v>
      </c>
      <c r="D24" s="15" t="s">
        <v>407</v>
      </c>
      <c r="E24" s="15" t="s">
        <v>177</v>
      </c>
      <c r="F24" s="15" t="s">
        <v>521</v>
      </c>
      <c r="G24" s="182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26</v>
      </c>
      <c r="B25" s="15" t="s">
        <v>519</v>
      </c>
      <c r="C25" s="16">
        <v>0.28472222222222221</v>
      </c>
      <c r="D25" s="15" t="s">
        <v>409</v>
      </c>
      <c r="E25" s="15" t="s">
        <v>177</v>
      </c>
      <c r="F25" s="15" t="s">
        <v>522</v>
      </c>
      <c r="G25" s="18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26</v>
      </c>
      <c r="B26" s="15" t="s">
        <v>519</v>
      </c>
      <c r="C26" s="16">
        <v>0.28472222222222221</v>
      </c>
      <c r="D26" s="15" t="s">
        <v>417</v>
      </c>
      <c r="E26" s="15" t="s">
        <v>177</v>
      </c>
      <c r="F26" s="15" t="s">
        <v>523</v>
      </c>
      <c r="G26" s="182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74" t="s">
        <v>85</v>
      </c>
      <c r="B27" s="174" t="s">
        <v>513</v>
      </c>
      <c r="C27" s="175">
        <v>0.85069444444444453</v>
      </c>
      <c r="D27" s="174" t="s">
        <v>87</v>
      </c>
      <c r="E27" s="174" t="s">
        <v>213</v>
      </c>
      <c r="F27" s="174" t="s">
        <v>524</v>
      </c>
      <c r="G27" s="182"/>
      <c r="H27" s="88" t="s">
        <v>514</v>
      </c>
      <c r="I27" s="89">
        <v>0.92259999999999998</v>
      </c>
      <c r="J27" s="90">
        <v>155</v>
      </c>
      <c r="K27" s="91">
        <v>45980</v>
      </c>
      <c r="L27" s="90">
        <v>5</v>
      </c>
      <c r="M27" s="90">
        <v>0</v>
      </c>
      <c r="N27" s="90">
        <v>1</v>
      </c>
      <c r="O27" s="92" t="s">
        <v>496</v>
      </c>
      <c r="P27" s="93">
        <v>0.85069444444444453</v>
      </c>
      <c r="Q27" s="90">
        <v>168</v>
      </c>
      <c r="R27" s="94" t="s">
        <v>525</v>
      </c>
    </row>
    <row r="28" spans="1:18" ht="15" customHeight="1" x14ac:dyDescent="0.3">
      <c r="A28" s="106" t="s">
        <v>85</v>
      </c>
      <c r="B28" s="106" t="s">
        <v>526</v>
      </c>
      <c r="C28" s="107">
        <v>0.76736111111111116</v>
      </c>
      <c r="D28" s="106" t="s">
        <v>87</v>
      </c>
      <c r="E28" s="106" t="s">
        <v>110</v>
      </c>
      <c r="F28" s="106" t="s">
        <v>524</v>
      </c>
      <c r="G28" s="182"/>
      <c r="H28" s="108" t="s">
        <v>527</v>
      </c>
      <c r="I28" s="109">
        <v>0.67859999999999998</v>
      </c>
      <c r="J28" s="110">
        <v>114</v>
      </c>
      <c r="K28" s="111">
        <v>45980</v>
      </c>
      <c r="L28" s="110">
        <v>24</v>
      </c>
      <c r="M28" s="110">
        <v>0</v>
      </c>
      <c r="N28" s="110">
        <v>3</v>
      </c>
      <c r="O28" s="112" t="s">
        <v>528</v>
      </c>
      <c r="P28" s="113">
        <v>0.76736111111111116</v>
      </c>
      <c r="Q28" s="110">
        <v>168</v>
      </c>
      <c r="R28" s="114" t="s">
        <v>529</v>
      </c>
    </row>
    <row r="29" spans="1:18" ht="18" x14ac:dyDescent="0.3">
      <c r="A29" s="199" t="s">
        <v>429</v>
      </c>
      <c r="B29" s="200"/>
      <c r="C29" s="200"/>
      <c r="D29" s="200"/>
      <c r="E29" s="200"/>
      <c r="F29" s="201"/>
      <c r="G29" s="182"/>
      <c r="H29" s="161"/>
      <c r="I29" s="161"/>
      <c r="J29" s="161"/>
      <c r="K29" s="161"/>
      <c r="L29" s="161"/>
      <c r="M29" s="161"/>
      <c r="N29" s="161"/>
      <c r="O29" s="162"/>
      <c r="P29" s="161"/>
      <c r="Q29" s="124"/>
      <c r="R29" s="124"/>
    </row>
    <row r="30" spans="1:18" ht="15" customHeight="1" x14ac:dyDescent="0.3">
      <c r="A30" s="17" t="s">
        <v>26</v>
      </c>
      <c r="B30" s="17" t="s">
        <v>42</v>
      </c>
      <c r="C30" s="18" t="s">
        <v>397</v>
      </c>
      <c r="D30" s="17" t="s">
        <v>139</v>
      </c>
      <c r="E30" s="17" t="s">
        <v>430</v>
      </c>
      <c r="F30" s="17" t="s">
        <v>140</v>
      </c>
      <c r="G30" s="182"/>
      <c r="H30" s="161"/>
      <c r="I30" s="161"/>
      <c r="J30" s="161"/>
      <c r="K30" s="161"/>
      <c r="L30" s="161"/>
      <c r="M30" s="161"/>
      <c r="N30" s="161"/>
      <c r="O30" s="162"/>
      <c r="P30" s="161"/>
      <c r="Q30" s="124"/>
      <c r="R30" s="124"/>
    </row>
    <row r="31" spans="1:18" ht="15" customHeight="1" x14ac:dyDescent="0.3">
      <c r="A31" s="17" t="s">
        <v>26</v>
      </c>
      <c r="B31" s="17" t="s">
        <v>39</v>
      </c>
      <c r="C31" s="18" t="s">
        <v>392</v>
      </c>
      <c r="D31" s="17" t="s">
        <v>139</v>
      </c>
      <c r="E31" s="17" t="s">
        <v>445</v>
      </c>
      <c r="F31" s="17" t="s">
        <v>140</v>
      </c>
      <c r="G31" s="182"/>
      <c r="H31" s="161"/>
      <c r="I31" s="161"/>
      <c r="J31" s="161"/>
      <c r="K31" s="161"/>
      <c r="L31" s="161"/>
      <c r="M31" s="161"/>
      <c r="N31" s="161"/>
      <c r="O31" s="162"/>
      <c r="P31" s="161"/>
      <c r="Q31" s="124"/>
      <c r="R31" s="124"/>
    </row>
    <row r="32" spans="1:18" ht="15" customHeight="1" x14ac:dyDescent="0.3">
      <c r="A32" s="17" t="s">
        <v>85</v>
      </c>
      <c r="B32" s="17" t="s">
        <v>142</v>
      </c>
      <c r="C32" s="18" t="s">
        <v>292</v>
      </c>
      <c r="D32" s="17" t="s">
        <v>87</v>
      </c>
      <c r="E32" s="17" t="s">
        <v>430</v>
      </c>
      <c r="F32" s="17" t="s">
        <v>143</v>
      </c>
      <c r="G32" s="182"/>
      <c r="H32" s="161"/>
      <c r="I32" s="161"/>
      <c r="J32" s="161"/>
      <c r="K32" s="161"/>
      <c r="L32" s="161"/>
      <c r="M32" s="161"/>
      <c r="N32" s="161"/>
      <c r="O32" s="162"/>
      <c r="P32" s="161"/>
      <c r="Q32" s="124"/>
      <c r="R32" s="124"/>
    </row>
    <row r="33" spans="1:18" ht="15" customHeight="1" x14ac:dyDescent="0.3">
      <c r="A33" s="17" t="s">
        <v>26</v>
      </c>
      <c r="B33" s="17" t="s">
        <v>36</v>
      </c>
      <c r="C33" s="18" t="s">
        <v>391</v>
      </c>
      <c r="D33" s="17" t="s">
        <v>139</v>
      </c>
      <c r="E33" s="17" t="s">
        <v>446</v>
      </c>
      <c r="F33" s="17" t="s">
        <v>141</v>
      </c>
      <c r="G33" s="182"/>
      <c r="H33" s="161"/>
      <c r="I33" s="161"/>
      <c r="J33" s="161"/>
      <c r="K33" s="161"/>
      <c r="L33" s="161"/>
      <c r="M33" s="161"/>
      <c r="N33" s="161"/>
      <c r="O33" s="162"/>
      <c r="P33" s="161"/>
      <c r="Q33" s="124"/>
      <c r="R33" s="124"/>
    </row>
    <row r="34" spans="1:18" ht="15" customHeight="1" x14ac:dyDescent="0.3">
      <c r="A34" s="17" t="s">
        <v>47</v>
      </c>
      <c r="B34" s="17" t="s">
        <v>62</v>
      </c>
      <c r="C34" s="18" t="s">
        <v>400</v>
      </c>
      <c r="D34" s="17" t="s">
        <v>161</v>
      </c>
      <c r="E34" s="17" t="s">
        <v>430</v>
      </c>
      <c r="F34" s="17" t="s">
        <v>141</v>
      </c>
      <c r="G34" s="182"/>
      <c r="H34" s="161"/>
      <c r="I34" s="161"/>
      <c r="J34" s="161"/>
      <c r="K34" s="161"/>
      <c r="L34" s="161"/>
      <c r="M34" s="161"/>
      <c r="N34" s="161"/>
      <c r="O34" s="162"/>
      <c r="P34" s="161"/>
      <c r="Q34" s="124"/>
      <c r="R34" s="124"/>
    </row>
    <row r="35" spans="1:18" ht="15" customHeight="1" x14ac:dyDescent="0.3">
      <c r="A35" s="17" t="s">
        <v>47</v>
      </c>
      <c r="B35" s="17" t="s">
        <v>48</v>
      </c>
      <c r="C35" s="18" t="s">
        <v>393</v>
      </c>
      <c r="D35" s="17" t="s">
        <v>161</v>
      </c>
      <c r="E35" s="17" t="s">
        <v>432</v>
      </c>
      <c r="F35" s="17" t="s">
        <v>141</v>
      </c>
      <c r="G35" s="182"/>
      <c r="H35" s="161"/>
      <c r="I35" s="161"/>
      <c r="J35" s="161"/>
      <c r="K35" s="161"/>
      <c r="L35" s="161"/>
      <c r="M35" s="161"/>
      <c r="N35" s="161"/>
      <c r="O35" s="162"/>
      <c r="P35" s="161"/>
      <c r="Q35" s="124"/>
      <c r="R35" s="124"/>
    </row>
    <row r="36" spans="1:18" ht="15" customHeight="1" x14ac:dyDescent="0.3">
      <c r="A36" s="17" t="s">
        <v>47</v>
      </c>
      <c r="B36" s="17" t="s">
        <v>71</v>
      </c>
      <c r="C36" s="18" t="s">
        <v>402</v>
      </c>
      <c r="D36" s="17" t="s">
        <v>161</v>
      </c>
      <c r="E36" s="17" t="s">
        <v>432</v>
      </c>
      <c r="F36" s="17" t="s">
        <v>141</v>
      </c>
      <c r="G36" s="182"/>
      <c r="H36" s="161"/>
      <c r="I36" s="161"/>
      <c r="J36" s="161"/>
      <c r="K36" s="161"/>
      <c r="L36" s="161"/>
      <c r="M36" s="161"/>
      <c r="N36" s="161"/>
      <c r="O36" s="162"/>
      <c r="P36" s="161"/>
      <c r="Q36" s="124"/>
      <c r="R36" s="124"/>
    </row>
    <row r="37" spans="1:18" ht="15" customHeight="1" x14ac:dyDescent="0.3">
      <c r="A37" s="17" t="s">
        <v>47</v>
      </c>
      <c r="B37" s="17" t="s">
        <v>162</v>
      </c>
      <c r="C37" s="18" t="s">
        <v>390</v>
      </c>
      <c r="D37" s="17" t="s">
        <v>161</v>
      </c>
      <c r="E37" s="17" t="s">
        <v>446</v>
      </c>
      <c r="F37" s="17" t="s">
        <v>141</v>
      </c>
      <c r="G37" s="182"/>
      <c r="H37" s="161"/>
      <c r="I37" s="161"/>
      <c r="J37" s="161"/>
      <c r="K37" s="161"/>
      <c r="L37" s="161"/>
      <c r="M37" s="161"/>
      <c r="N37" s="161"/>
      <c r="O37" s="162"/>
      <c r="P37" s="161"/>
      <c r="Q37" s="124"/>
      <c r="R37" s="124"/>
    </row>
    <row r="38" spans="1:18" ht="15" customHeight="1" x14ac:dyDescent="0.3">
      <c r="A38" s="17" t="s">
        <v>47</v>
      </c>
      <c r="B38" s="17" t="s">
        <v>59</v>
      </c>
      <c r="C38" s="18" t="s">
        <v>396</v>
      </c>
      <c r="D38" s="17" t="s">
        <v>161</v>
      </c>
      <c r="E38" s="17" t="s">
        <v>432</v>
      </c>
      <c r="F38" s="17" t="s">
        <v>141</v>
      </c>
      <c r="G38" s="182"/>
      <c r="H38" s="161"/>
      <c r="I38" s="161"/>
      <c r="J38" s="161"/>
      <c r="K38" s="161"/>
      <c r="L38" s="161"/>
      <c r="M38" s="161"/>
      <c r="N38" s="161"/>
      <c r="O38" s="162"/>
      <c r="P38" s="161"/>
      <c r="Q38" s="124"/>
      <c r="R38" s="124"/>
    </row>
    <row r="39" spans="1:18" ht="15" customHeight="1" thickBot="1" x14ac:dyDescent="0.35">
      <c r="A39" s="50" t="s">
        <v>78</v>
      </c>
      <c r="B39" s="50" t="s">
        <v>79</v>
      </c>
      <c r="C39" s="51" t="s">
        <v>403</v>
      </c>
      <c r="D39" s="50" t="s">
        <v>80</v>
      </c>
      <c r="E39" s="50" t="s">
        <v>447</v>
      </c>
      <c r="F39" s="50" t="s">
        <v>164</v>
      </c>
      <c r="G39" s="183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7.399999999999999" customHeight="1" thickBot="1" x14ac:dyDescent="0.35">
      <c r="A40" s="216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8"/>
    </row>
    <row r="41" spans="1:18" ht="22.05" customHeight="1" thickTop="1" thickBot="1" x14ac:dyDescent="0.35">
      <c r="A41" s="184" t="s">
        <v>6</v>
      </c>
      <c r="B41" s="185"/>
      <c r="C41" s="185"/>
      <c r="D41" s="185"/>
      <c r="E41" s="185"/>
      <c r="F41" s="186"/>
      <c r="G41" s="57">
        <v>45985</v>
      </c>
      <c r="H41" s="194" t="s">
        <v>7</v>
      </c>
      <c r="I41" s="185"/>
      <c r="J41" s="185"/>
      <c r="K41" s="185"/>
      <c r="L41" s="185"/>
      <c r="M41" s="185"/>
      <c r="N41" s="185"/>
      <c r="O41" s="185"/>
      <c r="P41" s="185"/>
      <c r="Q41" s="185"/>
      <c r="R41" s="186"/>
    </row>
    <row r="42" spans="1:18" ht="24" customHeight="1" x14ac:dyDescent="0.3">
      <c r="A42" s="58" t="s">
        <v>8</v>
      </c>
      <c r="B42" s="58" t="s">
        <v>9</v>
      </c>
      <c r="C42" s="59" t="s">
        <v>10</v>
      </c>
      <c r="D42" s="58" t="s">
        <v>11</v>
      </c>
      <c r="E42" s="58" t="s">
        <v>12</v>
      </c>
      <c r="F42" s="60" t="s">
        <v>13</v>
      </c>
      <c r="G42" s="61" t="s">
        <v>14</v>
      </c>
      <c r="H42" s="58" t="s">
        <v>15</v>
      </c>
      <c r="I42" s="62" t="s">
        <v>16</v>
      </c>
      <c r="J42" s="63" t="s">
        <v>17</v>
      </c>
      <c r="K42" s="64" t="s">
        <v>18</v>
      </c>
      <c r="L42" s="63" t="s">
        <v>19</v>
      </c>
      <c r="M42" s="63" t="s">
        <v>20</v>
      </c>
      <c r="N42" s="63" t="s">
        <v>21</v>
      </c>
      <c r="O42" s="58" t="s">
        <v>22</v>
      </c>
      <c r="P42" s="59" t="s">
        <v>23</v>
      </c>
      <c r="Q42" s="63" t="s">
        <v>24</v>
      </c>
      <c r="R42" s="58" t="s">
        <v>25</v>
      </c>
    </row>
    <row r="43" spans="1:18" ht="15" customHeight="1" x14ac:dyDescent="0.3">
      <c r="A43" s="115" t="s">
        <v>85</v>
      </c>
      <c r="B43" s="115" t="s">
        <v>508</v>
      </c>
      <c r="C43" s="116">
        <v>0.85416666666666663</v>
      </c>
      <c r="D43" s="115" t="s">
        <v>87</v>
      </c>
      <c r="E43" s="115" t="s">
        <v>224</v>
      </c>
      <c r="F43" s="115" t="s">
        <v>223</v>
      </c>
      <c r="G43" s="187"/>
      <c r="H43" s="76" t="s">
        <v>510</v>
      </c>
      <c r="I43" s="117">
        <v>0.1905</v>
      </c>
      <c r="J43" s="78">
        <v>32</v>
      </c>
      <c r="K43" s="79">
        <v>45980</v>
      </c>
      <c r="L43" s="78">
        <v>20</v>
      </c>
      <c r="M43" s="78">
        <v>0</v>
      </c>
      <c r="N43" s="78">
        <v>5</v>
      </c>
      <c r="O43" s="80" t="s">
        <v>530</v>
      </c>
      <c r="P43" s="81">
        <v>0.85416666666666663</v>
      </c>
      <c r="Q43" s="78">
        <v>168</v>
      </c>
      <c r="R43" s="82" t="s">
        <v>531</v>
      </c>
    </row>
    <row r="44" spans="1:18" ht="15" customHeight="1" x14ac:dyDescent="0.3">
      <c r="A44" s="86" t="s">
        <v>85</v>
      </c>
      <c r="B44" s="86" t="s">
        <v>526</v>
      </c>
      <c r="C44" s="87">
        <v>0.25347222222222221</v>
      </c>
      <c r="D44" s="86" t="s">
        <v>87</v>
      </c>
      <c r="E44" s="86" t="s">
        <v>63</v>
      </c>
      <c r="F44" s="86" t="s">
        <v>223</v>
      </c>
      <c r="G44" s="182"/>
      <c r="H44" s="88" t="s">
        <v>527</v>
      </c>
      <c r="I44" s="176">
        <v>0.42859999999999998</v>
      </c>
      <c r="J44" s="90">
        <v>72</v>
      </c>
      <c r="K44" s="91">
        <v>45980</v>
      </c>
      <c r="L44" s="90">
        <v>16</v>
      </c>
      <c r="M44" s="90">
        <v>0</v>
      </c>
      <c r="N44" s="90">
        <v>4</v>
      </c>
      <c r="O44" s="92" t="s">
        <v>335</v>
      </c>
      <c r="P44" s="93">
        <v>0.25347222222222221</v>
      </c>
      <c r="Q44" s="90">
        <v>168</v>
      </c>
      <c r="R44" s="94" t="s">
        <v>532</v>
      </c>
    </row>
    <row r="45" spans="1:18" ht="15" customHeight="1" x14ac:dyDescent="0.3">
      <c r="A45" s="119" t="s">
        <v>85</v>
      </c>
      <c r="B45" s="119" t="s">
        <v>533</v>
      </c>
      <c r="C45" s="120">
        <v>0.50694444444444442</v>
      </c>
      <c r="D45" s="119" t="s">
        <v>87</v>
      </c>
      <c r="E45" s="119" t="s">
        <v>181</v>
      </c>
      <c r="F45" s="119" t="s">
        <v>524</v>
      </c>
      <c r="G45" s="182"/>
      <c r="H45" s="23" t="s">
        <v>534</v>
      </c>
      <c r="I45" s="177">
        <v>0.51790000000000003</v>
      </c>
      <c r="J45" s="25">
        <v>87</v>
      </c>
      <c r="K45" s="26">
        <v>45980</v>
      </c>
      <c r="L45" s="25">
        <v>76</v>
      </c>
      <c r="M45" s="25">
        <v>0</v>
      </c>
      <c r="N45" s="25">
        <v>8</v>
      </c>
      <c r="O45" s="27" t="s">
        <v>306</v>
      </c>
      <c r="P45" s="28">
        <v>0.50694444444444442</v>
      </c>
      <c r="Q45" s="25">
        <v>168</v>
      </c>
      <c r="R45" s="29" t="s">
        <v>535</v>
      </c>
    </row>
    <row r="46" spans="1:18" ht="15" customHeight="1" x14ac:dyDescent="0.3">
      <c r="A46" s="19" t="s">
        <v>99</v>
      </c>
      <c r="B46" s="19" t="s">
        <v>516</v>
      </c>
      <c r="C46" s="20">
        <v>0.85416666666666663</v>
      </c>
      <c r="D46" s="19" t="s">
        <v>517</v>
      </c>
      <c r="E46" s="19" t="s">
        <v>200</v>
      </c>
      <c r="F46" s="19" t="s">
        <v>518</v>
      </c>
      <c r="G46" s="182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8" x14ac:dyDescent="0.3">
      <c r="A47" s="199" t="s">
        <v>429</v>
      </c>
      <c r="B47" s="200"/>
      <c r="C47" s="200"/>
      <c r="D47" s="200"/>
      <c r="E47" s="200"/>
      <c r="F47" s="201"/>
      <c r="G47" s="182"/>
      <c r="H47" s="161"/>
      <c r="I47" s="161"/>
      <c r="J47" s="161"/>
      <c r="K47" s="161"/>
      <c r="L47" s="161"/>
      <c r="M47" s="161"/>
      <c r="N47" s="161"/>
      <c r="O47" s="162"/>
      <c r="P47" s="161"/>
      <c r="Q47" s="124"/>
      <c r="R47" s="124"/>
    </row>
    <row r="48" spans="1:18" ht="15" customHeight="1" x14ac:dyDescent="0.3">
      <c r="A48" s="17" t="s">
        <v>26</v>
      </c>
      <c r="B48" s="17" t="s">
        <v>36</v>
      </c>
      <c r="C48" s="18" t="s">
        <v>391</v>
      </c>
      <c r="D48" s="17" t="s">
        <v>28</v>
      </c>
      <c r="E48" s="17" t="s">
        <v>453</v>
      </c>
      <c r="F48" s="17" t="s">
        <v>184</v>
      </c>
      <c r="G48" s="182"/>
      <c r="H48" s="161"/>
      <c r="I48" s="161"/>
      <c r="J48" s="161"/>
      <c r="K48" s="161"/>
      <c r="L48" s="161"/>
      <c r="M48" s="161"/>
      <c r="N48" s="161"/>
      <c r="O48" s="162"/>
      <c r="P48" s="161"/>
      <c r="Q48" s="124"/>
      <c r="R48" s="124"/>
    </row>
    <row r="49" spans="1:18" ht="15" customHeight="1" x14ac:dyDescent="0.3">
      <c r="A49" s="17" t="s">
        <v>26</v>
      </c>
      <c r="B49" s="17" t="s">
        <v>39</v>
      </c>
      <c r="C49" s="18" t="s">
        <v>392</v>
      </c>
      <c r="D49" s="17" t="s">
        <v>28</v>
      </c>
      <c r="E49" s="17" t="s">
        <v>447</v>
      </c>
      <c r="F49" s="17" t="s">
        <v>184</v>
      </c>
      <c r="G49" s="182"/>
      <c r="H49" s="161"/>
      <c r="I49" s="161"/>
      <c r="J49" s="161"/>
      <c r="K49" s="161"/>
      <c r="L49" s="161"/>
      <c r="M49" s="161"/>
      <c r="N49" s="161"/>
      <c r="O49" s="162"/>
      <c r="P49" s="161"/>
      <c r="Q49" s="124"/>
      <c r="R49" s="124"/>
    </row>
    <row r="50" spans="1:18" ht="15" customHeight="1" x14ac:dyDescent="0.3">
      <c r="A50" s="17" t="s">
        <v>26</v>
      </c>
      <c r="B50" s="17" t="s">
        <v>27</v>
      </c>
      <c r="C50" s="18" t="s">
        <v>390</v>
      </c>
      <c r="D50" s="17" t="s">
        <v>28</v>
      </c>
      <c r="E50" s="17" t="s">
        <v>454</v>
      </c>
      <c r="F50" s="17" t="s">
        <v>188</v>
      </c>
      <c r="G50" s="182"/>
      <c r="H50" s="161"/>
      <c r="I50" s="161"/>
      <c r="J50" s="161"/>
      <c r="K50" s="161"/>
      <c r="L50" s="161"/>
      <c r="M50" s="161"/>
      <c r="N50" s="161"/>
      <c r="O50" s="162"/>
      <c r="P50" s="161"/>
      <c r="Q50" s="124"/>
      <c r="R50" s="124"/>
    </row>
    <row r="51" spans="1:18" ht="15" customHeight="1" x14ac:dyDescent="0.3">
      <c r="A51" s="17" t="s">
        <v>47</v>
      </c>
      <c r="B51" s="17" t="s">
        <v>62</v>
      </c>
      <c r="C51" s="18" t="s">
        <v>400</v>
      </c>
      <c r="D51" s="17" t="s">
        <v>49</v>
      </c>
      <c r="E51" s="17" t="s">
        <v>453</v>
      </c>
      <c r="F51" s="17" t="s">
        <v>191</v>
      </c>
      <c r="G51" s="182"/>
      <c r="H51" s="161"/>
      <c r="I51" s="161"/>
      <c r="J51" s="161"/>
      <c r="K51" s="161"/>
      <c r="L51" s="161"/>
      <c r="M51" s="161"/>
      <c r="N51" s="161"/>
      <c r="O51" s="162"/>
      <c r="P51" s="161"/>
      <c r="Q51" s="124"/>
      <c r="R51" s="124"/>
    </row>
    <row r="52" spans="1:18" ht="15" customHeight="1" x14ac:dyDescent="0.3">
      <c r="A52" s="17" t="s">
        <v>47</v>
      </c>
      <c r="B52" s="17" t="s">
        <v>48</v>
      </c>
      <c r="C52" s="18" t="s">
        <v>393</v>
      </c>
      <c r="D52" s="17" t="s">
        <v>49</v>
      </c>
      <c r="E52" s="17" t="s">
        <v>433</v>
      </c>
      <c r="F52" s="17" t="s">
        <v>191</v>
      </c>
      <c r="G52" s="182"/>
      <c r="H52" s="161"/>
      <c r="I52" s="161"/>
      <c r="J52" s="161"/>
      <c r="K52" s="161"/>
      <c r="L52" s="161"/>
      <c r="M52" s="161"/>
      <c r="N52" s="161"/>
      <c r="O52" s="162"/>
      <c r="P52" s="161"/>
      <c r="Q52" s="124"/>
      <c r="R52" s="124"/>
    </row>
    <row r="53" spans="1:18" ht="15" customHeight="1" x14ac:dyDescent="0.3">
      <c r="A53" s="17" t="s">
        <v>47</v>
      </c>
      <c r="B53" s="17" t="s">
        <v>68</v>
      </c>
      <c r="C53" s="18" t="s">
        <v>455</v>
      </c>
      <c r="D53" s="17" t="s">
        <v>49</v>
      </c>
      <c r="E53" s="17" t="s">
        <v>447</v>
      </c>
      <c r="F53" s="17" t="s">
        <v>191</v>
      </c>
      <c r="G53" s="182"/>
      <c r="H53" s="161"/>
      <c r="I53" s="161"/>
      <c r="J53" s="161"/>
      <c r="K53" s="161"/>
      <c r="L53" s="161"/>
      <c r="M53" s="161"/>
      <c r="N53" s="161"/>
      <c r="O53" s="162"/>
      <c r="P53" s="161"/>
      <c r="Q53" s="124"/>
      <c r="R53" s="124"/>
    </row>
    <row r="54" spans="1:18" ht="15" customHeight="1" x14ac:dyDescent="0.3">
      <c r="A54" s="17" t="s">
        <v>47</v>
      </c>
      <c r="B54" s="17" t="s">
        <v>56</v>
      </c>
      <c r="C54" s="18" t="s">
        <v>394</v>
      </c>
      <c r="D54" s="17" t="s">
        <v>49</v>
      </c>
      <c r="E54" s="17" t="s">
        <v>456</v>
      </c>
      <c r="F54" s="17" t="s">
        <v>191</v>
      </c>
      <c r="G54" s="182"/>
      <c r="H54" s="161"/>
      <c r="I54" s="161"/>
      <c r="J54" s="161"/>
      <c r="K54" s="161"/>
      <c r="L54" s="161"/>
      <c r="M54" s="161"/>
      <c r="N54" s="161"/>
      <c r="O54" s="162"/>
      <c r="P54" s="161"/>
      <c r="Q54" s="124"/>
      <c r="R54" s="124"/>
    </row>
    <row r="55" spans="1:18" ht="15" customHeight="1" x14ac:dyDescent="0.3">
      <c r="A55" s="17" t="s">
        <v>47</v>
      </c>
      <c r="B55" s="17" t="s">
        <v>71</v>
      </c>
      <c r="C55" s="18" t="s">
        <v>402</v>
      </c>
      <c r="D55" s="17" t="s">
        <v>49</v>
      </c>
      <c r="E55" s="17" t="s">
        <v>446</v>
      </c>
      <c r="F55" s="17" t="s">
        <v>191</v>
      </c>
      <c r="G55" s="182"/>
      <c r="H55" s="161"/>
      <c r="I55" s="161"/>
      <c r="J55" s="161"/>
      <c r="K55" s="161"/>
      <c r="L55" s="161"/>
      <c r="M55" s="161"/>
      <c r="N55" s="161"/>
      <c r="O55" s="162"/>
      <c r="P55" s="161"/>
      <c r="Q55" s="124"/>
      <c r="R55" s="124"/>
    </row>
    <row r="56" spans="1:18" ht="15" customHeight="1" x14ac:dyDescent="0.3">
      <c r="A56" s="17" t="s">
        <v>47</v>
      </c>
      <c r="B56" s="17" t="s">
        <v>59</v>
      </c>
      <c r="C56" s="18" t="s">
        <v>396</v>
      </c>
      <c r="D56" s="17" t="s">
        <v>49</v>
      </c>
      <c r="E56" s="17" t="s">
        <v>432</v>
      </c>
      <c r="F56" s="17" t="s">
        <v>191</v>
      </c>
      <c r="G56" s="182"/>
      <c r="H56" s="161"/>
      <c r="I56" s="161"/>
      <c r="J56" s="161"/>
      <c r="K56" s="161"/>
      <c r="L56" s="161"/>
      <c r="M56" s="161"/>
      <c r="N56" s="161"/>
      <c r="O56" s="162"/>
      <c r="P56" s="161"/>
      <c r="Q56" s="124"/>
      <c r="R56" s="124"/>
    </row>
    <row r="57" spans="1:18" ht="15" customHeight="1" thickBot="1" x14ac:dyDescent="0.35">
      <c r="A57" s="50" t="s">
        <v>47</v>
      </c>
      <c r="B57" s="50" t="s">
        <v>58</v>
      </c>
      <c r="C57" s="51" t="s">
        <v>395</v>
      </c>
      <c r="D57" s="50" t="s">
        <v>49</v>
      </c>
      <c r="E57" s="50" t="s">
        <v>432</v>
      </c>
      <c r="F57" s="50" t="s">
        <v>194</v>
      </c>
      <c r="G57" s="183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7.399999999999999" customHeight="1" thickBot="1" x14ac:dyDescent="0.35">
      <c r="A58" s="216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/>
    </row>
    <row r="59" spans="1:18" ht="22.05" customHeight="1" thickTop="1" thickBot="1" x14ac:dyDescent="0.35">
      <c r="A59" s="184" t="s">
        <v>6</v>
      </c>
      <c r="B59" s="185"/>
      <c r="C59" s="185"/>
      <c r="D59" s="185"/>
      <c r="E59" s="185"/>
      <c r="F59" s="186"/>
      <c r="G59" s="57">
        <v>45986</v>
      </c>
      <c r="H59" s="194" t="s">
        <v>7</v>
      </c>
      <c r="I59" s="185"/>
      <c r="J59" s="185"/>
      <c r="K59" s="185"/>
      <c r="L59" s="185"/>
      <c r="M59" s="185"/>
      <c r="N59" s="185"/>
      <c r="O59" s="185"/>
      <c r="P59" s="185"/>
      <c r="Q59" s="185"/>
      <c r="R59" s="186"/>
    </row>
    <row r="60" spans="1:18" ht="24" customHeight="1" x14ac:dyDescent="0.3">
      <c r="A60" s="58" t="s">
        <v>8</v>
      </c>
      <c r="B60" s="58" t="s">
        <v>9</v>
      </c>
      <c r="C60" s="59" t="s">
        <v>10</v>
      </c>
      <c r="D60" s="58" t="s">
        <v>11</v>
      </c>
      <c r="E60" s="58" t="s">
        <v>12</v>
      </c>
      <c r="F60" s="60" t="s">
        <v>13</v>
      </c>
      <c r="G60" s="61" t="s">
        <v>14</v>
      </c>
      <c r="H60" s="58" t="s">
        <v>15</v>
      </c>
      <c r="I60" s="62" t="s">
        <v>16</v>
      </c>
      <c r="J60" s="63" t="s">
        <v>17</v>
      </c>
      <c r="K60" s="64" t="s">
        <v>18</v>
      </c>
      <c r="L60" s="63" t="s">
        <v>19</v>
      </c>
      <c r="M60" s="63" t="s">
        <v>20</v>
      </c>
      <c r="N60" s="63" t="s">
        <v>21</v>
      </c>
      <c r="O60" s="58" t="s">
        <v>22</v>
      </c>
      <c r="P60" s="59" t="s">
        <v>23</v>
      </c>
      <c r="Q60" s="63" t="s">
        <v>24</v>
      </c>
      <c r="R60" s="58" t="s">
        <v>25</v>
      </c>
    </row>
    <row r="61" spans="1:18" ht="15" customHeight="1" x14ac:dyDescent="0.3">
      <c r="A61" s="178" t="s">
        <v>85</v>
      </c>
      <c r="B61" s="178" t="s">
        <v>508</v>
      </c>
      <c r="C61" s="179">
        <v>0.32291666666666669</v>
      </c>
      <c r="D61" s="178" t="s">
        <v>87</v>
      </c>
      <c r="E61" s="178" t="s">
        <v>224</v>
      </c>
      <c r="F61" s="178" t="s">
        <v>156</v>
      </c>
      <c r="G61" s="187"/>
      <c r="H61" s="108" t="s">
        <v>510</v>
      </c>
      <c r="I61" s="180">
        <v>0.93300000000000005</v>
      </c>
      <c r="J61" s="110">
        <v>167</v>
      </c>
      <c r="K61" s="111">
        <v>45971</v>
      </c>
      <c r="L61" s="110">
        <v>0</v>
      </c>
      <c r="M61" s="110">
        <v>0</v>
      </c>
      <c r="N61" s="110">
        <v>0</v>
      </c>
      <c r="O61" s="112" t="s">
        <v>301</v>
      </c>
      <c r="P61" s="113">
        <v>0.32291666666666669</v>
      </c>
      <c r="Q61" s="110">
        <v>179</v>
      </c>
      <c r="R61" s="114" t="s">
        <v>536</v>
      </c>
    </row>
    <row r="62" spans="1:18" ht="15" customHeight="1" x14ac:dyDescent="0.3">
      <c r="A62" s="83" t="s">
        <v>85</v>
      </c>
      <c r="B62" s="83" t="s">
        <v>513</v>
      </c>
      <c r="C62" s="84">
        <v>0.95138888888888884</v>
      </c>
      <c r="D62" s="83" t="s">
        <v>87</v>
      </c>
      <c r="E62" s="83" t="s">
        <v>69</v>
      </c>
      <c r="F62" s="83" t="s">
        <v>467</v>
      </c>
      <c r="G62" s="182"/>
      <c r="H62" s="67" t="s">
        <v>514</v>
      </c>
      <c r="I62" s="68">
        <v>0.97770000000000001</v>
      </c>
      <c r="J62" s="69">
        <v>175</v>
      </c>
      <c r="K62" s="70">
        <v>45973</v>
      </c>
      <c r="L62" s="69">
        <v>0</v>
      </c>
      <c r="M62" s="69">
        <v>0</v>
      </c>
      <c r="N62" s="69">
        <v>0</v>
      </c>
      <c r="O62" s="71" t="s">
        <v>537</v>
      </c>
      <c r="P62" s="72">
        <v>0.95138888888888884</v>
      </c>
      <c r="Q62" s="69">
        <v>179</v>
      </c>
      <c r="R62" s="73" t="s">
        <v>538</v>
      </c>
    </row>
    <row r="63" spans="1:18" ht="15" customHeight="1" x14ac:dyDescent="0.3">
      <c r="A63" s="19" t="s">
        <v>99</v>
      </c>
      <c r="B63" s="19" t="s">
        <v>516</v>
      </c>
      <c r="C63" s="20">
        <v>0.32291666666666669</v>
      </c>
      <c r="D63" s="19" t="s">
        <v>101</v>
      </c>
      <c r="E63" s="19" t="s">
        <v>200</v>
      </c>
      <c r="F63" s="19" t="s">
        <v>410</v>
      </c>
      <c r="G63" s="182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8" x14ac:dyDescent="0.3">
      <c r="A64" s="199" t="s">
        <v>429</v>
      </c>
      <c r="B64" s="200"/>
      <c r="C64" s="200"/>
      <c r="D64" s="200"/>
      <c r="E64" s="200"/>
      <c r="F64" s="201"/>
      <c r="G64" s="182"/>
      <c r="H64" s="161"/>
      <c r="I64" s="161"/>
      <c r="J64" s="161"/>
      <c r="K64" s="161"/>
      <c r="L64" s="161"/>
      <c r="M64" s="161"/>
      <c r="N64" s="161"/>
      <c r="O64" s="162"/>
      <c r="P64" s="161"/>
      <c r="Q64" s="124"/>
      <c r="R64" s="124"/>
    </row>
    <row r="65" spans="1:18" ht="15" customHeight="1" x14ac:dyDescent="0.3">
      <c r="A65" s="17" t="s">
        <v>78</v>
      </c>
      <c r="B65" s="17" t="s">
        <v>222</v>
      </c>
      <c r="C65" s="18" t="s">
        <v>471</v>
      </c>
      <c r="D65" s="17" t="s">
        <v>80</v>
      </c>
      <c r="E65" s="17" t="s">
        <v>430</v>
      </c>
      <c r="F65" s="17" t="s">
        <v>223</v>
      </c>
      <c r="G65" s="182"/>
      <c r="H65" s="161"/>
      <c r="I65" s="161"/>
      <c r="J65" s="161"/>
      <c r="K65" s="161"/>
      <c r="L65" s="161"/>
      <c r="M65" s="161"/>
      <c r="N65" s="161"/>
      <c r="O65" s="162"/>
      <c r="P65" s="161"/>
      <c r="Q65" s="124"/>
      <c r="R65" s="124"/>
    </row>
    <row r="66" spans="1:18" ht="15" customHeight="1" x14ac:dyDescent="0.3">
      <c r="A66" s="17" t="s">
        <v>26</v>
      </c>
      <c r="B66" s="17" t="s">
        <v>27</v>
      </c>
      <c r="C66" s="18" t="s">
        <v>390</v>
      </c>
      <c r="D66" s="17" t="s">
        <v>28</v>
      </c>
      <c r="E66" s="17" t="s">
        <v>446</v>
      </c>
      <c r="F66" s="17" t="s">
        <v>225</v>
      </c>
      <c r="G66" s="182"/>
      <c r="H66" s="161"/>
      <c r="I66" s="161"/>
      <c r="J66" s="161"/>
      <c r="K66" s="161"/>
      <c r="L66" s="161"/>
      <c r="M66" s="161"/>
      <c r="N66" s="161"/>
      <c r="O66" s="162"/>
      <c r="P66" s="161"/>
      <c r="Q66" s="124"/>
      <c r="R66" s="124"/>
    </row>
    <row r="67" spans="1:18" ht="15" customHeight="1" x14ac:dyDescent="0.3">
      <c r="A67" s="17" t="s">
        <v>26</v>
      </c>
      <c r="B67" s="17" t="s">
        <v>36</v>
      </c>
      <c r="C67" s="18" t="s">
        <v>391</v>
      </c>
      <c r="D67" s="17" t="s">
        <v>28</v>
      </c>
      <c r="E67" s="17" t="s">
        <v>454</v>
      </c>
      <c r="F67" s="17" t="s">
        <v>225</v>
      </c>
      <c r="G67" s="182"/>
      <c r="H67" s="161"/>
      <c r="I67" s="161"/>
      <c r="J67" s="161"/>
      <c r="K67" s="161"/>
      <c r="L67" s="161"/>
      <c r="M67" s="161"/>
      <c r="N67" s="161"/>
      <c r="O67" s="162"/>
      <c r="P67" s="161"/>
      <c r="Q67" s="124"/>
      <c r="R67" s="124"/>
    </row>
    <row r="68" spans="1:18" ht="15" customHeight="1" x14ac:dyDescent="0.3">
      <c r="A68" s="17" t="s">
        <v>26</v>
      </c>
      <c r="B68" s="17" t="s">
        <v>42</v>
      </c>
      <c r="C68" s="18" t="s">
        <v>397</v>
      </c>
      <c r="D68" s="17" t="s">
        <v>28</v>
      </c>
      <c r="E68" s="17" t="s">
        <v>432</v>
      </c>
      <c r="F68" s="17" t="s">
        <v>225</v>
      </c>
      <c r="G68" s="182"/>
      <c r="H68" s="161"/>
      <c r="I68" s="161"/>
      <c r="J68" s="161"/>
      <c r="K68" s="161"/>
      <c r="L68" s="161"/>
      <c r="M68" s="161"/>
      <c r="N68" s="161"/>
      <c r="O68" s="162"/>
      <c r="P68" s="161"/>
      <c r="Q68" s="124"/>
      <c r="R68" s="124"/>
    </row>
    <row r="69" spans="1:18" ht="15" customHeight="1" x14ac:dyDescent="0.3">
      <c r="A69" s="17" t="s">
        <v>26</v>
      </c>
      <c r="B69" s="17" t="s">
        <v>39</v>
      </c>
      <c r="C69" s="18" t="s">
        <v>392</v>
      </c>
      <c r="D69" s="17" t="s">
        <v>28</v>
      </c>
      <c r="E69" s="17" t="s">
        <v>472</v>
      </c>
      <c r="F69" s="17" t="s">
        <v>225</v>
      </c>
      <c r="G69" s="182"/>
      <c r="H69" s="161"/>
      <c r="I69" s="161"/>
      <c r="J69" s="161"/>
      <c r="K69" s="161"/>
      <c r="L69" s="161"/>
      <c r="M69" s="161"/>
      <c r="N69" s="161"/>
      <c r="O69" s="162"/>
      <c r="P69" s="161"/>
      <c r="Q69" s="124"/>
      <c r="R69" s="124"/>
    </row>
    <row r="70" spans="1:18" ht="15" customHeight="1" x14ac:dyDescent="0.3">
      <c r="A70" s="17" t="s">
        <v>47</v>
      </c>
      <c r="B70" s="17" t="s">
        <v>48</v>
      </c>
      <c r="C70" s="18" t="s">
        <v>393</v>
      </c>
      <c r="D70" s="17" t="s">
        <v>49</v>
      </c>
      <c r="E70" s="17" t="s">
        <v>446</v>
      </c>
      <c r="F70" s="17" t="s">
        <v>227</v>
      </c>
      <c r="G70" s="182"/>
      <c r="H70" s="161"/>
      <c r="I70" s="161"/>
      <c r="J70" s="161"/>
      <c r="K70" s="161"/>
      <c r="L70" s="161"/>
      <c r="M70" s="161"/>
      <c r="N70" s="161"/>
      <c r="O70" s="162"/>
      <c r="P70" s="161"/>
      <c r="Q70" s="124"/>
      <c r="R70" s="124"/>
    </row>
    <row r="71" spans="1:18" ht="15" customHeight="1" x14ac:dyDescent="0.3">
      <c r="A71" s="17" t="s">
        <v>47</v>
      </c>
      <c r="B71" s="17" t="s">
        <v>56</v>
      </c>
      <c r="C71" s="18" t="s">
        <v>394</v>
      </c>
      <c r="D71" s="17" t="s">
        <v>49</v>
      </c>
      <c r="E71" s="17" t="s">
        <v>447</v>
      </c>
      <c r="F71" s="17" t="s">
        <v>227</v>
      </c>
      <c r="G71" s="182"/>
      <c r="H71" s="161"/>
      <c r="I71" s="161"/>
      <c r="J71" s="161"/>
      <c r="K71" s="161"/>
      <c r="L71" s="161"/>
      <c r="M71" s="161"/>
      <c r="N71" s="161"/>
      <c r="O71" s="162"/>
      <c r="P71" s="161"/>
      <c r="Q71" s="124"/>
      <c r="R71" s="124"/>
    </row>
    <row r="72" spans="1:18" ht="15" customHeight="1" x14ac:dyDescent="0.3">
      <c r="A72" s="17" t="s">
        <v>47</v>
      </c>
      <c r="B72" s="17" t="s">
        <v>71</v>
      </c>
      <c r="C72" s="18" t="s">
        <v>402</v>
      </c>
      <c r="D72" s="17" t="s">
        <v>49</v>
      </c>
      <c r="E72" s="17" t="s">
        <v>456</v>
      </c>
      <c r="F72" s="17" t="s">
        <v>227</v>
      </c>
      <c r="G72" s="182"/>
      <c r="H72" s="161"/>
      <c r="I72" s="161"/>
      <c r="J72" s="161"/>
      <c r="K72" s="161"/>
      <c r="L72" s="161"/>
      <c r="M72" s="161"/>
      <c r="N72" s="161"/>
      <c r="O72" s="162"/>
      <c r="P72" s="161"/>
      <c r="Q72" s="124"/>
      <c r="R72" s="124"/>
    </row>
    <row r="73" spans="1:18" ht="15" customHeight="1" x14ac:dyDescent="0.3">
      <c r="A73" s="17" t="s">
        <v>47</v>
      </c>
      <c r="B73" s="17" t="s">
        <v>162</v>
      </c>
      <c r="C73" s="18" t="s">
        <v>390</v>
      </c>
      <c r="D73" s="17" t="s">
        <v>49</v>
      </c>
      <c r="E73" s="17" t="s">
        <v>447</v>
      </c>
      <c r="F73" s="17" t="s">
        <v>227</v>
      </c>
      <c r="G73" s="182"/>
      <c r="H73" s="161"/>
      <c r="I73" s="161"/>
      <c r="J73" s="161"/>
      <c r="K73" s="161"/>
      <c r="L73" s="161"/>
      <c r="M73" s="161"/>
      <c r="N73" s="161"/>
      <c r="O73" s="162"/>
      <c r="P73" s="161"/>
      <c r="Q73" s="124"/>
      <c r="R73" s="124"/>
    </row>
    <row r="74" spans="1:18" ht="15" customHeight="1" x14ac:dyDescent="0.3">
      <c r="A74" s="50" t="s">
        <v>47</v>
      </c>
      <c r="B74" s="50" t="s">
        <v>59</v>
      </c>
      <c r="C74" s="51" t="s">
        <v>396</v>
      </c>
      <c r="D74" s="50" t="s">
        <v>49</v>
      </c>
      <c r="E74" s="50" t="s">
        <v>433</v>
      </c>
      <c r="F74" s="50" t="s">
        <v>227</v>
      </c>
      <c r="G74" s="183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</sheetData>
  <mergeCells count="26">
    <mergeCell ref="G61:G74"/>
    <mergeCell ref="A9:F9"/>
    <mergeCell ref="K2:R2"/>
    <mergeCell ref="A58:R58"/>
    <mergeCell ref="A64:F64"/>
    <mergeCell ref="A40:R40"/>
    <mergeCell ref="A59:F59"/>
    <mergeCell ref="G6:G19"/>
    <mergeCell ref="H59:R59"/>
    <mergeCell ref="G2:J2"/>
    <mergeCell ref="A4:F4"/>
    <mergeCell ref="A29:F29"/>
    <mergeCell ref="N1:R1"/>
    <mergeCell ref="A20:R20"/>
    <mergeCell ref="A41:F41"/>
    <mergeCell ref="G43:G57"/>
    <mergeCell ref="H1:L1"/>
    <mergeCell ref="A1:E1"/>
    <mergeCell ref="H41:R41"/>
    <mergeCell ref="A21:F21"/>
    <mergeCell ref="H4:R4"/>
    <mergeCell ref="A2:F2"/>
    <mergeCell ref="A3:R3"/>
    <mergeCell ref="G23:G39"/>
    <mergeCell ref="A47:F47"/>
    <mergeCell ref="H21:R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1"/>
  <sheetViews>
    <sheetView workbookViewId="0"/>
  </sheetViews>
  <sheetFormatPr defaultRowHeight="15.6" outlineLevelCol="1" x14ac:dyDescent="0.3"/>
  <cols>
    <col min="1" max="1" width="11.6640625" style="203" bestFit="1" customWidth="1"/>
    <col min="2" max="2" width="11.109375" style="203" bestFit="1" customWidth="1"/>
    <col min="3" max="3" width="7.88671875" style="203" bestFit="1" customWidth="1"/>
    <col min="4" max="4" width="6.77734375" style="203" bestFit="1" customWidth="1"/>
    <col min="5" max="5" width="9.21875" style="203" bestFit="1" customWidth="1"/>
    <col min="6" max="6" width="5.21875" style="203" bestFit="1" customWidth="1"/>
    <col min="7" max="7" width="10" style="203" bestFit="1" customWidth="1"/>
    <col min="8" max="9" width="8.5546875" style="203" bestFit="1" customWidth="1"/>
    <col min="10" max="10" width="8" style="203" bestFit="1" customWidth="1"/>
    <col min="11" max="11" width="12.21875" style="203" bestFit="1" customWidth="1"/>
    <col min="12" max="12" width="10.109375" style="203" bestFit="1" customWidth="1"/>
    <col min="13" max="13" width="8.77734375" style="203" bestFit="1" customWidth="1" outlineLevel="1"/>
    <col min="14" max="14" width="7.33203125" style="203" bestFit="1" customWidth="1" outlineLevel="1"/>
    <col min="15" max="15" width="9.109375" style="203" bestFit="1" customWidth="1" outlineLevel="1"/>
    <col min="16" max="16" width="15.33203125" style="203" bestFit="1" customWidth="1"/>
    <col min="17" max="24" width="3.88671875" style="203" bestFit="1" customWidth="1"/>
    <col min="25" max="25" width="4.21875" style="203" bestFit="1" customWidth="1"/>
    <col min="26" max="26" width="3.88671875" style="203" bestFit="1" customWidth="1"/>
    <col min="27" max="27" width="4.77734375" style="203" bestFit="1" customWidth="1"/>
    <col min="28" max="28" width="3.88671875" style="203" bestFit="1" customWidth="1"/>
    <col min="29" max="29" width="5.109375" style="203" bestFit="1" customWidth="1"/>
    <col min="30" max="31" width="5.33203125" style="203" bestFit="1" customWidth="1"/>
    <col min="32" max="32" width="4.44140625" style="203" bestFit="1" customWidth="1"/>
    <col min="33" max="33" width="5" style="203" bestFit="1" customWidth="1"/>
    <col min="34" max="34" width="3.88671875" style="203" bestFit="1" customWidth="1"/>
    <col min="35" max="35" width="6.21875" style="203" bestFit="1" customWidth="1"/>
    <col min="36" max="36" width="3.88671875" style="203" bestFit="1" customWidth="1"/>
    <col min="37" max="16384" width="8.88671875" style="203"/>
  </cols>
  <sheetData>
    <row r="1" spans="1:36" x14ac:dyDescent="0.3">
      <c r="A1" s="202" t="s">
        <v>249</v>
      </c>
      <c r="B1" s="202" t="s">
        <v>250</v>
      </c>
      <c r="C1" s="202" t="s">
        <v>251</v>
      </c>
      <c r="D1" s="202" t="s">
        <v>23</v>
      </c>
      <c r="E1" s="202" t="s">
        <v>252</v>
      </c>
      <c r="F1" s="202" t="s">
        <v>253</v>
      </c>
      <c r="G1" s="202" t="s">
        <v>16</v>
      </c>
      <c r="H1" s="202" t="s">
        <v>254</v>
      </c>
      <c r="I1" s="202" t="s">
        <v>255</v>
      </c>
      <c r="J1" s="202" t="s">
        <v>256</v>
      </c>
      <c r="K1" s="202" t="s">
        <v>257</v>
      </c>
      <c r="L1" s="202" t="s">
        <v>18</v>
      </c>
      <c r="M1" s="202" t="s">
        <v>20</v>
      </c>
      <c r="N1" s="202" t="s">
        <v>21</v>
      </c>
      <c r="O1" s="202" t="s">
        <v>19</v>
      </c>
      <c r="P1" s="202" t="s">
        <v>22</v>
      </c>
      <c r="Q1" s="202" t="s">
        <v>258</v>
      </c>
      <c r="R1" s="202" t="s">
        <v>259</v>
      </c>
      <c r="S1" s="202" t="s">
        <v>260</v>
      </c>
      <c r="T1" s="202" t="s">
        <v>261</v>
      </c>
      <c r="U1" s="202" t="s">
        <v>262</v>
      </c>
      <c r="V1" s="202" t="s">
        <v>263</v>
      </c>
      <c r="W1" s="202" t="s">
        <v>264</v>
      </c>
      <c r="X1" s="202" t="s">
        <v>265</v>
      </c>
      <c r="Y1" s="202" t="s">
        <v>266</v>
      </c>
      <c r="Z1" s="202" t="s">
        <v>267</v>
      </c>
      <c r="AA1" s="202" t="s">
        <v>268</v>
      </c>
      <c r="AB1" s="202" t="s">
        <v>269</v>
      </c>
      <c r="AC1" s="202" t="s">
        <v>270</v>
      </c>
      <c r="AD1" s="202" t="s">
        <v>271</v>
      </c>
      <c r="AE1" s="202" t="s">
        <v>272</v>
      </c>
      <c r="AF1" s="202" t="s">
        <v>273</v>
      </c>
      <c r="AG1" s="202" t="s">
        <v>274</v>
      </c>
      <c r="AH1" s="202" t="s">
        <v>275</v>
      </c>
      <c r="AI1" s="202" t="s">
        <v>276</v>
      </c>
      <c r="AJ1" s="202" t="s">
        <v>277</v>
      </c>
    </row>
    <row r="2" spans="1:36" x14ac:dyDescent="0.3">
      <c r="A2" s="204" t="s">
        <v>278</v>
      </c>
      <c r="B2" s="205">
        <v>45983</v>
      </c>
      <c r="C2" s="206" t="s">
        <v>510</v>
      </c>
      <c r="D2" s="207" t="s">
        <v>539</v>
      </c>
      <c r="E2" s="206" t="s">
        <v>507</v>
      </c>
      <c r="F2" s="206" t="s">
        <v>280</v>
      </c>
      <c r="G2" s="208">
        <v>0.77380000000000004</v>
      </c>
      <c r="H2" s="209">
        <v>168</v>
      </c>
      <c r="I2" s="209">
        <v>130</v>
      </c>
      <c r="J2" s="209">
        <v>34</v>
      </c>
      <c r="K2" s="206" t="s">
        <v>281</v>
      </c>
      <c r="L2" s="210">
        <v>45980</v>
      </c>
      <c r="M2" s="209">
        <v>0</v>
      </c>
      <c r="N2" s="209">
        <v>7</v>
      </c>
      <c r="O2" s="209">
        <v>53</v>
      </c>
      <c r="P2" s="206" t="s">
        <v>511</v>
      </c>
      <c r="Q2" s="202"/>
      <c r="R2" s="202"/>
      <c r="S2" s="202"/>
      <c r="T2" s="202"/>
      <c r="U2" s="202"/>
      <c r="V2" s="202"/>
      <c r="W2" s="202"/>
      <c r="X2" s="202"/>
      <c r="Y2" s="202"/>
      <c r="Z2" s="209" t="s">
        <v>344</v>
      </c>
      <c r="AA2" s="209" t="s">
        <v>499</v>
      </c>
      <c r="AB2" s="202"/>
      <c r="AC2" s="209" t="s">
        <v>540</v>
      </c>
      <c r="AD2" s="209" t="s">
        <v>330</v>
      </c>
      <c r="AE2" s="209" t="s">
        <v>541</v>
      </c>
      <c r="AF2" s="209" t="s">
        <v>542</v>
      </c>
      <c r="AG2" s="202"/>
      <c r="AH2" s="202"/>
      <c r="AI2" s="209" t="s">
        <v>543</v>
      </c>
      <c r="AJ2" s="202"/>
    </row>
    <row r="3" spans="1:36" x14ac:dyDescent="0.3">
      <c r="A3" s="204" t="s">
        <v>278</v>
      </c>
      <c r="B3" s="205">
        <v>45983</v>
      </c>
      <c r="C3" s="206" t="s">
        <v>514</v>
      </c>
      <c r="D3" s="207" t="s">
        <v>490</v>
      </c>
      <c r="E3" s="206" t="s">
        <v>507</v>
      </c>
      <c r="F3" s="206" t="s">
        <v>280</v>
      </c>
      <c r="G3" s="208">
        <v>0.70830000000000004</v>
      </c>
      <c r="H3" s="209">
        <v>168</v>
      </c>
      <c r="I3" s="209">
        <v>119</v>
      </c>
      <c r="J3" s="209">
        <v>89</v>
      </c>
      <c r="K3" s="206" t="s">
        <v>281</v>
      </c>
      <c r="L3" s="210">
        <v>45980</v>
      </c>
      <c r="M3" s="209">
        <v>0</v>
      </c>
      <c r="N3" s="209">
        <v>1</v>
      </c>
      <c r="O3" s="209">
        <v>8</v>
      </c>
      <c r="P3" s="206" t="s">
        <v>383</v>
      </c>
      <c r="Q3" s="202"/>
      <c r="R3" s="202"/>
      <c r="S3" s="202"/>
      <c r="T3" s="202"/>
      <c r="U3" s="202"/>
      <c r="V3" s="202"/>
      <c r="W3" s="202"/>
      <c r="X3" s="202"/>
      <c r="Y3" s="209" t="s">
        <v>326</v>
      </c>
      <c r="Z3" s="209" t="s">
        <v>344</v>
      </c>
      <c r="AA3" s="202"/>
      <c r="AB3" s="202"/>
      <c r="AC3" s="209" t="s">
        <v>377</v>
      </c>
      <c r="AD3" s="209" t="s">
        <v>544</v>
      </c>
      <c r="AE3" s="202"/>
      <c r="AF3" s="202"/>
      <c r="AG3" s="202"/>
      <c r="AH3" s="202"/>
      <c r="AI3" s="209" t="s">
        <v>545</v>
      </c>
      <c r="AJ3" s="202"/>
    </row>
    <row r="4" spans="1:36" x14ac:dyDescent="0.3">
      <c r="A4" s="204" t="s">
        <v>311</v>
      </c>
      <c r="B4" s="205">
        <v>45984</v>
      </c>
      <c r="C4" s="206" t="s">
        <v>527</v>
      </c>
      <c r="D4" s="207" t="s">
        <v>546</v>
      </c>
      <c r="E4" s="206" t="s">
        <v>507</v>
      </c>
      <c r="F4" s="206" t="s">
        <v>280</v>
      </c>
      <c r="G4" s="208">
        <v>0.67859999999999998</v>
      </c>
      <c r="H4" s="209">
        <v>168</v>
      </c>
      <c r="I4" s="209">
        <v>114</v>
      </c>
      <c r="J4" s="209">
        <v>81</v>
      </c>
      <c r="K4" s="206" t="s">
        <v>281</v>
      </c>
      <c r="L4" s="210">
        <v>45980</v>
      </c>
      <c r="M4" s="209">
        <v>0</v>
      </c>
      <c r="N4" s="209">
        <v>3</v>
      </c>
      <c r="O4" s="209">
        <v>24</v>
      </c>
      <c r="P4" s="206" t="s">
        <v>528</v>
      </c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9" t="s">
        <v>369</v>
      </c>
      <c r="AE4" s="209" t="s">
        <v>348</v>
      </c>
      <c r="AF4" s="209" t="s">
        <v>547</v>
      </c>
      <c r="AG4" s="209" t="s">
        <v>548</v>
      </c>
      <c r="AH4" s="202"/>
      <c r="AI4" s="209" t="s">
        <v>549</v>
      </c>
      <c r="AJ4" s="202"/>
    </row>
    <row r="5" spans="1:36" x14ac:dyDescent="0.3">
      <c r="A5" s="204" t="s">
        <v>311</v>
      </c>
      <c r="B5" s="205">
        <v>45984</v>
      </c>
      <c r="C5" s="206" t="s">
        <v>514</v>
      </c>
      <c r="D5" s="207" t="s">
        <v>550</v>
      </c>
      <c r="E5" s="206" t="s">
        <v>507</v>
      </c>
      <c r="F5" s="206" t="s">
        <v>280</v>
      </c>
      <c r="G5" s="208">
        <v>0.92259999999999998</v>
      </c>
      <c r="H5" s="209">
        <v>168</v>
      </c>
      <c r="I5" s="209">
        <v>155</v>
      </c>
      <c r="J5" s="209">
        <v>144</v>
      </c>
      <c r="K5" s="206" t="s">
        <v>281</v>
      </c>
      <c r="L5" s="210">
        <v>45980</v>
      </c>
      <c r="M5" s="209">
        <v>0</v>
      </c>
      <c r="N5" s="209">
        <v>1</v>
      </c>
      <c r="O5" s="209">
        <v>5</v>
      </c>
      <c r="P5" s="206" t="s">
        <v>496</v>
      </c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9" t="s">
        <v>305</v>
      </c>
      <c r="AE5" s="209" t="s">
        <v>551</v>
      </c>
      <c r="AF5" s="209" t="s">
        <v>530</v>
      </c>
      <c r="AG5" s="202"/>
      <c r="AH5" s="202"/>
      <c r="AI5" s="209" t="s">
        <v>552</v>
      </c>
      <c r="AJ5" s="202"/>
    </row>
    <row r="6" spans="1:36" x14ac:dyDescent="0.3">
      <c r="A6" s="204" t="s">
        <v>342</v>
      </c>
      <c r="B6" s="205">
        <v>45985</v>
      </c>
      <c r="C6" s="206" t="s">
        <v>527</v>
      </c>
      <c r="D6" s="207" t="s">
        <v>553</v>
      </c>
      <c r="E6" s="206" t="s">
        <v>507</v>
      </c>
      <c r="F6" s="206" t="s">
        <v>280</v>
      </c>
      <c r="G6" s="208">
        <v>0.42859999999999998</v>
      </c>
      <c r="H6" s="209">
        <v>168</v>
      </c>
      <c r="I6" s="209">
        <v>72</v>
      </c>
      <c r="J6" s="209">
        <v>48</v>
      </c>
      <c r="K6" s="206" t="s">
        <v>281</v>
      </c>
      <c r="L6" s="210">
        <v>45980</v>
      </c>
      <c r="M6" s="209">
        <v>0</v>
      </c>
      <c r="N6" s="209">
        <v>4</v>
      </c>
      <c r="O6" s="209">
        <v>16</v>
      </c>
      <c r="P6" s="206" t="s">
        <v>335</v>
      </c>
      <c r="Q6" s="202"/>
      <c r="R6" s="202"/>
      <c r="S6" s="202"/>
      <c r="T6" s="202"/>
      <c r="U6" s="202"/>
      <c r="V6" s="202"/>
      <c r="W6" s="202"/>
      <c r="X6" s="202"/>
      <c r="Y6" s="202"/>
      <c r="Z6" s="209" t="s">
        <v>150</v>
      </c>
      <c r="AA6" s="209" t="s">
        <v>499</v>
      </c>
      <c r="AB6" s="202"/>
      <c r="AC6" s="202"/>
      <c r="AD6" s="202"/>
      <c r="AE6" s="209" t="s">
        <v>324</v>
      </c>
      <c r="AF6" s="209" t="s">
        <v>290</v>
      </c>
      <c r="AG6" s="202"/>
      <c r="AH6" s="202"/>
      <c r="AI6" s="209" t="s">
        <v>554</v>
      </c>
      <c r="AJ6" s="202"/>
    </row>
    <row r="7" spans="1:36" x14ac:dyDescent="0.3">
      <c r="A7" s="204" t="s">
        <v>342</v>
      </c>
      <c r="B7" s="205">
        <v>45985</v>
      </c>
      <c r="C7" s="206" t="s">
        <v>534</v>
      </c>
      <c r="D7" s="207" t="s">
        <v>555</v>
      </c>
      <c r="E7" s="206" t="s">
        <v>507</v>
      </c>
      <c r="F7" s="206" t="s">
        <v>280</v>
      </c>
      <c r="G7" s="208">
        <v>0.51790000000000003</v>
      </c>
      <c r="H7" s="209">
        <v>168</v>
      </c>
      <c r="I7" s="209">
        <v>87</v>
      </c>
      <c r="J7" s="209">
        <v>38</v>
      </c>
      <c r="K7" s="206" t="s">
        <v>281</v>
      </c>
      <c r="L7" s="210">
        <v>45980</v>
      </c>
      <c r="M7" s="209">
        <v>0</v>
      </c>
      <c r="N7" s="209">
        <v>8</v>
      </c>
      <c r="O7" s="209">
        <v>76</v>
      </c>
      <c r="P7" s="206" t="s">
        <v>306</v>
      </c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9" t="s">
        <v>316</v>
      </c>
      <c r="AF7" s="209" t="s">
        <v>556</v>
      </c>
      <c r="AG7" s="202"/>
      <c r="AH7" s="202"/>
      <c r="AI7" s="209" t="s">
        <v>557</v>
      </c>
      <c r="AJ7" s="202"/>
    </row>
    <row r="8" spans="1:36" x14ac:dyDescent="0.3">
      <c r="A8" s="204" t="s">
        <v>342</v>
      </c>
      <c r="B8" s="205">
        <v>45985</v>
      </c>
      <c r="C8" s="206" t="s">
        <v>510</v>
      </c>
      <c r="D8" s="207" t="s">
        <v>402</v>
      </c>
      <c r="E8" s="206" t="s">
        <v>507</v>
      </c>
      <c r="F8" s="206" t="s">
        <v>280</v>
      </c>
      <c r="G8" s="208">
        <v>0.1905</v>
      </c>
      <c r="H8" s="209">
        <v>168</v>
      </c>
      <c r="I8" s="209">
        <v>32</v>
      </c>
      <c r="J8" s="209">
        <v>0</v>
      </c>
      <c r="K8" s="206" t="s">
        <v>281</v>
      </c>
      <c r="L8" s="210">
        <v>45980</v>
      </c>
      <c r="M8" s="209">
        <v>0</v>
      </c>
      <c r="N8" s="209">
        <v>5</v>
      </c>
      <c r="O8" s="209">
        <v>20</v>
      </c>
      <c r="P8" s="206" t="s">
        <v>530</v>
      </c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9" t="s">
        <v>334</v>
      </c>
      <c r="AE8" s="209" t="s">
        <v>528</v>
      </c>
      <c r="AF8" s="209" t="s">
        <v>558</v>
      </c>
      <c r="AG8" s="202"/>
      <c r="AH8" s="202"/>
      <c r="AI8" s="202"/>
      <c r="AJ8" s="202"/>
    </row>
    <row r="9" spans="1:36" x14ac:dyDescent="0.3">
      <c r="A9" s="204" t="s">
        <v>366</v>
      </c>
      <c r="B9" s="205">
        <v>45986</v>
      </c>
      <c r="C9" s="206" t="s">
        <v>510</v>
      </c>
      <c r="D9" s="207" t="s">
        <v>559</v>
      </c>
      <c r="E9" s="206" t="s">
        <v>507</v>
      </c>
      <c r="F9" s="206" t="s">
        <v>280</v>
      </c>
      <c r="G9" s="208">
        <v>0.93300000000000005</v>
      </c>
      <c r="H9" s="209">
        <v>179</v>
      </c>
      <c r="I9" s="209">
        <v>167</v>
      </c>
      <c r="J9" s="209">
        <v>155</v>
      </c>
      <c r="K9" s="206" t="s">
        <v>281</v>
      </c>
      <c r="L9" s="210">
        <v>45971</v>
      </c>
      <c r="M9" s="209">
        <v>0</v>
      </c>
      <c r="N9" s="209">
        <v>0</v>
      </c>
      <c r="O9" s="209">
        <v>0</v>
      </c>
      <c r="P9" s="206" t="s">
        <v>301</v>
      </c>
      <c r="Q9" s="202"/>
      <c r="R9" s="202"/>
      <c r="S9" s="202"/>
      <c r="T9" s="202"/>
      <c r="U9" s="202"/>
      <c r="V9" s="202"/>
      <c r="W9" s="202"/>
      <c r="X9" s="202"/>
      <c r="Y9" s="202"/>
      <c r="Z9" s="209" t="s">
        <v>560</v>
      </c>
      <c r="AA9" s="202"/>
      <c r="AB9" s="202"/>
      <c r="AC9" s="202"/>
      <c r="AD9" s="209" t="s">
        <v>561</v>
      </c>
      <c r="AE9" s="202"/>
      <c r="AF9" s="202"/>
      <c r="AG9" s="202"/>
      <c r="AH9" s="202"/>
      <c r="AI9" s="209" t="s">
        <v>562</v>
      </c>
      <c r="AJ9" s="202"/>
    </row>
    <row r="10" spans="1:36" x14ac:dyDescent="0.3">
      <c r="A10" s="204" t="s">
        <v>366</v>
      </c>
      <c r="B10" s="205">
        <v>45986</v>
      </c>
      <c r="C10" s="206" t="s">
        <v>514</v>
      </c>
      <c r="D10" s="207" t="s">
        <v>563</v>
      </c>
      <c r="E10" s="206" t="s">
        <v>507</v>
      </c>
      <c r="F10" s="206" t="s">
        <v>280</v>
      </c>
      <c r="G10" s="208">
        <v>0.97770000000000001</v>
      </c>
      <c r="H10" s="209">
        <v>179</v>
      </c>
      <c r="I10" s="209">
        <v>175</v>
      </c>
      <c r="J10" s="209">
        <v>167</v>
      </c>
      <c r="K10" s="206" t="s">
        <v>281</v>
      </c>
      <c r="L10" s="210">
        <v>45973</v>
      </c>
      <c r="M10" s="209">
        <v>0</v>
      </c>
      <c r="N10" s="209">
        <v>0</v>
      </c>
      <c r="O10" s="209">
        <v>0</v>
      </c>
      <c r="P10" s="206" t="s">
        <v>537</v>
      </c>
      <c r="Q10" s="202"/>
      <c r="R10" s="202"/>
      <c r="S10" s="202"/>
      <c r="T10" s="202"/>
      <c r="U10" s="202"/>
      <c r="V10" s="202"/>
      <c r="W10" s="202"/>
      <c r="X10" s="209" t="s">
        <v>300</v>
      </c>
      <c r="Y10" s="202"/>
      <c r="Z10" s="209" t="s">
        <v>150</v>
      </c>
      <c r="AA10" s="202"/>
      <c r="AB10" s="202"/>
      <c r="AC10" s="209" t="s">
        <v>237</v>
      </c>
      <c r="AD10" s="202"/>
      <c r="AE10" s="202"/>
      <c r="AF10" s="209" t="s">
        <v>530</v>
      </c>
      <c r="AG10" s="202"/>
      <c r="AH10" s="202"/>
      <c r="AI10" s="209" t="s">
        <v>564</v>
      </c>
      <c r="AJ10" s="202"/>
    </row>
    <row r="11" spans="1:36" ht="21" x14ac:dyDescent="0.3">
      <c r="A11" s="211" t="s">
        <v>565</v>
      </c>
      <c r="B11" s="212"/>
      <c r="C11" s="211">
        <f>SUBTOTAL(103,JED_ATZ_LF_LEGACY[Flt])</f>
        <v>9</v>
      </c>
      <c r="D11" s="211"/>
      <c r="E11" s="211">
        <f>SUBTOTAL(103,JED_ATZ_LF_LEGACY[Brd-Off])</f>
        <v>9</v>
      </c>
      <c r="F11" s="211"/>
      <c r="G11" s="213">
        <f>SUBTOTAL(101,JED_ATZ_LF_LEGACY[LF%])</f>
        <v>0.68122222222222228</v>
      </c>
      <c r="H11" s="214">
        <f>SUBTOTAL(109,JED_ATZ_LF_LEGACY[CAP])</f>
        <v>1534</v>
      </c>
      <c r="I11" s="214">
        <f>SUBTOTAL(109,JED_ATZ_LF_LEGACY[BKG(Y)])</f>
        <v>1051</v>
      </c>
      <c r="J11" s="214">
        <f>SUBTOTAL(109,JED_ATZ_LF_LEGACY[GRP(Y)])</f>
        <v>756</v>
      </c>
      <c r="K11" s="211"/>
      <c r="L11" s="212"/>
      <c r="M11" s="214">
        <f>SUBTOTAL(109,JED_ATZ_LF_LEGACY[TO-DAY])</f>
        <v>0</v>
      </c>
      <c r="N11" s="214">
        <f>SUBTOTAL(109,JED_ATZ_LF_LEGACY[Y-DAY])</f>
        <v>29</v>
      </c>
      <c r="O11" s="214">
        <f>SUBTOTAL(109,JED_ATZ_LF_LEGACY[WEEKLY])</f>
        <v>202</v>
      </c>
      <c r="P11" s="215"/>
      <c r="Q11" s="211">
        <f>SUBTOTAL(109,JED_ATZ_LF_LEGACY[Y])</f>
        <v>0</v>
      </c>
      <c r="R11" s="211">
        <f>SUBTOTAL(109,JED_ATZ_LF_LEGACY[B])</f>
        <v>0</v>
      </c>
      <c r="S11" s="211">
        <f>SUBTOTAL(109,JED_ATZ_LF_LEGACY[M])</f>
        <v>0</v>
      </c>
      <c r="T11" s="211">
        <f>SUBTOTAL(109,JED_ATZ_LF_LEGACY[H])</f>
        <v>0</v>
      </c>
      <c r="U11" s="211">
        <f>SUBTOTAL(109,JED_ATZ_LF_LEGACY[Q])</f>
        <v>0</v>
      </c>
      <c r="V11" s="211">
        <f>SUBTOTAL(109,JED_ATZ_LF_LEGACY[K])</f>
        <v>0</v>
      </c>
      <c r="W11" s="211">
        <f>SUBTOTAL(109,JED_ATZ_LF_LEGACY[V])</f>
        <v>0</v>
      </c>
      <c r="X11" s="211">
        <f>SUBTOTAL(109,JED_ATZ_LF_LEGACY[L])</f>
        <v>0</v>
      </c>
      <c r="Y11" s="211">
        <f>SUBTOTAL(109,JED_ATZ_LF_LEGACY[G])</f>
        <v>0</v>
      </c>
      <c r="Z11" s="214">
        <f>SUBTOTAL(109,JED_ATZ_LF_LEGACY[S])</f>
        <v>0</v>
      </c>
      <c r="AA11" s="211">
        <f>SUBTOTAL(109,JED_ATZ_LF_LEGACY[W])</f>
        <v>0</v>
      </c>
      <c r="AB11" s="211">
        <f>SUBTOTAL(109,JED_ATZ_LF_LEGACY[T])</f>
        <v>0</v>
      </c>
      <c r="AC11" s="211">
        <f>SUBTOTAL(109,JED_ATZ_LF_LEGACY[X])</f>
        <v>0</v>
      </c>
      <c r="AD11" s="211">
        <f>SUBTOTAL(109,JED_ATZ_LF_LEGACY[U])</f>
        <v>0</v>
      </c>
      <c r="AE11" s="214">
        <f>SUBTOTAL(109,JED_ATZ_LF_LEGACY[O])</f>
        <v>0</v>
      </c>
      <c r="AF11" s="214">
        <f>SUBTOTAL(109,JED_ATZ_LF_LEGACY[I])</f>
        <v>0</v>
      </c>
      <c r="AG11" s="211">
        <f>SUBTOTAL(109,JED_ATZ_LF_LEGACY[E])</f>
        <v>0</v>
      </c>
      <c r="AH11" s="211">
        <f>SUBTOTAL(109,JED_ATZ_LF_LEGACY[A])</f>
        <v>0</v>
      </c>
      <c r="AI11" s="214">
        <f>SUBTOTAL(109,JED_ATZ_LF_LEGACY[P])</f>
        <v>0</v>
      </c>
      <c r="AJ11" s="211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1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5" t="s">
        <v>387</v>
      </c>
      <c r="B1" s="126" t="s">
        <v>8</v>
      </c>
      <c r="C1" s="126" t="s">
        <v>9</v>
      </c>
      <c r="D1" s="126" t="s">
        <v>388</v>
      </c>
      <c r="E1" s="126" t="s">
        <v>10</v>
      </c>
      <c r="F1" s="126" t="s">
        <v>11</v>
      </c>
      <c r="G1" s="126" t="s">
        <v>12</v>
      </c>
      <c r="H1" s="127" t="s">
        <v>13</v>
      </c>
    </row>
    <row r="2" spans="1:8" ht="19.8" customHeight="1" x14ac:dyDescent="0.3">
      <c r="A2" s="133" t="s">
        <v>389</v>
      </c>
      <c r="B2" s="134" t="s">
        <v>85</v>
      </c>
      <c r="C2" s="135" t="s">
        <v>508</v>
      </c>
      <c r="D2" s="134" t="s">
        <v>507</v>
      </c>
      <c r="E2" s="134" t="s">
        <v>539</v>
      </c>
      <c r="F2" s="134" t="s">
        <v>87</v>
      </c>
      <c r="G2" s="136">
        <v>7</v>
      </c>
      <c r="H2" s="148">
        <v>526</v>
      </c>
    </row>
    <row r="3" spans="1:8" ht="19.8" customHeight="1" x14ac:dyDescent="0.3">
      <c r="A3" s="141">
        <v>45983</v>
      </c>
      <c r="B3" s="134" t="s">
        <v>85</v>
      </c>
      <c r="C3" s="135" t="s">
        <v>513</v>
      </c>
      <c r="D3" s="134" t="s">
        <v>507</v>
      </c>
      <c r="E3" s="142">
        <v>1.6875</v>
      </c>
      <c r="F3" s="134" t="s">
        <v>87</v>
      </c>
      <c r="G3" s="136">
        <v>2</v>
      </c>
      <c r="H3" s="148">
        <v>526</v>
      </c>
    </row>
    <row r="4" spans="1:8" ht="19.8" customHeight="1" x14ac:dyDescent="0.3">
      <c r="A4" s="138">
        <v>45983</v>
      </c>
      <c r="B4" s="129" t="s">
        <v>99</v>
      </c>
      <c r="C4" s="130" t="s">
        <v>516</v>
      </c>
      <c r="D4" s="129" t="s">
        <v>507</v>
      </c>
      <c r="E4" s="139">
        <v>1.461805555555556</v>
      </c>
      <c r="F4" s="129" t="s">
        <v>517</v>
      </c>
      <c r="G4" s="131">
        <v>4</v>
      </c>
      <c r="H4" s="132">
        <v>640</v>
      </c>
    </row>
    <row r="5" spans="1:8" ht="19.8" customHeight="1" x14ac:dyDescent="0.3">
      <c r="A5" s="169"/>
      <c r="B5" s="170"/>
      <c r="C5" s="170"/>
      <c r="D5" s="170"/>
      <c r="E5" s="170"/>
      <c r="F5" s="171" t="s">
        <v>506</v>
      </c>
      <c r="G5" s="170"/>
      <c r="H5" s="172"/>
    </row>
    <row r="6" spans="1:8" ht="19.8" customHeight="1" x14ac:dyDescent="0.3">
      <c r="A6" s="138">
        <v>45983</v>
      </c>
      <c r="B6" s="129" t="s">
        <v>26</v>
      </c>
      <c r="C6" s="130" t="s">
        <v>27</v>
      </c>
      <c r="D6" s="129" t="s">
        <v>1</v>
      </c>
      <c r="E6" s="139">
        <v>1.302083333333333</v>
      </c>
      <c r="F6" s="129" t="s">
        <v>28</v>
      </c>
      <c r="G6" s="131">
        <v>1</v>
      </c>
      <c r="H6" s="132">
        <v>639</v>
      </c>
    </row>
    <row r="7" spans="1:8" ht="19.8" customHeight="1" x14ac:dyDescent="0.3">
      <c r="A7" s="138">
        <v>45983</v>
      </c>
      <c r="B7" s="129" t="s">
        <v>26</v>
      </c>
      <c r="C7" s="130" t="s">
        <v>36</v>
      </c>
      <c r="D7" s="129" t="s">
        <v>1</v>
      </c>
      <c r="E7" s="139">
        <v>1.1284722222222221</v>
      </c>
      <c r="F7" s="129" t="s">
        <v>28</v>
      </c>
      <c r="G7" s="131">
        <v>18</v>
      </c>
      <c r="H7" s="132">
        <v>639</v>
      </c>
    </row>
    <row r="8" spans="1:8" ht="19.8" customHeight="1" x14ac:dyDescent="0.3">
      <c r="A8" s="138">
        <v>45983</v>
      </c>
      <c r="B8" s="129" t="s">
        <v>26</v>
      </c>
      <c r="C8" s="130" t="s">
        <v>39</v>
      </c>
      <c r="D8" s="129" t="s">
        <v>1</v>
      </c>
      <c r="E8" s="139">
        <v>1.8888888888888891</v>
      </c>
      <c r="F8" s="129" t="s">
        <v>28</v>
      </c>
      <c r="G8" s="131">
        <v>9</v>
      </c>
      <c r="H8" s="132">
        <v>639</v>
      </c>
    </row>
    <row r="9" spans="1:8" ht="19.8" customHeight="1" x14ac:dyDescent="0.3">
      <c r="A9" s="138">
        <v>45983</v>
      </c>
      <c r="B9" s="129" t="s">
        <v>47</v>
      </c>
      <c r="C9" s="130" t="s">
        <v>48</v>
      </c>
      <c r="D9" s="129" t="s">
        <v>1</v>
      </c>
      <c r="E9" s="139">
        <v>1.9027777777777779</v>
      </c>
      <c r="F9" s="129" t="s">
        <v>49</v>
      </c>
      <c r="G9" s="131">
        <v>9</v>
      </c>
      <c r="H9" s="132">
        <v>669</v>
      </c>
    </row>
    <row r="10" spans="1:8" ht="19.8" customHeight="1" x14ac:dyDescent="0.3">
      <c r="A10" s="138">
        <v>45983</v>
      </c>
      <c r="B10" s="129" t="s">
        <v>47</v>
      </c>
      <c r="C10" s="130" t="s">
        <v>56</v>
      </c>
      <c r="D10" s="129" t="s">
        <v>1</v>
      </c>
      <c r="E10" s="139">
        <v>1.5173611111111109</v>
      </c>
      <c r="F10" s="129" t="s">
        <v>49</v>
      </c>
      <c r="G10" s="131">
        <v>1</v>
      </c>
      <c r="H10" s="132">
        <v>669</v>
      </c>
    </row>
    <row r="11" spans="1:8" ht="19.8" customHeight="1" x14ac:dyDescent="0.3">
      <c r="A11" s="138">
        <v>45983</v>
      </c>
      <c r="B11" s="129" t="s">
        <v>47</v>
      </c>
      <c r="C11" s="130" t="s">
        <v>58</v>
      </c>
      <c r="D11" s="129" t="s">
        <v>1</v>
      </c>
      <c r="E11" s="139">
        <v>1.395833333333333</v>
      </c>
      <c r="F11" s="129" t="s">
        <v>49</v>
      </c>
      <c r="G11" s="131">
        <v>9</v>
      </c>
      <c r="H11" s="132">
        <v>669</v>
      </c>
    </row>
    <row r="12" spans="1:8" ht="19.8" customHeight="1" x14ac:dyDescent="0.3">
      <c r="A12" s="138">
        <v>45983</v>
      </c>
      <c r="B12" s="129" t="s">
        <v>47</v>
      </c>
      <c r="C12" s="130" t="s">
        <v>59</v>
      </c>
      <c r="D12" s="129" t="s">
        <v>1</v>
      </c>
      <c r="E12" s="139">
        <v>1.7986111111111109</v>
      </c>
      <c r="F12" s="129" t="s">
        <v>49</v>
      </c>
      <c r="G12" s="131">
        <v>5</v>
      </c>
      <c r="H12" s="132">
        <v>669</v>
      </c>
    </row>
    <row r="13" spans="1:8" ht="19.8" customHeight="1" x14ac:dyDescent="0.3">
      <c r="A13" s="138">
        <v>45983</v>
      </c>
      <c r="B13" s="129" t="s">
        <v>26</v>
      </c>
      <c r="C13" s="130" t="s">
        <v>42</v>
      </c>
      <c r="D13" s="129" t="s">
        <v>1</v>
      </c>
      <c r="E13" s="139">
        <v>1.788194444444444</v>
      </c>
      <c r="F13" s="129" t="s">
        <v>28</v>
      </c>
      <c r="G13" s="131">
        <v>12</v>
      </c>
      <c r="H13" s="132">
        <v>689</v>
      </c>
    </row>
    <row r="14" spans="1:8" ht="19.8" customHeight="1" x14ac:dyDescent="0.3">
      <c r="A14" s="138">
        <v>45983</v>
      </c>
      <c r="B14" s="129" t="s">
        <v>72</v>
      </c>
      <c r="C14" s="130" t="s">
        <v>73</v>
      </c>
      <c r="D14" s="129" t="s">
        <v>1</v>
      </c>
      <c r="E14" s="139">
        <v>1.288194444444444</v>
      </c>
      <c r="F14" s="129" t="s">
        <v>74</v>
      </c>
      <c r="G14" s="131">
        <v>9</v>
      </c>
      <c r="H14" s="132">
        <v>701</v>
      </c>
    </row>
    <row r="15" spans="1:8" ht="19.8" customHeight="1" x14ac:dyDescent="0.3">
      <c r="A15" s="149">
        <v>45983</v>
      </c>
      <c r="B15" s="150" t="s">
        <v>72</v>
      </c>
      <c r="C15" s="151" t="s">
        <v>77</v>
      </c>
      <c r="D15" s="150" t="s">
        <v>1</v>
      </c>
      <c r="E15" s="152">
        <v>1.2152777777777779</v>
      </c>
      <c r="F15" s="150" t="s">
        <v>74</v>
      </c>
      <c r="G15" s="153">
        <v>9</v>
      </c>
      <c r="H15" s="173">
        <v>701</v>
      </c>
    </row>
    <row r="16" spans="1:8" ht="19.8" customHeight="1" x14ac:dyDescent="0.3">
      <c r="A16" s="138">
        <v>45984</v>
      </c>
      <c r="B16" s="129" t="s">
        <v>26</v>
      </c>
      <c r="C16" s="130" t="s">
        <v>519</v>
      </c>
      <c r="D16" s="129" t="s">
        <v>507</v>
      </c>
      <c r="E16" s="139">
        <v>1.2847222222222221</v>
      </c>
      <c r="F16" s="129" t="s">
        <v>413</v>
      </c>
      <c r="G16" s="131">
        <v>8</v>
      </c>
      <c r="H16" s="132">
        <v>329</v>
      </c>
    </row>
    <row r="17" spans="1:8" ht="19.8" customHeight="1" x14ac:dyDescent="0.3">
      <c r="A17" s="138">
        <v>45984</v>
      </c>
      <c r="B17" s="129" t="s">
        <v>26</v>
      </c>
      <c r="C17" s="130" t="s">
        <v>519</v>
      </c>
      <c r="D17" s="129" t="s">
        <v>507</v>
      </c>
      <c r="E17" s="139">
        <v>1.2847222222222221</v>
      </c>
      <c r="F17" s="129" t="s">
        <v>407</v>
      </c>
      <c r="G17" s="131">
        <v>8</v>
      </c>
      <c r="H17" s="132">
        <v>388</v>
      </c>
    </row>
    <row r="18" spans="1:8" ht="19.8" customHeight="1" x14ac:dyDescent="0.3">
      <c r="A18" s="138">
        <v>45984</v>
      </c>
      <c r="B18" s="129" t="s">
        <v>26</v>
      </c>
      <c r="C18" s="130" t="s">
        <v>519</v>
      </c>
      <c r="D18" s="129" t="s">
        <v>507</v>
      </c>
      <c r="E18" s="139">
        <v>1.2847222222222221</v>
      </c>
      <c r="F18" s="129" t="s">
        <v>409</v>
      </c>
      <c r="G18" s="131">
        <v>8</v>
      </c>
      <c r="H18" s="132">
        <v>412</v>
      </c>
    </row>
    <row r="19" spans="1:8" ht="19.8" customHeight="1" x14ac:dyDescent="0.3">
      <c r="A19" s="141">
        <v>45984</v>
      </c>
      <c r="B19" s="134" t="s">
        <v>85</v>
      </c>
      <c r="C19" s="135" t="s">
        <v>513</v>
      </c>
      <c r="D19" s="134" t="s">
        <v>507</v>
      </c>
      <c r="E19" s="142">
        <v>1.850694444444444</v>
      </c>
      <c r="F19" s="134" t="s">
        <v>87</v>
      </c>
      <c r="G19" s="136">
        <v>6</v>
      </c>
      <c r="H19" s="148">
        <v>436</v>
      </c>
    </row>
    <row r="20" spans="1:8" ht="19.8" customHeight="1" x14ac:dyDescent="0.3">
      <c r="A20" s="141">
        <v>45984</v>
      </c>
      <c r="B20" s="134" t="s">
        <v>85</v>
      </c>
      <c r="C20" s="135" t="s">
        <v>526</v>
      </c>
      <c r="D20" s="134" t="s">
        <v>507</v>
      </c>
      <c r="E20" s="142">
        <v>1.7673611111111109</v>
      </c>
      <c r="F20" s="134" t="s">
        <v>87</v>
      </c>
      <c r="G20" s="136">
        <v>2</v>
      </c>
      <c r="H20" s="148">
        <v>436</v>
      </c>
    </row>
    <row r="21" spans="1:8" ht="19.8" customHeight="1" x14ac:dyDescent="0.3">
      <c r="A21" s="138">
        <v>45984</v>
      </c>
      <c r="B21" s="129" t="s">
        <v>26</v>
      </c>
      <c r="C21" s="130" t="s">
        <v>519</v>
      </c>
      <c r="D21" s="129" t="s">
        <v>507</v>
      </c>
      <c r="E21" s="139">
        <v>1.2847222222222221</v>
      </c>
      <c r="F21" s="129" t="s">
        <v>417</v>
      </c>
      <c r="G21" s="131">
        <v>8</v>
      </c>
      <c r="H21" s="132">
        <v>579</v>
      </c>
    </row>
    <row r="22" spans="1:8" ht="19.8" customHeight="1" x14ac:dyDescent="0.3">
      <c r="A22" s="169"/>
      <c r="B22" s="170"/>
      <c r="C22" s="170"/>
      <c r="D22" s="170"/>
      <c r="E22" s="170"/>
      <c r="F22" s="171" t="s">
        <v>506</v>
      </c>
      <c r="G22" s="170"/>
      <c r="H22" s="172"/>
    </row>
    <row r="23" spans="1:8" ht="19.8" customHeight="1" x14ac:dyDescent="0.3">
      <c r="A23" s="138">
        <v>45984</v>
      </c>
      <c r="B23" s="129" t="s">
        <v>26</v>
      </c>
      <c r="C23" s="130" t="s">
        <v>42</v>
      </c>
      <c r="D23" s="129" t="s">
        <v>1</v>
      </c>
      <c r="E23" s="139">
        <v>1.788194444444444</v>
      </c>
      <c r="F23" s="129" t="s">
        <v>139</v>
      </c>
      <c r="G23" s="131">
        <v>1</v>
      </c>
      <c r="H23" s="132">
        <v>539</v>
      </c>
    </row>
    <row r="24" spans="1:8" ht="19.8" customHeight="1" x14ac:dyDescent="0.3">
      <c r="A24" s="138">
        <v>45984</v>
      </c>
      <c r="B24" s="129" t="s">
        <v>26</v>
      </c>
      <c r="C24" s="130" t="s">
        <v>39</v>
      </c>
      <c r="D24" s="129" t="s">
        <v>1</v>
      </c>
      <c r="E24" s="139">
        <v>1.8888888888888891</v>
      </c>
      <c r="F24" s="129" t="s">
        <v>139</v>
      </c>
      <c r="G24" s="131">
        <v>4</v>
      </c>
      <c r="H24" s="132">
        <v>539</v>
      </c>
    </row>
    <row r="25" spans="1:8" ht="19.8" customHeight="1" x14ac:dyDescent="0.3">
      <c r="A25" s="138">
        <v>45984</v>
      </c>
      <c r="B25" s="129" t="s">
        <v>85</v>
      </c>
      <c r="C25" s="130" t="s">
        <v>142</v>
      </c>
      <c r="D25" s="129" t="s">
        <v>1</v>
      </c>
      <c r="E25" s="139">
        <v>1.333333333333333</v>
      </c>
      <c r="F25" s="129" t="s">
        <v>87</v>
      </c>
      <c r="G25" s="131">
        <v>1</v>
      </c>
      <c r="H25" s="132">
        <v>586</v>
      </c>
    </row>
    <row r="26" spans="1:8" ht="19.8" customHeight="1" x14ac:dyDescent="0.3">
      <c r="A26" s="138">
        <v>45984</v>
      </c>
      <c r="B26" s="129" t="s">
        <v>26</v>
      </c>
      <c r="C26" s="130" t="s">
        <v>36</v>
      </c>
      <c r="D26" s="129" t="s">
        <v>1</v>
      </c>
      <c r="E26" s="139">
        <v>1.1284722222222221</v>
      </c>
      <c r="F26" s="129" t="s">
        <v>139</v>
      </c>
      <c r="G26" s="131">
        <v>3</v>
      </c>
      <c r="H26" s="132">
        <v>589</v>
      </c>
    </row>
    <row r="27" spans="1:8" ht="19.8" customHeight="1" x14ac:dyDescent="0.3">
      <c r="A27" s="138">
        <v>45984</v>
      </c>
      <c r="B27" s="129" t="s">
        <v>47</v>
      </c>
      <c r="C27" s="130" t="s">
        <v>62</v>
      </c>
      <c r="D27" s="129" t="s">
        <v>1</v>
      </c>
      <c r="E27" s="139">
        <v>1.256944444444444</v>
      </c>
      <c r="F27" s="129" t="s">
        <v>161</v>
      </c>
      <c r="G27" s="131">
        <v>1</v>
      </c>
      <c r="H27" s="132">
        <v>589</v>
      </c>
    </row>
    <row r="28" spans="1:8" ht="19.8" customHeight="1" x14ac:dyDescent="0.3">
      <c r="A28" s="138">
        <v>45984</v>
      </c>
      <c r="B28" s="129" t="s">
        <v>47</v>
      </c>
      <c r="C28" s="130" t="s">
        <v>48</v>
      </c>
      <c r="D28" s="129" t="s">
        <v>1</v>
      </c>
      <c r="E28" s="139">
        <v>1.9027777777777779</v>
      </c>
      <c r="F28" s="129" t="s">
        <v>161</v>
      </c>
      <c r="G28" s="131">
        <v>9</v>
      </c>
      <c r="H28" s="132">
        <v>589</v>
      </c>
    </row>
    <row r="29" spans="1:8" ht="19.8" customHeight="1" x14ac:dyDescent="0.3">
      <c r="A29" s="138">
        <v>45984</v>
      </c>
      <c r="B29" s="129" t="s">
        <v>47</v>
      </c>
      <c r="C29" s="130" t="s">
        <v>71</v>
      </c>
      <c r="D29" s="129" t="s">
        <v>1</v>
      </c>
      <c r="E29" s="139">
        <v>1.854166666666667</v>
      </c>
      <c r="F29" s="129" t="s">
        <v>161</v>
      </c>
      <c r="G29" s="131">
        <v>9</v>
      </c>
      <c r="H29" s="132">
        <v>589</v>
      </c>
    </row>
    <row r="30" spans="1:8" ht="19.8" customHeight="1" x14ac:dyDescent="0.3">
      <c r="A30" s="138">
        <v>45984</v>
      </c>
      <c r="B30" s="129" t="s">
        <v>47</v>
      </c>
      <c r="C30" s="130" t="s">
        <v>162</v>
      </c>
      <c r="D30" s="129" t="s">
        <v>1</v>
      </c>
      <c r="E30" s="139">
        <v>1.302083333333333</v>
      </c>
      <c r="F30" s="129" t="s">
        <v>161</v>
      </c>
      <c r="G30" s="131">
        <v>3</v>
      </c>
      <c r="H30" s="132">
        <v>589</v>
      </c>
    </row>
    <row r="31" spans="1:8" ht="19.8" customHeight="1" x14ac:dyDescent="0.3">
      <c r="A31" s="138">
        <v>45984</v>
      </c>
      <c r="B31" s="129" t="s">
        <v>47</v>
      </c>
      <c r="C31" s="130" t="s">
        <v>59</v>
      </c>
      <c r="D31" s="129" t="s">
        <v>1</v>
      </c>
      <c r="E31" s="139">
        <v>1.7986111111111109</v>
      </c>
      <c r="F31" s="129" t="s">
        <v>161</v>
      </c>
      <c r="G31" s="131">
        <v>9</v>
      </c>
      <c r="H31" s="132">
        <v>589</v>
      </c>
    </row>
    <row r="32" spans="1:8" ht="19.8" customHeight="1" x14ac:dyDescent="0.3">
      <c r="A32" s="149">
        <v>45984</v>
      </c>
      <c r="B32" s="150" t="s">
        <v>78</v>
      </c>
      <c r="C32" s="151" t="s">
        <v>79</v>
      </c>
      <c r="D32" s="150" t="s">
        <v>1</v>
      </c>
      <c r="E32" s="152">
        <v>1.666666666666667</v>
      </c>
      <c r="F32" s="150" t="s">
        <v>80</v>
      </c>
      <c r="G32" s="153">
        <v>2</v>
      </c>
      <c r="H32" s="173">
        <v>599</v>
      </c>
    </row>
    <row r="33" spans="1:8" ht="19.8" customHeight="1" x14ac:dyDescent="0.3">
      <c r="A33" s="141">
        <v>45985</v>
      </c>
      <c r="B33" s="134" t="s">
        <v>85</v>
      </c>
      <c r="C33" s="135" t="s">
        <v>508</v>
      </c>
      <c r="D33" s="134" t="s">
        <v>507</v>
      </c>
      <c r="E33" s="142">
        <v>1.854166666666667</v>
      </c>
      <c r="F33" s="134" t="s">
        <v>87</v>
      </c>
      <c r="G33" s="136">
        <v>3</v>
      </c>
      <c r="H33" s="148">
        <v>401</v>
      </c>
    </row>
    <row r="34" spans="1:8" ht="19.8" customHeight="1" x14ac:dyDescent="0.3">
      <c r="A34" s="141">
        <v>45985</v>
      </c>
      <c r="B34" s="134" t="s">
        <v>85</v>
      </c>
      <c r="C34" s="135" t="s">
        <v>526</v>
      </c>
      <c r="D34" s="134" t="s">
        <v>507</v>
      </c>
      <c r="E34" s="142">
        <v>1.2534722222222221</v>
      </c>
      <c r="F34" s="134" t="s">
        <v>87</v>
      </c>
      <c r="G34" s="136">
        <v>7</v>
      </c>
      <c r="H34" s="148">
        <v>401</v>
      </c>
    </row>
    <row r="35" spans="1:8" ht="19.8" customHeight="1" x14ac:dyDescent="0.3">
      <c r="A35" s="141">
        <v>45985</v>
      </c>
      <c r="B35" s="134" t="s">
        <v>85</v>
      </c>
      <c r="C35" s="135" t="s">
        <v>533</v>
      </c>
      <c r="D35" s="134" t="s">
        <v>507</v>
      </c>
      <c r="E35" s="142">
        <v>1.506944444444444</v>
      </c>
      <c r="F35" s="134" t="s">
        <v>87</v>
      </c>
      <c r="G35" s="136">
        <v>6</v>
      </c>
      <c r="H35" s="148">
        <v>436</v>
      </c>
    </row>
    <row r="36" spans="1:8" ht="19.8" customHeight="1" x14ac:dyDescent="0.3">
      <c r="A36" s="138">
        <v>45985</v>
      </c>
      <c r="B36" s="129" t="s">
        <v>99</v>
      </c>
      <c r="C36" s="130" t="s">
        <v>516</v>
      </c>
      <c r="D36" s="129" t="s">
        <v>507</v>
      </c>
      <c r="E36" s="139">
        <v>1.854166666666667</v>
      </c>
      <c r="F36" s="129" t="s">
        <v>517</v>
      </c>
      <c r="G36" s="131">
        <v>4</v>
      </c>
      <c r="H36" s="132">
        <v>640</v>
      </c>
    </row>
    <row r="37" spans="1:8" ht="19.8" customHeight="1" x14ac:dyDescent="0.3">
      <c r="A37" s="169"/>
      <c r="B37" s="170"/>
      <c r="C37" s="170"/>
      <c r="D37" s="170"/>
      <c r="E37" s="170"/>
      <c r="F37" s="171" t="s">
        <v>506</v>
      </c>
      <c r="G37" s="170"/>
      <c r="H37" s="172"/>
    </row>
    <row r="38" spans="1:8" ht="19.8" customHeight="1" x14ac:dyDescent="0.3">
      <c r="A38" s="138">
        <v>45985</v>
      </c>
      <c r="B38" s="129" t="s">
        <v>26</v>
      </c>
      <c r="C38" s="130" t="s">
        <v>36</v>
      </c>
      <c r="D38" s="129" t="s">
        <v>1</v>
      </c>
      <c r="E38" s="139">
        <v>1.1284722222222221</v>
      </c>
      <c r="F38" s="129" t="s">
        <v>28</v>
      </c>
      <c r="G38" s="131">
        <v>8</v>
      </c>
      <c r="H38" s="132">
        <v>459</v>
      </c>
    </row>
    <row r="39" spans="1:8" ht="19.8" customHeight="1" x14ac:dyDescent="0.3">
      <c r="A39" s="138">
        <v>45985</v>
      </c>
      <c r="B39" s="129" t="s">
        <v>26</v>
      </c>
      <c r="C39" s="130" t="s">
        <v>39</v>
      </c>
      <c r="D39" s="129" t="s">
        <v>1</v>
      </c>
      <c r="E39" s="139">
        <v>1.8888888888888891</v>
      </c>
      <c r="F39" s="129" t="s">
        <v>28</v>
      </c>
      <c r="G39" s="131">
        <v>2</v>
      </c>
      <c r="H39" s="132">
        <v>459</v>
      </c>
    </row>
    <row r="40" spans="1:8" ht="19.8" customHeight="1" x14ac:dyDescent="0.3">
      <c r="A40" s="138">
        <v>45985</v>
      </c>
      <c r="B40" s="129" t="s">
        <v>26</v>
      </c>
      <c r="C40" s="130" t="s">
        <v>27</v>
      </c>
      <c r="D40" s="129" t="s">
        <v>1</v>
      </c>
      <c r="E40" s="139">
        <v>1.302083333333333</v>
      </c>
      <c r="F40" s="129" t="s">
        <v>28</v>
      </c>
      <c r="G40" s="131">
        <v>10</v>
      </c>
      <c r="H40" s="132">
        <v>499</v>
      </c>
    </row>
    <row r="41" spans="1:8" ht="19.8" customHeight="1" x14ac:dyDescent="0.3">
      <c r="A41" s="138">
        <v>45985</v>
      </c>
      <c r="B41" s="129" t="s">
        <v>47</v>
      </c>
      <c r="C41" s="130" t="s">
        <v>62</v>
      </c>
      <c r="D41" s="129" t="s">
        <v>1</v>
      </c>
      <c r="E41" s="139">
        <v>1.256944444444444</v>
      </c>
      <c r="F41" s="129" t="s">
        <v>49</v>
      </c>
      <c r="G41" s="131">
        <v>8</v>
      </c>
      <c r="H41" s="132">
        <v>509</v>
      </c>
    </row>
    <row r="42" spans="1:8" ht="19.8" customHeight="1" x14ac:dyDescent="0.3">
      <c r="A42" s="138">
        <v>45985</v>
      </c>
      <c r="B42" s="129" t="s">
        <v>47</v>
      </c>
      <c r="C42" s="130" t="s">
        <v>48</v>
      </c>
      <c r="D42" s="129" t="s">
        <v>1</v>
      </c>
      <c r="E42" s="139">
        <v>1.9027777777777779</v>
      </c>
      <c r="F42" s="129" t="s">
        <v>49</v>
      </c>
      <c r="G42" s="131">
        <v>5</v>
      </c>
      <c r="H42" s="132">
        <v>509</v>
      </c>
    </row>
    <row r="43" spans="1:8" ht="19.8" customHeight="1" x14ac:dyDescent="0.3">
      <c r="A43" s="138">
        <v>45985</v>
      </c>
      <c r="B43" s="129" t="s">
        <v>47</v>
      </c>
      <c r="C43" s="130" t="s">
        <v>68</v>
      </c>
      <c r="D43" s="129" t="s">
        <v>1</v>
      </c>
      <c r="E43" s="139">
        <v>1.645833333333333</v>
      </c>
      <c r="F43" s="129" t="s">
        <v>49</v>
      </c>
      <c r="G43" s="131">
        <v>2</v>
      </c>
      <c r="H43" s="132">
        <v>509</v>
      </c>
    </row>
    <row r="44" spans="1:8" ht="19.8" customHeight="1" x14ac:dyDescent="0.3">
      <c r="A44" s="138">
        <v>45985</v>
      </c>
      <c r="B44" s="129" t="s">
        <v>47</v>
      </c>
      <c r="C44" s="130" t="s">
        <v>56</v>
      </c>
      <c r="D44" s="129" t="s">
        <v>1</v>
      </c>
      <c r="E44" s="139">
        <v>1.5173611111111109</v>
      </c>
      <c r="F44" s="129" t="s">
        <v>49</v>
      </c>
      <c r="G44" s="131">
        <v>6</v>
      </c>
      <c r="H44" s="132">
        <v>509</v>
      </c>
    </row>
    <row r="45" spans="1:8" ht="19.8" customHeight="1" x14ac:dyDescent="0.3">
      <c r="A45" s="138">
        <v>45985</v>
      </c>
      <c r="B45" s="129" t="s">
        <v>47</v>
      </c>
      <c r="C45" s="130" t="s">
        <v>71</v>
      </c>
      <c r="D45" s="129" t="s">
        <v>1</v>
      </c>
      <c r="E45" s="139">
        <v>1.854166666666667</v>
      </c>
      <c r="F45" s="129" t="s">
        <v>49</v>
      </c>
      <c r="G45" s="131">
        <v>3</v>
      </c>
      <c r="H45" s="132">
        <v>509</v>
      </c>
    </row>
    <row r="46" spans="1:8" ht="19.8" customHeight="1" x14ac:dyDescent="0.3">
      <c r="A46" s="138">
        <v>45985</v>
      </c>
      <c r="B46" s="129" t="s">
        <v>47</v>
      </c>
      <c r="C46" s="130" t="s">
        <v>59</v>
      </c>
      <c r="D46" s="129" t="s">
        <v>1</v>
      </c>
      <c r="E46" s="139">
        <v>1.7986111111111109</v>
      </c>
      <c r="F46" s="129" t="s">
        <v>49</v>
      </c>
      <c r="G46" s="131">
        <v>9</v>
      </c>
      <c r="H46" s="132">
        <v>509</v>
      </c>
    </row>
    <row r="47" spans="1:8" ht="19.8" customHeight="1" x14ac:dyDescent="0.3">
      <c r="A47" s="149">
        <v>45985</v>
      </c>
      <c r="B47" s="150" t="s">
        <v>47</v>
      </c>
      <c r="C47" s="151" t="s">
        <v>58</v>
      </c>
      <c r="D47" s="150" t="s">
        <v>1</v>
      </c>
      <c r="E47" s="152">
        <v>1.395833333333333</v>
      </c>
      <c r="F47" s="150" t="s">
        <v>49</v>
      </c>
      <c r="G47" s="153">
        <v>9</v>
      </c>
      <c r="H47" s="173">
        <v>549</v>
      </c>
    </row>
    <row r="48" spans="1:8" ht="19.8" customHeight="1" x14ac:dyDescent="0.3">
      <c r="A48" s="141">
        <v>45986</v>
      </c>
      <c r="B48" s="134" t="s">
        <v>85</v>
      </c>
      <c r="C48" s="135" t="s">
        <v>508</v>
      </c>
      <c r="D48" s="134" t="s">
        <v>507</v>
      </c>
      <c r="E48" s="142">
        <v>1.322916666666667</v>
      </c>
      <c r="F48" s="134" t="s">
        <v>87</v>
      </c>
      <c r="G48" s="136">
        <v>3</v>
      </c>
      <c r="H48" s="148">
        <v>781</v>
      </c>
    </row>
    <row r="49" spans="1:8" ht="19.8" customHeight="1" x14ac:dyDescent="0.3">
      <c r="A49" s="141">
        <v>45986</v>
      </c>
      <c r="B49" s="134" t="s">
        <v>85</v>
      </c>
      <c r="C49" s="135" t="s">
        <v>513</v>
      </c>
      <c r="D49" s="134" t="s">
        <v>507</v>
      </c>
      <c r="E49" s="142">
        <v>1.9513888888888891</v>
      </c>
      <c r="F49" s="134" t="s">
        <v>87</v>
      </c>
      <c r="G49" s="136">
        <v>4</v>
      </c>
      <c r="H49" s="148">
        <v>856</v>
      </c>
    </row>
    <row r="50" spans="1:8" ht="19.8" customHeight="1" x14ac:dyDescent="0.3">
      <c r="A50" s="138">
        <v>45986</v>
      </c>
      <c r="B50" s="129" t="s">
        <v>99</v>
      </c>
      <c r="C50" s="130" t="s">
        <v>516</v>
      </c>
      <c r="D50" s="129" t="s">
        <v>507</v>
      </c>
      <c r="E50" s="139">
        <v>1.322916666666667</v>
      </c>
      <c r="F50" s="129" t="s">
        <v>101</v>
      </c>
      <c r="G50" s="131">
        <v>4</v>
      </c>
      <c r="H50" s="132">
        <v>938</v>
      </c>
    </row>
    <row r="51" spans="1:8" ht="19.8" customHeight="1" x14ac:dyDescent="0.3">
      <c r="A51" s="169"/>
      <c r="B51" s="170"/>
      <c r="C51" s="170"/>
      <c r="D51" s="170"/>
      <c r="E51" s="170"/>
      <c r="F51" s="171" t="s">
        <v>506</v>
      </c>
      <c r="G51" s="170"/>
      <c r="H51" s="172"/>
    </row>
    <row r="52" spans="1:8" ht="19.8" customHeight="1" x14ac:dyDescent="0.3">
      <c r="A52" s="138">
        <v>45986</v>
      </c>
      <c r="B52" s="129" t="s">
        <v>78</v>
      </c>
      <c r="C52" s="130" t="s">
        <v>222</v>
      </c>
      <c r="D52" s="129" t="s">
        <v>1</v>
      </c>
      <c r="E52" s="139">
        <v>1.0451388888888891</v>
      </c>
      <c r="F52" s="129" t="s">
        <v>80</v>
      </c>
      <c r="G52" s="131">
        <v>1</v>
      </c>
      <c r="H52" s="132">
        <v>401</v>
      </c>
    </row>
    <row r="53" spans="1:8" ht="19.8" customHeight="1" x14ac:dyDescent="0.3">
      <c r="A53" s="138">
        <v>45986</v>
      </c>
      <c r="B53" s="129" t="s">
        <v>26</v>
      </c>
      <c r="C53" s="130" t="s">
        <v>27</v>
      </c>
      <c r="D53" s="129" t="s">
        <v>1</v>
      </c>
      <c r="E53" s="139">
        <v>1.302083333333333</v>
      </c>
      <c r="F53" s="129" t="s">
        <v>28</v>
      </c>
      <c r="G53" s="131">
        <v>3</v>
      </c>
      <c r="H53" s="132">
        <v>419</v>
      </c>
    </row>
    <row r="54" spans="1:8" ht="19.8" customHeight="1" x14ac:dyDescent="0.3">
      <c r="A54" s="138">
        <v>45986</v>
      </c>
      <c r="B54" s="129" t="s">
        <v>26</v>
      </c>
      <c r="C54" s="130" t="s">
        <v>36</v>
      </c>
      <c r="D54" s="129" t="s">
        <v>1</v>
      </c>
      <c r="E54" s="139">
        <v>1.1284722222222221</v>
      </c>
      <c r="F54" s="129" t="s">
        <v>28</v>
      </c>
      <c r="G54" s="131">
        <v>10</v>
      </c>
      <c r="H54" s="132">
        <v>419</v>
      </c>
    </row>
    <row r="55" spans="1:8" ht="19.8" customHeight="1" x14ac:dyDescent="0.3">
      <c r="A55" s="138">
        <v>45986</v>
      </c>
      <c r="B55" s="129" t="s">
        <v>26</v>
      </c>
      <c r="C55" s="130" t="s">
        <v>42</v>
      </c>
      <c r="D55" s="129" t="s">
        <v>1</v>
      </c>
      <c r="E55" s="139">
        <v>1.788194444444444</v>
      </c>
      <c r="F55" s="129" t="s">
        <v>28</v>
      </c>
      <c r="G55" s="131">
        <v>9</v>
      </c>
      <c r="H55" s="132">
        <v>419</v>
      </c>
    </row>
    <row r="56" spans="1:8" ht="19.8" customHeight="1" x14ac:dyDescent="0.3">
      <c r="A56" s="138">
        <v>45986</v>
      </c>
      <c r="B56" s="129" t="s">
        <v>26</v>
      </c>
      <c r="C56" s="130" t="s">
        <v>39</v>
      </c>
      <c r="D56" s="129" t="s">
        <v>1</v>
      </c>
      <c r="E56" s="139">
        <v>1.8888888888888891</v>
      </c>
      <c r="F56" s="129" t="s">
        <v>28</v>
      </c>
      <c r="G56" s="131">
        <v>7</v>
      </c>
      <c r="H56" s="132">
        <v>419</v>
      </c>
    </row>
    <row r="57" spans="1:8" ht="19.8" customHeight="1" x14ac:dyDescent="0.3">
      <c r="A57" s="138">
        <v>45986</v>
      </c>
      <c r="B57" s="129" t="s">
        <v>47</v>
      </c>
      <c r="C57" s="130" t="s">
        <v>48</v>
      </c>
      <c r="D57" s="129" t="s">
        <v>1</v>
      </c>
      <c r="E57" s="139">
        <v>1.9027777777777779</v>
      </c>
      <c r="F57" s="129" t="s">
        <v>49</v>
      </c>
      <c r="G57" s="131">
        <v>3</v>
      </c>
      <c r="H57" s="132">
        <v>449</v>
      </c>
    </row>
    <row r="58" spans="1:8" ht="19.8" customHeight="1" x14ac:dyDescent="0.3">
      <c r="A58" s="138">
        <v>45986</v>
      </c>
      <c r="B58" s="129" t="s">
        <v>47</v>
      </c>
      <c r="C58" s="130" t="s">
        <v>56</v>
      </c>
      <c r="D58" s="129" t="s">
        <v>1</v>
      </c>
      <c r="E58" s="139">
        <v>1.5173611111111109</v>
      </c>
      <c r="F58" s="129" t="s">
        <v>49</v>
      </c>
      <c r="G58" s="131">
        <v>2</v>
      </c>
      <c r="H58" s="132">
        <v>449</v>
      </c>
    </row>
    <row r="59" spans="1:8" ht="19.8" customHeight="1" x14ac:dyDescent="0.3">
      <c r="A59" s="138">
        <v>45986</v>
      </c>
      <c r="B59" s="129" t="s">
        <v>47</v>
      </c>
      <c r="C59" s="130" t="s">
        <v>71</v>
      </c>
      <c r="D59" s="129" t="s">
        <v>1</v>
      </c>
      <c r="E59" s="139">
        <v>1.854166666666667</v>
      </c>
      <c r="F59" s="129" t="s">
        <v>49</v>
      </c>
      <c r="G59" s="131">
        <v>6</v>
      </c>
      <c r="H59" s="132">
        <v>449</v>
      </c>
    </row>
    <row r="60" spans="1:8" ht="19.8" customHeight="1" x14ac:dyDescent="0.3">
      <c r="A60" s="138">
        <v>45986</v>
      </c>
      <c r="B60" s="129" t="s">
        <v>47</v>
      </c>
      <c r="C60" s="130" t="s">
        <v>162</v>
      </c>
      <c r="D60" s="129" t="s">
        <v>1</v>
      </c>
      <c r="E60" s="139">
        <v>1.302083333333333</v>
      </c>
      <c r="F60" s="129" t="s">
        <v>49</v>
      </c>
      <c r="G60" s="131">
        <v>2</v>
      </c>
      <c r="H60" s="132">
        <v>449</v>
      </c>
    </row>
    <row r="61" spans="1:8" ht="19.8" customHeight="1" x14ac:dyDescent="0.3">
      <c r="A61" s="149">
        <v>45986</v>
      </c>
      <c r="B61" s="150" t="s">
        <v>47</v>
      </c>
      <c r="C61" s="151" t="s">
        <v>59</v>
      </c>
      <c r="D61" s="150" t="s">
        <v>1</v>
      </c>
      <c r="E61" s="152">
        <v>1.7986111111111109</v>
      </c>
      <c r="F61" s="150" t="s">
        <v>49</v>
      </c>
      <c r="G61" s="153">
        <v>5</v>
      </c>
      <c r="H61" s="173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5" t="s">
        <v>387</v>
      </c>
      <c r="B1" s="126" t="s">
        <v>8</v>
      </c>
      <c r="C1" s="126" t="s">
        <v>9</v>
      </c>
      <c r="D1" s="126" t="s">
        <v>388</v>
      </c>
      <c r="E1" s="126" t="s">
        <v>10</v>
      </c>
      <c r="F1" s="126" t="s">
        <v>11</v>
      </c>
      <c r="G1" s="126" t="s">
        <v>12</v>
      </c>
      <c r="H1" s="127" t="s">
        <v>13</v>
      </c>
    </row>
    <row r="2" spans="1:8" ht="19.8" customHeight="1" x14ac:dyDescent="0.3">
      <c r="A2" s="133" t="s">
        <v>389</v>
      </c>
      <c r="B2" s="134" t="s">
        <v>85</v>
      </c>
      <c r="C2" s="135" t="s">
        <v>508</v>
      </c>
      <c r="D2" s="134" t="s">
        <v>507</v>
      </c>
      <c r="E2" s="134" t="s">
        <v>539</v>
      </c>
      <c r="F2" s="134" t="s">
        <v>87</v>
      </c>
      <c r="G2" s="136">
        <v>7</v>
      </c>
      <c r="H2" s="148">
        <v>526</v>
      </c>
    </row>
    <row r="3" spans="1:8" ht="19.8" customHeight="1" x14ac:dyDescent="0.3">
      <c r="A3" s="141">
        <v>45983</v>
      </c>
      <c r="B3" s="134" t="s">
        <v>85</v>
      </c>
      <c r="C3" s="135" t="s">
        <v>513</v>
      </c>
      <c r="D3" s="134" t="s">
        <v>507</v>
      </c>
      <c r="E3" s="142">
        <v>1.6875</v>
      </c>
      <c r="F3" s="134" t="s">
        <v>87</v>
      </c>
      <c r="G3" s="136">
        <v>2</v>
      </c>
      <c r="H3" s="148">
        <v>526</v>
      </c>
    </row>
    <row r="4" spans="1:8" ht="19.8" customHeight="1" x14ac:dyDescent="0.3">
      <c r="A4" s="169"/>
      <c r="B4" s="170"/>
      <c r="C4" s="170"/>
      <c r="D4" s="170"/>
      <c r="E4" s="170"/>
      <c r="F4" s="171" t="s">
        <v>506</v>
      </c>
      <c r="G4" s="170"/>
      <c r="H4" s="172"/>
    </row>
    <row r="5" spans="1:8" ht="19.8" customHeight="1" x14ac:dyDescent="0.3">
      <c r="A5" s="138">
        <v>45983</v>
      </c>
      <c r="B5" s="129" t="s">
        <v>26</v>
      </c>
      <c r="C5" s="130" t="s">
        <v>27</v>
      </c>
      <c r="D5" s="129" t="s">
        <v>1</v>
      </c>
      <c r="E5" s="139">
        <v>1.302083333333333</v>
      </c>
      <c r="F5" s="129" t="s">
        <v>28</v>
      </c>
      <c r="G5" s="131">
        <v>1</v>
      </c>
      <c r="H5" s="132">
        <v>639</v>
      </c>
    </row>
    <row r="6" spans="1:8" ht="19.8" customHeight="1" x14ac:dyDescent="0.3">
      <c r="A6" s="138">
        <v>45983</v>
      </c>
      <c r="B6" s="129" t="s">
        <v>26</v>
      </c>
      <c r="C6" s="130" t="s">
        <v>36</v>
      </c>
      <c r="D6" s="129" t="s">
        <v>1</v>
      </c>
      <c r="E6" s="139">
        <v>1.1284722222222221</v>
      </c>
      <c r="F6" s="129" t="s">
        <v>28</v>
      </c>
      <c r="G6" s="131">
        <v>18</v>
      </c>
      <c r="H6" s="132">
        <v>639</v>
      </c>
    </row>
    <row r="7" spans="1:8" ht="19.8" customHeight="1" x14ac:dyDescent="0.3">
      <c r="A7" s="138">
        <v>45983</v>
      </c>
      <c r="B7" s="129" t="s">
        <v>26</v>
      </c>
      <c r="C7" s="130" t="s">
        <v>39</v>
      </c>
      <c r="D7" s="129" t="s">
        <v>1</v>
      </c>
      <c r="E7" s="139">
        <v>1.8888888888888891</v>
      </c>
      <c r="F7" s="129" t="s">
        <v>28</v>
      </c>
      <c r="G7" s="131">
        <v>9</v>
      </c>
      <c r="H7" s="132">
        <v>639</v>
      </c>
    </row>
    <row r="8" spans="1:8" ht="19.8" customHeight="1" x14ac:dyDescent="0.3">
      <c r="A8" s="138">
        <v>45983</v>
      </c>
      <c r="B8" s="129" t="s">
        <v>47</v>
      </c>
      <c r="C8" s="130" t="s">
        <v>48</v>
      </c>
      <c r="D8" s="129" t="s">
        <v>1</v>
      </c>
      <c r="E8" s="139">
        <v>1.9027777777777779</v>
      </c>
      <c r="F8" s="129" t="s">
        <v>49</v>
      </c>
      <c r="G8" s="131">
        <v>9</v>
      </c>
      <c r="H8" s="132">
        <v>669</v>
      </c>
    </row>
    <row r="9" spans="1:8" ht="19.8" customHeight="1" x14ac:dyDescent="0.3">
      <c r="A9" s="138">
        <v>45983</v>
      </c>
      <c r="B9" s="129" t="s">
        <v>47</v>
      </c>
      <c r="C9" s="130" t="s">
        <v>56</v>
      </c>
      <c r="D9" s="129" t="s">
        <v>1</v>
      </c>
      <c r="E9" s="139">
        <v>1.5173611111111109</v>
      </c>
      <c r="F9" s="129" t="s">
        <v>49</v>
      </c>
      <c r="G9" s="131">
        <v>1</v>
      </c>
      <c r="H9" s="132">
        <v>669</v>
      </c>
    </row>
    <row r="10" spans="1:8" ht="19.8" customHeight="1" x14ac:dyDescent="0.3">
      <c r="A10" s="138">
        <v>45983</v>
      </c>
      <c r="B10" s="129" t="s">
        <v>47</v>
      </c>
      <c r="C10" s="130" t="s">
        <v>58</v>
      </c>
      <c r="D10" s="129" t="s">
        <v>1</v>
      </c>
      <c r="E10" s="139">
        <v>1.395833333333333</v>
      </c>
      <c r="F10" s="129" t="s">
        <v>49</v>
      </c>
      <c r="G10" s="131">
        <v>9</v>
      </c>
      <c r="H10" s="132">
        <v>669</v>
      </c>
    </row>
    <row r="11" spans="1:8" ht="19.8" customHeight="1" x14ac:dyDescent="0.3">
      <c r="A11" s="138">
        <v>45983</v>
      </c>
      <c r="B11" s="129" t="s">
        <v>47</v>
      </c>
      <c r="C11" s="130" t="s">
        <v>59</v>
      </c>
      <c r="D11" s="129" t="s">
        <v>1</v>
      </c>
      <c r="E11" s="139">
        <v>1.7986111111111109</v>
      </c>
      <c r="F11" s="129" t="s">
        <v>49</v>
      </c>
      <c r="G11" s="131">
        <v>5</v>
      </c>
      <c r="H11" s="132">
        <v>669</v>
      </c>
    </row>
    <row r="12" spans="1:8" ht="19.8" customHeight="1" x14ac:dyDescent="0.3">
      <c r="A12" s="138">
        <v>45983</v>
      </c>
      <c r="B12" s="129" t="s">
        <v>26</v>
      </c>
      <c r="C12" s="130" t="s">
        <v>42</v>
      </c>
      <c r="D12" s="129" t="s">
        <v>1</v>
      </c>
      <c r="E12" s="139">
        <v>1.788194444444444</v>
      </c>
      <c r="F12" s="129" t="s">
        <v>28</v>
      </c>
      <c r="G12" s="131">
        <v>12</v>
      </c>
      <c r="H12" s="132">
        <v>689</v>
      </c>
    </row>
    <row r="13" spans="1:8" ht="19.8" customHeight="1" x14ac:dyDescent="0.3">
      <c r="A13" s="138">
        <v>45983</v>
      </c>
      <c r="B13" s="129" t="s">
        <v>72</v>
      </c>
      <c r="C13" s="130" t="s">
        <v>73</v>
      </c>
      <c r="D13" s="129" t="s">
        <v>1</v>
      </c>
      <c r="E13" s="139">
        <v>1.288194444444444</v>
      </c>
      <c r="F13" s="129" t="s">
        <v>74</v>
      </c>
      <c r="G13" s="131">
        <v>9</v>
      </c>
      <c r="H13" s="132">
        <v>701</v>
      </c>
    </row>
    <row r="14" spans="1:8" ht="19.8" customHeight="1" x14ac:dyDescent="0.3">
      <c r="A14" s="149">
        <v>45983</v>
      </c>
      <c r="B14" s="150" t="s">
        <v>72</v>
      </c>
      <c r="C14" s="151" t="s">
        <v>77</v>
      </c>
      <c r="D14" s="150" t="s">
        <v>1</v>
      </c>
      <c r="E14" s="152">
        <v>1.2152777777777779</v>
      </c>
      <c r="F14" s="150" t="s">
        <v>74</v>
      </c>
      <c r="G14" s="153">
        <v>9</v>
      </c>
      <c r="H14" s="173">
        <v>701</v>
      </c>
    </row>
    <row r="15" spans="1:8" ht="19.8" customHeight="1" x14ac:dyDescent="0.3">
      <c r="A15" s="141">
        <v>45984</v>
      </c>
      <c r="B15" s="134" t="s">
        <v>85</v>
      </c>
      <c r="C15" s="135" t="s">
        <v>513</v>
      </c>
      <c r="D15" s="134" t="s">
        <v>507</v>
      </c>
      <c r="E15" s="142">
        <v>1.850694444444444</v>
      </c>
      <c r="F15" s="134" t="s">
        <v>87</v>
      </c>
      <c r="G15" s="136">
        <v>6</v>
      </c>
      <c r="H15" s="148">
        <v>436</v>
      </c>
    </row>
    <row r="16" spans="1:8" ht="19.8" customHeight="1" x14ac:dyDescent="0.3">
      <c r="A16" s="141">
        <v>45984</v>
      </c>
      <c r="B16" s="134" t="s">
        <v>85</v>
      </c>
      <c r="C16" s="135" t="s">
        <v>526</v>
      </c>
      <c r="D16" s="134" t="s">
        <v>507</v>
      </c>
      <c r="E16" s="142">
        <v>1.7673611111111109</v>
      </c>
      <c r="F16" s="134" t="s">
        <v>87</v>
      </c>
      <c r="G16" s="136">
        <v>2</v>
      </c>
      <c r="H16" s="148">
        <v>436</v>
      </c>
    </row>
    <row r="17" spans="1:8" ht="19.8" customHeight="1" x14ac:dyDescent="0.3">
      <c r="A17" s="169"/>
      <c r="B17" s="170"/>
      <c r="C17" s="170"/>
      <c r="D17" s="170"/>
      <c r="E17" s="170"/>
      <c r="F17" s="171" t="s">
        <v>506</v>
      </c>
      <c r="G17" s="170"/>
      <c r="H17" s="172"/>
    </row>
    <row r="18" spans="1:8" ht="19.8" customHeight="1" x14ac:dyDescent="0.3">
      <c r="A18" s="138">
        <v>45984</v>
      </c>
      <c r="B18" s="129" t="s">
        <v>26</v>
      </c>
      <c r="C18" s="130" t="s">
        <v>42</v>
      </c>
      <c r="D18" s="129" t="s">
        <v>1</v>
      </c>
      <c r="E18" s="139">
        <v>1.788194444444444</v>
      </c>
      <c r="F18" s="129" t="s">
        <v>139</v>
      </c>
      <c r="G18" s="131">
        <v>1</v>
      </c>
      <c r="H18" s="132">
        <v>539</v>
      </c>
    </row>
    <row r="19" spans="1:8" ht="19.8" customHeight="1" x14ac:dyDescent="0.3">
      <c r="A19" s="138">
        <v>45984</v>
      </c>
      <c r="B19" s="129" t="s">
        <v>26</v>
      </c>
      <c r="C19" s="130" t="s">
        <v>39</v>
      </c>
      <c r="D19" s="129" t="s">
        <v>1</v>
      </c>
      <c r="E19" s="139">
        <v>1.8888888888888891</v>
      </c>
      <c r="F19" s="129" t="s">
        <v>139</v>
      </c>
      <c r="G19" s="131">
        <v>4</v>
      </c>
      <c r="H19" s="132">
        <v>539</v>
      </c>
    </row>
    <row r="20" spans="1:8" ht="19.8" customHeight="1" x14ac:dyDescent="0.3">
      <c r="A20" s="138">
        <v>45984</v>
      </c>
      <c r="B20" s="129" t="s">
        <v>85</v>
      </c>
      <c r="C20" s="130" t="s">
        <v>142</v>
      </c>
      <c r="D20" s="129" t="s">
        <v>1</v>
      </c>
      <c r="E20" s="139">
        <v>1.333333333333333</v>
      </c>
      <c r="F20" s="129" t="s">
        <v>87</v>
      </c>
      <c r="G20" s="131">
        <v>1</v>
      </c>
      <c r="H20" s="132">
        <v>586</v>
      </c>
    </row>
    <row r="21" spans="1:8" ht="19.8" customHeight="1" x14ac:dyDescent="0.3">
      <c r="A21" s="138">
        <v>45984</v>
      </c>
      <c r="B21" s="129" t="s">
        <v>26</v>
      </c>
      <c r="C21" s="130" t="s">
        <v>36</v>
      </c>
      <c r="D21" s="129" t="s">
        <v>1</v>
      </c>
      <c r="E21" s="139">
        <v>1.1284722222222221</v>
      </c>
      <c r="F21" s="129" t="s">
        <v>139</v>
      </c>
      <c r="G21" s="131">
        <v>3</v>
      </c>
      <c r="H21" s="132">
        <v>589</v>
      </c>
    </row>
    <row r="22" spans="1:8" ht="19.8" customHeight="1" x14ac:dyDescent="0.3">
      <c r="A22" s="138">
        <v>45984</v>
      </c>
      <c r="B22" s="129" t="s">
        <v>47</v>
      </c>
      <c r="C22" s="130" t="s">
        <v>62</v>
      </c>
      <c r="D22" s="129" t="s">
        <v>1</v>
      </c>
      <c r="E22" s="139">
        <v>1.256944444444444</v>
      </c>
      <c r="F22" s="129" t="s">
        <v>161</v>
      </c>
      <c r="G22" s="131">
        <v>1</v>
      </c>
      <c r="H22" s="132">
        <v>589</v>
      </c>
    </row>
    <row r="23" spans="1:8" ht="19.8" customHeight="1" x14ac:dyDescent="0.3">
      <c r="A23" s="138">
        <v>45984</v>
      </c>
      <c r="B23" s="129" t="s">
        <v>47</v>
      </c>
      <c r="C23" s="130" t="s">
        <v>48</v>
      </c>
      <c r="D23" s="129" t="s">
        <v>1</v>
      </c>
      <c r="E23" s="139">
        <v>1.9027777777777779</v>
      </c>
      <c r="F23" s="129" t="s">
        <v>161</v>
      </c>
      <c r="G23" s="131">
        <v>9</v>
      </c>
      <c r="H23" s="132">
        <v>589</v>
      </c>
    </row>
    <row r="24" spans="1:8" ht="19.8" customHeight="1" x14ac:dyDescent="0.3">
      <c r="A24" s="138">
        <v>45984</v>
      </c>
      <c r="B24" s="129" t="s">
        <v>47</v>
      </c>
      <c r="C24" s="130" t="s">
        <v>71</v>
      </c>
      <c r="D24" s="129" t="s">
        <v>1</v>
      </c>
      <c r="E24" s="139">
        <v>1.854166666666667</v>
      </c>
      <c r="F24" s="129" t="s">
        <v>161</v>
      </c>
      <c r="G24" s="131">
        <v>9</v>
      </c>
      <c r="H24" s="132">
        <v>589</v>
      </c>
    </row>
    <row r="25" spans="1:8" ht="19.8" customHeight="1" x14ac:dyDescent="0.3">
      <c r="A25" s="138">
        <v>45984</v>
      </c>
      <c r="B25" s="129" t="s">
        <v>47</v>
      </c>
      <c r="C25" s="130" t="s">
        <v>162</v>
      </c>
      <c r="D25" s="129" t="s">
        <v>1</v>
      </c>
      <c r="E25" s="139">
        <v>1.302083333333333</v>
      </c>
      <c r="F25" s="129" t="s">
        <v>161</v>
      </c>
      <c r="G25" s="131">
        <v>3</v>
      </c>
      <c r="H25" s="132">
        <v>589</v>
      </c>
    </row>
    <row r="26" spans="1:8" ht="19.8" customHeight="1" x14ac:dyDescent="0.3">
      <c r="A26" s="138">
        <v>45984</v>
      </c>
      <c r="B26" s="129" t="s">
        <v>47</v>
      </c>
      <c r="C26" s="130" t="s">
        <v>59</v>
      </c>
      <c r="D26" s="129" t="s">
        <v>1</v>
      </c>
      <c r="E26" s="139">
        <v>1.7986111111111109</v>
      </c>
      <c r="F26" s="129" t="s">
        <v>161</v>
      </c>
      <c r="G26" s="131">
        <v>9</v>
      </c>
      <c r="H26" s="132">
        <v>589</v>
      </c>
    </row>
    <row r="27" spans="1:8" ht="19.8" customHeight="1" x14ac:dyDescent="0.3">
      <c r="A27" s="149">
        <v>45984</v>
      </c>
      <c r="B27" s="150" t="s">
        <v>78</v>
      </c>
      <c r="C27" s="151" t="s">
        <v>79</v>
      </c>
      <c r="D27" s="150" t="s">
        <v>1</v>
      </c>
      <c r="E27" s="152">
        <v>1.666666666666667</v>
      </c>
      <c r="F27" s="150" t="s">
        <v>80</v>
      </c>
      <c r="G27" s="153">
        <v>2</v>
      </c>
      <c r="H27" s="173">
        <v>599</v>
      </c>
    </row>
    <row r="28" spans="1:8" ht="19.8" customHeight="1" x14ac:dyDescent="0.3">
      <c r="A28" s="141">
        <v>45985</v>
      </c>
      <c r="B28" s="134" t="s">
        <v>85</v>
      </c>
      <c r="C28" s="135" t="s">
        <v>508</v>
      </c>
      <c r="D28" s="134" t="s">
        <v>507</v>
      </c>
      <c r="E28" s="142">
        <v>1.854166666666667</v>
      </c>
      <c r="F28" s="134" t="s">
        <v>87</v>
      </c>
      <c r="G28" s="136">
        <v>3</v>
      </c>
      <c r="H28" s="148">
        <v>401</v>
      </c>
    </row>
    <row r="29" spans="1:8" ht="19.8" customHeight="1" x14ac:dyDescent="0.3">
      <c r="A29" s="141">
        <v>45985</v>
      </c>
      <c r="B29" s="134" t="s">
        <v>85</v>
      </c>
      <c r="C29" s="135" t="s">
        <v>526</v>
      </c>
      <c r="D29" s="134" t="s">
        <v>507</v>
      </c>
      <c r="E29" s="142">
        <v>1.2534722222222221</v>
      </c>
      <c r="F29" s="134" t="s">
        <v>87</v>
      </c>
      <c r="G29" s="136">
        <v>7</v>
      </c>
      <c r="H29" s="148">
        <v>401</v>
      </c>
    </row>
    <row r="30" spans="1:8" ht="19.8" customHeight="1" x14ac:dyDescent="0.3">
      <c r="A30" s="141">
        <v>45985</v>
      </c>
      <c r="B30" s="134" t="s">
        <v>85</v>
      </c>
      <c r="C30" s="135" t="s">
        <v>533</v>
      </c>
      <c r="D30" s="134" t="s">
        <v>507</v>
      </c>
      <c r="E30" s="142">
        <v>1.506944444444444</v>
      </c>
      <c r="F30" s="134" t="s">
        <v>87</v>
      </c>
      <c r="G30" s="136">
        <v>6</v>
      </c>
      <c r="H30" s="148">
        <v>436</v>
      </c>
    </row>
    <row r="31" spans="1:8" ht="19.8" customHeight="1" x14ac:dyDescent="0.3">
      <c r="A31" s="169"/>
      <c r="B31" s="170"/>
      <c r="C31" s="170"/>
      <c r="D31" s="170"/>
      <c r="E31" s="170"/>
      <c r="F31" s="171" t="s">
        <v>506</v>
      </c>
      <c r="G31" s="170"/>
      <c r="H31" s="172"/>
    </row>
    <row r="32" spans="1:8" ht="19.8" customHeight="1" x14ac:dyDescent="0.3">
      <c r="A32" s="138">
        <v>45985</v>
      </c>
      <c r="B32" s="129" t="s">
        <v>26</v>
      </c>
      <c r="C32" s="130" t="s">
        <v>36</v>
      </c>
      <c r="D32" s="129" t="s">
        <v>1</v>
      </c>
      <c r="E32" s="139">
        <v>1.1284722222222221</v>
      </c>
      <c r="F32" s="129" t="s">
        <v>28</v>
      </c>
      <c r="G32" s="131">
        <v>8</v>
      </c>
      <c r="H32" s="132">
        <v>459</v>
      </c>
    </row>
    <row r="33" spans="1:8" ht="19.8" customHeight="1" x14ac:dyDescent="0.3">
      <c r="A33" s="138">
        <v>45985</v>
      </c>
      <c r="B33" s="129" t="s">
        <v>26</v>
      </c>
      <c r="C33" s="130" t="s">
        <v>39</v>
      </c>
      <c r="D33" s="129" t="s">
        <v>1</v>
      </c>
      <c r="E33" s="139">
        <v>1.8888888888888891</v>
      </c>
      <c r="F33" s="129" t="s">
        <v>28</v>
      </c>
      <c r="G33" s="131">
        <v>2</v>
      </c>
      <c r="H33" s="132">
        <v>459</v>
      </c>
    </row>
    <row r="34" spans="1:8" ht="19.8" customHeight="1" x14ac:dyDescent="0.3">
      <c r="A34" s="138">
        <v>45985</v>
      </c>
      <c r="B34" s="129" t="s">
        <v>26</v>
      </c>
      <c r="C34" s="130" t="s">
        <v>27</v>
      </c>
      <c r="D34" s="129" t="s">
        <v>1</v>
      </c>
      <c r="E34" s="139">
        <v>1.302083333333333</v>
      </c>
      <c r="F34" s="129" t="s">
        <v>28</v>
      </c>
      <c r="G34" s="131">
        <v>10</v>
      </c>
      <c r="H34" s="132">
        <v>499</v>
      </c>
    </row>
    <row r="35" spans="1:8" ht="19.8" customHeight="1" x14ac:dyDescent="0.3">
      <c r="A35" s="138">
        <v>45985</v>
      </c>
      <c r="B35" s="129" t="s">
        <v>47</v>
      </c>
      <c r="C35" s="130" t="s">
        <v>62</v>
      </c>
      <c r="D35" s="129" t="s">
        <v>1</v>
      </c>
      <c r="E35" s="139">
        <v>1.256944444444444</v>
      </c>
      <c r="F35" s="129" t="s">
        <v>49</v>
      </c>
      <c r="G35" s="131">
        <v>8</v>
      </c>
      <c r="H35" s="132">
        <v>509</v>
      </c>
    </row>
    <row r="36" spans="1:8" ht="19.8" customHeight="1" x14ac:dyDescent="0.3">
      <c r="A36" s="138">
        <v>45985</v>
      </c>
      <c r="B36" s="129" t="s">
        <v>47</v>
      </c>
      <c r="C36" s="130" t="s">
        <v>48</v>
      </c>
      <c r="D36" s="129" t="s">
        <v>1</v>
      </c>
      <c r="E36" s="139">
        <v>1.9027777777777779</v>
      </c>
      <c r="F36" s="129" t="s">
        <v>49</v>
      </c>
      <c r="G36" s="131">
        <v>5</v>
      </c>
      <c r="H36" s="132">
        <v>509</v>
      </c>
    </row>
    <row r="37" spans="1:8" ht="19.8" customHeight="1" x14ac:dyDescent="0.3">
      <c r="A37" s="138">
        <v>45985</v>
      </c>
      <c r="B37" s="129" t="s">
        <v>47</v>
      </c>
      <c r="C37" s="130" t="s">
        <v>68</v>
      </c>
      <c r="D37" s="129" t="s">
        <v>1</v>
      </c>
      <c r="E37" s="139">
        <v>1.645833333333333</v>
      </c>
      <c r="F37" s="129" t="s">
        <v>49</v>
      </c>
      <c r="G37" s="131">
        <v>2</v>
      </c>
      <c r="H37" s="132">
        <v>509</v>
      </c>
    </row>
    <row r="38" spans="1:8" ht="19.8" customHeight="1" x14ac:dyDescent="0.3">
      <c r="A38" s="138">
        <v>45985</v>
      </c>
      <c r="B38" s="129" t="s">
        <v>47</v>
      </c>
      <c r="C38" s="130" t="s">
        <v>56</v>
      </c>
      <c r="D38" s="129" t="s">
        <v>1</v>
      </c>
      <c r="E38" s="139">
        <v>1.5173611111111109</v>
      </c>
      <c r="F38" s="129" t="s">
        <v>49</v>
      </c>
      <c r="G38" s="131">
        <v>6</v>
      </c>
      <c r="H38" s="132">
        <v>509</v>
      </c>
    </row>
    <row r="39" spans="1:8" ht="19.8" customHeight="1" x14ac:dyDescent="0.3">
      <c r="A39" s="138">
        <v>45985</v>
      </c>
      <c r="B39" s="129" t="s">
        <v>47</v>
      </c>
      <c r="C39" s="130" t="s">
        <v>71</v>
      </c>
      <c r="D39" s="129" t="s">
        <v>1</v>
      </c>
      <c r="E39" s="139">
        <v>1.854166666666667</v>
      </c>
      <c r="F39" s="129" t="s">
        <v>49</v>
      </c>
      <c r="G39" s="131">
        <v>3</v>
      </c>
      <c r="H39" s="132">
        <v>509</v>
      </c>
    </row>
    <row r="40" spans="1:8" ht="19.8" customHeight="1" x14ac:dyDescent="0.3">
      <c r="A40" s="138">
        <v>45985</v>
      </c>
      <c r="B40" s="129" t="s">
        <v>47</v>
      </c>
      <c r="C40" s="130" t="s">
        <v>59</v>
      </c>
      <c r="D40" s="129" t="s">
        <v>1</v>
      </c>
      <c r="E40" s="139">
        <v>1.7986111111111109</v>
      </c>
      <c r="F40" s="129" t="s">
        <v>49</v>
      </c>
      <c r="G40" s="131">
        <v>9</v>
      </c>
      <c r="H40" s="132">
        <v>509</v>
      </c>
    </row>
    <row r="41" spans="1:8" ht="19.8" customHeight="1" x14ac:dyDescent="0.3">
      <c r="A41" s="149">
        <v>45985</v>
      </c>
      <c r="B41" s="150" t="s">
        <v>47</v>
      </c>
      <c r="C41" s="151" t="s">
        <v>58</v>
      </c>
      <c r="D41" s="150" t="s">
        <v>1</v>
      </c>
      <c r="E41" s="152">
        <v>1.395833333333333</v>
      </c>
      <c r="F41" s="150" t="s">
        <v>49</v>
      </c>
      <c r="G41" s="153">
        <v>9</v>
      </c>
      <c r="H41" s="173">
        <v>549</v>
      </c>
    </row>
    <row r="42" spans="1:8" ht="19.8" customHeight="1" x14ac:dyDescent="0.3">
      <c r="A42" s="141">
        <v>45986</v>
      </c>
      <c r="B42" s="134" t="s">
        <v>85</v>
      </c>
      <c r="C42" s="135" t="s">
        <v>508</v>
      </c>
      <c r="D42" s="134" t="s">
        <v>507</v>
      </c>
      <c r="E42" s="142">
        <v>1.322916666666667</v>
      </c>
      <c r="F42" s="134" t="s">
        <v>87</v>
      </c>
      <c r="G42" s="136">
        <v>3</v>
      </c>
      <c r="H42" s="148">
        <v>781</v>
      </c>
    </row>
    <row r="43" spans="1:8" ht="19.8" customHeight="1" x14ac:dyDescent="0.3">
      <c r="A43" s="141">
        <v>45986</v>
      </c>
      <c r="B43" s="134" t="s">
        <v>85</v>
      </c>
      <c r="C43" s="135" t="s">
        <v>513</v>
      </c>
      <c r="D43" s="134" t="s">
        <v>507</v>
      </c>
      <c r="E43" s="142">
        <v>1.9513888888888891</v>
      </c>
      <c r="F43" s="134" t="s">
        <v>87</v>
      </c>
      <c r="G43" s="136">
        <v>4</v>
      </c>
      <c r="H43" s="148">
        <v>856</v>
      </c>
    </row>
    <row r="44" spans="1:8" ht="19.8" customHeight="1" x14ac:dyDescent="0.3">
      <c r="A44" s="138">
        <v>45986</v>
      </c>
      <c r="B44" s="129" t="s">
        <v>99</v>
      </c>
      <c r="C44" s="130" t="s">
        <v>516</v>
      </c>
      <c r="D44" s="129" t="s">
        <v>507</v>
      </c>
      <c r="E44" s="139">
        <v>1.322916666666667</v>
      </c>
      <c r="F44" s="129" t="s">
        <v>101</v>
      </c>
      <c r="G44" s="131">
        <v>4</v>
      </c>
      <c r="H44" s="132">
        <v>938</v>
      </c>
    </row>
    <row r="45" spans="1:8" ht="19.8" customHeight="1" x14ac:dyDescent="0.3">
      <c r="A45" s="169"/>
      <c r="B45" s="170"/>
      <c r="C45" s="170"/>
      <c r="D45" s="170"/>
      <c r="E45" s="170"/>
      <c r="F45" s="171" t="s">
        <v>506</v>
      </c>
      <c r="G45" s="170"/>
      <c r="H45" s="172"/>
    </row>
    <row r="46" spans="1:8" ht="19.8" customHeight="1" x14ac:dyDescent="0.3">
      <c r="A46" s="138">
        <v>45986</v>
      </c>
      <c r="B46" s="129" t="s">
        <v>78</v>
      </c>
      <c r="C46" s="130" t="s">
        <v>222</v>
      </c>
      <c r="D46" s="129" t="s">
        <v>1</v>
      </c>
      <c r="E46" s="139">
        <v>1.0451388888888891</v>
      </c>
      <c r="F46" s="129" t="s">
        <v>80</v>
      </c>
      <c r="G46" s="131">
        <v>1</v>
      </c>
      <c r="H46" s="132">
        <v>401</v>
      </c>
    </row>
    <row r="47" spans="1:8" ht="19.8" customHeight="1" x14ac:dyDescent="0.3">
      <c r="A47" s="138">
        <v>45986</v>
      </c>
      <c r="B47" s="129" t="s">
        <v>26</v>
      </c>
      <c r="C47" s="130" t="s">
        <v>27</v>
      </c>
      <c r="D47" s="129" t="s">
        <v>1</v>
      </c>
      <c r="E47" s="139">
        <v>1.302083333333333</v>
      </c>
      <c r="F47" s="129" t="s">
        <v>28</v>
      </c>
      <c r="G47" s="131">
        <v>3</v>
      </c>
      <c r="H47" s="132">
        <v>419</v>
      </c>
    </row>
    <row r="48" spans="1:8" ht="19.8" customHeight="1" x14ac:dyDescent="0.3">
      <c r="A48" s="138">
        <v>45986</v>
      </c>
      <c r="B48" s="129" t="s">
        <v>26</v>
      </c>
      <c r="C48" s="130" t="s">
        <v>36</v>
      </c>
      <c r="D48" s="129" t="s">
        <v>1</v>
      </c>
      <c r="E48" s="139">
        <v>1.1284722222222221</v>
      </c>
      <c r="F48" s="129" t="s">
        <v>28</v>
      </c>
      <c r="G48" s="131">
        <v>10</v>
      </c>
      <c r="H48" s="132">
        <v>419</v>
      </c>
    </row>
    <row r="49" spans="1:8" ht="19.8" customHeight="1" x14ac:dyDescent="0.3">
      <c r="A49" s="138">
        <v>45986</v>
      </c>
      <c r="B49" s="129" t="s">
        <v>26</v>
      </c>
      <c r="C49" s="130" t="s">
        <v>42</v>
      </c>
      <c r="D49" s="129" t="s">
        <v>1</v>
      </c>
      <c r="E49" s="139">
        <v>1.788194444444444</v>
      </c>
      <c r="F49" s="129" t="s">
        <v>28</v>
      </c>
      <c r="G49" s="131">
        <v>9</v>
      </c>
      <c r="H49" s="132">
        <v>419</v>
      </c>
    </row>
    <row r="50" spans="1:8" ht="19.8" customHeight="1" x14ac:dyDescent="0.3">
      <c r="A50" s="138">
        <v>45986</v>
      </c>
      <c r="B50" s="129" t="s">
        <v>26</v>
      </c>
      <c r="C50" s="130" t="s">
        <v>39</v>
      </c>
      <c r="D50" s="129" t="s">
        <v>1</v>
      </c>
      <c r="E50" s="139">
        <v>1.8888888888888891</v>
      </c>
      <c r="F50" s="129" t="s">
        <v>28</v>
      </c>
      <c r="G50" s="131">
        <v>7</v>
      </c>
      <c r="H50" s="132">
        <v>419</v>
      </c>
    </row>
    <row r="51" spans="1:8" ht="19.8" customHeight="1" x14ac:dyDescent="0.3">
      <c r="A51" s="138">
        <v>45986</v>
      </c>
      <c r="B51" s="129" t="s">
        <v>47</v>
      </c>
      <c r="C51" s="130" t="s">
        <v>48</v>
      </c>
      <c r="D51" s="129" t="s">
        <v>1</v>
      </c>
      <c r="E51" s="139">
        <v>1.9027777777777779</v>
      </c>
      <c r="F51" s="129" t="s">
        <v>49</v>
      </c>
      <c r="G51" s="131">
        <v>3</v>
      </c>
      <c r="H51" s="132">
        <v>449</v>
      </c>
    </row>
    <row r="52" spans="1:8" ht="19.8" customHeight="1" x14ac:dyDescent="0.3">
      <c r="A52" s="138">
        <v>45986</v>
      </c>
      <c r="B52" s="129" t="s">
        <v>47</v>
      </c>
      <c r="C52" s="130" t="s">
        <v>56</v>
      </c>
      <c r="D52" s="129" t="s">
        <v>1</v>
      </c>
      <c r="E52" s="139">
        <v>1.5173611111111109</v>
      </c>
      <c r="F52" s="129" t="s">
        <v>49</v>
      </c>
      <c r="G52" s="131">
        <v>2</v>
      </c>
      <c r="H52" s="132">
        <v>449</v>
      </c>
    </row>
    <row r="53" spans="1:8" ht="19.8" customHeight="1" x14ac:dyDescent="0.3">
      <c r="A53" s="138">
        <v>45986</v>
      </c>
      <c r="B53" s="129" t="s">
        <v>47</v>
      </c>
      <c r="C53" s="130" t="s">
        <v>71</v>
      </c>
      <c r="D53" s="129" t="s">
        <v>1</v>
      </c>
      <c r="E53" s="139">
        <v>1.854166666666667</v>
      </c>
      <c r="F53" s="129" t="s">
        <v>49</v>
      </c>
      <c r="G53" s="131">
        <v>6</v>
      </c>
      <c r="H53" s="132">
        <v>449</v>
      </c>
    </row>
    <row r="54" spans="1:8" ht="19.8" customHeight="1" x14ac:dyDescent="0.3">
      <c r="A54" s="138">
        <v>45986</v>
      </c>
      <c r="B54" s="129" t="s">
        <v>47</v>
      </c>
      <c r="C54" s="130" t="s">
        <v>162</v>
      </c>
      <c r="D54" s="129" t="s">
        <v>1</v>
      </c>
      <c r="E54" s="139">
        <v>1.302083333333333</v>
      </c>
      <c r="F54" s="129" t="s">
        <v>49</v>
      </c>
      <c r="G54" s="131">
        <v>2</v>
      </c>
      <c r="H54" s="132">
        <v>449</v>
      </c>
    </row>
    <row r="55" spans="1:8" ht="19.8" customHeight="1" x14ac:dyDescent="0.3">
      <c r="A55" s="149">
        <v>45986</v>
      </c>
      <c r="B55" s="150" t="s">
        <v>47</v>
      </c>
      <c r="C55" s="151" t="s">
        <v>59</v>
      </c>
      <c r="D55" s="150" t="s">
        <v>1</v>
      </c>
      <c r="E55" s="152">
        <v>1.7986111111111109</v>
      </c>
      <c r="F55" s="150" t="s">
        <v>49</v>
      </c>
      <c r="G55" s="153">
        <v>5</v>
      </c>
      <c r="H55" s="173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  <vt:lpstr>JED-HBE - OAL Threats Alert</vt:lpstr>
      <vt:lpstr>JED-ATZ</vt:lpstr>
      <vt:lpstr>JED-ATZ LF LEGACY</vt:lpstr>
      <vt:lpstr>JED-ATZ - FOCUS MODE</vt:lpstr>
      <vt:lpstr>JED-ATZ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2025-11-20T00:41:50Z</dcterms:created>
  <dcterms:modified xsi:type="dcterms:W3CDTF">2025-11-20T00:45:24Z</dcterms:modified>
</cp:coreProperties>
</file>