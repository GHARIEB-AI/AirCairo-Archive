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DE5A5D3F-8802-4412-B01E-B6A553013D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" i="1" l="1"/>
  <c r="E9" i="1"/>
  <c r="C9" i="1"/>
  <c r="AJ9" i="1"/>
</calcChain>
</file>

<file path=xl/sharedStrings.xml><?xml version="1.0" encoding="utf-8"?>
<sst xmlns="http://schemas.openxmlformats.org/spreadsheetml/2006/main" count="86" uniqueCount="61">
  <si>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</si>
  <si>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</si>
  <si>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</si>
  <si>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</si>
  <si>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</si>
  <si>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</si>
  <si>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</si>
  <si>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</si>
  <si>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</si>
  <si>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</si>
  <si>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</si>
  <si>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</si>
  <si>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</si>
  <si>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</si>
  <si>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</si>
  <si>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</si>
  <si>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</si>
  <si>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</si>
  <si>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</si>
  <si>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</si>
  <si>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</si>
  <si>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</si>
  <si>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</si>
  <si>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</si>
  <si>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</si>
  <si>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</si>
  <si>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</si>
  <si>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</si>
  <si>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</si>
  <si>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</si>
  <si>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</si>
  <si>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</si>
  <si>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</si>
  <si>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</si>
  <si>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</si>
  <si>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</si>
  <si>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FRIDAY</t>
  </si>
  <si>
    <t>SM424</t>
  </si>
  <si>
    <t>02:45</t>
  </si>
  <si>
    <t>JED-CAI</t>
  </si>
  <si>
    <t>320</t>
  </si>
  <si>
    <t>UPCOMING</t>
  </si>
  <si>
    <t>S9</t>
  </si>
  <si>
    <t>SM452</t>
  </si>
  <si>
    <t>10:00</t>
  </si>
  <si>
    <t>JED-HBE</t>
  </si>
  <si>
    <t>M1</t>
  </si>
  <si>
    <t>SM460</t>
  </si>
  <si>
    <t>22:30</t>
  </si>
  <si>
    <t>CLOSED</t>
  </si>
  <si>
    <t>SM472</t>
  </si>
  <si>
    <t>17:40</t>
  </si>
  <si>
    <t>SM476</t>
  </si>
  <si>
    <t>07:40</t>
  </si>
  <si>
    <t>W9</t>
  </si>
  <si>
    <t>SM478</t>
  </si>
  <si>
    <t>11:00</t>
  </si>
  <si>
    <t>SM480</t>
  </si>
  <si>
    <t>14:45</t>
  </si>
  <si>
    <t>W7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</si>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</sst>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4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40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5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:mm:ss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FEF9F8-D8AB-4E1F-B361-9D7A66F68348}" name="LF_ALL_ROUTES" displayName="LF_ALL_ROUTES" ref="A1:AJ9" totalsRowCount="1" headerRowDxfId="37" totalsRowDxfId="0">
  <autoFilter ref="A1:AJ8" xr:uid="{51FEF9F8-D8AB-4E1F-B361-9D7A66F68348}"/>
  <tableColumns count="36">
    <tableColumn id="1" xr3:uid="{5D1F14D1-51DE-4766-A7EE-50FB3A149570}" name="Day" totalsRowLabel="TOTAL" totalsRowDxfId="36"/>
    <tableColumn id="2" xr3:uid="{15EF1BA5-0911-4CAD-ACAB-64B99FEA52BB}" name="Flt Dt" dataDxfId="39" totalsRowDxfId="35"/>
    <tableColumn id="3" xr3:uid="{F096DE51-6F7C-4FAF-8043-724A96BC2882}" name="Flt" totalsRowFunction="count" totalsRowDxfId="34"/>
    <tableColumn id="4" xr3:uid="{6792AEB5-B0D9-4D66-91EC-2F4F0CA64B98}" name="DEP" totalsRowDxfId="33"/>
    <tableColumn id="5" xr3:uid="{11BAB344-6E1B-4660-A4C7-01F9B6DF5E9D}" name="Brd-Off" totalsRowFunction="count" totalsRowDxfId="32"/>
    <tableColumn id="6" xr3:uid="{2FE06263-8931-4BC6-AE8E-0DDCA4BE1963}" name="Eqp" totalsRowDxfId="31"/>
    <tableColumn id="7" xr3:uid="{FBDAE15B-8BFD-47C8-8E32-07D7644E200D}" name="LF%" totalsRowFunction="average" totalsRowDxfId="30"/>
    <tableColumn id="8" xr3:uid="{CAB167D6-56CA-4BD2-B076-7652223FCACD}" name="CAP" totalsRowDxfId="29"/>
    <tableColumn id="9" xr3:uid="{3E5B863B-37C5-466D-B542-6EDC5A2D0F05}" name="BKG(Y)" totalsRowDxfId="28"/>
    <tableColumn id="10" xr3:uid="{0CB454AE-C4D9-464F-8B78-394B530CB730}" name="GRP(Y)" totalsRowDxfId="27"/>
    <tableColumn id="11" xr3:uid="{D6D6A4A2-0CC5-46EB-A6E9-00CFE5DAA6DD}" name="FLT ST" totalsRowDxfId="26"/>
    <tableColumn id="12" xr3:uid="{AC830A13-EF6F-49AF-A729-31FF1D6B9A64}" name="LST-SOLD" dataDxfId="38" totalsRowDxfId="25"/>
    <tableColumn id="13" xr3:uid="{D7093D50-1EFA-4AF0-B75C-C9481A7A527E}" name="TO-DAY" totalsRowDxfId="24"/>
    <tableColumn id="14" xr3:uid="{BE8EAC9E-D6B5-4D98-808E-0F850C330CE2}" name="Y-DAY" totalsRowDxfId="23"/>
    <tableColumn id="15" xr3:uid="{EF005E1D-0D51-4E12-800B-3DC1FD780972}" name="WEEKLY" totalsRowDxfId="22"/>
    <tableColumn id="16" xr3:uid="{CF0AC6A1-EED7-4E4B-942F-4943F2909E44}" name="LOWEST AVAIL" totalsRowDxfId="21"/>
    <tableColumn id="17" xr3:uid="{119B6378-5370-4D93-9E02-381F94985D67}" name="Y" totalsRowDxfId="20"/>
    <tableColumn id="18" xr3:uid="{79C95842-A1D8-4000-83B7-CFA0E7282C25}" name="B" totalsRowDxfId="19"/>
    <tableColumn id="19" xr3:uid="{060C49A8-DAAB-4DE4-9F64-9746DEE128A6}" name="M" totalsRowDxfId="18"/>
    <tableColumn id="20" xr3:uid="{1867B161-AE41-4C5D-B89B-ED5884BCF3A7}" name="H" totalsRowDxfId="17"/>
    <tableColumn id="21" xr3:uid="{02234A60-4BB9-4F45-8CA7-18B48B80E286}" name="Q" totalsRowDxfId="16"/>
    <tableColumn id="22" xr3:uid="{B589C38D-9959-458A-9AC0-D300FD6B8995}" name="K" totalsRowDxfId="15"/>
    <tableColumn id="23" xr3:uid="{40D85918-51A5-42E5-BFA6-22E09311EFBB}" name="V" totalsRowDxfId="14"/>
    <tableColumn id="24" xr3:uid="{388092CA-96F2-4098-B23D-7EAC0A5CA5E8}" name="L" totalsRowDxfId="13"/>
    <tableColumn id="25" xr3:uid="{274D65C1-1313-4B8A-8964-D7806FDC30A9}" name="G" totalsRowDxfId="12"/>
    <tableColumn id="26" xr3:uid="{DEFF163F-9C7D-4E01-B5E3-10440F773C42}" name="S" totalsRowDxfId="11"/>
    <tableColumn id="27" xr3:uid="{9873CB91-8BF1-4F43-99AE-2744023D7070}" name="W" totalsRowDxfId="10"/>
    <tableColumn id="28" xr3:uid="{F74B0A45-F298-4952-B47C-7876E3861D8F}" name="T" totalsRowDxfId="9"/>
    <tableColumn id="29" xr3:uid="{D99E96A4-F765-457F-9E2D-33D93709D3A0}" name="X" totalsRowDxfId="8"/>
    <tableColumn id="30" xr3:uid="{305271D5-C345-47EC-BF11-21A1FDE0159C}" name="U" totalsRowDxfId="7"/>
    <tableColumn id="31" xr3:uid="{DFFB04C8-EC0C-4A3A-A0B6-58CC9EDD0EBE}" name="O" totalsRowDxfId="6"/>
    <tableColumn id="32" xr3:uid="{3621B336-B49C-4E75-8C24-515879D9C865}" name="I" totalsRowDxfId="5"/>
    <tableColumn id="33" xr3:uid="{2F473A3A-4AFC-453A-8857-D357131702C5}" name="E" totalsRowDxfId="4"/>
    <tableColumn id="34" xr3:uid="{086AFEE4-CB74-424E-9115-59D3540E6AB5}" name="A" totalsRowDxfId="3"/>
    <tableColumn id="35" xr3:uid="{8C368751-5018-4FB1-99C2-1BECFC7BD7D6}" name="P" totalsRowDxfId="2"/>
    <tableColumn id="36" xr3:uid="{2E6D4A27-1413-491E-A354-604A3AD64BA3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"/>
  <sheetViews>
    <sheetView tabSelected="1" workbookViewId="0"/>
  </sheetViews>
  <sheetFormatPr defaultRowHeight="14.4" outlineLevelCol="1" x14ac:dyDescent="0.3"/>
  <cols>
    <col min="1" max="1" width="8.6640625" bestFit="1" customWidth="1"/>
    <col min="2" max="2" width="17" bestFit="1" customWidth="1"/>
    <col min="3" max="3" width="7.44140625" bestFit="1" customWidth="1"/>
    <col min="4" max="4" width="8.77734375" bestFit="1" customWidth="1"/>
    <col min="5" max="5" width="11.6640625" bestFit="1" customWidth="1"/>
    <col min="6" max="7" width="8.6640625" bestFit="1" customWidth="1"/>
    <col min="9" max="10" width="11.21875" bestFit="1" customWidth="1"/>
    <col min="11" max="11" width="10.6640625" bestFit="1" customWidth="1"/>
    <col min="12" max="12" width="17" bestFit="1" customWidth="1"/>
    <col min="13" max="13" width="11.88671875" bestFit="1" customWidth="1" outlineLevel="1"/>
    <col min="14" max="14" width="10.5546875" bestFit="1" customWidth="1" outlineLevel="1"/>
    <col min="15" max="15" width="12.21875" bestFit="1" customWidth="1" outlineLevel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6.5546875" bestFit="1" customWidth="1"/>
    <col min="36" max="36" width="6.77734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s="2">
        <v>45982</v>
      </c>
      <c r="C2" t="s">
        <v>37</v>
      </c>
      <c r="D2" t="s">
        <v>38</v>
      </c>
      <c r="E2" t="s">
        <v>39</v>
      </c>
      <c r="F2" t="s">
        <v>40</v>
      </c>
      <c r="G2">
        <v>0.64249999999999996</v>
      </c>
      <c r="H2">
        <v>179</v>
      </c>
      <c r="I2">
        <v>115</v>
      </c>
      <c r="J2">
        <v>0</v>
      </c>
      <c r="K2" t="s">
        <v>41</v>
      </c>
      <c r="L2" s="2">
        <v>45981</v>
      </c>
      <c r="M2">
        <v>23</v>
      </c>
      <c r="N2">
        <v>4</v>
      </c>
      <c r="O2">
        <v>46</v>
      </c>
      <c r="P2" t="s">
        <v>42</v>
      </c>
      <c r="Q2">
        <v>0</v>
      </c>
      <c r="R2">
        <v>0</v>
      </c>
      <c r="S2">
        <v>0</v>
      </c>
      <c r="T2">
        <v>0</v>
      </c>
      <c r="U2">
        <v>0</v>
      </c>
      <c r="V2">
        <v>3</v>
      </c>
      <c r="W2">
        <v>30</v>
      </c>
      <c r="X2">
        <v>22</v>
      </c>
      <c r="Y2">
        <v>22</v>
      </c>
      <c r="Z2">
        <v>32</v>
      </c>
      <c r="AA2">
        <v>5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">
      <c r="A3" t="s">
        <v>36</v>
      </c>
      <c r="B3" s="2">
        <v>45982</v>
      </c>
      <c r="C3" t="s">
        <v>43</v>
      </c>
      <c r="D3" t="s">
        <v>44</v>
      </c>
      <c r="E3" t="s">
        <v>45</v>
      </c>
      <c r="F3" t="s">
        <v>40</v>
      </c>
      <c r="G3">
        <v>0.99439999999999995</v>
      </c>
      <c r="H3">
        <v>179</v>
      </c>
      <c r="I3">
        <v>178</v>
      </c>
      <c r="J3">
        <v>83</v>
      </c>
      <c r="K3" t="s">
        <v>41</v>
      </c>
      <c r="L3" s="2">
        <v>45980</v>
      </c>
      <c r="M3">
        <v>0</v>
      </c>
      <c r="N3">
        <v>1</v>
      </c>
      <c r="O3">
        <v>7</v>
      </c>
      <c r="P3" t="s">
        <v>46</v>
      </c>
      <c r="Q3">
        <v>0</v>
      </c>
      <c r="R3">
        <v>0</v>
      </c>
      <c r="S3">
        <v>0</v>
      </c>
      <c r="T3">
        <v>0</v>
      </c>
      <c r="U3">
        <v>5</v>
      </c>
      <c r="V3">
        <v>7</v>
      </c>
      <c r="W3">
        <v>0</v>
      </c>
      <c r="X3">
        <v>3</v>
      </c>
      <c r="Y3">
        <v>18</v>
      </c>
      <c r="Z3">
        <v>13</v>
      </c>
      <c r="AA3">
        <v>14</v>
      </c>
      <c r="AB3">
        <v>17</v>
      </c>
      <c r="AC3">
        <v>17</v>
      </c>
      <c r="AD3">
        <v>0</v>
      </c>
      <c r="AE3">
        <v>0</v>
      </c>
      <c r="AF3">
        <v>0</v>
      </c>
      <c r="AG3">
        <v>0</v>
      </c>
      <c r="AH3">
        <v>0</v>
      </c>
      <c r="AI3">
        <v>84</v>
      </c>
      <c r="AJ3">
        <v>0</v>
      </c>
    </row>
    <row r="4" spans="1:36" x14ac:dyDescent="0.3">
      <c r="A4" t="s">
        <v>36</v>
      </c>
      <c r="B4" s="2">
        <v>45982</v>
      </c>
      <c r="C4" t="s">
        <v>47</v>
      </c>
      <c r="D4" t="s">
        <v>48</v>
      </c>
      <c r="E4" t="s">
        <v>39</v>
      </c>
      <c r="F4" t="s">
        <v>40</v>
      </c>
      <c r="G4">
        <v>1.0115000000000001</v>
      </c>
      <c r="H4">
        <v>174</v>
      </c>
      <c r="I4">
        <v>176</v>
      </c>
      <c r="J4">
        <v>92</v>
      </c>
      <c r="K4" t="s">
        <v>41</v>
      </c>
      <c r="L4" s="2">
        <v>45979</v>
      </c>
      <c r="M4">
        <v>0</v>
      </c>
      <c r="N4">
        <v>0</v>
      </c>
      <c r="O4">
        <v>6</v>
      </c>
      <c r="P4" t="s">
        <v>49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7</v>
      </c>
      <c r="X4">
        <v>0</v>
      </c>
      <c r="Y4">
        <v>1</v>
      </c>
      <c r="Z4">
        <v>16</v>
      </c>
      <c r="AA4">
        <v>10</v>
      </c>
      <c r="AB4">
        <v>10</v>
      </c>
      <c r="AC4">
        <v>10</v>
      </c>
      <c r="AD4">
        <v>10</v>
      </c>
      <c r="AE4">
        <v>10</v>
      </c>
      <c r="AF4">
        <v>10</v>
      </c>
      <c r="AG4">
        <v>0</v>
      </c>
      <c r="AH4">
        <v>0</v>
      </c>
      <c r="AI4">
        <v>92</v>
      </c>
      <c r="AJ4">
        <v>0</v>
      </c>
    </row>
    <row r="5" spans="1:36" x14ac:dyDescent="0.3">
      <c r="A5" t="s">
        <v>36</v>
      </c>
      <c r="B5" s="2">
        <v>45982</v>
      </c>
      <c r="C5" t="s">
        <v>50</v>
      </c>
      <c r="D5" t="s">
        <v>51</v>
      </c>
      <c r="E5" t="s">
        <v>39</v>
      </c>
      <c r="F5" t="s">
        <v>40</v>
      </c>
      <c r="G5">
        <v>0.56220000000000003</v>
      </c>
      <c r="H5">
        <v>185</v>
      </c>
      <c r="I5">
        <v>104</v>
      </c>
      <c r="J5">
        <v>0</v>
      </c>
      <c r="K5" t="s">
        <v>41</v>
      </c>
      <c r="L5" s="2">
        <v>45981</v>
      </c>
      <c r="M5">
        <v>8</v>
      </c>
      <c r="N5">
        <v>1</v>
      </c>
      <c r="O5">
        <v>22</v>
      </c>
      <c r="P5" t="s">
        <v>42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21</v>
      </c>
      <c r="X5">
        <v>17</v>
      </c>
      <c r="Y5">
        <v>22</v>
      </c>
      <c r="Z5">
        <v>39</v>
      </c>
      <c r="AA5">
        <v>5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3">
      <c r="A6" t="s">
        <v>36</v>
      </c>
      <c r="B6" s="2">
        <v>45982</v>
      </c>
      <c r="C6" t="s">
        <v>52</v>
      </c>
      <c r="D6" t="s">
        <v>53</v>
      </c>
      <c r="E6" t="s">
        <v>39</v>
      </c>
      <c r="F6" t="s">
        <v>40</v>
      </c>
      <c r="G6">
        <v>0.64249999999999996</v>
      </c>
      <c r="H6">
        <v>179</v>
      </c>
      <c r="I6">
        <v>115</v>
      </c>
      <c r="J6">
        <v>1</v>
      </c>
      <c r="K6" t="s">
        <v>41</v>
      </c>
      <c r="L6" s="2">
        <v>45981</v>
      </c>
      <c r="M6">
        <v>8</v>
      </c>
      <c r="N6">
        <v>0</v>
      </c>
      <c r="O6">
        <v>20</v>
      </c>
      <c r="P6" t="s">
        <v>54</v>
      </c>
      <c r="Q6">
        <v>0</v>
      </c>
      <c r="R6">
        <v>0</v>
      </c>
      <c r="S6">
        <v>0</v>
      </c>
      <c r="T6">
        <v>0</v>
      </c>
      <c r="U6">
        <v>0</v>
      </c>
      <c r="V6">
        <v>6</v>
      </c>
      <c r="W6">
        <v>30</v>
      </c>
      <c r="X6">
        <v>15</v>
      </c>
      <c r="Y6">
        <v>17</v>
      </c>
      <c r="Z6">
        <v>11</v>
      </c>
      <c r="AA6">
        <v>13</v>
      </c>
      <c r="AB6">
        <v>2</v>
      </c>
      <c r="AC6">
        <v>5</v>
      </c>
      <c r="AD6">
        <v>6</v>
      </c>
      <c r="AE6">
        <v>4</v>
      </c>
      <c r="AF6">
        <v>5</v>
      </c>
      <c r="AG6">
        <v>0</v>
      </c>
      <c r="AH6">
        <v>0</v>
      </c>
      <c r="AI6">
        <v>1</v>
      </c>
      <c r="AJ6">
        <v>0</v>
      </c>
    </row>
    <row r="7" spans="1:36" x14ac:dyDescent="0.3">
      <c r="A7" t="s">
        <v>36</v>
      </c>
      <c r="B7" s="2">
        <v>45982</v>
      </c>
      <c r="C7" t="s">
        <v>55</v>
      </c>
      <c r="D7" t="s">
        <v>56</v>
      </c>
      <c r="E7" t="s">
        <v>39</v>
      </c>
      <c r="F7" t="s">
        <v>40</v>
      </c>
      <c r="G7">
        <v>0.68110000000000004</v>
      </c>
      <c r="H7">
        <v>185</v>
      </c>
      <c r="I7">
        <v>126</v>
      </c>
      <c r="J7">
        <v>0</v>
      </c>
      <c r="K7" t="s">
        <v>41</v>
      </c>
      <c r="L7" s="2">
        <v>45981</v>
      </c>
      <c r="M7">
        <v>22</v>
      </c>
      <c r="N7">
        <v>7</v>
      </c>
      <c r="O7">
        <v>34</v>
      </c>
      <c r="P7" t="s">
        <v>42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20</v>
      </c>
      <c r="X7">
        <v>23</v>
      </c>
      <c r="Y7">
        <v>24</v>
      </c>
      <c r="Z7">
        <v>47</v>
      </c>
      <c r="AA7">
        <v>12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">
      <c r="A8" t="s">
        <v>36</v>
      </c>
      <c r="B8" s="2">
        <v>45982</v>
      </c>
      <c r="C8" t="s">
        <v>57</v>
      </c>
      <c r="D8" t="s">
        <v>58</v>
      </c>
      <c r="E8" t="s">
        <v>39</v>
      </c>
      <c r="F8" t="s">
        <v>40</v>
      </c>
      <c r="G8">
        <v>0.58099999999999996</v>
      </c>
      <c r="H8">
        <v>179</v>
      </c>
      <c r="I8">
        <v>104</v>
      </c>
      <c r="J8">
        <v>0</v>
      </c>
      <c r="K8" t="s">
        <v>41</v>
      </c>
      <c r="L8" s="2">
        <v>45981</v>
      </c>
      <c r="M8">
        <v>8</v>
      </c>
      <c r="N8">
        <v>1</v>
      </c>
      <c r="O8">
        <v>28</v>
      </c>
      <c r="P8" t="s">
        <v>59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16</v>
      </c>
      <c r="X8">
        <v>45</v>
      </c>
      <c r="Y8">
        <v>17</v>
      </c>
      <c r="Z8">
        <v>13</v>
      </c>
      <c r="AA8">
        <v>13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ht="18" x14ac:dyDescent="0.35">
      <c r="A9" s="3" t="s">
        <v>60</v>
      </c>
      <c r="B9" s="4"/>
      <c r="C9" s="3">
        <f>SUBTOTAL(103,LF_ALL_ROUTES[Flt])</f>
        <v>7</v>
      </c>
      <c r="D9" s="3"/>
      <c r="E9" s="3">
        <f>SUBTOTAL(103,LF_ALL_ROUTES[Brd-Off])</f>
        <v>7</v>
      </c>
      <c r="F9" s="3"/>
      <c r="G9" s="5">
        <f>SUBTOTAL(101,LF_ALL_ROUTES[LF%])</f>
        <v>0.73074285714285714</v>
      </c>
      <c r="H9" s="3"/>
      <c r="I9" s="3"/>
      <c r="J9" s="3"/>
      <c r="K9" s="3"/>
      <c r="L9" s="4"/>
      <c r="M9" s="3"/>
      <c r="N9" s="3"/>
      <c r="O9" s="3"/>
      <c r="P9" s="3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>
        <f>SUBTOTAL(109,LF_ALL_ROUTES[N])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2025-11-20T14:06:11Z</dcterms:created>
  <dcterms:modified xsi:type="dcterms:W3CDTF">2025-11-20T14:06:12Z</dcterms:modified>
</cp:coreProperties>
</file>