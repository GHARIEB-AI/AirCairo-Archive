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504A363-D6FB-4BCC-BD8E-23CC93C8D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  <sheet name="JED-ATZ" sheetId="8" r:id="rId8"/>
    <sheet name="JED-ATZ LF LEGACY" sheetId="9" r:id="rId9"/>
    <sheet name="JED-ATZ - FOCUS MO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9" l="1"/>
  <c r="E14" i="9"/>
  <c r="G14" i="9"/>
  <c r="H14" i="9"/>
  <c r="I14" i="9"/>
  <c r="J14" i="9"/>
  <c r="M14" i="9"/>
  <c r="N14" i="9"/>
  <c r="O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C12" i="6"/>
  <c r="E12" i="6"/>
  <c r="G12" i="6"/>
  <c r="H12" i="6"/>
  <c r="I12" i="6"/>
  <c r="J12" i="6"/>
  <c r="M12" i="6"/>
  <c r="N12" i="6"/>
  <c r="O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C32" i="2"/>
  <c r="E32" i="2"/>
  <c r="G32" i="2"/>
  <c r="H32" i="2"/>
  <c r="I32" i="2"/>
  <c r="J32" i="2"/>
  <c r="M32" i="2"/>
  <c r="N32" i="2"/>
  <c r="O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7" authorId="0" shapeId="0" xr:uid="{FF0AFB1D-89D2-481D-AAD9-B07B61908A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X4 &amp; U5 &amp; O10 &amp; I15 &amp; P86</t>
        </r>
      </text>
    </comment>
    <comment ref="F8" authorId="0" shapeId="0" xr:uid="{EAE11149-7D4F-41D3-BF41-381F26895A0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X3 &amp; U10 &amp; O14 &amp; I30</t>
        </r>
      </text>
    </comment>
    <comment ref="F9" authorId="0" shapeId="0" xr:uid="{8BFA16DB-9B73-4DF5-B509-8F218B47270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U10 &amp; O18 &amp; I30 &amp; P46</t>
        </r>
      </text>
    </comment>
    <comment ref="F10" authorId="0" shapeId="0" xr:uid="{28BA3A66-425B-4996-A5EF-C39E9DE4E85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X7 &amp; U13 &amp; O29 &amp; I15 &amp; P82</t>
        </r>
      </text>
    </comment>
    <comment ref="F14" authorId="0" shapeId="0" xr:uid="{FE864E56-0A48-419A-9FAA-D50A71F965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X4 &amp; U16 &amp; O15 &amp; I9 &amp; P116</t>
        </r>
      </text>
    </comment>
    <comment ref="F75" authorId="0" shapeId="0" xr:uid="{9B9AC8E9-537F-43D1-80AD-1FDB651ECB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U15 &amp; O15 &amp; I15 &amp; P117 &amp; N3</t>
        </r>
      </text>
    </comment>
    <comment ref="F78" authorId="0" shapeId="0" xr:uid="{F678EBE6-9202-430B-9403-91E8F47DB5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10]_x000D_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 &amp; U7 &amp; O18 &amp; I51 &amp; P47</t>
        </r>
      </text>
    </comment>
    <comment ref="F79" authorId="0" shapeId="0" xr:uid="{BFE9AF8C-00F9-4570-AEF2-F279BC50E7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O21 &amp; I45</t>
        </r>
      </text>
    </comment>
    <comment ref="F85" authorId="0" shapeId="0" xr:uid="{C61CEB8F-DC5C-4262-9E64-7668DF0D48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U17 &amp; O18 &amp; I25 &amp; P45 &amp; N2</t>
        </r>
      </text>
    </comment>
    <comment ref="F154" authorId="0" shapeId="0" xr:uid="{B39CC084-58B2-4DA8-8FBF-ECCFE976FBC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O6 &amp; I38</t>
        </r>
      </text>
    </comment>
    <comment ref="F155" authorId="0" shapeId="0" xr:uid="{B26F600B-4E22-4AF6-8E18-3F921044A83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I27 &amp; E28 &amp; N1</t>
        </r>
      </text>
    </comment>
    <comment ref="F156" authorId="0" shapeId="0" xr:uid="{E5873271-8ABA-4E9F-8B72-8DEFA2120EE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U3 &amp; O22 &amp; I23 &amp; P89</t>
        </r>
      </text>
    </comment>
    <comment ref="F157" authorId="0" shapeId="0" xr:uid="{F0C825BD-7F95-44B0-94B7-7617824FF4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U4 &amp; O25 &amp; I17 &amp; E44 &amp; N2</t>
        </r>
      </text>
    </comment>
    <comment ref="F162" authorId="0" shapeId="0" xr:uid="{5C9DDB97-563F-466E-B6FF-08A9B77A4E4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 &amp; P84</t>
        </r>
      </text>
    </comment>
    <comment ref="F163" authorId="0" shapeId="0" xr:uid="{A09C33AB-962D-4D0E-9C42-FE1C5868A1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U4 &amp; O11 &amp; I30</t>
        </r>
      </text>
    </comment>
    <comment ref="F164" authorId="0" shapeId="0" xr:uid="{C49FAB18-3160-4FDB-B8BE-6C1B4E7C2F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 &amp; I10 &amp; P132</t>
        </r>
      </text>
    </comment>
    <comment ref="F228" authorId="0" shapeId="0" xr:uid="{8D0307ED-0E17-4F06-BDF7-A071D58BA0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B1 &amp; U4 &amp; O9 &amp; I31</t>
        </r>
      </text>
    </comment>
    <comment ref="F229" authorId="0" shapeId="0" xr:uid="{1B1D4A54-6171-4E4E-BEC7-06BA4E1736E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U11 &amp; O27 &amp; I21 &amp; N2</t>
        </r>
      </text>
    </comment>
    <comment ref="F230" authorId="0" shapeId="0" xr:uid="{7FCA771E-EFCE-486A-92AE-CE07FDBAD97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O9 &amp; I36</t>
        </r>
      </text>
    </comment>
    <comment ref="F231" authorId="0" shapeId="0" xr:uid="{B33BE4E9-4B0D-4C56-929C-7C48B5FC28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O18 &amp; I8 &amp; P39</t>
        </r>
      </text>
    </comment>
    <comment ref="F232" authorId="0" shapeId="0" xr:uid="{2ECDCED7-7BEB-42D4-8A21-D8010977BE4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9]_x000D_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G1 &amp; S1 &amp; U3 &amp; O29 &amp; I13 &amp; P68</t>
        </r>
      </text>
    </comment>
    <comment ref="F243" authorId="0" shapeId="0" xr:uid="{117B00B9-FC24-415F-BB04-A2068CF3581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W3 &amp; U13 &amp; O20 &amp; I10 &amp; P114</t>
        </r>
      </text>
    </comment>
    <comment ref="F298" authorId="0" shapeId="0" xr:uid="{9322C8E3-5924-4B6B-917F-51F32765AA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W1 &amp; X3 &amp; U4 &amp; O29 &amp; I17 &amp; P73</t>
        </r>
      </text>
    </comment>
    <comment ref="F299" authorId="0" shapeId="0" xr:uid="{A31910E1-7D8A-4048-8E1A-F0799603DA9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 &amp; U10 &amp; O14 &amp; I9 &amp; E3 &amp; P95</t>
        </r>
      </text>
    </comment>
    <comment ref="F303" authorId="0" shapeId="0" xr:uid="{3FE634B2-2820-45B0-87C1-6D930CAD21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T9 &amp; X9 &amp; O7 &amp; P102 &amp; N10</t>
        </r>
      </text>
    </comment>
    <comment ref="F365" authorId="0" shapeId="0" xr:uid="{0B6DAAB2-7C1A-4765-8518-6E98ABDD2C0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8]_x000D_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O28 &amp; I26 &amp; P47</t>
        </r>
      </text>
    </comment>
    <comment ref="F372" authorId="0" shapeId="0" xr:uid="{606FAF70-4481-457C-8C84-46564394F6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W2 &amp; X3 &amp; U10 &amp; O1 &amp; I1 &amp; P95</t>
        </r>
      </text>
    </comment>
    <comment ref="F373" authorId="0" shapeId="0" xr:uid="{A195D9ED-15BA-4388-81EA-9CE0A783E8B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O10 &amp; I5 &amp; P83</t>
        </r>
      </text>
    </comment>
    <comment ref="F384" authorId="0" shapeId="0" xr:uid="{0DC69E3F-6669-442B-A019-CB6FCA48F1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O4 &amp; I5 &amp; P157</t>
        </r>
      </text>
    </comment>
    <comment ref="F436" authorId="0" shapeId="0" xr:uid="{2231D5BF-953D-4C4C-98A1-3925EF54B27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K1 &amp; S4 &amp; X7 &amp; U8 &amp; O8 &amp; I8 &amp; E43 &amp; P90 &amp; N2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3" authorId="0" shapeId="0" xr:uid="{3F0AF026-699C-4F48-93D2-62AD659007E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S1 &amp; X11 &amp; P159</t>
        </r>
      </text>
    </comment>
    <comment ref="F32" authorId="0" shapeId="0" xr:uid="{2EAEA57A-B222-4A55-A0E3-25B3D386DD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W14 &amp; X7 &amp; U6 &amp; O7 &amp; I6 &amp; P129</t>
        </r>
      </text>
    </comment>
    <comment ref="F34" authorId="0" shapeId="0" xr:uid="{9CF6FB5C-2458-4746-BA12-1A74CBCFAE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G5 &amp; S3 &amp; X2 &amp; P159</t>
        </r>
      </text>
    </comment>
    <comment ref="F37" authorId="0" shapeId="0" xr:uid="{B1F6D504-62DC-4FBE-A0E9-F1D0AE9142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S5 &amp; W10 &amp; X7 &amp; U8 &amp; O10 &amp; I9 &amp; P126</t>
        </r>
      </text>
    </comment>
    <comment ref="F58" authorId="0" shapeId="0" xr:uid="{8C318F45-129D-4901-9AA8-32460D02EBF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S1 &amp; X1 &amp; P171</t>
        </r>
      </text>
    </comment>
    <comment ref="F73" authorId="0" shapeId="0" xr:uid="{391FAB51-9A1B-4E0F-A583-D3EAE0981F2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46.4%]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W14 &amp; T17 &amp; X27 &amp; U15</t>
        </r>
      </text>
    </comment>
    <comment ref="F94" authorId="0" shapeId="0" xr:uid="{C9F0EB97-39CC-4F95-A66B-AED7AA949A1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S11 &amp; X7 &amp; U7 &amp; O6 &amp; I8 &amp; P119</t>
        </r>
      </text>
    </comment>
    <comment ref="F95" authorId="0" shapeId="0" xr:uid="{085E1D80-E664-4DD3-AF05-7985DB497D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S3 &amp; T1 &amp; X17 &amp; P139</t>
        </r>
      </text>
    </comment>
    <comment ref="F113" authorId="0" shapeId="0" xr:uid="{C09F33C9-3323-4B5A-8800-DD5B73C952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S3 &amp; W4 &amp; T7 &amp; X10 &amp; P138 &amp; N2</t>
        </r>
      </text>
    </comment>
    <comment ref="F115" authorId="0" shapeId="0" xr:uid="{A3803E53-ECB3-4C55-B41E-7BAFEDD176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X4 &amp; U7 &amp; O8 &amp; I8 &amp; P137 &amp; N1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C04198A1-3CAA-4E05-AE43-C025591F66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U8 &amp; P155</t>
        </r>
      </text>
    </comment>
    <comment ref="F3" authorId="0" shapeId="0" xr:uid="{F8DA3504-345C-45E3-AB7A-6B2DC96639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L4]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S1 &amp; X3 &amp; I3 &amp; P167</t>
        </r>
      </text>
    </comment>
    <comment ref="F19" authorId="0" shapeId="0" xr:uid="{2EB6149A-D280-4339-A264-702A9AC2AF8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O9 &amp; I18 &amp; E43 &amp; P41</t>
        </r>
      </text>
    </comment>
    <comment ref="F20" authorId="0" shapeId="0" xr:uid="{D8A71939-6B0D-4A9C-AE52-5C49A8C191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U7 &amp; O11 &amp; I16 &amp; E30 &amp; P78</t>
        </r>
      </text>
    </comment>
    <comment ref="F34" authorId="0" shapeId="0" xr:uid="{DC7B9907-8469-4749-A246-10E0E0CD450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U6 &amp; O2 &amp; I16</t>
        </r>
      </text>
    </comment>
    <comment ref="F35" authorId="0" shapeId="0" xr:uid="{164501E0-620E-41D6-90C3-A70DA10E356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O8 &amp; I9 &amp; E1 &amp; P95</t>
        </r>
      </text>
    </comment>
    <comment ref="F36" authorId="0" shapeId="0" xr:uid="{FD481267-1625-4FD5-94FE-C7601FAC50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T2 &amp; X2 &amp; U9 &amp; O5 &amp; I19 &amp; P44</t>
        </r>
      </text>
    </comment>
    <comment ref="F49" authorId="0" shapeId="0" xr:uid="{499B4E3F-8C5E-4DAF-92DD-B6D3FBC42F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W1 &amp; X6 &amp; U11 &amp; O20 &amp; I40 &amp; P2</t>
        </r>
      </text>
    </comment>
    <comment ref="F61" authorId="0" shapeId="0" xr:uid="{84AD329F-19F7-44F3-993D-D1A320418A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W1 &amp; X12 &amp; U2 &amp; O2 &amp; I4 &amp; P95</t>
        </r>
      </text>
    </comment>
    <comment ref="F62" authorId="0" shapeId="0" xr:uid="{F11EE4A9-298D-4F3E-AD19-2793EA4E4E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W1 &amp; T2 &amp; X1 &amp; U12 &amp; I4 &amp; P135</t>
        </r>
      </text>
    </comment>
    <comment ref="F76" authorId="0" shapeId="0" xr:uid="{E0405420-0C4F-4DC0-947D-8AC1847A94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W2 &amp; X5 &amp; U7 &amp; I24 &amp; E45</t>
        </r>
      </text>
    </comment>
    <comment ref="F78" authorId="0" shapeId="0" xr:uid="{4AF545BD-ECDB-408B-B15C-1AF420955A5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X4 &amp; U14 &amp; O2 &amp; I20 &amp; P75</t>
        </r>
      </text>
    </comment>
  </commentList>
</comments>
</file>

<file path=xl/sharedStrings.xml><?xml version="1.0" encoding="utf-8"?>
<sst xmlns="http://schemas.openxmlformats.org/spreadsheetml/2006/main" count="8701" uniqueCount="672">
  <si>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</si>
  <si>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</si>
  <si>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</si>
  <si>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</si>
  <si>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</si>
  <si>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</si>
  <si>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</si>
  <si>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</si>
  <si>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</si>
  <si>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</si>
  <si>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</si>
  <si>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</si>
  <si>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</si>
  <si>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</si>
  <si>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</si>
  <si>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</si>
  <si>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</si>
  <si>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</si>
  <si>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</si>
  <si>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</si>
  <si>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</si>
  <si>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</si>
  <si>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</si>
  <si>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</si>
  <si>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</si>
  <si>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</si>
  <si>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</si>
  <si>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NP-228</t>
  </si>
  <si>
    <t>Cabin: 7 KG | Check-in: 30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</si>
  <si>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</si>
  <si>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401 SAR</t>
  </si>
  <si>
    <t>NP-328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</si>
  <si>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</si>
  <si>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NP-128</t>
  </si>
  <si>
    <t>599 SAR</t>
  </si>
  <si>
    <t>flyadeal</t>
  </si>
  <si>
    <t>F3-753</t>
  </si>
  <si>
    <t>Check-in: 15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</si>
  <si>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</si>
  <si>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419 SAR</t>
  </si>
  <si>
    <t>Cabin: 10 KG / Check-in: 25 KG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</si>
  <si>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</si>
  <si>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569 SAR</t>
  </si>
  <si>
    <t>Cabin: 10 KG / Check-in: 2 x 40 KG</t>
  </si>
  <si>
    <t>1,099 SAR</t>
  </si>
  <si>
    <t>F3-761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</si>
  <si>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</si>
  <si>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</si>
  <si>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</si>
  <si>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</si>
  <si>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F3-755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</si>
  <si>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</si>
  <si>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459 SAR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</si>
  <si>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</si>
  <si>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609 SAR</t>
  </si>
  <si>
    <t>Air Cairo</t>
  </si>
  <si>
    <t>SM-424</t>
  </si>
  <si>
    <t>Cabin: 7 KG | Check-in: 40 KG</t>
  </si>
  <si>
    <t>436 SAR</t>
  </si>
  <si>
    <t>SM424</t>
  </si>
  <si>
    <t>O9</t>
  </si>
  <si>
    <t>S2 &amp; X4 &amp; U5 &amp; O10 &amp; I15 &amp; P86</t>
  </si>
  <si>
    <t>SM-472</t>
  </si>
  <si>
    <t>SM472</t>
  </si>
  <si>
    <t>S8 &amp; X3 &amp; U10 &amp; O14 &amp; I30</t>
  </si>
  <si>
    <t>SM-476</t>
  </si>
  <si>
    <t>SM476</t>
  </si>
  <si>
    <t>X1 &amp; U10 &amp; O18 &amp; I30 &amp; P46</t>
  </si>
  <si>
    <t>SM-478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</si>
  <si>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</si>
  <si>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SM478</t>
  </si>
  <si>
    <t>O6</t>
  </si>
  <si>
    <t>S5 &amp; X7 &amp; U13 &amp; O29 &amp; I15 &amp; P82</t>
  </si>
  <si>
    <t>SM-460</t>
  </si>
  <si>
    <t>471 SAR</t>
  </si>
  <si>
    <t>SM460</t>
  </si>
  <si>
    <t>U1</t>
  </si>
  <si>
    <t>S1 &amp; W2 &amp; X4 &amp; U16 &amp; O15 &amp; I9 &amp; P116</t>
  </si>
  <si>
    <t>SM480</t>
  </si>
  <si>
    <t>30KG + 7KG CABIN</t>
  </si>
  <si>
    <t>FULLY BOOKED</t>
  </si>
  <si>
    <t>CLOSED</t>
  </si>
  <si>
    <t>S2 &amp; X1 &amp; U15 &amp; O15 &amp; I15 &amp; P117 &amp; N3</t>
  </si>
  <si>
    <t>flynas</t>
  </si>
  <si>
    <t>XY-567</t>
  </si>
  <si>
    <t>Cabin: 7 KG / Check-in: 20 KG</t>
  </si>
  <si>
    <t>449 SAR</t>
  </si>
  <si>
    <t>Cabin: 7 KG / Check-in: 30 KG</t>
  </si>
  <si>
    <t>549 SAR</t>
  </si>
  <si>
    <t>Cabin: 7 KG / Check-in: 2 x 40 KG</t>
  </si>
  <si>
    <t>639 SAR</t>
  </si>
  <si>
    <t>XY-589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</si>
  <si>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</si>
  <si>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</si>
  <si>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XY-565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</si>
  <si>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</si>
  <si>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489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</si>
  <si>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</si>
  <si>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589 SAR</t>
  </si>
  <si>
    <t>679 SAR</t>
  </si>
  <si>
    <t>XY-569</t>
  </si>
  <si>
    <t>XY-571</t>
  </si>
  <si>
    <t>XY-573</t>
  </si>
  <si>
    <t>XY-583</t>
  </si>
  <si>
    <t>XY-577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</si>
  <si>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</si>
  <si>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529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</si>
  <si>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</si>
  <si>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629 SAR</t>
  </si>
  <si>
    <t>719 SAR</t>
  </si>
  <si>
    <t>Air Arabia Egypt</t>
  </si>
  <si>
    <t>E5-362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</si>
  <si>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</si>
  <si>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</si>
  <si>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536 SAR</t>
  </si>
  <si>
    <t>660 SAR</t>
  </si>
  <si>
    <t>Nesma Airlines</t>
  </si>
  <si>
    <t>NE-171</t>
  </si>
  <si>
    <t>595 SAR</t>
  </si>
  <si>
    <t>NE-173</t>
  </si>
  <si>
    <t>645 SAR</t>
  </si>
  <si>
    <t>Saudia</t>
  </si>
  <si>
    <t>SV-335</t>
  </si>
  <si>
    <t>Cabin: 7 KG / Check-in: 23 KG</t>
  </si>
  <si>
    <t>678 SAR</t>
  </si>
  <si>
    <t>Cabin: 7 KG / Check-in: 2 x 46 KG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</si>
  <si>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</si>
  <si>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723 SAR</t>
  </si>
  <si>
    <t>SV-301</t>
  </si>
  <si>
    <t>935 SAR</t>
  </si>
  <si>
    <t>980 SAR</t>
  </si>
  <si>
    <t>SV-309</t>
  </si>
  <si>
    <t>SV-383</t>
  </si>
  <si>
    <t>SV-387</t>
  </si>
  <si>
    <t>SV-303</t>
  </si>
  <si>
    <t>1,093 SAR</t>
  </si>
  <si>
    <t>1,138 SAR</t>
  </si>
  <si>
    <t>SV-6664</t>
  </si>
  <si>
    <t>1,349 SAR</t>
  </si>
  <si>
    <t>SV-6891</t>
  </si>
  <si>
    <t>SV-6893</t>
  </si>
  <si>
    <t>SV-6895</t>
  </si>
  <si>
    <t>SV-389</t>
  </si>
  <si>
    <t>1,486 SAR</t>
  </si>
  <si>
    <t>1,531 SAR</t>
  </si>
  <si>
    <t>SV-305</t>
  </si>
  <si>
    <t>2,005 SAR</t>
  </si>
  <si>
    <t>2,050 SAR</t>
  </si>
  <si>
    <t>EgyptAir</t>
  </si>
  <si>
    <t>MS-662</t>
  </si>
  <si>
    <t>Cabin: 7 KG | Check-in: 2 PIECE</t>
  </si>
  <si>
    <t>970 SAR</t>
  </si>
  <si>
    <t>MS-668</t>
  </si>
  <si>
    <t>MS-674</t>
  </si>
  <si>
    <t>1,080 SAR</t>
  </si>
  <si>
    <t>MS-666</t>
  </si>
  <si>
    <t>1,407 SAR</t>
  </si>
  <si>
    <t>MS-672</t>
  </si>
  <si>
    <t>1,844 SAR</t>
  </si>
  <si>
    <t>389 SAR</t>
  </si>
  <si>
    <t>539 SAR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</si>
  <si>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</si>
  <si>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</si>
  <si>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</si>
  <si>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400 SAR</t>
  </si>
  <si>
    <t>695 SAR</t>
  </si>
  <si>
    <t>I9</t>
  </si>
  <si>
    <t>S3 &amp; W1 &amp; U7 &amp; O18 &amp; I51 &amp; P47</t>
  </si>
  <si>
    <t>U2 &amp; O21 &amp; I45</t>
  </si>
  <si>
    <t>S2 &amp; U17 &amp; O18 &amp; I25 &amp; P45 &amp; N2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</si>
  <si>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</si>
  <si>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</si>
  <si>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</si>
  <si>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E5-328</t>
  </si>
  <si>
    <t>MS-1672</t>
  </si>
  <si>
    <t>673 SAR</t>
  </si>
  <si>
    <t>MS-664</t>
  </si>
  <si>
    <t>765 SAR</t>
  </si>
  <si>
    <t>842 SAR</t>
  </si>
  <si>
    <t>MS-670</t>
  </si>
  <si>
    <t>MS-644</t>
  </si>
  <si>
    <t>1,260 SAR</t>
  </si>
  <si>
    <t>1,276 SAR</t>
  </si>
  <si>
    <t>1,321 SAR</t>
  </si>
  <si>
    <t>359 SAR</t>
  </si>
  <si>
    <t>509 SAR</t>
  </si>
  <si>
    <t>1,499 SAR</t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</si>
  <si>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</si>
  <si>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</si>
  <si>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SM-432</t>
  </si>
  <si>
    <t>SM432</t>
  </si>
  <si>
    <t>S1 &amp; O6 &amp; I38</t>
  </si>
  <si>
    <t>SM-450</t>
  </si>
  <si>
    <t>SM450</t>
  </si>
  <si>
    <t>I27 &amp; E28 &amp; N1</t>
  </si>
  <si>
    <t>S3 &amp; U3 &amp; O22 &amp; I23 &amp; P89</t>
  </si>
  <si>
    <t>SM-480</t>
  </si>
  <si>
    <t>S1 &amp; U4 &amp; O25 &amp; I17 &amp; E44 &amp; N2</t>
  </si>
  <si>
    <t>X1 &amp; U1 &amp; P84</t>
  </si>
  <si>
    <t>S5 &amp; U4 &amp; O11 &amp; I30</t>
  </si>
  <si>
    <t>O5</t>
  </si>
  <si>
    <t>O2 &amp; I10 &amp; P132</t>
  </si>
  <si>
    <t>409 SAR</t>
  </si>
  <si>
    <t>469 SAR</t>
  </si>
  <si>
    <t>592 SAR</t>
  </si>
  <si>
    <t>1,225 SAR</t>
  </si>
  <si>
    <t>1,270 SAR</t>
  </si>
  <si>
    <t>1,228 SAR</t>
  </si>
  <si>
    <t>1,860 SAR</t>
  </si>
  <si>
    <t>1,905 SAR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</si>
  <si>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</si>
  <si>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</si>
  <si>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B1 &amp; U4 &amp; O9 &amp; I31</t>
  </si>
  <si>
    <t>S4 &amp; U11 &amp; O27 &amp; I21 &amp; N2</t>
  </si>
  <si>
    <t>S3 &amp; O9 &amp; I36</t>
  </si>
  <si>
    <t>O18 &amp; I8 &amp; P39</t>
  </si>
  <si>
    <t>L1 &amp; G1 &amp; S1 &amp; U3 &amp; O29 &amp; I13 &amp; P68</t>
  </si>
  <si>
    <t>U3</t>
  </si>
  <si>
    <t>S5 &amp; W3 &amp; U13 &amp; O20 &amp; I10 &amp; P114</t>
  </si>
  <si>
    <t>572 SAR</t>
  </si>
  <si>
    <t>E5-322</t>
  </si>
  <si>
    <t>456 SAR</t>
  </si>
  <si>
    <t>579 SAR</t>
  </si>
  <si>
    <t>797 SAR</t>
  </si>
  <si>
    <t>499 SAR</t>
  </si>
  <si>
    <t>649 SAR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</si>
  <si>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</si>
  <si>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I8</t>
  </si>
  <si>
    <t>S2 &amp; W1 &amp; X3 &amp; U4 &amp; O29 &amp; I17 &amp; P73</t>
  </si>
  <si>
    <t>S3 &amp; X1 &amp; U10 &amp; O14 &amp; I9 &amp; E3 &amp; P95</t>
  </si>
  <si>
    <t>S1 &amp; T9 &amp; X9 &amp; O7 &amp; P102 &amp; N10</t>
  </si>
  <si>
    <t>430 SAR</t>
  </si>
  <si>
    <t>553 SAR</t>
  </si>
  <si>
    <t>437 SAR</t>
  </si>
  <si>
    <t>561 SAR</t>
  </si>
  <si>
    <t>1,524 SAR</t>
  </si>
  <si>
    <t>974 SAR</t>
  </si>
  <si>
    <t>1,264 SAR</t>
  </si>
  <si>
    <t>1,848 SAR</t>
  </si>
  <si>
    <t>NE-177</t>
  </si>
  <si>
    <t>745 SAR</t>
  </si>
  <si>
    <t>U4 &amp; O28 &amp; I26 &amp; P47</t>
  </si>
  <si>
    <t>S2 &amp; W2 &amp; X3 &amp; U10 &amp; O1 &amp; I1 &amp; P95</t>
  </si>
  <si>
    <t>U4 &amp; O10 &amp; I5 &amp; P83</t>
  </si>
  <si>
    <t>526 SAR</t>
  </si>
  <si>
    <t>X1</t>
  </si>
  <si>
    <t>X1 &amp; O4 &amp; I5 &amp; P157</t>
  </si>
  <si>
    <t>K1 &amp; S4 &amp; X7 &amp; U8 &amp; O8 &amp; I8 &amp; E43 &amp; P90 &amp; N2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</si>
  <si>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</si>
  <si>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</si>
  <si>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411 SAR</t>
  </si>
  <si>
    <t>535 SAR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</si>
  <si>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</si>
  <si>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1,728 SAR</t>
  </si>
  <si>
    <t>1,773 SAR</t>
  </si>
  <si>
    <t>1,411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</si>
  <si>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</si>
  <si>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</si>
  <si>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</si>
  <si>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</si>
  <si>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</si>
  <si>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</si>
  <si>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</si>
  <si>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</si>
  <si>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</si>
  <si>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</si>
  <si>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</si>
  <si>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</si>
  <si>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</si>
  <si>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</si>
  <si>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</si>
  <si>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</si>
  <si>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</si>
  <si>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</si>
  <si>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</si>
  <si>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</si>
  <si>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</si>
  <si>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</si>
  <si>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</si>
  <si>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</si>
  <si>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</si>
  <si>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</si>
  <si>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</si>
  <si>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</si>
  <si>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</si>
  <si>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</si>
  <si>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05:30</t>
  </si>
  <si>
    <t>320</t>
  </si>
  <si>
    <t>UPCOMING</t>
  </si>
  <si>
    <t>S8</t>
  </si>
  <si>
    <t>X3</t>
  </si>
  <si>
    <t>U10</t>
  </si>
  <si>
    <t>O14</t>
  </si>
  <si>
    <t>I30</t>
  </si>
  <si>
    <t>13:25</t>
  </si>
  <si>
    <t>S2</t>
  </si>
  <si>
    <t>U15</t>
  </si>
  <si>
    <t>O15</t>
  </si>
  <si>
    <t>I15</t>
  </si>
  <si>
    <t>P117</t>
  </si>
  <si>
    <t>N3</t>
  </si>
  <si>
    <t>14:45</t>
  </si>
  <si>
    <t>S5</t>
  </si>
  <si>
    <t>X7</t>
  </si>
  <si>
    <t>U13</t>
  </si>
  <si>
    <t>O29</t>
  </si>
  <si>
    <t>P82</t>
  </si>
  <si>
    <t>17:30</t>
  </si>
  <si>
    <t>S1</t>
  </si>
  <si>
    <t>W2</t>
  </si>
  <si>
    <t>X4</t>
  </si>
  <si>
    <t>U16</t>
  </si>
  <si>
    <t>P116</t>
  </si>
  <si>
    <t>22:25</t>
  </si>
  <si>
    <t>U5</t>
  </si>
  <si>
    <t>O10</t>
  </si>
  <si>
    <t>P86</t>
  </si>
  <si>
    <t>23:15</t>
  </si>
  <si>
    <t>O18</t>
  </si>
  <si>
    <t>P46</t>
  </si>
  <si>
    <t>WEDNESDAY</t>
  </si>
  <si>
    <t>12:25</t>
  </si>
  <si>
    <t>U2</t>
  </si>
  <si>
    <t>O21</t>
  </si>
  <si>
    <t>I45</t>
  </si>
  <si>
    <t>12:30</t>
  </si>
  <si>
    <t>S3</t>
  </si>
  <si>
    <t>W1</t>
  </si>
  <si>
    <t>U7</t>
  </si>
  <si>
    <t>I51</t>
  </si>
  <si>
    <t>P47</t>
  </si>
  <si>
    <t>U17</t>
  </si>
  <si>
    <t>I25</t>
  </si>
  <si>
    <t>P45</t>
  </si>
  <si>
    <t>N2</t>
  </si>
  <si>
    <t>THURSDAY</t>
  </si>
  <si>
    <t>01:10</t>
  </si>
  <si>
    <t>P84</t>
  </si>
  <si>
    <t>02:45</t>
  </si>
  <si>
    <t>U4</t>
  </si>
  <si>
    <t>O11</t>
  </si>
  <si>
    <t>06:05</t>
  </si>
  <si>
    <t>I27</t>
  </si>
  <si>
    <t>E28</t>
  </si>
  <si>
    <t>N1</t>
  </si>
  <si>
    <t>08:00</t>
  </si>
  <si>
    <t>O2</t>
  </si>
  <si>
    <t>I10</t>
  </si>
  <si>
    <t>P132</t>
  </si>
  <si>
    <t>08:45</t>
  </si>
  <si>
    <t>I38</t>
  </si>
  <si>
    <t>14:00</t>
  </si>
  <si>
    <t>O22</t>
  </si>
  <si>
    <t>I23</t>
  </si>
  <si>
    <t>P89</t>
  </si>
  <si>
    <t>17:45</t>
  </si>
  <si>
    <t>O25</t>
  </si>
  <si>
    <t>I17</t>
  </si>
  <si>
    <t>E44</t>
  </si>
  <si>
    <t>FRIDAY</t>
  </si>
  <si>
    <t>B1</t>
  </si>
  <si>
    <t>I31</t>
  </si>
  <si>
    <t>07:40</t>
  </si>
  <si>
    <t>I36</t>
  </si>
  <si>
    <t>11:00</t>
  </si>
  <si>
    <t>P39</t>
  </si>
  <si>
    <t>L1</t>
  </si>
  <si>
    <t>G1</t>
  </si>
  <si>
    <t>I13</t>
  </si>
  <si>
    <t>P68</t>
  </si>
  <si>
    <t>17:40</t>
  </si>
  <si>
    <t>S4</t>
  </si>
  <si>
    <t>U11</t>
  </si>
  <si>
    <t>O27</t>
  </si>
  <si>
    <t>I21</t>
  </si>
  <si>
    <t>22:30</t>
  </si>
  <si>
    <t>W3</t>
  </si>
  <si>
    <t>O20</t>
  </si>
  <si>
    <t>P114</t>
  </si>
  <si>
    <t>SATURDAY</t>
  </si>
  <si>
    <t>05:40</t>
  </si>
  <si>
    <t>P73</t>
  </si>
  <si>
    <t>E3</t>
  </si>
  <si>
    <t>P95</t>
  </si>
  <si>
    <t>16:20</t>
  </si>
  <si>
    <t>T9</t>
  </si>
  <si>
    <t>X9</t>
  </si>
  <si>
    <t>O7</t>
  </si>
  <si>
    <t>P102</t>
  </si>
  <si>
    <t>N10</t>
  </si>
  <si>
    <t>SUNDAY</t>
  </si>
  <si>
    <t>02:00</t>
  </si>
  <si>
    <t>O1</t>
  </si>
  <si>
    <t>I1</t>
  </si>
  <si>
    <t>O28</t>
  </si>
  <si>
    <t>I26</t>
  </si>
  <si>
    <t>I5</t>
  </si>
  <si>
    <t>P83</t>
  </si>
  <si>
    <t>12:15</t>
  </si>
  <si>
    <t>O4</t>
  </si>
  <si>
    <t>P157</t>
  </si>
  <si>
    <t>15:10</t>
  </si>
  <si>
    <t>K1</t>
  </si>
  <si>
    <t>U8</t>
  </si>
  <si>
    <t>O8</t>
  </si>
  <si>
    <t>E43</t>
  </si>
  <si>
    <t>P90</t>
  </si>
  <si>
    <t>DATE</t>
  </si>
  <si>
    <t>ROUTE</t>
  </si>
  <si>
    <t>2025-11-25</t>
  </si>
  <si>
    <t>01:05</t>
  </si>
  <si>
    <t>07:15</t>
  </si>
  <si>
    <t>18:55</t>
  </si>
  <si>
    <t>21:20</t>
  </si>
  <si>
    <t>THREAT STATUS</t>
  </si>
  <si>
    <t>+9 FOR SAME CLASS</t>
  </si>
  <si>
    <t>REF</t>
  </si>
  <si>
    <t>6 FOR SAME CLASS</t>
  </si>
  <si>
    <t>1 FOR SAME CLASS</t>
  </si>
  <si>
    <t>21:40</t>
  </si>
  <si>
    <t>2 FOR SAME CLASS</t>
  </si>
  <si>
    <t>THREAT (+4.0)</t>
  </si>
  <si>
    <t>19:10</t>
  </si>
  <si>
    <t>3 FOR SAME CLASS</t>
  </si>
  <si>
    <t>THREAT (+4.3)</t>
  </si>
  <si>
    <t>05:20</t>
  </si>
  <si>
    <t>9 FOR SAME CLASS</t>
  </si>
  <si>
    <t>THREAT (+3.8)</t>
  </si>
  <si>
    <t>06:10</t>
  </si>
  <si>
    <t>THREAT (+3.6)</t>
  </si>
  <si>
    <t>15:30</t>
  </si>
  <si>
    <t>20:30</t>
  </si>
  <si>
    <t>09:30</t>
  </si>
  <si>
    <t>4 FOR SAME CLASS</t>
  </si>
  <si>
    <t>THREAT (+3.2)</t>
  </si>
  <si>
    <t>05:45</t>
  </si>
  <si>
    <t>THREAT (+4.9)</t>
  </si>
  <si>
    <t>09:05</t>
  </si>
  <si>
    <t>THREAT (+2.4)</t>
  </si>
  <si>
    <t>00:10</t>
  </si>
  <si>
    <t>03:25</t>
  </si>
  <si>
    <t>22:20</t>
  </si>
  <si>
    <t>CLOSE (-0.6)</t>
  </si>
  <si>
    <t>03:05</t>
  </si>
  <si>
    <t>5 FOR SAME CLASS</t>
  </si>
  <si>
    <t>CLOSE (-0.3)</t>
  </si>
  <si>
    <t>17:15</t>
  </si>
  <si>
    <t>THREAT (+1.1)</t>
  </si>
  <si>
    <t>CLOSE (-1.0)</t>
  </si>
  <si>
    <t>2025-11-26</t>
  </si>
  <si>
    <t>09:25</t>
  </si>
  <si>
    <t>THREAT (+3.4)</t>
  </si>
  <si>
    <t>THREAT (+2.0)</t>
  </si>
  <si>
    <t>7 FOR SAME CLASS</t>
  </si>
  <si>
    <t>2025-11-27</t>
  </si>
  <si>
    <t>07:55</t>
  </si>
  <si>
    <t>THREAT (+4.4)</t>
  </si>
  <si>
    <t>15:50</t>
  </si>
  <si>
    <t>THREAT (+4.6)</t>
  </si>
  <si>
    <t>05:50</t>
  </si>
  <si>
    <t>10 FOR SAME CLASS</t>
  </si>
  <si>
    <t>14:40</t>
  </si>
  <si>
    <t>AHEAD (+0.4)</t>
  </si>
  <si>
    <t>CLOSE (-0.1)</t>
  </si>
  <si>
    <t>CLOSE (-0.9)</t>
  </si>
  <si>
    <t>2025-11-28</t>
  </si>
  <si>
    <t>23:25</t>
  </si>
  <si>
    <t>THREAT (+4.7)</t>
  </si>
  <si>
    <t>THREAT (+3.9)</t>
  </si>
  <si>
    <t>THREAT (+2.7)</t>
  </si>
  <si>
    <t>19:55</t>
  </si>
  <si>
    <t>8 FOR SAME CLASS</t>
  </si>
  <si>
    <t>CLOSE (-0.5)</t>
  </si>
  <si>
    <t>2025-11-29</t>
  </si>
  <si>
    <t>05:10</t>
  </si>
  <si>
    <t>THREAT (+4.5)</t>
  </si>
  <si>
    <t>THREAT (+5.3)</t>
  </si>
  <si>
    <t>2025-11-30</t>
  </si>
  <si>
    <t>09:20</t>
  </si>
  <si>
    <t>THREAT (+5.0)</t>
  </si>
  <si>
    <t>THREAT (+3.3)</t>
  </si>
  <si>
    <t>AHEAD (+0.3)</t>
  </si>
  <si>
    <t>CLOSE (-0.2)</t>
  </si>
  <si>
    <t>CLOSE (-0.4)</t>
  </si>
  <si>
    <t>JED-HBE</t>
  </si>
  <si>
    <t>E5-392</t>
  </si>
  <si>
    <t>Cabin: 10 KG</t>
  </si>
  <si>
    <t>511 SAR</t>
  </si>
  <si>
    <t>Cabin: 10 KG / Check-in: 20 KG</t>
  </si>
  <si>
    <t>565 SAR</t>
  </si>
  <si>
    <t>635 SAR</t>
  </si>
  <si>
    <t>E5-326</t>
  </si>
  <si>
    <t>726 SAR</t>
  </si>
  <si>
    <t>788 SAR</t>
  </si>
  <si>
    <t>F3-773</t>
  </si>
  <si>
    <t>Hand baggage only</t>
  </si>
  <si>
    <t>519 SAR</t>
  </si>
  <si>
    <t>578 SAR</t>
  </si>
  <si>
    <t>602 SAR</t>
  </si>
  <si>
    <t>Cabin: 10 KG / Check-in: 32 KG</t>
  </si>
  <si>
    <t>769 SAR</t>
  </si>
  <si>
    <t>MS-656</t>
  </si>
  <si>
    <t>1,016 SAR</t>
  </si>
  <si>
    <t>SM-452</t>
  </si>
  <si>
    <t>1,204 SAR</t>
  </si>
  <si>
    <t>SM452</t>
  </si>
  <si>
    <t>Q3</t>
  </si>
  <si>
    <t>L5 &amp; S1 &amp; X11 &amp; P159</t>
  </si>
  <si>
    <t>SV-331</t>
  </si>
  <si>
    <t>2,044 SAR</t>
  </si>
  <si>
    <t>2,172 SAR</t>
  </si>
  <si>
    <t>SV-411</t>
  </si>
  <si>
    <t>Indirect competition route JED – CAI - diversion ratio &amp; passenger leakage</t>
  </si>
  <si>
    <t>504 SAR</t>
  </si>
  <si>
    <t>558 SAR</t>
  </si>
  <si>
    <t>627 SAR</t>
  </si>
  <si>
    <t>SM-458</t>
  </si>
  <si>
    <t>646 SAR</t>
  </si>
  <si>
    <t>SM458</t>
  </si>
  <si>
    <t>S9 &amp; W14 &amp; X7 &amp; U6 &amp; O7 &amp; I6 &amp; P129</t>
  </si>
  <si>
    <t>SM-474</t>
  </si>
  <si>
    <t>1,066 SAR</t>
  </si>
  <si>
    <t>SM474</t>
  </si>
  <si>
    <t>K5</t>
  </si>
  <si>
    <t>L5 &amp; G5 &amp; S3 &amp; X2 &amp; P159</t>
  </si>
  <si>
    <t>G4 &amp; S5 &amp; W10 &amp; X7 &amp; U8 &amp; O10 &amp; I9 &amp; P126</t>
  </si>
  <si>
    <t>06:30</t>
  </si>
  <si>
    <t>08:55</t>
  </si>
  <si>
    <t>513 SAR</t>
  </si>
  <si>
    <t>582 SAR</t>
  </si>
  <si>
    <t>E5-394</t>
  </si>
  <si>
    <t>496 SAR</t>
  </si>
  <si>
    <t>550 SAR</t>
  </si>
  <si>
    <t>620 SAR</t>
  </si>
  <si>
    <t>Cabin: 7 KG</t>
  </si>
  <si>
    <t>560 SAR</t>
  </si>
  <si>
    <t>704 SAR</t>
  </si>
  <si>
    <t>776 SAR</t>
  </si>
  <si>
    <t>856 SAR</t>
  </si>
  <si>
    <t>L4</t>
  </si>
  <si>
    <t>L2 &amp; S1 &amp; X1 &amp; P171</t>
  </si>
  <si>
    <t>07:00</t>
  </si>
  <si>
    <t>14:15</t>
  </si>
  <si>
    <t>16:00</t>
  </si>
  <si>
    <t>446 SAR</t>
  </si>
  <si>
    <t>491 SAR</t>
  </si>
  <si>
    <t>W7</t>
  </si>
  <si>
    <t>S5 &amp; W14 &amp; T17 &amp; X27 &amp; U15</t>
  </si>
  <si>
    <t>429 SAR</t>
  </si>
  <si>
    <t>488 SAR</t>
  </si>
  <si>
    <t>512 SAR</t>
  </si>
  <si>
    <t>575 SAR</t>
  </si>
  <si>
    <t>641 SAR</t>
  </si>
  <si>
    <t>698 SAR</t>
  </si>
  <si>
    <t>781 SAR</t>
  </si>
  <si>
    <t>G7</t>
  </si>
  <si>
    <t>G3 &amp; S11 &amp; X7 &amp; U7 &amp; O6 &amp; I8 &amp; P119</t>
  </si>
  <si>
    <t>G4</t>
  </si>
  <si>
    <t>G4 &amp; S3 &amp; T1 &amp; X17 &amp; P139</t>
  </si>
  <si>
    <t>05:15</t>
  </si>
  <si>
    <t>G1 &amp; S3 &amp; W4 &amp; T7 &amp; X10 &amp; P138 &amp; N2</t>
  </si>
  <si>
    <t>G2</t>
  </si>
  <si>
    <t>S1 &amp; X4 &amp; U7 &amp; O8 &amp; I8 &amp; P137 &amp; N1</t>
  </si>
  <si>
    <t>2,275 SAR</t>
  </si>
  <si>
    <t>2,403 SAR</t>
  </si>
  <si>
    <t>06:35</t>
  </si>
  <si>
    <t>09:10</t>
  </si>
  <si>
    <t>17:00</t>
  </si>
  <si>
    <t>L5</t>
  </si>
  <si>
    <t>X11</t>
  </si>
  <si>
    <t>P159</t>
  </si>
  <si>
    <t>09:50</t>
  </si>
  <si>
    <t>G5</t>
  </si>
  <si>
    <t>X2</t>
  </si>
  <si>
    <t>15:45</t>
  </si>
  <si>
    <t>W10</t>
  </si>
  <si>
    <t>P126</t>
  </si>
  <si>
    <t>S9</t>
  </si>
  <si>
    <t>W14</t>
  </si>
  <si>
    <t>U6</t>
  </si>
  <si>
    <t>I6</t>
  </si>
  <si>
    <t>P129</t>
  </si>
  <si>
    <t>L2</t>
  </si>
  <si>
    <t>P171</t>
  </si>
  <si>
    <t>10:00</t>
  </si>
  <si>
    <t>T17</t>
  </si>
  <si>
    <t>X27</t>
  </si>
  <si>
    <t>T1</t>
  </si>
  <si>
    <t>X17</t>
  </si>
  <si>
    <t>P139</t>
  </si>
  <si>
    <t>19:00</t>
  </si>
  <si>
    <t>G3</t>
  </si>
  <si>
    <t>S11</t>
  </si>
  <si>
    <t>P119</t>
  </si>
  <si>
    <t>11:45</t>
  </si>
  <si>
    <t>P137</t>
  </si>
  <si>
    <t>16:30</t>
  </si>
  <si>
    <t>W4</t>
  </si>
  <si>
    <t>T7</t>
  </si>
  <si>
    <t>X10</t>
  </si>
  <si>
    <t>P138</t>
  </si>
  <si>
    <t>04:30</t>
  </si>
  <si>
    <t>12:40</t>
  </si>
  <si>
    <t>14:30</t>
  </si>
  <si>
    <t>JED-CAI AS ALTERNATIVE ROUTE</t>
  </si>
  <si>
    <t>JED-ATZ</t>
  </si>
  <si>
    <t>SM-454</t>
  </si>
  <si>
    <t>SM454</t>
  </si>
  <si>
    <t>S4 &amp; U8 &amp; P155</t>
  </si>
  <si>
    <t>SM-456</t>
  </si>
  <si>
    <t>SM456</t>
  </si>
  <si>
    <t>L1 &amp; S1 &amp; X3 &amp; I3 &amp; P167</t>
  </si>
  <si>
    <t>MS-8224</t>
  </si>
  <si>
    <t>938 SAR</t>
  </si>
  <si>
    <t>F3-777</t>
  </si>
  <si>
    <r>
      <rPr>
        <b/>
        <i/>
        <sz val="13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</si>
  <si>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299 SAR</t>
  </si>
  <si>
    <r>
      <rPr>
        <i/>
        <sz val="13"/>
        <rFont val="Calibri"/>
      </rPr>
      <t>16</t>
    </r>
    <r>
      <rPr>
        <i/>
        <sz val="10"/>
        <rFont val="Calibri"/>
      </rPr>
      <t xml:space="preserve"> FOR SAME CLASS</t>
    </r>
  </si>
  <si>
    <t>358 SAR</t>
  </si>
  <si>
    <t>382 SAR</t>
  </si>
  <si>
    <t>U3 &amp; O9 &amp; I18 &amp; E43 &amp; P41</t>
  </si>
  <si>
    <t>SM-492</t>
  </si>
  <si>
    <t>SM492</t>
  </si>
  <si>
    <t>U7 &amp; O11 &amp; I16 &amp; E30 &amp; P78</t>
  </si>
  <si>
    <t>Cabin: 7 KG | Check-in: 1 PIECE</t>
  </si>
  <si>
    <t>640 SAR</t>
  </si>
  <si>
    <t>SM-422</t>
  </si>
  <si>
    <t>SM422</t>
  </si>
  <si>
    <t>S1 &amp; U6 &amp; O2 &amp; I16</t>
  </si>
  <si>
    <t>U1 &amp; O8 &amp; I9 &amp; E1 &amp; P95</t>
  </si>
  <si>
    <t>T2 &amp; X2 &amp; U9 &amp; O5 &amp; I19 &amp; P44</t>
  </si>
  <si>
    <t>S3 &amp; W1 &amp; X6 &amp; U11 &amp; O20 &amp; I40 &amp; P2</t>
  </si>
  <si>
    <t>U9</t>
  </si>
  <si>
    <t>S4 &amp; W1 &amp; X12 &amp; U2 &amp; O2 &amp; I4 &amp; P95</t>
  </si>
  <si>
    <t>S1 &amp; W1 &amp; T2 &amp; X1 &amp; U12 &amp; I4 &amp; P135</t>
  </si>
  <si>
    <t>329 SAR</t>
  </si>
  <si>
    <t>388 SAR</t>
  </si>
  <si>
    <t>412 SAR</t>
  </si>
  <si>
    <t>S1 &amp; W2 &amp; X5 &amp; U7 &amp; I24 &amp; E45</t>
  </si>
  <si>
    <t>S7 &amp; X4 &amp; U14 &amp; O2 &amp; I20 &amp; P75</t>
  </si>
  <si>
    <t>07:45</t>
  </si>
  <si>
    <t>P155</t>
  </si>
  <si>
    <t>22:50</t>
  </si>
  <si>
    <t>I3</t>
  </si>
  <si>
    <t>P167</t>
  </si>
  <si>
    <t>06:25</t>
  </si>
  <si>
    <t>I18</t>
  </si>
  <si>
    <t>P41</t>
  </si>
  <si>
    <t>I16</t>
  </si>
  <si>
    <t>E30</t>
  </si>
  <si>
    <t>P78</t>
  </si>
  <si>
    <t>E1</t>
  </si>
  <si>
    <t>T2</t>
  </si>
  <si>
    <t>I19</t>
  </si>
  <si>
    <t>P44</t>
  </si>
  <si>
    <t>X6</t>
  </si>
  <si>
    <t>I40</t>
  </si>
  <si>
    <t>P2</t>
  </si>
  <si>
    <t>X12</t>
  </si>
  <si>
    <t>I4</t>
  </si>
  <si>
    <t>U12</t>
  </si>
  <si>
    <t>P135</t>
  </si>
  <si>
    <t>18:25</t>
  </si>
  <si>
    <t>S7</t>
  </si>
  <si>
    <t>U14</t>
  </si>
  <si>
    <t>I20</t>
  </si>
  <si>
    <t>P75</t>
  </si>
  <si>
    <t>20:25</t>
  </si>
  <si>
    <t>X5</t>
  </si>
  <si>
    <t>I24</t>
  </si>
  <si>
    <t>E45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</si>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</sst>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42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name val="Calibri"/>
    </font>
    <font>
      <b/>
      <i/>
      <sz val="14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2"/>
      <color rgb="FFFF0000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i/>
      <sz val="12"/>
      <color rgb="FF0070C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168" fontId="14" fillId="0" borderId="1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168" fontId="10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8" fontId="15" fillId="0" borderId="11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13" xfId="0" applyNumberFormat="1" applyFont="1" applyFill="1" applyBorder="1" applyAlignment="1">
      <alignment horizontal="center" vertical="center"/>
    </xf>
    <xf numFmtId="169" fontId="16" fillId="8" borderId="14" xfId="0" applyNumberFormat="1" applyFont="1" applyFill="1" applyBorder="1" applyAlignment="1">
      <alignment horizontal="center" vertical="center"/>
    </xf>
    <xf numFmtId="1" fontId="16" fillId="8" borderId="14" xfId="0" applyNumberFormat="1" applyFont="1" applyFill="1" applyBorder="1" applyAlignment="1">
      <alignment horizontal="center" vertical="center"/>
    </xf>
    <xf numFmtId="16" fontId="16" fillId="8" borderId="14" xfId="0" applyNumberFormat="1" applyFont="1" applyFill="1" applyBorder="1" applyAlignment="1">
      <alignment horizontal="center" vertical="center"/>
    </xf>
    <xf numFmtId="49" fontId="17" fillId="8" borderId="14" xfId="0" applyNumberFormat="1" applyFont="1" applyFill="1" applyBorder="1" applyAlignment="1">
      <alignment horizontal="center" vertical="center"/>
    </xf>
    <xf numFmtId="168" fontId="16" fillId="8" borderId="14" xfId="0" applyNumberFormat="1" applyFont="1" applyFill="1" applyBorder="1" applyAlignment="1">
      <alignment horizontal="center" vertical="center"/>
    </xf>
    <xf numFmtId="49" fontId="16" fillId="8" borderId="15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49" fontId="16" fillId="9" borderId="13" xfId="0" applyNumberFormat="1" applyFont="1" applyFill="1" applyBorder="1" applyAlignment="1">
      <alignment horizontal="center" vertical="center"/>
    </xf>
    <xf numFmtId="169" fontId="18" fillId="9" borderId="14" xfId="0" applyNumberFormat="1" applyFont="1" applyFill="1" applyBorder="1" applyAlignment="1">
      <alignment horizontal="center" vertical="center"/>
    </xf>
    <xf numFmtId="1" fontId="16" fillId="9" borderId="14" xfId="0" applyNumberFormat="1" applyFont="1" applyFill="1" applyBorder="1" applyAlignment="1">
      <alignment horizontal="center" vertical="center"/>
    </xf>
    <xf numFmtId="16" fontId="16" fillId="9" borderId="14" xfId="0" applyNumberFormat="1" applyFont="1" applyFill="1" applyBorder="1" applyAlignment="1">
      <alignment horizontal="center" vertical="center"/>
    </xf>
    <xf numFmtId="49" fontId="17" fillId="9" borderId="14" xfId="0" applyNumberFormat="1" applyFont="1" applyFill="1" applyBorder="1" applyAlignment="1">
      <alignment horizontal="center" vertical="center"/>
    </xf>
    <xf numFmtId="168" fontId="16" fillId="9" borderId="14" xfId="0" applyNumberFormat="1" applyFont="1" applyFill="1" applyBorder="1" applyAlignment="1">
      <alignment horizontal="center" vertical="center"/>
    </xf>
    <xf numFmtId="49" fontId="16" fillId="9" borderId="15" xfId="0" applyNumberFormat="1" applyFont="1" applyFill="1" applyBorder="1" applyAlignment="1">
      <alignment horizontal="center" vertical="center"/>
    </xf>
    <xf numFmtId="49" fontId="14" fillId="8" borderId="2" xfId="0" applyNumberFormat="1" applyFont="1" applyFill="1" applyBorder="1" applyAlignment="1">
      <alignment horizontal="center" vertical="center"/>
    </xf>
    <xf numFmtId="168" fontId="14" fillId="8" borderId="2" xfId="0" applyNumberFormat="1" applyFont="1" applyFill="1" applyBorder="1" applyAlignment="1">
      <alignment horizontal="center" vertical="center"/>
    </xf>
    <xf numFmtId="169" fontId="16" fillId="9" borderId="14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49" fontId="16" fillId="10" borderId="13" xfId="0" applyNumberFormat="1" applyFont="1" applyFill="1" applyBorder="1" applyAlignment="1">
      <alignment horizontal="center" vertical="center"/>
    </xf>
    <xf numFmtId="169" fontId="19" fillId="10" borderId="14" xfId="0" applyNumberFormat="1" applyFont="1" applyFill="1" applyBorder="1" applyAlignment="1">
      <alignment horizontal="center" vertical="center"/>
    </xf>
    <xf numFmtId="1" fontId="16" fillId="10" borderId="14" xfId="0" applyNumberFormat="1" applyFont="1" applyFill="1" applyBorder="1" applyAlignment="1">
      <alignment horizontal="center" vertical="center"/>
    </xf>
    <xf numFmtId="16" fontId="16" fillId="10" borderId="14" xfId="0" applyNumberFormat="1" applyFont="1" applyFill="1" applyBorder="1" applyAlignment="1">
      <alignment horizontal="center" vertical="center"/>
    </xf>
    <xf numFmtId="49" fontId="17" fillId="10" borderId="14" xfId="0" applyNumberFormat="1" applyFont="1" applyFill="1" applyBorder="1" applyAlignment="1">
      <alignment horizontal="center" vertical="center"/>
    </xf>
    <xf numFmtId="168" fontId="16" fillId="10" borderId="14" xfId="0" applyNumberFormat="1" applyFont="1" applyFill="1" applyBorder="1" applyAlignment="1">
      <alignment horizontal="center" vertical="center"/>
    </xf>
    <xf numFmtId="49" fontId="16" fillId="10" borderId="15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168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49" fontId="16" fillId="11" borderId="13" xfId="0" applyNumberFormat="1" applyFont="1" applyFill="1" applyBorder="1" applyAlignment="1">
      <alignment horizontal="center" vertical="center"/>
    </xf>
    <xf numFmtId="169" fontId="19" fillId="11" borderId="14" xfId="0" applyNumberFormat="1" applyFont="1" applyFill="1" applyBorder="1" applyAlignment="1">
      <alignment horizontal="center" vertical="center"/>
    </xf>
    <xf numFmtId="1" fontId="16" fillId="11" borderId="14" xfId="0" applyNumberFormat="1" applyFont="1" applyFill="1" applyBorder="1" applyAlignment="1">
      <alignment horizontal="center" vertical="center"/>
    </xf>
    <xf numFmtId="16" fontId="16" fillId="11" borderId="14" xfId="0" applyNumberFormat="1" applyFont="1" applyFill="1" applyBorder="1" applyAlignment="1">
      <alignment horizontal="center" vertical="center"/>
    </xf>
    <xf numFmtId="49" fontId="17" fillId="11" borderId="14" xfId="0" applyNumberFormat="1" applyFont="1" applyFill="1" applyBorder="1" applyAlignment="1">
      <alignment horizontal="center" vertical="center"/>
    </xf>
    <xf numFmtId="168" fontId="16" fillId="11" borderId="14" xfId="0" applyNumberFormat="1" applyFont="1" applyFill="1" applyBorder="1" applyAlignment="1">
      <alignment horizontal="center" vertical="center"/>
    </xf>
    <xf numFmtId="49" fontId="16" fillId="11" borderId="15" xfId="0" applyNumberFormat="1" applyFont="1" applyFill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168" fontId="14" fillId="0" borderId="16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7" fontId="21" fillId="5" borderId="2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168" fontId="8" fillId="6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169" fontId="8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16" fontId="8" fillId="6" borderId="2" xfId="0" applyNumberFormat="1" applyFont="1" applyFill="1" applyBorder="1" applyAlignment="1">
      <alignment horizontal="center" vertical="center"/>
    </xf>
    <xf numFmtId="49" fontId="10" fillId="13" borderId="2" xfId="0" applyNumberFormat="1" applyFont="1" applyFill="1" applyBorder="1" applyAlignment="1">
      <alignment horizontal="center" vertical="center"/>
    </xf>
    <xf numFmtId="168" fontId="10" fillId="13" borderId="2" xfId="0" applyNumberFormat="1" applyFont="1" applyFill="1" applyBorder="1" applyAlignment="1">
      <alignment horizontal="center" vertical="center"/>
    </xf>
    <xf numFmtId="49" fontId="16" fillId="13" borderId="13" xfId="0" applyNumberFormat="1" applyFont="1" applyFill="1" applyBorder="1" applyAlignment="1">
      <alignment horizontal="center" vertical="center"/>
    </xf>
    <xf numFmtId="169" fontId="16" fillId="13" borderId="14" xfId="0" applyNumberFormat="1" applyFont="1" applyFill="1" applyBorder="1" applyAlignment="1">
      <alignment horizontal="center" vertical="center"/>
    </xf>
    <xf numFmtId="1" fontId="16" fillId="13" borderId="14" xfId="0" applyNumberFormat="1" applyFont="1" applyFill="1" applyBorder="1" applyAlignment="1">
      <alignment horizontal="center" vertical="center"/>
    </xf>
    <xf numFmtId="16" fontId="16" fillId="13" borderId="14" xfId="0" applyNumberFormat="1" applyFont="1" applyFill="1" applyBorder="1" applyAlignment="1">
      <alignment horizontal="center" vertical="center"/>
    </xf>
    <xf numFmtId="49" fontId="17" fillId="13" borderId="14" xfId="0" applyNumberFormat="1" applyFont="1" applyFill="1" applyBorder="1" applyAlignment="1">
      <alignment horizontal="center" vertical="center"/>
    </xf>
    <xf numFmtId="168" fontId="16" fillId="13" borderId="14" xfId="0" applyNumberFormat="1" applyFont="1" applyFill="1" applyBorder="1" applyAlignment="1">
      <alignment horizontal="center" vertical="center"/>
    </xf>
    <xf numFmtId="49" fontId="16" fillId="13" borderId="15" xfId="0" applyNumberFormat="1" applyFont="1" applyFill="1" applyBorder="1" applyAlignment="1">
      <alignment horizontal="center" vertical="center"/>
    </xf>
    <xf numFmtId="169" fontId="18" fillId="10" borderId="14" xfId="0" applyNumberFormat="1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68" fontId="15" fillId="0" borderId="16" xfId="0" applyNumberFormat="1" applyFont="1" applyBorder="1" applyAlignment="1">
      <alignment horizontal="center" vertical="center"/>
    </xf>
    <xf numFmtId="49" fontId="10" fillId="14" borderId="2" xfId="0" applyNumberFormat="1" applyFont="1" applyFill="1" applyBorder="1" applyAlignment="1">
      <alignment horizontal="center" vertical="center"/>
    </xf>
    <xf numFmtId="168" fontId="10" fillId="14" borderId="2" xfId="0" applyNumberFormat="1" applyFont="1" applyFill="1" applyBorder="1" applyAlignment="1">
      <alignment horizontal="center" vertical="center"/>
    </xf>
    <xf numFmtId="49" fontId="16" fillId="14" borderId="13" xfId="0" applyNumberFormat="1" applyFont="1" applyFill="1" applyBorder="1" applyAlignment="1">
      <alignment horizontal="center" vertical="center"/>
    </xf>
    <xf numFmtId="169" fontId="18" fillId="14" borderId="14" xfId="0" applyNumberFormat="1" applyFont="1" applyFill="1" applyBorder="1" applyAlignment="1">
      <alignment horizontal="center" vertical="center"/>
    </xf>
    <xf numFmtId="1" fontId="16" fillId="14" borderId="14" xfId="0" applyNumberFormat="1" applyFont="1" applyFill="1" applyBorder="1" applyAlignment="1">
      <alignment horizontal="center" vertical="center"/>
    </xf>
    <xf numFmtId="16" fontId="16" fillId="14" borderId="14" xfId="0" applyNumberFormat="1" applyFont="1" applyFill="1" applyBorder="1" applyAlignment="1">
      <alignment horizontal="center" vertical="center"/>
    </xf>
    <xf numFmtId="49" fontId="17" fillId="14" borderId="14" xfId="0" applyNumberFormat="1" applyFont="1" applyFill="1" applyBorder="1" applyAlignment="1">
      <alignment horizontal="center" vertical="center"/>
    </xf>
    <xf numFmtId="168" fontId="16" fillId="14" borderId="14" xfId="0" applyNumberFormat="1" applyFont="1" applyFill="1" applyBorder="1" applyAlignment="1">
      <alignment horizontal="center" vertical="center"/>
    </xf>
    <xf numFmtId="49" fontId="16" fillId="14" borderId="15" xfId="0" applyNumberFormat="1" applyFont="1" applyFill="1" applyBorder="1" applyAlignment="1">
      <alignment horizontal="center" vertical="center"/>
    </xf>
    <xf numFmtId="169" fontId="16" fillId="10" borderId="14" xfId="0" applyNumberFormat="1" applyFont="1" applyFill="1" applyBorder="1" applyAlignment="1">
      <alignment horizontal="center" vertical="center"/>
    </xf>
    <xf numFmtId="49" fontId="14" fillId="15" borderId="2" xfId="0" applyNumberFormat="1" applyFont="1" applyFill="1" applyBorder="1" applyAlignment="1">
      <alignment horizontal="center" vertical="center"/>
    </xf>
    <xf numFmtId="168" fontId="14" fillId="15" borderId="2" xfId="0" applyNumberFormat="1" applyFont="1" applyFill="1" applyBorder="1" applyAlignment="1">
      <alignment horizontal="center" vertical="center"/>
    </xf>
    <xf numFmtId="49" fontId="16" fillId="15" borderId="13" xfId="0" applyNumberFormat="1" applyFont="1" applyFill="1" applyBorder="1" applyAlignment="1">
      <alignment horizontal="center" vertical="center"/>
    </xf>
    <xf numFmtId="169" fontId="18" fillId="15" borderId="14" xfId="0" applyNumberFormat="1" applyFont="1" applyFill="1" applyBorder="1" applyAlignment="1">
      <alignment horizontal="center" vertical="center"/>
    </xf>
    <xf numFmtId="1" fontId="16" fillId="15" borderId="14" xfId="0" applyNumberFormat="1" applyFont="1" applyFill="1" applyBorder="1" applyAlignment="1">
      <alignment horizontal="center" vertical="center"/>
    </xf>
    <xf numFmtId="16" fontId="16" fillId="15" borderId="14" xfId="0" applyNumberFormat="1" applyFont="1" applyFill="1" applyBorder="1" applyAlignment="1">
      <alignment horizontal="center" vertical="center"/>
    </xf>
    <xf numFmtId="49" fontId="17" fillId="15" borderId="14" xfId="0" applyNumberFormat="1" applyFont="1" applyFill="1" applyBorder="1" applyAlignment="1">
      <alignment horizontal="center" vertical="center"/>
    </xf>
    <xf numFmtId="168" fontId="16" fillId="15" borderId="14" xfId="0" applyNumberFormat="1" applyFont="1" applyFill="1" applyBorder="1" applyAlignment="1">
      <alignment horizontal="center" vertical="center"/>
    </xf>
    <xf numFmtId="49" fontId="16" fillId="15" borderId="15" xfId="0" applyNumberFormat="1" applyFont="1" applyFill="1" applyBorder="1" applyAlignment="1">
      <alignment horizontal="center" vertical="center"/>
    </xf>
    <xf numFmtId="169" fontId="18" fillId="8" borderId="14" xfId="0" applyNumberFormat="1" applyFont="1" applyFill="1" applyBorder="1" applyAlignment="1">
      <alignment horizontal="center" vertical="center"/>
    </xf>
    <xf numFmtId="49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49" fontId="10" fillId="9" borderId="2" xfId="0" applyNumberFormat="1" applyFont="1" applyFill="1" applyBorder="1" applyAlignment="1">
      <alignment horizontal="center" vertical="center"/>
    </xf>
    <xf numFmtId="168" fontId="10" fillId="9" borderId="2" xfId="0" applyNumberFormat="1" applyFont="1" applyFill="1" applyBorder="1" applyAlignment="1">
      <alignment horizontal="center" vertical="center"/>
    </xf>
    <xf numFmtId="49" fontId="14" fillId="16" borderId="2" xfId="0" applyNumberFormat="1" applyFont="1" applyFill="1" applyBorder="1" applyAlignment="1">
      <alignment horizontal="center" vertical="center"/>
    </xf>
    <xf numFmtId="168" fontId="14" fillId="16" borderId="2" xfId="0" applyNumberFormat="1" applyFont="1" applyFill="1" applyBorder="1" applyAlignment="1">
      <alignment horizontal="center" vertical="center"/>
    </xf>
    <xf numFmtId="49" fontId="16" fillId="16" borderId="13" xfId="0" applyNumberFormat="1" applyFont="1" applyFill="1" applyBorder="1" applyAlignment="1">
      <alignment horizontal="center" vertical="center"/>
    </xf>
    <xf numFmtId="169" fontId="18" fillId="16" borderId="14" xfId="0" applyNumberFormat="1" applyFont="1" applyFill="1" applyBorder="1" applyAlignment="1">
      <alignment horizontal="center" vertical="center"/>
    </xf>
    <xf numFmtId="1" fontId="16" fillId="16" borderId="14" xfId="0" applyNumberFormat="1" applyFont="1" applyFill="1" applyBorder="1" applyAlignment="1">
      <alignment horizontal="center" vertical="center"/>
    </xf>
    <xf numFmtId="16" fontId="16" fillId="16" borderId="14" xfId="0" applyNumberFormat="1" applyFont="1" applyFill="1" applyBorder="1" applyAlignment="1">
      <alignment horizontal="center" vertical="center"/>
    </xf>
    <xf numFmtId="49" fontId="17" fillId="16" borderId="14" xfId="0" applyNumberFormat="1" applyFont="1" applyFill="1" applyBorder="1" applyAlignment="1">
      <alignment horizontal="center" vertical="center"/>
    </xf>
    <xf numFmtId="168" fontId="16" fillId="16" borderId="14" xfId="0" applyNumberFormat="1" applyFont="1" applyFill="1" applyBorder="1" applyAlignment="1">
      <alignment horizontal="center" vertical="center"/>
    </xf>
    <xf numFmtId="49" fontId="16" fillId="16" borderId="15" xfId="0" applyNumberFormat="1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horizontal="center" vertical="center"/>
    </xf>
    <xf numFmtId="168" fontId="14" fillId="14" borderId="2" xfId="0" applyNumberFormat="1" applyFont="1" applyFill="1" applyBorder="1" applyAlignment="1">
      <alignment horizontal="center" vertical="center"/>
    </xf>
    <xf numFmtId="169" fontId="19" fillId="13" borderId="14" xfId="0" applyNumberFormat="1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center" vertical="center"/>
    </xf>
    <xf numFmtId="168" fontId="10" fillId="11" borderId="2" xfId="0" applyNumberFormat="1" applyFont="1" applyFill="1" applyBorder="1" applyAlignment="1">
      <alignment horizontal="center" vertical="center"/>
    </xf>
    <xf numFmtId="169" fontId="16" fillId="11" borderId="14" xfId="0" applyNumberFormat="1" applyFont="1" applyFill="1" applyBorder="1" applyAlignment="1">
      <alignment horizontal="center" vertical="center"/>
    </xf>
    <xf numFmtId="169" fontId="16" fillId="15" borderId="14" xfId="0" applyNumberFormat="1" applyFont="1" applyFill="1" applyBorder="1" applyAlignment="1">
      <alignment horizontal="center" vertical="center"/>
    </xf>
    <xf numFmtId="49" fontId="10" fillId="16" borderId="2" xfId="0" applyNumberFormat="1" applyFont="1" applyFill="1" applyBorder="1" applyAlignment="1">
      <alignment horizontal="center" vertical="center"/>
    </xf>
    <xf numFmtId="168" fontId="10" fillId="16" borderId="2" xfId="0" applyNumberFormat="1" applyFont="1" applyFill="1" applyBorder="1" applyAlignment="1">
      <alignment horizontal="center" vertical="center"/>
    </xf>
    <xf numFmtId="169" fontId="16" fillId="16" borderId="14" xfId="0" applyNumberFormat="1" applyFont="1" applyFill="1" applyBorder="1" applyAlignment="1">
      <alignment horizontal="center" vertical="center"/>
    </xf>
    <xf numFmtId="169" fontId="19" fillId="16" borderId="14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171" fontId="23" fillId="0" borderId="26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2" fontId="24" fillId="0" borderId="24" xfId="0" applyNumberFormat="1" applyFont="1" applyBorder="1" applyAlignment="1">
      <alignment horizontal="center" vertical="center"/>
    </xf>
    <xf numFmtId="173" fontId="24" fillId="0" borderId="25" xfId="0" applyNumberFormat="1" applyFont="1" applyBorder="1" applyAlignment="1">
      <alignment horizontal="center" vertical="center"/>
    </xf>
    <xf numFmtId="172" fontId="23" fillId="0" borderId="24" xfId="0" applyNumberFormat="1" applyFont="1" applyBorder="1" applyAlignment="1">
      <alignment horizontal="center" vertical="center"/>
    </xf>
    <xf numFmtId="173" fontId="23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18" borderId="0" xfId="0" applyFont="1" applyFill="1"/>
    <xf numFmtId="0" fontId="30" fillId="0" borderId="0" xfId="0" applyFont="1"/>
    <xf numFmtId="0" fontId="31" fillId="19" borderId="0" xfId="0" applyFont="1" applyFill="1"/>
    <xf numFmtId="169" fontId="19" fillId="9" borderId="1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9" fontId="19" fillId="14" borderId="14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169" fontId="19" fillId="8" borderId="14" xfId="0" applyNumberFormat="1" applyFont="1" applyFill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32" fillId="0" borderId="25" xfId="0" applyFont="1" applyBorder="1" applyAlignment="1">
      <alignment horizontal="center" vertical="center"/>
    </xf>
    <xf numFmtId="0" fontId="0" fillId="0" borderId="26" xfId="0" applyBorder="1"/>
    <xf numFmtId="171" fontId="23" fillId="0" borderId="29" xfId="0" applyNumberFormat="1" applyFont="1" applyBorder="1" applyAlignment="1">
      <alignment horizontal="center" vertical="center"/>
    </xf>
    <xf numFmtId="49" fontId="10" fillId="10" borderId="2" xfId="0" applyNumberFormat="1" applyFont="1" applyFill="1" applyBorder="1" applyAlignment="1">
      <alignment horizontal="center" vertical="center"/>
    </xf>
    <xf numFmtId="168" fontId="10" fillId="10" borderId="2" xfId="0" applyNumberFormat="1" applyFont="1" applyFill="1" applyBorder="1" applyAlignment="1">
      <alignment horizontal="center" vertical="center"/>
    </xf>
    <xf numFmtId="169" fontId="18" fillId="11" borderId="14" xfId="0" applyNumberFormat="1" applyFont="1" applyFill="1" applyBorder="1" applyAlignment="1">
      <alignment horizontal="center" vertical="center"/>
    </xf>
    <xf numFmtId="49" fontId="10" fillId="15" borderId="2" xfId="0" applyNumberFormat="1" applyFont="1" applyFill="1" applyBorder="1" applyAlignment="1">
      <alignment horizontal="center" vertical="center"/>
    </xf>
    <xf numFmtId="168" fontId="10" fillId="15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1" fillId="0" borderId="7" xfId="0" applyFont="1" applyBorder="1"/>
    <xf numFmtId="0" fontId="0" fillId="0" borderId="12" xfId="0" applyBorder="1"/>
    <xf numFmtId="0" fontId="0" fillId="0" borderId="17" xfId="0" applyBorder="1"/>
    <xf numFmtId="49" fontId="7" fillId="4" borderId="2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7" xfId="0" applyBorder="1"/>
    <xf numFmtId="49" fontId="32" fillId="0" borderId="30" xfId="0" applyNumberFormat="1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37" fillId="0" borderId="0" xfId="0" applyFont="1" applyAlignment="1">
      <alignment horizontal="center" vertical="center"/>
    </xf>
    <xf numFmtId="0" fontId="37" fillId="0" borderId="0" xfId="0" applyFont="1"/>
    <xf numFmtId="170" fontId="37" fillId="0" borderId="0" xfId="0" applyNumberFormat="1" applyFont="1" applyAlignment="1">
      <alignment horizontal="center" vertical="center"/>
    </xf>
    <xf numFmtId="15" fontId="37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169" fontId="37" fillId="0" borderId="0" xfId="0" applyNumberFormat="1" applyFont="1" applyAlignment="1">
      <alignment horizontal="center" vertical="center"/>
    </xf>
    <xf numFmtId="1" fontId="37" fillId="0" borderId="0" xfId="0" applyNumberFormat="1" applyFont="1" applyAlignment="1">
      <alignment horizontal="center" vertical="center"/>
    </xf>
    <xf numFmtId="16" fontId="37" fillId="0" borderId="0" xfId="0" applyNumberFormat="1" applyFont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15" fontId="38" fillId="20" borderId="0" xfId="0" applyNumberFormat="1" applyFont="1" applyFill="1" applyAlignment="1">
      <alignment horizontal="center" vertical="center"/>
    </xf>
    <xf numFmtId="169" fontId="38" fillId="20" borderId="0" xfId="0" applyNumberFormat="1" applyFont="1" applyFill="1" applyAlignment="1">
      <alignment horizontal="center" vertical="center"/>
    </xf>
    <xf numFmtId="1" fontId="38" fillId="20" borderId="0" xfId="0" applyNumberFormat="1" applyFont="1" applyFill="1" applyAlignment="1">
      <alignment horizontal="center" vertical="center"/>
    </xf>
    <xf numFmtId="0" fontId="38" fillId="20" borderId="0" xfId="0" applyNumberFormat="1" applyFont="1" applyFill="1" applyAlignment="1">
      <alignment horizontal="center" vertical="center"/>
    </xf>
    <xf numFmtId="0" fontId="20" fillId="12" borderId="34" xfId="0" applyFont="1" applyFill="1" applyBorder="1" applyAlignment="1">
      <alignment horizontal="center" vertical="center"/>
    </xf>
    <xf numFmtId="0" fontId="20" fillId="12" borderId="35" xfId="0" applyFont="1" applyFill="1" applyBorder="1" applyAlignment="1">
      <alignment horizontal="center" vertical="center"/>
    </xf>
    <xf numFmtId="0" fontId="20" fillId="12" borderId="36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32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436" totalsRowShown="0">
  <autoFilter ref="A1:H43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49">
  <autoFilter ref="A1:I149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12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128" totalsRowShown="0">
  <autoFilter ref="A1:H12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ED_ATZ_LF_LEGACY" displayName="JED_ATZ_LF_LEGACY" ref="A1:AJ14" totalsRowCount="1" headerRowDxfId="74" dataDxfId="37" totalsRowDxfId="0">
  <tableColumns count="36">
    <tableColumn id="1" xr3:uid="{00000000-0010-0000-0500-000001000000}" name="Day" totalsRowLabel="TOTAL" dataDxfId="73" totalsRowDxfId="36"/>
    <tableColumn id="2" xr3:uid="{00000000-0010-0000-0500-000002000000}" name="Flt Dt" dataDxfId="72" totalsRowDxfId="35"/>
    <tableColumn id="3" xr3:uid="{00000000-0010-0000-0500-000003000000}" name="Flt" totalsRowFunction="count" dataDxfId="71" totalsRowDxfId="34"/>
    <tableColumn id="4" xr3:uid="{00000000-0010-0000-0500-000004000000}" name="DEP" dataDxfId="70" totalsRowDxfId="33"/>
    <tableColumn id="5" xr3:uid="{00000000-0010-0000-0500-000005000000}" name="Brd-Off" totalsRowFunction="count" dataDxfId="69" totalsRowDxfId="32"/>
    <tableColumn id="6" xr3:uid="{00000000-0010-0000-0500-000006000000}" name="Eqp" dataDxfId="68" totalsRowDxfId="31"/>
    <tableColumn id="7" xr3:uid="{00000000-0010-0000-0500-000007000000}" name="LF%" totalsRowFunction="average" dataDxfId="67" totalsRowDxfId="30"/>
    <tableColumn id="8" xr3:uid="{00000000-0010-0000-0500-000008000000}" name="CAP" totalsRowFunction="sum" dataDxfId="66" totalsRowDxfId="29"/>
    <tableColumn id="9" xr3:uid="{00000000-0010-0000-0500-000009000000}" name="BKG(Y)" totalsRowFunction="sum" dataDxfId="65" totalsRowDxfId="28"/>
    <tableColumn id="10" xr3:uid="{00000000-0010-0000-0500-00000A000000}" name="GRP(Y)" totalsRowFunction="sum" dataDxfId="64" totalsRowDxfId="27"/>
    <tableColumn id="11" xr3:uid="{00000000-0010-0000-0500-00000B000000}" name="FLT ST" dataDxfId="63" totalsRowDxfId="26"/>
    <tableColumn id="12" xr3:uid="{00000000-0010-0000-0500-00000C000000}" name="LST-SOLD" dataDxfId="62" totalsRowDxfId="25"/>
    <tableColumn id="13" xr3:uid="{00000000-0010-0000-0500-00000D000000}" name="TO-DAY" totalsRowFunction="sum" dataDxfId="61" totalsRowDxfId="24"/>
    <tableColumn id="14" xr3:uid="{00000000-0010-0000-0500-00000E000000}" name="Y-DAY" totalsRowFunction="sum" dataDxfId="60" totalsRowDxfId="23"/>
    <tableColumn id="15" xr3:uid="{00000000-0010-0000-0500-00000F000000}" name="WEEKLY" totalsRowFunction="sum" dataDxfId="59" totalsRowDxfId="22"/>
    <tableColumn id="16" xr3:uid="{00000000-0010-0000-0500-000010000000}" name="LOWEST AVAIL" dataDxfId="58" totalsRowDxfId="21"/>
    <tableColumn id="17" xr3:uid="{00000000-0010-0000-0500-000011000000}" name="Y" totalsRowFunction="sum" dataDxfId="57" totalsRowDxfId="20"/>
    <tableColumn id="18" xr3:uid="{00000000-0010-0000-0500-000012000000}" name="B" totalsRowFunction="sum" dataDxfId="56" totalsRowDxfId="19"/>
    <tableColumn id="19" xr3:uid="{00000000-0010-0000-0500-000013000000}" name="M" totalsRowFunction="sum" dataDxfId="55" totalsRowDxfId="18"/>
    <tableColumn id="20" xr3:uid="{00000000-0010-0000-0500-000014000000}" name="H" totalsRowFunction="sum" dataDxfId="54" totalsRowDxfId="17"/>
    <tableColumn id="21" xr3:uid="{00000000-0010-0000-0500-000015000000}" name="Q" totalsRowFunction="sum" dataDxfId="53" totalsRowDxfId="16"/>
    <tableColumn id="22" xr3:uid="{00000000-0010-0000-0500-000016000000}" name="K" totalsRowFunction="sum" dataDxfId="52" totalsRowDxfId="15"/>
    <tableColumn id="23" xr3:uid="{00000000-0010-0000-0500-000017000000}" name="V" totalsRowFunction="sum" dataDxfId="51" totalsRowDxfId="14"/>
    <tableColumn id="24" xr3:uid="{00000000-0010-0000-0500-000018000000}" name="L" totalsRowFunction="sum" dataDxfId="50" totalsRowDxfId="13"/>
    <tableColumn id="25" xr3:uid="{00000000-0010-0000-0500-000019000000}" name="G" totalsRowFunction="sum" dataDxfId="49" totalsRowDxfId="12"/>
    <tableColumn id="26" xr3:uid="{00000000-0010-0000-0500-00001A000000}" name="S" totalsRowFunction="sum" dataDxfId="48" totalsRowDxfId="11"/>
    <tableColumn id="27" xr3:uid="{00000000-0010-0000-0500-00001B000000}" name="W" totalsRowFunction="sum" dataDxfId="47" totalsRowDxfId="10"/>
    <tableColumn id="28" xr3:uid="{00000000-0010-0000-0500-00001C000000}" name="T" totalsRowFunction="sum" dataDxfId="46" totalsRowDxfId="9"/>
    <tableColumn id="29" xr3:uid="{00000000-0010-0000-0500-00001D000000}" name="X" totalsRowFunction="sum" dataDxfId="45" totalsRowDxfId="8"/>
    <tableColumn id="30" xr3:uid="{00000000-0010-0000-0500-00001E000000}" name="U" totalsRowFunction="sum" dataDxfId="44" totalsRowDxfId="7"/>
    <tableColumn id="31" xr3:uid="{00000000-0010-0000-0500-00001F000000}" name="O" totalsRowFunction="sum" dataDxfId="43" totalsRowDxfId="6"/>
    <tableColumn id="32" xr3:uid="{00000000-0010-0000-0500-000020000000}" name="I" totalsRowFunction="sum" dataDxfId="42" totalsRowDxfId="5"/>
    <tableColumn id="33" xr3:uid="{00000000-0010-0000-0500-000021000000}" name="E" totalsRowFunction="sum" dataDxfId="41" totalsRowDxfId="4"/>
    <tableColumn id="34" xr3:uid="{00000000-0010-0000-0500-000022000000}" name="A" totalsRowFunction="sum" dataDxfId="40" totalsRowDxfId="3"/>
    <tableColumn id="35" xr3:uid="{00000000-0010-0000-0500-000023000000}" name="P" totalsRowFunction="sum" dataDxfId="39" totalsRowDxfId="2"/>
    <tableColumn id="36" xr3:uid="{00000000-0010-0000-0500-000024000000}" name="N" totalsRowFunction="count" dataDxfId="38" totalsRow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ATZ" displayName="FocusMode_JED_ATZ" ref="A1:H90" totalsRowShown="0">
  <autoFilter ref="A1:H90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5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1.33203125" bestFit="1" customWidth="1"/>
  </cols>
  <sheetData>
    <row r="1" spans="1:92" ht="28.8" customHeight="1" x14ac:dyDescent="0.3">
      <c r="A1" s="195" t="s">
        <v>0</v>
      </c>
      <c r="B1" s="194"/>
      <c r="C1" s="194"/>
      <c r="D1" s="194"/>
      <c r="E1" s="194"/>
      <c r="F1" s="1" t="s">
        <v>1</v>
      </c>
      <c r="G1" s="2" t="s">
        <v>2</v>
      </c>
      <c r="H1" s="193">
        <v>45986</v>
      </c>
      <c r="I1" s="194"/>
      <c r="J1" s="194"/>
      <c r="K1" s="194"/>
      <c r="L1" s="194"/>
      <c r="M1" s="1" t="s">
        <v>3</v>
      </c>
      <c r="N1" s="205">
        <v>45991</v>
      </c>
      <c r="O1" s="194"/>
      <c r="P1" s="194"/>
      <c r="Q1" s="194"/>
      <c r="R1" s="194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7" t="s">
        <v>4</v>
      </c>
      <c r="B2" s="194"/>
      <c r="C2" s="194"/>
      <c r="D2" s="194"/>
      <c r="E2" s="194"/>
      <c r="F2" s="194"/>
      <c r="G2" s="203">
        <v>45982.183546433997</v>
      </c>
      <c r="H2" s="194"/>
      <c r="I2" s="194"/>
      <c r="J2" s="194"/>
      <c r="K2" s="206">
        <v>45982.183546434491</v>
      </c>
      <c r="L2" s="194"/>
      <c r="M2" s="194"/>
      <c r="N2" s="194"/>
      <c r="O2" s="194"/>
      <c r="P2" s="194"/>
      <c r="Q2" s="194"/>
      <c r="R2" s="19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8" t="s">
        <v>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45986</v>
      </c>
      <c r="H4" s="196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0.36458333333333331</v>
      </c>
      <c r="D6" s="8" t="s">
        <v>28</v>
      </c>
      <c r="E6" s="8" t="s">
        <v>29</v>
      </c>
      <c r="F6" s="8" t="s">
        <v>30</v>
      </c>
      <c r="G6" s="199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31</v>
      </c>
      <c r="C7" s="16">
        <v>4.5138888888888888E-2</v>
      </c>
      <c r="D7" s="15" t="s">
        <v>28</v>
      </c>
      <c r="E7" s="15" t="s">
        <v>32</v>
      </c>
      <c r="F7" s="15" t="s">
        <v>30</v>
      </c>
      <c r="G7" s="200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33</v>
      </c>
      <c r="C8" s="16">
        <v>0.66666666666666663</v>
      </c>
      <c r="D8" s="15" t="s">
        <v>28</v>
      </c>
      <c r="E8" s="15" t="s">
        <v>32</v>
      </c>
      <c r="F8" s="15" t="s">
        <v>34</v>
      </c>
      <c r="G8" s="200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35</v>
      </c>
      <c r="B9" s="17" t="s">
        <v>36</v>
      </c>
      <c r="C9" s="18">
        <v>0.30208333333333331</v>
      </c>
      <c r="D9" s="17" t="s">
        <v>37</v>
      </c>
      <c r="E9" s="17" t="s">
        <v>38</v>
      </c>
      <c r="F9" s="17" t="s">
        <v>39</v>
      </c>
      <c r="G9" s="200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9" t="s">
        <v>35</v>
      </c>
      <c r="B10" s="19" t="s">
        <v>36</v>
      </c>
      <c r="C10" s="20">
        <v>0.30208333333333331</v>
      </c>
      <c r="D10" s="19" t="s">
        <v>40</v>
      </c>
      <c r="E10" s="19" t="s">
        <v>41</v>
      </c>
      <c r="F10" s="19" t="s">
        <v>42</v>
      </c>
      <c r="G10" s="200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9" t="s">
        <v>35</v>
      </c>
      <c r="B11" s="19" t="s">
        <v>36</v>
      </c>
      <c r="C11" s="20">
        <v>0.30208333333333331</v>
      </c>
      <c r="D11" s="19" t="s">
        <v>43</v>
      </c>
      <c r="E11" s="19" t="s">
        <v>41</v>
      </c>
      <c r="F11" s="19" t="s">
        <v>44</v>
      </c>
      <c r="G11" s="200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35</v>
      </c>
      <c r="B12" s="15" t="s">
        <v>45</v>
      </c>
      <c r="C12" s="16">
        <v>0.78819444444444453</v>
      </c>
      <c r="D12" s="15" t="s">
        <v>37</v>
      </c>
      <c r="E12" s="15" t="s">
        <v>46</v>
      </c>
      <c r="F12" s="15" t="s">
        <v>39</v>
      </c>
      <c r="G12" s="200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9" t="s">
        <v>35</v>
      </c>
      <c r="B13" s="19" t="s">
        <v>45</v>
      </c>
      <c r="C13" s="20">
        <v>0.78819444444444453</v>
      </c>
      <c r="D13" s="19" t="s">
        <v>40</v>
      </c>
      <c r="E13" s="19" t="s">
        <v>41</v>
      </c>
      <c r="F13" s="19" t="s">
        <v>42</v>
      </c>
      <c r="G13" s="200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9" t="s">
        <v>35</v>
      </c>
      <c r="B14" s="19" t="s">
        <v>45</v>
      </c>
      <c r="C14" s="20">
        <v>0.78819444444444453</v>
      </c>
      <c r="D14" s="19" t="s">
        <v>43</v>
      </c>
      <c r="E14" s="19" t="s">
        <v>41</v>
      </c>
      <c r="F14" s="19" t="s">
        <v>44</v>
      </c>
      <c r="G14" s="200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5" t="s">
        <v>35</v>
      </c>
      <c r="B15" s="15" t="s">
        <v>47</v>
      </c>
      <c r="C15" s="16">
        <v>0.88888888888888884</v>
      </c>
      <c r="D15" s="15" t="s">
        <v>37</v>
      </c>
      <c r="E15" s="15" t="s">
        <v>48</v>
      </c>
      <c r="F15" s="15" t="s">
        <v>39</v>
      </c>
      <c r="G15" s="200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9" t="s">
        <v>35</v>
      </c>
      <c r="B16" s="19" t="s">
        <v>47</v>
      </c>
      <c r="C16" s="20">
        <v>0.88888888888888884</v>
      </c>
      <c r="D16" s="19" t="s">
        <v>40</v>
      </c>
      <c r="E16" s="19" t="s">
        <v>49</v>
      </c>
      <c r="F16" s="19" t="s">
        <v>42</v>
      </c>
      <c r="G16" s="200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9" t="s">
        <v>35</v>
      </c>
      <c r="B17" s="19" t="s">
        <v>47</v>
      </c>
      <c r="C17" s="20">
        <v>0.88888888888888884</v>
      </c>
      <c r="D17" s="19" t="s">
        <v>43</v>
      </c>
      <c r="E17" s="19" t="s">
        <v>49</v>
      </c>
      <c r="F17" s="19" t="s">
        <v>44</v>
      </c>
      <c r="G17" s="200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5" t="s">
        <v>35</v>
      </c>
      <c r="B18" s="15" t="s">
        <v>50</v>
      </c>
      <c r="C18" s="16">
        <v>0.12847222222222221</v>
      </c>
      <c r="D18" s="15" t="s">
        <v>37</v>
      </c>
      <c r="E18" s="15" t="s">
        <v>51</v>
      </c>
      <c r="F18" s="15" t="s">
        <v>52</v>
      </c>
      <c r="G18" s="200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9" t="s">
        <v>35</v>
      </c>
      <c r="B19" s="19" t="s">
        <v>50</v>
      </c>
      <c r="C19" s="20">
        <v>0.12847222222222221</v>
      </c>
      <c r="D19" s="19" t="s">
        <v>40</v>
      </c>
      <c r="E19" s="19" t="s">
        <v>53</v>
      </c>
      <c r="F19" s="19" t="s">
        <v>54</v>
      </c>
      <c r="G19" s="200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35</v>
      </c>
      <c r="B20" s="19" t="s">
        <v>50</v>
      </c>
      <c r="C20" s="20">
        <v>0.12847222222222221</v>
      </c>
      <c r="D20" s="19" t="s">
        <v>43</v>
      </c>
      <c r="E20" s="19" t="s">
        <v>53</v>
      </c>
      <c r="F20" s="19" t="s">
        <v>44</v>
      </c>
      <c r="G20" s="200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21" t="s">
        <v>55</v>
      </c>
      <c r="B21" s="21" t="s">
        <v>56</v>
      </c>
      <c r="C21" s="22">
        <v>0.93402777777777779</v>
      </c>
      <c r="D21" s="21" t="s">
        <v>57</v>
      </c>
      <c r="E21" s="21" t="s">
        <v>29</v>
      </c>
      <c r="F21" s="21" t="s">
        <v>58</v>
      </c>
      <c r="G21" s="200"/>
      <c r="H21" s="23" t="s">
        <v>59</v>
      </c>
      <c r="I21" s="24">
        <v>0.68159999999999998</v>
      </c>
      <c r="J21" s="25">
        <v>122</v>
      </c>
      <c r="K21" s="26">
        <v>45981</v>
      </c>
      <c r="L21" s="25">
        <v>13</v>
      </c>
      <c r="M21" s="25">
        <v>0</v>
      </c>
      <c r="N21" s="25">
        <v>2</v>
      </c>
      <c r="O21" s="27" t="s">
        <v>60</v>
      </c>
      <c r="P21" s="28">
        <v>0.93402777777777779</v>
      </c>
      <c r="Q21" s="25">
        <v>179</v>
      </c>
      <c r="R21" s="29" t="s">
        <v>61</v>
      </c>
    </row>
    <row r="22" spans="1:18" ht="15" customHeight="1" x14ac:dyDescent="0.3">
      <c r="A22" s="30" t="s">
        <v>55</v>
      </c>
      <c r="B22" s="30" t="s">
        <v>62</v>
      </c>
      <c r="C22" s="31">
        <v>0.22916666666666671</v>
      </c>
      <c r="D22" s="30" t="s">
        <v>57</v>
      </c>
      <c r="E22" s="30" t="s">
        <v>32</v>
      </c>
      <c r="F22" s="30" t="s">
        <v>58</v>
      </c>
      <c r="G22" s="200"/>
      <c r="H22" s="32" t="s">
        <v>63</v>
      </c>
      <c r="I22" s="33">
        <v>0.36309999999999998</v>
      </c>
      <c r="J22" s="34">
        <v>65</v>
      </c>
      <c r="K22" s="35">
        <v>45981</v>
      </c>
      <c r="L22" s="34">
        <v>47</v>
      </c>
      <c r="M22" s="34">
        <v>0</v>
      </c>
      <c r="N22" s="34">
        <v>10</v>
      </c>
      <c r="O22" s="36" t="s">
        <v>60</v>
      </c>
      <c r="P22" s="37">
        <v>0.22916666666666671</v>
      </c>
      <c r="Q22" s="34">
        <v>179</v>
      </c>
      <c r="R22" s="38" t="s">
        <v>64</v>
      </c>
    </row>
    <row r="23" spans="1:18" ht="15" customHeight="1" x14ac:dyDescent="0.3">
      <c r="A23" s="39" t="s">
        <v>55</v>
      </c>
      <c r="B23" s="39" t="s">
        <v>65</v>
      </c>
      <c r="C23" s="40">
        <v>0.96875</v>
      </c>
      <c r="D23" s="39" t="s">
        <v>57</v>
      </c>
      <c r="E23" s="39" t="s">
        <v>32</v>
      </c>
      <c r="F23" s="39" t="s">
        <v>58</v>
      </c>
      <c r="G23" s="200"/>
      <c r="H23" s="23" t="s">
        <v>66</v>
      </c>
      <c r="I23" s="24">
        <v>0.58660000000000001</v>
      </c>
      <c r="J23" s="25">
        <v>105</v>
      </c>
      <c r="K23" s="26">
        <v>45981</v>
      </c>
      <c r="L23" s="25">
        <v>34</v>
      </c>
      <c r="M23" s="25">
        <v>0</v>
      </c>
      <c r="N23" s="25">
        <v>5</v>
      </c>
      <c r="O23" s="27" t="s">
        <v>60</v>
      </c>
      <c r="P23" s="28">
        <v>0.96875</v>
      </c>
      <c r="Q23" s="25">
        <v>179</v>
      </c>
      <c r="R23" s="29" t="s">
        <v>67</v>
      </c>
    </row>
    <row r="24" spans="1:18" ht="15" customHeight="1" x14ac:dyDescent="0.3">
      <c r="A24" s="30" t="s">
        <v>55</v>
      </c>
      <c r="B24" s="30" t="s">
        <v>68</v>
      </c>
      <c r="C24" s="31">
        <v>0.61458333333333337</v>
      </c>
      <c r="D24" s="30" t="s">
        <v>57</v>
      </c>
      <c r="E24" s="30" t="s">
        <v>69</v>
      </c>
      <c r="F24" s="30" t="s">
        <v>58</v>
      </c>
      <c r="G24" s="200"/>
      <c r="H24" s="32" t="s">
        <v>70</v>
      </c>
      <c r="I24" s="41">
        <v>0.84360000000000002</v>
      </c>
      <c r="J24" s="34">
        <v>151</v>
      </c>
      <c r="K24" s="35">
        <v>45981</v>
      </c>
      <c r="L24" s="34">
        <v>34</v>
      </c>
      <c r="M24" s="34">
        <v>0</v>
      </c>
      <c r="N24" s="34">
        <v>15</v>
      </c>
      <c r="O24" s="36" t="s">
        <v>71</v>
      </c>
      <c r="P24" s="37">
        <v>0.61458333333333337</v>
      </c>
      <c r="Q24" s="34">
        <v>179</v>
      </c>
      <c r="R24" s="38" t="s">
        <v>72</v>
      </c>
    </row>
    <row r="25" spans="1:18" ht="15" customHeight="1" x14ac:dyDescent="0.3">
      <c r="A25" s="42" t="s">
        <v>55</v>
      </c>
      <c r="B25" s="42" t="s">
        <v>73</v>
      </c>
      <c r="C25" s="43">
        <v>0.72916666666666663</v>
      </c>
      <c r="D25" s="42" t="s">
        <v>57</v>
      </c>
      <c r="E25" s="42" t="s">
        <v>48</v>
      </c>
      <c r="F25" s="42" t="s">
        <v>74</v>
      </c>
      <c r="G25" s="200"/>
      <c r="H25" s="44" t="s">
        <v>75</v>
      </c>
      <c r="I25" s="45">
        <v>0.91059999999999997</v>
      </c>
      <c r="J25" s="46">
        <v>163</v>
      </c>
      <c r="K25" s="47">
        <v>45980</v>
      </c>
      <c r="L25" s="46">
        <v>23</v>
      </c>
      <c r="M25" s="46">
        <v>0</v>
      </c>
      <c r="N25" s="46">
        <v>0</v>
      </c>
      <c r="O25" s="48" t="s">
        <v>76</v>
      </c>
      <c r="P25" s="49">
        <v>0.72916666666666663</v>
      </c>
      <c r="Q25" s="46">
        <v>179</v>
      </c>
      <c r="R25" s="50" t="s">
        <v>77</v>
      </c>
    </row>
    <row r="26" spans="1:18" ht="15" customHeight="1" x14ac:dyDescent="0.3">
      <c r="A26" s="51" t="s">
        <v>55</v>
      </c>
      <c r="B26" s="51" t="s">
        <v>78</v>
      </c>
      <c r="C26" s="52">
        <v>0.55902777777777779</v>
      </c>
      <c r="D26" s="51" t="s">
        <v>79</v>
      </c>
      <c r="E26" s="53"/>
      <c r="F26" s="51" t="s">
        <v>80</v>
      </c>
      <c r="G26" s="200"/>
      <c r="H26" s="54" t="s">
        <v>78</v>
      </c>
      <c r="I26" s="55">
        <v>0.9385</v>
      </c>
      <c r="J26" s="56">
        <v>168</v>
      </c>
      <c r="K26" s="57">
        <v>45979</v>
      </c>
      <c r="L26" s="56">
        <v>25</v>
      </c>
      <c r="M26" s="56">
        <v>0</v>
      </c>
      <c r="N26" s="56">
        <v>0</v>
      </c>
      <c r="O26" s="58" t="s">
        <v>81</v>
      </c>
      <c r="P26" s="59">
        <v>0.55902777777777779</v>
      </c>
      <c r="Q26" s="56">
        <v>179</v>
      </c>
      <c r="R26" s="60" t="s">
        <v>82</v>
      </c>
    </row>
    <row r="27" spans="1:18" ht="15" customHeight="1" x14ac:dyDescent="0.3">
      <c r="A27" s="17" t="s">
        <v>83</v>
      </c>
      <c r="B27" s="17" t="s">
        <v>84</v>
      </c>
      <c r="C27" s="18">
        <v>0.90277777777777779</v>
      </c>
      <c r="D27" s="17" t="s">
        <v>85</v>
      </c>
      <c r="E27" s="17" t="s">
        <v>38</v>
      </c>
      <c r="F27" s="17" t="s">
        <v>86</v>
      </c>
      <c r="G27" s="200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9" t="s">
        <v>83</v>
      </c>
      <c r="B28" s="19" t="s">
        <v>84</v>
      </c>
      <c r="C28" s="20">
        <v>0.90277777777777779</v>
      </c>
      <c r="D28" s="19" t="s">
        <v>87</v>
      </c>
      <c r="E28" s="19" t="s">
        <v>41</v>
      </c>
      <c r="F28" s="19" t="s">
        <v>88</v>
      </c>
      <c r="G28" s="200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9" t="s">
        <v>83</v>
      </c>
      <c r="B29" s="19" t="s">
        <v>84</v>
      </c>
      <c r="C29" s="20">
        <v>0.90277777777777779</v>
      </c>
      <c r="D29" s="19" t="s">
        <v>89</v>
      </c>
      <c r="E29" s="19" t="s">
        <v>41</v>
      </c>
      <c r="F29" s="19" t="s">
        <v>90</v>
      </c>
      <c r="G29" s="200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15" t="s">
        <v>83</v>
      </c>
      <c r="B30" s="15" t="s">
        <v>91</v>
      </c>
      <c r="C30" s="16">
        <v>0.79861111111111116</v>
      </c>
      <c r="D30" s="15" t="s">
        <v>85</v>
      </c>
      <c r="E30" s="15" t="s">
        <v>92</v>
      </c>
      <c r="F30" s="15" t="s">
        <v>86</v>
      </c>
      <c r="G30" s="200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9" t="s">
        <v>83</v>
      </c>
      <c r="B31" s="19" t="s">
        <v>91</v>
      </c>
      <c r="C31" s="20">
        <v>0.79861111111111116</v>
      </c>
      <c r="D31" s="19" t="s">
        <v>87</v>
      </c>
      <c r="E31" s="19" t="s">
        <v>93</v>
      </c>
      <c r="F31" s="19" t="s">
        <v>88</v>
      </c>
      <c r="G31" s="200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9" t="s">
        <v>83</v>
      </c>
      <c r="B32" s="19" t="s">
        <v>91</v>
      </c>
      <c r="C32" s="20">
        <v>0.79861111111111116</v>
      </c>
      <c r="D32" s="19" t="s">
        <v>89</v>
      </c>
      <c r="E32" s="19" t="s">
        <v>93</v>
      </c>
      <c r="F32" s="19" t="s">
        <v>90</v>
      </c>
      <c r="G32" s="200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5" t="s">
        <v>83</v>
      </c>
      <c r="B33" s="15" t="s">
        <v>94</v>
      </c>
      <c r="C33" s="16">
        <v>0.25694444444444448</v>
      </c>
      <c r="D33" s="15" t="s">
        <v>85</v>
      </c>
      <c r="E33" s="15" t="s">
        <v>95</v>
      </c>
      <c r="F33" s="15" t="s">
        <v>96</v>
      </c>
      <c r="G33" s="200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9" t="s">
        <v>83</v>
      </c>
      <c r="B34" s="19" t="s">
        <v>94</v>
      </c>
      <c r="C34" s="20">
        <v>0.25694444444444448</v>
      </c>
      <c r="D34" s="19" t="s">
        <v>87</v>
      </c>
      <c r="E34" s="19" t="s">
        <v>97</v>
      </c>
      <c r="F34" s="19" t="s">
        <v>98</v>
      </c>
      <c r="G34" s="200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9" t="s">
        <v>83</v>
      </c>
      <c r="B35" s="19" t="s">
        <v>94</v>
      </c>
      <c r="C35" s="20">
        <v>0.25694444444444448</v>
      </c>
      <c r="D35" s="19" t="s">
        <v>89</v>
      </c>
      <c r="E35" s="19" t="s">
        <v>97</v>
      </c>
      <c r="F35" s="19" t="s">
        <v>99</v>
      </c>
      <c r="G35" s="200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5" t="s">
        <v>83</v>
      </c>
      <c r="B36" s="15" t="s">
        <v>100</v>
      </c>
      <c r="C36" s="16">
        <v>0.64583333333333337</v>
      </c>
      <c r="D36" s="15" t="s">
        <v>85</v>
      </c>
      <c r="E36" s="15" t="s">
        <v>95</v>
      </c>
      <c r="F36" s="15" t="s">
        <v>96</v>
      </c>
      <c r="G36" s="200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9" t="s">
        <v>83</v>
      </c>
      <c r="B37" s="19" t="s">
        <v>100</v>
      </c>
      <c r="C37" s="20">
        <v>0.64583333333333337</v>
      </c>
      <c r="D37" s="19" t="s">
        <v>87</v>
      </c>
      <c r="E37" s="19" t="s">
        <v>97</v>
      </c>
      <c r="F37" s="19" t="s">
        <v>98</v>
      </c>
      <c r="G37" s="200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9" t="s">
        <v>83</v>
      </c>
      <c r="B38" s="19" t="s">
        <v>100</v>
      </c>
      <c r="C38" s="20">
        <v>0.64583333333333337</v>
      </c>
      <c r="D38" s="19" t="s">
        <v>89</v>
      </c>
      <c r="E38" s="19" t="s">
        <v>97</v>
      </c>
      <c r="F38" s="19" t="s">
        <v>99</v>
      </c>
      <c r="G38" s="200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5" t="s">
        <v>83</v>
      </c>
      <c r="B39" s="15" t="s">
        <v>101</v>
      </c>
      <c r="C39" s="16">
        <v>0.51736111111111105</v>
      </c>
      <c r="D39" s="15" t="s">
        <v>85</v>
      </c>
      <c r="E39" s="15" t="s">
        <v>95</v>
      </c>
      <c r="F39" s="15" t="s">
        <v>96</v>
      </c>
      <c r="G39" s="200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9" t="s">
        <v>83</v>
      </c>
      <c r="B40" s="19" t="s">
        <v>101</v>
      </c>
      <c r="C40" s="20">
        <v>0.51736111111111105</v>
      </c>
      <c r="D40" s="19" t="s">
        <v>87</v>
      </c>
      <c r="E40" s="19" t="s">
        <v>97</v>
      </c>
      <c r="F40" s="19" t="s">
        <v>98</v>
      </c>
      <c r="G40" s="200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9" t="s">
        <v>83</v>
      </c>
      <c r="B41" s="19" t="s">
        <v>101</v>
      </c>
      <c r="C41" s="20">
        <v>0.51736111111111105</v>
      </c>
      <c r="D41" s="19" t="s">
        <v>89</v>
      </c>
      <c r="E41" s="19" t="s">
        <v>97</v>
      </c>
      <c r="F41" s="19" t="s">
        <v>99</v>
      </c>
      <c r="G41" s="200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83</v>
      </c>
      <c r="B42" s="15" t="s">
        <v>102</v>
      </c>
      <c r="C42" s="16">
        <v>0.85416666666666663</v>
      </c>
      <c r="D42" s="15" t="s">
        <v>85</v>
      </c>
      <c r="E42" s="15" t="s">
        <v>95</v>
      </c>
      <c r="F42" s="15" t="s">
        <v>96</v>
      </c>
      <c r="G42" s="200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9" t="s">
        <v>83</v>
      </c>
      <c r="B43" s="19" t="s">
        <v>102</v>
      </c>
      <c r="C43" s="20">
        <v>0.85416666666666663</v>
      </c>
      <c r="D43" s="19" t="s">
        <v>87</v>
      </c>
      <c r="E43" s="19" t="s">
        <v>97</v>
      </c>
      <c r="F43" s="19" t="s">
        <v>98</v>
      </c>
      <c r="G43" s="200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83</v>
      </c>
      <c r="B44" s="19" t="s">
        <v>102</v>
      </c>
      <c r="C44" s="20">
        <v>0.85416666666666663</v>
      </c>
      <c r="D44" s="19" t="s">
        <v>89</v>
      </c>
      <c r="E44" s="19" t="s">
        <v>97</v>
      </c>
      <c r="F44" s="19" t="s">
        <v>99</v>
      </c>
      <c r="G44" s="200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5" t="s">
        <v>83</v>
      </c>
      <c r="B45" s="15" t="s">
        <v>103</v>
      </c>
      <c r="C45" s="16">
        <v>0.30208333333333331</v>
      </c>
      <c r="D45" s="15" t="s">
        <v>85</v>
      </c>
      <c r="E45" s="15" t="s">
        <v>95</v>
      </c>
      <c r="F45" s="15" t="s">
        <v>96</v>
      </c>
      <c r="G45" s="200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9" t="s">
        <v>83</v>
      </c>
      <c r="B46" s="19" t="s">
        <v>103</v>
      </c>
      <c r="C46" s="20">
        <v>0.30208333333333331</v>
      </c>
      <c r="D46" s="19" t="s">
        <v>87</v>
      </c>
      <c r="E46" s="19" t="s">
        <v>97</v>
      </c>
      <c r="F46" s="19" t="s">
        <v>98</v>
      </c>
      <c r="G46" s="200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9" t="s">
        <v>83</v>
      </c>
      <c r="B47" s="19" t="s">
        <v>103</v>
      </c>
      <c r="C47" s="20">
        <v>0.30208333333333331</v>
      </c>
      <c r="D47" s="19" t="s">
        <v>89</v>
      </c>
      <c r="E47" s="19" t="s">
        <v>97</v>
      </c>
      <c r="F47" s="19" t="s">
        <v>99</v>
      </c>
      <c r="G47" s="200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5" t="s">
        <v>83</v>
      </c>
      <c r="B48" s="15" t="s">
        <v>104</v>
      </c>
      <c r="C48" s="16">
        <v>0.39583333333333331</v>
      </c>
      <c r="D48" s="15" t="s">
        <v>85</v>
      </c>
      <c r="E48" s="15" t="s">
        <v>105</v>
      </c>
      <c r="F48" s="15" t="s">
        <v>106</v>
      </c>
      <c r="G48" s="200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9" t="s">
        <v>83</v>
      </c>
      <c r="B49" s="19" t="s">
        <v>104</v>
      </c>
      <c r="C49" s="20">
        <v>0.39583333333333331</v>
      </c>
      <c r="D49" s="19" t="s">
        <v>87</v>
      </c>
      <c r="E49" s="19" t="s">
        <v>107</v>
      </c>
      <c r="F49" s="19" t="s">
        <v>108</v>
      </c>
      <c r="G49" s="200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83</v>
      </c>
      <c r="B50" s="19" t="s">
        <v>104</v>
      </c>
      <c r="C50" s="20">
        <v>0.39583333333333331</v>
      </c>
      <c r="D50" s="19" t="s">
        <v>89</v>
      </c>
      <c r="E50" s="19" t="s">
        <v>107</v>
      </c>
      <c r="F50" s="19" t="s">
        <v>109</v>
      </c>
      <c r="G50" s="200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7" t="s">
        <v>110</v>
      </c>
      <c r="B51" s="17" t="s">
        <v>111</v>
      </c>
      <c r="C51" s="18">
        <v>0.22222222222222221</v>
      </c>
      <c r="D51" s="17" t="s">
        <v>112</v>
      </c>
      <c r="E51" s="17" t="s">
        <v>113</v>
      </c>
      <c r="F51" s="17" t="s">
        <v>114</v>
      </c>
      <c r="G51" s="200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9" t="s">
        <v>110</v>
      </c>
      <c r="B52" s="19" t="s">
        <v>111</v>
      </c>
      <c r="C52" s="20">
        <v>0.22222222222222221</v>
      </c>
      <c r="D52" s="19" t="s">
        <v>43</v>
      </c>
      <c r="E52" s="19" t="s">
        <v>97</v>
      </c>
      <c r="F52" s="19" t="s">
        <v>115</v>
      </c>
      <c r="G52" s="200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116</v>
      </c>
      <c r="B53" s="17" t="s">
        <v>117</v>
      </c>
      <c r="C53" s="18">
        <v>0.27430555555555552</v>
      </c>
      <c r="D53" s="17" t="s">
        <v>28</v>
      </c>
      <c r="E53" s="17" t="s">
        <v>29</v>
      </c>
      <c r="F53" s="17" t="s">
        <v>118</v>
      </c>
      <c r="G53" s="200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5" t="s">
        <v>116</v>
      </c>
      <c r="B54" s="15" t="s">
        <v>119</v>
      </c>
      <c r="C54" s="16">
        <v>0.73958333333333337</v>
      </c>
      <c r="D54" s="15" t="s">
        <v>28</v>
      </c>
      <c r="E54" s="15" t="s">
        <v>32</v>
      </c>
      <c r="F54" s="15" t="s">
        <v>120</v>
      </c>
      <c r="G54" s="200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121</v>
      </c>
      <c r="B55" s="17" t="s">
        <v>122</v>
      </c>
      <c r="C55" s="18">
        <v>0.23958333333333329</v>
      </c>
      <c r="D55" s="17" t="s">
        <v>123</v>
      </c>
      <c r="E55" s="17" t="s">
        <v>29</v>
      </c>
      <c r="F55" s="17" t="s">
        <v>124</v>
      </c>
      <c r="G55" s="200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9" t="s">
        <v>121</v>
      </c>
      <c r="B56" s="19" t="s">
        <v>122</v>
      </c>
      <c r="C56" s="20">
        <v>0.23958333333333329</v>
      </c>
      <c r="D56" s="19" t="s">
        <v>125</v>
      </c>
      <c r="E56" s="19" t="s">
        <v>126</v>
      </c>
      <c r="F56" s="19" t="s">
        <v>127</v>
      </c>
      <c r="G56" s="200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121</v>
      </c>
      <c r="B57" s="15" t="s">
        <v>128</v>
      </c>
      <c r="C57" s="16">
        <v>0.37847222222222232</v>
      </c>
      <c r="D57" s="15" t="s">
        <v>123</v>
      </c>
      <c r="E57" s="15" t="s">
        <v>32</v>
      </c>
      <c r="F57" s="15" t="s">
        <v>129</v>
      </c>
      <c r="G57" s="200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9" t="s">
        <v>121</v>
      </c>
      <c r="B58" s="19" t="s">
        <v>128</v>
      </c>
      <c r="C58" s="20">
        <v>0.37847222222222232</v>
      </c>
      <c r="D58" s="19" t="s">
        <v>125</v>
      </c>
      <c r="E58" s="19" t="s">
        <v>126</v>
      </c>
      <c r="F58" s="19" t="s">
        <v>130</v>
      </c>
      <c r="G58" s="200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121</v>
      </c>
      <c r="B59" s="15" t="s">
        <v>131</v>
      </c>
      <c r="C59" s="16">
        <v>6.9444444444444441E-3</v>
      </c>
      <c r="D59" s="15" t="s">
        <v>123</v>
      </c>
      <c r="E59" s="15" t="s">
        <v>32</v>
      </c>
      <c r="F59" s="15" t="s">
        <v>129</v>
      </c>
      <c r="G59" s="200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121</v>
      </c>
      <c r="B60" s="19" t="s">
        <v>131</v>
      </c>
      <c r="C60" s="20">
        <v>6.9444444444444441E-3</v>
      </c>
      <c r="D60" s="19" t="s">
        <v>125</v>
      </c>
      <c r="E60" s="19" t="s">
        <v>126</v>
      </c>
      <c r="F60" s="19" t="s">
        <v>130</v>
      </c>
      <c r="G60" s="200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121</v>
      </c>
      <c r="B61" s="15" t="s">
        <v>132</v>
      </c>
      <c r="C61" s="16">
        <v>0.1423611111111111</v>
      </c>
      <c r="D61" s="15" t="s">
        <v>123</v>
      </c>
      <c r="E61" s="15" t="s">
        <v>32</v>
      </c>
      <c r="F61" s="15" t="s">
        <v>129</v>
      </c>
      <c r="G61" s="200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9" t="s">
        <v>121</v>
      </c>
      <c r="B62" s="19" t="s">
        <v>132</v>
      </c>
      <c r="C62" s="20">
        <v>0.1423611111111111</v>
      </c>
      <c r="D62" s="19" t="s">
        <v>125</v>
      </c>
      <c r="E62" s="19" t="s">
        <v>126</v>
      </c>
      <c r="F62" s="19" t="s">
        <v>130</v>
      </c>
      <c r="G62" s="200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121</v>
      </c>
      <c r="B63" s="15" t="s">
        <v>133</v>
      </c>
      <c r="C63" s="16">
        <v>0.93055555555555547</v>
      </c>
      <c r="D63" s="15" t="s">
        <v>123</v>
      </c>
      <c r="E63" s="15" t="s">
        <v>32</v>
      </c>
      <c r="F63" s="15" t="s">
        <v>129</v>
      </c>
      <c r="G63" s="200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9" t="s">
        <v>121</v>
      </c>
      <c r="B64" s="19" t="s">
        <v>133</v>
      </c>
      <c r="C64" s="20">
        <v>0.93055555555555547</v>
      </c>
      <c r="D64" s="19" t="s">
        <v>125</v>
      </c>
      <c r="E64" s="19" t="s">
        <v>126</v>
      </c>
      <c r="F64" s="19" t="s">
        <v>130</v>
      </c>
      <c r="G64" s="200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5" t="s">
        <v>121</v>
      </c>
      <c r="B65" s="15" t="s">
        <v>134</v>
      </c>
      <c r="C65" s="16">
        <v>0.71875</v>
      </c>
      <c r="D65" s="15" t="s">
        <v>123</v>
      </c>
      <c r="E65" s="15" t="s">
        <v>32</v>
      </c>
      <c r="F65" s="15" t="s">
        <v>135</v>
      </c>
      <c r="G65" s="200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121</v>
      </c>
      <c r="B66" s="19" t="s">
        <v>134</v>
      </c>
      <c r="C66" s="20">
        <v>0.71875</v>
      </c>
      <c r="D66" s="19" t="s">
        <v>125</v>
      </c>
      <c r="E66" s="19" t="s">
        <v>126</v>
      </c>
      <c r="F66" s="19" t="s">
        <v>136</v>
      </c>
      <c r="G66" s="200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121</v>
      </c>
      <c r="B67" s="15" t="s">
        <v>137</v>
      </c>
      <c r="C67" s="16">
        <v>0.88888888888888884</v>
      </c>
      <c r="D67" s="15" t="s">
        <v>125</v>
      </c>
      <c r="E67" s="15" t="s">
        <v>105</v>
      </c>
      <c r="F67" s="15" t="s">
        <v>138</v>
      </c>
      <c r="G67" s="200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121</v>
      </c>
      <c r="B68" s="15" t="s">
        <v>139</v>
      </c>
      <c r="C68" s="16">
        <v>0.30208333333333331</v>
      </c>
      <c r="D68" s="15" t="s">
        <v>125</v>
      </c>
      <c r="E68" s="15" t="s">
        <v>105</v>
      </c>
      <c r="F68" s="15" t="s">
        <v>138</v>
      </c>
      <c r="G68" s="200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5" t="s">
        <v>121</v>
      </c>
      <c r="B69" s="15" t="s">
        <v>140</v>
      </c>
      <c r="C69" s="16">
        <v>0.12847222222222221</v>
      </c>
      <c r="D69" s="15" t="s">
        <v>125</v>
      </c>
      <c r="E69" s="15" t="s">
        <v>105</v>
      </c>
      <c r="F69" s="15" t="s">
        <v>138</v>
      </c>
      <c r="G69" s="200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121</v>
      </c>
      <c r="B70" s="15" t="s">
        <v>141</v>
      </c>
      <c r="C70" s="16">
        <v>0.78819444444444453</v>
      </c>
      <c r="D70" s="15" t="s">
        <v>125</v>
      </c>
      <c r="E70" s="15" t="s">
        <v>105</v>
      </c>
      <c r="F70" s="15" t="s">
        <v>138</v>
      </c>
      <c r="G70" s="200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121</v>
      </c>
      <c r="B71" s="15" t="s">
        <v>142</v>
      </c>
      <c r="C71" s="16">
        <v>0.82986111111111116</v>
      </c>
      <c r="D71" s="15" t="s">
        <v>123</v>
      </c>
      <c r="E71" s="15" t="s">
        <v>32</v>
      </c>
      <c r="F71" s="15" t="s">
        <v>143</v>
      </c>
      <c r="G71" s="200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9" t="s">
        <v>121</v>
      </c>
      <c r="B72" s="19" t="s">
        <v>142</v>
      </c>
      <c r="C72" s="20">
        <v>0.82986111111111116</v>
      </c>
      <c r="D72" s="19" t="s">
        <v>125</v>
      </c>
      <c r="E72" s="19" t="s">
        <v>126</v>
      </c>
      <c r="F72" s="19" t="s">
        <v>144</v>
      </c>
      <c r="G72" s="200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5" t="s">
        <v>121</v>
      </c>
      <c r="B73" s="15" t="s">
        <v>145</v>
      </c>
      <c r="C73" s="16">
        <v>0.61111111111111105</v>
      </c>
      <c r="D73" s="15" t="s">
        <v>123</v>
      </c>
      <c r="E73" s="15" t="s">
        <v>48</v>
      </c>
      <c r="F73" s="15" t="s">
        <v>146</v>
      </c>
      <c r="G73" s="200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9" t="s">
        <v>121</v>
      </c>
      <c r="B74" s="19" t="s">
        <v>145</v>
      </c>
      <c r="C74" s="20">
        <v>0.61111111111111105</v>
      </c>
      <c r="D74" s="19" t="s">
        <v>125</v>
      </c>
      <c r="E74" s="19" t="s">
        <v>49</v>
      </c>
      <c r="F74" s="19" t="s">
        <v>147</v>
      </c>
      <c r="G74" s="200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7" t="s">
        <v>148</v>
      </c>
      <c r="B75" s="17" t="s">
        <v>149</v>
      </c>
      <c r="C75" s="18">
        <v>0.4861111111111111</v>
      </c>
      <c r="D75" s="17" t="s">
        <v>150</v>
      </c>
      <c r="E75" s="17" t="s">
        <v>29</v>
      </c>
      <c r="F75" s="17" t="s">
        <v>151</v>
      </c>
      <c r="G75" s="200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5" t="s">
        <v>148</v>
      </c>
      <c r="B76" s="15" t="s">
        <v>152</v>
      </c>
      <c r="C76" s="16">
        <v>0.51388888888888895</v>
      </c>
      <c r="D76" s="15" t="s">
        <v>150</v>
      </c>
      <c r="E76" s="15" t="s">
        <v>32</v>
      </c>
      <c r="F76" s="15" t="s">
        <v>151</v>
      </c>
      <c r="G76" s="200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5" t="s">
        <v>148</v>
      </c>
      <c r="B77" s="15" t="s">
        <v>153</v>
      </c>
      <c r="C77" s="16">
        <v>0.22222222222222221</v>
      </c>
      <c r="D77" s="15" t="s">
        <v>150</v>
      </c>
      <c r="E77" s="15" t="s">
        <v>32</v>
      </c>
      <c r="F77" s="15" t="s">
        <v>154</v>
      </c>
      <c r="G77" s="200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148</v>
      </c>
      <c r="B78" s="15" t="s">
        <v>155</v>
      </c>
      <c r="C78" s="16">
        <v>0.27777777777777779</v>
      </c>
      <c r="D78" s="15" t="s">
        <v>150</v>
      </c>
      <c r="E78" s="15" t="s">
        <v>32</v>
      </c>
      <c r="F78" s="15" t="s">
        <v>156</v>
      </c>
      <c r="G78" s="200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thickBot="1" x14ac:dyDescent="0.35">
      <c r="A79" s="61" t="s">
        <v>148</v>
      </c>
      <c r="B79" s="61" t="s">
        <v>157</v>
      </c>
      <c r="C79" s="62">
        <v>0.77430555555555547</v>
      </c>
      <c r="D79" s="61" t="s">
        <v>150</v>
      </c>
      <c r="E79" s="61" t="s">
        <v>32</v>
      </c>
      <c r="F79" s="61" t="s">
        <v>158</v>
      </c>
      <c r="G79" s="201"/>
      <c r="H79" s="63"/>
      <c r="I79" s="64"/>
      <c r="J79" s="64"/>
      <c r="K79" s="64"/>
      <c r="L79" s="64"/>
      <c r="M79" s="64"/>
      <c r="N79" s="64"/>
      <c r="O79" s="65"/>
      <c r="P79" s="64"/>
      <c r="Q79" s="66"/>
      <c r="R79" s="67"/>
    </row>
    <row r="80" spans="1:18" ht="17.399999999999999" customHeight="1" thickBot="1" x14ac:dyDescent="0.35">
      <c r="A80" s="225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7"/>
    </row>
    <row r="81" spans="1:18" ht="22.05" customHeight="1" thickTop="1" thickBot="1" x14ac:dyDescent="0.35">
      <c r="A81" s="190" t="s">
        <v>6</v>
      </c>
      <c r="B81" s="191"/>
      <c r="C81" s="191"/>
      <c r="D81" s="191"/>
      <c r="E81" s="191"/>
      <c r="F81" s="192"/>
      <c r="G81" s="68">
        <v>45987</v>
      </c>
      <c r="H81" s="202" t="s">
        <v>7</v>
      </c>
      <c r="I81" s="191"/>
      <c r="J81" s="191"/>
      <c r="K81" s="191"/>
      <c r="L81" s="191"/>
      <c r="M81" s="191"/>
      <c r="N81" s="191"/>
      <c r="O81" s="191"/>
      <c r="P81" s="191"/>
      <c r="Q81" s="191"/>
      <c r="R81" s="192"/>
    </row>
    <row r="82" spans="1:18" ht="24" customHeight="1" x14ac:dyDescent="0.3">
      <c r="A82" s="69" t="s">
        <v>8</v>
      </c>
      <c r="B82" s="69" t="s">
        <v>9</v>
      </c>
      <c r="C82" s="70" t="s">
        <v>10</v>
      </c>
      <c r="D82" s="69" t="s">
        <v>11</v>
      </c>
      <c r="E82" s="69" t="s">
        <v>12</v>
      </c>
      <c r="F82" s="71" t="s">
        <v>13</v>
      </c>
      <c r="G82" s="72" t="s">
        <v>14</v>
      </c>
      <c r="H82" s="69" t="s">
        <v>15</v>
      </c>
      <c r="I82" s="73" t="s">
        <v>16</v>
      </c>
      <c r="J82" s="74" t="s">
        <v>17</v>
      </c>
      <c r="K82" s="75" t="s">
        <v>18</v>
      </c>
      <c r="L82" s="74" t="s">
        <v>19</v>
      </c>
      <c r="M82" s="74" t="s">
        <v>20</v>
      </c>
      <c r="N82" s="74" t="s">
        <v>21</v>
      </c>
      <c r="O82" s="69" t="s">
        <v>22</v>
      </c>
      <c r="P82" s="70" t="s">
        <v>23</v>
      </c>
      <c r="Q82" s="74" t="s">
        <v>24</v>
      </c>
      <c r="R82" s="69" t="s">
        <v>25</v>
      </c>
    </row>
    <row r="83" spans="1:18" ht="15" customHeight="1" x14ac:dyDescent="0.3">
      <c r="A83" s="8" t="s">
        <v>35</v>
      </c>
      <c r="B83" s="8" t="s">
        <v>47</v>
      </c>
      <c r="C83" s="9">
        <v>0.88888888888888884</v>
      </c>
      <c r="D83" s="8" t="s">
        <v>37</v>
      </c>
      <c r="E83" s="8" t="s">
        <v>38</v>
      </c>
      <c r="F83" s="8" t="s">
        <v>159</v>
      </c>
      <c r="G83" s="207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9" t="s">
        <v>35</v>
      </c>
      <c r="B84" s="19" t="s">
        <v>47</v>
      </c>
      <c r="C84" s="20">
        <v>0.88888888888888884</v>
      </c>
      <c r="D84" s="19" t="s">
        <v>40</v>
      </c>
      <c r="E84" s="19" t="s">
        <v>41</v>
      </c>
      <c r="F84" s="19" t="s">
        <v>160</v>
      </c>
      <c r="G84" s="200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35</v>
      </c>
      <c r="B85" s="19" t="s">
        <v>47</v>
      </c>
      <c r="C85" s="20">
        <v>0.88888888888888884</v>
      </c>
      <c r="D85" s="19" t="s">
        <v>43</v>
      </c>
      <c r="E85" s="19" t="s">
        <v>41</v>
      </c>
      <c r="F85" s="19" t="s">
        <v>44</v>
      </c>
      <c r="G85" s="200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5" t="s">
        <v>35</v>
      </c>
      <c r="B86" s="15" t="s">
        <v>36</v>
      </c>
      <c r="C86" s="16">
        <v>0.30208333333333331</v>
      </c>
      <c r="D86" s="15" t="s">
        <v>37</v>
      </c>
      <c r="E86" s="15" t="s">
        <v>51</v>
      </c>
      <c r="F86" s="15" t="s">
        <v>39</v>
      </c>
      <c r="G86" s="200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9" t="s">
        <v>35</v>
      </c>
      <c r="B87" s="19" t="s">
        <v>36</v>
      </c>
      <c r="C87" s="20">
        <v>0.30208333333333331</v>
      </c>
      <c r="D87" s="19" t="s">
        <v>40</v>
      </c>
      <c r="E87" s="19" t="s">
        <v>53</v>
      </c>
      <c r="F87" s="19" t="s">
        <v>42</v>
      </c>
      <c r="G87" s="200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9" t="s">
        <v>35</v>
      </c>
      <c r="B88" s="19" t="s">
        <v>36</v>
      </c>
      <c r="C88" s="20">
        <v>0.30208333333333331</v>
      </c>
      <c r="D88" s="19" t="s">
        <v>43</v>
      </c>
      <c r="E88" s="19" t="s">
        <v>53</v>
      </c>
      <c r="F88" s="19" t="s">
        <v>44</v>
      </c>
      <c r="G88" s="200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15" t="s">
        <v>35</v>
      </c>
      <c r="B89" s="15" t="s">
        <v>50</v>
      </c>
      <c r="C89" s="16">
        <v>0.12847222222222221</v>
      </c>
      <c r="D89" s="15" t="s">
        <v>37</v>
      </c>
      <c r="E89" s="15" t="s">
        <v>46</v>
      </c>
      <c r="F89" s="15" t="s">
        <v>39</v>
      </c>
      <c r="G89" s="200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9" t="s">
        <v>35</v>
      </c>
      <c r="B90" s="19" t="s">
        <v>50</v>
      </c>
      <c r="C90" s="20">
        <v>0.12847222222222221</v>
      </c>
      <c r="D90" s="19" t="s">
        <v>40</v>
      </c>
      <c r="E90" s="19" t="s">
        <v>41</v>
      </c>
      <c r="F90" s="19" t="s">
        <v>42</v>
      </c>
      <c r="G90" s="200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9" t="s">
        <v>35</v>
      </c>
      <c r="B91" s="19" t="s">
        <v>50</v>
      </c>
      <c r="C91" s="20">
        <v>0.12847222222222221</v>
      </c>
      <c r="D91" s="19" t="s">
        <v>43</v>
      </c>
      <c r="E91" s="19" t="s">
        <v>41</v>
      </c>
      <c r="F91" s="19" t="s">
        <v>44</v>
      </c>
      <c r="G91" s="200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35</v>
      </c>
      <c r="B92" s="15" t="s">
        <v>45</v>
      </c>
      <c r="C92" s="16">
        <v>0.78819444444444453</v>
      </c>
      <c r="D92" s="15" t="s">
        <v>37</v>
      </c>
      <c r="E92" s="15" t="s">
        <v>161</v>
      </c>
      <c r="F92" s="15" t="s">
        <v>39</v>
      </c>
      <c r="G92" s="200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9" t="s">
        <v>35</v>
      </c>
      <c r="B93" s="19" t="s">
        <v>45</v>
      </c>
      <c r="C93" s="20">
        <v>0.78819444444444453</v>
      </c>
      <c r="D93" s="19" t="s">
        <v>40</v>
      </c>
      <c r="E93" s="19" t="s">
        <v>162</v>
      </c>
      <c r="F93" s="19" t="s">
        <v>42</v>
      </c>
      <c r="G93" s="200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9" t="s">
        <v>35</v>
      </c>
      <c r="B94" s="19" t="s">
        <v>45</v>
      </c>
      <c r="C94" s="20">
        <v>0.78819444444444453</v>
      </c>
      <c r="D94" s="19" t="s">
        <v>43</v>
      </c>
      <c r="E94" s="19" t="s">
        <v>162</v>
      </c>
      <c r="F94" s="19" t="s">
        <v>44</v>
      </c>
      <c r="G94" s="200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116</v>
      </c>
      <c r="B95" s="17" t="s">
        <v>117</v>
      </c>
      <c r="C95" s="18">
        <v>0.27083333333333331</v>
      </c>
      <c r="D95" s="17" t="s">
        <v>28</v>
      </c>
      <c r="E95" s="17" t="s">
        <v>163</v>
      </c>
      <c r="F95" s="17" t="s">
        <v>164</v>
      </c>
      <c r="G95" s="200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5" t="s">
        <v>116</v>
      </c>
      <c r="B96" s="15" t="s">
        <v>119</v>
      </c>
      <c r="C96" s="16">
        <v>0.86111111111111116</v>
      </c>
      <c r="D96" s="15" t="s">
        <v>28</v>
      </c>
      <c r="E96" s="15" t="s">
        <v>92</v>
      </c>
      <c r="F96" s="15" t="s">
        <v>165</v>
      </c>
      <c r="G96" s="200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76" t="s">
        <v>55</v>
      </c>
      <c r="B97" s="76" t="s">
        <v>73</v>
      </c>
      <c r="C97" s="77">
        <v>0.52083333333333337</v>
      </c>
      <c r="D97" s="76" t="s">
        <v>57</v>
      </c>
      <c r="E97" s="76" t="s">
        <v>29</v>
      </c>
      <c r="F97" s="76" t="s">
        <v>30</v>
      </c>
      <c r="G97" s="200"/>
      <c r="H97" s="78" t="s">
        <v>75</v>
      </c>
      <c r="I97" s="79">
        <v>0.70950000000000002</v>
      </c>
      <c r="J97" s="80">
        <v>127</v>
      </c>
      <c r="K97" s="81">
        <v>45982</v>
      </c>
      <c r="L97" s="80">
        <v>58</v>
      </c>
      <c r="M97" s="80">
        <v>3</v>
      </c>
      <c r="N97" s="80">
        <v>10</v>
      </c>
      <c r="O97" s="82" t="s">
        <v>166</v>
      </c>
      <c r="P97" s="83">
        <v>0.52083333333333337</v>
      </c>
      <c r="Q97" s="80">
        <v>179</v>
      </c>
      <c r="R97" s="84" t="s">
        <v>167</v>
      </c>
    </row>
    <row r="98" spans="1:18" ht="15" customHeight="1" x14ac:dyDescent="0.3">
      <c r="A98" s="42" t="s">
        <v>55</v>
      </c>
      <c r="B98" s="42" t="s">
        <v>65</v>
      </c>
      <c r="C98" s="43">
        <v>0.51736111111111105</v>
      </c>
      <c r="D98" s="42" t="s">
        <v>57</v>
      </c>
      <c r="E98" s="42" t="s">
        <v>32</v>
      </c>
      <c r="F98" s="42" t="s">
        <v>30</v>
      </c>
      <c r="G98" s="200"/>
      <c r="H98" s="44" t="s">
        <v>66</v>
      </c>
      <c r="I98" s="85">
        <v>0.37990000000000002</v>
      </c>
      <c r="J98" s="46">
        <v>68</v>
      </c>
      <c r="K98" s="47">
        <v>45981</v>
      </c>
      <c r="L98" s="46">
        <v>46</v>
      </c>
      <c r="M98" s="46">
        <v>0</v>
      </c>
      <c r="N98" s="46">
        <v>3</v>
      </c>
      <c r="O98" s="48" t="s">
        <v>166</v>
      </c>
      <c r="P98" s="49">
        <v>0.51736111111111105</v>
      </c>
      <c r="Q98" s="46">
        <v>179</v>
      </c>
      <c r="R98" s="50" t="s">
        <v>168</v>
      </c>
    </row>
    <row r="99" spans="1:18" ht="15" customHeight="1" x14ac:dyDescent="0.3">
      <c r="A99" s="30" t="s">
        <v>55</v>
      </c>
      <c r="B99" s="30" t="s">
        <v>68</v>
      </c>
      <c r="C99" s="31">
        <v>0.61458333333333337</v>
      </c>
      <c r="D99" s="30" t="s">
        <v>57</v>
      </c>
      <c r="E99" s="30" t="s">
        <v>32</v>
      </c>
      <c r="F99" s="30" t="s">
        <v>58</v>
      </c>
      <c r="G99" s="200"/>
      <c r="H99" s="32" t="s">
        <v>70</v>
      </c>
      <c r="I99" s="41">
        <v>0.6089</v>
      </c>
      <c r="J99" s="34">
        <v>109</v>
      </c>
      <c r="K99" s="35">
        <v>45980</v>
      </c>
      <c r="L99" s="34">
        <v>23</v>
      </c>
      <c r="M99" s="34">
        <v>0</v>
      </c>
      <c r="N99" s="34">
        <v>0</v>
      </c>
      <c r="O99" s="36" t="s">
        <v>60</v>
      </c>
      <c r="P99" s="37">
        <v>0.61458333333333337</v>
      </c>
      <c r="Q99" s="34">
        <v>179</v>
      </c>
      <c r="R99" s="38" t="s">
        <v>169</v>
      </c>
    </row>
    <row r="100" spans="1:18" ht="15" customHeight="1" x14ac:dyDescent="0.3">
      <c r="A100" s="17" t="s">
        <v>26</v>
      </c>
      <c r="B100" s="17" t="s">
        <v>33</v>
      </c>
      <c r="C100" s="18">
        <v>0.9375</v>
      </c>
      <c r="D100" s="17" t="s">
        <v>28</v>
      </c>
      <c r="E100" s="17" t="s">
        <v>170</v>
      </c>
      <c r="F100" s="17" t="s">
        <v>30</v>
      </c>
      <c r="G100" s="200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5" t="s">
        <v>26</v>
      </c>
      <c r="B101" s="15" t="s">
        <v>27</v>
      </c>
      <c r="C101" s="16">
        <v>0.37152777777777768</v>
      </c>
      <c r="D101" s="15" t="s">
        <v>28</v>
      </c>
      <c r="E101" s="15" t="s">
        <v>32</v>
      </c>
      <c r="F101" s="15" t="s">
        <v>30</v>
      </c>
      <c r="G101" s="200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7" t="s">
        <v>83</v>
      </c>
      <c r="B102" s="17" t="s">
        <v>103</v>
      </c>
      <c r="C102" s="18">
        <v>0.30208333333333331</v>
      </c>
      <c r="D102" s="17" t="s">
        <v>85</v>
      </c>
      <c r="E102" s="17" t="s">
        <v>171</v>
      </c>
      <c r="F102" s="17" t="s">
        <v>86</v>
      </c>
      <c r="G102" s="200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9" t="s">
        <v>83</v>
      </c>
      <c r="B103" s="19" t="s">
        <v>103</v>
      </c>
      <c r="C103" s="20">
        <v>0.30208333333333331</v>
      </c>
      <c r="D103" s="19" t="s">
        <v>87</v>
      </c>
      <c r="E103" s="19" t="s">
        <v>53</v>
      </c>
      <c r="F103" s="19" t="s">
        <v>88</v>
      </c>
      <c r="G103" s="200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9" t="s">
        <v>83</v>
      </c>
      <c r="B104" s="19" t="s">
        <v>103</v>
      </c>
      <c r="C104" s="20">
        <v>0.30208333333333331</v>
      </c>
      <c r="D104" s="19" t="s">
        <v>89</v>
      </c>
      <c r="E104" s="19" t="s">
        <v>53</v>
      </c>
      <c r="F104" s="19" t="s">
        <v>90</v>
      </c>
      <c r="G104" s="200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5" t="s">
        <v>83</v>
      </c>
      <c r="B105" s="15" t="s">
        <v>94</v>
      </c>
      <c r="C105" s="16">
        <v>0.25694444444444448</v>
      </c>
      <c r="D105" s="15" t="s">
        <v>85</v>
      </c>
      <c r="E105" s="15" t="s">
        <v>95</v>
      </c>
      <c r="F105" s="15" t="s">
        <v>96</v>
      </c>
      <c r="G105" s="200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83</v>
      </c>
      <c r="B106" s="19" t="s">
        <v>94</v>
      </c>
      <c r="C106" s="20">
        <v>0.25694444444444448</v>
      </c>
      <c r="D106" s="19" t="s">
        <v>87</v>
      </c>
      <c r="E106" s="19" t="s">
        <v>97</v>
      </c>
      <c r="F106" s="19" t="s">
        <v>98</v>
      </c>
      <c r="G106" s="200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9" t="s">
        <v>83</v>
      </c>
      <c r="B107" s="19" t="s">
        <v>94</v>
      </c>
      <c r="C107" s="20">
        <v>0.25694444444444448</v>
      </c>
      <c r="D107" s="19" t="s">
        <v>89</v>
      </c>
      <c r="E107" s="19" t="s">
        <v>97</v>
      </c>
      <c r="F107" s="19" t="s">
        <v>99</v>
      </c>
      <c r="G107" s="200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5" t="s">
        <v>83</v>
      </c>
      <c r="B108" s="15" t="s">
        <v>84</v>
      </c>
      <c r="C108" s="16">
        <v>0.90277777777777779</v>
      </c>
      <c r="D108" s="15" t="s">
        <v>85</v>
      </c>
      <c r="E108" s="15" t="s">
        <v>105</v>
      </c>
      <c r="F108" s="15" t="s">
        <v>96</v>
      </c>
      <c r="G108" s="200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9" t="s">
        <v>83</v>
      </c>
      <c r="B109" s="19" t="s">
        <v>84</v>
      </c>
      <c r="C109" s="20">
        <v>0.90277777777777779</v>
      </c>
      <c r="D109" s="19" t="s">
        <v>87</v>
      </c>
      <c r="E109" s="19" t="s">
        <v>107</v>
      </c>
      <c r="F109" s="19" t="s">
        <v>98</v>
      </c>
      <c r="G109" s="200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9" t="s">
        <v>83</v>
      </c>
      <c r="B110" s="19" t="s">
        <v>84</v>
      </c>
      <c r="C110" s="20">
        <v>0.90277777777777779</v>
      </c>
      <c r="D110" s="19" t="s">
        <v>89</v>
      </c>
      <c r="E110" s="19" t="s">
        <v>107</v>
      </c>
      <c r="F110" s="19" t="s">
        <v>99</v>
      </c>
      <c r="G110" s="200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5" t="s">
        <v>83</v>
      </c>
      <c r="B111" s="15" t="s">
        <v>100</v>
      </c>
      <c r="C111" s="16">
        <v>0.64583333333333337</v>
      </c>
      <c r="D111" s="15" t="s">
        <v>85</v>
      </c>
      <c r="E111" s="15" t="s">
        <v>69</v>
      </c>
      <c r="F111" s="15" t="s">
        <v>96</v>
      </c>
      <c r="G111" s="200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9" t="s">
        <v>83</v>
      </c>
      <c r="B112" s="19" t="s">
        <v>100</v>
      </c>
      <c r="C112" s="20">
        <v>0.64583333333333337</v>
      </c>
      <c r="D112" s="19" t="s">
        <v>87</v>
      </c>
      <c r="E112" s="19" t="s">
        <v>172</v>
      </c>
      <c r="F112" s="19" t="s">
        <v>98</v>
      </c>
      <c r="G112" s="200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9" t="s">
        <v>83</v>
      </c>
      <c r="B113" s="19" t="s">
        <v>100</v>
      </c>
      <c r="C113" s="20">
        <v>0.64583333333333337</v>
      </c>
      <c r="D113" s="19" t="s">
        <v>89</v>
      </c>
      <c r="E113" s="19" t="s">
        <v>172</v>
      </c>
      <c r="F113" s="19" t="s">
        <v>99</v>
      </c>
      <c r="G113" s="200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83</v>
      </c>
      <c r="B114" s="15" t="s">
        <v>101</v>
      </c>
      <c r="C114" s="16">
        <v>0.51736111111111105</v>
      </c>
      <c r="D114" s="15" t="s">
        <v>85</v>
      </c>
      <c r="E114" s="15" t="s">
        <v>95</v>
      </c>
      <c r="F114" s="15" t="s">
        <v>96</v>
      </c>
      <c r="G114" s="200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9" t="s">
        <v>83</v>
      </c>
      <c r="B115" s="19" t="s">
        <v>101</v>
      </c>
      <c r="C115" s="20">
        <v>0.51736111111111105</v>
      </c>
      <c r="D115" s="19" t="s">
        <v>87</v>
      </c>
      <c r="E115" s="19" t="s">
        <v>97</v>
      </c>
      <c r="F115" s="19" t="s">
        <v>98</v>
      </c>
      <c r="G115" s="200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9" t="s">
        <v>83</v>
      </c>
      <c r="B116" s="19" t="s">
        <v>101</v>
      </c>
      <c r="C116" s="20">
        <v>0.51736111111111105</v>
      </c>
      <c r="D116" s="19" t="s">
        <v>89</v>
      </c>
      <c r="E116" s="19" t="s">
        <v>97</v>
      </c>
      <c r="F116" s="19" t="s">
        <v>99</v>
      </c>
      <c r="G116" s="200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15" t="s">
        <v>83</v>
      </c>
      <c r="B117" s="15" t="s">
        <v>102</v>
      </c>
      <c r="C117" s="16">
        <v>0.85416666666666663</v>
      </c>
      <c r="D117" s="15" t="s">
        <v>85</v>
      </c>
      <c r="E117" s="15" t="s">
        <v>92</v>
      </c>
      <c r="F117" s="15" t="s">
        <v>96</v>
      </c>
      <c r="G117" s="200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9" t="s">
        <v>83</v>
      </c>
      <c r="B118" s="19" t="s">
        <v>102</v>
      </c>
      <c r="C118" s="20">
        <v>0.85416666666666663</v>
      </c>
      <c r="D118" s="19" t="s">
        <v>87</v>
      </c>
      <c r="E118" s="19" t="s">
        <v>93</v>
      </c>
      <c r="F118" s="19" t="s">
        <v>98</v>
      </c>
      <c r="G118" s="200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9" t="s">
        <v>83</v>
      </c>
      <c r="B119" s="19" t="s">
        <v>102</v>
      </c>
      <c r="C119" s="20">
        <v>0.85416666666666663</v>
      </c>
      <c r="D119" s="19" t="s">
        <v>89</v>
      </c>
      <c r="E119" s="19" t="s">
        <v>93</v>
      </c>
      <c r="F119" s="19" t="s">
        <v>99</v>
      </c>
      <c r="G119" s="200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5" t="s">
        <v>83</v>
      </c>
      <c r="B120" s="15" t="s">
        <v>104</v>
      </c>
      <c r="C120" s="16">
        <v>0.39583333333333331</v>
      </c>
      <c r="D120" s="15" t="s">
        <v>85</v>
      </c>
      <c r="E120" s="15" t="s">
        <v>95</v>
      </c>
      <c r="F120" s="15" t="s">
        <v>96</v>
      </c>
      <c r="G120" s="200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9" t="s">
        <v>83</v>
      </c>
      <c r="B121" s="19" t="s">
        <v>104</v>
      </c>
      <c r="C121" s="20">
        <v>0.39583333333333331</v>
      </c>
      <c r="D121" s="19" t="s">
        <v>87</v>
      </c>
      <c r="E121" s="19" t="s">
        <v>97</v>
      </c>
      <c r="F121" s="19" t="s">
        <v>98</v>
      </c>
      <c r="G121" s="200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9" t="s">
        <v>83</v>
      </c>
      <c r="B122" s="19" t="s">
        <v>104</v>
      </c>
      <c r="C122" s="20">
        <v>0.39583333333333331</v>
      </c>
      <c r="D122" s="19" t="s">
        <v>89</v>
      </c>
      <c r="E122" s="19" t="s">
        <v>97</v>
      </c>
      <c r="F122" s="19" t="s">
        <v>99</v>
      </c>
      <c r="G122" s="200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5" t="s">
        <v>83</v>
      </c>
      <c r="B123" s="15" t="s">
        <v>91</v>
      </c>
      <c r="C123" s="16">
        <v>0.79861111111111116</v>
      </c>
      <c r="D123" s="15" t="s">
        <v>85</v>
      </c>
      <c r="E123" s="15" t="s">
        <v>95</v>
      </c>
      <c r="F123" s="15" t="s">
        <v>96</v>
      </c>
      <c r="G123" s="200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9" t="s">
        <v>83</v>
      </c>
      <c r="B124" s="19" t="s">
        <v>91</v>
      </c>
      <c r="C124" s="20">
        <v>0.79861111111111116</v>
      </c>
      <c r="D124" s="19" t="s">
        <v>87</v>
      </c>
      <c r="E124" s="19" t="s">
        <v>97</v>
      </c>
      <c r="F124" s="19" t="s">
        <v>98</v>
      </c>
      <c r="G124" s="200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9" t="s">
        <v>83</v>
      </c>
      <c r="B125" s="19" t="s">
        <v>91</v>
      </c>
      <c r="C125" s="20">
        <v>0.79861111111111116</v>
      </c>
      <c r="D125" s="19" t="s">
        <v>89</v>
      </c>
      <c r="E125" s="19" t="s">
        <v>97</v>
      </c>
      <c r="F125" s="19" t="s">
        <v>99</v>
      </c>
      <c r="G125" s="200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7" t="s">
        <v>110</v>
      </c>
      <c r="B126" s="17" t="s">
        <v>173</v>
      </c>
      <c r="C126" s="18">
        <v>0.3923611111111111</v>
      </c>
      <c r="D126" s="17" t="s">
        <v>112</v>
      </c>
      <c r="E126" s="17" t="s">
        <v>113</v>
      </c>
      <c r="F126" s="17" t="s">
        <v>114</v>
      </c>
      <c r="G126" s="200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9" t="s">
        <v>110</v>
      </c>
      <c r="B127" s="19" t="s">
        <v>173</v>
      </c>
      <c r="C127" s="20">
        <v>0.3923611111111111</v>
      </c>
      <c r="D127" s="19" t="s">
        <v>43</v>
      </c>
      <c r="E127" s="19" t="s">
        <v>97</v>
      </c>
      <c r="F127" s="19" t="s">
        <v>115</v>
      </c>
      <c r="G127" s="200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7" t="s">
        <v>148</v>
      </c>
      <c r="B128" s="17" t="s">
        <v>174</v>
      </c>
      <c r="C128" s="18">
        <v>0.78472222222222221</v>
      </c>
      <c r="D128" s="17" t="s">
        <v>150</v>
      </c>
      <c r="E128" s="17" t="s">
        <v>29</v>
      </c>
      <c r="F128" s="17" t="s">
        <v>175</v>
      </c>
      <c r="G128" s="200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5" t="s">
        <v>148</v>
      </c>
      <c r="B129" s="15" t="s">
        <v>176</v>
      </c>
      <c r="C129" s="16">
        <v>0.14583333333333329</v>
      </c>
      <c r="D129" s="15" t="s">
        <v>150</v>
      </c>
      <c r="E129" s="15" t="s">
        <v>32</v>
      </c>
      <c r="F129" s="15" t="s">
        <v>177</v>
      </c>
      <c r="G129" s="200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5" t="s">
        <v>148</v>
      </c>
      <c r="B130" s="15" t="s">
        <v>149</v>
      </c>
      <c r="C130" s="16">
        <v>0.4861111111111111</v>
      </c>
      <c r="D130" s="15" t="s">
        <v>150</v>
      </c>
      <c r="E130" s="15" t="s">
        <v>32</v>
      </c>
      <c r="F130" s="15" t="s">
        <v>178</v>
      </c>
      <c r="G130" s="200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5" t="s">
        <v>148</v>
      </c>
      <c r="B131" s="15" t="s">
        <v>155</v>
      </c>
      <c r="C131" s="16">
        <v>0.27430555555555552</v>
      </c>
      <c r="D131" s="15" t="s">
        <v>150</v>
      </c>
      <c r="E131" s="15" t="s">
        <v>32</v>
      </c>
      <c r="F131" s="15" t="s">
        <v>178</v>
      </c>
      <c r="G131" s="200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5" t="s">
        <v>148</v>
      </c>
      <c r="B132" s="15" t="s">
        <v>152</v>
      </c>
      <c r="C132" s="16">
        <v>0.50694444444444442</v>
      </c>
      <c r="D132" s="15" t="s">
        <v>150</v>
      </c>
      <c r="E132" s="15" t="s">
        <v>32</v>
      </c>
      <c r="F132" s="15" t="s">
        <v>178</v>
      </c>
      <c r="G132" s="200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15" t="s">
        <v>148</v>
      </c>
      <c r="B133" s="15" t="s">
        <v>179</v>
      </c>
      <c r="C133" s="16">
        <v>0.95833333333333337</v>
      </c>
      <c r="D133" s="15" t="s">
        <v>150</v>
      </c>
      <c r="E133" s="15" t="s">
        <v>32</v>
      </c>
      <c r="F133" s="15" t="s">
        <v>178</v>
      </c>
      <c r="G133" s="200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148</v>
      </c>
      <c r="B134" s="15" t="s">
        <v>153</v>
      </c>
      <c r="C134" s="16">
        <v>0.22222222222222221</v>
      </c>
      <c r="D134" s="15" t="s">
        <v>150</v>
      </c>
      <c r="E134" s="15" t="s">
        <v>32</v>
      </c>
      <c r="F134" s="15" t="s">
        <v>178</v>
      </c>
      <c r="G134" s="200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5" t="s">
        <v>148</v>
      </c>
      <c r="B135" s="15" t="s">
        <v>180</v>
      </c>
      <c r="C135" s="16">
        <v>1.388888888888889E-2</v>
      </c>
      <c r="D135" s="15" t="s">
        <v>150</v>
      </c>
      <c r="E135" s="15" t="s">
        <v>32</v>
      </c>
      <c r="F135" s="15" t="s">
        <v>181</v>
      </c>
      <c r="G135" s="200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5" t="s">
        <v>148</v>
      </c>
      <c r="B136" s="15" t="s">
        <v>157</v>
      </c>
      <c r="C136" s="16">
        <v>0.77430555555555547</v>
      </c>
      <c r="D136" s="15" t="s">
        <v>150</v>
      </c>
      <c r="E136" s="15" t="s">
        <v>105</v>
      </c>
      <c r="F136" s="15" t="s">
        <v>158</v>
      </c>
      <c r="G136" s="200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7" t="s">
        <v>121</v>
      </c>
      <c r="B137" s="17" t="s">
        <v>132</v>
      </c>
      <c r="C137" s="18">
        <v>0.1423611111111111</v>
      </c>
      <c r="D137" s="17" t="s">
        <v>123</v>
      </c>
      <c r="E137" s="17" t="s">
        <v>170</v>
      </c>
      <c r="F137" s="17" t="s">
        <v>124</v>
      </c>
      <c r="G137" s="200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9" t="s">
        <v>121</v>
      </c>
      <c r="B138" s="19" t="s">
        <v>132</v>
      </c>
      <c r="C138" s="20">
        <v>0.1423611111111111</v>
      </c>
      <c r="D138" s="19" t="s">
        <v>125</v>
      </c>
      <c r="E138" s="19" t="s">
        <v>93</v>
      </c>
      <c r="F138" s="19" t="s">
        <v>127</v>
      </c>
      <c r="G138" s="200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15" t="s">
        <v>121</v>
      </c>
      <c r="B139" s="15" t="s">
        <v>128</v>
      </c>
      <c r="C139" s="16">
        <v>0.37847222222222232</v>
      </c>
      <c r="D139" s="15" t="s">
        <v>123</v>
      </c>
      <c r="E139" s="15" t="s">
        <v>32</v>
      </c>
      <c r="F139" s="15" t="s">
        <v>129</v>
      </c>
      <c r="G139" s="200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9" t="s">
        <v>121</v>
      </c>
      <c r="B140" s="19" t="s">
        <v>128</v>
      </c>
      <c r="C140" s="20">
        <v>0.37847222222222232</v>
      </c>
      <c r="D140" s="19" t="s">
        <v>125</v>
      </c>
      <c r="E140" s="19" t="s">
        <v>126</v>
      </c>
      <c r="F140" s="19" t="s">
        <v>130</v>
      </c>
      <c r="G140" s="200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5" t="s">
        <v>121</v>
      </c>
      <c r="B141" s="15" t="s">
        <v>131</v>
      </c>
      <c r="C141" s="16">
        <v>6.9444444444444441E-3</v>
      </c>
      <c r="D141" s="15" t="s">
        <v>123</v>
      </c>
      <c r="E141" s="15" t="s">
        <v>32</v>
      </c>
      <c r="F141" s="15" t="s">
        <v>129</v>
      </c>
      <c r="G141" s="200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9" t="s">
        <v>121</v>
      </c>
      <c r="B142" s="19" t="s">
        <v>131</v>
      </c>
      <c r="C142" s="20">
        <v>6.9444444444444441E-3</v>
      </c>
      <c r="D142" s="19" t="s">
        <v>125</v>
      </c>
      <c r="E142" s="19" t="s">
        <v>126</v>
      </c>
      <c r="F142" s="19" t="s">
        <v>130</v>
      </c>
      <c r="G142" s="200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5" t="s">
        <v>121</v>
      </c>
      <c r="B143" s="15" t="s">
        <v>122</v>
      </c>
      <c r="C143" s="16">
        <v>0.23958333333333329</v>
      </c>
      <c r="D143" s="15" t="s">
        <v>123</v>
      </c>
      <c r="E143" s="15" t="s">
        <v>32</v>
      </c>
      <c r="F143" s="15" t="s">
        <v>129</v>
      </c>
      <c r="G143" s="200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9" t="s">
        <v>121</v>
      </c>
      <c r="B144" s="19" t="s">
        <v>122</v>
      </c>
      <c r="C144" s="20">
        <v>0.23958333333333329</v>
      </c>
      <c r="D144" s="19" t="s">
        <v>125</v>
      </c>
      <c r="E144" s="19" t="s">
        <v>126</v>
      </c>
      <c r="F144" s="19" t="s">
        <v>130</v>
      </c>
      <c r="G144" s="200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15" t="s">
        <v>121</v>
      </c>
      <c r="B145" s="15" t="s">
        <v>133</v>
      </c>
      <c r="C145" s="16">
        <v>0.93055555555555547</v>
      </c>
      <c r="D145" s="15" t="s">
        <v>123</v>
      </c>
      <c r="E145" s="15" t="s">
        <v>32</v>
      </c>
      <c r="F145" s="15" t="s">
        <v>182</v>
      </c>
      <c r="G145" s="200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9" t="s">
        <v>121</v>
      </c>
      <c r="B146" s="19" t="s">
        <v>133</v>
      </c>
      <c r="C146" s="20">
        <v>0.93055555555555547</v>
      </c>
      <c r="D146" s="19" t="s">
        <v>125</v>
      </c>
      <c r="E146" s="19" t="s">
        <v>126</v>
      </c>
      <c r="F146" s="19" t="s">
        <v>183</v>
      </c>
      <c r="G146" s="200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5" t="s">
        <v>121</v>
      </c>
      <c r="B147" s="15" t="s">
        <v>137</v>
      </c>
      <c r="C147" s="16">
        <v>0.88888888888888884</v>
      </c>
      <c r="D147" s="15" t="s">
        <v>125</v>
      </c>
      <c r="E147" s="15" t="s">
        <v>105</v>
      </c>
      <c r="F147" s="15" t="s">
        <v>138</v>
      </c>
      <c r="G147" s="200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15" t="s">
        <v>121</v>
      </c>
      <c r="B148" s="15" t="s">
        <v>139</v>
      </c>
      <c r="C148" s="16">
        <v>0.30208333333333331</v>
      </c>
      <c r="D148" s="15" t="s">
        <v>125</v>
      </c>
      <c r="E148" s="15" t="s">
        <v>105</v>
      </c>
      <c r="F148" s="15" t="s">
        <v>138</v>
      </c>
      <c r="G148" s="200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121</v>
      </c>
      <c r="B149" s="15" t="s">
        <v>140</v>
      </c>
      <c r="C149" s="16">
        <v>0.12847222222222221</v>
      </c>
      <c r="D149" s="15" t="s">
        <v>125</v>
      </c>
      <c r="E149" s="15" t="s">
        <v>105</v>
      </c>
      <c r="F149" s="15" t="s">
        <v>138</v>
      </c>
      <c r="G149" s="200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15" t="s">
        <v>121</v>
      </c>
      <c r="B150" s="15" t="s">
        <v>141</v>
      </c>
      <c r="C150" s="16">
        <v>0.78819444444444453</v>
      </c>
      <c r="D150" s="15" t="s">
        <v>125</v>
      </c>
      <c r="E150" s="15" t="s">
        <v>105</v>
      </c>
      <c r="F150" s="15" t="s">
        <v>138</v>
      </c>
      <c r="G150" s="200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15" t="s">
        <v>121</v>
      </c>
      <c r="B151" s="15" t="s">
        <v>134</v>
      </c>
      <c r="C151" s="16">
        <v>0.71875</v>
      </c>
      <c r="D151" s="15" t="s">
        <v>123</v>
      </c>
      <c r="E151" s="15" t="s">
        <v>32</v>
      </c>
      <c r="F151" s="15" t="s">
        <v>143</v>
      </c>
      <c r="G151" s="200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9" t="s">
        <v>121</v>
      </c>
      <c r="B152" s="19" t="s">
        <v>134</v>
      </c>
      <c r="C152" s="20">
        <v>0.71875</v>
      </c>
      <c r="D152" s="19" t="s">
        <v>125</v>
      </c>
      <c r="E152" s="19" t="s">
        <v>126</v>
      </c>
      <c r="F152" s="19" t="s">
        <v>144</v>
      </c>
      <c r="G152" s="200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5" t="s">
        <v>121</v>
      </c>
      <c r="B153" s="15" t="s">
        <v>145</v>
      </c>
      <c r="C153" s="16">
        <v>0.61111111111111105</v>
      </c>
      <c r="D153" s="15" t="s">
        <v>123</v>
      </c>
      <c r="E153" s="15" t="s">
        <v>32</v>
      </c>
      <c r="F153" s="15" t="s">
        <v>143</v>
      </c>
      <c r="G153" s="200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9" t="s">
        <v>121</v>
      </c>
      <c r="B154" s="19" t="s">
        <v>145</v>
      </c>
      <c r="C154" s="20">
        <v>0.61111111111111105</v>
      </c>
      <c r="D154" s="19" t="s">
        <v>125</v>
      </c>
      <c r="E154" s="19" t="s">
        <v>126</v>
      </c>
      <c r="F154" s="19" t="s">
        <v>144</v>
      </c>
      <c r="G154" s="200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5" t="s">
        <v>121</v>
      </c>
      <c r="B155" s="15" t="s">
        <v>142</v>
      </c>
      <c r="C155" s="16">
        <v>0.82986111111111116</v>
      </c>
      <c r="D155" s="15" t="s">
        <v>123</v>
      </c>
      <c r="E155" s="15" t="s">
        <v>32</v>
      </c>
      <c r="F155" s="15" t="s">
        <v>143</v>
      </c>
      <c r="G155" s="200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thickBot="1" x14ac:dyDescent="0.35">
      <c r="A156" s="86" t="s">
        <v>121</v>
      </c>
      <c r="B156" s="86" t="s">
        <v>142</v>
      </c>
      <c r="C156" s="87">
        <v>0.82986111111111116</v>
      </c>
      <c r="D156" s="86" t="s">
        <v>125</v>
      </c>
      <c r="E156" s="86" t="s">
        <v>126</v>
      </c>
      <c r="F156" s="86" t="s">
        <v>144</v>
      </c>
      <c r="G156" s="201"/>
      <c r="H156" s="63"/>
      <c r="I156" s="64"/>
      <c r="J156" s="64"/>
      <c r="K156" s="64"/>
      <c r="L156" s="64"/>
      <c r="M156" s="64"/>
      <c r="N156" s="64"/>
      <c r="O156" s="65"/>
      <c r="P156" s="64"/>
      <c r="Q156" s="66"/>
      <c r="R156" s="67"/>
    </row>
    <row r="157" spans="1:18" ht="17.399999999999999" customHeight="1" thickBot="1" x14ac:dyDescent="0.35">
      <c r="A157" s="225"/>
      <c r="B157" s="226"/>
      <c r="C157" s="226"/>
      <c r="D157" s="226"/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7"/>
    </row>
    <row r="158" spans="1:18" ht="22.05" customHeight="1" thickTop="1" thickBot="1" x14ac:dyDescent="0.35">
      <c r="A158" s="190" t="s">
        <v>6</v>
      </c>
      <c r="B158" s="191"/>
      <c r="C158" s="191"/>
      <c r="D158" s="191"/>
      <c r="E158" s="191"/>
      <c r="F158" s="192"/>
      <c r="G158" s="68">
        <v>45988</v>
      </c>
      <c r="H158" s="202" t="s">
        <v>7</v>
      </c>
      <c r="I158" s="191"/>
      <c r="J158" s="191"/>
      <c r="K158" s="191"/>
      <c r="L158" s="191"/>
      <c r="M158" s="191"/>
      <c r="N158" s="191"/>
      <c r="O158" s="191"/>
      <c r="P158" s="191"/>
      <c r="Q158" s="191"/>
      <c r="R158" s="192"/>
    </row>
    <row r="159" spans="1:18" ht="24" customHeight="1" x14ac:dyDescent="0.3">
      <c r="A159" s="69" t="s">
        <v>8</v>
      </c>
      <c r="B159" s="69" t="s">
        <v>9</v>
      </c>
      <c r="C159" s="70" t="s">
        <v>10</v>
      </c>
      <c r="D159" s="69" t="s">
        <v>11</v>
      </c>
      <c r="E159" s="69" t="s">
        <v>12</v>
      </c>
      <c r="F159" s="71" t="s">
        <v>13</v>
      </c>
      <c r="G159" s="72" t="s">
        <v>14</v>
      </c>
      <c r="H159" s="69" t="s">
        <v>15</v>
      </c>
      <c r="I159" s="73" t="s">
        <v>16</v>
      </c>
      <c r="J159" s="74" t="s">
        <v>17</v>
      </c>
      <c r="K159" s="75" t="s">
        <v>18</v>
      </c>
      <c r="L159" s="74" t="s">
        <v>19</v>
      </c>
      <c r="M159" s="74" t="s">
        <v>20</v>
      </c>
      <c r="N159" s="74" t="s">
        <v>21</v>
      </c>
      <c r="O159" s="69" t="s">
        <v>22</v>
      </c>
      <c r="P159" s="70" t="s">
        <v>23</v>
      </c>
      <c r="Q159" s="74" t="s">
        <v>24</v>
      </c>
      <c r="R159" s="69" t="s">
        <v>25</v>
      </c>
    </row>
    <row r="160" spans="1:18" ht="15" customHeight="1" x14ac:dyDescent="0.3">
      <c r="A160" s="8" t="s">
        <v>35</v>
      </c>
      <c r="B160" s="8" t="s">
        <v>36</v>
      </c>
      <c r="C160" s="9">
        <v>0.30208333333333331</v>
      </c>
      <c r="D160" s="8" t="s">
        <v>37</v>
      </c>
      <c r="E160" s="8" t="s">
        <v>163</v>
      </c>
      <c r="F160" s="8" t="s">
        <v>184</v>
      </c>
      <c r="G160" s="199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9" t="s">
        <v>35</v>
      </c>
      <c r="B161" s="19" t="s">
        <v>36</v>
      </c>
      <c r="C161" s="20">
        <v>0.30208333333333331</v>
      </c>
      <c r="D161" s="19" t="s">
        <v>40</v>
      </c>
      <c r="E161" s="19" t="s">
        <v>49</v>
      </c>
      <c r="F161" s="19" t="s">
        <v>185</v>
      </c>
      <c r="G161" s="200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9" t="s">
        <v>35</v>
      </c>
      <c r="B162" s="19" t="s">
        <v>36</v>
      </c>
      <c r="C162" s="20">
        <v>0.30208333333333331</v>
      </c>
      <c r="D162" s="19" t="s">
        <v>43</v>
      </c>
      <c r="E162" s="19" t="s">
        <v>49</v>
      </c>
      <c r="F162" s="19" t="s">
        <v>44</v>
      </c>
      <c r="G162" s="200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35</v>
      </c>
      <c r="B163" s="15" t="s">
        <v>50</v>
      </c>
      <c r="C163" s="16">
        <v>0.12847222222222221</v>
      </c>
      <c r="D163" s="15" t="s">
        <v>37</v>
      </c>
      <c r="E163" s="15" t="s">
        <v>105</v>
      </c>
      <c r="F163" s="15" t="s">
        <v>184</v>
      </c>
      <c r="G163" s="200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9" t="s">
        <v>35</v>
      </c>
      <c r="B164" s="19" t="s">
        <v>50</v>
      </c>
      <c r="C164" s="20">
        <v>0.12847222222222221</v>
      </c>
      <c r="D164" s="19" t="s">
        <v>40</v>
      </c>
      <c r="E164" s="19" t="s">
        <v>107</v>
      </c>
      <c r="F164" s="19" t="s">
        <v>185</v>
      </c>
      <c r="G164" s="200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9" t="s">
        <v>35</v>
      </c>
      <c r="B165" s="19" t="s">
        <v>50</v>
      </c>
      <c r="C165" s="20">
        <v>0.12847222222222221</v>
      </c>
      <c r="D165" s="19" t="s">
        <v>43</v>
      </c>
      <c r="E165" s="19" t="s">
        <v>107</v>
      </c>
      <c r="F165" s="19" t="s">
        <v>186</v>
      </c>
      <c r="G165" s="200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15" t="s">
        <v>35</v>
      </c>
      <c r="B166" s="15" t="s">
        <v>45</v>
      </c>
      <c r="C166" s="16">
        <v>0.78819444444444453</v>
      </c>
      <c r="D166" s="15" t="s">
        <v>37</v>
      </c>
      <c r="E166" s="15" t="s">
        <v>187</v>
      </c>
      <c r="F166" s="15" t="s">
        <v>39</v>
      </c>
      <c r="G166" s="200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19" t="s">
        <v>35</v>
      </c>
      <c r="B167" s="19" t="s">
        <v>45</v>
      </c>
      <c r="C167" s="20">
        <v>0.78819444444444453</v>
      </c>
      <c r="D167" s="19" t="s">
        <v>40</v>
      </c>
      <c r="E167" s="19" t="s">
        <v>188</v>
      </c>
      <c r="F167" s="19" t="s">
        <v>42</v>
      </c>
      <c r="G167" s="200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19" t="s">
        <v>35</v>
      </c>
      <c r="B168" s="19" t="s">
        <v>45</v>
      </c>
      <c r="C168" s="20">
        <v>0.78819444444444453</v>
      </c>
      <c r="D168" s="19" t="s">
        <v>43</v>
      </c>
      <c r="E168" s="19" t="s">
        <v>188</v>
      </c>
      <c r="F168" s="19" t="s">
        <v>44</v>
      </c>
      <c r="G168" s="200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15" t="s">
        <v>35</v>
      </c>
      <c r="B169" s="15" t="s">
        <v>47</v>
      </c>
      <c r="C169" s="16">
        <v>0.88888888888888884</v>
      </c>
      <c r="D169" s="15" t="s">
        <v>37</v>
      </c>
      <c r="E169" s="15" t="s">
        <v>187</v>
      </c>
      <c r="F169" s="15" t="s">
        <v>39</v>
      </c>
      <c r="G169" s="200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9" t="s">
        <v>35</v>
      </c>
      <c r="B170" s="19" t="s">
        <v>47</v>
      </c>
      <c r="C170" s="20">
        <v>0.88888888888888884</v>
      </c>
      <c r="D170" s="19" t="s">
        <v>40</v>
      </c>
      <c r="E170" s="19" t="s">
        <v>188</v>
      </c>
      <c r="F170" s="19" t="s">
        <v>42</v>
      </c>
      <c r="G170" s="200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9" t="s">
        <v>35</v>
      </c>
      <c r="B171" s="19" t="s">
        <v>47</v>
      </c>
      <c r="C171" s="20">
        <v>0.88888888888888884</v>
      </c>
      <c r="D171" s="19" t="s">
        <v>43</v>
      </c>
      <c r="E171" s="19" t="s">
        <v>188</v>
      </c>
      <c r="F171" s="19" t="s">
        <v>44</v>
      </c>
      <c r="G171" s="200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7" t="s">
        <v>116</v>
      </c>
      <c r="B172" s="17" t="s">
        <v>117</v>
      </c>
      <c r="C172" s="18">
        <v>0.29166666666666669</v>
      </c>
      <c r="D172" s="17" t="s">
        <v>28</v>
      </c>
      <c r="E172" s="17" t="s">
        <v>29</v>
      </c>
      <c r="F172" s="17" t="s">
        <v>164</v>
      </c>
      <c r="G172" s="200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15" t="s">
        <v>116</v>
      </c>
      <c r="B173" s="15" t="s">
        <v>119</v>
      </c>
      <c r="C173" s="16">
        <v>0.59375</v>
      </c>
      <c r="D173" s="15" t="s">
        <v>28</v>
      </c>
      <c r="E173" s="15" t="s">
        <v>32</v>
      </c>
      <c r="F173" s="15" t="s">
        <v>164</v>
      </c>
      <c r="G173" s="200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88" t="s">
        <v>55</v>
      </c>
      <c r="B174" s="88" t="s">
        <v>189</v>
      </c>
      <c r="C174" s="89">
        <v>0.36458333333333331</v>
      </c>
      <c r="D174" s="88" t="s">
        <v>57</v>
      </c>
      <c r="E174" s="88" t="s">
        <v>29</v>
      </c>
      <c r="F174" s="88" t="s">
        <v>30</v>
      </c>
      <c r="G174" s="200"/>
      <c r="H174" s="90" t="s">
        <v>190</v>
      </c>
      <c r="I174" s="91">
        <v>0.25140000000000001</v>
      </c>
      <c r="J174" s="92">
        <v>45</v>
      </c>
      <c r="K174" s="93">
        <v>45981</v>
      </c>
      <c r="L174" s="92">
        <v>24</v>
      </c>
      <c r="M174" s="92">
        <v>0</v>
      </c>
      <c r="N174" s="92">
        <v>4</v>
      </c>
      <c r="O174" s="94" t="s">
        <v>166</v>
      </c>
      <c r="P174" s="95">
        <v>0.36458333333333331</v>
      </c>
      <c r="Q174" s="92">
        <v>179</v>
      </c>
      <c r="R174" s="96" t="s">
        <v>191</v>
      </c>
    </row>
    <row r="175" spans="1:18" ht="15" customHeight="1" x14ac:dyDescent="0.3">
      <c r="A175" s="30" t="s">
        <v>55</v>
      </c>
      <c r="B175" s="30" t="s">
        <v>192</v>
      </c>
      <c r="C175" s="31">
        <v>0.25347222222222221</v>
      </c>
      <c r="D175" s="30" t="s">
        <v>57</v>
      </c>
      <c r="E175" s="30" t="s">
        <v>32</v>
      </c>
      <c r="F175" s="30" t="s">
        <v>30</v>
      </c>
      <c r="G175" s="200"/>
      <c r="H175" s="32" t="s">
        <v>193</v>
      </c>
      <c r="I175" s="33">
        <v>0.31280000000000002</v>
      </c>
      <c r="J175" s="34">
        <v>56</v>
      </c>
      <c r="K175" s="35">
        <v>45981</v>
      </c>
      <c r="L175" s="34">
        <v>21</v>
      </c>
      <c r="M175" s="34">
        <v>0</v>
      </c>
      <c r="N175" s="34">
        <v>5</v>
      </c>
      <c r="O175" s="36" t="s">
        <v>166</v>
      </c>
      <c r="P175" s="37">
        <v>0.25347222222222221</v>
      </c>
      <c r="Q175" s="34">
        <v>179</v>
      </c>
      <c r="R175" s="38" t="s">
        <v>194</v>
      </c>
    </row>
    <row r="176" spans="1:18" ht="15" customHeight="1" x14ac:dyDescent="0.3">
      <c r="A176" s="42" t="s">
        <v>55</v>
      </c>
      <c r="B176" s="42" t="s">
        <v>68</v>
      </c>
      <c r="C176" s="43">
        <v>0.58333333333333337</v>
      </c>
      <c r="D176" s="42" t="s">
        <v>57</v>
      </c>
      <c r="E176" s="42" t="s">
        <v>32</v>
      </c>
      <c r="F176" s="42" t="s">
        <v>30</v>
      </c>
      <c r="G176" s="200"/>
      <c r="H176" s="44" t="s">
        <v>70</v>
      </c>
      <c r="I176" s="97">
        <v>0.78210000000000002</v>
      </c>
      <c r="J176" s="46">
        <v>140</v>
      </c>
      <c r="K176" s="47">
        <v>45982</v>
      </c>
      <c r="L176" s="46">
        <v>26</v>
      </c>
      <c r="M176" s="46">
        <v>3</v>
      </c>
      <c r="N176" s="46">
        <v>8</v>
      </c>
      <c r="O176" s="48" t="s">
        <v>166</v>
      </c>
      <c r="P176" s="49">
        <v>0.58333333333333337</v>
      </c>
      <c r="Q176" s="46">
        <v>179</v>
      </c>
      <c r="R176" s="50" t="s">
        <v>195</v>
      </c>
    </row>
    <row r="177" spans="1:18" ht="15" customHeight="1" x14ac:dyDescent="0.3">
      <c r="A177" s="98" t="s">
        <v>55</v>
      </c>
      <c r="B177" s="98" t="s">
        <v>196</v>
      </c>
      <c r="C177" s="99">
        <v>0.73958333333333337</v>
      </c>
      <c r="D177" s="98" t="s">
        <v>57</v>
      </c>
      <c r="E177" s="98" t="s">
        <v>32</v>
      </c>
      <c r="F177" s="98" t="s">
        <v>30</v>
      </c>
      <c r="G177" s="200"/>
      <c r="H177" s="100" t="s">
        <v>78</v>
      </c>
      <c r="I177" s="101">
        <v>0.51959999999999995</v>
      </c>
      <c r="J177" s="102">
        <v>93</v>
      </c>
      <c r="K177" s="103">
        <v>45981</v>
      </c>
      <c r="L177" s="102">
        <v>28</v>
      </c>
      <c r="M177" s="102">
        <v>0</v>
      </c>
      <c r="N177" s="102">
        <v>13</v>
      </c>
      <c r="O177" s="104" t="s">
        <v>166</v>
      </c>
      <c r="P177" s="105">
        <v>0.73958333333333337</v>
      </c>
      <c r="Q177" s="102">
        <v>179</v>
      </c>
      <c r="R177" s="106" t="s">
        <v>197</v>
      </c>
    </row>
    <row r="178" spans="1:18" ht="15" customHeight="1" x14ac:dyDescent="0.3">
      <c r="A178" s="39" t="s">
        <v>55</v>
      </c>
      <c r="B178" s="39" t="s">
        <v>56</v>
      </c>
      <c r="C178" s="40">
        <v>4.8611111111111112E-2</v>
      </c>
      <c r="D178" s="39" t="s">
        <v>57</v>
      </c>
      <c r="E178" s="39" t="s">
        <v>32</v>
      </c>
      <c r="F178" s="39" t="s">
        <v>58</v>
      </c>
      <c r="G178" s="200"/>
      <c r="H178" s="23" t="s">
        <v>59</v>
      </c>
      <c r="I178" s="107">
        <v>0.48039999999999999</v>
      </c>
      <c r="J178" s="25">
        <v>86</v>
      </c>
      <c r="K178" s="26">
        <v>45980</v>
      </c>
      <c r="L178" s="25">
        <v>2</v>
      </c>
      <c r="M178" s="25">
        <v>0</v>
      </c>
      <c r="N178" s="25">
        <v>0</v>
      </c>
      <c r="O178" s="27" t="s">
        <v>60</v>
      </c>
      <c r="P178" s="28">
        <v>4.8611111111111112E-2</v>
      </c>
      <c r="Q178" s="25">
        <v>179</v>
      </c>
      <c r="R178" s="29" t="s">
        <v>198</v>
      </c>
    </row>
    <row r="179" spans="1:18" ht="15" customHeight="1" x14ac:dyDescent="0.3">
      <c r="A179" s="42" t="s">
        <v>55</v>
      </c>
      <c r="B179" s="42" t="s">
        <v>62</v>
      </c>
      <c r="C179" s="43">
        <v>0.1145833333333333</v>
      </c>
      <c r="D179" s="42" t="s">
        <v>57</v>
      </c>
      <c r="E179" s="42" t="s">
        <v>32</v>
      </c>
      <c r="F179" s="42" t="s">
        <v>58</v>
      </c>
      <c r="G179" s="200"/>
      <c r="H179" s="44" t="s">
        <v>63</v>
      </c>
      <c r="I179" s="85">
        <v>0.27929999999999999</v>
      </c>
      <c r="J179" s="46">
        <v>50</v>
      </c>
      <c r="K179" s="47">
        <v>45982</v>
      </c>
      <c r="L179" s="46">
        <v>32</v>
      </c>
      <c r="M179" s="46">
        <v>1</v>
      </c>
      <c r="N179" s="46">
        <v>5</v>
      </c>
      <c r="O179" s="48" t="s">
        <v>60</v>
      </c>
      <c r="P179" s="49">
        <v>0.1145833333333333</v>
      </c>
      <c r="Q179" s="46">
        <v>179</v>
      </c>
      <c r="R179" s="50" t="s">
        <v>199</v>
      </c>
    </row>
    <row r="180" spans="1:18" ht="15" customHeight="1" x14ac:dyDescent="0.3">
      <c r="A180" s="108" t="s">
        <v>55</v>
      </c>
      <c r="B180" s="108" t="s">
        <v>65</v>
      </c>
      <c r="C180" s="109">
        <v>0.33333333333333331</v>
      </c>
      <c r="D180" s="108" t="s">
        <v>57</v>
      </c>
      <c r="E180" s="108" t="s">
        <v>51</v>
      </c>
      <c r="F180" s="108" t="s">
        <v>58</v>
      </c>
      <c r="G180" s="200"/>
      <c r="H180" s="78" t="s">
        <v>66</v>
      </c>
      <c r="I180" s="79">
        <v>0.80449999999999999</v>
      </c>
      <c r="J180" s="80">
        <v>144</v>
      </c>
      <c r="K180" s="81">
        <v>45981</v>
      </c>
      <c r="L180" s="80">
        <v>2</v>
      </c>
      <c r="M180" s="80">
        <v>0</v>
      </c>
      <c r="N180" s="80">
        <v>1</v>
      </c>
      <c r="O180" s="82" t="s">
        <v>200</v>
      </c>
      <c r="P180" s="83">
        <v>0.33333333333333331</v>
      </c>
      <c r="Q180" s="80">
        <v>179</v>
      </c>
      <c r="R180" s="84" t="s">
        <v>201</v>
      </c>
    </row>
    <row r="181" spans="1:18" ht="15" customHeight="1" x14ac:dyDescent="0.3">
      <c r="A181" s="17" t="s">
        <v>26</v>
      </c>
      <c r="B181" s="17" t="s">
        <v>33</v>
      </c>
      <c r="C181" s="18">
        <v>0.66666666666666663</v>
      </c>
      <c r="D181" s="17" t="s">
        <v>28</v>
      </c>
      <c r="E181" s="17" t="s">
        <v>163</v>
      </c>
      <c r="F181" s="17" t="s">
        <v>30</v>
      </c>
      <c r="G181" s="200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83</v>
      </c>
      <c r="B182" s="17" t="s">
        <v>101</v>
      </c>
      <c r="C182" s="18">
        <v>0.51736111111111105</v>
      </c>
      <c r="D182" s="17" t="s">
        <v>85</v>
      </c>
      <c r="E182" s="17" t="s">
        <v>113</v>
      </c>
      <c r="F182" s="17" t="s">
        <v>202</v>
      </c>
      <c r="G182" s="200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9" t="s">
        <v>83</v>
      </c>
      <c r="B183" s="19" t="s">
        <v>101</v>
      </c>
      <c r="C183" s="20">
        <v>0.51736111111111105</v>
      </c>
      <c r="D183" s="19" t="s">
        <v>87</v>
      </c>
      <c r="E183" s="19" t="s">
        <v>97</v>
      </c>
      <c r="F183" s="19" t="s">
        <v>185</v>
      </c>
      <c r="G183" s="200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9" t="s">
        <v>83</v>
      </c>
      <c r="B184" s="19" t="s">
        <v>101</v>
      </c>
      <c r="C184" s="20">
        <v>0.51736111111111105</v>
      </c>
      <c r="D184" s="19" t="s">
        <v>89</v>
      </c>
      <c r="E184" s="19" t="s">
        <v>97</v>
      </c>
      <c r="F184" s="19" t="s">
        <v>34</v>
      </c>
      <c r="G184" s="200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83</v>
      </c>
      <c r="B185" s="15" t="s">
        <v>94</v>
      </c>
      <c r="C185" s="16">
        <v>0.25694444444444448</v>
      </c>
      <c r="D185" s="15" t="s">
        <v>85</v>
      </c>
      <c r="E185" s="15" t="s">
        <v>161</v>
      </c>
      <c r="F185" s="15" t="s">
        <v>86</v>
      </c>
      <c r="G185" s="200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9" t="s">
        <v>83</v>
      </c>
      <c r="B186" s="19" t="s">
        <v>94</v>
      </c>
      <c r="C186" s="20">
        <v>0.25694444444444448</v>
      </c>
      <c r="D186" s="19" t="s">
        <v>87</v>
      </c>
      <c r="E186" s="19" t="s">
        <v>162</v>
      </c>
      <c r="F186" s="19" t="s">
        <v>88</v>
      </c>
      <c r="G186" s="200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9" t="s">
        <v>83</v>
      </c>
      <c r="B187" s="19" t="s">
        <v>94</v>
      </c>
      <c r="C187" s="20">
        <v>0.25694444444444448</v>
      </c>
      <c r="D187" s="19" t="s">
        <v>89</v>
      </c>
      <c r="E187" s="19" t="s">
        <v>162</v>
      </c>
      <c r="F187" s="19" t="s">
        <v>90</v>
      </c>
      <c r="G187" s="200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15" t="s">
        <v>83</v>
      </c>
      <c r="B188" s="15" t="s">
        <v>84</v>
      </c>
      <c r="C188" s="16">
        <v>0.90277777777777779</v>
      </c>
      <c r="D188" s="15" t="s">
        <v>85</v>
      </c>
      <c r="E188" s="15" t="s">
        <v>95</v>
      </c>
      <c r="F188" s="15" t="s">
        <v>86</v>
      </c>
      <c r="G188" s="200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9" t="s">
        <v>83</v>
      </c>
      <c r="B189" s="19" t="s">
        <v>84</v>
      </c>
      <c r="C189" s="20">
        <v>0.90277777777777779</v>
      </c>
      <c r="D189" s="19" t="s">
        <v>87</v>
      </c>
      <c r="E189" s="19" t="s">
        <v>97</v>
      </c>
      <c r="F189" s="19" t="s">
        <v>88</v>
      </c>
      <c r="G189" s="200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9" t="s">
        <v>83</v>
      </c>
      <c r="B190" s="19" t="s">
        <v>84</v>
      </c>
      <c r="C190" s="20">
        <v>0.90277777777777779</v>
      </c>
      <c r="D190" s="19" t="s">
        <v>89</v>
      </c>
      <c r="E190" s="19" t="s">
        <v>97</v>
      </c>
      <c r="F190" s="19" t="s">
        <v>90</v>
      </c>
      <c r="G190" s="200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15" t="s">
        <v>83</v>
      </c>
      <c r="B191" s="15" t="s">
        <v>100</v>
      </c>
      <c r="C191" s="16">
        <v>0.65972222222222221</v>
      </c>
      <c r="D191" s="15" t="s">
        <v>85</v>
      </c>
      <c r="E191" s="15" t="s">
        <v>95</v>
      </c>
      <c r="F191" s="15" t="s">
        <v>86</v>
      </c>
      <c r="G191" s="200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9" t="s">
        <v>83</v>
      </c>
      <c r="B192" s="19" t="s">
        <v>100</v>
      </c>
      <c r="C192" s="20">
        <v>0.65972222222222221</v>
      </c>
      <c r="D192" s="19" t="s">
        <v>87</v>
      </c>
      <c r="E192" s="19" t="s">
        <v>97</v>
      </c>
      <c r="F192" s="19" t="s">
        <v>88</v>
      </c>
      <c r="G192" s="200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9" t="s">
        <v>83</v>
      </c>
      <c r="B193" s="19" t="s">
        <v>100</v>
      </c>
      <c r="C193" s="20">
        <v>0.65972222222222221</v>
      </c>
      <c r="D193" s="19" t="s">
        <v>89</v>
      </c>
      <c r="E193" s="19" t="s">
        <v>97</v>
      </c>
      <c r="F193" s="19" t="s">
        <v>90</v>
      </c>
      <c r="G193" s="200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15" t="s">
        <v>83</v>
      </c>
      <c r="B194" s="15" t="s">
        <v>102</v>
      </c>
      <c r="C194" s="16">
        <v>0.85416666666666663</v>
      </c>
      <c r="D194" s="15" t="s">
        <v>85</v>
      </c>
      <c r="E194" s="15" t="s">
        <v>95</v>
      </c>
      <c r="F194" s="15" t="s">
        <v>86</v>
      </c>
      <c r="G194" s="200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9" t="s">
        <v>83</v>
      </c>
      <c r="B195" s="19" t="s">
        <v>102</v>
      </c>
      <c r="C195" s="20">
        <v>0.85416666666666663</v>
      </c>
      <c r="D195" s="19" t="s">
        <v>87</v>
      </c>
      <c r="E195" s="19" t="s">
        <v>97</v>
      </c>
      <c r="F195" s="19" t="s">
        <v>88</v>
      </c>
      <c r="G195" s="200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9" t="s">
        <v>83</v>
      </c>
      <c r="B196" s="19" t="s">
        <v>102</v>
      </c>
      <c r="C196" s="20">
        <v>0.85416666666666663</v>
      </c>
      <c r="D196" s="19" t="s">
        <v>89</v>
      </c>
      <c r="E196" s="19" t="s">
        <v>97</v>
      </c>
      <c r="F196" s="19" t="s">
        <v>90</v>
      </c>
      <c r="G196" s="200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15" t="s">
        <v>83</v>
      </c>
      <c r="B197" s="15" t="s">
        <v>104</v>
      </c>
      <c r="C197" s="16">
        <v>0.39583333333333331</v>
      </c>
      <c r="D197" s="15" t="s">
        <v>85</v>
      </c>
      <c r="E197" s="15" t="s">
        <v>95</v>
      </c>
      <c r="F197" s="15" t="s">
        <v>86</v>
      </c>
      <c r="G197" s="200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9" t="s">
        <v>83</v>
      </c>
      <c r="B198" s="19" t="s">
        <v>104</v>
      </c>
      <c r="C198" s="20">
        <v>0.39583333333333331</v>
      </c>
      <c r="D198" s="19" t="s">
        <v>87</v>
      </c>
      <c r="E198" s="19" t="s">
        <v>97</v>
      </c>
      <c r="F198" s="19" t="s">
        <v>88</v>
      </c>
      <c r="G198" s="200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9" t="s">
        <v>83</v>
      </c>
      <c r="B199" s="19" t="s">
        <v>104</v>
      </c>
      <c r="C199" s="20">
        <v>0.39583333333333331</v>
      </c>
      <c r="D199" s="19" t="s">
        <v>89</v>
      </c>
      <c r="E199" s="19" t="s">
        <v>97</v>
      </c>
      <c r="F199" s="19" t="s">
        <v>90</v>
      </c>
      <c r="G199" s="200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15" t="s">
        <v>83</v>
      </c>
      <c r="B200" s="15" t="s">
        <v>103</v>
      </c>
      <c r="C200" s="16">
        <v>0.30208333333333331</v>
      </c>
      <c r="D200" s="15" t="s">
        <v>85</v>
      </c>
      <c r="E200" s="15" t="s">
        <v>95</v>
      </c>
      <c r="F200" s="15" t="s">
        <v>86</v>
      </c>
      <c r="G200" s="200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9" t="s">
        <v>83</v>
      </c>
      <c r="B201" s="19" t="s">
        <v>103</v>
      </c>
      <c r="C201" s="20">
        <v>0.30208333333333331</v>
      </c>
      <c r="D201" s="19" t="s">
        <v>87</v>
      </c>
      <c r="E201" s="19" t="s">
        <v>97</v>
      </c>
      <c r="F201" s="19" t="s">
        <v>88</v>
      </c>
      <c r="G201" s="200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9" t="s">
        <v>83</v>
      </c>
      <c r="B202" s="19" t="s">
        <v>103</v>
      </c>
      <c r="C202" s="20">
        <v>0.30208333333333331</v>
      </c>
      <c r="D202" s="19" t="s">
        <v>89</v>
      </c>
      <c r="E202" s="19" t="s">
        <v>97</v>
      </c>
      <c r="F202" s="19" t="s">
        <v>90</v>
      </c>
      <c r="G202" s="200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15" t="s">
        <v>83</v>
      </c>
      <c r="B203" s="15" t="s">
        <v>91</v>
      </c>
      <c r="C203" s="16">
        <v>0.79861111111111116</v>
      </c>
      <c r="D203" s="15" t="s">
        <v>85</v>
      </c>
      <c r="E203" s="15" t="s">
        <v>95</v>
      </c>
      <c r="F203" s="15" t="s">
        <v>86</v>
      </c>
      <c r="G203" s="200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9" t="s">
        <v>83</v>
      </c>
      <c r="B204" s="19" t="s">
        <v>91</v>
      </c>
      <c r="C204" s="20">
        <v>0.79861111111111116</v>
      </c>
      <c r="D204" s="19" t="s">
        <v>87</v>
      </c>
      <c r="E204" s="19" t="s">
        <v>97</v>
      </c>
      <c r="F204" s="19" t="s">
        <v>88</v>
      </c>
      <c r="G204" s="200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9" t="s">
        <v>83</v>
      </c>
      <c r="B205" s="19" t="s">
        <v>91</v>
      </c>
      <c r="C205" s="20">
        <v>0.79861111111111116</v>
      </c>
      <c r="D205" s="19" t="s">
        <v>89</v>
      </c>
      <c r="E205" s="19" t="s">
        <v>97</v>
      </c>
      <c r="F205" s="19" t="s">
        <v>90</v>
      </c>
      <c r="G205" s="200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7" t="s">
        <v>110</v>
      </c>
      <c r="B206" s="17" t="s">
        <v>173</v>
      </c>
      <c r="C206" s="18">
        <v>0.3298611111111111</v>
      </c>
      <c r="D206" s="17" t="s">
        <v>112</v>
      </c>
      <c r="E206" s="17" t="s">
        <v>113</v>
      </c>
      <c r="F206" s="17" t="s">
        <v>203</v>
      </c>
      <c r="G206" s="200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9" t="s">
        <v>110</v>
      </c>
      <c r="B207" s="19" t="s">
        <v>173</v>
      </c>
      <c r="C207" s="20">
        <v>0.3298611111111111</v>
      </c>
      <c r="D207" s="19" t="s">
        <v>43</v>
      </c>
      <c r="E207" s="19" t="s">
        <v>97</v>
      </c>
      <c r="F207" s="19" t="s">
        <v>204</v>
      </c>
      <c r="G207" s="200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7" t="s">
        <v>148</v>
      </c>
      <c r="B208" s="17" t="s">
        <v>176</v>
      </c>
      <c r="C208" s="18">
        <v>0.14583333333333329</v>
      </c>
      <c r="D208" s="17" t="s">
        <v>150</v>
      </c>
      <c r="E208" s="17" t="s">
        <v>29</v>
      </c>
      <c r="F208" s="17" t="s">
        <v>175</v>
      </c>
      <c r="G208" s="200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5" t="s">
        <v>148</v>
      </c>
      <c r="B209" s="15" t="s">
        <v>149</v>
      </c>
      <c r="C209" s="16">
        <v>0.4861111111111111</v>
      </c>
      <c r="D209" s="15" t="s">
        <v>150</v>
      </c>
      <c r="E209" s="15" t="s">
        <v>32</v>
      </c>
      <c r="F209" s="15" t="s">
        <v>177</v>
      </c>
      <c r="G209" s="200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5" t="s">
        <v>148</v>
      </c>
      <c r="B210" s="15" t="s">
        <v>152</v>
      </c>
      <c r="C210" s="16">
        <v>0.51388888888888895</v>
      </c>
      <c r="D210" s="15" t="s">
        <v>150</v>
      </c>
      <c r="E210" s="15" t="s">
        <v>32</v>
      </c>
      <c r="F210" s="15" t="s">
        <v>177</v>
      </c>
      <c r="G210" s="200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5" t="s">
        <v>148</v>
      </c>
      <c r="B211" s="15" t="s">
        <v>153</v>
      </c>
      <c r="C211" s="16">
        <v>0.22222222222222221</v>
      </c>
      <c r="D211" s="15" t="s">
        <v>150</v>
      </c>
      <c r="E211" s="15" t="s">
        <v>32</v>
      </c>
      <c r="F211" s="15" t="s">
        <v>177</v>
      </c>
      <c r="G211" s="200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15" t="s">
        <v>148</v>
      </c>
      <c r="B212" s="15" t="s">
        <v>179</v>
      </c>
      <c r="C212" s="16">
        <v>0.95833333333333337</v>
      </c>
      <c r="D212" s="15" t="s">
        <v>150</v>
      </c>
      <c r="E212" s="15" t="s">
        <v>32</v>
      </c>
      <c r="F212" s="15" t="s">
        <v>178</v>
      </c>
      <c r="G212" s="200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15" t="s">
        <v>148</v>
      </c>
      <c r="B213" s="15" t="s">
        <v>180</v>
      </c>
      <c r="C213" s="16">
        <v>1.388888888888889E-2</v>
      </c>
      <c r="D213" s="15" t="s">
        <v>150</v>
      </c>
      <c r="E213" s="15" t="s">
        <v>32</v>
      </c>
      <c r="F213" s="15" t="s">
        <v>151</v>
      </c>
      <c r="G213" s="200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5" t="s">
        <v>148</v>
      </c>
      <c r="B214" s="15" t="s">
        <v>155</v>
      </c>
      <c r="C214" s="16">
        <v>0.27777777777777779</v>
      </c>
      <c r="D214" s="15" t="s">
        <v>150</v>
      </c>
      <c r="E214" s="15" t="s">
        <v>32</v>
      </c>
      <c r="F214" s="15" t="s">
        <v>151</v>
      </c>
      <c r="G214" s="200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5" t="s">
        <v>148</v>
      </c>
      <c r="B215" s="15" t="s">
        <v>157</v>
      </c>
      <c r="C215" s="16">
        <v>0.77430555555555547</v>
      </c>
      <c r="D215" s="15" t="s">
        <v>150</v>
      </c>
      <c r="E215" s="15" t="s">
        <v>32</v>
      </c>
      <c r="F215" s="15" t="s">
        <v>151</v>
      </c>
      <c r="G215" s="200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7" t="s">
        <v>121</v>
      </c>
      <c r="B216" s="17" t="s">
        <v>128</v>
      </c>
      <c r="C216" s="18">
        <v>0.37847222222222232</v>
      </c>
      <c r="D216" s="17" t="s">
        <v>123</v>
      </c>
      <c r="E216" s="17" t="s">
        <v>29</v>
      </c>
      <c r="F216" s="17" t="s">
        <v>124</v>
      </c>
      <c r="G216" s="200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9" t="s">
        <v>121</v>
      </c>
      <c r="B217" s="19" t="s">
        <v>128</v>
      </c>
      <c r="C217" s="20">
        <v>0.37847222222222232</v>
      </c>
      <c r="D217" s="19" t="s">
        <v>125</v>
      </c>
      <c r="E217" s="19" t="s">
        <v>126</v>
      </c>
      <c r="F217" s="19" t="s">
        <v>127</v>
      </c>
      <c r="G217" s="200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15" t="s">
        <v>121</v>
      </c>
      <c r="B218" s="15" t="s">
        <v>122</v>
      </c>
      <c r="C218" s="16">
        <v>0.24305555555555561</v>
      </c>
      <c r="D218" s="15" t="s">
        <v>123</v>
      </c>
      <c r="E218" s="15" t="s">
        <v>32</v>
      </c>
      <c r="F218" s="15" t="s">
        <v>124</v>
      </c>
      <c r="G218" s="200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9" t="s">
        <v>121</v>
      </c>
      <c r="B219" s="19" t="s">
        <v>122</v>
      </c>
      <c r="C219" s="20">
        <v>0.24305555555555561</v>
      </c>
      <c r="D219" s="19" t="s">
        <v>125</v>
      </c>
      <c r="E219" s="19" t="s">
        <v>126</v>
      </c>
      <c r="F219" s="19" t="s">
        <v>127</v>
      </c>
      <c r="G219" s="200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15" t="s">
        <v>121</v>
      </c>
      <c r="B220" s="15" t="s">
        <v>132</v>
      </c>
      <c r="C220" s="16">
        <v>0.1423611111111111</v>
      </c>
      <c r="D220" s="15" t="s">
        <v>123</v>
      </c>
      <c r="E220" s="15" t="s">
        <v>32</v>
      </c>
      <c r="F220" s="15" t="s">
        <v>124</v>
      </c>
      <c r="G220" s="200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9" t="s">
        <v>121</v>
      </c>
      <c r="B221" s="19" t="s">
        <v>132</v>
      </c>
      <c r="C221" s="20">
        <v>0.1423611111111111</v>
      </c>
      <c r="D221" s="19" t="s">
        <v>125</v>
      </c>
      <c r="E221" s="19" t="s">
        <v>126</v>
      </c>
      <c r="F221" s="19" t="s">
        <v>127</v>
      </c>
      <c r="G221" s="200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15" t="s">
        <v>121</v>
      </c>
      <c r="B222" s="15" t="s">
        <v>131</v>
      </c>
      <c r="C222" s="16">
        <v>6.9444444444444441E-3</v>
      </c>
      <c r="D222" s="15" t="s">
        <v>123</v>
      </c>
      <c r="E222" s="15" t="s">
        <v>32</v>
      </c>
      <c r="F222" s="15" t="s">
        <v>129</v>
      </c>
      <c r="G222" s="200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9" t="s">
        <v>121</v>
      </c>
      <c r="B223" s="19" t="s">
        <v>131</v>
      </c>
      <c r="C223" s="20">
        <v>6.9444444444444441E-3</v>
      </c>
      <c r="D223" s="19" t="s">
        <v>125</v>
      </c>
      <c r="E223" s="19" t="s">
        <v>126</v>
      </c>
      <c r="F223" s="19" t="s">
        <v>130</v>
      </c>
      <c r="G223" s="200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15" t="s">
        <v>121</v>
      </c>
      <c r="B224" s="15" t="s">
        <v>145</v>
      </c>
      <c r="C224" s="16">
        <v>0.61111111111111105</v>
      </c>
      <c r="D224" s="15" t="s">
        <v>123</v>
      </c>
      <c r="E224" s="15" t="s">
        <v>32</v>
      </c>
      <c r="F224" s="15" t="s">
        <v>135</v>
      </c>
      <c r="G224" s="200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9" t="s">
        <v>121</v>
      </c>
      <c r="B225" s="19" t="s">
        <v>145</v>
      </c>
      <c r="C225" s="20">
        <v>0.61111111111111105</v>
      </c>
      <c r="D225" s="19" t="s">
        <v>125</v>
      </c>
      <c r="E225" s="19" t="s">
        <v>126</v>
      </c>
      <c r="F225" s="19" t="s">
        <v>136</v>
      </c>
      <c r="G225" s="200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15" t="s">
        <v>121</v>
      </c>
      <c r="B226" s="15" t="s">
        <v>134</v>
      </c>
      <c r="C226" s="16">
        <v>0.71875</v>
      </c>
      <c r="D226" s="15" t="s">
        <v>123</v>
      </c>
      <c r="E226" s="15" t="s">
        <v>32</v>
      </c>
      <c r="F226" s="15" t="s">
        <v>205</v>
      </c>
      <c r="G226" s="200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19" t="s">
        <v>121</v>
      </c>
      <c r="B227" s="19" t="s">
        <v>134</v>
      </c>
      <c r="C227" s="20">
        <v>0.71875</v>
      </c>
      <c r="D227" s="19" t="s">
        <v>125</v>
      </c>
      <c r="E227" s="19" t="s">
        <v>126</v>
      </c>
      <c r="F227" s="19" t="s">
        <v>206</v>
      </c>
      <c r="G227" s="200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15" t="s">
        <v>121</v>
      </c>
      <c r="B228" s="15" t="s">
        <v>139</v>
      </c>
      <c r="C228" s="16">
        <v>0.30208333333333331</v>
      </c>
      <c r="D228" s="15" t="s">
        <v>125</v>
      </c>
      <c r="E228" s="15" t="s">
        <v>105</v>
      </c>
      <c r="F228" s="15" t="s">
        <v>207</v>
      </c>
      <c r="G228" s="200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15" t="s">
        <v>121</v>
      </c>
      <c r="B229" s="15" t="s">
        <v>140</v>
      </c>
      <c r="C229" s="16">
        <v>0.12847222222222221</v>
      </c>
      <c r="D229" s="15" t="s">
        <v>125</v>
      </c>
      <c r="E229" s="15" t="s">
        <v>105</v>
      </c>
      <c r="F229" s="15" t="s">
        <v>207</v>
      </c>
      <c r="G229" s="200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15" t="s">
        <v>121</v>
      </c>
      <c r="B230" s="15" t="s">
        <v>133</v>
      </c>
      <c r="C230" s="16">
        <v>0.93055555555555547</v>
      </c>
      <c r="D230" s="15" t="s">
        <v>123</v>
      </c>
      <c r="E230" s="15" t="s">
        <v>32</v>
      </c>
      <c r="F230" s="15" t="s">
        <v>182</v>
      </c>
      <c r="G230" s="200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19" t="s">
        <v>121</v>
      </c>
      <c r="B231" s="19" t="s">
        <v>133</v>
      </c>
      <c r="C231" s="20">
        <v>0.93055555555555547</v>
      </c>
      <c r="D231" s="19" t="s">
        <v>125</v>
      </c>
      <c r="E231" s="19" t="s">
        <v>126</v>
      </c>
      <c r="F231" s="19" t="s">
        <v>183</v>
      </c>
      <c r="G231" s="200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15" t="s">
        <v>121</v>
      </c>
      <c r="B232" s="15" t="s">
        <v>137</v>
      </c>
      <c r="C232" s="16">
        <v>0.88888888888888884</v>
      </c>
      <c r="D232" s="15" t="s">
        <v>125</v>
      </c>
      <c r="E232" s="15" t="s">
        <v>105</v>
      </c>
      <c r="F232" s="15" t="s">
        <v>138</v>
      </c>
      <c r="G232" s="200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15" t="s">
        <v>121</v>
      </c>
      <c r="B233" s="15" t="s">
        <v>141</v>
      </c>
      <c r="C233" s="16">
        <v>0.78819444444444453</v>
      </c>
      <c r="D233" s="15" t="s">
        <v>125</v>
      </c>
      <c r="E233" s="15" t="s">
        <v>105</v>
      </c>
      <c r="F233" s="15" t="s">
        <v>138</v>
      </c>
      <c r="G233" s="200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15" t="s">
        <v>121</v>
      </c>
      <c r="B234" s="15" t="s">
        <v>142</v>
      </c>
      <c r="C234" s="16">
        <v>0.82986111111111116</v>
      </c>
      <c r="D234" s="15" t="s">
        <v>123</v>
      </c>
      <c r="E234" s="15" t="s">
        <v>32</v>
      </c>
      <c r="F234" s="15" t="s">
        <v>208</v>
      </c>
      <c r="G234" s="200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thickBot="1" x14ac:dyDescent="0.35">
      <c r="A235" s="86" t="s">
        <v>121</v>
      </c>
      <c r="B235" s="86" t="s">
        <v>142</v>
      </c>
      <c r="C235" s="87">
        <v>0.82986111111111116</v>
      </c>
      <c r="D235" s="86" t="s">
        <v>125</v>
      </c>
      <c r="E235" s="86" t="s">
        <v>126</v>
      </c>
      <c r="F235" s="86" t="s">
        <v>209</v>
      </c>
      <c r="G235" s="201"/>
      <c r="H235" s="63"/>
      <c r="I235" s="64"/>
      <c r="J235" s="64"/>
      <c r="K235" s="64"/>
      <c r="L235" s="64"/>
      <c r="M235" s="64"/>
      <c r="N235" s="64"/>
      <c r="O235" s="65"/>
      <c r="P235" s="64"/>
      <c r="Q235" s="66"/>
      <c r="R235" s="67"/>
    </row>
    <row r="236" spans="1:18" ht="17.399999999999999" customHeight="1" thickBot="1" x14ac:dyDescent="0.35">
      <c r="A236" s="225"/>
      <c r="B236" s="226"/>
      <c r="C236" s="226"/>
      <c r="D236" s="226"/>
      <c r="E236" s="226"/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7"/>
    </row>
    <row r="237" spans="1:18" ht="22.05" customHeight="1" thickTop="1" thickBot="1" x14ac:dyDescent="0.35">
      <c r="A237" s="190" t="s">
        <v>6</v>
      </c>
      <c r="B237" s="191"/>
      <c r="C237" s="191"/>
      <c r="D237" s="191"/>
      <c r="E237" s="191"/>
      <c r="F237" s="192"/>
      <c r="G237" s="68">
        <v>45989</v>
      </c>
      <c r="H237" s="202" t="s">
        <v>7</v>
      </c>
      <c r="I237" s="191"/>
      <c r="J237" s="191"/>
      <c r="K237" s="191"/>
      <c r="L237" s="191"/>
      <c r="M237" s="191"/>
      <c r="N237" s="191"/>
      <c r="O237" s="191"/>
      <c r="P237" s="191"/>
      <c r="Q237" s="191"/>
      <c r="R237" s="192"/>
    </row>
    <row r="238" spans="1:18" ht="24" customHeight="1" x14ac:dyDescent="0.3">
      <c r="A238" s="69" t="s">
        <v>8</v>
      </c>
      <c r="B238" s="69" t="s">
        <v>9</v>
      </c>
      <c r="C238" s="70" t="s">
        <v>10</v>
      </c>
      <c r="D238" s="69" t="s">
        <v>11</v>
      </c>
      <c r="E238" s="69" t="s">
        <v>12</v>
      </c>
      <c r="F238" s="71" t="s">
        <v>13</v>
      </c>
      <c r="G238" s="72" t="s">
        <v>14</v>
      </c>
      <c r="H238" s="69" t="s">
        <v>15</v>
      </c>
      <c r="I238" s="73" t="s">
        <v>16</v>
      </c>
      <c r="J238" s="74" t="s">
        <v>17</v>
      </c>
      <c r="K238" s="75" t="s">
        <v>18</v>
      </c>
      <c r="L238" s="74" t="s">
        <v>19</v>
      </c>
      <c r="M238" s="74" t="s">
        <v>20</v>
      </c>
      <c r="N238" s="74" t="s">
        <v>21</v>
      </c>
      <c r="O238" s="69" t="s">
        <v>22</v>
      </c>
      <c r="P238" s="70" t="s">
        <v>23</v>
      </c>
      <c r="Q238" s="74" t="s">
        <v>24</v>
      </c>
      <c r="R238" s="69" t="s">
        <v>25</v>
      </c>
    </row>
    <row r="239" spans="1:18" ht="15" customHeight="1" x14ac:dyDescent="0.3">
      <c r="A239" s="8" t="s">
        <v>35</v>
      </c>
      <c r="B239" s="8" t="s">
        <v>50</v>
      </c>
      <c r="C239" s="9">
        <v>0.12847222222222221</v>
      </c>
      <c r="D239" s="8" t="s">
        <v>37</v>
      </c>
      <c r="E239" s="8" t="s">
        <v>163</v>
      </c>
      <c r="F239" s="8" t="s">
        <v>184</v>
      </c>
      <c r="G239" s="207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19" t="s">
        <v>35</v>
      </c>
      <c r="B240" s="19" t="s">
        <v>50</v>
      </c>
      <c r="C240" s="20">
        <v>0.12847222222222221</v>
      </c>
      <c r="D240" s="19" t="s">
        <v>40</v>
      </c>
      <c r="E240" s="19" t="s">
        <v>49</v>
      </c>
      <c r="F240" s="19" t="s">
        <v>185</v>
      </c>
      <c r="G240" s="200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9" t="s">
        <v>35</v>
      </c>
      <c r="B241" s="19" t="s">
        <v>50</v>
      </c>
      <c r="C241" s="20">
        <v>0.12847222222222221</v>
      </c>
      <c r="D241" s="19" t="s">
        <v>43</v>
      </c>
      <c r="E241" s="19" t="s">
        <v>49</v>
      </c>
      <c r="F241" s="19" t="s">
        <v>44</v>
      </c>
      <c r="G241" s="200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15" t="s">
        <v>35</v>
      </c>
      <c r="B242" s="15" t="s">
        <v>36</v>
      </c>
      <c r="C242" s="16">
        <v>0.30208333333333331</v>
      </c>
      <c r="D242" s="15" t="s">
        <v>37</v>
      </c>
      <c r="E242" s="15" t="s">
        <v>46</v>
      </c>
      <c r="F242" s="15" t="s">
        <v>159</v>
      </c>
      <c r="G242" s="200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19" t="s">
        <v>35</v>
      </c>
      <c r="B243" s="19" t="s">
        <v>36</v>
      </c>
      <c r="C243" s="20">
        <v>0.30208333333333331</v>
      </c>
      <c r="D243" s="19" t="s">
        <v>40</v>
      </c>
      <c r="E243" s="19" t="s">
        <v>41</v>
      </c>
      <c r="F243" s="19" t="s">
        <v>160</v>
      </c>
      <c r="G243" s="200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19" t="s">
        <v>35</v>
      </c>
      <c r="B244" s="19" t="s">
        <v>36</v>
      </c>
      <c r="C244" s="20">
        <v>0.30208333333333331</v>
      </c>
      <c r="D244" s="19" t="s">
        <v>43</v>
      </c>
      <c r="E244" s="19" t="s">
        <v>41</v>
      </c>
      <c r="F244" s="19" t="s">
        <v>44</v>
      </c>
      <c r="G244" s="200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15" t="s">
        <v>35</v>
      </c>
      <c r="B245" s="15" t="s">
        <v>45</v>
      </c>
      <c r="C245" s="16">
        <v>0.78819444444444453</v>
      </c>
      <c r="D245" s="15" t="s">
        <v>37</v>
      </c>
      <c r="E245" s="15" t="s">
        <v>210</v>
      </c>
      <c r="F245" s="15" t="s">
        <v>39</v>
      </c>
      <c r="G245" s="200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19" t="s">
        <v>35</v>
      </c>
      <c r="B246" s="19" t="s">
        <v>45</v>
      </c>
      <c r="C246" s="20">
        <v>0.78819444444444453</v>
      </c>
      <c r="D246" s="19" t="s">
        <v>40</v>
      </c>
      <c r="E246" s="19" t="s">
        <v>211</v>
      </c>
      <c r="F246" s="19" t="s">
        <v>42</v>
      </c>
      <c r="G246" s="200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19" t="s">
        <v>35</v>
      </c>
      <c r="B247" s="19" t="s">
        <v>45</v>
      </c>
      <c r="C247" s="20">
        <v>0.78819444444444453</v>
      </c>
      <c r="D247" s="19" t="s">
        <v>43</v>
      </c>
      <c r="E247" s="19" t="s">
        <v>211</v>
      </c>
      <c r="F247" s="19" t="s">
        <v>44</v>
      </c>
      <c r="G247" s="200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</row>
    <row r="248" spans="1:18" ht="15" customHeight="1" x14ac:dyDescent="0.3">
      <c r="A248" s="15" t="s">
        <v>35</v>
      </c>
      <c r="B248" s="15" t="s">
        <v>47</v>
      </c>
      <c r="C248" s="16">
        <v>0.88888888888888884</v>
      </c>
      <c r="D248" s="15" t="s">
        <v>37</v>
      </c>
      <c r="E248" s="15" t="s">
        <v>210</v>
      </c>
      <c r="F248" s="15" t="s">
        <v>39</v>
      </c>
      <c r="G248" s="200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x14ac:dyDescent="0.3">
      <c r="A249" s="19" t="s">
        <v>35</v>
      </c>
      <c r="B249" s="19" t="s">
        <v>47</v>
      </c>
      <c r="C249" s="20">
        <v>0.88888888888888884</v>
      </c>
      <c r="D249" s="19" t="s">
        <v>40</v>
      </c>
      <c r="E249" s="19" t="s">
        <v>211</v>
      </c>
      <c r="F249" s="19" t="s">
        <v>42</v>
      </c>
      <c r="G249" s="200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</row>
    <row r="250" spans="1:18" ht="15" customHeight="1" x14ac:dyDescent="0.3">
      <c r="A250" s="19" t="s">
        <v>35</v>
      </c>
      <c r="B250" s="19" t="s">
        <v>47</v>
      </c>
      <c r="C250" s="20">
        <v>0.88888888888888884</v>
      </c>
      <c r="D250" s="19" t="s">
        <v>43</v>
      </c>
      <c r="E250" s="19" t="s">
        <v>211</v>
      </c>
      <c r="F250" s="19" t="s">
        <v>44</v>
      </c>
      <c r="G250" s="200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</row>
    <row r="251" spans="1:18" ht="15" customHeight="1" x14ac:dyDescent="0.3">
      <c r="A251" s="110" t="s">
        <v>55</v>
      </c>
      <c r="B251" s="110" t="s">
        <v>56</v>
      </c>
      <c r="C251" s="111">
        <v>0.1145833333333333</v>
      </c>
      <c r="D251" s="110" t="s">
        <v>57</v>
      </c>
      <c r="E251" s="110" t="s">
        <v>29</v>
      </c>
      <c r="F251" s="110" t="s">
        <v>30</v>
      </c>
      <c r="G251" s="200"/>
      <c r="H251" s="32" t="s">
        <v>59</v>
      </c>
      <c r="I251" s="33">
        <v>0.25140000000000001</v>
      </c>
      <c r="J251" s="34">
        <v>45</v>
      </c>
      <c r="K251" s="35">
        <v>45981</v>
      </c>
      <c r="L251" s="34">
        <v>26</v>
      </c>
      <c r="M251" s="34">
        <v>0</v>
      </c>
      <c r="N251" s="34">
        <v>4</v>
      </c>
      <c r="O251" s="36" t="s">
        <v>166</v>
      </c>
      <c r="P251" s="37">
        <v>0.1145833333333333</v>
      </c>
      <c r="Q251" s="34">
        <v>179</v>
      </c>
      <c r="R251" s="38" t="s">
        <v>212</v>
      </c>
    </row>
    <row r="252" spans="1:18" ht="15" customHeight="1" x14ac:dyDescent="0.3">
      <c r="A252" s="112" t="s">
        <v>55</v>
      </c>
      <c r="B252" s="112" t="s">
        <v>62</v>
      </c>
      <c r="C252" s="113">
        <v>0.73611111111111116</v>
      </c>
      <c r="D252" s="112" t="s">
        <v>57</v>
      </c>
      <c r="E252" s="112" t="s">
        <v>32</v>
      </c>
      <c r="F252" s="112" t="s">
        <v>30</v>
      </c>
      <c r="G252" s="200"/>
      <c r="H252" s="114" t="s">
        <v>63</v>
      </c>
      <c r="I252" s="115">
        <v>0.36309999999999998</v>
      </c>
      <c r="J252" s="116">
        <v>65</v>
      </c>
      <c r="K252" s="117">
        <v>45981</v>
      </c>
      <c r="L252" s="116">
        <v>28</v>
      </c>
      <c r="M252" s="116">
        <v>0</v>
      </c>
      <c r="N252" s="116">
        <v>7</v>
      </c>
      <c r="O252" s="118" t="s">
        <v>166</v>
      </c>
      <c r="P252" s="119">
        <v>0.73611111111111116</v>
      </c>
      <c r="Q252" s="116">
        <v>179</v>
      </c>
      <c r="R252" s="120" t="s">
        <v>213</v>
      </c>
    </row>
    <row r="253" spans="1:18" ht="15" customHeight="1" x14ac:dyDescent="0.3">
      <c r="A253" s="121" t="s">
        <v>55</v>
      </c>
      <c r="B253" s="121" t="s">
        <v>65</v>
      </c>
      <c r="C253" s="122">
        <v>0.31944444444444448</v>
      </c>
      <c r="D253" s="121" t="s">
        <v>57</v>
      </c>
      <c r="E253" s="121" t="s">
        <v>32</v>
      </c>
      <c r="F253" s="121" t="s">
        <v>30</v>
      </c>
      <c r="G253" s="200"/>
      <c r="H253" s="90" t="s">
        <v>66</v>
      </c>
      <c r="I253" s="91">
        <v>0.26819999999999999</v>
      </c>
      <c r="J253" s="92">
        <v>48</v>
      </c>
      <c r="K253" s="93">
        <v>45981</v>
      </c>
      <c r="L253" s="92">
        <v>38</v>
      </c>
      <c r="M253" s="92">
        <v>0</v>
      </c>
      <c r="N253" s="92">
        <v>2</v>
      </c>
      <c r="O253" s="94" t="s">
        <v>166</v>
      </c>
      <c r="P253" s="95">
        <v>0.31944444444444448</v>
      </c>
      <c r="Q253" s="92">
        <v>179</v>
      </c>
      <c r="R253" s="96" t="s">
        <v>214</v>
      </c>
    </row>
    <row r="254" spans="1:18" ht="15" customHeight="1" x14ac:dyDescent="0.3">
      <c r="A254" s="112" t="s">
        <v>55</v>
      </c>
      <c r="B254" s="112" t="s">
        <v>68</v>
      </c>
      <c r="C254" s="113">
        <v>0.45833333333333331</v>
      </c>
      <c r="D254" s="112" t="s">
        <v>57</v>
      </c>
      <c r="E254" s="112" t="s">
        <v>32</v>
      </c>
      <c r="F254" s="112" t="s">
        <v>30</v>
      </c>
      <c r="G254" s="200"/>
      <c r="H254" s="114" t="s">
        <v>70</v>
      </c>
      <c r="I254" s="115">
        <v>0.36309999999999998</v>
      </c>
      <c r="J254" s="116">
        <v>65</v>
      </c>
      <c r="K254" s="117">
        <v>45981</v>
      </c>
      <c r="L254" s="116">
        <v>16</v>
      </c>
      <c r="M254" s="116">
        <v>0</v>
      </c>
      <c r="N254" s="116">
        <v>4</v>
      </c>
      <c r="O254" s="118" t="s">
        <v>166</v>
      </c>
      <c r="P254" s="119">
        <v>0.45833333333333331</v>
      </c>
      <c r="Q254" s="116">
        <v>179</v>
      </c>
      <c r="R254" s="120" t="s">
        <v>215</v>
      </c>
    </row>
    <row r="255" spans="1:18" ht="15" customHeight="1" x14ac:dyDescent="0.3">
      <c r="A255" s="30" t="s">
        <v>55</v>
      </c>
      <c r="B255" s="30" t="s">
        <v>196</v>
      </c>
      <c r="C255" s="31">
        <v>0.61458333333333337</v>
      </c>
      <c r="D255" s="30" t="s">
        <v>57</v>
      </c>
      <c r="E255" s="30" t="s">
        <v>32</v>
      </c>
      <c r="F255" s="30" t="s">
        <v>30</v>
      </c>
      <c r="G255" s="200"/>
      <c r="H255" s="32" t="s">
        <v>78</v>
      </c>
      <c r="I255" s="41">
        <v>0.64800000000000002</v>
      </c>
      <c r="J255" s="34">
        <v>116</v>
      </c>
      <c r="K255" s="35">
        <v>45981</v>
      </c>
      <c r="L255" s="34">
        <v>28</v>
      </c>
      <c r="M255" s="34">
        <v>0</v>
      </c>
      <c r="N255" s="34">
        <v>9</v>
      </c>
      <c r="O255" s="36" t="s">
        <v>166</v>
      </c>
      <c r="P255" s="37">
        <v>0.61458333333333337</v>
      </c>
      <c r="Q255" s="34">
        <v>179</v>
      </c>
      <c r="R255" s="38" t="s">
        <v>216</v>
      </c>
    </row>
    <row r="256" spans="1:18" ht="15" customHeight="1" x14ac:dyDescent="0.3">
      <c r="A256" s="108" t="s">
        <v>55</v>
      </c>
      <c r="B256" s="108" t="s">
        <v>73</v>
      </c>
      <c r="C256" s="109">
        <v>0.9375</v>
      </c>
      <c r="D256" s="108" t="s">
        <v>57</v>
      </c>
      <c r="E256" s="108" t="s">
        <v>92</v>
      </c>
      <c r="F256" s="108" t="s">
        <v>74</v>
      </c>
      <c r="G256" s="200"/>
      <c r="H256" s="78" t="s">
        <v>75</v>
      </c>
      <c r="I256" s="123">
        <v>0.92179999999999995</v>
      </c>
      <c r="J256" s="80">
        <v>165</v>
      </c>
      <c r="K256" s="81">
        <v>45980</v>
      </c>
      <c r="L256" s="80">
        <v>17</v>
      </c>
      <c r="M256" s="80">
        <v>0</v>
      </c>
      <c r="N256" s="80">
        <v>0</v>
      </c>
      <c r="O256" s="82" t="s">
        <v>217</v>
      </c>
      <c r="P256" s="83">
        <v>0.9375</v>
      </c>
      <c r="Q256" s="80">
        <v>179</v>
      </c>
      <c r="R256" s="84" t="s">
        <v>218</v>
      </c>
    </row>
    <row r="257" spans="1:18" ht="15" customHeight="1" x14ac:dyDescent="0.3">
      <c r="A257" s="17" t="s">
        <v>26</v>
      </c>
      <c r="B257" s="17" t="s">
        <v>33</v>
      </c>
      <c r="C257" s="18">
        <v>0.66666666666666663</v>
      </c>
      <c r="D257" s="17" t="s">
        <v>28</v>
      </c>
      <c r="E257" s="17" t="s">
        <v>38</v>
      </c>
      <c r="F257" s="17" t="s">
        <v>30</v>
      </c>
      <c r="G257" s="200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7" t="s">
        <v>83</v>
      </c>
      <c r="B258" s="17" t="s">
        <v>102</v>
      </c>
      <c r="C258" s="18">
        <v>0.85416666666666663</v>
      </c>
      <c r="D258" s="17" t="s">
        <v>85</v>
      </c>
      <c r="E258" s="17" t="s">
        <v>38</v>
      </c>
      <c r="F258" s="17" t="s">
        <v>202</v>
      </c>
      <c r="G258" s="200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9" t="s">
        <v>83</v>
      </c>
      <c r="B259" s="19" t="s">
        <v>102</v>
      </c>
      <c r="C259" s="20">
        <v>0.85416666666666663</v>
      </c>
      <c r="D259" s="19" t="s">
        <v>87</v>
      </c>
      <c r="E259" s="19" t="s">
        <v>41</v>
      </c>
      <c r="F259" s="19" t="s">
        <v>185</v>
      </c>
      <c r="G259" s="200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9" t="s">
        <v>83</v>
      </c>
      <c r="B260" s="19" t="s">
        <v>102</v>
      </c>
      <c r="C260" s="20">
        <v>0.85416666666666663</v>
      </c>
      <c r="D260" s="19" t="s">
        <v>89</v>
      </c>
      <c r="E260" s="19" t="s">
        <v>41</v>
      </c>
      <c r="F260" s="19" t="s">
        <v>34</v>
      </c>
      <c r="G260" s="200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15" t="s">
        <v>83</v>
      </c>
      <c r="B261" s="15" t="s">
        <v>94</v>
      </c>
      <c r="C261" s="16">
        <v>0.25694444444444448</v>
      </c>
      <c r="D261" s="15" t="s">
        <v>85</v>
      </c>
      <c r="E261" s="15" t="s">
        <v>92</v>
      </c>
      <c r="F261" s="15" t="s">
        <v>86</v>
      </c>
      <c r="G261" s="200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9" t="s">
        <v>83</v>
      </c>
      <c r="B262" s="19" t="s">
        <v>94</v>
      </c>
      <c r="C262" s="20">
        <v>0.25694444444444448</v>
      </c>
      <c r="D262" s="19" t="s">
        <v>87</v>
      </c>
      <c r="E262" s="19" t="s">
        <v>93</v>
      </c>
      <c r="F262" s="19" t="s">
        <v>88</v>
      </c>
      <c r="G262" s="200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9" t="s">
        <v>83</v>
      </c>
      <c r="B263" s="19" t="s">
        <v>94</v>
      </c>
      <c r="C263" s="20">
        <v>0.25694444444444448</v>
      </c>
      <c r="D263" s="19" t="s">
        <v>89</v>
      </c>
      <c r="E263" s="19" t="s">
        <v>93</v>
      </c>
      <c r="F263" s="19" t="s">
        <v>90</v>
      </c>
      <c r="G263" s="200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15" t="s">
        <v>83</v>
      </c>
      <c r="B264" s="15" t="s">
        <v>100</v>
      </c>
      <c r="C264" s="16">
        <v>0.64583333333333337</v>
      </c>
      <c r="D264" s="15" t="s">
        <v>85</v>
      </c>
      <c r="E264" s="15" t="s">
        <v>51</v>
      </c>
      <c r="F264" s="15" t="s">
        <v>86</v>
      </c>
      <c r="G264" s="200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9" t="s">
        <v>83</v>
      </c>
      <c r="B265" s="19" t="s">
        <v>100</v>
      </c>
      <c r="C265" s="20">
        <v>0.64583333333333337</v>
      </c>
      <c r="D265" s="19" t="s">
        <v>87</v>
      </c>
      <c r="E265" s="19" t="s">
        <v>53</v>
      </c>
      <c r="F265" s="19" t="s">
        <v>88</v>
      </c>
      <c r="G265" s="200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9" t="s">
        <v>83</v>
      </c>
      <c r="B266" s="19" t="s">
        <v>100</v>
      </c>
      <c r="C266" s="20">
        <v>0.64583333333333337</v>
      </c>
      <c r="D266" s="19" t="s">
        <v>89</v>
      </c>
      <c r="E266" s="19" t="s">
        <v>53</v>
      </c>
      <c r="F266" s="19" t="s">
        <v>90</v>
      </c>
      <c r="G266" s="200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15" t="s">
        <v>83</v>
      </c>
      <c r="B267" s="15" t="s">
        <v>101</v>
      </c>
      <c r="C267" s="16">
        <v>0.51736111111111105</v>
      </c>
      <c r="D267" s="15" t="s">
        <v>85</v>
      </c>
      <c r="E267" s="15" t="s">
        <v>95</v>
      </c>
      <c r="F267" s="15" t="s">
        <v>86</v>
      </c>
      <c r="G267" s="200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9" t="s">
        <v>83</v>
      </c>
      <c r="B268" s="19" t="s">
        <v>101</v>
      </c>
      <c r="C268" s="20">
        <v>0.51736111111111105</v>
      </c>
      <c r="D268" s="19" t="s">
        <v>87</v>
      </c>
      <c r="E268" s="19" t="s">
        <v>97</v>
      </c>
      <c r="F268" s="19" t="s">
        <v>88</v>
      </c>
      <c r="G268" s="200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9" t="s">
        <v>83</v>
      </c>
      <c r="B269" s="19" t="s">
        <v>101</v>
      </c>
      <c r="C269" s="20">
        <v>0.51736111111111105</v>
      </c>
      <c r="D269" s="19" t="s">
        <v>89</v>
      </c>
      <c r="E269" s="19" t="s">
        <v>97</v>
      </c>
      <c r="F269" s="19" t="s">
        <v>90</v>
      </c>
      <c r="G269" s="200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15" t="s">
        <v>83</v>
      </c>
      <c r="B270" s="15" t="s">
        <v>104</v>
      </c>
      <c r="C270" s="16">
        <v>0.39583333333333331</v>
      </c>
      <c r="D270" s="15" t="s">
        <v>85</v>
      </c>
      <c r="E270" s="15" t="s">
        <v>46</v>
      </c>
      <c r="F270" s="15" t="s">
        <v>86</v>
      </c>
      <c r="G270" s="200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9" t="s">
        <v>83</v>
      </c>
      <c r="B271" s="19" t="s">
        <v>104</v>
      </c>
      <c r="C271" s="20">
        <v>0.39583333333333331</v>
      </c>
      <c r="D271" s="19" t="s">
        <v>87</v>
      </c>
      <c r="E271" s="19" t="s">
        <v>41</v>
      </c>
      <c r="F271" s="19" t="s">
        <v>88</v>
      </c>
      <c r="G271" s="200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9" t="s">
        <v>83</v>
      </c>
      <c r="B272" s="19" t="s">
        <v>104</v>
      </c>
      <c r="C272" s="20">
        <v>0.39583333333333331</v>
      </c>
      <c r="D272" s="19" t="s">
        <v>89</v>
      </c>
      <c r="E272" s="19" t="s">
        <v>41</v>
      </c>
      <c r="F272" s="19" t="s">
        <v>90</v>
      </c>
      <c r="G272" s="200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15" t="s">
        <v>83</v>
      </c>
      <c r="B273" s="15" t="s">
        <v>84</v>
      </c>
      <c r="C273" s="16">
        <v>0.90277777777777779</v>
      </c>
      <c r="D273" s="15" t="s">
        <v>85</v>
      </c>
      <c r="E273" s="15" t="s">
        <v>95</v>
      </c>
      <c r="F273" s="15" t="s">
        <v>96</v>
      </c>
      <c r="G273" s="200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9" t="s">
        <v>83</v>
      </c>
      <c r="B274" s="19" t="s">
        <v>84</v>
      </c>
      <c r="C274" s="20">
        <v>0.90277777777777779</v>
      </c>
      <c r="D274" s="19" t="s">
        <v>87</v>
      </c>
      <c r="E274" s="19" t="s">
        <v>97</v>
      </c>
      <c r="F274" s="19" t="s">
        <v>98</v>
      </c>
      <c r="G274" s="200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9" t="s">
        <v>83</v>
      </c>
      <c r="B275" s="19" t="s">
        <v>84</v>
      </c>
      <c r="C275" s="20">
        <v>0.90277777777777779</v>
      </c>
      <c r="D275" s="19" t="s">
        <v>89</v>
      </c>
      <c r="E275" s="19" t="s">
        <v>97</v>
      </c>
      <c r="F275" s="19" t="s">
        <v>99</v>
      </c>
      <c r="G275" s="200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15" t="s">
        <v>83</v>
      </c>
      <c r="B276" s="15" t="s">
        <v>91</v>
      </c>
      <c r="C276" s="16">
        <v>0.79861111111111116</v>
      </c>
      <c r="D276" s="15" t="s">
        <v>85</v>
      </c>
      <c r="E276" s="15" t="s">
        <v>95</v>
      </c>
      <c r="F276" s="15" t="s">
        <v>96</v>
      </c>
      <c r="G276" s="200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9" t="s">
        <v>83</v>
      </c>
      <c r="B277" s="19" t="s">
        <v>91</v>
      </c>
      <c r="C277" s="20">
        <v>0.79861111111111116</v>
      </c>
      <c r="D277" s="19" t="s">
        <v>87</v>
      </c>
      <c r="E277" s="19" t="s">
        <v>97</v>
      </c>
      <c r="F277" s="19" t="s">
        <v>98</v>
      </c>
      <c r="G277" s="200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19" t="s">
        <v>83</v>
      </c>
      <c r="B278" s="19" t="s">
        <v>91</v>
      </c>
      <c r="C278" s="20">
        <v>0.79861111111111116</v>
      </c>
      <c r="D278" s="19" t="s">
        <v>89</v>
      </c>
      <c r="E278" s="19" t="s">
        <v>97</v>
      </c>
      <c r="F278" s="19" t="s">
        <v>99</v>
      </c>
      <c r="G278" s="200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15" customHeight="1" x14ac:dyDescent="0.3">
      <c r="A279" s="17" t="s">
        <v>110</v>
      </c>
      <c r="B279" s="17" t="s">
        <v>173</v>
      </c>
      <c r="C279" s="18">
        <v>0.3923611111111111</v>
      </c>
      <c r="D279" s="17" t="s">
        <v>112</v>
      </c>
      <c r="E279" s="17" t="s">
        <v>113</v>
      </c>
      <c r="F279" s="17" t="s">
        <v>86</v>
      </c>
      <c r="G279" s="200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</row>
    <row r="280" spans="1:18" ht="15" customHeight="1" x14ac:dyDescent="0.3">
      <c r="A280" s="19" t="s">
        <v>110</v>
      </c>
      <c r="B280" s="19" t="s">
        <v>173</v>
      </c>
      <c r="C280" s="20">
        <v>0.3923611111111111</v>
      </c>
      <c r="D280" s="19" t="s">
        <v>43</v>
      </c>
      <c r="E280" s="19" t="s">
        <v>97</v>
      </c>
      <c r="F280" s="19" t="s">
        <v>219</v>
      </c>
      <c r="G280" s="200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</row>
    <row r="281" spans="1:18" ht="15" customHeight="1" x14ac:dyDescent="0.3">
      <c r="A281" s="15" t="s">
        <v>110</v>
      </c>
      <c r="B281" s="15" t="s">
        <v>220</v>
      </c>
      <c r="C281" s="16">
        <v>0.97569444444444453</v>
      </c>
      <c r="D281" s="15" t="s">
        <v>112</v>
      </c>
      <c r="E281" s="15" t="s">
        <v>95</v>
      </c>
      <c r="F281" s="15" t="s">
        <v>221</v>
      </c>
      <c r="G281" s="200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</row>
    <row r="282" spans="1:18" ht="15" customHeight="1" x14ac:dyDescent="0.3">
      <c r="A282" s="19" t="s">
        <v>110</v>
      </c>
      <c r="B282" s="19" t="s">
        <v>220</v>
      </c>
      <c r="C282" s="20">
        <v>0.97569444444444453</v>
      </c>
      <c r="D282" s="19" t="s">
        <v>43</v>
      </c>
      <c r="E282" s="19" t="s">
        <v>97</v>
      </c>
      <c r="F282" s="19" t="s">
        <v>222</v>
      </c>
      <c r="G282" s="200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</row>
    <row r="283" spans="1:18" ht="15" customHeight="1" x14ac:dyDescent="0.3">
      <c r="A283" s="17" t="s">
        <v>121</v>
      </c>
      <c r="B283" s="17" t="s">
        <v>128</v>
      </c>
      <c r="C283" s="18">
        <v>0.37847222222222232</v>
      </c>
      <c r="D283" s="17" t="s">
        <v>123</v>
      </c>
      <c r="E283" s="17" t="s">
        <v>29</v>
      </c>
      <c r="F283" s="17" t="s">
        <v>124</v>
      </c>
      <c r="G283" s="200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x14ac:dyDescent="0.3">
      <c r="A284" s="19" t="s">
        <v>121</v>
      </c>
      <c r="B284" s="19" t="s">
        <v>128</v>
      </c>
      <c r="C284" s="20">
        <v>0.37847222222222232</v>
      </c>
      <c r="D284" s="19" t="s">
        <v>125</v>
      </c>
      <c r="E284" s="19" t="s">
        <v>126</v>
      </c>
      <c r="F284" s="19" t="s">
        <v>127</v>
      </c>
      <c r="G284" s="200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</row>
    <row r="285" spans="1:18" ht="15" customHeight="1" x14ac:dyDescent="0.3">
      <c r="A285" s="15" t="s">
        <v>121</v>
      </c>
      <c r="B285" s="15" t="s">
        <v>145</v>
      </c>
      <c r="C285" s="16">
        <v>0.61111111111111105</v>
      </c>
      <c r="D285" s="15" t="s">
        <v>123</v>
      </c>
      <c r="E285" s="15" t="s">
        <v>32</v>
      </c>
      <c r="F285" s="15" t="s">
        <v>124</v>
      </c>
      <c r="G285" s="200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</row>
    <row r="286" spans="1:18" ht="15" customHeight="1" x14ac:dyDescent="0.3">
      <c r="A286" s="19" t="s">
        <v>121</v>
      </c>
      <c r="B286" s="19" t="s">
        <v>145</v>
      </c>
      <c r="C286" s="20">
        <v>0.61111111111111105</v>
      </c>
      <c r="D286" s="19" t="s">
        <v>125</v>
      </c>
      <c r="E286" s="19" t="s">
        <v>126</v>
      </c>
      <c r="F286" s="19" t="s">
        <v>127</v>
      </c>
      <c r="G286" s="200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</row>
    <row r="287" spans="1:18" ht="15" customHeight="1" x14ac:dyDescent="0.3">
      <c r="A287" s="15" t="s">
        <v>121</v>
      </c>
      <c r="B287" s="15" t="s">
        <v>122</v>
      </c>
      <c r="C287" s="16">
        <v>0.23958333333333329</v>
      </c>
      <c r="D287" s="15" t="s">
        <v>123</v>
      </c>
      <c r="E287" s="15" t="s">
        <v>32</v>
      </c>
      <c r="F287" s="15" t="s">
        <v>124</v>
      </c>
      <c r="G287" s="200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</row>
    <row r="288" spans="1:18" ht="15" customHeight="1" x14ac:dyDescent="0.3">
      <c r="A288" s="19" t="s">
        <v>121</v>
      </c>
      <c r="B288" s="19" t="s">
        <v>122</v>
      </c>
      <c r="C288" s="20">
        <v>0.23958333333333329</v>
      </c>
      <c r="D288" s="19" t="s">
        <v>125</v>
      </c>
      <c r="E288" s="19" t="s">
        <v>126</v>
      </c>
      <c r="F288" s="19" t="s">
        <v>127</v>
      </c>
      <c r="G288" s="200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15" t="s">
        <v>121</v>
      </c>
      <c r="B289" s="15" t="s">
        <v>132</v>
      </c>
      <c r="C289" s="16">
        <v>0.1423611111111111</v>
      </c>
      <c r="D289" s="15" t="s">
        <v>123</v>
      </c>
      <c r="E289" s="15" t="s">
        <v>32</v>
      </c>
      <c r="F289" s="15" t="s">
        <v>124</v>
      </c>
      <c r="G289" s="200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</row>
    <row r="290" spans="1:18" ht="15" customHeight="1" x14ac:dyDescent="0.3">
      <c r="A290" s="19" t="s">
        <v>121</v>
      </c>
      <c r="B290" s="19" t="s">
        <v>132</v>
      </c>
      <c r="C290" s="20">
        <v>0.1423611111111111</v>
      </c>
      <c r="D290" s="19" t="s">
        <v>125</v>
      </c>
      <c r="E290" s="19" t="s">
        <v>126</v>
      </c>
      <c r="F290" s="19" t="s">
        <v>127</v>
      </c>
      <c r="G290" s="200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15" t="s">
        <v>121</v>
      </c>
      <c r="B291" s="15" t="s">
        <v>134</v>
      </c>
      <c r="C291" s="16">
        <v>0.71875</v>
      </c>
      <c r="D291" s="15" t="s">
        <v>123</v>
      </c>
      <c r="E291" s="15" t="s">
        <v>32</v>
      </c>
      <c r="F291" s="15" t="s">
        <v>223</v>
      </c>
      <c r="G291" s="200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19" t="s">
        <v>121</v>
      </c>
      <c r="B292" s="19" t="s">
        <v>134</v>
      </c>
      <c r="C292" s="20">
        <v>0.71875</v>
      </c>
      <c r="D292" s="19" t="s">
        <v>125</v>
      </c>
      <c r="E292" s="19" t="s">
        <v>126</v>
      </c>
      <c r="F292" s="19" t="s">
        <v>178</v>
      </c>
      <c r="G292" s="200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15" t="s">
        <v>121</v>
      </c>
      <c r="B293" s="15" t="s">
        <v>131</v>
      </c>
      <c r="C293" s="16">
        <v>6.9444444444444441E-3</v>
      </c>
      <c r="D293" s="15" t="s">
        <v>123</v>
      </c>
      <c r="E293" s="15" t="s">
        <v>32</v>
      </c>
      <c r="F293" s="15" t="s">
        <v>129</v>
      </c>
      <c r="G293" s="200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x14ac:dyDescent="0.3">
      <c r="A294" s="19" t="s">
        <v>121</v>
      </c>
      <c r="B294" s="19" t="s">
        <v>131</v>
      </c>
      <c r="C294" s="20">
        <v>6.9444444444444441E-3</v>
      </c>
      <c r="D294" s="19" t="s">
        <v>125</v>
      </c>
      <c r="E294" s="19" t="s">
        <v>126</v>
      </c>
      <c r="F294" s="19" t="s">
        <v>130</v>
      </c>
      <c r="G294" s="200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</row>
    <row r="295" spans="1:18" ht="15" customHeight="1" x14ac:dyDescent="0.3">
      <c r="A295" s="15" t="s">
        <v>121</v>
      </c>
      <c r="B295" s="15" t="s">
        <v>133</v>
      </c>
      <c r="C295" s="16">
        <v>0.93055555555555547</v>
      </c>
      <c r="D295" s="15" t="s">
        <v>123</v>
      </c>
      <c r="E295" s="15" t="s">
        <v>32</v>
      </c>
      <c r="F295" s="15" t="s">
        <v>129</v>
      </c>
      <c r="G295" s="200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</row>
    <row r="296" spans="1:18" ht="15" customHeight="1" x14ac:dyDescent="0.3">
      <c r="A296" s="19" t="s">
        <v>121</v>
      </c>
      <c r="B296" s="19" t="s">
        <v>133</v>
      </c>
      <c r="C296" s="20">
        <v>0.93055555555555547</v>
      </c>
      <c r="D296" s="19" t="s">
        <v>125</v>
      </c>
      <c r="E296" s="19" t="s">
        <v>126</v>
      </c>
      <c r="F296" s="19" t="s">
        <v>130</v>
      </c>
      <c r="G296" s="200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</row>
    <row r="297" spans="1:18" ht="15" customHeight="1" x14ac:dyDescent="0.3">
      <c r="A297" s="15" t="s">
        <v>121</v>
      </c>
      <c r="B297" s="15" t="s">
        <v>142</v>
      </c>
      <c r="C297" s="16">
        <v>0.82986111111111116</v>
      </c>
      <c r="D297" s="15" t="s">
        <v>123</v>
      </c>
      <c r="E297" s="15" t="s">
        <v>32</v>
      </c>
      <c r="F297" s="15" t="s">
        <v>129</v>
      </c>
      <c r="G297" s="200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</row>
    <row r="298" spans="1:18" ht="15" customHeight="1" x14ac:dyDescent="0.3">
      <c r="A298" s="19" t="s">
        <v>121</v>
      </c>
      <c r="B298" s="19" t="s">
        <v>142</v>
      </c>
      <c r="C298" s="20">
        <v>0.82986111111111116</v>
      </c>
      <c r="D298" s="19" t="s">
        <v>125</v>
      </c>
      <c r="E298" s="19" t="s">
        <v>126</v>
      </c>
      <c r="F298" s="19" t="s">
        <v>130</v>
      </c>
      <c r="G298" s="200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x14ac:dyDescent="0.3">
      <c r="A299" s="15" t="s">
        <v>121</v>
      </c>
      <c r="B299" s="15" t="s">
        <v>140</v>
      </c>
      <c r="C299" s="16">
        <v>0.12847222222222221</v>
      </c>
      <c r="D299" s="15" t="s">
        <v>125</v>
      </c>
      <c r="E299" s="15" t="s">
        <v>105</v>
      </c>
      <c r="F299" s="15" t="s">
        <v>207</v>
      </c>
      <c r="G299" s="200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</row>
    <row r="300" spans="1:18" ht="15" customHeight="1" x14ac:dyDescent="0.3">
      <c r="A300" s="15" t="s">
        <v>121</v>
      </c>
      <c r="B300" s="15" t="s">
        <v>137</v>
      </c>
      <c r="C300" s="16">
        <v>0.88888888888888884</v>
      </c>
      <c r="D300" s="15" t="s">
        <v>125</v>
      </c>
      <c r="E300" s="15" t="s">
        <v>105</v>
      </c>
      <c r="F300" s="15" t="s">
        <v>138</v>
      </c>
      <c r="G300" s="200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</row>
    <row r="301" spans="1:18" ht="15" customHeight="1" x14ac:dyDescent="0.3">
      <c r="A301" s="15" t="s">
        <v>121</v>
      </c>
      <c r="B301" s="15" t="s">
        <v>139</v>
      </c>
      <c r="C301" s="16">
        <v>0.30208333333333331</v>
      </c>
      <c r="D301" s="15" t="s">
        <v>125</v>
      </c>
      <c r="E301" s="15" t="s">
        <v>105</v>
      </c>
      <c r="F301" s="15" t="s">
        <v>138</v>
      </c>
      <c r="G301" s="200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</row>
    <row r="302" spans="1:18" ht="15" customHeight="1" x14ac:dyDescent="0.3">
      <c r="A302" s="15" t="s">
        <v>121</v>
      </c>
      <c r="B302" s="15" t="s">
        <v>141</v>
      </c>
      <c r="C302" s="16">
        <v>0.78819444444444453</v>
      </c>
      <c r="D302" s="15" t="s">
        <v>125</v>
      </c>
      <c r="E302" s="15" t="s">
        <v>105</v>
      </c>
      <c r="F302" s="15" t="s">
        <v>138</v>
      </c>
      <c r="G302" s="200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</row>
    <row r="303" spans="1:18" ht="15" customHeight="1" x14ac:dyDescent="0.3">
      <c r="A303" s="17" t="s">
        <v>148</v>
      </c>
      <c r="B303" s="17" t="s">
        <v>180</v>
      </c>
      <c r="C303" s="18">
        <v>1.388888888888889E-2</v>
      </c>
      <c r="D303" s="17" t="s">
        <v>150</v>
      </c>
      <c r="E303" s="17" t="s">
        <v>29</v>
      </c>
      <c r="F303" s="17" t="s">
        <v>178</v>
      </c>
      <c r="G303" s="200"/>
      <c r="H303" s="10"/>
      <c r="I303" s="11"/>
      <c r="J303" s="11"/>
      <c r="K303" s="11"/>
      <c r="L303" s="11"/>
      <c r="M303" s="11"/>
      <c r="N303" s="11"/>
      <c r="O303" s="12"/>
      <c r="P303" s="11"/>
      <c r="Q303" s="13"/>
      <c r="R303" s="14"/>
    </row>
    <row r="304" spans="1:18" ht="15" customHeight="1" x14ac:dyDescent="0.3">
      <c r="A304" s="15" t="s">
        <v>148</v>
      </c>
      <c r="B304" s="15" t="s">
        <v>149</v>
      </c>
      <c r="C304" s="16">
        <v>0.47222222222222232</v>
      </c>
      <c r="D304" s="15" t="s">
        <v>150</v>
      </c>
      <c r="E304" s="15" t="s">
        <v>32</v>
      </c>
      <c r="F304" s="15" t="s">
        <v>178</v>
      </c>
      <c r="G304" s="200"/>
      <c r="H304" s="10"/>
      <c r="I304" s="11"/>
      <c r="J304" s="11"/>
      <c r="K304" s="11"/>
      <c r="L304" s="11"/>
      <c r="M304" s="11"/>
      <c r="N304" s="11"/>
      <c r="O304" s="12"/>
      <c r="P304" s="11"/>
      <c r="Q304" s="13"/>
      <c r="R304" s="14"/>
    </row>
    <row r="305" spans="1:18" ht="15" customHeight="1" x14ac:dyDescent="0.3">
      <c r="A305" s="15" t="s">
        <v>148</v>
      </c>
      <c r="B305" s="15" t="s">
        <v>176</v>
      </c>
      <c r="C305" s="16">
        <v>0.14583333333333329</v>
      </c>
      <c r="D305" s="15" t="s">
        <v>150</v>
      </c>
      <c r="E305" s="15" t="s">
        <v>32</v>
      </c>
      <c r="F305" s="15" t="s">
        <v>178</v>
      </c>
      <c r="G305" s="200"/>
      <c r="H305" s="10"/>
      <c r="I305" s="11"/>
      <c r="J305" s="11"/>
      <c r="K305" s="11"/>
      <c r="L305" s="11"/>
      <c r="M305" s="11"/>
      <c r="N305" s="11"/>
      <c r="O305" s="12"/>
      <c r="P305" s="11"/>
      <c r="Q305" s="13"/>
      <c r="R305" s="14"/>
    </row>
    <row r="306" spans="1:18" ht="15" customHeight="1" x14ac:dyDescent="0.3">
      <c r="A306" s="15" t="s">
        <v>148</v>
      </c>
      <c r="B306" s="15" t="s">
        <v>155</v>
      </c>
      <c r="C306" s="16">
        <v>0.27777777777777779</v>
      </c>
      <c r="D306" s="15" t="s">
        <v>150</v>
      </c>
      <c r="E306" s="15" t="s">
        <v>32</v>
      </c>
      <c r="F306" s="15" t="s">
        <v>178</v>
      </c>
      <c r="G306" s="200"/>
      <c r="H306" s="10"/>
      <c r="I306" s="11"/>
      <c r="J306" s="11"/>
      <c r="K306" s="11"/>
      <c r="L306" s="11"/>
      <c r="M306" s="11"/>
      <c r="N306" s="11"/>
      <c r="O306" s="12"/>
      <c r="P306" s="11"/>
      <c r="Q306" s="13"/>
      <c r="R306" s="14"/>
    </row>
    <row r="307" spans="1:18" ht="15" customHeight="1" x14ac:dyDescent="0.3">
      <c r="A307" s="15" t="s">
        <v>148</v>
      </c>
      <c r="B307" s="15" t="s">
        <v>153</v>
      </c>
      <c r="C307" s="16">
        <v>0.22916666666666671</v>
      </c>
      <c r="D307" s="15" t="s">
        <v>150</v>
      </c>
      <c r="E307" s="15" t="s">
        <v>32</v>
      </c>
      <c r="F307" s="15" t="s">
        <v>178</v>
      </c>
      <c r="G307" s="200"/>
      <c r="H307" s="10"/>
      <c r="I307" s="11"/>
      <c r="J307" s="11"/>
      <c r="K307" s="11"/>
      <c r="L307" s="11"/>
      <c r="M307" s="11"/>
      <c r="N307" s="11"/>
      <c r="O307" s="12"/>
      <c r="P307" s="11"/>
      <c r="Q307" s="13"/>
      <c r="R307" s="14"/>
    </row>
    <row r="308" spans="1:18" ht="15" customHeight="1" x14ac:dyDescent="0.3">
      <c r="A308" s="15" t="s">
        <v>148</v>
      </c>
      <c r="B308" s="15" t="s">
        <v>157</v>
      </c>
      <c r="C308" s="16">
        <v>0.77083333333333337</v>
      </c>
      <c r="D308" s="15" t="s">
        <v>150</v>
      </c>
      <c r="E308" s="15" t="s">
        <v>32</v>
      </c>
      <c r="F308" s="15" t="s">
        <v>181</v>
      </c>
      <c r="G308" s="200"/>
      <c r="H308" s="10"/>
      <c r="I308" s="11"/>
      <c r="J308" s="11"/>
      <c r="K308" s="11"/>
      <c r="L308" s="11"/>
      <c r="M308" s="11"/>
      <c r="N308" s="11"/>
      <c r="O308" s="12"/>
      <c r="P308" s="11"/>
      <c r="Q308" s="13"/>
      <c r="R308" s="14"/>
    </row>
    <row r="309" spans="1:18" ht="15" customHeight="1" thickBot="1" x14ac:dyDescent="0.35">
      <c r="A309" s="61" t="s">
        <v>148</v>
      </c>
      <c r="B309" s="61" t="s">
        <v>179</v>
      </c>
      <c r="C309" s="62">
        <v>0.95833333333333337</v>
      </c>
      <c r="D309" s="61" t="s">
        <v>150</v>
      </c>
      <c r="E309" s="61" t="s">
        <v>32</v>
      </c>
      <c r="F309" s="61" t="s">
        <v>156</v>
      </c>
      <c r="G309" s="201"/>
      <c r="H309" s="63"/>
      <c r="I309" s="64"/>
      <c r="J309" s="64"/>
      <c r="K309" s="64"/>
      <c r="L309" s="64"/>
      <c r="M309" s="64"/>
      <c r="N309" s="64"/>
      <c r="O309" s="65"/>
      <c r="P309" s="64"/>
      <c r="Q309" s="66"/>
      <c r="R309" s="67"/>
    </row>
    <row r="310" spans="1:18" ht="17.399999999999999" customHeight="1" thickBot="1" x14ac:dyDescent="0.35">
      <c r="A310" s="225"/>
      <c r="B310" s="226"/>
      <c r="C310" s="226"/>
      <c r="D310" s="226"/>
      <c r="E310" s="226"/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7"/>
    </row>
    <row r="311" spans="1:18" ht="22.05" customHeight="1" thickTop="1" thickBot="1" x14ac:dyDescent="0.35">
      <c r="A311" s="190" t="s">
        <v>6</v>
      </c>
      <c r="B311" s="191"/>
      <c r="C311" s="191"/>
      <c r="D311" s="191"/>
      <c r="E311" s="191"/>
      <c r="F311" s="192"/>
      <c r="G311" s="68">
        <v>45990</v>
      </c>
      <c r="H311" s="202" t="s">
        <v>7</v>
      </c>
      <c r="I311" s="191"/>
      <c r="J311" s="191"/>
      <c r="K311" s="191"/>
      <c r="L311" s="191"/>
      <c r="M311" s="191"/>
      <c r="N311" s="191"/>
      <c r="O311" s="191"/>
      <c r="P311" s="191"/>
      <c r="Q311" s="191"/>
      <c r="R311" s="192"/>
    </row>
    <row r="312" spans="1:18" ht="24" customHeight="1" x14ac:dyDescent="0.3">
      <c r="A312" s="69" t="s">
        <v>8</v>
      </c>
      <c r="B312" s="69" t="s">
        <v>9</v>
      </c>
      <c r="C312" s="70" t="s">
        <v>10</v>
      </c>
      <c r="D312" s="69" t="s">
        <v>11</v>
      </c>
      <c r="E312" s="69" t="s">
        <v>12</v>
      </c>
      <c r="F312" s="71" t="s">
        <v>13</v>
      </c>
      <c r="G312" s="72" t="s">
        <v>14</v>
      </c>
      <c r="H312" s="69" t="s">
        <v>15</v>
      </c>
      <c r="I312" s="73" t="s">
        <v>16</v>
      </c>
      <c r="J312" s="74" t="s">
        <v>17</v>
      </c>
      <c r="K312" s="75" t="s">
        <v>18</v>
      </c>
      <c r="L312" s="74" t="s">
        <v>19</v>
      </c>
      <c r="M312" s="74" t="s">
        <v>20</v>
      </c>
      <c r="N312" s="74" t="s">
        <v>21</v>
      </c>
      <c r="O312" s="69" t="s">
        <v>22</v>
      </c>
      <c r="P312" s="70" t="s">
        <v>23</v>
      </c>
      <c r="Q312" s="74" t="s">
        <v>24</v>
      </c>
      <c r="R312" s="69" t="s">
        <v>25</v>
      </c>
    </row>
    <row r="313" spans="1:18" ht="15" customHeight="1" x14ac:dyDescent="0.3">
      <c r="A313" s="8" t="s">
        <v>35</v>
      </c>
      <c r="B313" s="8" t="s">
        <v>50</v>
      </c>
      <c r="C313" s="9">
        <v>0.12847222222222221</v>
      </c>
      <c r="D313" s="8" t="s">
        <v>37</v>
      </c>
      <c r="E313" s="8" t="s">
        <v>113</v>
      </c>
      <c r="F313" s="8" t="s">
        <v>159</v>
      </c>
      <c r="G313" s="199"/>
      <c r="H313" s="10"/>
      <c r="I313" s="11"/>
      <c r="J313" s="11"/>
      <c r="K313" s="11"/>
      <c r="L313" s="11"/>
      <c r="M313" s="11"/>
      <c r="N313" s="11"/>
      <c r="O313" s="12"/>
      <c r="P313" s="11"/>
      <c r="Q313" s="13"/>
      <c r="R313" s="14"/>
    </row>
    <row r="314" spans="1:18" ht="15" customHeight="1" x14ac:dyDescent="0.3">
      <c r="A314" s="19" t="s">
        <v>35</v>
      </c>
      <c r="B314" s="19" t="s">
        <v>50</v>
      </c>
      <c r="C314" s="20">
        <v>0.12847222222222221</v>
      </c>
      <c r="D314" s="19" t="s">
        <v>40</v>
      </c>
      <c r="E314" s="19" t="s">
        <v>97</v>
      </c>
      <c r="F314" s="19" t="s">
        <v>160</v>
      </c>
      <c r="G314" s="200"/>
      <c r="H314" s="10"/>
      <c r="I314" s="11"/>
      <c r="J314" s="11"/>
      <c r="K314" s="11"/>
      <c r="L314" s="11"/>
      <c r="M314" s="11"/>
      <c r="N314" s="11"/>
      <c r="O314" s="12"/>
      <c r="P314" s="11"/>
      <c r="Q314" s="13"/>
      <c r="R314" s="14"/>
    </row>
    <row r="315" spans="1:18" ht="15" customHeight="1" x14ac:dyDescent="0.3">
      <c r="A315" s="19" t="s">
        <v>35</v>
      </c>
      <c r="B315" s="19" t="s">
        <v>50</v>
      </c>
      <c r="C315" s="20">
        <v>0.12847222222222221</v>
      </c>
      <c r="D315" s="19" t="s">
        <v>43</v>
      </c>
      <c r="E315" s="19" t="s">
        <v>97</v>
      </c>
      <c r="F315" s="19" t="s">
        <v>44</v>
      </c>
      <c r="G315" s="200"/>
      <c r="H315" s="10"/>
      <c r="I315" s="11"/>
      <c r="J315" s="11"/>
      <c r="K315" s="11"/>
      <c r="L315" s="11"/>
      <c r="M315" s="11"/>
      <c r="N315" s="11"/>
      <c r="O315" s="12"/>
      <c r="P315" s="11"/>
      <c r="Q315" s="13"/>
      <c r="R315" s="14"/>
    </row>
    <row r="316" spans="1:18" ht="15" customHeight="1" x14ac:dyDescent="0.3">
      <c r="A316" s="15" t="s">
        <v>35</v>
      </c>
      <c r="B316" s="15" t="s">
        <v>36</v>
      </c>
      <c r="C316" s="16">
        <v>0.30208333333333331</v>
      </c>
      <c r="D316" s="15" t="s">
        <v>37</v>
      </c>
      <c r="E316" s="15" t="s">
        <v>51</v>
      </c>
      <c r="F316" s="15" t="s">
        <v>39</v>
      </c>
      <c r="G316" s="200"/>
      <c r="H316" s="10"/>
      <c r="I316" s="11"/>
      <c r="J316" s="11"/>
      <c r="K316" s="11"/>
      <c r="L316" s="11"/>
      <c r="M316" s="11"/>
      <c r="N316" s="11"/>
      <c r="O316" s="12"/>
      <c r="P316" s="11"/>
      <c r="Q316" s="13"/>
      <c r="R316" s="14"/>
    </row>
    <row r="317" spans="1:18" ht="15" customHeight="1" x14ac:dyDescent="0.3">
      <c r="A317" s="19" t="s">
        <v>35</v>
      </c>
      <c r="B317" s="19" t="s">
        <v>36</v>
      </c>
      <c r="C317" s="20">
        <v>0.30208333333333331</v>
      </c>
      <c r="D317" s="19" t="s">
        <v>40</v>
      </c>
      <c r="E317" s="19" t="s">
        <v>53</v>
      </c>
      <c r="F317" s="19" t="s">
        <v>42</v>
      </c>
      <c r="G317" s="200"/>
      <c r="H317" s="10"/>
      <c r="I317" s="11"/>
      <c r="J317" s="11"/>
      <c r="K317" s="11"/>
      <c r="L317" s="11"/>
      <c r="M317" s="11"/>
      <c r="N317" s="11"/>
      <c r="O317" s="12"/>
      <c r="P317" s="11"/>
      <c r="Q317" s="13"/>
      <c r="R317" s="14"/>
    </row>
    <row r="318" spans="1:18" ht="15" customHeight="1" x14ac:dyDescent="0.3">
      <c r="A318" s="19" t="s">
        <v>35</v>
      </c>
      <c r="B318" s="19" t="s">
        <v>36</v>
      </c>
      <c r="C318" s="20">
        <v>0.30208333333333331</v>
      </c>
      <c r="D318" s="19" t="s">
        <v>43</v>
      </c>
      <c r="E318" s="19" t="s">
        <v>53</v>
      </c>
      <c r="F318" s="19" t="s">
        <v>44</v>
      </c>
      <c r="G318" s="200"/>
      <c r="H318" s="10"/>
      <c r="I318" s="11"/>
      <c r="J318" s="11"/>
      <c r="K318" s="11"/>
      <c r="L318" s="11"/>
      <c r="M318" s="11"/>
      <c r="N318" s="11"/>
      <c r="O318" s="12"/>
      <c r="P318" s="11"/>
      <c r="Q318" s="13"/>
      <c r="R318" s="14"/>
    </row>
    <row r="319" spans="1:18" ht="15" customHeight="1" x14ac:dyDescent="0.3">
      <c r="A319" s="15" t="s">
        <v>35</v>
      </c>
      <c r="B319" s="15" t="s">
        <v>45</v>
      </c>
      <c r="C319" s="16">
        <v>0.78819444444444453</v>
      </c>
      <c r="D319" s="15" t="s">
        <v>37</v>
      </c>
      <c r="E319" s="15" t="s">
        <v>105</v>
      </c>
      <c r="F319" s="15" t="s">
        <v>52</v>
      </c>
      <c r="G319" s="200"/>
      <c r="H319" s="10"/>
      <c r="I319" s="11"/>
      <c r="J319" s="11"/>
      <c r="K319" s="11"/>
      <c r="L319" s="11"/>
      <c r="M319" s="11"/>
      <c r="N319" s="11"/>
      <c r="O319" s="12"/>
      <c r="P319" s="11"/>
      <c r="Q319" s="13"/>
      <c r="R319" s="14"/>
    </row>
    <row r="320" spans="1:18" ht="15" customHeight="1" x14ac:dyDescent="0.3">
      <c r="A320" s="19" t="s">
        <v>35</v>
      </c>
      <c r="B320" s="19" t="s">
        <v>45</v>
      </c>
      <c r="C320" s="20">
        <v>0.78819444444444453</v>
      </c>
      <c r="D320" s="19" t="s">
        <v>40</v>
      </c>
      <c r="E320" s="19" t="s">
        <v>107</v>
      </c>
      <c r="F320" s="19" t="s">
        <v>54</v>
      </c>
      <c r="G320" s="200"/>
      <c r="H320" s="10"/>
      <c r="I320" s="11"/>
      <c r="J320" s="11"/>
      <c r="K320" s="11"/>
      <c r="L320" s="11"/>
      <c r="M320" s="11"/>
      <c r="N320" s="11"/>
      <c r="O320" s="12"/>
      <c r="P320" s="11"/>
      <c r="Q320" s="13"/>
      <c r="R320" s="14"/>
    </row>
    <row r="321" spans="1:18" ht="15" customHeight="1" x14ac:dyDescent="0.3">
      <c r="A321" s="19" t="s">
        <v>35</v>
      </c>
      <c r="B321" s="19" t="s">
        <v>45</v>
      </c>
      <c r="C321" s="20">
        <v>0.78819444444444453</v>
      </c>
      <c r="D321" s="19" t="s">
        <v>43</v>
      </c>
      <c r="E321" s="19" t="s">
        <v>107</v>
      </c>
      <c r="F321" s="19" t="s">
        <v>44</v>
      </c>
      <c r="G321" s="200"/>
      <c r="H321" s="10"/>
      <c r="I321" s="11"/>
      <c r="J321" s="11"/>
      <c r="K321" s="11"/>
      <c r="L321" s="11"/>
      <c r="M321" s="11"/>
      <c r="N321" s="11"/>
      <c r="O321" s="12"/>
      <c r="P321" s="11"/>
      <c r="Q321" s="13"/>
      <c r="R321" s="14"/>
    </row>
    <row r="322" spans="1:18" ht="15" customHeight="1" x14ac:dyDescent="0.3">
      <c r="A322" s="15" t="s">
        <v>35</v>
      </c>
      <c r="B322" s="15" t="s">
        <v>47</v>
      </c>
      <c r="C322" s="16">
        <v>0.88888888888888884</v>
      </c>
      <c r="D322" s="15" t="s">
        <v>37</v>
      </c>
      <c r="E322" s="15" t="s">
        <v>51</v>
      </c>
      <c r="F322" s="15" t="s">
        <v>224</v>
      </c>
      <c r="G322" s="200"/>
      <c r="H322" s="10"/>
      <c r="I322" s="11"/>
      <c r="J322" s="11"/>
      <c r="K322" s="11"/>
      <c r="L322" s="11"/>
      <c r="M322" s="11"/>
      <c r="N322" s="11"/>
      <c r="O322" s="12"/>
      <c r="P322" s="11"/>
      <c r="Q322" s="13"/>
      <c r="R322" s="14"/>
    </row>
    <row r="323" spans="1:18" ht="15" customHeight="1" x14ac:dyDescent="0.3">
      <c r="A323" s="19" t="s">
        <v>35</v>
      </c>
      <c r="B323" s="19" t="s">
        <v>47</v>
      </c>
      <c r="C323" s="20">
        <v>0.88888888888888884</v>
      </c>
      <c r="D323" s="19" t="s">
        <v>40</v>
      </c>
      <c r="E323" s="19" t="s">
        <v>53</v>
      </c>
      <c r="F323" s="19" t="s">
        <v>225</v>
      </c>
      <c r="G323" s="200"/>
      <c r="H323" s="10"/>
      <c r="I323" s="11"/>
      <c r="J323" s="11"/>
      <c r="K323" s="11"/>
      <c r="L323" s="11"/>
      <c r="M323" s="11"/>
      <c r="N323" s="11"/>
      <c r="O323" s="12"/>
      <c r="P323" s="11"/>
      <c r="Q323" s="13"/>
      <c r="R323" s="14"/>
    </row>
    <row r="324" spans="1:18" ht="15" customHeight="1" x14ac:dyDescent="0.3">
      <c r="A324" s="19" t="s">
        <v>35</v>
      </c>
      <c r="B324" s="19" t="s">
        <v>47</v>
      </c>
      <c r="C324" s="20">
        <v>0.88888888888888884</v>
      </c>
      <c r="D324" s="19" t="s">
        <v>43</v>
      </c>
      <c r="E324" s="19" t="s">
        <v>53</v>
      </c>
      <c r="F324" s="19" t="s">
        <v>44</v>
      </c>
      <c r="G324" s="200"/>
      <c r="H324" s="10"/>
      <c r="I324" s="11"/>
      <c r="J324" s="11"/>
      <c r="K324" s="11"/>
      <c r="L324" s="11"/>
      <c r="M324" s="11"/>
      <c r="N324" s="11"/>
      <c r="O324" s="12"/>
      <c r="P324" s="11"/>
      <c r="Q324" s="13"/>
      <c r="R324" s="14"/>
    </row>
    <row r="325" spans="1:18" ht="15" customHeight="1" x14ac:dyDescent="0.3">
      <c r="A325" s="124" t="s">
        <v>55</v>
      </c>
      <c r="B325" s="124" t="s">
        <v>192</v>
      </c>
      <c r="C325" s="125">
        <v>0.2361111111111111</v>
      </c>
      <c r="D325" s="124" t="s">
        <v>57</v>
      </c>
      <c r="E325" s="124" t="s">
        <v>226</v>
      </c>
      <c r="F325" s="124" t="s">
        <v>30</v>
      </c>
      <c r="G325" s="200"/>
      <c r="H325" s="54" t="s">
        <v>193</v>
      </c>
      <c r="I325" s="126">
        <v>0.72070000000000001</v>
      </c>
      <c r="J325" s="56">
        <v>129</v>
      </c>
      <c r="K325" s="57">
        <v>45981</v>
      </c>
      <c r="L325" s="56">
        <v>88</v>
      </c>
      <c r="M325" s="56">
        <v>0</v>
      </c>
      <c r="N325" s="56">
        <v>14</v>
      </c>
      <c r="O325" s="58" t="s">
        <v>227</v>
      </c>
      <c r="P325" s="59">
        <v>0.2361111111111111</v>
      </c>
      <c r="Q325" s="56">
        <v>179</v>
      </c>
      <c r="R325" s="60" t="s">
        <v>228</v>
      </c>
    </row>
    <row r="326" spans="1:18" ht="15" customHeight="1" x14ac:dyDescent="0.3">
      <c r="A326" s="98" t="s">
        <v>55</v>
      </c>
      <c r="B326" s="98" t="s">
        <v>65</v>
      </c>
      <c r="C326" s="99">
        <v>0.33333333333333331</v>
      </c>
      <c r="D326" s="98" t="s">
        <v>57</v>
      </c>
      <c r="E326" s="98" t="s">
        <v>32</v>
      </c>
      <c r="F326" s="98" t="s">
        <v>30</v>
      </c>
      <c r="G326" s="200"/>
      <c r="H326" s="100" t="s">
        <v>66</v>
      </c>
      <c r="I326" s="127">
        <v>0.75419999999999998</v>
      </c>
      <c r="J326" s="102">
        <v>135</v>
      </c>
      <c r="K326" s="103">
        <v>45981</v>
      </c>
      <c r="L326" s="102">
        <v>21</v>
      </c>
      <c r="M326" s="102">
        <v>0</v>
      </c>
      <c r="N326" s="102">
        <v>5</v>
      </c>
      <c r="O326" s="104" t="s">
        <v>166</v>
      </c>
      <c r="P326" s="105">
        <v>0.33333333333333331</v>
      </c>
      <c r="Q326" s="102">
        <v>179</v>
      </c>
      <c r="R326" s="106" t="s">
        <v>229</v>
      </c>
    </row>
    <row r="327" spans="1:18" ht="15" customHeight="1" x14ac:dyDescent="0.3">
      <c r="A327" s="51" t="s">
        <v>55</v>
      </c>
      <c r="B327" s="51" t="s">
        <v>68</v>
      </c>
      <c r="C327" s="52">
        <v>0.68055555555555547</v>
      </c>
      <c r="D327" s="51" t="s">
        <v>57</v>
      </c>
      <c r="E327" s="51" t="s">
        <v>32</v>
      </c>
      <c r="F327" s="51" t="s">
        <v>58</v>
      </c>
      <c r="G327" s="200"/>
      <c r="H327" s="54" t="s">
        <v>70</v>
      </c>
      <c r="I327" s="126">
        <v>0.77090000000000003</v>
      </c>
      <c r="J327" s="56">
        <v>138</v>
      </c>
      <c r="K327" s="57">
        <v>45981</v>
      </c>
      <c r="L327" s="56">
        <v>27</v>
      </c>
      <c r="M327" s="56">
        <v>0</v>
      </c>
      <c r="N327" s="56">
        <v>8</v>
      </c>
      <c r="O327" s="58" t="s">
        <v>60</v>
      </c>
      <c r="P327" s="59">
        <v>0.68055555555555547</v>
      </c>
      <c r="Q327" s="56">
        <v>179</v>
      </c>
      <c r="R327" s="60" t="s">
        <v>230</v>
      </c>
    </row>
    <row r="328" spans="1:18" ht="15" customHeight="1" x14ac:dyDescent="0.3">
      <c r="A328" s="17" t="s">
        <v>26</v>
      </c>
      <c r="B328" s="17" t="s">
        <v>27</v>
      </c>
      <c r="C328" s="18">
        <v>0.21875</v>
      </c>
      <c r="D328" s="17" t="s">
        <v>28</v>
      </c>
      <c r="E328" s="17" t="s">
        <v>29</v>
      </c>
      <c r="F328" s="17" t="s">
        <v>30</v>
      </c>
      <c r="G328" s="200"/>
      <c r="H328" s="10"/>
      <c r="I328" s="11"/>
      <c r="J328" s="11"/>
      <c r="K328" s="11"/>
      <c r="L328" s="11"/>
      <c r="M328" s="11"/>
      <c r="N328" s="11"/>
      <c r="O328" s="12"/>
      <c r="P328" s="11"/>
      <c r="Q328" s="13"/>
      <c r="R328" s="14"/>
    </row>
    <row r="329" spans="1:18" ht="15" customHeight="1" x14ac:dyDescent="0.3">
      <c r="A329" s="15" t="s">
        <v>26</v>
      </c>
      <c r="B329" s="15" t="s">
        <v>33</v>
      </c>
      <c r="C329" s="16">
        <v>0.66666666666666663</v>
      </c>
      <c r="D329" s="15" t="s">
        <v>28</v>
      </c>
      <c r="E329" s="15" t="s">
        <v>32</v>
      </c>
      <c r="F329" s="15" t="s">
        <v>34</v>
      </c>
      <c r="G329" s="200"/>
      <c r="H329" s="10"/>
      <c r="I329" s="11"/>
      <c r="J329" s="11"/>
      <c r="K329" s="11"/>
      <c r="L329" s="11"/>
      <c r="M329" s="11"/>
      <c r="N329" s="11"/>
      <c r="O329" s="12"/>
      <c r="P329" s="11"/>
      <c r="Q329" s="13"/>
      <c r="R329" s="14"/>
    </row>
    <row r="330" spans="1:18" ht="15" customHeight="1" x14ac:dyDescent="0.3">
      <c r="A330" s="17" t="s">
        <v>110</v>
      </c>
      <c r="B330" s="17" t="s">
        <v>111</v>
      </c>
      <c r="C330" s="18">
        <v>0.21527777777777779</v>
      </c>
      <c r="D330" s="17" t="s">
        <v>112</v>
      </c>
      <c r="E330" s="17" t="s">
        <v>113</v>
      </c>
      <c r="F330" s="17" t="s">
        <v>231</v>
      </c>
      <c r="G330" s="200"/>
      <c r="H330" s="10"/>
      <c r="I330" s="11"/>
      <c r="J330" s="11"/>
      <c r="K330" s="11"/>
      <c r="L330" s="11"/>
      <c r="M330" s="11"/>
      <c r="N330" s="11"/>
      <c r="O330" s="12"/>
      <c r="P330" s="11"/>
      <c r="Q330" s="13"/>
      <c r="R330" s="14"/>
    </row>
    <row r="331" spans="1:18" ht="15" customHeight="1" x14ac:dyDescent="0.3">
      <c r="A331" s="19" t="s">
        <v>110</v>
      </c>
      <c r="B331" s="19" t="s">
        <v>111</v>
      </c>
      <c r="C331" s="20">
        <v>0.21527777777777779</v>
      </c>
      <c r="D331" s="19" t="s">
        <v>43</v>
      </c>
      <c r="E331" s="19" t="s">
        <v>97</v>
      </c>
      <c r="F331" s="19" t="s">
        <v>232</v>
      </c>
      <c r="G331" s="200"/>
      <c r="H331" s="10"/>
      <c r="I331" s="11"/>
      <c r="J331" s="11"/>
      <c r="K331" s="11"/>
      <c r="L331" s="11"/>
      <c r="M331" s="11"/>
      <c r="N331" s="11"/>
      <c r="O331" s="12"/>
      <c r="P331" s="11"/>
      <c r="Q331" s="13"/>
      <c r="R331" s="14"/>
    </row>
    <row r="332" spans="1:18" ht="15" customHeight="1" x14ac:dyDescent="0.3">
      <c r="A332" s="15" t="s">
        <v>110</v>
      </c>
      <c r="B332" s="15" t="s">
        <v>173</v>
      </c>
      <c r="C332" s="16">
        <v>0.3298611111111111</v>
      </c>
      <c r="D332" s="15" t="s">
        <v>112</v>
      </c>
      <c r="E332" s="15" t="s">
        <v>95</v>
      </c>
      <c r="F332" s="15" t="s">
        <v>233</v>
      </c>
      <c r="G332" s="200"/>
      <c r="H332" s="10"/>
      <c r="I332" s="11"/>
      <c r="J332" s="11"/>
      <c r="K332" s="11"/>
      <c r="L332" s="11"/>
      <c r="M332" s="11"/>
      <c r="N332" s="11"/>
      <c r="O332" s="12"/>
      <c r="P332" s="11"/>
      <c r="Q332" s="13"/>
      <c r="R332" s="14"/>
    </row>
    <row r="333" spans="1:18" ht="15" customHeight="1" x14ac:dyDescent="0.3">
      <c r="A333" s="19" t="s">
        <v>110</v>
      </c>
      <c r="B333" s="19" t="s">
        <v>173</v>
      </c>
      <c r="C333" s="20">
        <v>0.3298611111111111</v>
      </c>
      <c r="D333" s="19" t="s">
        <v>43</v>
      </c>
      <c r="E333" s="19" t="s">
        <v>97</v>
      </c>
      <c r="F333" s="19" t="s">
        <v>234</v>
      </c>
      <c r="G333" s="200"/>
      <c r="H333" s="10"/>
      <c r="I333" s="11"/>
      <c r="J333" s="11"/>
      <c r="K333" s="11"/>
      <c r="L333" s="11"/>
      <c r="M333" s="11"/>
      <c r="N333" s="11"/>
      <c r="O333" s="12"/>
      <c r="P333" s="11"/>
      <c r="Q333" s="13"/>
      <c r="R333" s="14"/>
    </row>
    <row r="334" spans="1:18" ht="15" customHeight="1" x14ac:dyDescent="0.3">
      <c r="A334" s="17" t="s">
        <v>83</v>
      </c>
      <c r="B334" s="17" t="s">
        <v>84</v>
      </c>
      <c r="C334" s="18">
        <v>0.90277777777777779</v>
      </c>
      <c r="D334" s="17" t="s">
        <v>85</v>
      </c>
      <c r="E334" s="17" t="s">
        <v>113</v>
      </c>
      <c r="F334" s="17" t="s">
        <v>86</v>
      </c>
      <c r="G334" s="200"/>
      <c r="H334" s="10"/>
      <c r="I334" s="11"/>
      <c r="J334" s="11"/>
      <c r="K334" s="11"/>
      <c r="L334" s="11"/>
      <c r="M334" s="11"/>
      <c r="N334" s="11"/>
      <c r="O334" s="12"/>
      <c r="P334" s="11"/>
      <c r="Q334" s="13"/>
      <c r="R334" s="14"/>
    </row>
    <row r="335" spans="1:18" ht="15" customHeight="1" x14ac:dyDescent="0.3">
      <c r="A335" s="19" t="s">
        <v>83</v>
      </c>
      <c r="B335" s="19" t="s">
        <v>84</v>
      </c>
      <c r="C335" s="20">
        <v>0.90277777777777779</v>
      </c>
      <c r="D335" s="19" t="s">
        <v>87</v>
      </c>
      <c r="E335" s="19" t="s">
        <v>97</v>
      </c>
      <c r="F335" s="19" t="s">
        <v>88</v>
      </c>
      <c r="G335" s="200"/>
      <c r="H335" s="10"/>
      <c r="I335" s="11"/>
      <c r="J335" s="11"/>
      <c r="K335" s="11"/>
      <c r="L335" s="11"/>
      <c r="M335" s="11"/>
      <c r="N335" s="11"/>
      <c r="O335" s="12"/>
      <c r="P335" s="11"/>
      <c r="Q335" s="13"/>
      <c r="R335" s="14"/>
    </row>
    <row r="336" spans="1:18" ht="15" customHeight="1" x14ac:dyDescent="0.3">
      <c r="A336" s="19" t="s">
        <v>83</v>
      </c>
      <c r="B336" s="19" t="s">
        <v>84</v>
      </c>
      <c r="C336" s="20">
        <v>0.90277777777777779</v>
      </c>
      <c r="D336" s="19" t="s">
        <v>89</v>
      </c>
      <c r="E336" s="19" t="s">
        <v>97</v>
      </c>
      <c r="F336" s="19" t="s">
        <v>90</v>
      </c>
      <c r="G336" s="200"/>
      <c r="H336" s="10"/>
      <c r="I336" s="11"/>
      <c r="J336" s="11"/>
      <c r="K336" s="11"/>
      <c r="L336" s="11"/>
      <c r="M336" s="11"/>
      <c r="N336" s="11"/>
      <c r="O336" s="12"/>
      <c r="P336" s="11"/>
      <c r="Q336" s="13"/>
      <c r="R336" s="14"/>
    </row>
    <row r="337" spans="1:18" ht="15" customHeight="1" x14ac:dyDescent="0.3">
      <c r="A337" s="15" t="s">
        <v>83</v>
      </c>
      <c r="B337" s="15" t="s">
        <v>100</v>
      </c>
      <c r="C337" s="16">
        <v>0.65972222222222221</v>
      </c>
      <c r="D337" s="15" t="s">
        <v>85</v>
      </c>
      <c r="E337" s="15" t="s">
        <v>46</v>
      </c>
      <c r="F337" s="15" t="s">
        <v>86</v>
      </c>
      <c r="G337" s="200"/>
      <c r="H337" s="10"/>
      <c r="I337" s="11"/>
      <c r="J337" s="11"/>
      <c r="K337" s="11"/>
      <c r="L337" s="11"/>
      <c r="M337" s="11"/>
      <c r="N337" s="11"/>
      <c r="O337" s="12"/>
      <c r="P337" s="11"/>
      <c r="Q337" s="13"/>
      <c r="R337" s="14"/>
    </row>
    <row r="338" spans="1:18" ht="15" customHeight="1" x14ac:dyDescent="0.3">
      <c r="A338" s="19" t="s">
        <v>83</v>
      </c>
      <c r="B338" s="19" t="s">
        <v>100</v>
      </c>
      <c r="C338" s="20">
        <v>0.65972222222222221</v>
      </c>
      <c r="D338" s="19" t="s">
        <v>87</v>
      </c>
      <c r="E338" s="19" t="s">
        <v>41</v>
      </c>
      <c r="F338" s="19" t="s">
        <v>88</v>
      </c>
      <c r="G338" s="200"/>
      <c r="H338" s="10"/>
      <c r="I338" s="11"/>
      <c r="J338" s="11"/>
      <c r="K338" s="11"/>
      <c r="L338" s="11"/>
      <c r="M338" s="11"/>
      <c r="N338" s="11"/>
      <c r="O338" s="12"/>
      <c r="P338" s="11"/>
      <c r="Q338" s="13"/>
      <c r="R338" s="14"/>
    </row>
    <row r="339" spans="1:18" ht="15" customHeight="1" x14ac:dyDescent="0.3">
      <c r="A339" s="19" t="s">
        <v>83</v>
      </c>
      <c r="B339" s="19" t="s">
        <v>100</v>
      </c>
      <c r="C339" s="20">
        <v>0.65972222222222221</v>
      </c>
      <c r="D339" s="19" t="s">
        <v>89</v>
      </c>
      <c r="E339" s="19" t="s">
        <v>41</v>
      </c>
      <c r="F339" s="19" t="s">
        <v>90</v>
      </c>
      <c r="G339" s="200"/>
      <c r="H339" s="10"/>
      <c r="I339" s="11"/>
      <c r="J339" s="11"/>
      <c r="K339" s="11"/>
      <c r="L339" s="11"/>
      <c r="M339" s="11"/>
      <c r="N339" s="11"/>
      <c r="O339" s="12"/>
      <c r="P339" s="11"/>
      <c r="Q339" s="13"/>
      <c r="R339" s="14"/>
    </row>
    <row r="340" spans="1:18" ht="15" customHeight="1" x14ac:dyDescent="0.3">
      <c r="A340" s="15" t="s">
        <v>83</v>
      </c>
      <c r="B340" s="15" t="s">
        <v>101</v>
      </c>
      <c r="C340" s="16">
        <v>0.51736111111111105</v>
      </c>
      <c r="D340" s="15" t="s">
        <v>85</v>
      </c>
      <c r="E340" s="15" t="s">
        <v>69</v>
      </c>
      <c r="F340" s="15" t="s">
        <v>86</v>
      </c>
      <c r="G340" s="200"/>
      <c r="H340" s="10"/>
      <c r="I340" s="11"/>
      <c r="J340" s="11"/>
      <c r="K340" s="11"/>
      <c r="L340" s="11"/>
      <c r="M340" s="11"/>
      <c r="N340" s="11"/>
      <c r="O340" s="12"/>
      <c r="P340" s="11"/>
      <c r="Q340" s="13"/>
      <c r="R340" s="14"/>
    </row>
    <row r="341" spans="1:18" ht="15" customHeight="1" x14ac:dyDescent="0.3">
      <c r="A341" s="19" t="s">
        <v>83</v>
      </c>
      <c r="B341" s="19" t="s">
        <v>101</v>
      </c>
      <c r="C341" s="20">
        <v>0.51736111111111105</v>
      </c>
      <c r="D341" s="19" t="s">
        <v>87</v>
      </c>
      <c r="E341" s="19" t="s">
        <v>172</v>
      </c>
      <c r="F341" s="19" t="s">
        <v>88</v>
      </c>
      <c r="G341" s="200"/>
      <c r="H341" s="10"/>
      <c r="I341" s="11"/>
      <c r="J341" s="11"/>
      <c r="K341" s="11"/>
      <c r="L341" s="11"/>
      <c r="M341" s="11"/>
      <c r="N341" s="11"/>
      <c r="O341" s="12"/>
      <c r="P341" s="11"/>
      <c r="Q341" s="13"/>
      <c r="R341" s="14"/>
    </row>
    <row r="342" spans="1:18" ht="15" customHeight="1" x14ac:dyDescent="0.3">
      <c r="A342" s="19" t="s">
        <v>83</v>
      </c>
      <c r="B342" s="19" t="s">
        <v>101</v>
      </c>
      <c r="C342" s="20">
        <v>0.51736111111111105</v>
      </c>
      <c r="D342" s="19" t="s">
        <v>89</v>
      </c>
      <c r="E342" s="19" t="s">
        <v>172</v>
      </c>
      <c r="F342" s="19" t="s">
        <v>90</v>
      </c>
      <c r="G342" s="200"/>
      <c r="H342" s="10"/>
      <c r="I342" s="11"/>
      <c r="J342" s="11"/>
      <c r="K342" s="11"/>
      <c r="L342" s="11"/>
      <c r="M342" s="11"/>
      <c r="N342" s="11"/>
      <c r="O342" s="12"/>
      <c r="P342" s="11"/>
      <c r="Q342" s="13"/>
      <c r="R342" s="14"/>
    </row>
    <row r="343" spans="1:18" ht="15" customHeight="1" x14ac:dyDescent="0.3">
      <c r="A343" s="15" t="s">
        <v>83</v>
      </c>
      <c r="B343" s="15" t="s">
        <v>102</v>
      </c>
      <c r="C343" s="16">
        <v>0.85416666666666663</v>
      </c>
      <c r="D343" s="15" t="s">
        <v>85</v>
      </c>
      <c r="E343" s="15" t="s">
        <v>95</v>
      </c>
      <c r="F343" s="15" t="s">
        <v>86</v>
      </c>
      <c r="G343" s="200"/>
      <c r="H343" s="10"/>
      <c r="I343" s="11"/>
      <c r="J343" s="11"/>
      <c r="K343" s="11"/>
      <c r="L343" s="11"/>
      <c r="M343" s="11"/>
      <c r="N343" s="11"/>
      <c r="O343" s="12"/>
      <c r="P343" s="11"/>
      <c r="Q343" s="13"/>
      <c r="R343" s="14"/>
    </row>
    <row r="344" spans="1:18" ht="15" customHeight="1" x14ac:dyDescent="0.3">
      <c r="A344" s="19" t="s">
        <v>83</v>
      </c>
      <c r="B344" s="19" t="s">
        <v>102</v>
      </c>
      <c r="C344" s="20">
        <v>0.85416666666666663</v>
      </c>
      <c r="D344" s="19" t="s">
        <v>87</v>
      </c>
      <c r="E344" s="19" t="s">
        <v>97</v>
      </c>
      <c r="F344" s="19" t="s">
        <v>88</v>
      </c>
      <c r="G344" s="200"/>
      <c r="H344" s="10"/>
      <c r="I344" s="11"/>
      <c r="J344" s="11"/>
      <c r="K344" s="11"/>
      <c r="L344" s="11"/>
      <c r="M344" s="11"/>
      <c r="N344" s="11"/>
      <c r="O344" s="12"/>
      <c r="P344" s="11"/>
      <c r="Q344" s="13"/>
      <c r="R344" s="14"/>
    </row>
    <row r="345" spans="1:18" ht="15" customHeight="1" x14ac:dyDescent="0.3">
      <c r="A345" s="19" t="s">
        <v>83</v>
      </c>
      <c r="B345" s="19" t="s">
        <v>102</v>
      </c>
      <c r="C345" s="20">
        <v>0.85416666666666663</v>
      </c>
      <c r="D345" s="19" t="s">
        <v>89</v>
      </c>
      <c r="E345" s="19" t="s">
        <v>97</v>
      </c>
      <c r="F345" s="19" t="s">
        <v>90</v>
      </c>
      <c r="G345" s="200"/>
      <c r="H345" s="10"/>
      <c r="I345" s="11"/>
      <c r="J345" s="11"/>
      <c r="K345" s="11"/>
      <c r="L345" s="11"/>
      <c r="M345" s="11"/>
      <c r="N345" s="11"/>
      <c r="O345" s="12"/>
      <c r="P345" s="11"/>
      <c r="Q345" s="13"/>
      <c r="R345" s="14"/>
    </row>
    <row r="346" spans="1:18" ht="15" customHeight="1" x14ac:dyDescent="0.3">
      <c r="A346" s="15" t="s">
        <v>83</v>
      </c>
      <c r="B346" s="15" t="s">
        <v>104</v>
      </c>
      <c r="C346" s="16">
        <v>0.39583333333333331</v>
      </c>
      <c r="D346" s="15" t="s">
        <v>85</v>
      </c>
      <c r="E346" s="15" t="s">
        <v>95</v>
      </c>
      <c r="F346" s="15" t="s">
        <v>86</v>
      </c>
      <c r="G346" s="200"/>
      <c r="H346" s="10"/>
      <c r="I346" s="11"/>
      <c r="J346" s="11"/>
      <c r="K346" s="11"/>
      <c r="L346" s="11"/>
      <c r="M346" s="11"/>
      <c r="N346" s="11"/>
      <c r="O346" s="12"/>
      <c r="P346" s="11"/>
      <c r="Q346" s="13"/>
      <c r="R346" s="14"/>
    </row>
    <row r="347" spans="1:18" ht="15" customHeight="1" x14ac:dyDescent="0.3">
      <c r="A347" s="19" t="s">
        <v>83</v>
      </c>
      <c r="B347" s="19" t="s">
        <v>104</v>
      </c>
      <c r="C347" s="20">
        <v>0.39583333333333331</v>
      </c>
      <c r="D347" s="19" t="s">
        <v>87</v>
      </c>
      <c r="E347" s="19" t="s">
        <v>97</v>
      </c>
      <c r="F347" s="19" t="s">
        <v>88</v>
      </c>
      <c r="G347" s="200"/>
      <c r="H347" s="10"/>
      <c r="I347" s="11"/>
      <c r="J347" s="11"/>
      <c r="K347" s="11"/>
      <c r="L347" s="11"/>
      <c r="M347" s="11"/>
      <c r="N347" s="11"/>
      <c r="O347" s="12"/>
      <c r="P347" s="11"/>
      <c r="Q347" s="13"/>
      <c r="R347" s="14"/>
    </row>
    <row r="348" spans="1:18" ht="15" customHeight="1" x14ac:dyDescent="0.3">
      <c r="A348" s="19" t="s">
        <v>83</v>
      </c>
      <c r="B348" s="19" t="s">
        <v>104</v>
      </c>
      <c r="C348" s="20">
        <v>0.39583333333333331</v>
      </c>
      <c r="D348" s="19" t="s">
        <v>89</v>
      </c>
      <c r="E348" s="19" t="s">
        <v>97</v>
      </c>
      <c r="F348" s="19" t="s">
        <v>90</v>
      </c>
      <c r="G348" s="200"/>
      <c r="H348" s="10"/>
      <c r="I348" s="11"/>
      <c r="J348" s="11"/>
      <c r="K348" s="11"/>
      <c r="L348" s="11"/>
      <c r="M348" s="11"/>
      <c r="N348" s="11"/>
      <c r="O348" s="12"/>
      <c r="P348" s="11"/>
      <c r="Q348" s="13"/>
      <c r="R348" s="14"/>
    </row>
    <row r="349" spans="1:18" ht="15" customHeight="1" x14ac:dyDescent="0.3">
      <c r="A349" s="15" t="s">
        <v>83</v>
      </c>
      <c r="B349" s="15" t="s">
        <v>91</v>
      </c>
      <c r="C349" s="16">
        <v>0.79861111111111116</v>
      </c>
      <c r="D349" s="15" t="s">
        <v>85</v>
      </c>
      <c r="E349" s="15" t="s">
        <v>105</v>
      </c>
      <c r="F349" s="15" t="s">
        <v>86</v>
      </c>
      <c r="G349" s="200"/>
      <c r="H349" s="10"/>
      <c r="I349" s="11"/>
      <c r="J349" s="11"/>
      <c r="K349" s="11"/>
      <c r="L349" s="11"/>
      <c r="M349" s="11"/>
      <c r="N349" s="11"/>
      <c r="O349" s="12"/>
      <c r="P349" s="11"/>
      <c r="Q349" s="13"/>
      <c r="R349" s="14"/>
    </row>
    <row r="350" spans="1:18" ht="15" customHeight="1" x14ac:dyDescent="0.3">
      <c r="A350" s="19" t="s">
        <v>83</v>
      </c>
      <c r="B350" s="19" t="s">
        <v>91</v>
      </c>
      <c r="C350" s="20">
        <v>0.79861111111111116</v>
      </c>
      <c r="D350" s="19" t="s">
        <v>87</v>
      </c>
      <c r="E350" s="19" t="s">
        <v>107</v>
      </c>
      <c r="F350" s="19" t="s">
        <v>88</v>
      </c>
      <c r="G350" s="200"/>
      <c r="H350" s="10"/>
      <c r="I350" s="11"/>
      <c r="J350" s="11"/>
      <c r="K350" s="11"/>
      <c r="L350" s="11"/>
      <c r="M350" s="11"/>
      <c r="N350" s="11"/>
      <c r="O350" s="12"/>
      <c r="P350" s="11"/>
      <c r="Q350" s="13"/>
      <c r="R350" s="14"/>
    </row>
    <row r="351" spans="1:18" ht="15" customHeight="1" x14ac:dyDescent="0.3">
      <c r="A351" s="19" t="s">
        <v>83</v>
      </c>
      <c r="B351" s="19" t="s">
        <v>91</v>
      </c>
      <c r="C351" s="20">
        <v>0.79861111111111116</v>
      </c>
      <c r="D351" s="19" t="s">
        <v>89</v>
      </c>
      <c r="E351" s="19" t="s">
        <v>107</v>
      </c>
      <c r="F351" s="19" t="s">
        <v>90</v>
      </c>
      <c r="G351" s="200"/>
      <c r="H351" s="10"/>
      <c r="I351" s="11"/>
      <c r="J351" s="11"/>
      <c r="K351" s="11"/>
      <c r="L351" s="11"/>
      <c r="M351" s="11"/>
      <c r="N351" s="11"/>
      <c r="O351" s="12"/>
      <c r="P351" s="11"/>
      <c r="Q351" s="13"/>
      <c r="R351" s="14"/>
    </row>
    <row r="352" spans="1:18" ht="15" customHeight="1" x14ac:dyDescent="0.3">
      <c r="A352" s="15" t="s">
        <v>83</v>
      </c>
      <c r="B352" s="15" t="s">
        <v>94</v>
      </c>
      <c r="C352" s="16">
        <v>0.25694444444444448</v>
      </c>
      <c r="D352" s="15" t="s">
        <v>85</v>
      </c>
      <c r="E352" s="15" t="s">
        <v>95</v>
      </c>
      <c r="F352" s="15" t="s">
        <v>96</v>
      </c>
      <c r="G352" s="200"/>
      <c r="H352" s="10"/>
      <c r="I352" s="11"/>
      <c r="J352" s="11"/>
      <c r="K352" s="11"/>
      <c r="L352" s="11"/>
      <c r="M352" s="11"/>
      <c r="N352" s="11"/>
      <c r="O352" s="12"/>
      <c r="P352" s="11"/>
      <c r="Q352" s="13"/>
      <c r="R352" s="14"/>
    </row>
    <row r="353" spans="1:18" ht="15" customHeight="1" x14ac:dyDescent="0.3">
      <c r="A353" s="19" t="s">
        <v>83</v>
      </c>
      <c r="B353" s="19" t="s">
        <v>94</v>
      </c>
      <c r="C353" s="20">
        <v>0.25694444444444448</v>
      </c>
      <c r="D353" s="19" t="s">
        <v>87</v>
      </c>
      <c r="E353" s="19" t="s">
        <v>97</v>
      </c>
      <c r="F353" s="19" t="s">
        <v>98</v>
      </c>
      <c r="G353" s="200"/>
      <c r="H353" s="10"/>
      <c r="I353" s="11"/>
      <c r="J353" s="11"/>
      <c r="K353" s="11"/>
      <c r="L353" s="11"/>
      <c r="M353" s="11"/>
      <c r="N353" s="11"/>
      <c r="O353" s="12"/>
      <c r="P353" s="11"/>
      <c r="Q353" s="13"/>
      <c r="R353" s="14"/>
    </row>
    <row r="354" spans="1:18" ht="15" customHeight="1" x14ac:dyDescent="0.3">
      <c r="A354" s="19" t="s">
        <v>83</v>
      </c>
      <c r="B354" s="19" t="s">
        <v>94</v>
      </c>
      <c r="C354" s="20">
        <v>0.25694444444444448</v>
      </c>
      <c r="D354" s="19" t="s">
        <v>89</v>
      </c>
      <c r="E354" s="19" t="s">
        <v>97</v>
      </c>
      <c r="F354" s="19" t="s">
        <v>99</v>
      </c>
      <c r="G354" s="200"/>
      <c r="H354" s="10"/>
      <c r="I354" s="11"/>
      <c r="J354" s="11"/>
      <c r="K354" s="11"/>
      <c r="L354" s="11"/>
      <c r="M354" s="11"/>
      <c r="N354" s="11"/>
      <c r="O354" s="12"/>
      <c r="P354" s="11"/>
      <c r="Q354" s="13"/>
      <c r="R354" s="14"/>
    </row>
    <row r="355" spans="1:18" ht="15" customHeight="1" x14ac:dyDescent="0.3">
      <c r="A355" s="17" t="s">
        <v>116</v>
      </c>
      <c r="B355" s="17" t="s">
        <v>117</v>
      </c>
      <c r="C355" s="18">
        <v>0.27083333333333331</v>
      </c>
      <c r="D355" s="17" t="s">
        <v>28</v>
      </c>
      <c r="E355" s="17" t="s">
        <v>171</v>
      </c>
      <c r="F355" s="17" t="s">
        <v>118</v>
      </c>
      <c r="G355" s="200"/>
      <c r="H355" s="10"/>
      <c r="I355" s="11"/>
      <c r="J355" s="11"/>
      <c r="K355" s="11"/>
      <c r="L355" s="11"/>
      <c r="M355" s="11"/>
      <c r="N355" s="11"/>
      <c r="O355" s="12"/>
      <c r="P355" s="11"/>
      <c r="Q355" s="13"/>
      <c r="R355" s="14"/>
    </row>
    <row r="356" spans="1:18" ht="15" customHeight="1" x14ac:dyDescent="0.3">
      <c r="A356" s="17" t="s">
        <v>121</v>
      </c>
      <c r="B356" s="17" t="s">
        <v>128</v>
      </c>
      <c r="C356" s="18">
        <v>0.37847222222222232</v>
      </c>
      <c r="D356" s="17" t="s">
        <v>123</v>
      </c>
      <c r="E356" s="17" t="s">
        <v>29</v>
      </c>
      <c r="F356" s="17" t="s">
        <v>124</v>
      </c>
      <c r="G356" s="200"/>
      <c r="H356" s="10"/>
      <c r="I356" s="11"/>
      <c r="J356" s="11"/>
      <c r="K356" s="11"/>
      <c r="L356" s="11"/>
      <c r="M356" s="11"/>
      <c r="N356" s="11"/>
      <c r="O356" s="12"/>
      <c r="P356" s="11"/>
      <c r="Q356" s="13"/>
      <c r="R356" s="14"/>
    </row>
    <row r="357" spans="1:18" ht="15" customHeight="1" x14ac:dyDescent="0.3">
      <c r="A357" s="19" t="s">
        <v>121</v>
      </c>
      <c r="B357" s="19" t="s">
        <v>128</v>
      </c>
      <c r="C357" s="20">
        <v>0.37847222222222232</v>
      </c>
      <c r="D357" s="19" t="s">
        <v>125</v>
      </c>
      <c r="E357" s="19" t="s">
        <v>126</v>
      </c>
      <c r="F357" s="19" t="s">
        <v>127</v>
      </c>
      <c r="G357" s="200"/>
      <c r="H357" s="10"/>
      <c r="I357" s="11"/>
      <c r="J357" s="11"/>
      <c r="K357" s="11"/>
      <c r="L357" s="11"/>
      <c r="M357" s="11"/>
      <c r="N357" s="11"/>
      <c r="O357" s="12"/>
      <c r="P357" s="11"/>
      <c r="Q357" s="13"/>
      <c r="R357" s="14"/>
    </row>
    <row r="358" spans="1:18" ht="15" customHeight="1" x14ac:dyDescent="0.3">
      <c r="A358" s="15" t="s">
        <v>121</v>
      </c>
      <c r="B358" s="15" t="s">
        <v>131</v>
      </c>
      <c r="C358" s="16">
        <v>6.9444444444444441E-3</v>
      </c>
      <c r="D358" s="15" t="s">
        <v>123</v>
      </c>
      <c r="E358" s="15" t="s">
        <v>32</v>
      </c>
      <c r="F358" s="15" t="s">
        <v>124</v>
      </c>
      <c r="G358" s="200"/>
      <c r="H358" s="10"/>
      <c r="I358" s="11"/>
      <c r="J358" s="11"/>
      <c r="K358" s="11"/>
      <c r="L358" s="11"/>
      <c r="M358" s="11"/>
      <c r="N358" s="11"/>
      <c r="O358" s="12"/>
      <c r="P358" s="11"/>
      <c r="Q358" s="13"/>
      <c r="R358" s="14"/>
    </row>
    <row r="359" spans="1:18" ht="15" customHeight="1" x14ac:dyDescent="0.3">
      <c r="A359" s="19" t="s">
        <v>121</v>
      </c>
      <c r="B359" s="19" t="s">
        <v>131</v>
      </c>
      <c r="C359" s="20">
        <v>6.9444444444444441E-3</v>
      </c>
      <c r="D359" s="19" t="s">
        <v>125</v>
      </c>
      <c r="E359" s="19" t="s">
        <v>126</v>
      </c>
      <c r="F359" s="19" t="s">
        <v>127</v>
      </c>
      <c r="G359" s="200"/>
      <c r="H359" s="10"/>
      <c r="I359" s="11"/>
      <c r="J359" s="11"/>
      <c r="K359" s="11"/>
      <c r="L359" s="11"/>
      <c r="M359" s="11"/>
      <c r="N359" s="11"/>
      <c r="O359" s="12"/>
      <c r="P359" s="11"/>
      <c r="Q359" s="13"/>
      <c r="R359" s="14"/>
    </row>
    <row r="360" spans="1:18" ht="15" customHeight="1" x14ac:dyDescent="0.3">
      <c r="A360" s="15" t="s">
        <v>121</v>
      </c>
      <c r="B360" s="15" t="s">
        <v>122</v>
      </c>
      <c r="C360" s="16">
        <v>0.24305555555555561</v>
      </c>
      <c r="D360" s="15" t="s">
        <v>123</v>
      </c>
      <c r="E360" s="15" t="s">
        <v>32</v>
      </c>
      <c r="F360" s="15" t="s">
        <v>124</v>
      </c>
      <c r="G360" s="200"/>
      <c r="H360" s="10"/>
      <c r="I360" s="11"/>
      <c r="J360" s="11"/>
      <c r="K360" s="11"/>
      <c r="L360" s="11"/>
      <c r="M360" s="11"/>
      <c r="N360" s="11"/>
      <c r="O360" s="12"/>
      <c r="P360" s="11"/>
      <c r="Q360" s="13"/>
      <c r="R360" s="14"/>
    </row>
    <row r="361" spans="1:18" ht="15" customHeight="1" x14ac:dyDescent="0.3">
      <c r="A361" s="19" t="s">
        <v>121</v>
      </c>
      <c r="B361" s="19" t="s">
        <v>122</v>
      </c>
      <c r="C361" s="20">
        <v>0.24305555555555561</v>
      </c>
      <c r="D361" s="19" t="s">
        <v>125</v>
      </c>
      <c r="E361" s="19" t="s">
        <v>126</v>
      </c>
      <c r="F361" s="19" t="s">
        <v>127</v>
      </c>
      <c r="G361" s="200"/>
      <c r="H361" s="10"/>
      <c r="I361" s="11"/>
      <c r="J361" s="11"/>
      <c r="K361" s="11"/>
      <c r="L361" s="11"/>
      <c r="M361" s="11"/>
      <c r="N361" s="11"/>
      <c r="O361" s="12"/>
      <c r="P361" s="11"/>
      <c r="Q361" s="13"/>
      <c r="R361" s="14"/>
    </row>
    <row r="362" spans="1:18" ht="15" customHeight="1" x14ac:dyDescent="0.3">
      <c r="A362" s="15" t="s">
        <v>121</v>
      </c>
      <c r="B362" s="15" t="s">
        <v>132</v>
      </c>
      <c r="C362" s="16">
        <v>0.1423611111111111</v>
      </c>
      <c r="D362" s="15" t="s">
        <v>123</v>
      </c>
      <c r="E362" s="15" t="s">
        <v>32</v>
      </c>
      <c r="F362" s="15" t="s">
        <v>124</v>
      </c>
      <c r="G362" s="200"/>
      <c r="H362" s="10"/>
      <c r="I362" s="11"/>
      <c r="J362" s="11"/>
      <c r="K362" s="11"/>
      <c r="L362" s="11"/>
      <c r="M362" s="11"/>
      <c r="N362" s="11"/>
      <c r="O362" s="12"/>
      <c r="P362" s="11"/>
      <c r="Q362" s="13"/>
      <c r="R362" s="14"/>
    </row>
    <row r="363" spans="1:18" ht="15" customHeight="1" x14ac:dyDescent="0.3">
      <c r="A363" s="19" t="s">
        <v>121</v>
      </c>
      <c r="B363" s="19" t="s">
        <v>132</v>
      </c>
      <c r="C363" s="20">
        <v>0.1423611111111111</v>
      </c>
      <c r="D363" s="19" t="s">
        <v>125</v>
      </c>
      <c r="E363" s="19" t="s">
        <v>126</v>
      </c>
      <c r="F363" s="19" t="s">
        <v>127</v>
      </c>
      <c r="G363" s="200"/>
      <c r="H363" s="10"/>
      <c r="I363" s="11"/>
      <c r="J363" s="11"/>
      <c r="K363" s="11"/>
      <c r="L363" s="11"/>
      <c r="M363" s="11"/>
      <c r="N363" s="11"/>
      <c r="O363" s="12"/>
      <c r="P363" s="11"/>
      <c r="Q363" s="13"/>
      <c r="R363" s="14"/>
    </row>
    <row r="364" spans="1:18" ht="15" customHeight="1" x14ac:dyDescent="0.3">
      <c r="A364" s="15" t="s">
        <v>121</v>
      </c>
      <c r="B364" s="15" t="s">
        <v>134</v>
      </c>
      <c r="C364" s="16">
        <v>0.71875</v>
      </c>
      <c r="D364" s="15" t="s">
        <v>123</v>
      </c>
      <c r="E364" s="15" t="s">
        <v>32</v>
      </c>
      <c r="F364" s="15" t="s">
        <v>129</v>
      </c>
      <c r="G364" s="200"/>
      <c r="H364" s="10"/>
      <c r="I364" s="11"/>
      <c r="J364" s="11"/>
      <c r="K364" s="11"/>
      <c r="L364" s="11"/>
      <c r="M364" s="11"/>
      <c r="N364" s="11"/>
      <c r="O364" s="12"/>
      <c r="P364" s="11"/>
      <c r="Q364" s="13"/>
      <c r="R364" s="14"/>
    </row>
    <row r="365" spans="1:18" ht="15" customHeight="1" x14ac:dyDescent="0.3">
      <c r="A365" s="19" t="s">
        <v>121</v>
      </c>
      <c r="B365" s="19" t="s">
        <v>134</v>
      </c>
      <c r="C365" s="20">
        <v>0.71875</v>
      </c>
      <c r="D365" s="19" t="s">
        <v>125</v>
      </c>
      <c r="E365" s="19" t="s">
        <v>126</v>
      </c>
      <c r="F365" s="19" t="s">
        <v>130</v>
      </c>
      <c r="G365" s="200"/>
      <c r="H365" s="10"/>
      <c r="I365" s="11"/>
      <c r="J365" s="11"/>
      <c r="K365" s="11"/>
      <c r="L365" s="11"/>
      <c r="M365" s="11"/>
      <c r="N365" s="11"/>
      <c r="O365" s="12"/>
      <c r="P365" s="11"/>
      <c r="Q365" s="13"/>
      <c r="R365" s="14"/>
    </row>
    <row r="366" spans="1:18" ht="15" customHeight="1" x14ac:dyDescent="0.3">
      <c r="A366" s="15" t="s">
        <v>121</v>
      </c>
      <c r="B366" s="15" t="s">
        <v>145</v>
      </c>
      <c r="C366" s="16">
        <v>0.61111111111111105</v>
      </c>
      <c r="D366" s="15" t="s">
        <v>123</v>
      </c>
      <c r="E366" s="15" t="s">
        <v>51</v>
      </c>
      <c r="F366" s="15" t="s">
        <v>129</v>
      </c>
      <c r="G366" s="200"/>
      <c r="H366" s="10"/>
      <c r="I366" s="11"/>
      <c r="J366" s="11"/>
      <c r="K366" s="11"/>
      <c r="L366" s="11"/>
      <c r="M366" s="11"/>
      <c r="N366" s="11"/>
      <c r="O366" s="12"/>
      <c r="P366" s="11"/>
      <c r="Q366" s="13"/>
      <c r="R366" s="14"/>
    </row>
    <row r="367" spans="1:18" ht="15" customHeight="1" x14ac:dyDescent="0.3">
      <c r="A367" s="19" t="s">
        <v>121</v>
      </c>
      <c r="B367" s="19" t="s">
        <v>145</v>
      </c>
      <c r="C367" s="20">
        <v>0.61111111111111105</v>
      </c>
      <c r="D367" s="19" t="s">
        <v>125</v>
      </c>
      <c r="E367" s="19" t="s">
        <v>53</v>
      </c>
      <c r="F367" s="19" t="s">
        <v>130</v>
      </c>
      <c r="G367" s="200"/>
      <c r="H367" s="10"/>
      <c r="I367" s="11"/>
      <c r="J367" s="11"/>
      <c r="K367" s="11"/>
      <c r="L367" s="11"/>
      <c r="M367" s="11"/>
      <c r="N367" s="11"/>
      <c r="O367" s="12"/>
      <c r="P367" s="11"/>
      <c r="Q367" s="13"/>
      <c r="R367" s="14"/>
    </row>
    <row r="368" spans="1:18" ht="15" customHeight="1" x14ac:dyDescent="0.3">
      <c r="A368" s="15" t="s">
        <v>121</v>
      </c>
      <c r="B368" s="15" t="s">
        <v>140</v>
      </c>
      <c r="C368" s="16">
        <v>0.12847222222222221</v>
      </c>
      <c r="D368" s="15" t="s">
        <v>125</v>
      </c>
      <c r="E368" s="15" t="s">
        <v>105</v>
      </c>
      <c r="F368" s="15" t="s">
        <v>207</v>
      </c>
      <c r="G368" s="200"/>
      <c r="H368" s="10"/>
      <c r="I368" s="11"/>
      <c r="J368" s="11"/>
      <c r="K368" s="11"/>
      <c r="L368" s="11"/>
      <c r="M368" s="11"/>
      <c r="N368" s="11"/>
      <c r="O368" s="12"/>
      <c r="P368" s="11"/>
      <c r="Q368" s="13"/>
      <c r="R368" s="14"/>
    </row>
    <row r="369" spans="1:18" ht="15" customHeight="1" x14ac:dyDescent="0.3">
      <c r="A369" s="15" t="s">
        <v>121</v>
      </c>
      <c r="B369" s="15" t="s">
        <v>133</v>
      </c>
      <c r="C369" s="16">
        <v>0.93055555555555547</v>
      </c>
      <c r="D369" s="15" t="s">
        <v>123</v>
      </c>
      <c r="E369" s="15" t="s">
        <v>210</v>
      </c>
      <c r="F369" s="15" t="s">
        <v>182</v>
      </c>
      <c r="G369" s="200"/>
      <c r="H369" s="10"/>
      <c r="I369" s="11"/>
      <c r="J369" s="11"/>
      <c r="K369" s="11"/>
      <c r="L369" s="11"/>
      <c r="M369" s="11"/>
      <c r="N369" s="11"/>
      <c r="O369" s="12"/>
      <c r="P369" s="11"/>
      <c r="Q369" s="13"/>
      <c r="R369" s="14"/>
    </row>
    <row r="370" spans="1:18" ht="15" customHeight="1" x14ac:dyDescent="0.3">
      <c r="A370" s="19" t="s">
        <v>121</v>
      </c>
      <c r="B370" s="19" t="s">
        <v>133</v>
      </c>
      <c r="C370" s="20">
        <v>0.93055555555555547</v>
      </c>
      <c r="D370" s="19" t="s">
        <v>125</v>
      </c>
      <c r="E370" s="19" t="s">
        <v>211</v>
      </c>
      <c r="F370" s="19" t="s">
        <v>183</v>
      </c>
      <c r="G370" s="200"/>
      <c r="H370" s="10"/>
      <c r="I370" s="11"/>
      <c r="J370" s="11"/>
      <c r="K370" s="11"/>
      <c r="L370" s="11"/>
      <c r="M370" s="11"/>
      <c r="N370" s="11"/>
      <c r="O370" s="12"/>
      <c r="P370" s="11"/>
      <c r="Q370" s="13"/>
      <c r="R370" s="14"/>
    </row>
    <row r="371" spans="1:18" ht="15" customHeight="1" x14ac:dyDescent="0.3">
      <c r="A371" s="15" t="s">
        <v>121</v>
      </c>
      <c r="B371" s="15" t="s">
        <v>142</v>
      </c>
      <c r="C371" s="16">
        <v>0.82986111111111116</v>
      </c>
      <c r="D371" s="15" t="s">
        <v>123</v>
      </c>
      <c r="E371" s="15" t="s">
        <v>51</v>
      </c>
      <c r="F371" s="15" t="s">
        <v>182</v>
      </c>
      <c r="G371" s="200"/>
      <c r="H371" s="10"/>
      <c r="I371" s="11"/>
      <c r="J371" s="11"/>
      <c r="K371" s="11"/>
      <c r="L371" s="11"/>
      <c r="M371" s="11"/>
      <c r="N371" s="11"/>
      <c r="O371" s="12"/>
      <c r="P371" s="11"/>
      <c r="Q371" s="13"/>
      <c r="R371" s="14"/>
    </row>
    <row r="372" spans="1:18" ht="15" customHeight="1" x14ac:dyDescent="0.3">
      <c r="A372" s="19" t="s">
        <v>121</v>
      </c>
      <c r="B372" s="19" t="s">
        <v>142</v>
      </c>
      <c r="C372" s="20">
        <v>0.82986111111111116</v>
      </c>
      <c r="D372" s="19" t="s">
        <v>125</v>
      </c>
      <c r="E372" s="19" t="s">
        <v>53</v>
      </c>
      <c r="F372" s="19" t="s">
        <v>183</v>
      </c>
      <c r="G372" s="200"/>
      <c r="H372" s="10"/>
      <c r="I372" s="11"/>
      <c r="J372" s="11"/>
      <c r="K372" s="11"/>
      <c r="L372" s="11"/>
      <c r="M372" s="11"/>
      <c r="N372" s="11"/>
      <c r="O372" s="12"/>
      <c r="P372" s="11"/>
      <c r="Q372" s="13"/>
      <c r="R372" s="14"/>
    </row>
    <row r="373" spans="1:18" ht="15" customHeight="1" x14ac:dyDescent="0.3">
      <c r="A373" s="15" t="s">
        <v>121</v>
      </c>
      <c r="B373" s="15" t="s">
        <v>139</v>
      </c>
      <c r="C373" s="16">
        <v>0.30208333333333331</v>
      </c>
      <c r="D373" s="15" t="s">
        <v>125</v>
      </c>
      <c r="E373" s="15" t="s">
        <v>105</v>
      </c>
      <c r="F373" s="15" t="s">
        <v>138</v>
      </c>
      <c r="G373" s="200"/>
      <c r="H373" s="10"/>
      <c r="I373" s="11"/>
      <c r="J373" s="11"/>
      <c r="K373" s="11"/>
      <c r="L373" s="11"/>
      <c r="M373" s="11"/>
      <c r="N373" s="11"/>
      <c r="O373" s="12"/>
      <c r="P373" s="11"/>
      <c r="Q373" s="13"/>
      <c r="R373" s="14"/>
    </row>
    <row r="374" spans="1:18" ht="15" customHeight="1" x14ac:dyDescent="0.3">
      <c r="A374" s="15" t="s">
        <v>121</v>
      </c>
      <c r="B374" s="15" t="s">
        <v>141</v>
      </c>
      <c r="C374" s="16">
        <v>0.78819444444444453</v>
      </c>
      <c r="D374" s="15" t="s">
        <v>125</v>
      </c>
      <c r="E374" s="15" t="s">
        <v>105</v>
      </c>
      <c r="F374" s="15" t="s">
        <v>138</v>
      </c>
      <c r="G374" s="200"/>
      <c r="H374" s="10"/>
      <c r="I374" s="11"/>
      <c r="J374" s="11"/>
      <c r="K374" s="11"/>
      <c r="L374" s="11"/>
      <c r="M374" s="11"/>
      <c r="N374" s="11"/>
      <c r="O374" s="12"/>
      <c r="P374" s="11"/>
      <c r="Q374" s="13"/>
      <c r="R374" s="14"/>
    </row>
    <row r="375" spans="1:18" ht="15" customHeight="1" x14ac:dyDescent="0.3">
      <c r="A375" s="15" t="s">
        <v>121</v>
      </c>
      <c r="B375" s="15" t="s">
        <v>137</v>
      </c>
      <c r="C375" s="16">
        <v>0.88888888888888884</v>
      </c>
      <c r="D375" s="15" t="s">
        <v>125</v>
      </c>
      <c r="E375" s="15" t="s">
        <v>105</v>
      </c>
      <c r="F375" s="15" t="s">
        <v>235</v>
      </c>
      <c r="G375" s="200"/>
      <c r="H375" s="10"/>
      <c r="I375" s="11"/>
      <c r="J375" s="11"/>
      <c r="K375" s="11"/>
      <c r="L375" s="11"/>
      <c r="M375" s="11"/>
      <c r="N375" s="11"/>
      <c r="O375" s="12"/>
      <c r="P375" s="11"/>
      <c r="Q375" s="13"/>
      <c r="R375" s="14"/>
    </row>
    <row r="376" spans="1:18" ht="15" customHeight="1" x14ac:dyDescent="0.3">
      <c r="A376" s="17" t="s">
        <v>148</v>
      </c>
      <c r="B376" s="17" t="s">
        <v>153</v>
      </c>
      <c r="C376" s="18">
        <v>0.22916666666666671</v>
      </c>
      <c r="D376" s="17" t="s">
        <v>150</v>
      </c>
      <c r="E376" s="17" t="s">
        <v>29</v>
      </c>
      <c r="F376" s="17" t="s">
        <v>236</v>
      </c>
      <c r="G376" s="200"/>
      <c r="H376" s="10"/>
      <c r="I376" s="11"/>
      <c r="J376" s="11"/>
      <c r="K376" s="11"/>
      <c r="L376" s="11"/>
      <c r="M376" s="11"/>
      <c r="N376" s="11"/>
      <c r="O376" s="12"/>
      <c r="P376" s="11"/>
      <c r="Q376" s="13"/>
      <c r="R376" s="14"/>
    </row>
    <row r="377" spans="1:18" ht="15" customHeight="1" x14ac:dyDescent="0.3">
      <c r="A377" s="15" t="s">
        <v>148</v>
      </c>
      <c r="B377" s="15" t="s">
        <v>176</v>
      </c>
      <c r="C377" s="16">
        <v>0.14583333333333329</v>
      </c>
      <c r="D377" s="15" t="s">
        <v>150</v>
      </c>
      <c r="E377" s="15" t="s">
        <v>32</v>
      </c>
      <c r="F377" s="15" t="s">
        <v>154</v>
      </c>
      <c r="G377" s="200"/>
      <c r="H377" s="10"/>
      <c r="I377" s="11"/>
      <c r="J377" s="11"/>
      <c r="K377" s="11"/>
      <c r="L377" s="11"/>
      <c r="M377" s="11"/>
      <c r="N377" s="11"/>
      <c r="O377" s="12"/>
      <c r="P377" s="11"/>
      <c r="Q377" s="13"/>
      <c r="R377" s="14"/>
    </row>
    <row r="378" spans="1:18" ht="15" customHeight="1" x14ac:dyDescent="0.3">
      <c r="A378" s="15" t="s">
        <v>148</v>
      </c>
      <c r="B378" s="15" t="s">
        <v>155</v>
      </c>
      <c r="C378" s="16">
        <v>0.28125</v>
      </c>
      <c r="D378" s="15" t="s">
        <v>150</v>
      </c>
      <c r="E378" s="15" t="s">
        <v>32</v>
      </c>
      <c r="F378" s="15" t="s">
        <v>237</v>
      </c>
      <c r="G378" s="200"/>
      <c r="H378" s="10"/>
      <c r="I378" s="11"/>
      <c r="J378" s="11"/>
      <c r="K378" s="11"/>
      <c r="L378" s="11"/>
      <c r="M378" s="11"/>
      <c r="N378" s="11"/>
      <c r="O378" s="12"/>
      <c r="P378" s="11"/>
      <c r="Q378" s="13"/>
      <c r="R378" s="14"/>
    </row>
    <row r="379" spans="1:18" ht="15" customHeight="1" thickBot="1" x14ac:dyDescent="0.35">
      <c r="A379" s="61" t="s">
        <v>148</v>
      </c>
      <c r="B379" s="61" t="s">
        <v>180</v>
      </c>
      <c r="C379" s="62">
        <v>1.388888888888889E-2</v>
      </c>
      <c r="D379" s="61" t="s">
        <v>150</v>
      </c>
      <c r="E379" s="61" t="s">
        <v>32</v>
      </c>
      <c r="F379" s="61" t="s">
        <v>238</v>
      </c>
      <c r="G379" s="201"/>
      <c r="H379" s="63"/>
      <c r="I379" s="64"/>
      <c r="J379" s="64"/>
      <c r="K379" s="64"/>
      <c r="L379" s="64"/>
      <c r="M379" s="64"/>
      <c r="N379" s="64"/>
      <c r="O379" s="65"/>
      <c r="P379" s="64"/>
      <c r="Q379" s="66"/>
      <c r="R379" s="67"/>
    </row>
    <row r="380" spans="1:18" ht="17.399999999999999" customHeight="1" thickBot="1" x14ac:dyDescent="0.35">
      <c r="A380" s="225"/>
      <c r="B380" s="226"/>
      <c r="C380" s="226"/>
      <c r="D380" s="226"/>
      <c r="E380" s="226"/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7"/>
    </row>
    <row r="381" spans="1:18" ht="22.05" customHeight="1" thickTop="1" thickBot="1" x14ac:dyDescent="0.35">
      <c r="A381" s="190" t="s">
        <v>6</v>
      </c>
      <c r="B381" s="191"/>
      <c r="C381" s="191"/>
      <c r="D381" s="191"/>
      <c r="E381" s="191"/>
      <c r="F381" s="192"/>
      <c r="G381" s="68">
        <v>45991</v>
      </c>
      <c r="H381" s="202" t="s">
        <v>7</v>
      </c>
      <c r="I381" s="191"/>
      <c r="J381" s="191"/>
      <c r="K381" s="191"/>
      <c r="L381" s="191"/>
      <c r="M381" s="191"/>
      <c r="N381" s="191"/>
      <c r="O381" s="191"/>
      <c r="P381" s="191"/>
      <c r="Q381" s="191"/>
      <c r="R381" s="192"/>
    </row>
    <row r="382" spans="1:18" ht="24" customHeight="1" x14ac:dyDescent="0.3">
      <c r="A382" s="69" t="s">
        <v>8</v>
      </c>
      <c r="B382" s="69" t="s">
        <v>9</v>
      </c>
      <c r="C382" s="70" t="s">
        <v>10</v>
      </c>
      <c r="D382" s="69" t="s">
        <v>11</v>
      </c>
      <c r="E382" s="69" t="s">
        <v>12</v>
      </c>
      <c r="F382" s="71" t="s">
        <v>13</v>
      </c>
      <c r="G382" s="72" t="s">
        <v>14</v>
      </c>
      <c r="H382" s="69" t="s">
        <v>15</v>
      </c>
      <c r="I382" s="73" t="s">
        <v>16</v>
      </c>
      <c r="J382" s="74" t="s">
        <v>17</v>
      </c>
      <c r="K382" s="75" t="s">
        <v>18</v>
      </c>
      <c r="L382" s="74" t="s">
        <v>19</v>
      </c>
      <c r="M382" s="74" t="s">
        <v>20</v>
      </c>
      <c r="N382" s="74" t="s">
        <v>21</v>
      </c>
      <c r="O382" s="69" t="s">
        <v>22</v>
      </c>
      <c r="P382" s="70" t="s">
        <v>23</v>
      </c>
      <c r="Q382" s="74" t="s">
        <v>24</v>
      </c>
      <c r="R382" s="69" t="s">
        <v>25</v>
      </c>
    </row>
    <row r="383" spans="1:18" ht="15" customHeight="1" x14ac:dyDescent="0.3">
      <c r="A383" s="8" t="s">
        <v>116</v>
      </c>
      <c r="B383" s="8" t="s">
        <v>117</v>
      </c>
      <c r="C383" s="9">
        <v>0.27430555555555552</v>
      </c>
      <c r="D383" s="8" t="s">
        <v>28</v>
      </c>
      <c r="E383" s="8" t="s">
        <v>29</v>
      </c>
      <c r="F383" s="8" t="s">
        <v>164</v>
      </c>
      <c r="G383" s="199"/>
      <c r="H383" s="10"/>
      <c r="I383" s="11"/>
      <c r="J383" s="11"/>
      <c r="K383" s="11"/>
      <c r="L383" s="11"/>
      <c r="M383" s="11"/>
      <c r="N383" s="11"/>
      <c r="O383" s="12"/>
      <c r="P383" s="11"/>
      <c r="Q383" s="13"/>
      <c r="R383" s="14"/>
    </row>
    <row r="384" spans="1:18" ht="15" customHeight="1" x14ac:dyDescent="0.3">
      <c r="A384" s="15" t="s">
        <v>116</v>
      </c>
      <c r="B384" s="15" t="s">
        <v>239</v>
      </c>
      <c r="C384" s="16">
        <v>0.34722222222222232</v>
      </c>
      <c r="D384" s="15" t="s">
        <v>28</v>
      </c>
      <c r="E384" s="15" t="s">
        <v>48</v>
      </c>
      <c r="F384" s="15" t="s">
        <v>240</v>
      </c>
      <c r="G384" s="200"/>
      <c r="H384" s="10"/>
      <c r="I384" s="11"/>
      <c r="J384" s="11"/>
      <c r="K384" s="11"/>
      <c r="L384" s="11"/>
      <c r="M384" s="11"/>
      <c r="N384" s="11"/>
      <c r="O384" s="12"/>
      <c r="P384" s="11"/>
      <c r="Q384" s="13"/>
      <c r="R384" s="14"/>
    </row>
    <row r="385" spans="1:18" ht="15" customHeight="1" x14ac:dyDescent="0.3">
      <c r="A385" s="128" t="s">
        <v>55</v>
      </c>
      <c r="B385" s="128" t="s">
        <v>65</v>
      </c>
      <c r="C385" s="129">
        <v>0.31944444444444448</v>
      </c>
      <c r="D385" s="128" t="s">
        <v>57</v>
      </c>
      <c r="E385" s="128" t="s">
        <v>29</v>
      </c>
      <c r="F385" s="128" t="s">
        <v>30</v>
      </c>
      <c r="G385" s="200"/>
      <c r="H385" s="114" t="s">
        <v>66</v>
      </c>
      <c r="I385" s="130">
        <v>0.58660000000000001</v>
      </c>
      <c r="J385" s="116">
        <v>105</v>
      </c>
      <c r="K385" s="117">
        <v>45981</v>
      </c>
      <c r="L385" s="116">
        <v>35</v>
      </c>
      <c r="M385" s="116">
        <v>0</v>
      </c>
      <c r="N385" s="116">
        <v>8</v>
      </c>
      <c r="O385" s="118" t="s">
        <v>166</v>
      </c>
      <c r="P385" s="119">
        <v>0.31944444444444448</v>
      </c>
      <c r="Q385" s="116">
        <v>179</v>
      </c>
      <c r="R385" s="120" t="s">
        <v>241</v>
      </c>
    </row>
    <row r="386" spans="1:18" ht="15" customHeight="1" x14ac:dyDescent="0.3">
      <c r="A386" s="108" t="s">
        <v>55</v>
      </c>
      <c r="B386" s="108" t="s">
        <v>56</v>
      </c>
      <c r="C386" s="109">
        <v>8.3333333333333329E-2</v>
      </c>
      <c r="D386" s="108" t="s">
        <v>57</v>
      </c>
      <c r="E386" s="108" t="s">
        <v>32</v>
      </c>
      <c r="F386" s="108" t="s">
        <v>58</v>
      </c>
      <c r="G386" s="200"/>
      <c r="H386" s="78" t="s">
        <v>59</v>
      </c>
      <c r="I386" s="79">
        <v>0.63690000000000002</v>
      </c>
      <c r="J386" s="80">
        <v>114</v>
      </c>
      <c r="K386" s="81">
        <v>45981</v>
      </c>
      <c r="L386" s="80">
        <v>15</v>
      </c>
      <c r="M386" s="80">
        <v>0</v>
      </c>
      <c r="N386" s="80">
        <v>1</v>
      </c>
      <c r="O386" s="82" t="s">
        <v>60</v>
      </c>
      <c r="P386" s="83">
        <v>8.3333333333333329E-2</v>
      </c>
      <c r="Q386" s="80">
        <v>179</v>
      </c>
      <c r="R386" s="84" t="s">
        <v>242</v>
      </c>
    </row>
    <row r="387" spans="1:18" ht="15" customHeight="1" x14ac:dyDescent="0.3">
      <c r="A387" s="39" t="s">
        <v>55</v>
      </c>
      <c r="B387" s="39" t="s">
        <v>189</v>
      </c>
      <c r="C387" s="40">
        <v>0.33333333333333331</v>
      </c>
      <c r="D387" s="39" t="s">
        <v>57</v>
      </c>
      <c r="E387" s="39" t="s">
        <v>32</v>
      </c>
      <c r="F387" s="39" t="s">
        <v>58</v>
      </c>
      <c r="G387" s="200"/>
      <c r="H387" s="23" t="s">
        <v>190</v>
      </c>
      <c r="I387" s="24">
        <v>0.60709999999999997</v>
      </c>
      <c r="J387" s="25">
        <v>102</v>
      </c>
      <c r="K387" s="26">
        <v>45979</v>
      </c>
      <c r="L387" s="25">
        <v>5</v>
      </c>
      <c r="M387" s="25">
        <v>0</v>
      </c>
      <c r="N387" s="25">
        <v>0</v>
      </c>
      <c r="O387" s="27" t="s">
        <v>60</v>
      </c>
      <c r="P387" s="28">
        <v>0.33333333333333331</v>
      </c>
      <c r="Q387" s="25">
        <v>168</v>
      </c>
      <c r="R387" s="29" t="s">
        <v>243</v>
      </c>
    </row>
    <row r="388" spans="1:18" ht="15" customHeight="1" x14ac:dyDescent="0.3">
      <c r="A388" s="112" t="s">
        <v>55</v>
      </c>
      <c r="B388" s="112" t="s">
        <v>73</v>
      </c>
      <c r="C388" s="113">
        <v>0.51041666666666663</v>
      </c>
      <c r="D388" s="112" t="s">
        <v>57</v>
      </c>
      <c r="E388" s="112" t="s">
        <v>48</v>
      </c>
      <c r="F388" s="112" t="s">
        <v>244</v>
      </c>
      <c r="G388" s="200"/>
      <c r="H388" s="114" t="s">
        <v>75</v>
      </c>
      <c r="I388" s="131">
        <v>0.93300000000000005</v>
      </c>
      <c r="J388" s="116">
        <v>167</v>
      </c>
      <c r="K388" s="117">
        <v>45981</v>
      </c>
      <c r="L388" s="116">
        <v>4</v>
      </c>
      <c r="M388" s="116">
        <v>0</v>
      </c>
      <c r="N388" s="116">
        <v>1</v>
      </c>
      <c r="O388" s="118" t="s">
        <v>245</v>
      </c>
      <c r="P388" s="119">
        <v>0.51041666666666663</v>
      </c>
      <c r="Q388" s="116">
        <v>179</v>
      </c>
      <c r="R388" s="120" t="s">
        <v>246</v>
      </c>
    </row>
    <row r="389" spans="1:18" ht="15" customHeight="1" x14ac:dyDescent="0.3">
      <c r="A389" s="108" t="s">
        <v>55</v>
      </c>
      <c r="B389" s="108" t="s">
        <v>70</v>
      </c>
      <c r="C389" s="109">
        <v>0.63194444444444442</v>
      </c>
      <c r="D389" s="108" t="s">
        <v>79</v>
      </c>
      <c r="E389" s="132"/>
      <c r="F389" s="108" t="s">
        <v>80</v>
      </c>
      <c r="G389" s="200"/>
      <c r="H389" s="78" t="s">
        <v>70</v>
      </c>
      <c r="I389" s="123">
        <v>0.95530000000000004</v>
      </c>
      <c r="J389" s="80">
        <v>171</v>
      </c>
      <c r="K389" s="81">
        <v>45976</v>
      </c>
      <c r="L389" s="80">
        <v>3</v>
      </c>
      <c r="M389" s="80">
        <v>0</v>
      </c>
      <c r="N389" s="80">
        <v>0</v>
      </c>
      <c r="O389" s="82" t="s">
        <v>81</v>
      </c>
      <c r="P389" s="83">
        <v>0.63194444444444442</v>
      </c>
      <c r="Q389" s="80">
        <v>179</v>
      </c>
      <c r="R389" s="84" t="s">
        <v>247</v>
      </c>
    </row>
    <row r="390" spans="1:18" ht="15" customHeight="1" x14ac:dyDescent="0.3">
      <c r="A390" s="17" t="s">
        <v>26</v>
      </c>
      <c r="B390" s="17" t="s">
        <v>27</v>
      </c>
      <c r="C390" s="18">
        <v>0.38194444444444442</v>
      </c>
      <c r="D390" s="17" t="s">
        <v>28</v>
      </c>
      <c r="E390" s="17" t="s">
        <v>248</v>
      </c>
      <c r="F390" s="17" t="s">
        <v>30</v>
      </c>
      <c r="G390" s="200"/>
      <c r="H390" s="10"/>
      <c r="I390" s="11"/>
      <c r="J390" s="11"/>
      <c r="K390" s="11"/>
      <c r="L390" s="11"/>
      <c r="M390" s="11"/>
      <c r="N390" s="11"/>
      <c r="O390" s="12"/>
      <c r="P390" s="11"/>
      <c r="Q390" s="13"/>
      <c r="R390" s="14"/>
    </row>
    <row r="391" spans="1:18" ht="15" customHeight="1" x14ac:dyDescent="0.3">
      <c r="A391" s="15" t="s">
        <v>26</v>
      </c>
      <c r="B391" s="15" t="s">
        <v>33</v>
      </c>
      <c r="C391" s="16">
        <v>0.66666666666666663</v>
      </c>
      <c r="D391" s="15" t="s">
        <v>28</v>
      </c>
      <c r="E391" s="15" t="s">
        <v>210</v>
      </c>
      <c r="F391" s="15" t="s">
        <v>34</v>
      </c>
      <c r="G391" s="200"/>
      <c r="H391" s="10"/>
      <c r="I391" s="11"/>
      <c r="J391" s="11"/>
      <c r="K391" s="11"/>
      <c r="L391" s="11"/>
      <c r="M391" s="11"/>
      <c r="N391" s="11"/>
      <c r="O391" s="12"/>
      <c r="P391" s="11"/>
      <c r="Q391" s="13"/>
      <c r="R391" s="14"/>
    </row>
    <row r="392" spans="1:18" ht="15" customHeight="1" x14ac:dyDescent="0.3">
      <c r="A392" s="17" t="s">
        <v>83</v>
      </c>
      <c r="B392" s="17" t="s">
        <v>104</v>
      </c>
      <c r="C392" s="18">
        <v>0.39583333333333331</v>
      </c>
      <c r="D392" s="17" t="s">
        <v>85</v>
      </c>
      <c r="E392" s="17" t="s">
        <v>249</v>
      </c>
      <c r="F392" s="17" t="s">
        <v>202</v>
      </c>
      <c r="G392" s="200"/>
      <c r="H392" s="10"/>
      <c r="I392" s="11"/>
      <c r="J392" s="11"/>
      <c r="K392" s="11"/>
      <c r="L392" s="11"/>
      <c r="M392" s="11"/>
      <c r="N392" s="11"/>
      <c r="O392" s="12"/>
      <c r="P392" s="11"/>
      <c r="Q392" s="13"/>
      <c r="R392" s="14"/>
    </row>
    <row r="393" spans="1:18" ht="15" customHeight="1" x14ac:dyDescent="0.3">
      <c r="A393" s="19" t="s">
        <v>83</v>
      </c>
      <c r="B393" s="19" t="s">
        <v>104</v>
      </c>
      <c r="C393" s="20">
        <v>0.39583333333333331</v>
      </c>
      <c r="D393" s="19" t="s">
        <v>87</v>
      </c>
      <c r="E393" s="19" t="s">
        <v>107</v>
      </c>
      <c r="F393" s="19" t="s">
        <v>185</v>
      </c>
      <c r="G393" s="200"/>
      <c r="H393" s="10"/>
      <c r="I393" s="11"/>
      <c r="J393" s="11"/>
      <c r="K393" s="11"/>
      <c r="L393" s="11"/>
      <c r="M393" s="11"/>
      <c r="N393" s="11"/>
      <c r="O393" s="12"/>
      <c r="P393" s="11"/>
      <c r="Q393" s="13"/>
      <c r="R393" s="14"/>
    </row>
    <row r="394" spans="1:18" ht="15" customHeight="1" x14ac:dyDescent="0.3">
      <c r="A394" s="19" t="s">
        <v>83</v>
      </c>
      <c r="B394" s="19" t="s">
        <v>104</v>
      </c>
      <c r="C394" s="20">
        <v>0.39583333333333331</v>
      </c>
      <c r="D394" s="19" t="s">
        <v>89</v>
      </c>
      <c r="E394" s="19" t="s">
        <v>107</v>
      </c>
      <c r="F394" s="19" t="s">
        <v>34</v>
      </c>
      <c r="G394" s="200"/>
      <c r="H394" s="10"/>
      <c r="I394" s="11"/>
      <c r="J394" s="11"/>
      <c r="K394" s="11"/>
      <c r="L394" s="11"/>
      <c r="M394" s="11"/>
      <c r="N394" s="11"/>
      <c r="O394" s="12"/>
      <c r="P394" s="11"/>
      <c r="Q394" s="13"/>
      <c r="R394" s="14"/>
    </row>
    <row r="395" spans="1:18" ht="15" customHeight="1" x14ac:dyDescent="0.3">
      <c r="A395" s="15" t="s">
        <v>83</v>
      </c>
      <c r="B395" s="15" t="s">
        <v>103</v>
      </c>
      <c r="C395" s="16">
        <v>0.30208333333333331</v>
      </c>
      <c r="D395" s="15" t="s">
        <v>85</v>
      </c>
      <c r="E395" s="15" t="s">
        <v>105</v>
      </c>
      <c r="F395" s="15" t="s">
        <v>202</v>
      </c>
      <c r="G395" s="200"/>
      <c r="H395" s="10"/>
      <c r="I395" s="11"/>
      <c r="J395" s="11"/>
      <c r="K395" s="11"/>
      <c r="L395" s="11"/>
      <c r="M395" s="11"/>
      <c r="N395" s="11"/>
      <c r="O395" s="12"/>
      <c r="P395" s="11"/>
      <c r="Q395" s="13"/>
      <c r="R395" s="14"/>
    </row>
    <row r="396" spans="1:18" ht="15" customHeight="1" x14ac:dyDescent="0.3">
      <c r="A396" s="19" t="s">
        <v>83</v>
      </c>
      <c r="B396" s="19" t="s">
        <v>103</v>
      </c>
      <c r="C396" s="20">
        <v>0.30208333333333331</v>
      </c>
      <c r="D396" s="19" t="s">
        <v>87</v>
      </c>
      <c r="E396" s="19" t="s">
        <v>107</v>
      </c>
      <c r="F396" s="19" t="s">
        <v>185</v>
      </c>
      <c r="G396" s="200"/>
      <c r="H396" s="10"/>
      <c r="I396" s="11"/>
      <c r="J396" s="11"/>
      <c r="K396" s="11"/>
      <c r="L396" s="11"/>
      <c r="M396" s="11"/>
      <c r="N396" s="11"/>
      <c r="O396" s="12"/>
      <c r="P396" s="11"/>
      <c r="Q396" s="13"/>
      <c r="R396" s="14"/>
    </row>
    <row r="397" spans="1:18" ht="15" customHeight="1" x14ac:dyDescent="0.3">
      <c r="A397" s="19" t="s">
        <v>83</v>
      </c>
      <c r="B397" s="19" t="s">
        <v>103</v>
      </c>
      <c r="C397" s="20">
        <v>0.30208333333333331</v>
      </c>
      <c r="D397" s="19" t="s">
        <v>89</v>
      </c>
      <c r="E397" s="19" t="s">
        <v>107</v>
      </c>
      <c r="F397" s="19" t="s">
        <v>34</v>
      </c>
      <c r="G397" s="200"/>
      <c r="H397" s="10"/>
      <c r="I397" s="11"/>
      <c r="J397" s="11"/>
      <c r="K397" s="11"/>
      <c r="L397" s="11"/>
      <c r="M397" s="11"/>
      <c r="N397" s="11"/>
      <c r="O397" s="12"/>
      <c r="P397" s="11"/>
      <c r="Q397" s="13"/>
      <c r="R397" s="14"/>
    </row>
    <row r="398" spans="1:18" ht="15" customHeight="1" x14ac:dyDescent="0.3">
      <c r="A398" s="15" t="s">
        <v>83</v>
      </c>
      <c r="B398" s="15" t="s">
        <v>94</v>
      </c>
      <c r="C398" s="16">
        <v>0.25694444444444448</v>
      </c>
      <c r="D398" s="15" t="s">
        <v>85</v>
      </c>
      <c r="E398" s="15" t="s">
        <v>95</v>
      </c>
      <c r="F398" s="15" t="s">
        <v>86</v>
      </c>
      <c r="G398" s="200"/>
      <c r="H398" s="10"/>
      <c r="I398" s="11"/>
      <c r="J398" s="11"/>
      <c r="K398" s="11"/>
      <c r="L398" s="11"/>
      <c r="M398" s="11"/>
      <c r="N398" s="11"/>
      <c r="O398" s="12"/>
      <c r="P398" s="11"/>
      <c r="Q398" s="13"/>
      <c r="R398" s="14"/>
    </row>
    <row r="399" spans="1:18" ht="15" customHeight="1" x14ac:dyDescent="0.3">
      <c r="A399" s="19" t="s">
        <v>83</v>
      </c>
      <c r="B399" s="19" t="s">
        <v>94</v>
      </c>
      <c r="C399" s="20">
        <v>0.25694444444444448</v>
      </c>
      <c r="D399" s="19" t="s">
        <v>87</v>
      </c>
      <c r="E399" s="19" t="s">
        <v>97</v>
      </c>
      <c r="F399" s="19" t="s">
        <v>88</v>
      </c>
      <c r="G399" s="200"/>
      <c r="H399" s="10"/>
      <c r="I399" s="11"/>
      <c r="J399" s="11"/>
      <c r="K399" s="11"/>
      <c r="L399" s="11"/>
      <c r="M399" s="11"/>
      <c r="N399" s="11"/>
      <c r="O399" s="12"/>
      <c r="P399" s="11"/>
      <c r="Q399" s="13"/>
      <c r="R399" s="14"/>
    </row>
    <row r="400" spans="1:18" ht="15" customHeight="1" x14ac:dyDescent="0.3">
      <c r="A400" s="19" t="s">
        <v>83</v>
      </c>
      <c r="B400" s="19" t="s">
        <v>94</v>
      </c>
      <c r="C400" s="20">
        <v>0.25694444444444448</v>
      </c>
      <c r="D400" s="19" t="s">
        <v>89</v>
      </c>
      <c r="E400" s="19" t="s">
        <v>97</v>
      </c>
      <c r="F400" s="19" t="s">
        <v>90</v>
      </c>
      <c r="G400" s="200"/>
      <c r="H400" s="10"/>
      <c r="I400" s="11"/>
      <c r="J400" s="11"/>
      <c r="K400" s="11"/>
      <c r="L400" s="11"/>
      <c r="M400" s="11"/>
      <c r="N400" s="11"/>
      <c r="O400" s="12"/>
      <c r="P400" s="11"/>
      <c r="Q400" s="13"/>
      <c r="R400" s="14"/>
    </row>
    <row r="401" spans="1:18" ht="15" customHeight="1" x14ac:dyDescent="0.3">
      <c r="A401" s="15" t="s">
        <v>83</v>
      </c>
      <c r="B401" s="15" t="s">
        <v>100</v>
      </c>
      <c r="C401" s="16">
        <v>0.64583333333333337</v>
      </c>
      <c r="D401" s="15" t="s">
        <v>85</v>
      </c>
      <c r="E401" s="15" t="s">
        <v>95</v>
      </c>
      <c r="F401" s="15" t="s">
        <v>86</v>
      </c>
      <c r="G401" s="200"/>
      <c r="H401" s="10"/>
      <c r="I401" s="11"/>
      <c r="J401" s="11"/>
      <c r="K401" s="11"/>
      <c r="L401" s="11"/>
      <c r="M401" s="11"/>
      <c r="N401" s="11"/>
      <c r="O401" s="12"/>
      <c r="P401" s="11"/>
      <c r="Q401" s="13"/>
      <c r="R401" s="14"/>
    </row>
    <row r="402" spans="1:18" ht="15" customHeight="1" x14ac:dyDescent="0.3">
      <c r="A402" s="19" t="s">
        <v>83</v>
      </c>
      <c r="B402" s="19" t="s">
        <v>100</v>
      </c>
      <c r="C402" s="20">
        <v>0.64583333333333337</v>
      </c>
      <c r="D402" s="19" t="s">
        <v>87</v>
      </c>
      <c r="E402" s="19" t="s">
        <v>97</v>
      </c>
      <c r="F402" s="19" t="s">
        <v>88</v>
      </c>
      <c r="G402" s="200"/>
      <c r="H402" s="10"/>
      <c r="I402" s="11"/>
      <c r="J402" s="11"/>
      <c r="K402" s="11"/>
      <c r="L402" s="11"/>
      <c r="M402" s="11"/>
      <c r="N402" s="11"/>
      <c r="O402" s="12"/>
      <c r="P402" s="11"/>
      <c r="Q402" s="13"/>
      <c r="R402" s="14"/>
    </row>
    <row r="403" spans="1:18" ht="15" customHeight="1" x14ac:dyDescent="0.3">
      <c r="A403" s="19" t="s">
        <v>83</v>
      </c>
      <c r="B403" s="19" t="s">
        <v>100</v>
      </c>
      <c r="C403" s="20">
        <v>0.64583333333333337</v>
      </c>
      <c r="D403" s="19" t="s">
        <v>89</v>
      </c>
      <c r="E403" s="19" t="s">
        <v>97</v>
      </c>
      <c r="F403" s="19" t="s">
        <v>90</v>
      </c>
      <c r="G403" s="200"/>
      <c r="H403" s="10"/>
      <c r="I403" s="11"/>
      <c r="J403" s="11"/>
      <c r="K403" s="11"/>
      <c r="L403" s="11"/>
      <c r="M403" s="11"/>
      <c r="N403" s="11"/>
      <c r="O403" s="12"/>
      <c r="P403" s="11"/>
      <c r="Q403" s="13"/>
      <c r="R403" s="14"/>
    </row>
    <row r="404" spans="1:18" ht="15" customHeight="1" x14ac:dyDescent="0.3">
      <c r="A404" s="15" t="s">
        <v>83</v>
      </c>
      <c r="B404" s="15" t="s">
        <v>101</v>
      </c>
      <c r="C404" s="16">
        <v>0.51736111111111105</v>
      </c>
      <c r="D404" s="15" t="s">
        <v>85</v>
      </c>
      <c r="E404" s="15" t="s">
        <v>95</v>
      </c>
      <c r="F404" s="15" t="s">
        <v>86</v>
      </c>
      <c r="G404" s="200"/>
      <c r="H404" s="10"/>
      <c r="I404" s="11"/>
      <c r="J404" s="11"/>
      <c r="K404" s="11"/>
      <c r="L404" s="11"/>
      <c r="M404" s="11"/>
      <c r="N404" s="11"/>
      <c r="O404" s="12"/>
      <c r="P404" s="11"/>
      <c r="Q404" s="13"/>
      <c r="R404" s="14"/>
    </row>
    <row r="405" spans="1:18" ht="15" customHeight="1" x14ac:dyDescent="0.3">
      <c r="A405" s="19" t="s">
        <v>83</v>
      </c>
      <c r="B405" s="19" t="s">
        <v>101</v>
      </c>
      <c r="C405" s="20">
        <v>0.51736111111111105</v>
      </c>
      <c r="D405" s="19" t="s">
        <v>87</v>
      </c>
      <c r="E405" s="19" t="s">
        <v>97</v>
      </c>
      <c r="F405" s="19" t="s">
        <v>88</v>
      </c>
      <c r="G405" s="200"/>
      <c r="H405" s="10"/>
      <c r="I405" s="11"/>
      <c r="J405" s="11"/>
      <c r="K405" s="11"/>
      <c r="L405" s="11"/>
      <c r="M405" s="11"/>
      <c r="N405" s="11"/>
      <c r="O405" s="12"/>
      <c r="P405" s="11"/>
      <c r="Q405" s="13"/>
      <c r="R405" s="14"/>
    </row>
    <row r="406" spans="1:18" ht="15" customHeight="1" x14ac:dyDescent="0.3">
      <c r="A406" s="19" t="s">
        <v>83</v>
      </c>
      <c r="B406" s="19" t="s">
        <v>101</v>
      </c>
      <c r="C406" s="20">
        <v>0.51736111111111105</v>
      </c>
      <c r="D406" s="19" t="s">
        <v>89</v>
      </c>
      <c r="E406" s="19" t="s">
        <v>97</v>
      </c>
      <c r="F406" s="19" t="s">
        <v>90</v>
      </c>
      <c r="G406" s="200"/>
      <c r="H406" s="10"/>
      <c r="I406" s="11"/>
      <c r="J406" s="11"/>
      <c r="K406" s="11"/>
      <c r="L406" s="11"/>
      <c r="M406" s="11"/>
      <c r="N406" s="11"/>
      <c r="O406" s="12"/>
      <c r="P406" s="11"/>
      <c r="Q406" s="13"/>
      <c r="R406" s="14"/>
    </row>
    <row r="407" spans="1:18" ht="15" customHeight="1" x14ac:dyDescent="0.3">
      <c r="A407" s="15" t="s">
        <v>83</v>
      </c>
      <c r="B407" s="15" t="s">
        <v>102</v>
      </c>
      <c r="C407" s="16">
        <v>0.85416666666666663</v>
      </c>
      <c r="D407" s="15" t="s">
        <v>85</v>
      </c>
      <c r="E407" s="15" t="s">
        <v>95</v>
      </c>
      <c r="F407" s="15" t="s">
        <v>86</v>
      </c>
      <c r="G407" s="200"/>
      <c r="H407" s="10"/>
      <c r="I407" s="11"/>
      <c r="J407" s="11"/>
      <c r="K407" s="11"/>
      <c r="L407" s="11"/>
      <c r="M407" s="11"/>
      <c r="N407" s="11"/>
      <c r="O407" s="12"/>
      <c r="P407" s="11"/>
      <c r="Q407" s="13"/>
      <c r="R407" s="14"/>
    </row>
    <row r="408" spans="1:18" ht="15" customHeight="1" x14ac:dyDescent="0.3">
      <c r="A408" s="19" t="s">
        <v>83</v>
      </c>
      <c r="B408" s="19" t="s">
        <v>102</v>
      </c>
      <c r="C408" s="20">
        <v>0.85416666666666663</v>
      </c>
      <c r="D408" s="19" t="s">
        <v>87</v>
      </c>
      <c r="E408" s="19" t="s">
        <v>97</v>
      </c>
      <c r="F408" s="19" t="s">
        <v>88</v>
      </c>
      <c r="G408" s="200"/>
      <c r="H408" s="10"/>
      <c r="I408" s="11"/>
      <c r="J408" s="11"/>
      <c r="K408" s="11"/>
      <c r="L408" s="11"/>
      <c r="M408" s="11"/>
      <c r="N408" s="11"/>
      <c r="O408" s="12"/>
      <c r="P408" s="11"/>
      <c r="Q408" s="13"/>
      <c r="R408" s="14"/>
    </row>
    <row r="409" spans="1:18" ht="15" customHeight="1" x14ac:dyDescent="0.3">
      <c r="A409" s="19" t="s">
        <v>83</v>
      </c>
      <c r="B409" s="19" t="s">
        <v>102</v>
      </c>
      <c r="C409" s="20">
        <v>0.85416666666666663</v>
      </c>
      <c r="D409" s="19" t="s">
        <v>89</v>
      </c>
      <c r="E409" s="19" t="s">
        <v>97</v>
      </c>
      <c r="F409" s="19" t="s">
        <v>90</v>
      </c>
      <c r="G409" s="200"/>
      <c r="H409" s="10"/>
      <c r="I409" s="11"/>
      <c r="J409" s="11"/>
      <c r="K409" s="11"/>
      <c r="L409" s="11"/>
      <c r="M409" s="11"/>
      <c r="N409" s="11"/>
      <c r="O409" s="12"/>
      <c r="P409" s="11"/>
      <c r="Q409" s="13"/>
      <c r="R409" s="14"/>
    </row>
    <row r="410" spans="1:18" ht="15" customHeight="1" x14ac:dyDescent="0.3">
      <c r="A410" s="15" t="s">
        <v>83</v>
      </c>
      <c r="B410" s="15" t="s">
        <v>91</v>
      </c>
      <c r="C410" s="16">
        <v>0.79861111111111116</v>
      </c>
      <c r="D410" s="15" t="s">
        <v>85</v>
      </c>
      <c r="E410" s="15" t="s">
        <v>69</v>
      </c>
      <c r="F410" s="15" t="s">
        <v>86</v>
      </c>
      <c r="G410" s="200"/>
      <c r="H410" s="10"/>
      <c r="I410" s="11"/>
      <c r="J410" s="11"/>
      <c r="K410" s="11"/>
      <c r="L410" s="11"/>
      <c r="M410" s="11"/>
      <c r="N410" s="11"/>
      <c r="O410" s="12"/>
      <c r="P410" s="11"/>
      <c r="Q410" s="13"/>
      <c r="R410" s="14"/>
    </row>
    <row r="411" spans="1:18" ht="15" customHeight="1" x14ac:dyDescent="0.3">
      <c r="A411" s="19" t="s">
        <v>83</v>
      </c>
      <c r="B411" s="19" t="s">
        <v>91</v>
      </c>
      <c r="C411" s="20">
        <v>0.79861111111111116</v>
      </c>
      <c r="D411" s="19" t="s">
        <v>87</v>
      </c>
      <c r="E411" s="19" t="s">
        <v>172</v>
      </c>
      <c r="F411" s="19" t="s">
        <v>88</v>
      </c>
      <c r="G411" s="200"/>
      <c r="H411" s="10"/>
      <c r="I411" s="11"/>
      <c r="J411" s="11"/>
      <c r="K411" s="11"/>
      <c r="L411" s="11"/>
      <c r="M411" s="11"/>
      <c r="N411" s="11"/>
      <c r="O411" s="12"/>
      <c r="P411" s="11"/>
      <c r="Q411" s="13"/>
      <c r="R411" s="14"/>
    </row>
    <row r="412" spans="1:18" ht="15" customHeight="1" x14ac:dyDescent="0.3">
      <c r="A412" s="19" t="s">
        <v>83</v>
      </c>
      <c r="B412" s="19" t="s">
        <v>91</v>
      </c>
      <c r="C412" s="20">
        <v>0.79861111111111116</v>
      </c>
      <c r="D412" s="19" t="s">
        <v>89</v>
      </c>
      <c r="E412" s="19" t="s">
        <v>172</v>
      </c>
      <c r="F412" s="19" t="s">
        <v>90</v>
      </c>
      <c r="G412" s="200"/>
      <c r="H412" s="10"/>
      <c r="I412" s="11"/>
      <c r="J412" s="11"/>
      <c r="K412" s="11"/>
      <c r="L412" s="11"/>
      <c r="M412" s="11"/>
      <c r="N412" s="11"/>
      <c r="O412" s="12"/>
      <c r="P412" s="11"/>
      <c r="Q412" s="13"/>
      <c r="R412" s="14"/>
    </row>
    <row r="413" spans="1:18" ht="15" customHeight="1" x14ac:dyDescent="0.3">
      <c r="A413" s="15" t="s">
        <v>83</v>
      </c>
      <c r="B413" s="15" t="s">
        <v>84</v>
      </c>
      <c r="C413" s="16">
        <v>0.90277777777777779</v>
      </c>
      <c r="D413" s="15" t="s">
        <v>85</v>
      </c>
      <c r="E413" s="15" t="s">
        <v>95</v>
      </c>
      <c r="F413" s="15" t="s">
        <v>96</v>
      </c>
      <c r="G413" s="200"/>
      <c r="H413" s="10"/>
      <c r="I413" s="11"/>
      <c r="J413" s="11"/>
      <c r="K413" s="11"/>
      <c r="L413" s="11"/>
      <c r="M413" s="11"/>
      <c r="N413" s="11"/>
      <c r="O413" s="12"/>
      <c r="P413" s="11"/>
      <c r="Q413" s="13"/>
      <c r="R413" s="14"/>
    </row>
    <row r="414" spans="1:18" ht="15" customHeight="1" x14ac:dyDescent="0.3">
      <c r="A414" s="19" t="s">
        <v>83</v>
      </c>
      <c r="B414" s="19" t="s">
        <v>84</v>
      </c>
      <c r="C414" s="20">
        <v>0.90277777777777779</v>
      </c>
      <c r="D414" s="19" t="s">
        <v>87</v>
      </c>
      <c r="E414" s="19" t="s">
        <v>97</v>
      </c>
      <c r="F414" s="19" t="s">
        <v>98</v>
      </c>
      <c r="G414" s="200"/>
      <c r="H414" s="10"/>
      <c r="I414" s="11"/>
      <c r="J414" s="11"/>
      <c r="K414" s="11"/>
      <c r="L414" s="11"/>
      <c r="M414" s="11"/>
      <c r="N414" s="11"/>
      <c r="O414" s="12"/>
      <c r="P414" s="11"/>
      <c r="Q414" s="13"/>
      <c r="R414" s="14"/>
    </row>
    <row r="415" spans="1:18" ht="15" customHeight="1" x14ac:dyDescent="0.3">
      <c r="A415" s="19" t="s">
        <v>83</v>
      </c>
      <c r="B415" s="19" t="s">
        <v>84</v>
      </c>
      <c r="C415" s="20">
        <v>0.90277777777777779</v>
      </c>
      <c r="D415" s="19" t="s">
        <v>89</v>
      </c>
      <c r="E415" s="19" t="s">
        <v>97</v>
      </c>
      <c r="F415" s="19" t="s">
        <v>99</v>
      </c>
      <c r="G415" s="200"/>
      <c r="H415" s="10"/>
      <c r="I415" s="11"/>
      <c r="J415" s="11"/>
      <c r="K415" s="11"/>
      <c r="L415" s="11"/>
      <c r="M415" s="11"/>
      <c r="N415" s="11"/>
      <c r="O415" s="12"/>
      <c r="P415" s="11"/>
      <c r="Q415" s="13"/>
      <c r="R415" s="14"/>
    </row>
    <row r="416" spans="1:18" ht="15" customHeight="1" x14ac:dyDescent="0.3">
      <c r="A416" s="17" t="s">
        <v>110</v>
      </c>
      <c r="B416" s="17" t="s">
        <v>173</v>
      </c>
      <c r="C416" s="18">
        <v>0.3888888888888889</v>
      </c>
      <c r="D416" s="17" t="s">
        <v>112</v>
      </c>
      <c r="E416" s="17" t="s">
        <v>113</v>
      </c>
      <c r="F416" s="17" t="s">
        <v>250</v>
      </c>
      <c r="G416" s="200"/>
      <c r="H416" s="10"/>
      <c r="I416" s="11"/>
      <c r="J416" s="11"/>
      <c r="K416" s="11"/>
      <c r="L416" s="11"/>
      <c r="M416" s="11"/>
      <c r="N416" s="11"/>
      <c r="O416" s="12"/>
      <c r="P416" s="11"/>
      <c r="Q416" s="13"/>
      <c r="R416" s="14"/>
    </row>
    <row r="417" spans="1:18" ht="15" customHeight="1" x14ac:dyDescent="0.3">
      <c r="A417" s="19" t="s">
        <v>110</v>
      </c>
      <c r="B417" s="19" t="s">
        <v>173</v>
      </c>
      <c r="C417" s="20">
        <v>0.3888888888888889</v>
      </c>
      <c r="D417" s="19" t="s">
        <v>43</v>
      </c>
      <c r="E417" s="19" t="s">
        <v>97</v>
      </c>
      <c r="F417" s="19" t="s">
        <v>251</v>
      </c>
      <c r="G417" s="200"/>
      <c r="H417" s="10"/>
      <c r="I417" s="11"/>
      <c r="J417" s="11"/>
      <c r="K417" s="11"/>
      <c r="L417" s="11"/>
      <c r="M417" s="11"/>
      <c r="N417" s="11"/>
      <c r="O417" s="12"/>
      <c r="P417" s="11"/>
      <c r="Q417" s="13"/>
      <c r="R417" s="14"/>
    </row>
    <row r="418" spans="1:18" ht="15" customHeight="1" x14ac:dyDescent="0.3">
      <c r="A418" s="17" t="s">
        <v>35</v>
      </c>
      <c r="B418" s="17" t="s">
        <v>50</v>
      </c>
      <c r="C418" s="18">
        <v>0.12847222222222221</v>
      </c>
      <c r="D418" s="17" t="s">
        <v>37</v>
      </c>
      <c r="E418" s="17" t="s">
        <v>252</v>
      </c>
      <c r="F418" s="17" t="s">
        <v>39</v>
      </c>
      <c r="G418" s="200"/>
      <c r="H418" s="10"/>
      <c r="I418" s="11"/>
      <c r="J418" s="11"/>
      <c r="K418" s="11"/>
      <c r="L418" s="11"/>
      <c r="M418" s="11"/>
      <c r="N418" s="11"/>
      <c r="O418" s="12"/>
      <c r="P418" s="11"/>
      <c r="Q418" s="13"/>
      <c r="R418" s="14"/>
    </row>
    <row r="419" spans="1:18" ht="15" customHeight="1" x14ac:dyDescent="0.3">
      <c r="A419" s="19" t="s">
        <v>35</v>
      </c>
      <c r="B419" s="19" t="s">
        <v>50</v>
      </c>
      <c r="C419" s="20">
        <v>0.12847222222222221</v>
      </c>
      <c r="D419" s="19" t="s">
        <v>40</v>
      </c>
      <c r="E419" s="19" t="s">
        <v>172</v>
      </c>
      <c r="F419" s="19" t="s">
        <v>42</v>
      </c>
      <c r="G419" s="200"/>
      <c r="H419" s="10"/>
      <c r="I419" s="11"/>
      <c r="J419" s="11"/>
      <c r="K419" s="11"/>
      <c r="L419" s="11"/>
      <c r="M419" s="11"/>
      <c r="N419" s="11"/>
      <c r="O419" s="12"/>
      <c r="P419" s="11"/>
      <c r="Q419" s="13"/>
      <c r="R419" s="14"/>
    </row>
    <row r="420" spans="1:18" ht="15" customHeight="1" x14ac:dyDescent="0.3">
      <c r="A420" s="19" t="s">
        <v>35</v>
      </c>
      <c r="B420" s="19" t="s">
        <v>50</v>
      </c>
      <c r="C420" s="20">
        <v>0.12847222222222221</v>
      </c>
      <c r="D420" s="19" t="s">
        <v>43</v>
      </c>
      <c r="E420" s="19" t="s">
        <v>172</v>
      </c>
      <c r="F420" s="19" t="s">
        <v>44</v>
      </c>
      <c r="G420" s="200"/>
      <c r="H420" s="10"/>
      <c r="I420" s="11"/>
      <c r="J420" s="11"/>
      <c r="K420" s="11"/>
      <c r="L420" s="11"/>
      <c r="M420" s="11"/>
      <c r="N420" s="11"/>
      <c r="O420" s="12"/>
      <c r="P420" s="11"/>
      <c r="Q420" s="13"/>
      <c r="R420" s="14"/>
    </row>
    <row r="421" spans="1:18" ht="15" customHeight="1" x14ac:dyDescent="0.3">
      <c r="A421" s="15" t="s">
        <v>35</v>
      </c>
      <c r="B421" s="15" t="s">
        <v>45</v>
      </c>
      <c r="C421" s="16">
        <v>0.78819444444444453</v>
      </c>
      <c r="D421" s="15" t="s">
        <v>37</v>
      </c>
      <c r="E421" s="15" t="s">
        <v>51</v>
      </c>
      <c r="F421" s="15" t="s">
        <v>39</v>
      </c>
      <c r="G421" s="200"/>
      <c r="H421" s="10"/>
      <c r="I421" s="11"/>
      <c r="J421" s="11"/>
      <c r="K421" s="11"/>
      <c r="L421" s="11"/>
      <c r="M421" s="11"/>
      <c r="N421" s="11"/>
      <c r="O421" s="12"/>
      <c r="P421" s="11"/>
      <c r="Q421" s="13"/>
      <c r="R421" s="14"/>
    </row>
    <row r="422" spans="1:18" ht="15" customHeight="1" x14ac:dyDescent="0.3">
      <c r="A422" s="19" t="s">
        <v>35</v>
      </c>
      <c r="B422" s="19" t="s">
        <v>45</v>
      </c>
      <c r="C422" s="20">
        <v>0.78819444444444453</v>
      </c>
      <c r="D422" s="19" t="s">
        <v>40</v>
      </c>
      <c r="E422" s="19" t="s">
        <v>53</v>
      </c>
      <c r="F422" s="19" t="s">
        <v>42</v>
      </c>
      <c r="G422" s="200"/>
      <c r="H422" s="10"/>
      <c r="I422" s="11"/>
      <c r="J422" s="11"/>
      <c r="K422" s="11"/>
      <c r="L422" s="11"/>
      <c r="M422" s="11"/>
      <c r="N422" s="11"/>
      <c r="O422" s="12"/>
      <c r="P422" s="11"/>
      <c r="Q422" s="13"/>
      <c r="R422" s="14"/>
    </row>
    <row r="423" spans="1:18" ht="15" customHeight="1" x14ac:dyDescent="0.3">
      <c r="A423" s="19" t="s">
        <v>35</v>
      </c>
      <c r="B423" s="19" t="s">
        <v>45</v>
      </c>
      <c r="C423" s="20">
        <v>0.78819444444444453</v>
      </c>
      <c r="D423" s="19" t="s">
        <v>43</v>
      </c>
      <c r="E423" s="19" t="s">
        <v>53</v>
      </c>
      <c r="F423" s="19" t="s">
        <v>44</v>
      </c>
      <c r="G423" s="200"/>
      <c r="H423" s="10"/>
      <c r="I423" s="11"/>
      <c r="J423" s="11"/>
      <c r="K423" s="11"/>
      <c r="L423" s="11"/>
      <c r="M423" s="11"/>
      <c r="N423" s="11"/>
      <c r="O423" s="12"/>
      <c r="P423" s="11"/>
      <c r="Q423" s="13"/>
      <c r="R423" s="14"/>
    </row>
    <row r="424" spans="1:18" ht="15" customHeight="1" x14ac:dyDescent="0.3">
      <c r="A424" s="15" t="s">
        <v>35</v>
      </c>
      <c r="B424" s="15" t="s">
        <v>36</v>
      </c>
      <c r="C424" s="16">
        <v>0.30208333333333331</v>
      </c>
      <c r="D424" s="15" t="s">
        <v>37</v>
      </c>
      <c r="E424" s="15" t="s">
        <v>161</v>
      </c>
      <c r="F424" s="15" t="s">
        <v>52</v>
      </c>
      <c r="G424" s="200"/>
      <c r="H424" s="10"/>
      <c r="I424" s="11"/>
      <c r="J424" s="11"/>
      <c r="K424" s="11"/>
      <c r="L424" s="11"/>
      <c r="M424" s="11"/>
      <c r="N424" s="11"/>
      <c r="O424" s="12"/>
      <c r="P424" s="11"/>
      <c r="Q424" s="13"/>
      <c r="R424" s="14"/>
    </row>
    <row r="425" spans="1:18" ht="15" customHeight="1" x14ac:dyDescent="0.3">
      <c r="A425" s="19" t="s">
        <v>35</v>
      </c>
      <c r="B425" s="19" t="s">
        <v>36</v>
      </c>
      <c r="C425" s="20">
        <v>0.30208333333333331</v>
      </c>
      <c r="D425" s="19" t="s">
        <v>40</v>
      </c>
      <c r="E425" s="19" t="s">
        <v>162</v>
      </c>
      <c r="F425" s="19" t="s">
        <v>54</v>
      </c>
      <c r="G425" s="200"/>
      <c r="H425" s="10"/>
      <c r="I425" s="11"/>
      <c r="J425" s="11"/>
      <c r="K425" s="11"/>
      <c r="L425" s="11"/>
      <c r="M425" s="11"/>
      <c r="N425" s="11"/>
      <c r="O425" s="12"/>
      <c r="P425" s="11"/>
      <c r="Q425" s="13"/>
      <c r="R425" s="14"/>
    </row>
    <row r="426" spans="1:18" ht="15" customHeight="1" x14ac:dyDescent="0.3">
      <c r="A426" s="19" t="s">
        <v>35</v>
      </c>
      <c r="B426" s="19" t="s">
        <v>36</v>
      </c>
      <c r="C426" s="20">
        <v>0.30208333333333331</v>
      </c>
      <c r="D426" s="19" t="s">
        <v>43</v>
      </c>
      <c r="E426" s="19" t="s">
        <v>162</v>
      </c>
      <c r="F426" s="19" t="s">
        <v>44</v>
      </c>
      <c r="G426" s="200"/>
      <c r="H426" s="10"/>
      <c r="I426" s="11"/>
      <c r="J426" s="11"/>
      <c r="K426" s="11"/>
      <c r="L426" s="11"/>
      <c r="M426" s="11"/>
      <c r="N426" s="11"/>
      <c r="O426" s="12"/>
      <c r="P426" s="11"/>
      <c r="Q426" s="13"/>
      <c r="R426" s="14"/>
    </row>
    <row r="427" spans="1:18" ht="15" customHeight="1" x14ac:dyDescent="0.3">
      <c r="A427" s="15" t="s">
        <v>35</v>
      </c>
      <c r="B427" s="15" t="s">
        <v>47</v>
      </c>
      <c r="C427" s="16">
        <v>0.88888888888888884</v>
      </c>
      <c r="D427" s="15" t="s">
        <v>37</v>
      </c>
      <c r="E427" s="15" t="s">
        <v>51</v>
      </c>
      <c r="F427" s="15" t="s">
        <v>52</v>
      </c>
      <c r="G427" s="200"/>
      <c r="H427" s="10"/>
      <c r="I427" s="11"/>
      <c r="J427" s="11"/>
      <c r="K427" s="11"/>
      <c r="L427" s="11"/>
      <c r="M427" s="11"/>
      <c r="N427" s="11"/>
      <c r="O427" s="12"/>
      <c r="P427" s="11"/>
      <c r="Q427" s="13"/>
      <c r="R427" s="14"/>
    </row>
    <row r="428" spans="1:18" ht="15" customHeight="1" x14ac:dyDescent="0.3">
      <c r="A428" s="19" t="s">
        <v>35</v>
      </c>
      <c r="B428" s="19" t="s">
        <v>47</v>
      </c>
      <c r="C428" s="20">
        <v>0.88888888888888884</v>
      </c>
      <c r="D428" s="19" t="s">
        <v>40</v>
      </c>
      <c r="E428" s="19" t="s">
        <v>53</v>
      </c>
      <c r="F428" s="19" t="s">
        <v>54</v>
      </c>
      <c r="G428" s="200"/>
      <c r="H428" s="10"/>
      <c r="I428" s="11"/>
      <c r="J428" s="11"/>
      <c r="K428" s="11"/>
      <c r="L428" s="11"/>
      <c r="M428" s="11"/>
      <c r="N428" s="11"/>
      <c r="O428" s="12"/>
      <c r="P428" s="11"/>
      <c r="Q428" s="13"/>
      <c r="R428" s="14"/>
    </row>
    <row r="429" spans="1:18" ht="15" customHeight="1" x14ac:dyDescent="0.3">
      <c r="A429" s="19" t="s">
        <v>35</v>
      </c>
      <c r="B429" s="19" t="s">
        <v>47</v>
      </c>
      <c r="C429" s="20">
        <v>0.88888888888888884</v>
      </c>
      <c r="D429" s="19" t="s">
        <v>43</v>
      </c>
      <c r="E429" s="19" t="s">
        <v>53</v>
      </c>
      <c r="F429" s="19" t="s">
        <v>44</v>
      </c>
      <c r="G429" s="200"/>
      <c r="H429" s="10"/>
      <c r="I429" s="11"/>
      <c r="J429" s="11"/>
      <c r="K429" s="11"/>
      <c r="L429" s="11"/>
      <c r="M429" s="11"/>
      <c r="N429" s="11"/>
      <c r="O429" s="12"/>
      <c r="P429" s="11"/>
      <c r="Q429" s="13"/>
      <c r="R429" s="14"/>
    </row>
    <row r="430" spans="1:18" ht="15" customHeight="1" x14ac:dyDescent="0.3">
      <c r="A430" s="17" t="s">
        <v>121</v>
      </c>
      <c r="B430" s="17" t="s">
        <v>122</v>
      </c>
      <c r="C430" s="18">
        <v>0.23958333333333329</v>
      </c>
      <c r="D430" s="17" t="s">
        <v>123</v>
      </c>
      <c r="E430" s="17" t="s">
        <v>29</v>
      </c>
      <c r="F430" s="17" t="s">
        <v>124</v>
      </c>
      <c r="G430" s="200"/>
      <c r="H430" s="10"/>
      <c r="I430" s="11"/>
      <c r="J430" s="11"/>
      <c r="K430" s="11"/>
      <c r="L430" s="11"/>
      <c r="M430" s="11"/>
      <c r="N430" s="11"/>
      <c r="O430" s="12"/>
      <c r="P430" s="11"/>
      <c r="Q430" s="13"/>
      <c r="R430" s="14"/>
    </row>
    <row r="431" spans="1:18" ht="15" customHeight="1" x14ac:dyDescent="0.3">
      <c r="A431" s="19" t="s">
        <v>121</v>
      </c>
      <c r="B431" s="19" t="s">
        <v>122</v>
      </c>
      <c r="C431" s="20">
        <v>0.23958333333333329</v>
      </c>
      <c r="D431" s="19" t="s">
        <v>125</v>
      </c>
      <c r="E431" s="19" t="s">
        <v>126</v>
      </c>
      <c r="F431" s="19" t="s">
        <v>127</v>
      </c>
      <c r="G431" s="200"/>
      <c r="H431" s="10"/>
      <c r="I431" s="11"/>
      <c r="J431" s="11"/>
      <c r="K431" s="11"/>
      <c r="L431" s="11"/>
      <c r="M431" s="11"/>
      <c r="N431" s="11"/>
      <c r="O431" s="12"/>
      <c r="P431" s="11"/>
      <c r="Q431" s="13"/>
      <c r="R431" s="14"/>
    </row>
    <row r="432" spans="1:18" ht="15" customHeight="1" x14ac:dyDescent="0.3">
      <c r="A432" s="15" t="s">
        <v>121</v>
      </c>
      <c r="B432" s="15" t="s">
        <v>128</v>
      </c>
      <c r="C432" s="16">
        <v>0.37847222222222232</v>
      </c>
      <c r="D432" s="15" t="s">
        <v>123</v>
      </c>
      <c r="E432" s="15" t="s">
        <v>32</v>
      </c>
      <c r="F432" s="15" t="s">
        <v>129</v>
      </c>
      <c r="G432" s="200"/>
      <c r="H432" s="10"/>
      <c r="I432" s="11"/>
      <c r="J432" s="11"/>
      <c r="K432" s="11"/>
      <c r="L432" s="11"/>
      <c r="M432" s="11"/>
      <c r="N432" s="11"/>
      <c r="O432" s="12"/>
      <c r="P432" s="11"/>
      <c r="Q432" s="13"/>
      <c r="R432" s="14"/>
    </row>
    <row r="433" spans="1:18" ht="15" customHeight="1" x14ac:dyDescent="0.3">
      <c r="A433" s="19" t="s">
        <v>121</v>
      </c>
      <c r="B433" s="19" t="s">
        <v>128</v>
      </c>
      <c r="C433" s="20">
        <v>0.37847222222222232</v>
      </c>
      <c r="D433" s="19" t="s">
        <v>125</v>
      </c>
      <c r="E433" s="19" t="s">
        <v>126</v>
      </c>
      <c r="F433" s="19" t="s">
        <v>130</v>
      </c>
      <c r="G433" s="200"/>
      <c r="H433" s="10"/>
      <c r="I433" s="11"/>
      <c r="J433" s="11"/>
      <c r="K433" s="11"/>
      <c r="L433" s="11"/>
      <c r="M433" s="11"/>
      <c r="N433" s="11"/>
      <c r="O433" s="12"/>
      <c r="P433" s="11"/>
      <c r="Q433" s="13"/>
      <c r="R433" s="14"/>
    </row>
    <row r="434" spans="1:18" ht="15" customHeight="1" x14ac:dyDescent="0.3">
      <c r="A434" s="15" t="s">
        <v>121</v>
      </c>
      <c r="B434" s="15" t="s">
        <v>134</v>
      </c>
      <c r="C434" s="16">
        <v>0.71875</v>
      </c>
      <c r="D434" s="15" t="s">
        <v>123</v>
      </c>
      <c r="E434" s="15" t="s">
        <v>32</v>
      </c>
      <c r="F434" s="15" t="s">
        <v>129</v>
      </c>
      <c r="G434" s="200"/>
      <c r="H434" s="10"/>
      <c r="I434" s="11"/>
      <c r="J434" s="11"/>
      <c r="K434" s="11"/>
      <c r="L434" s="11"/>
      <c r="M434" s="11"/>
      <c r="N434" s="11"/>
      <c r="O434" s="12"/>
      <c r="P434" s="11"/>
      <c r="Q434" s="13"/>
      <c r="R434" s="14"/>
    </row>
    <row r="435" spans="1:18" ht="15" customHeight="1" x14ac:dyDescent="0.3">
      <c r="A435" s="19" t="s">
        <v>121</v>
      </c>
      <c r="B435" s="19" t="s">
        <v>134</v>
      </c>
      <c r="C435" s="20">
        <v>0.71875</v>
      </c>
      <c r="D435" s="19" t="s">
        <v>125</v>
      </c>
      <c r="E435" s="19" t="s">
        <v>126</v>
      </c>
      <c r="F435" s="19" t="s">
        <v>130</v>
      </c>
      <c r="G435" s="200"/>
      <c r="H435" s="10"/>
      <c r="I435" s="11"/>
      <c r="J435" s="11"/>
      <c r="K435" s="11"/>
      <c r="L435" s="11"/>
      <c r="M435" s="11"/>
      <c r="N435" s="11"/>
      <c r="O435" s="12"/>
      <c r="P435" s="11"/>
      <c r="Q435" s="13"/>
      <c r="R435" s="14"/>
    </row>
    <row r="436" spans="1:18" ht="15" customHeight="1" x14ac:dyDescent="0.3">
      <c r="A436" s="15" t="s">
        <v>121</v>
      </c>
      <c r="B436" s="15" t="s">
        <v>145</v>
      </c>
      <c r="C436" s="16">
        <v>0.61111111111111105</v>
      </c>
      <c r="D436" s="15" t="s">
        <v>123</v>
      </c>
      <c r="E436" s="15" t="s">
        <v>32</v>
      </c>
      <c r="F436" s="15" t="s">
        <v>129</v>
      </c>
      <c r="G436" s="200"/>
      <c r="H436" s="10"/>
      <c r="I436" s="11"/>
      <c r="J436" s="11"/>
      <c r="K436" s="11"/>
      <c r="L436" s="11"/>
      <c r="M436" s="11"/>
      <c r="N436" s="11"/>
      <c r="O436" s="12"/>
      <c r="P436" s="11"/>
      <c r="Q436" s="13"/>
      <c r="R436" s="14"/>
    </row>
    <row r="437" spans="1:18" ht="15" customHeight="1" x14ac:dyDescent="0.3">
      <c r="A437" s="19" t="s">
        <v>121</v>
      </c>
      <c r="B437" s="19" t="s">
        <v>145</v>
      </c>
      <c r="C437" s="20">
        <v>0.61111111111111105</v>
      </c>
      <c r="D437" s="19" t="s">
        <v>125</v>
      </c>
      <c r="E437" s="19" t="s">
        <v>126</v>
      </c>
      <c r="F437" s="19" t="s">
        <v>130</v>
      </c>
      <c r="G437" s="200"/>
      <c r="H437" s="10"/>
      <c r="I437" s="11"/>
      <c r="J437" s="11"/>
      <c r="K437" s="11"/>
      <c r="L437" s="11"/>
      <c r="M437" s="11"/>
      <c r="N437" s="11"/>
      <c r="O437" s="12"/>
      <c r="P437" s="11"/>
      <c r="Q437" s="13"/>
      <c r="R437" s="14"/>
    </row>
    <row r="438" spans="1:18" ht="15" customHeight="1" x14ac:dyDescent="0.3">
      <c r="A438" s="15" t="s">
        <v>121</v>
      </c>
      <c r="B438" s="15" t="s">
        <v>131</v>
      </c>
      <c r="C438" s="16">
        <v>6.9444444444444441E-3</v>
      </c>
      <c r="D438" s="15" t="s">
        <v>123</v>
      </c>
      <c r="E438" s="15" t="s">
        <v>32</v>
      </c>
      <c r="F438" s="15" t="s">
        <v>182</v>
      </c>
      <c r="G438" s="200"/>
      <c r="H438" s="10"/>
      <c r="I438" s="11"/>
      <c r="J438" s="11"/>
      <c r="K438" s="11"/>
      <c r="L438" s="11"/>
      <c r="M438" s="11"/>
      <c r="N438" s="11"/>
      <c r="O438" s="12"/>
      <c r="P438" s="11"/>
      <c r="Q438" s="13"/>
      <c r="R438" s="14"/>
    </row>
    <row r="439" spans="1:18" ht="15" customHeight="1" x14ac:dyDescent="0.3">
      <c r="A439" s="19" t="s">
        <v>121</v>
      </c>
      <c r="B439" s="19" t="s">
        <v>131</v>
      </c>
      <c r="C439" s="20">
        <v>6.9444444444444441E-3</v>
      </c>
      <c r="D439" s="19" t="s">
        <v>125</v>
      </c>
      <c r="E439" s="19" t="s">
        <v>126</v>
      </c>
      <c r="F439" s="19" t="s">
        <v>183</v>
      </c>
      <c r="G439" s="200"/>
      <c r="H439" s="10"/>
      <c r="I439" s="11"/>
      <c r="J439" s="11"/>
      <c r="K439" s="11"/>
      <c r="L439" s="11"/>
      <c r="M439" s="11"/>
      <c r="N439" s="11"/>
      <c r="O439" s="12"/>
      <c r="P439" s="11"/>
      <c r="Q439" s="13"/>
      <c r="R439" s="14"/>
    </row>
    <row r="440" spans="1:18" ht="15" customHeight="1" x14ac:dyDescent="0.3">
      <c r="A440" s="15" t="s">
        <v>121</v>
      </c>
      <c r="B440" s="15" t="s">
        <v>132</v>
      </c>
      <c r="C440" s="16">
        <v>0.1423611111111111</v>
      </c>
      <c r="D440" s="15" t="s">
        <v>123</v>
      </c>
      <c r="E440" s="15" t="s">
        <v>32</v>
      </c>
      <c r="F440" s="15" t="s">
        <v>182</v>
      </c>
      <c r="G440" s="200"/>
      <c r="H440" s="10"/>
      <c r="I440" s="11"/>
      <c r="J440" s="11"/>
      <c r="K440" s="11"/>
      <c r="L440" s="11"/>
      <c r="M440" s="11"/>
      <c r="N440" s="11"/>
      <c r="O440" s="12"/>
      <c r="P440" s="11"/>
      <c r="Q440" s="13"/>
      <c r="R440" s="14"/>
    </row>
    <row r="441" spans="1:18" ht="15" customHeight="1" x14ac:dyDescent="0.3">
      <c r="A441" s="19" t="s">
        <v>121</v>
      </c>
      <c r="B441" s="19" t="s">
        <v>132</v>
      </c>
      <c r="C441" s="20">
        <v>0.1423611111111111</v>
      </c>
      <c r="D441" s="19" t="s">
        <v>125</v>
      </c>
      <c r="E441" s="19" t="s">
        <v>126</v>
      </c>
      <c r="F441" s="19" t="s">
        <v>183</v>
      </c>
      <c r="G441" s="200"/>
      <c r="H441" s="10"/>
      <c r="I441" s="11"/>
      <c r="J441" s="11"/>
      <c r="K441" s="11"/>
      <c r="L441" s="11"/>
      <c r="M441" s="11"/>
      <c r="N441" s="11"/>
      <c r="O441" s="12"/>
      <c r="P441" s="11"/>
      <c r="Q441" s="13"/>
      <c r="R441" s="14"/>
    </row>
    <row r="442" spans="1:18" ht="15" customHeight="1" x14ac:dyDescent="0.3">
      <c r="A442" s="15" t="s">
        <v>121</v>
      </c>
      <c r="B442" s="15" t="s">
        <v>133</v>
      </c>
      <c r="C442" s="16">
        <v>0.93055555555555547</v>
      </c>
      <c r="D442" s="15" t="s">
        <v>123</v>
      </c>
      <c r="E442" s="15" t="s">
        <v>32</v>
      </c>
      <c r="F442" s="15" t="s">
        <v>182</v>
      </c>
      <c r="G442" s="200"/>
      <c r="H442" s="10"/>
      <c r="I442" s="11"/>
      <c r="J442" s="11"/>
      <c r="K442" s="11"/>
      <c r="L442" s="11"/>
      <c r="M442" s="11"/>
      <c r="N442" s="11"/>
      <c r="O442" s="12"/>
      <c r="P442" s="11"/>
      <c r="Q442" s="13"/>
      <c r="R442" s="14"/>
    </row>
    <row r="443" spans="1:18" ht="15" customHeight="1" x14ac:dyDescent="0.3">
      <c r="A443" s="19" t="s">
        <v>121</v>
      </c>
      <c r="B443" s="19" t="s">
        <v>133</v>
      </c>
      <c r="C443" s="20">
        <v>0.93055555555555547</v>
      </c>
      <c r="D443" s="19" t="s">
        <v>125</v>
      </c>
      <c r="E443" s="19" t="s">
        <v>126</v>
      </c>
      <c r="F443" s="19" t="s">
        <v>183</v>
      </c>
      <c r="G443" s="200"/>
      <c r="H443" s="10"/>
      <c r="I443" s="11"/>
      <c r="J443" s="11"/>
      <c r="K443" s="11"/>
      <c r="L443" s="11"/>
      <c r="M443" s="11"/>
      <c r="N443" s="11"/>
      <c r="O443" s="12"/>
      <c r="P443" s="11"/>
      <c r="Q443" s="13"/>
      <c r="R443" s="14"/>
    </row>
    <row r="444" spans="1:18" ht="15" customHeight="1" x14ac:dyDescent="0.3">
      <c r="A444" s="15" t="s">
        <v>121</v>
      </c>
      <c r="B444" s="15" t="s">
        <v>137</v>
      </c>
      <c r="C444" s="16">
        <v>0.88888888888888884</v>
      </c>
      <c r="D444" s="15" t="s">
        <v>125</v>
      </c>
      <c r="E444" s="15" t="s">
        <v>105</v>
      </c>
      <c r="F444" s="15" t="s">
        <v>138</v>
      </c>
      <c r="G444" s="200"/>
      <c r="H444" s="10"/>
      <c r="I444" s="11"/>
      <c r="J444" s="11"/>
      <c r="K444" s="11"/>
      <c r="L444" s="11"/>
      <c r="M444" s="11"/>
      <c r="N444" s="11"/>
      <c r="O444" s="12"/>
      <c r="P444" s="11"/>
      <c r="Q444" s="13"/>
      <c r="R444" s="14"/>
    </row>
    <row r="445" spans="1:18" ht="15" customHeight="1" x14ac:dyDescent="0.3">
      <c r="A445" s="15" t="s">
        <v>121</v>
      </c>
      <c r="B445" s="15" t="s">
        <v>139</v>
      </c>
      <c r="C445" s="16">
        <v>0.30208333333333331</v>
      </c>
      <c r="D445" s="15" t="s">
        <v>125</v>
      </c>
      <c r="E445" s="15" t="s">
        <v>105</v>
      </c>
      <c r="F445" s="15" t="s">
        <v>138</v>
      </c>
      <c r="G445" s="200"/>
      <c r="H445" s="10"/>
      <c r="I445" s="11"/>
      <c r="J445" s="11"/>
      <c r="K445" s="11"/>
      <c r="L445" s="11"/>
      <c r="M445" s="11"/>
      <c r="N445" s="11"/>
      <c r="O445" s="12"/>
      <c r="P445" s="11"/>
      <c r="Q445" s="13"/>
      <c r="R445" s="14"/>
    </row>
    <row r="446" spans="1:18" ht="15" customHeight="1" x14ac:dyDescent="0.3">
      <c r="A446" s="15" t="s">
        <v>121</v>
      </c>
      <c r="B446" s="15" t="s">
        <v>140</v>
      </c>
      <c r="C446" s="16">
        <v>0.12847222222222221</v>
      </c>
      <c r="D446" s="15" t="s">
        <v>125</v>
      </c>
      <c r="E446" s="15" t="s">
        <v>105</v>
      </c>
      <c r="F446" s="15" t="s">
        <v>138</v>
      </c>
      <c r="G446" s="200"/>
      <c r="H446" s="10"/>
      <c r="I446" s="11"/>
      <c r="J446" s="11"/>
      <c r="K446" s="11"/>
      <c r="L446" s="11"/>
      <c r="M446" s="11"/>
      <c r="N446" s="11"/>
      <c r="O446" s="12"/>
      <c r="P446" s="11"/>
      <c r="Q446" s="13"/>
      <c r="R446" s="14"/>
    </row>
    <row r="447" spans="1:18" ht="15" customHeight="1" x14ac:dyDescent="0.3">
      <c r="A447" s="15" t="s">
        <v>121</v>
      </c>
      <c r="B447" s="15" t="s">
        <v>141</v>
      </c>
      <c r="C447" s="16">
        <v>0.78819444444444453</v>
      </c>
      <c r="D447" s="15" t="s">
        <v>125</v>
      </c>
      <c r="E447" s="15" t="s">
        <v>105</v>
      </c>
      <c r="F447" s="15" t="s">
        <v>138</v>
      </c>
      <c r="G447" s="200"/>
      <c r="H447" s="10"/>
      <c r="I447" s="11"/>
      <c r="J447" s="11"/>
      <c r="K447" s="11"/>
      <c r="L447" s="11"/>
      <c r="M447" s="11"/>
      <c r="N447" s="11"/>
      <c r="O447" s="12"/>
      <c r="P447" s="11"/>
      <c r="Q447" s="13"/>
      <c r="R447" s="14"/>
    </row>
    <row r="448" spans="1:18" ht="15" customHeight="1" x14ac:dyDescent="0.3">
      <c r="A448" s="15" t="s">
        <v>121</v>
      </c>
      <c r="B448" s="15" t="s">
        <v>142</v>
      </c>
      <c r="C448" s="16">
        <v>0.82986111111111116</v>
      </c>
      <c r="D448" s="15" t="s">
        <v>123</v>
      </c>
      <c r="E448" s="15" t="s">
        <v>32</v>
      </c>
      <c r="F448" s="15" t="s">
        <v>253</v>
      </c>
      <c r="G448" s="200"/>
      <c r="H448" s="10"/>
      <c r="I448" s="11"/>
      <c r="J448" s="11"/>
      <c r="K448" s="11"/>
      <c r="L448" s="11"/>
      <c r="M448" s="11"/>
      <c r="N448" s="11"/>
      <c r="O448" s="12"/>
      <c r="P448" s="11"/>
      <c r="Q448" s="13"/>
      <c r="R448" s="14"/>
    </row>
    <row r="449" spans="1:18" ht="15" customHeight="1" x14ac:dyDescent="0.3">
      <c r="A449" s="19" t="s">
        <v>121</v>
      </c>
      <c r="B449" s="19" t="s">
        <v>142</v>
      </c>
      <c r="C449" s="20">
        <v>0.82986111111111116</v>
      </c>
      <c r="D449" s="19" t="s">
        <v>125</v>
      </c>
      <c r="E449" s="19" t="s">
        <v>126</v>
      </c>
      <c r="F449" s="19" t="s">
        <v>254</v>
      </c>
      <c r="G449" s="200"/>
      <c r="H449" s="10"/>
      <c r="I449" s="11"/>
      <c r="J449" s="11"/>
      <c r="K449" s="11"/>
      <c r="L449" s="11"/>
      <c r="M449" s="11"/>
      <c r="N449" s="11"/>
      <c r="O449" s="12"/>
      <c r="P449" s="11"/>
      <c r="Q449" s="13"/>
      <c r="R449" s="14"/>
    </row>
    <row r="450" spans="1:18" ht="15" customHeight="1" x14ac:dyDescent="0.3">
      <c r="A450" s="17" t="s">
        <v>148</v>
      </c>
      <c r="B450" s="17" t="s">
        <v>176</v>
      </c>
      <c r="C450" s="18">
        <v>0.14583333333333329</v>
      </c>
      <c r="D450" s="17" t="s">
        <v>150</v>
      </c>
      <c r="E450" s="17" t="s">
        <v>29</v>
      </c>
      <c r="F450" s="17" t="s">
        <v>151</v>
      </c>
      <c r="G450" s="200"/>
      <c r="H450" s="10"/>
      <c r="I450" s="11"/>
      <c r="J450" s="11"/>
      <c r="K450" s="11"/>
      <c r="L450" s="11"/>
      <c r="M450" s="11"/>
      <c r="N450" s="11"/>
      <c r="O450" s="12"/>
      <c r="P450" s="11"/>
      <c r="Q450" s="13"/>
      <c r="R450" s="14"/>
    </row>
    <row r="451" spans="1:18" ht="15" customHeight="1" x14ac:dyDescent="0.3">
      <c r="A451" s="15" t="s">
        <v>148</v>
      </c>
      <c r="B451" s="15" t="s">
        <v>149</v>
      </c>
      <c r="C451" s="16">
        <v>0.4861111111111111</v>
      </c>
      <c r="D451" s="15" t="s">
        <v>150</v>
      </c>
      <c r="E451" s="15" t="s">
        <v>32</v>
      </c>
      <c r="F451" s="15" t="s">
        <v>156</v>
      </c>
      <c r="G451" s="200"/>
      <c r="H451" s="10"/>
      <c r="I451" s="11"/>
      <c r="J451" s="11"/>
      <c r="K451" s="11"/>
      <c r="L451" s="11"/>
      <c r="M451" s="11"/>
      <c r="N451" s="11"/>
      <c r="O451" s="12"/>
      <c r="P451" s="11"/>
      <c r="Q451" s="13"/>
      <c r="R451" s="14"/>
    </row>
    <row r="452" spans="1:18" ht="15" customHeight="1" x14ac:dyDescent="0.3">
      <c r="A452" s="15" t="s">
        <v>148</v>
      </c>
      <c r="B452" s="15" t="s">
        <v>153</v>
      </c>
      <c r="C452" s="16">
        <v>0.22222222222222221</v>
      </c>
      <c r="D452" s="15" t="s">
        <v>150</v>
      </c>
      <c r="E452" s="15" t="s">
        <v>32</v>
      </c>
      <c r="F452" s="15" t="s">
        <v>255</v>
      </c>
      <c r="G452" s="200"/>
      <c r="H452" s="10"/>
      <c r="I452" s="11"/>
      <c r="J452" s="11"/>
      <c r="K452" s="11"/>
      <c r="L452" s="11"/>
      <c r="M452" s="11"/>
      <c r="N452" s="11"/>
      <c r="O452" s="12"/>
      <c r="P452" s="11"/>
      <c r="Q452" s="13"/>
      <c r="R452" s="14"/>
    </row>
    <row r="453" spans="1:18" ht="15" customHeight="1" x14ac:dyDescent="0.3">
      <c r="A453" s="15" t="s">
        <v>148</v>
      </c>
      <c r="B453" s="15" t="s">
        <v>179</v>
      </c>
      <c r="C453" s="16">
        <v>0.95833333333333337</v>
      </c>
      <c r="D453" s="15" t="s">
        <v>150</v>
      </c>
      <c r="E453" s="15" t="s">
        <v>48</v>
      </c>
      <c r="F453" s="15" t="s">
        <v>158</v>
      </c>
      <c r="G453" s="200"/>
      <c r="H453" s="10"/>
      <c r="I453" s="11"/>
      <c r="J453" s="11"/>
      <c r="K453" s="11"/>
      <c r="L453" s="11"/>
      <c r="M453" s="11"/>
      <c r="N453" s="11"/>
      <c r="O453" s="12"/>
      <c r="P453" s="11"/>
      <c r="Q453" s="13"/>
      <c r="R453" s="14"/>
    </row>
    <row r="454" spans="1:18" ht="15" customHeight="1" x14ac:dyDescent="0.3">
      <c r="A454" s="15" t="s">
        <v>148</v>
      </c>
      <c r="B454" s="15" t="s">
        <v>157</v>
      </c>
      <c r="C454" s="16">
        <v>0.77430555555555547</v>
      </c>
      <c r="D454" s="15" t="s">
        <v>150</v>
      </c>
      <c r="E454" s="15" t="s">
        <v>32</v>
      </c>
      <c r="F454" s="15" t="s">
        <v>158</v>
      </c>
      <c r="G454" s="200"/>
      <c r="H454" s="10"/>
      <c r="I454" s="11"/>
      <c r="J454" s="11"/>
      <c r="K454" s="11"/>
      <c r="L454" s="11"/>
      <c r="M454" s="11"/>
      <c r="N454" s="11"/>
      <c r="O454" s="12"/>
      <c r="P454" s="11"/>
      <c r="Q454" s="13"/>
      <c r="R454" s="14"/>
    </row>
    <row r="455" spans="1:18" ht="15" customHeight="1" x14ac:dyDescent="0.3">
      <c r="A455" s="61" t="s">
        <v>148</v>
      </c>
      <c r="B455" s="61" t="s">
        <v>180</v>
      </c>
      <c r="C455" s="62">
        <v>1.388888888888889E-2</v>
      </c>
      <c r="D455" s="61" t="s">
        <v>150</v>
      </c>
      <c r="E455" s="61" t="s">
        <v>48</v>
      </c>
      <c r="F455" s="61" t="s">
        <v>238</v>
      </c>
      <c r="G455" s="201"/>
      <c r="H455" s="63"/>
      <c r="I455" s="64"/>
      <c r="J455" s="64"/>
      <c r="K455" s="64"/>
      <c r="L455" s="64"/>
      <c r="M455" s="64"/>
      <c r="N455" s="64"/>
      <c r="O455" s="65"/>
      <c r="P455" s="64"/>
      <c r="Q455" s="66"/>
      <c r="R455" s="67"/>
    </row>
  </sheetData>
  <mergeCells count="30">
    <mergeCell ref="G383:G455"/>
    <mergeCell ref="H311:R311"/>
    <mergeCell ref="A311:F311"/>
    <mergeCell ref="G2:J2"/>
    <mergeCell ref="A4:F4"/>
    <mergeCell ref="G160:G235"/>
    <mergeCell ref="A81:F81"/>
    <mergeCell ref="A380:R380"/>
    <mergeCell ref="K2:R2"/>
    <mergeCell ref="G6:G79"/>
    <mergeCell ref="H81:R81"/>
    <mergeCell ref="H237:R237"/>
    <mergeCell ref="G83:G156"/>
    <mergeCell ref="A157:R157"/>
    <mergeCell ref="H158:R158"/>
    <mergeCell ref="A310:R310"/>
    <mergeCell ref="A158:F158"/>
    <mergeCell ref="H1:L1"/>
    <mergeCell ref="A1:E1"/>
    <mergeCell ref="A80:R80"/>
    <mergeCell ref="A381:F381"/>
    <mergeCell ref="A236:R236"/>
    <mergeCell ref="H4:R4"/>
    <mergeCell ref="A2:F2"/>
    <mergeCell ref="A3:R3"/>
    <mergeCell ref="N1:R1"/>
    <mergeCell ref="H381:R381"/>
    <mergeCell ref="G239:G309"/>
    <mergeCell ref="G313:G379"/>
    <mergeCell ref="A237:F2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"/>
  <sheetViews>
    <sheetView workbookViewId="0"/>
  </sheetViews>
  <sheetFormatPr defaultRowHeight="15.6" outlineLevelCol="1" x14ac:dyDescent="0.3"/>
  <cols>
    <col min="1" max="1" width="11.5546875" style="212" bestFit="1" customWidth="1"/>
    <col min="2" max="2" width="10.44140625" style="212" bestFit="1" customWidth="1"/>
    <col min="3" max="3" width="6.77734375" style="212" bestFit="1" customWidth="1"/>
    <col min="4" max="4" width="5.5546875" style="212" bestFit="1" customWidth="1"/>
    <col min="5" max="5" width="7.5546875" style="212" bestFit="1" customWidth="1"/>
    <col min="6" max="6" width="4.21875" style="212" bestFit="1" customWidth="1"/>
    <col min="7" max="7" width="10" style="212" bestFit="1" customWidth="1"/>
    <col min="8" max="10" width="8.5546875" style="212" bestFit="1" customWidth="1"/>
    <col min="11" max="11" width="10.5546875" style="212" bestFit="1" customWidth="1"/>
    <col min="12" max="12" width="9.109375" style="212" bestFit="1" customWidth="1"/>
    <col min="13" max="13" width="7.6640625" style="212" bestFit="1" customWidth="1" outlineLevel="1"/>
    <col min="14" max="14" width="7" style="212" bestFit="1" customWidth="1" outlineLevel="1"/>
    <col min="15" max="15" width="8" style="212" bestFit="1" customWidth="1" outlineLevel="1"/>
    <col min="16" max="16" width="13.6640625" style="212" bestFit="1" customWidth="1"/>
    <col min="17" max="26" width="3.88671875" style="212" bestFit="1" customWidth="1"/>
    <col min="27" max="27" width="4" style="212" bestFit="1" customWidth="1"/>
    <col min="28" max="29" width="3.88671875" style="212" bestFit="1" customWidth="1"/>
    <col min="30" max="31" width="4.5546875" style="212" bestFit="1" customWidth="1"/>
    <col min="32" max="32" width="3.88671875" style="212" bestFit="1" customWidth="1"/>
    <col min="33" max="33" width="4.21875" style="212" bestFit="1" customWidth="1"/>
    <col min="34" max="34" width="3.88671875" style="212" bestFit="1" customWidth="1"/>
    <col min="35" max="35" width="5.21875" style="212" bestFit="1" customWidth="1"/>
    <col min="36" max="36" width="4.5546875" style="212" bestFit="1" customWidth="1"/>
    <col min="37" max="16384" width="8.88671875" style="212"/>
  </cols>
  <sheetData>
    <row r="1" spans="1:36" x14ac:dyDescent="0.3">
      <c r="A1" s="211" t="s">
        <v>256</v>
      </c>
      <c r="B1" s="211" t="s">
        <v>257</v>
      </c>
      <c r="C1" s="211" t="s">
        <v>258</v>
      </c>
      <c r="D1" s="211" t="s">
        <v>23</v>
      </c>
      <c r="E1" s="211" t="s">
        <v>259</v>
      </c>
      <c r="F1" s="211" t="s">
        <v>260</v>
      </c>
      <c r="G1" s="211" t="s">
        <v>16</v>
      </c>
      <c r="H1" s="211" t="s">
        <v>261</v>
      </c>
      <c r="I1" s="211" t="s">
        <v>262</v>
      </c>
      <c r="J1" s="211" t="s">
        <v>263</v>
      </c>
      <c r="K1" s="211" t="s">
        <v>264</v>
      </c>
      <c r="L1" s="211" t="s">
        <v>18</v>
      </c>
      <c r="M1" s="211" t="s">
        <v>20</v>
      </c>
      <c r="N1" s="211" t="s">
        <v>21</v>
      </c>
      <c r="O1" s="211" t="s">
        <v>19</v>
      </c>
      <c r="P1" s="211" t="s">
        <v>22</v>
      </c>
      <c r="Q1" s="211" t="s">
        <v>265</v>
      </c>
      <c r="R1" s="211" t="s">
        <v>266</v>
      </c>
      <c r="S1" s="211" t="s">
        <v>267</v>
      </c>
      <c r="T1" s="211" t="s">
        <v>268</v>
      </c>
      <c r="U1" s="211" t="s">
        <v>269</v>
      </c>
      <c r="V1" s="211" t="s">
        <v>270</v>
      </c>
      <c r="W1" s="211" t="s">
        <v>271</v>
      </c>
      <c r="X1" s="211" t="s">
        <v>272</v>
      </c>
      <c r="Y1" s="211" t="s">
        <v>273</v>
      </c>
      <c r="Z1" s="211" t="s">
        <v>274</v>
      </c>
      <c r="AA1" s="211" t="s">
        <v>275</v>
      </c>
      <c r="AB1" s="211" t="s">
        <v>276</v>
      </c>
      <c r="AC1" s="211" t="s">
        <v>277</v>
      </c>
      <c r="AD1" s="211" t="s">
        <v>278</v>
      </c>
      <c r="AE1" s="211" t="s">
        <v>279</v>
      </c>
      <c r="AF1" s="211" t="s">
        <v>280</v>
      </c>
      <c r="AG1" s="211" t="s">
        <v>281</v>
      </c>
      <c r="AH1" s="211" t="s">
        <v>282</v>
      </c>
      <c r="AI1" s="211" t="s">
        <v>283</v>
      </c>
      <c r="AJ1" s="211" t="s">
        <v>284</v>
      </c>
    </row>
    <row r="2" spans="1:36" x14ac:dyDescent="0.3">
      <c r="A2" s="213" t="s">
        <v>285</v>
      </c>
      <c r="B2" s="214">
        <v>45986</v>
      </c>
      <c r="C2" s="215" t="s">
        <v>63</v>
      </c>
      <c r="D2" s="216" t="s">
        <v>286</v>
      </c>
      <c r="E2" s="215" t="s">
        <v>1</v>
      </c>
      <c r="F2" s="215" t="s">
        <v>287</v>
      </c>
      <c r="G2" s="217">
        <v>0.36309999999999998</v>
      </c>
      <c r="H2" s="218">
        <v>179</v>
      </c>
      <c r="I2" s="218">
        <v>65</v>
      </c>
      <c r="J2" s="218">
        <v>0</v>
      </c>
      <c r="K2" s="215" t="s">
        <v>288</v>
      </c>
      <c r="L2" s="219">
        <v>45981</v>
      </c>
      <c r="M2" s="218">
        <v>0</v>
      </c>
      <c r="N2" s="218">
        <v>10</v>
      </c>
      <c r="O2" s="218">
        <v>47</v>
      </c>
      <c r="P2" s="215" t="s">
        <v>60</v>
      </c>
      <c r="Q2" s="211"/>
      <c r="R2" s="211"/>
      <c r="S2" s="211"/>
      <c r="T2" s="211"/>
      <c r="U2" s="211"/>
      <c r="V2" s="211"/>
      <c r="W2" s="211"/>
      <c r="X2" s="211"/>
      <c r="Y2" s="211"/>
      <c r="Z2" s="218" t="s">
        <v>289</v>
      </c>
      <c r="AA2" s="211"/>
      <c r="AB2" s="211"/>
      <c r="AC2" s="218" t="s">
        <v>290</v>
      </c>
      <c r="AD2" s="218" t="s">
        <v>291</v>
      </c>
      <c r="AE2" s="218" t="s">
        <v>292</v>
      </c>
      <c r="AF2" s="218" t="s">
        <v>293</v>
      </c>
      <c r="AG2" s="211"/>
      <c r="AH2" s="211"/>
      <c r="AI2" s="211"/>
      <c r="AJ2" s="211"/>
    </row>
    <row r="3" spans="1:36" x14ac:dyDescent="0.3">
      <c r="A3" s="213" t="s">
        <v>285</v>
      </c>
      <c r="B3" s="214">
        <v>45986</v>
      </c>
      <c r="C3" s="215" t="s">
        <v>78</v>
      </c>
      <c r="D3" s="216" t="s">
        <v>294</v>
      </c>
      <c r="E3" s="215" t="s">
        <v>1</v>
      </c>
      <c r="F3" s="215" t="s">
        <v>287</v>
      </c>
      <c r="G3" s="217">
        <v>0.9385</v>
      </c>
      <c r="H3" s="218">
        <v>179</v>
      </c>
      <c r="I3" s="218">
        <v>168</v>
      </c>
      <c r="J3" s="218">
        <v>117</v>
      </c>
      <c r="K3" s="215" t="s">
        <v>288</v>
      </c>
      <c r="L3" s="219">
        <v>45979</v>
      </c>
      <c r="M3" s="218">
        <v>0</v>
      </c>
      <c r="N3" s="218">
        <v>0</v>
      </c>
      <c r="O3" s="218">
        <v>25</v>
      </c>
      <c r="P3" s="215" t="s">
        <v>81</v>
      </c>
      <c r="Q3" s="211"/>
      <c r="R3" s="211"/>
      <c r="S3" s="211"/>
      <c r="T3" s="211"/>
      <c r="U3" s="211"/>
      <c r="V3" s="211"/>
      <c r="W3" s="211"/>
      <c r="X3" s="211"/>
      <c r="Y3" s="211"/>
      <c r="Z3" s="218" t="s">
        <v>295</v>
      </c>
      <c r="AA3" s="211"/>
      <c r="AB3" s="211"/>
      <c r="AC3" s="218" t="s">
        <v>245</v>
      </c>
      <c r="AD3" s="218" t="s">
        <v>296</v>
      </c>
      <c r="AE3" s="218" t="s">
        <v>297</v>
      </c>
      <c r="AF3" s="218" t="s">
        <v>298</v>
      </c>
      <c r="AG3" s="211"/>
      <c r="AH3" s="211"/>
      <c r="AI3" s="218" t="s">
        <v>299</v>
      </c>
      <c r="AJ3" s="218" t="s">
        <v>300</v>
      </c>
    </row>
    <row r="4" spans="1:36" x14ac:dyDescent="0.3">
      <c r="A4" s="213" t="s">
        <v>285</v>
      </c>
      <c r="B4" s="214">
        <v>45986</v>
      </c>
      <c r="C4" s="215" t="s">
        <v>70</v>
      </c>
      <c r="D4" s="216" t="s">
        <v>301</v>
      </c>
      <c r="E4" s="215" t="s">
        <v>1</v>
      </c>
      <c r="F4" s="215" t="s">
        <v>287</v>
      </c>
      <c r="G4" s="217">
        <v>0.84360000000000002</v>
      </c>
      <c r="H4" s="218">
        <v>179</v>
      </c>
      <c r="I4" s="218">
        <v>151</v>
      </c>
      <c r="J4" s="218">
        <v>82</v>
      </c>
      <c r="K4" s="215" t="s">
        <v>288</v>
      </c>
      <c r="L4" s="219">
        <v>45981</v>
      </c>
      <c r="M4" s="218">
        <v>0</v>
      </c>
      <c r="N4" s="218">
        <v>15</v>
      </c>
      <c r="O4" s="218">
        <v>34</v>
      </c>
      <c r="P4" s="215" t="s">
        <v>71</v>
      </c>
      <c r="Q4" s="211"/>
      <c r="R4" s="211"/>
      <c r="S4" s="211"/>
      <c r="T4" s="211"/>
      <c r="U4" s="211"/>
      <c r="V4" s="211"/>
      <c r="W4" s="211"/>
      <c r="X4" s="211"/>
      <c r="Y4" s="211"/>
      <c r="Z4" s="218" t="s">
        <v>302</v>
      </c>
      <c r="AA4" s="211"/>
      <c r="AB4" s="211"/>
      <c r="AC4" s="218" t="s">
        <v>303</v>
      </c>
      <c r="AD4" s="218" t="s">
        <v>304</v>
      </c>
      <c r="AE4" s="218" t="s">
        <v>305</v>
      </c>
      <c r="AF4" s="218" t="s">
        <v>298</v>
      </c>
      <c r="AG4" s="211"/>
      <c r="AH4" s="211"/>
      <c r="AI4" s="218" t="s">
        <v>306</v>
      </c>
      <c r="AJ4" s="211"/>
    </row>
    <row r="5" spans="1:36" x14ac:dyDescent="0.3">
      <c r="A5" s="213" t="s">
        <v>285</v>
      </c>
      <c r="B5" s="214">
        <v>45986</v>
      </c>
      <c r="C5" s="215" t="s">
        <v>75</v>
      </c>
      <c r="D5" s="216" t="s">
        <v>307</v>
      </c>
      <c r="E5" s="215" t="s">
        <v>1</v>
      </c>
      <c r="F5" s="215" t="s">
        <v>287</v>
      </c>
      <c r="G5" s="217">
        <v>0.91059999999999997</v>
      </c>
      <c r="H5" s="218">
        <v>179</v>
      </c>
      <c r="I5" s="218">
        <v>163</v>
      </c>
      <c r="J5" s="218">
        <v>116</v>
      </c>
      <c r="K5" s="215" t="s">
        <v>288</v>
      </c>
      <c r="L5" s="219">
        <v>45980</v>
      </c>
      <c r="M5" s="218">
        <v>0</v>
      </c>
      <c r="N5" s="218">
        <v>0</v>
      </c>
      <c r="O5" s="218">
        <v>23</v>
      </c>
      <c r="P5" s="215" t="s">
        <v>76</v>
      </c>
      <c r="Q5" s="211"/>
      <c r="R5" s="211"/>
      <c r="S5" s="211"/>
      <c r="T5" s="211"/>
      <c r="U5" s="211"/>
      <c r="V5" s="211"/>
      <c r="W5" s="211"/>
      <c r="X5" s="211"/>
      <c r="Y5" s="211"/>
      <c r="Z5" s="218" t="s">
        <v>308</v>
      </c>
      <c r="AA5" s="218" t="s">
        <v>309</v>
      </c>
      <c r="AB5" s="211"/>
      <c r="AC5" s="218" t="s">
        <v>310</v>
      </c>
      <c r="AD5" s="218" t="s">
        <v>311</v>
      </c>
      <c r="AE5" s="218" t="s">
        <v>297</v>
      </c>
      <c r="AF5" s="218" t="s">
        <v>166</v>
      </c>
      <c r="AG5" s="211"/>
      <c r="AH5" s="211"/>
      <c r="AI5" s="218" t="s">
        <v>312</v>
      </c>
      <c r="AJ5" s="211"/>
    </row>
    <row r="6" spans="1:36" x14ac:dyDescent="0.3">
      <c r="A6" s="213" t="s">
        <v>285</v>
      </c>
      <c r="B6" s="214">
        <v>45986</v>
      </c>
      <c r="C6" s="215" t="s">
        <v>59</v>
      </c>
      <c r="D6" s="216" t="s">
        <v>313</v>
      </c>
      <c r="E6" s="215" t="s">
        <v>1</v>
      </c>
      <c r="F6" s="215" t="s">
        <v>287</v>
      </c>
      <c r="G6" s="217">
        <v>0.68159999999999998</v>
      </c>
      <c r="H6" s="218">
        <v>179</v>
      </c>
      <c r="I6" s="218">
        <v>122</v>
      </c>
      <c r="J6" s="218">
        <v>86</v>
      </c>
      <c r="K6" s="215" t="s">
        <v>288</v>
      </c>
      <c r="L6" s="219">
        <v>45981</v>
      </c>
      <c r="M6" s="218">
        <v>0</v>
      </c>
      <c r="N6" s="218">
        <v>2</v>
      </c>
      <c r="O6" s="218">
        <v>13</v>
      </c>
      <c r="P6" s="215" t="s">
        <v>60</v>
      </c>
      <c r="Q6" s="211"/>
      <c r="R6" s="211"/>
      <c r="S6" s="211"/>
      <c r="T6" s="211"/>
      <c r="U6" s="211"/>
      <c r="V6" s="211"/>
      <c r="W6" s="211"/>
      <c r="X6" s="211"/>
      <c r="Y6" s="211"/>
      <c r="Z6" s="218" t="s">
        <v>295</v>
      </c>
      <c r="AA6" s="211"/>
      <c r="AB6" s="211"/>
      <c r="AC6" s="218" t="s">
        <v>310</v>
      </c>
      <c r="AD6" s="218" t="s">
        <v>314</v>
      </c>
      <c r="AE6" s="218" t="s">
        <v>315</v>
      </c>
      <c r="AF6" s="218" t="s">
        <v>298</v>
      </c>
      <c r="AG6" s="211"/>
      <c r="AH6" s="211"/>
      <c r="AI6" s="218" t="s">
        <v>316</v>
      </c>
      <c r="AJ6" s="211"/>
    </row>
    <row r="7" spans="1:36" x14ac:dyDescent="0.3">
      <c r="A7" s="213" t="s">
        <v>285</v>
      </c>
      <c r="B7" s="214">
        <v>45986</v>
      </c>
      <c r="C7" s="215" t="s">
        <v>66</v>
      </c>
      <c r="D7" s="216" t="s">
        <v>317</v>
      </c>
      <c r="E7" s="215" t="s">
        <v>1</v>
      </c>
      <c r="F7" s="215" t="s">
        <v>287</v>
      </c>
      <c r="G7" s="217">
        <v>0.58660000000000001</v>
      </c>
      <c r="H7" s="218">
        <v>179</v>
      </c>
      <c r="I7" s="218">
        <v>105</v>
      </c>
      <c r="J7" s="218">
        <v>46</v>
      </c>
      <c r="K7" s="215" t="s">
        <v>288</v>
      </c>
      <c r="L7" s="219">
        <v>45981</v>
      </c>
      <c r="M7" s="218">
        <v>0</v>
      </c>
      <c r="N7" s="218">
        <v>5</v>
      </c>
      <c r="O7" s="218">
        <v>34</v>
      </c>
      <c r="P7" s="215" t="s">
        <v>60</v>
      </c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8" t="s">
        <v>245</v>
      </c>
      <c r="AD7" s="218" t="s">
        <v>291</v>
      </c>
      <c r="AE7" s="218" t="s">
        <v>318</v>
      </c>
      <c r="AF7" s="218" t="s">
        <v>293</v>
      </c>
      <c r="AG7" s="211"/>
      <c r="AH7" s="211"/>
      <c r="AI7" s="218" t="s">
        <v>319</v>
      </c>
      <c r="AJ7" s="211"/>
    </row>
    <row r="8" spans="1:36" x14ac:dyDescent="0.3">
      <c r="A8" s="213" t="s">
        <v>320</v>
      </c>
      <c r="B8" s="214">
        <v>45987</v>
      </c>
      <c r="C8" s="215" t="s">
        <v>66</v>
      </c>
      <c r="D8" s="216" t="s">
        <v>321</v>
      </c>
      <c r="E8" s="215" t="s">
        <v>1</v>
      </c>
      <c r="F8" s="215" t="s">
        <v>287</v>
      </c>
      <c r="G8" s="217">
        <v>0.37990000000000002</v>
      </c>
      <c r="H8" s="218">
        <v>179</v>
      </c>
      <c r="I8" s="218">
        <v>68</v>
      </c>
      <c r="J8" s="218">
        <v>0</v>
      </c>
      <c r="K8" s="215" t="s">
        <v>288</v>
      </c>
      <c r="L8" s="219">
        <v>45981</v>
      </c>
      <c r="M8" s="218">
        <v>0</v>
      </c>
      <c r="N8" s="218">
        <v>3</v>
      </c>
      <c r="O8" s="218">
        <v>46</v>
      </c>
      <c r="P8" s="215" t="s">
        <v>166</v>
      </c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8" t="s">
        <v>322</v>
      </c>
      <c r="AE8" s="218" t="s">
        <v>323</v>
      </c>
      <c r="AF8" s="218" t="s">
        <v>324</v>
      </c>
      <c r="AG8" s="211"/>
      <c r="AH8" s="211"/>
      <c r="AI8" s="211"/>
      <c r="AJ8" s="211"/>
    </row>
    <row r="9" spans="1:36" x14ac:dyDescent="0.3">
      <c r="A9" s="213" t="s">
        <v>320</v>
      </c>
      <c r="B9" s="214">
        <v>45987</v>
      </c>
      <c r="C9" s="215" t="s">
        <v>75</v>
      </c>
      <c r="D9" s="216" t="s">
        <v>325</v>
      </c>
      <c r="E9" s="215" t="s">
        <v>1</v>
      </c>
      <c r="F9" s="215" t="s">
        <v>287</v>
      </c>
      <c r="G9" s="217">
        <v>0.70950000000000002</v>
      </c>
      <c r="H9" s="218">
        <v>179</v>
      </c>
      <c r="I9" s="218">
        <v>127</v>
      </c>
      <c r="J9" s="218">
        <v>47</v>
      </c>
      <c r="K9" s="215" t="s">
        <v>288</v>
      </c>
      <c r="L9" s="219">
        <v>45982</v>
      </c>
      <c r="M9" s="218">
        <v>3</v>
      </c>
      <c r="N9" s="218">
        <v>10</v>
      </c>
      <c r="O9" s="218">
        <v>58</v>
      </c>
      <c r="P9" s="215" t="s">
        <v>166</v>
      </c>
      <c r="Q9" s="211"/>
      <c r="R9" s="211"/>
      <c r="S9" s="211"/>
      <c r="T9" s="211"/>
      <c r="U9" s="211"/>
      <c r="V9" s="211"/>
      <c r="W9" s="211"/>
      <c r="X9" s="211"/>
      <c r="Y9" s="211"/>
      <c r="Z9" s="218" t="s">
        <v>326</v>
      </c>
      <c r="AA9" s="218" t="s">
        <v>327</v>
      </c>
      <c r="AB9" s="211"/>
      <c r="AC9" s="211"/>
      <c r="AD9" s="218" t="s">
        <v>328</v>
      </c>
      <c r="AE9" s="218" t="s">
        <v>318</v>
      </c>
      <c r="AF9" s="218" t="s">
        <v>329</v>
      </c>
      <c r="AG9" s="211"/>
      <c r="AH9" s="211"/>
      <c r="AI9" s="218" t="s">
        <v>330</v>
      </c>
      <c r="AJ9" s="211"/>
    </row>
    <row r="10" spans="1:36" x14ac:dyDescent="0.3">
      <c r="A10" s="213" t="s">
        <v>320</v>
      </c>
      <c r="B10" s="214">
        <v>45987</v>
      </c>
      <c r="C10" s="215" t="s">
        <v>70</v>
      </c>
      <c r="D10" s="216" t="s">
        <v>301</v>
      </c>
      <c r="E10" s="215" t="s">
        <v>1</v>
      </c>
      <c r="F10" s="215" t="s">
        <v>287</v>
      </c>
      <c r="G10" s="217">
        <v>0.6089</v>
      </c>
      <c r="H10" s="218">
        <v>179</v>
      </c>
      <c r="I10" s="218">
        <v>109</v>
      </c>
      <c r="J10" s="218">
        <v>45</v>
      </c>
      <c r="K10" s="215" t="s">
        <v>288</v>
      </c>
      <c r="L10" s="219">
        <v>45980</v>
      </c>
      <c r="M10" s="218">
        <v>0</v>
      </c>
      <c r="N10" s="218">
        <v>0</v>
      </c>
      <c r="O10" s="218">
        <v>23</v>
      </c>
      <c r="P10" s="215" t="s">
        <v>60</v>
      </c>
      <c r="Q10" s="211"/>
      <c r="R10" s="211"/>
      <c r="S10" s="211"/>
      <c r="T10" s="211"/>
      <c r="U10" s="211"/>
      <c r="V10" s="211"/>
      <c r="W10" s="211"/>
      <c r="X10" s="211"/>
      <c r="Y10" s="211"/>
      <c r="Z10" s="218" t="s">
        <v>295</v>
      </c>
      <c r="AA10" s="211"/>
      <c r="AB10" s="211"/>
      <c r="AC10" s="211"/>
      <c r="AD10" s="218" t="s">
        <v>331</v>
      </c>
      <c r="AE10" s="218" t="s">
        <v>318</v>
      </c>
      <c r="AF10" s="218" t="s">
        <v>332</v>
      </c>
      <c r="AG10" s="211"/>
      <c r="AH10" s="211"/>
      <c r="AI10" s="218" t="s">
        <v>333</v>
      </c>
      <c r="AJ10" s="218" t="s">
        <v>334</v>
      </c>
    </row>
    <row r="11" spans="1:36" x14ac:dyDescent="0.3">
      <c r="A11" s="213" t="s">
        <v>335</v>
      </c>
      <c r="B11" s="214">
        <v>45988</v>
      </c>
      <c r="C11" s="215" t="s">
        <v>59</v>
      </c>
      <c r="D11" s="216" t="s">
        <v>336</v>
      </c>
      <c r="E11" s="215" t="s">
        <v>1</v>
      </c>
      <c r="F11" s="215" t="s">
        <v>287</v>
      </c>
      <c r="G11" s="217">
        <v>0.48039999999999999</v>
      </c>
      <c r="H11" s="218">
        <v>179</v>
      </c>
      <c r="I11" s="218">
        <v>86</v>
      </c>
      <c r="J11" s="218">
        <v>84</v>
      </c>
      <c r="K11" s="215" t="s">
        <v>288</v>
      </c>
      <c r="L11" s="219">
        <v>45980</v>
      </c>
      <c r="M11" s="218">
        <v>0</v>
      </c>
      <c r="N11" s="218">
        <v>0</v>
      </c>
      <c r="O11" s="218">
        <v>2</v>
      </c>
      <c r="P11" s="215" t="s">
        <v>60</v>
      </c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8" t="s">
        <v>245</v>
      </c>
      <c r="AD11" s="218" t="s">
        <v>76</v>
      </c>
      <c r="AE11" s="211"/>
      <c r="AF11" s="211"/>
      <c r="AG11" s="211"/>
      <c r="AH11" s="211"/>
      <c r="AI11" s="218" t="s">
        <v>337</v>
      </c>
      <c r="AJ11" s="211"/>
    </row>
    <row r="12" spans="1:36" x14ac:dyDescent="0.3">
      <c r="A12" s="213" t="s">
        <v>335</v>
      </c>
      <c r="B12" s="214">
        <v>45988</v>
      </c>
      <c r="C12" s="215" t="s">
        <v>63</v>
      </c>
      <c r="D12" s="216" t="s">
        <v>338</v>
      </c>
      <c r="E12" s="215" t="s">
        <v>1</v>
      </c>
      <c r="F12" s="215" t="s">
        <v>287</v>
      </c>
      <c r="G12" s="217">
        <v>0.27929999999999999</v>
      </c>
      <c r="H12" s="218">
        <v>179</v>
      </c>
      <c r="I12" s="218">
        <v>50</v>
      </c>
      <c r="J12" s="218">
        <v>0</v>
      </c>
      <c r="K12" s="215" t="s">
        <v>288</v>
      </c>
      <c r="L12" s="219">
        <v>45982</v>
      </c>
      <c r="M12" s="218">
        <v>1</v>
      </c>
      <c r="N12" s="218">
        <v>5</v>
      </c>
      <c r="O12" s="218">
        <v>32</v>
      </c>
      <c r="P12" s="215" t="s">
        <v>60</v>
      </c>
      <c r="Q12" s="211"/>
      <c r="R12" s="211"/>
      <c r="S12" s="211"/>
      <c r="T12" s="211"/>
      <c r="U12" s="211"/>
      <c r="V12" s="211"/>
      <c r="W12" s="211"/>
      <c r="X12" s="211"/>
      <c r="Y12" s="211"/>
      <c r="Z12" s="218" t="s">
        <v>302</v>
      </c>
      <c r="AA12" s="211"/>
      <c r="AB12" s="211"/>
      <c r="AC12" s="211"/>
      <c r="AD12" s="218" t="s">
        <v>339</v>
      </c>
      <c r="AE12" s="218" t="s">
        <v>340</v>
      </c>
      <c r="AF12" s="218" t="s">
        <v>293</v>
      </c>
      <c r="AG12" s="211"/>
      <c r="AH12" s="211"/>
      <c r="AI12" s="211"/>
      <c r="AJ12" s="211"/>
    </row>
    <row r="13" spans="1:36" x14ac:dyDescent="0.3">
      <c r="A13" s="213" t="s">
        <v>335</v>
      </c>
      <c r="B13" s="214">
        <v>45988</v>
      </c>
      <c r="C13" s="215" t="s">
        <v>193</v>
      </c>
      <c r="D13" s="216" t="s">
        <v>341</v>
      </c>
      <c r="E13" s="215" t="s">
        <v>1</v>
      </c>
      <c r="F13" s="215" t="s">
        <v>287</v>
      </c>
      <c r="G13" s="217">
        <v>0.31280000000000002</v>
      </c>
      <c r="H13" s="218">
        <v>179</v>
      </c>
      <c r="I13" s="218">
        <v>56</v>
      </c>
      <c r="J13" s="218">
        <v>29</v>
      </c>
      <c r="K13" s="215" t="s">
        <v>288</v>
      </c>
      <c r="L13" s="219">
        <v>45981</v>
      </c>
      <c r="M13" s="218">
        <v>0</v>
      </c>
      <c r="N13" s="218">
        <v>5</v>
      </c>
      <c r="O13" s="218">
        <v>21</v>
      </c>
      <c r="P13" s="215" t="s">
        <v>166</v>
      </c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8" t="s">
        <v>342</v>
      </c>
      <c r="AG13" s="218" t="s">
        <v>343</v>
      </c>
      <c r="AH13" s="211"/>
      <c r="AI13" s="211"/>
      <c r="AJ13" s="218" t="s">
        <v>344</v>
      </c>
    </row>
    <row r="14" spans="1:36" x14ac:dyDescent="0.3">
      <c r="A14" s="213" t="s">
        <v>335</v>
      </c>
      <c r="B14" s="214">
        <v>45988</v>
      </c>
      <c r="C14" s="215" t="s">
        <v>66</v>
      </c>
      <c r="D14" s="216" t="s">
        <v>345</v>
      </c>
      <c r="E14" s="215" t="s">
        <v>1</v>
      </c>
      <c r="F14" s="215" t="s">
        <v>287</v>
      </c>
      <c r="G14" s="217">
        <v>0.80449999999999999</v>
      </c>
      <c r="H14" s="218">
        <v>179</v>
      </c>
      <c r="I14" s="218">
        <v>144</v>
      </c>
      <c r="J14" s="218">
        <v>132</v>
      </c>
      <c r="K14" s="215" t="s">
        <v>288</v>
      </c>
      <c r="L14" s="219">
        <v>45981</v>
      </c>
      <c r="M14" s="218">
        <v>0</v>
      </c>
      <c r="N14" s="218">
        <v>1</v>
      </c>
      <c r="O14" s="218">
        <v>2</v>
      </c>
      <c r="P14" s="215" t="s">
        <v>200</v>
      </c>
      <c r="Q14" s="211"/>
      <c r="R14" s="211"/>
      <c r="S14" s="211"/>
      <c r="T14" s="211"/>
      <c r="U14" s="211"/>
      <c r="V14" s="211"/>
      <c r="W14" s="211"/>
      <c r="X14" s="211"/>
      <c r="Y14" s="211"/>
      <c r="Z14" s="211"/>
      <c r="AA14" s="211"/>
      <c r="AB14" s="211"/>
      <c r="AC14" s="211"/>
      <c r="AD14" s="211"/>
      <c r="AE14" s="218" t="s">
        <v>346</v>
      </c>
      <c r="AF14" s="218" t="s">
        <v>347</v>
      </c>
      <c r="AG14" s="211"/>
      <c r="AH14" s="211"/>
      <c r="AI14" s="218" t="s">
        <v>348</v>
      </c>
      <c r="AJ14" s="211"/>
    </row>
    <row r="15" spans="1:36" x14ac:dyDescent="0.3">
      <c r="A15" s="213" t="s">
        <v>335</v>
      </c>
      <c r="B15" s="214">
        <v>45988</v>
      </c>
      <c r="C15" s="215" t="s">
        <v>190</v>
      </c>
      <c r="D15" s="216" t="s">
        <v>349</v>
      </c>
      <c r="E15" s="215" t="s">
        <v>1</v>
      </c>
      <c r="F15" s="215" t="s">
        <v>287</v>
      </c>
      <c r="G15" s="217">
        <v>0.25140000000000001</v>
      </c>
      <c r="H15" s="218">
        <v>179</v>
      </c>
      <c r="I15" s="218">
        <v>45</v>
      </c>
      <c r="J15" s="218">
        <v>0</v>
      </c>
      <c r="K15" s="215" t="s">
        <v>288</v>
      </c>
      <c r="L15" s="219">
        <v>45981</v>
      </c>
      <c r="M15" s="218">
        <v>0</v>
      </c>
      <c r="N15" s="218">
        <v>4</v>
      </c>
      <c r="O15" s="218">
        <v>24</v>
      </c>
      <c r="P15" s="215" t="s">
        <v>166</v>
      </c>
      <c r="Q15" s="211"/>
      <c r="R15" s="211"/>
      <c r="S15" s="211"/>
      <c r="T15" s="211"/>
      <c r="U15" s="211"/>
      <c r="V15" s="211"/>
      <c r="W15" s="211"/>
      <c r="X15" s="211"/>
      <c r="Y15" s="211"/>
      <c r="Z15" s="218" t="s">
        <v>308</v>
      </c>
      <c r="AA15" s="211"/>
      <c r="AB15" s="211"/>
      <c r="AC15" s="211"/>
      <c r="AD15" s="211"/>
      <c r="AE15" s="218" t="s">
        <v>71</v>
      </c>
      <c r="AF15" s="218" t="s">
        <v>350</v>
      </c>
      <c r="AG15" s="211"/>
      <c r="AH15" s="211"/>
      <c r="AI15" s="211"/>
      <c r="AJ15" s="211"/>
    </row>
    <row r="16" spans="1:36" x14ac:dyDescent="0.3">
      <c r="A16" s="213" t="s">
        <v>335</v>
      </c>
      <c r="B16" s="214">
        <v>45988</v>
      </c>
      <c r="C16" s="215" t="s">
        <v>70</v>
      </c>
      <c r="D16" s="216" t="s">
        <v>351</v>
      </c>
      <c r="E16" s="215" t="s">
        <v>1</v>
      </c>
      <c r="F16" s="215" t="s">
        <v>287</v>
      </c>
      <c r="G16" s="217">
        <v>0.78210000000000002</v>
      </c>
      <c r="H16" s="218">
        <v>179</v>
      </c>
      <c r="I16" s="218">
        <v>140</v>
      </c>
      <c r="J16" s="218">
        <v>89</v>
      </c>
      <c r="K16" s="215" t="s">
        <v>288</v>
      </c>
      <c r="L16" s="219">
        <v>45982</v>
      </c>
      <c r="M16" s="218">
        <v>3</v>
      </c>
      <c r="N16" s="218">
        <v>8</v>
      </c>
      <c r="O16" s="218">
        <v>26</v>
      </c>
      <c r="P16" s="215" t="s">
        <v>166</v>
      </c>
      <c r="Q16" s="211"/>
      <c r="R16" s="211"/>
      <c r="S16" s="211"/>
      <c r="T16" s="211"/>
      <c r="U16" s="211"/>
      <c r="V16" s="211"/>
      <c r="W16" s="211"/>
      <c r="X16" s="211"/>
      <c r="Y16" s="211"/>
      <c r="Z16" s="218" t="s">
        <v>326</v>
      </c>
      <c r="AA16" s="211"/>
      <c r="AB16" s="211"/>
      <c r="AC16" s="211"/>
      <c r="AD16" s="218" t="s">
        <v>217</v>
      </c>
      <c r="AE16" s="218" t="s">
        <v>352</v>
      </c>
      <c r="AF16" s="218" t="s">
        <v>353</v>
      </c>
      <c r="AG16" s="211"/>
      <c r="AH16" s="211"/>
      <c r="AI16" s="218" t="s">
        <v>354</v>
      </c>
      <c r="AJ16" s="211"/>
    </row>
    <row r="17" spans="1:36" x14ac:dyDescent="0.3">
      <c r="A17" s="213" t="s">
        <v>335</v>
      </c>
      <c r="B17" s="214">
        <v>45988</v>
      </c>
      <c r="C17" s="215" t="s">
        <v>78</v>
      </c>
      <c r="D17" s="216" t="s">
        <v>355</v>
      </c>
      <c r="E17" s="215" t="s">
        <v>1</v>
      </c>
      <c r="F17" s="215" t="s">
        <v>287</v>
      </c>
      <c r="G17" s="217">
        <v>0.51959999999999995</v>
      </c>
      <c r="H17" s="218">
        <v>179</v>
      </c>
      <c r="I17" s="218">
        <v>93</v>
      </c>
      <c r="J17" s="218">
        <v>44</v>
      </c>
      <c r="K17" s="215" t="s">
        <v>288</v>
      </c>
      <c r="L17" s="219">
        <v>45981</v>
      </c>
      <c r="M17" s="218">
        <v>0</v>
      </c>
      <c r="N17" s="218">
        <v>13</v>
      </c>
      <c r="O17" s="218">
        <v>28</v>
      </c>
      <c r="P17" s="215" t="s">
        <v>166</v>
      </c>
      <c r="Q17" s="211"/>
      <c r="R17" s="211"/>
      <c r="S17" s="211"/>
      <c r="T17" s="211"/>
      <c r="U17" s="211"/>
      <c r="V17" s="211"/>
      <c r="W17" s="211"/>
      <c r="X17" s="211"/>
      <c r="Y17" s="211"/>
      <c r="Z17" s="218" t="s">
        <v>308</v>
      </c>
      <c r="AA17" s="211"/>
      <c r="AB17" s="211"/>
      <c r="AC17" s="211"/>
      <c r="AD17" s="218" t="s">
        <v>339</v>
      </c>
      <c r="AE17" s="218" t="s">
        <v>356</v>
      </c>
      <c r="AF17" s="218" t="s">
        <v>357</v>
      </c>
      <c r="AG17" s="218" t="s">
        <v>358</v>
      </c>
      <c r="AH17" s="211"/>
      <c r="AI17" s="211"/>
      <c r="AJ17" s="218" t="s">
        <v>334</v>
      </c>
    </row>
    <row r="18" spans="1:36" x14ac:dyDescent="0.3">
      <c r="A18" s="213" t="s">
        <v>359</v>
      </c>
      <c r="B18" s="214">
        <v>45989</v>
      </c>
      <c r="C18" s="215" t="s">
        <v>59</v>
      </c>
      <c r="D18" s="216" t="s">
        <v>338</v>
      </c>
      <c r="E18" s="215" t="s">
        <v>1</v>
      </c>
      <c r="F18" s="215" t="s">
        <v>287</v>
      </c>
      <c r="G18" s="217">
        <v>0.25140000000000001</v>
      </c>
      <c r="H18" s="218">
        <v>179</v>
      </c>
      <c r="I18" s="218">
        <v>45</v>
      </c>
      <c r="J18" s="218">
        <v>0</v>
      </c>
      <c r="K18" s="215" t="s">
        <v>288</v>
      </c>
      <c r="L18" s="219">
        <v>45981</v>
      </c>
      <c r="M18" s="218">
        <v>0</v>
      </c>
      <c r="N18" s="218">
        <v>4</v>
      </c>
      <c r="O18" s="218">
        <v>26</v>
      </c>
      <c r="P18" s="215" t="s">
        <v>166</v>
      </c>
      <c r="Q18" s="211"/>
      <c r="R18" s="218" t="s">
        <v>360</v>
      </c>
      <c r="S18" s="211"/>
      <c r="T18" s="211"/>
      <c r="U18" s="211"/>
      <c r="V18" s="211"/>
      <c r="W18" s="211"/>
      <c r="X18" s="211"/>
      <c r="Y18" s="211"/>
      <c r="Z18" s="211"/>
      <c r="AA18" s="211"/>
      <c r="AB18" s="211"/>
      <c r="AC18" s="211"/>
      <c r="AD18" s="218" t="s">
        <v>339</v>
      </c>
      <c r="AE18" s="218" t="s">
        <v>60</v>
      </c>
      <c r="AF18" s="218" t="s">
        <v>361</v>
      </c>
      <c r="AG18" s="211"/>
      <c r="AH18" s="211"/>
      <c r="AI18" s="211"/>
      <c r="AJ18" s="211"/>
    </row>
    <row r="19" spans="1:36" x14ac:dyDescent="0.3">
      <c r="A19" s="213" t="s">
        <v>359</v>
      </c>
      <c r="B19" s="214">
        <v>45989</v>
      </c>
      <c r="C19" s="215" t="s">
        <v>66</v>
      </c>
      <c r="D19" s="216" t="s">
        <v>362</v>
      </c>
      <c r="E19" s="215" t="s">
        <v>1</v>
      </c>
      <c r="F19" s="215" t="s">
        <v>287</v>
      </c>
      <c r="G19" s="217">
        <v>0.26819999999999999</v>
      </c>
      <c r="H19" s="218">
        <v>179</v>
      </c>
      <c r="I19" s="218">
        <v>48</v>
      </c>
      <c r="J19" s="218">
        <v>0</v>
      </c>
      <c r="K19" s="215" t="s">
        <v>288</v>
      </c>
      <c r="L19" s="219">
        <v>45981</v>
      </c>
      <c r="M19" s="218">
        <v>0</v>
      </c>
      <c r="N19" s="218">
        <v>2</v>
      </c>
      <c r="O19" s="218">
        <v>38</v>
      </c>
      <c r="P19" s="215" t="s">
        <v>166</v>
      </c>
      <c r="Q19" s="211"/>
      <c r="R19" s="211"/>
      <c r="S19" s="211"/>
      <c r="T19" s="211"/>
      <c r="U19" s="211"/>
      <c r="V19" s="211"/>
      <c r="W19" s="211"/>
      <c r="X19" s="211"/>
      <c r="Y19" s="211"/>
      <c r="Z19" s="218" t="s">
        <v>326</v>
      </c>
      <c r="AA19" s="211"/>
      <c r="AB19" s="211"/>
      <c r="AC19" s="211"/>
      <c r="AD19" s="211"/>
      <c r="AE19" s="218" t="s">
        <v>60</v>
      </c>
      <c r="AF19" s="218" t="s">
        <v>363</v>
      </c>
      <c r="AG19" s="211"/>
      <c r="AH19" s="211"/>
      <c r="AI19" s="211"/>
      <c r="AJ19" s="211"/>
    </row>
    <row r="20" spans="1:36" x14ac:dyDescent="0.3">
      <c r="A20" s="213" t="s">
        <v>359</v>
      </c>
      <c r="B20" s="214">
        <v>45989</v>
      </c>
      <c r="C20" s="215" t="s">
        <v>70</v>
      </c>
      <c r="D20" s="216" t="s">
        <v>364</v>
      </c>
      <c r="E20" s="215" t="s">
        <v>1</v>
      </c>
      <c r="F20" s="215" t="s">
        <v>287</v>
      </c>
      <c r="G20" s="217">
        <v>0.36309999999999998</v>
      </c>
      <c r="H20" s="218">
        <v>179</v>
      </c>
      <c r="I20" s="218">
        <v>65</v>
      </c>
      <c r="J20" s="218">
        <v>39</v>
      </c>
      <c r="K20" s="215" t="s">
        <v>288</v>
      </c>
      <c r="L20" s="219">
        <v>45981</v>
      </c>
      <c r="M20" s="218">
        <v>0</v>
      </c>
      <c r="N20" s="218">
        <v>4</v>
      </c>
      <c r="O20" s="218">
        <v>16</v>
      </c>
      <c r="P20" s="215" t="s">
        <v>166</v>
      </c>
      <c r="Q20" s="211"/>
      <c r="R20" s="211"/>
      <c r="S20" s="211"/>
      <c r="T20" s="211"/>
      <c r="U20" s="211"/>
      <c r="V20" s="211"/>
      <c r="W20" s="211"/>
      <c r="X20" s="211"/>
      <c r="Y20" s="211"/>
      <c r="Z20" s="211"/>
      <c r="AA20" s="211"/>
      <c r="AB20" s="211"/>
      <c r="AC20" s="211"/>
      <c r="AD20" s="211"/>
      <c r="AE20" s="218" t="s">
        <v>318</v>
      </c>
      <c r="AF20" s="218" t="s">
        <v>227</v>
      </c>
      <c r="AG20" s="211"/>
      <c r="AH20" s="211"/>
      <c r="AI20" s="218" t="s">
        <v>365</v>
      </c>
      <c r="AJ20" s="211"/>
    </row>
    <row r="21" spans="1:36" x14ac:dyDescent="0.3">
      <c r="A21" s="213" t="s">
        <v>359</v>
      </c>
      <c r="B21" s="214">
        <v>45989</v>
      </c>
      <c r="C21" s="215" t="s">
        <v>78</v>
      </c>
      <c r="D21" s="216" t="s">
        <v>301</v>
      </c>
      <c r="E21" s="215" t="s">
        <v>1</v>
      </c>
      <c r="F21" s="215" t="s">
        <v>287</v>
      </c>
      <c r="G21" s="217">
        <v>0.64800000000000002</v>
      </c>
      <c r="H21" s="218">
        <v>179</v>
      </c>
      <c r="I21" s="218">
        <v>116</v>
      </c>
      <c r="J21" s="218">
        <v>68</v>
      </c>
      <c r="K21" s="215" t="s">
        <v>288</v>
      </c>
      <c r="L21" s="219">
        <v>45981</v>
      </c>
      <c r="M21" s="218">
        <v>0</v>
      </c>
      <c r="N21" s="218">
        <v>9</v>
      </c>
      <c r="O21" s="218">
        <v>28</v>
      </c>
      <c r="P21" s="215" t="s">
        <v>166</v>
      </c>
      <c r="Q21" s="211"/>
      <c r="R21" s="211"/>
      <c r="S21" s="211"/>
      <c r="T21" s="211"/>
      <c r="U21" s="211"/>
      <c r="V21" s="211"/>
      <c r="W21" s="211"/>
      <c r="X21" s="218" t="s">
        <v>366</v>
      </c>
      <c r="Y21" s="218" t="s">
        <v>367</v>
      </c>
      <c r="Z21" s="218" t="s">
        <v>308</v>
      </c>
      <c r="AA21" s="211"/>
      <c r="AB21" s="211"/>
      <c r="AC21" s="211"/>
      <c r="AD21" s="218" t="s">
        <v>217</v>
      </c>
      <c r="AE21" s="218" t="s">
        <v>305</v>
      </c>
      <c r="AF21" s="218" t="s">
        <v>368</v>
      </c>
      <c r="AG21" s="211"/>
      <c r="AH21" s="211"/>
      <c r="AI21" s="218" t="s">
        <v>369</v>
      </c>
      <c r="AJ21" s="211"/>
    </row>
    <row r="22" spans="1:36" x14ac:dyDescent="0.3">
      <c r="A22" s="213" t="s">
        <v>359</v>
      </c>
      <c r="B22" s="214">
        <v>45989</v>
      </c>
      <c r="C22" s="215" t="s">
        <v>63</v>
      </c>
      <c r="D22" s="216" t="s">
        <v>370</v>
      </c>
      <c r="E22" s="215" t="s">
        <v>1</v>
      </c>
      <c r="F22" s="215" t="s">
        <v>287</v>
      </c>
      <c r="G22" s="217">
        <v>0.36309999999999998</v>
      </c>
      <c r="H22" s="218">
        <v>179</v>
      </c>
      <c r="I22" s="218">
        <v>65</v>
      </c>
      <c r="J22" s="218">
        <v>0</v>
      </c>
      <c r="K22" s="215" t="s">
        <v>288</v>
      </c>
      <c r="L22" s="219">
        <v>45981</v>
      </c>
      <c r="M22" s="218">
        <v>0</v>
      </c>
      <c r="N22" s="218">
        <v>7</v>
      </c>
      <c r="O22" s="218">
        <v>28</v>
      </c>
      <c r="P22" s="215" t="s">
        <v>166</v>
      </c>
      <c r="Q22" s="211"/>
      <c r="R22" s="211"/>
      <c r="S22" s="211"/>
      <c r="T22" s="211"/>
      <c r="U22" s="211"/>
      <c r="V22" s="211"/>
      <c r="W22" s="211"/>
      <c r="X22" s="211"/>
      <c r="Y22" s="211"/>
      <c r="Z22" s="218" t="s">
        <v>371</v>
      </c>
      <c r="AA22" s="211"/>
      <c r="AB22" s="211"/>
      <c r="AC22" s="211"/>
      <c r="AD22" s="218" t="s">
        <v>372</v>
      </c>
      <c r="AE22" s="218" t="s">
        <v>373</v>
      </c>
      <c r="AF22" s="218" t="s">
        <v>374</v>
      </c>
      <c r="AG22" s="211"/>
      <c r="AH22" s="211"/>
      <c r="AI22" s="211"/>
      <c r="AJ22" s="218" t="s">
        <v>334</v>
      </c>
    </row>
    <row r="23" spans="1:36" x14ac:dyDescent="0.3">
      <c r="A23" s="213" t="s">
        <v>359</v>
      </c>
      <c r="B23" s="214">
        <v>45989</v>
      </c>
      <c r="C23" s="215" t="s">
        <v>75</v>
      </c>
      <c r="D23" s="216" t="s">
        <v>375</v>
      </c>
      <c r="E23" s="215" t="s">
        <v>1</v>
      </c>
      <c r="F23" s="215" t="s">
        <v>287</v>
      </c>
      <c r="G23" s="217">
        <v>0.92179999999999995</v>
      </c>
      <c r="H23" s="218">
        <v>179</v>
      </c>
      <c r="I23" s="218">
        <v>165</v>
      </c>
      <c r="J23" s="218">
        <v>114</v>
      </c>
      <c r="K23" s="215" t="s">
        <v>288</v>
      </c>
      <c r="L23" s="219">
        <v>45980</v>
      </c>
      <c r="M23" s="218">
        <v>0</v>
      </c>
      <c r="N23" s="218">
        <v>0</v>
      </c>
      <c r="O23" s="218">
        <v>17</v>
      </c>
      <c r="P23" s="215" t="s">
        <v>217</v>
      </c>
      <c r="Q23" s="211"/>
      <c r="R23" s="211"/>
      <c r="S23" s="211"/>
      <c r="T23" s="211"/>
      <c r="U23" s="211"/>
      <c r="V23" s="211"/>
      <c r="W23" s="211"/>
      <c r="X23" s="211"/>
      <c r="Y23" s="211"/>
      <c r="Z23" s="218" t="s">
        <v>302</v>
      </c>
      <c r="AA23" s="218" t="s">
        <v>376</v>
      </c>
      <c r="AB23" s="211"/>
      <c r="AC23" s="211"/>
      <c r="AD23" s="218" t="s">
        <v>304</v>
      </c>
      <c r="AE23" s="218" t="s">
        <v>377</v>
      </c>
      <c r="AF23" s="218" t="s">
        <v>347</v>
      </c>
      <c r="AG23" s="211"/>
      <c r="AH23" s="211"/>
      <c r="AI23" s="218" t="s">
        <v>378</v>
      </c>
      <c r="AJ23" s="211"/>
    </row>
    <row r="24" spans="1:36" x14ac:dyDescent="0.3">
      <c r="A24" s="213" t="s">
        <v>379</v>
      </c>
      <c r="B24" s="214">
        <v>45990</v>
      </c>
      <c r="C24" s="215" t="s">
        <v>193</v>
      </c>
      <c r="D24" s="216" t="s">
        <v>380</v>
      </c>
      <c r="E24" s="215" t="s">
        <v>1</v>
      </c>
      <c r="F24" s="215" t="s">
        <v>287</v>
      </c>
      <c r="G24" s="217">
        <v>0.72070000000000001</v>
      </c>
      <c r="H24" s="218">
        <v>179</v>
      </c>
      <c r="I24" s="218">
        <v>129</v>
      </c>
      <c r="J24" s="218">
        <v>73</v>
      </c>
      <c r="K24" s="215" t="s">
        <v>288</v>
      </c>
      <c r="L24" s="219">
        <v>45981</v>
      </c>
      <c r="M24" s="218">
        <v>0</v>
      </c>
      <c r="N24" s="218">
        <v>14</v>
      </c>
      <c r="O24" s="218">
        <v>88</v>
      </c>
      <c r="P24" s="215" t="s">
        <v>227</v>
      </c>
      <c r="Q24" s="211"/>
      <c r="R24" s="211"/>
      <c r="S24" s="211"/>
      <c r="T24" s="211"/>
      <c r="U24" s="211"/>
      <c r="V24" s="211"/>
      <c r="W24" s="211"/>
      <c r="X24" s="211"/>
      <c r="Y24" s="211"/>
      <c r="Z24" s="218" t="s">
        <v>295</v>
      </c>
      <c r="AA24" s="218" t="s">
        <v>327</v>
      </c>
      <c r="AB24" s="211"/>
      <c r="AC24" s="218" t="s">
        <v>290</v>
      </c>
      <c r="AD24" s="218" t="s">
        <v>339</v>
      </c>
      <c r="AE24" s="218" t="s">
        <v>305</v>
      </c>
      <c r="AF24" s="218" t="s">
        <v>357</v>
      </c>
      <c r="AG24" s="211"/>
      <c r="AH24" s="211"/>
      <c r="AI24" s="218" t="s">
        <v>381</v>
      </c>
      <c r="AJ24" s="211"/>
    </row>
    <row r="25" spans="1:36" x14ac:dyDescent="0.3">
      <c r="A25" s="213" t="s">
        <v>379</v>
      </c>
      <c r="B25" s="214">
        <v>45990</v>
      </c>
      <c r="C25" s="215" t="s">
        <v>66</v>
      </c>
      <c r="D25" s="216" t="s">
        <v>345</v>
      </c>
      <c r="E25" s="215" t="s">
        <v>1</v>
      </c>
      <c r="F25" s="215" t="s">
        <v>287</v>
      </c>
      <c r="G25" s="217">
        <v>0.75419999999999998</v>
      </c>
      <c r="H25" s="218">
        <v>179</v>
      </c>
      <c r="I25" s="218">
        <v>135</v>
      </c>
      <c r="J25" s="218">
        <v>98</v>
      </c>
      <c r="K25" s="215" t="s">
        <v>288</v>
      </c>
      <c r="L25" s="219">
        <v>45981</v>
      </c>
      <c r="M25" s="218">
        <v>0</v>
      </c>
      <c r="N25" s="218">
        <v>5</v>
      </c>
      <c r="O25" s="218">
        <v>21</v>
      </c>
      <c r="P25" s="215" t="s">
        <v>166</v>
      </c>
      <c r="Q25" s="211"/>
      <c r="R25" s="211"/>
      <c r="S25" s="211"/>
      <c r="T25" s="211"/>
      <c r="U25" s="211"/>
      <c r="V25" s="211"/>
      <c r="W25" s="211"/>
      <c r="X25" s="211"/>
      <c r="Y25" s="211"/>
      <c r="Z25" s="218" t="s">
        <v>326</v>
      </c>
      <c r="AA25" s="211"/>
      <c r="AB25" s="211"/>
      <c r="AC25" s="218" t="s">
        <v>245</v>
      </c>
      <c r="AD25" s="218" t="s">
        <v>291</v>
      </c>
      <c r="AE25" s="218" t="s">
        <v>292</v>
      </c>
      <c r="AF25" s="218" t="s">
        <v>166</v>
      </c>
      <c r="AG25" s="218" t="s">
        <v>382</v>
      </c>
      <c r="AH25" s="211"/>
      <c r="AI25" s="218" t="s">
        <v>383</v>
      </c>
      <c r="AJ25" s="211"/>
    </row>
    <row r="26" spans="1:36" x14ac:dyDescent="0.3">
      <c r="A26" s="213" t="s">
        <v>379</v>
      </c>
      <c r="B26" s="214">
        <v>45990</v>
      </c>
      <c r="C26" s="215" t="s">
        <v>70</v>
      </c>
      <c r="D26" s="216" t="s">
        <v>384</v>
      </c>
      <c r="E26" s="215" t="s">
        <v>1</v>
      </c>
      <c r="F26" s="215" t="s">
        <v>287</v>
      </c>
      <c r="G26" s="217">
        <v>0.77090000000000003</v>
      </c>
      <c r="H26" s="218">
        <v>179</v>
      </c>
      <c r="I26" s="218">
        <v>138</v>
      </c>
      <c r="J26" s="218">
        <v>107</v>
      </c>
      <c r="K26" s="215" t="s">
        <v>288</v>
      </c>
      <c r="L26" s="219">
        <v>45981</v>
      </c>
      <c r="M26" s="218">
        <v>0</v>
      </c>
      <c r="N26" s="218">
        <v>8</v>
      </c>
      <c r="O26" s="218">
        <v>27</v>
      </c>
      <c r="P26" s="215" t="s">
        <v>60</v>
      </c>
      <c r="Q26" s="211"/>
      <c r="R26" s="211"/>
      <c r="S26" s="211"/>
      <c r="T26" s="211"/>
      <c r="U26" s="211"/>
      <c r="V26" s="211"/>
      <c r="W26" s="211"/>
      <c r="X26" s="211"/>
      <c r="Y26" s="211"/>
      <c r="Z26" s="218" t="s">
        <v>308</v>
      </c>
      <c r="AA26" s="211"/>
      <c r="AB26" s="218" t="s">
        <v>385</v>
      </c>
      <c r="AC26" s="218" t="s">
        <v>386</v>
      </c>
      <c r="AD26" s="211"/>
      <c r="AE26" s="218" t="s">
        <v>387</v>
      </c>
      <c r="AF26" s="211"/>
      <c r="AG26" s="211"/>
      <c r="AH26" s="211"/>
      <c r="AI26" s="218" t="s">
        <v>388</v>
      </c>
      <c r="AJ26" s="218" t="s">
        <v>389</v>
      </c>
    </row>
    <row r="27" spans="1:36" x14ac:dyDescent="0.3">
      <c r="A27" s="213" t="s">
        <v>390</v>
      </c>
      <c r="B27" s="214">
        <v>45991</v>
      </c>
      <c r="C27" s="215" t="s">
        <v>59</v>
      </c>
      <c r="D27" s="216" t="s">
        <v>391</v>
      </c>
      <c r="E27" s="215" t="s">
        <v>1</v>
      </c>
      <c r="F27" s="215" t="s">
        <v>287</v>
      </c>
      <c r="G27" s="217">
        <v>0.63690000000000002</v>
      </c>
      <c r="H27" s="218">
        <v>179</v>
      </c>
      <c r="I27" s="218">
        <v>114</v>
      </c>
      <c r="J27" s="218">
        <v>95</v>
      </c>
      <c r="K27" s="215" t="s">
        <v>288</v>
      </c>
      <c r="L27" s="219">
        <v>45981</v>
      </c>
      <c r="M27" s="218">
        <v>0</v>
      </c>
      <c r="N27" s="218">
        <v>1</v>
      </c>
      <c r="O27" s="218">
        <v>15</v>
      </c>
      <c r="P27" s="215" t="s">
        <v>60</v>
      </c>
      <c r="Q27" s="211"/>
      <c r="R27" s="211"/>
      <c r="S27" s="211"/>
      <c r="T27" s="211"/>
      <c r="U27" s="211"/>
      <c r="V27" s="211"/>
      <c r="W27" s="211"/>
      <c r="X27" s="211"/>
      <c r="Y27" s="211"/>
      <c r="Z27" s="218" t="s">
        <v>295</v>
      </c>
      <c r="AA27" s="218" t="s">
        <v>309</v>
      </c>
      <c r="AB27" s="211"/>
      <c r="AC27" s="218" t="s">
        <v>290</v>
      </c>
      <c r="AD27" s="218" t="s">
        <v>291</v>
      </c>
      <c r="AE27" s="218" t="s">
        <v>392</v>
      </c>
      <c r="AF27" s="218" t="s">
        <v>393</v>
      </c>
      <c r="AG27" s="211"/>
      <c r="AH27" s="211"/>
      <c r="AI27" s="218" t="s">
        <v>383</v>
      </c>
      <c r="AJ27" s="211"/>
    </row>
    <row r="28" spans="1:36" x14ac:dyDescent="0.3">
      <c r="A28" s="213" t="s">
        <v>390</v>
      </c>
      <c r="B28" s="214">
        <v>45991</v>
      </c>
      <c r="C28" s="215" t="s">
        <v>66</v>
      </c>
      <c r="D28" s="216" t="s">
        <v>362</v>
      </c>
      <c r="E28" s="215" t="s">
        <v>1</v>
      </c>
      <c r="F28" s="215" t="s">
        <v>287</v>
      </c>
      <c r="G28" s="217">
        <v>0.58660000000000001</v>
      </c>
      <c r="H28" s="218">
        <v>179</v>
      </c>
      <c r="I28" s="218">
        <v>105</v>
      </c>
      <c r="J28" s="218">
        <v>47</v>
      </c>
      <c r="K28" s="215" t="s">
        <v>288</v>
      </c>
      <c r="L28" s="219">
        <v>45981</v>
      </c>
      <c r="M28" s="218">
        <v>0</v>
      </c>
      <c r="N28" s="218">
        <v>8</v>
      </c>
      <c r="O28" s="218">
        <v>35</v>
      </c>
      <c r="P28" s="215" t="s">
        <v>166</v>
      </c>
      <c r="Q28" s="211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8" t="s">
        <v>339</v>
      </c>
      <c r="AE28" s="218" t="s">
        <v>394</v>
      </c>
      <c r="AF28" s="218" t="s">
        <v>395</v>
      </c>
      <c r="AG28" s="211"/>
      <c r="AH28" s="211"/>
      <c r="AI28" s="218" t="s">
        <v>330</v>
      </c>
      <c r="AJ28" s="211"/>
    </row>
    <row r="29" spans="1:36" x14ac:dyDescent="0.3">
      <c r="A29" s="213" t="s">
        <v>390</v>
      </c>
      <c r="B29" s="214">
        <v>45991</v>
      </c>
      <c r="C29" s="215" t="s">
        <v>190</v>
      </c>
      <c r="D29" s="216" t="s">
        <v>345</v>
      </c>
      <c r="E29" s="215" t="s">
        <v>1</v>
      </c>
      <c r="F29" s="215" t="s">
        <v>287</v>
      </c>
      <c r="G29" s="217">
        <v>0.60709999999999997</v>
      </c>
      <c r="H29" s="218">
        <v>168</v>
      </c>
      <c r="I29" s="218">
        <v>102</v>
      </c>
      <c r="J29" s="218">
        <v>83</v>
      </c>
      <c r="K29" s="215" t="s">
        <v>288</v>
      </c>
      <c r="L29" s="219">
        <v>45979</v>
      </c>
      <c r="M29" s="218">
        <v>0</v>
      </c>
      <c r="N29" s="218">
        <v>0</v>
      </c>
      <c r="O29" s="218">
        <v>5</v>
      </c>
      <c r="P29" s="215" t="s">
        <v>60</v>
      </c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8" t="s">
        <v>339</v>
      </c>
      <c r="AE29" s="218" t="s">
        <v>315</v>
      </c>
      <c r="AF29" s="218" t="s">
        <v>396</v>
      </c>
      <c r="AG29" s="211"/>
      <c r="AH29" s="211"/>
      <c r="AI29" s="218" t="s">
        <v>397</v>
      </c>
      <c r="AJ29" s="211"/>
    </row>
    <row r="30" spans="1:36" x14ac:dyDescent="0.3">
      <c r="A30" s="213" t="s">
        <v>390</v>
      </c>
      <c r="B30" s="214">
        <v>45991</v>
      </c>
      <c r="C30" s="215" t="s">
        <v>75</v>
      </c>
      <c r="D30" s="216" t="s">
        <v>398</v>
      </c>
      <c r="E30" s="215" t="s">
        <v>1</v>
      </c>
      <c r="F30" s="215" t="s">
        <v>287</v>
      </c>
      <c r="G30" s="217">
        <v>0.93300000000000005</v>
      </c>
      <c r="H30" s="218">
        <v>179</v>
      </c>
      <c r="I30" s="218">
        <v>167</v>
      </c>
      <c r="J30" s="218">
        <v>157</v>
      </c>
      <c r="K30" s="215" t="s">
        <v>288</v>
      </c>
      <c r="L30" s="219">
        <v>45981</v>
      </c>
      <c r="M30" s="218">
        <v>0</v>
      </c>
      <c r="N30" s="218">
        <v>1</v>
      </c>
      <c r="O30" s="218">
        <v>4</v>
      </c>
      <c r="P30" s="215" t="s">
        <v>245</v>
      </c>
      <c r="Q30" s="211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8" t="s">
        <v>245</v>
      </c>
      <c r="AD30" s="211"/>
      <c r="AE30" s="218" t="s">
        <v>399</v>
      </c>
      <c r="AF30" s="218" t="s">
        <v>396</v>
      </c>
      <c r="AG30" s="211"/>
      <c r="AH30" s="211"/>
      <c r="AI30" s="218" t="s">
        <v>400</v>
      </c>
      <c r="AJ30" s="211"/>
    </row>
    <row r="31" spans="1:36" x14ac:dyDescent="0.3">
      <c r="A31" s="213" t="s">
        <v>390</v>
      </c>
      <c r="B31" s="214">
        <v>45991</v>
      </c>
      <c r="C31" s="215" t="s">
        <v>70</v>
      </c>
      <c r="D31" s="216" t="s">
        <v>401</v>
      </c>
      <c r="E31" s="215" t="s">
        <v>1</v>
      </c>
      <c r="F31" s="215" t="s">
        <v>287</v>
      </c>
      <c r="G31" s="217">
        <v>0.95530000000000004</v>
      </c>
      <c r="H31" s="218">
        <v>179</v>
      </c>
      <c r="I31" s="218">
        <v>171</v>
      </c>
      <c r="J31" s="218">
        <v>133</v>
      </c>
      <c r="K31" s="215" t="s">
        <v>288</v>
      </c>
      <c r="L31" s="219">
        <v>45976</v>
      </c>
      <c r="M31" s="218">
        <v>0</v>
      </c>
      <c r="N31" s="218">
        <v>0</v>
      </c>
      <c r="O31" s="218">
        <v>3</v>
      </c>
      <c r="P31" s="215" t="s">
        <v>81</v>
      </c>
      <c r="Q31" s="211"/>
      <c r="R31" s="211"/>
      <c r="S31" s="211"/>
      <c r="T31" s="211"/>
      <c r="U31" s="211"/>
      <c r="V31" s="218" t="s">
        <v>402</v>
      </c>
      <c r="W31" s="211"/>
      <c r="X31" s="211"/>
      <c r="Y31" s="211"/>
      <c r="Z31" s="218" t="s">
        <v>371</v>
      </c>
      <c r="AA31" s="211"/>
      <c r="AB31" s="211"/>
      <c r="AC31" s="218" t="s">
        <v>303</v>
      </c>
      <c r="AD31" s="218" t="s">
        <v>403</v>
      </c>
      <c r="AE31" s="218" t="s">
        <v>404</v>
      </c>
      <c r="AF31" s="218" t="s">
        <v>227</v>
      </c>
      <c r="AG31" s="218" t="s">
        <v>405</v>
      </c>
      <c r="AH31" s="211"/>
      <c r="AI31" s="218" t="s">
        <v>406</v>
      </c>
      <c r="AJ31" s="218" t="s">
        <v>334</v>
      </c>
    </row>
    <row r="32" spans="1:36" ht="21" x14ac:dyDescent="0.3">
      <c r="A32" s="220" t="s">
        <v>671</v>
      </c>
      <c r="B32" s="221"/>
      <c r="C32" s="220">
        <f>SUBTOTAL(103,JED_CAI_LF_LEGACY[Flt])</f>
        <v>30</v>
      </c>
      <c r="D32" s="220"/>
      <c r="E32" s="220">
        <f>SUBTOTAL(103,JED_CAI_LF_LEGACY[Brd-Off])</f>
        <v>30</v>
      </c>
      <c r="F32" s="220"/>
      <c r="G32" s="222">
        <f>SUBTOTAL(101,JED_CAI_LF_LEGACY[LF%])</f>
        <v>0.60775666666666672</v>
      </c>
      <c r="H32" s="223">
        <f>SUBTOTAL(109,JED_CAI_LF_LEGACY[CAP])</f>
        <v>5359</v>
      </c>
      <c r="I32" s="223">
        <f>SUBTOTAL(109,JED_CAI_LF_LEGACY[BKG(Y)])</f>
        <v>3257</v>
      </c>
      <c r="J32" s="223">
        <f>SUBTOTAL(109,JED_CAI_LF_LEGACY[GRP(Y)])</f>
        <v>1931</v>
      </c>
      <c r="K32" s="220"/>
      <c r="L32" s="221"/>
      <c r="M32" s="223">
        <f>SUBTOTAL(109,JED_CAI_LF_LEGACY[TO-DAY])</f>
        <v>7</v>
      </c>
      <c r="N32" s="223">
        <f>SUBTOTAL(109,JED_CAI_LF_LEGACY[Y-DAY])</f>
        <v>144</v>
      </c>
      <c r="O32" s="223">
        <f>SUBTOTAL(109,JED_CAI_LF_LEGACY[WEEKLY])</f>
        <v>789</v>
      </c>
      <c r="P32" s="224"/>
      <c r="Q32" s="223">
        <f>SUBTOTAL(109,JED_CAI_LF_LEGACY[Y])</f>
        <v>0</v>
      </c>
      <c r="R32" s="223">
        <f>SUBTOTAL(109,JED_CAI_LF_LEGACY[B])</f>
        <v>0</v>
      </c>
      <c r="S32" s="223">
        <f>SUBTOTAL(109,JED_CAI_LF_LEGACY[M])</f>
        <v>0</v>
      </c>
      <c r="T32" s="223">
        <f>SUBTOTAL(109,JED_CAI_LF_LEGACY[H])</f>
        <v>0</v>
      </c>
      <c r="U32" s="223">
        <f>SUBTOTAL(109,JED_CAI_LF_LEGACY[Q])</f>
        <v>0</v>
      </c>
      <c r="V32" s="223">
        <f>SUBTOTAL(109,JED_CAI_LF_LEGACY[K])</f>
        <v>0</v>
      </c>
      <c r="W32" s="223">
        <f>SUBTOTAL(109,JED_CAI_LF_LEGACY[V])</f>
        <v>0</v>
      </c>
      <c r="X32" s="223">
        <f>SUBTOTAL(109,JED_CAI_LF_LEGACY[L])</f>
        <v>0</v>
      </c>
      <c r="Y32" s="223">
        <f>SUBTOTAL(109,JED_CAI_LF_LEGACY[G])</f>
        <v>0</v>
      </c>
      <c r="Z32" s="223">
        <f>SUBTOTAL(109,JED_CAI_LF_LEGACY[S])</f>
        <v>0</v>
      </c>
      <c r="AA32" s="223">
        <f>SUBTOTAL(109,JED_CAI_LF_LEGACY[W])</f>
        <v>0</v>
      </c>
      <c r="AB32" s="223">
        <f>SUBTOTAL(109,JED_CAI_LF_LEGACY[T])</f>
        <v>0</v>
      </c>
      <c r="AC32" s="223">
        <f>SUBTOTAL(109,JED_CAI_LF_LEGACY[X])</f>
        <v>0</v>
      </c>
      <c r="AD32" s="223">
        <f>SUBTOTAL(109,JED_CAI_LF_LEGACY[U])</f>
        <v>0</v>
      </c>
      <c r="AE32" s="223">
        <f>SUBTOTAL(109,JED_CAI_LF_LEGACY[O])</f>
        <v>0</v>
      </c>
      <c r="AF32" s="223">
        <f>SUBTOTAL(109,JED_CAI_LF_LEGACY[I])</f>
        <v>0</v>
      </c>
      <c r="AG32" s="223">
        <f>SUBTOTAL(109,JED_CAI_LF_LEGACY[E])</f>
        <v>0</v>
      </c>
      <c r="AH32" s="223">
        <f>SUBTOTAL(109,JED_CAI_LF_LEGACY[A])</f>
        <v>0</v>
      </c>
      <c r="AI32" s="223">
        <f>SUBTOTAL(109,JED_CAI_LF_LEGACY[P])</f>
        <v>0</v>
      </c>
      <c r="AJ32" s="223">
        <f>SUBTOTAL(103,JED_CAI_LF_LEGACY[N])</f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2" hidden="1" customWidth="1"/>
  </cols>
  <sheetData>
    <row r="1" spans="1:8" ht="18" x14ac:dyDescent="0.3">
      <c r="A1" s="134" t="s">
        <v>407</v>
      </c>
      <c r="B1" s="135" t="s">
        <v>8</v>
      </c>
      <c r="C1" s="135" t="s">
        <v>9</v>
      </c>
      <c r="D1" s="135" t="s">
        <v>408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 t="s">
        <v>409</v>
      </c>
      <c r="B2" s="138" t="s">
        <v>26</v>
      </c>
      <c r="C2" s="139" t="s">
        <v>27</v>
      </c>
      <c r="D2" s="138" t="s">
        <v>1</v>
      </c>
      <c r="E2" s="138" t="s">
        <v>349</v>
      </c>
      <c r="F2" s="138" t="s">
        <v>28</v>
      </c>
      <c r="G2" s="140">
        <v>9</v>
      </c>
      <c r="H2" s="141">
        <v>401</v>
      </c>
    </row>
    <row r="3" spans="1:8" ht="19.8" customHeight="1" x14ac:dyDescent="0.3">
      <c r="A3" s="137" t="s">
        <v>409</v>
      </c>
      <c r="B3" s="138" t="s">
        <v>26</v>
      </c>
      <c r="C3" s="139" t="s">
        <v>31</v>
      </c>
      <c r="D3" s="138" t="s">
        <v>1</v>
      </c>
      <c r="E3" s="138" t="s">
        <v>410</v>
      </c>
      <c r="F3" s="138" t="s">
        <v>28</v>
      </c>
      <c r="G3" s="140">
        <v>9</v>
      </c>
      <c r="H3" s="141">
        <v>401</v>
      </c>
    </row>
    <row r="4" spans="1:8" ht="19.8" customHeight="1" x14ac:dyDescent="0.3">
      <c r="A4" s="137" t="s">
        <v>409</v>
      </c>
      <c r="B4" s="138" t="s">
        <v>35</v>
      </c>
      <c r="C4" s="139" t="s">
        <v>36</v>
      </c>
      <c r="D4" s="138" t="s">
        <v>1</v>
      </c>
      <c r="E4" s="138" t="s">
        <v>411</v>
      </c>
      <c r="F4" s="138" t="s">
        <v>37</v>
      </c>
      <c r="G4" s="140">
        <v>2</v>
      </c>
      <c r="H4" s="141">
        <v>419</v>
      </c>
    </row>
    <row r="5" spans="1:8" ht="19.8" customHeight="1" x14ac:dyDescent="0.3">
      <c r="A5" s="137" t="s">
        <v>409</v>
      </c>
      <c r="B5" s="138" t="s">
        <v>35</v>
      </c>
      <c r="C5" s="139" t="s">
        <v>45</v>
      </c>
      <c r="D5" s="138" t="s">
        <v>1</v>
      </c>
      <c r="E5" s="138" t="s">
        <v>412</v>
      </c>
      <c r="F5" s="138" t="s">
        <v>37</v>
      </c>
      <c r="G5" s="140">
        <v>2</v>
      </c>
      <c r="H5" s="141">
        <v>419</v>
      </c>
    </row>
    <row r="6" spans="1:8" ht="19.8" customHeight="1" x14ac:dyDescent="0.3">
      <c r="A6" s="137" t="s">
        <v>409</v>
      </c>
      <c r="B6" s="138" t="s">
        <v>35</v>
      </c>
      <c r="C6" s="139" t="s">
        <v>47</v>
      </c>
      <c r="D6" s="138" t="s">
        <v>1</v>
      </c>
      <c r="E6" s="138" t="s">
        <v>413</v>
      </c>
      <c r="F6" s="138" t="s">
        <v>37</v>
      </c>
      <c r="G6" s="140">
        <v>1</v>
      </c>
      <c r="H6" s="141">
        <v>419</v>
      </c>
    </row>
    <row r="7" spans="1:8" ht="19.8" customHeight="1" x14ac:dyDescent="0.3">
      <c r="A7" s="142" t="s">
        <v>409</v>
      </c>
      <c r="B7" s="143" t="s">
        <v>55</v>
      </c>
      <c r="C7" s="144" t="s">
        <v>56</v>
      </c>
      <c r="D7" s="143" t="s">
        <v>1</v>
      </c>
      <c r="E7" s="143" t="s">
        <v>313</v>
      </c>
      <c r="F7" s="143" t="s">
        <v>57</v>
      </c>
      <c r="G7" s="145">
        <v>9</v>
      </c>
      <c r="H7" s="146">
        <v>436</v>
      </c>
    </row>
    <row r="8" spans="1:8" ht="19.8" customHeight="1" x14ac:dyDescent="0.3">
      <c r="A8" s="147">
        <v>45986</v>
      </c>
      <c r="B8" s="143" t="s">
        <v>55</v>
      </c>
      <c r="C8" s="144" t="s">
        <v>62</v>
      </c>
      <c r="D8" s="143" t="s">
        <v>1</v>
      </c>
      <c r="E8" s="148">
        <v>1.229166666666667</v>
      </c>
      <c r="F8" s="143" t="s">
        <v>57</v>
      </c>
      <c r="G8" s="145">
        <v>9</v>
      </c>
      <c r="H8" s="146">
        <v>436</v>
      </c>
    </row>
    <row r="9" spans="1:8" ht="19.8" customHeight="1" x14ac:dyDescent="0.3">
      <c r="A9" s="147">
        <v>45986</v>
      </c>
      <c r="B9" s="143" t="s">
        <v>55</v>
      </c>
      <c r="C9" s="144" t="s">
        <v>65</v>
      </c>
      <c r="D9" s="143" t="s">
        <v>1</v>
      </c>
      <c r="E9" s="148">
        <v>1.96875</v>
      </c>
      <c r="F9" s="143" t="s">
        <v>57</v>
      </c>
      <c r="G9" s="145">
        <v>9</v>
      </c>
      <c r="H9" s="146">
        <v>436</v>
      </c>
    </row>
    <row r="10" spans="1:8" ht="19.8" customHeight="1" x14ac:dyDescent="0.3">
      <c r="A10" s="147">
        <v>45986</v>
      </c>
      <c r="B10" s="143" t="s">
        <v>55</v>
      </c>
      <c r="C10" s="144" t="s">
        <v>68</v>
      </c>
      <c r="D10" s="143" t="s">
        <v>1</v>
      </c>
      <c r="E10" s="148">
        <v>1.614583333333333</v>
      </c>
      <c r="F10" s="143" t="s">
        <v>57</v>
      </c>
      <c r="G10" s="145">
        <v>6</v>
      </c>
      <c r="H10" s="146">
        <v>436</v>
      </c>
    </row>
    <row r="11" spans="1:8" ht="19.8" customHeight="1" x14ac:dyDescent="0.3">
      <c r="A11" s="149">
        <v>45986</v>
      </c>
      <c r="B11" s="138" t="s">
        <v>83</v>
      </c>
      <c r="C11" s="139" t="s">
        <v>84</v>
      </c>
      <c r="D11" s="138" t="s">
        <v>1</v>
      </c>
      <c r="E11" s="150">
        <v>1.9027777777777779</v>
      </c>
      <c r="F11" s="138" t="s">
        <v>85</v>
      </c>
      <c r="G11" s="140">
        <v>2</v>
      </c>
      <c r="H11" s="141">
        <v>449</v>
      </c>
    </row>
    <row r="12" spans="1:8" ht="19.8" customHeight="1" x14ac:dyDescent="0.3">
      <c r="A12" s="149">
        <v>45986</v>
      </c>
      <c r="B12" s="138" t="s">
        <v>83</v>
      </c>
      <c r="C12" s="139" t="s">
        <v>91</v>
      </c>
      <c r="D12" s="138" t="s">
        <v>1</v>
      </c>
      <c r="E12" s="150">
        <v>1.7986111111111109</v>
      </c>
      <c r="F12" s="138" t="s">
        <v>85</v>
      </c>
      <c r="G12" s="140">
        <v>3</v>
      </c>
      <c r="H12" s="141">
        <v>449</v>
      </c>
    </row>
    <row r="13" spans="1:8" ht="19.8" customHeight="1" x14ac:dyDescent="0.3">
      <c r="A13" s="149">
        <v>45986</v>
      </c>
      <c r="B13" s="138" t="s">
        <v>35</v>
      </c>
      <c r="C13" s="139" t="s">
        <v>50</v>
      </c>
      <c r="D13" s="138" t="s">
        <v>1</v>
      </c>
      <c r="E13" s="150">
        <v>1.1284722222222221</v>
      </c>
      <c r="F13" s="138" t="s">
        <v>37</v>
      </c>
      <c r="G13" s="140">
        <v>5</v>
      </c>
      <c r="H13" s="141">
        <v>459</v>
      </c>
    </row>
    <row r="14" spans="1:8" ht="19.8" customHeight="1" x14ac:dyDescent="0.3">
      <c r="A14" s="147">
        <v>45986</v>
      </c>
      <c r="B14" s="143" t="s">
        <v>55</v>
      </c>
      <c r="C14" s="144" t="s">
        <v>73</v>
      </c>
      <c r="D14" s="143" t="s">
        <v>1</v>
      </c>
      <c r="E14" s="148">
        <v>1.729166666666667</v>
      </c>
      <c r="F14" s="143" t="s">
        <v>57</v>
      </c>
      <c r="G14" s="145">
        <v>1</v>
      </c>
      <c r="H14" s="146">
        <v>471</v>
      </c>
    </row>
    <row r="15" spans="1:8" ht="19.8" customHeight="1" x14ac:dyDescent="0.3">
      <c r="A15" s="149">
        <v>45986</v>
      </c>
      <c r="B15" s="138" t="s">
        <v>83</v>
      </c>
      <c r="C15" s="139" t="s">
        <v>94</v>
      </c>
      <c r="D15" s="138" t="s">
        <v>1</v>
      </c>
      <c r="E15" s="150">
        <v>1.256944444444444</v>
      </c>
      <c r="F15" s="138" t="s">
        <v>85</v>
      </c>
      <c r="G15" s="140">
        <v>9</v>
      </c>
      <c r="H15" s="141">
        <v>489</v>
      </c>
    </row>
    <row r="16" spans="1:8" ht="19.8" customHeight="1" x14ac:dyDescent="0.3">
      <c r="A16" s="149">
        <v>45986</v>
      </c>
      <c r="B16" s="138" t="s">
        <v>83</v>
      </c>
      <c r="C16" s="139" t="s">
        <v>100</v>
      </c>
      <c r="D16" s="138" t="s">
        <v>1</v>
      </c>
      <c r="E16" s="150">
        <v>1.645833333333333</v>
      </c>
      <c r="F16" s="138" t="s">
        <v>85</v>
      </c>
      <c r="G16" s="140">
        <v>9</v>
      </c>
      <c r="H16" s="141">
        <v>489</v>
      </c>
    </row>
    <row r="17" spans="1:8" ht="19.8" customHeight="1" x14ac:dyDescent="0.3">
      <c r="A17" s="149">
        <v>45986</v>
      </c>
      <c r="B17" s="138" t="s">
        <v>83</v>
      </c>
      <c r="C17" s="139" t="s">
        <v>101</v>
      </c>
      <c r="D17" s="138" t="s">
        <v>1</v>
      </c>
      <c r="E17" s="150">
        <v>1.5173611111111109</v>
      </c>
      <c r="F17" s="138" t="s">
        <v>85</v>
      </c>
      <c r="G17" s="140">
        <v>9</v>
      </c>
      <c r="H17" s="141">
        <v>489</v>
      </c>
    </row>
    <row r="18" spans="1:8" ht="19.8" customHeight="1" x14ac:dyDescent="0.3">
      <c r="A18" s="149">
        <v>45986</v>
      </c>
      <c r="B18" s="138" t="s">
        <v>83</v>
      </c>
      <c r="C18" s="139" t="s">
        <v>102</v>
      </c>
      <c r="D18" s="138" t="s">
        <v>1</v>
      </c>
      <c r="E18" s="150">
        <v>1.854166666666667</v>
      </c>
      <c r="F18" s="138" t="s">
        <v>85</v>
      </c>
      <c r="G18" s="140">
        <v>9</v>
      </c>
      <c r="H18" s="141">
        <v>489</v>
      </c>
    </row>
    <row r="19" spans="1:8" ht="19.8" customHeight="1" x14ac:dyDescent="0.3">
      <c r="A19" s="149">
        <v>45986</v>
      </c>
      <c r="B19" s="138" t="s">
        <v>83</v>
      </c>
      <c r="C19" s="139" t="s">
        <v>103</v>
      </c>
      <c r="D19" s="138" t="s">
        <v>1</v>
      </c>
      <c r="E19" s="150">
        <v>1.302083333333333</v>
      </c>
      <c r="F19" s="138" t="s">
        <v>85</v>
      </c>
      <c r="G19" s="140">
        <v>9</v>
      </c>
      <c r="H19" s="141">
        <v>489</v>
      </c>
    </row>
    <row r="20" spans="1:8" ht="19.8" customHeight="1" x14ac:dyDescent="0.3">
      <c r="A20" s="149">
        <v>45986</v>
      </c>
      <c r="B20" s="138" t="s">
        <v>83</v>
      </c>
      <c r="C20" s="139" t="s">
        <v>104</v>
      </c>
      <c r="D20" s="138" t="s">
        <v>1</v>
      </c>
      <c r="E20" s="150">
        <v>1.395833333333333</v>
      </c>
      <c r="F20" s="138" t="s">
        <v>85</v>
      </c>
      <c r="G20" s="140">
        <v>4</v>
      </c>
      <c r="H20" s="141">
        <v>529</v>
      </c>
    </row>
    <row r="21" spans="1:8" ht="19.8" customHeight="1" x14ac:dyDescent="0.3">
      <c r="A21" s="149">
        <v>45986</v>
      </c>
      <c r="B21" s="138" t="s">
        <v>110</v>
      </c>
      <c r="C21" s="139" t="s">
        <v>111</v>
      </c>
      <c r="D21" s="138" t="s">
        <v>1</v>
      </c>
      <c r="E21" s="150">
        <v>1.2222222222222221</v>
      </c>
      <c r="F21" s="138" t="s">
        <v>112</v>
      </c>
      <c r="G21" s="140">
        <v>9</v>
      </c>
      <c r="H21" s="141">
        <v>536</v>
      </c>
    </row>
    <row r="22" spans="1:8" ht="19.8" customHeight="1" x14ac:dyDescent="0.3">
      <c r="A22" s="149">
        <v>45986</v>
      </c>
      <c r="B22" s="138" t="s">
        <v>83</v>
      </c>
      <c r="C22" s="139" t="s">
        <v>84</v>
      </c>
      <c r="D22" s="138" t="s">
        <v>1</v>
      </c>
      <c r="E22" s="150">
        <v>1.9027777777777779</v>
      </c>
      <c r="F22" s="138" t="s">
        <v>87</v>
      </c>
      <c r="G22" s="140">
        <v>2</v>
      </c>
      <c r="H22" s="141">
        <v>549</v>
      </c>
    </row>
    <row r="23" spans="1:8" ht="19.8" customHeight="1" x14ac:dyDescent="0.3">
      <c r="A23" s="149">
        <v>45986</v>
      </c>
      <c r="B23" s="138" t="s">
        <v>83</v>
      </c>
      <c r="C23" s="139" t="s">
        <v>91</v>
      </c>
      <c r="D23" s="138" t="s">
        <v>1</v>
      </c>
      <c r="E23" s="150">
        <v>1.7986111111111109</v>
      </c>
      <c r="F23" s="138" t="s">
        <v>87</v>
      </c>
      <c r="G23" s="140">
        <v>3</v>
      </c>
      <c r="H23" s="141">
        <v>549</v>
      </c>
    </row>
    <row r="24" spans="1:8" ht="19.8" customHeight="1" x14ac:dyDescent="0.3">
      <c r="A24" s="149">
        <v>45986</v>
      </c>
      <c r="B24" s="138" t="s">
        <v>35</v>
      </c>
      <c r="C24" s="139" t="s">
        <v>36</v>
      </c>
      <c r="D24" s="138" t="s">
        <v>1</v>
      </c>
      <c r="E24" s="150">
        <v>1.302083333333333</v>
      </c>
      <c r="F24" s="138" t="s">
        <v>40</v>
      </c>
      <c r="G24" s="140">
        <v>2</v>
      </c>
      <c r="H24" s="141">
        <v>569</v>
      </c>
    </row>
    <row r="25" spans="1:8" ht="19.8" customHeight="1" x14ac:dyDescent="0.3">
      <c r="A25" s="149">
        <v>45986</v>
      </c>
      <c r="B25" s="138" t="s">
        <v>35</v>
      </c>
      <c r="C25" s="139" t="s">
        <v>45</v>
      </c>
      <c r="D25" s="138" t="s">
        <v>1</v>
      </c>
      <c r="E25" s="150">
        <v>1.788194444444444</v>
      </c>
      <c r="F25" s="138" t="s">
        <v>40</v>
      </c>
      <c r="G25" s="140">
        <v>2</v>
      </c>
      <c r="H25" s="141">
        <v>569</v>
      </c>
    </row>
    <row r="26" spans="1:8" ht="19.8" customHeight="1" x14ac:dyDescent="0.3">
      <c r="A26" s="149">
        <v>45986</v>
      </c>
      <c r="B26" s="138" t="s">
        <v>35</v>
      </c>
      <c r="C26" s="139" t="s">
        <v>47</v>
      </c>
      <c r="D26" s="138" t="s">
        <v>1</v>
      </c>
      <c r="E26" s="150">
        <v>1.8888888888888891</v>
      </c>
      <c r="F26" s="138" t="s">
        <v>40</v>
      </c>
      <c r="G26" s="140">
        <v>1</v>
      </c>
      <c r="H26" s="141">
        <v>569</v>
      </c>
    </row>
    <row r="27" spans="1:8" ht="19.8" customHeight="1" x14ac:dyDescent="0.3">
      <c r="A27" s="149">
        <v>45986</v>
      </c>
      <c r="B27" s="138" t="s">
        <v>83</v>
      </c>
      <c r="C27" s="139" t="s">
        <v>94</v>
      </c>
      <c r="D27" s="138" t="s">
        <v>1</v>
      </c>
      <c r="E27" s="150">
        <v>1.256944444444444</v>
      </c>
      <c r="F27" s="138" t="s">
        <v>87</v>
      </c>
      <c r="G27" s="140">
        <v>9</v>
      </c>
      <c r="H27" s="141">
        <v>589</v>
      </c>
    </row>
    <row r="28" spans="1:8" ht="19.8" customHeight="1" x14ac:dyDescent="0.3">
      <c r="A28" s="149">
        <v>45986</v>
      </c>
      <c r="B28" s="138" t="s">
        <v>83</v>
      </c>
      <c r="C28" s="139" t="s">
        <v>100</v>
      </c>
      <c r="D28" s="138" t="s">
        <v>1</v>
      </c>
      <c r="E28" s="150">
        <v>1.645833333333333</v>
      </c>
      <c r="F28" s="138" t="s">
        <v>87</v>
      </c>
      <c r="G28" s="140">
        <v>9</v>
      </c>
      <c r="H28" s="141">
        <v>589</v>
      </c>
    </row>
    <row r="29" spans="1:8" ht="19.8" customHeight="1" x14ac:dyDescent="0.3">
      <c r="A29" s="149">
        <v>45986</v>
      </c>
      <c r="B29" s="138" t="s">
        <v>83</v>
      </c>
      <c r="C29" s="139" t="s">
        <v>101</v>
      </c>
      <c r="D29" s="138" t="s">
        <v>1</v>
      </c>
      <c r="E29" s="150">
        <v>1.5173611111111109</v>
      </c>
      <c r="F29" s="138" t="s">
        <v>87</v>
      </c>
      <c r="G29" s="140">
        <v>9</v>
      </c>
      <c r="H29" s="141">
        <v>589</v>
      </c>
    </row>
    <row r="30" spans="1:8" ht="19.8" customHeight="1" x14ac:dyDescent="0.3">
      <c r="A30" s="149">
        <v>45986</v>
      </c>
      <c r="B30" s="138" t="s">
        <v>83</v>
      </c>
      <c r="C30" s="139" t="s">
        <v>102</v>
      </c>
      <c r="D30" s="138" t="s">
        <v>1</v>
      </c>
      <c r="E30" s="150">
        <v>1.854166666666667</v>
      </c>
      <c r="F30" s="138" t="s">
        <v>87</v>
      </c>
      <c r="G30" s="140">
        <v>9</v>
      </c>
      <c r="H30" s="141">
        <v>589</v>
      </c>
    </row>
    <row r="31" spans="1:8" ht="19.8" customHeight="1" x14ac:dyDescent="0.3">
      <c r="A31" s="149">
        <v>45986</v>
      </c>
      <c r="B31" s="138" t="s">
        <v>83</v>
      </c>
      <c r="C31" s="139" t="s">
        <v>103</v>
      </c>
      <c r="D31" s="138" t="s">
        <v>1</v>
      </c>
      <c r="E31" s="150">
        <v>1.302083333333333</v>
      </c>
      <c r="F31" s="138" t="s">
        <v>87</v>
      </c>
      <c r="G31" s="140">
        <v>9</v>
      </c>
      <c r="H31" s="141">
        <v>589</v>
      </c>
    </row>
    <row r="32" spans="1:8" ht="19.8" customHeight="1" x14ac:dyDescent="0.3">
      <c r="A32" s="149">
        <v>45986</v>
      </c>
      <c r="B32" s="138" t="s">
        <v>116</v>
      </c>
      <c r="C32" s="139" t="s">
        <v>117</v>
      </c>
      <c r="D32" s="138" t="s">
        <v>1</v>
      </c>
      <c r="E32" s="150">
        <v>1.274305555555556</v>
      </c>
      <c r="F32" s="138" t="s">
        <v>28</v>
      </c>
      <c r="G32" s="140">
        <v>9</v>
      </c>
      <c r="H32" s="141">
        <v>595</v>
      </c>
    </row>
    <row r="33" spans="1:8" ht="19.8" customHeight="1" x14ac:dyDescent="0.3">
      <c r="A33" s="149">
        <v>45986</v>
      </c>
      <c r="B33" s="138" t="s">
        <v>26</v>
      </c>
      <c r="C33" s="139" t="s">
        <v>33</v>
      </c>
      <c r="D33" s="138" t="s">
        <v>1</v>
      </c>
      <c r="E33" s="150">
        <v>1.666666666666667</v>
      </c>
      <c r="F33" s="138" t="s">
        <v>28</v>
      </c>
      <c r="G33" s="140">
        <v>9</v>
      </c>
      <c r="H33" s="141">
        <v>599</v>
      </c>
    </row>
    <row r="34" spans="1:8" ht="19.8" customHeight="1" x14ac:dyDescent="0.3">
      <c r="A34" s="149">
        <v>45986</v>
      </c>
      <c r="B34" s="138" t="s">
        <v>35</v>
      </c>
      <c r="C34" s="139" t="s">
        <v>50</v>
      </c>
      <c r="D34" s="138" t="s">
        <v>1</v>
      </c>
      <c r="E34" s="150">
        <v>1.1284722222222221</v>
      </c>
      <c r="F34" s="138" t="s">
        <v>40</v>
      </c>
      <c r="G34" s="140">
        <v>5</v>
      </c>
      <c r="H34" s="141">
        <v>609</v>
      </c>
    </row>
    <row r="35" spans="1:8" ht="19.8" customHeight="1" x14ac:dyDescent="0.3">
      <c r="A35" s="149">
        <v>45986</v>
      </c>
      <c r="B35" s="138" t="s">
        <v>83</v>
      </c>
      <c r="C35" s="139" t="s">
        <v>104</v>
      </c>
      <c r="D35" s="138" t="s">
        <v>1</v>
      </c>
      <c r="E35" s="150">
        <v>1.395833333333333</v>
      </c>
      <c r="F35" s="138" t="s">
        <v>87</v>
      </c>
      <c r="G35" s="140">
        <v>4</v>
      </c>
      <c r="H35" s="141">
        <v>629</v>
      </c>
    </row>
    <row r="36" spans="1:8" ht="19.8" customHeight="1" x14ac:dyDescent="0.3">
      <c r="A36" s="149">
        <v>45986</v>
      </c>
      <c r="B36" s="138" t="s">
        <v>83</v>
      </c>
      <c r="C36" s="139" t="s">
        <v>84</v>
      </c>
      <c r="D36" s="138" t="s">
        <v>1</v>
      </c>
      <c r="E36" s="150">
        <v>1.9027777777777779</v>
      </c>
      <c r="F36" s="138" t="s">
        <v>89</v>
      </c>
      <c r="G36" s="140">
        <v>2</v>
      </c>
      <c r="H36" s="141">
        <v>639</v>
      </c>
    </row>
    <row r="37" spans="1:8" ht="19.8" customHeight="1" x14ac:dyDescent="0.3">
      <c r="A37" s="149">
        <v>45986</v>
      </c>
      <c r="B37" s="138" t="s">
        <v>83</v>
      </c>
      <c r="C37" s="139" t="s">
        <v>91</v>
      </c>
      <c r="D37" s="138" t="s">
        <v>1</v>
      </c>
      <c r="E37" s="150">
        <v>1.7986111111111109</v>
      </c>
      <c r="F37" s="138" t="s">
        <v>89</v>
      </c>
      <c r="G37" s="140">
        <v>3</v>
      </c>
      <c r="H37" s="141">
        <v>639</v>
      </c>
    </row>
    <row r="38" spans="1:8" ht="19.8" customHeight="1" x14ac:dyDescent="0.3">
      <c r="A38" s="149">
        <v>45986</v>
      </c>
      <c r="B38" s="138" t="s">
        <v>116</v>
      </c>
      <c r="C38" s="139" t="s">
        <v>119</v>
      </c>
      <c r="D38" s="138" t="s">
        <v>1</v>
      </c>
      <c r="E38" s="150">
        <v>1.739583333333333</v>
      </c>
      <c r="F38" s="138" t="s">
        <v>28</v>
      </c>
      <c r="G38" s="140">
        <v>9</v>
      </c>
      <c r="H38" s="141">
        <v>645</v>
      </c>
    </row>
    <row r="39" spans="1:8" ht="19.8" customHeight="1" x14ac:dyDescent="0.3">
      <c r="A39" s="149">
        <v>45986</v>
      </c>
      <c r="B39" s="138" t="s">
        <v>110</v>
      </c>
      <c r="C39" s="139" t="s">
        <v>111</v>
      </c>
      <c r="D39" s="138" t="s">
        <v>1</v>
      </c>
      <c r="E39" s="150">
        <v>1.2222222222222221</v>
      </c>
      <c r="F39" s="138" t="s">
        <v>43</v>
      </c>
      <c r="G39" s="140">
        <v>9</v>
      </c>
      <c r="H39" s="141">
        <v>660</v>
      </c>
    </row>
    <row r="40" spans="1:8" ht="19.8" customHeight="1" x14ac:dyDescent="0.3">
      <c r="A40" s="149">
        <v>45986</v>
      </c>
      <c r="B40" s="138" t="s">
        <v>121</v>
      </c>
      <c r="C40" s="139" t="s">
        <v>122</v>
      </c>
      <c r="D40" s="138" t="s">
        <v>1</v>
      </c>
      <c r="E40" s="150">
        <v>1.239583333333333</v>
      </c>
      <c r="F40" s="138" t="s">
        <v>123</v>
      </c>
      <c r="G40" s="140">
        <v>9</v>
      </c>
      <c r="H40" s="141">
        <v>678</v>
      </c>
    </row>
    <row r="41" spans="1:8" ht="19.8" customHeight="1" x14ac:dyDescent="0.3">
      <c r="A41" s="149">
        <v>45986</v>
      </c>
      <c r="B41" s="138" t="s">
        <v>83</v>
      </c>
      <c r="C41" s="139" t="s">
        <v>94</v>
      </c>
      <c r="D41" s="138" t="s">
        <v>1</v>
      </c>
      <c r="E41" s="150">
        <v>1.256944444444444</v>
      </c>
      <c r="F41" s="138" t="s">
        <v>89</v>
      </c>
      <c r="G41" s="140">
        <v>9</v>
      </c>
      <c r="H41" s="141">
        <v>679</v>
      </c>
    </row>
    <row r="42" spans="1:8" ht="19.8" customHeight="1" x14ac:dyDescent="0.3">
      <c r="A42" s="149">
        <v>45986</v>
      </c>
      <c r="B42" s="138" t="s">
        <v>83</v>
      </c>
      <c r="C42" s="139" t="s">
        <v>100</v>
      </c>
      <c r="D42" s="138" t="s">
        <v>1</v>
      </c>
      <c r="E42" s="150">
        <v>1.645833333333333</v>
      </c>
      <c r="F42" s="138" t="s">
        <v>89</v>
      </c>
      <c r="G42" s="140">
        <v>9</v>
      </c>
      <c r="H42" s="141">
        <v>679</v>
      </c>
    </row>
    <row r="43" spans="1:8" ht="19.8" customHeight="1" x14ac:dyDescent="0.3">
      <c r="A43" s="149">
        <v>45986</v>
      </c>
      <c r="B43" s="138" t="s">
        <v>83</v>
      </c>
      <c r="C43" s="139" t="s">
        <v>101</v>
      </c>
      <c r="D43" s="138" t="s">
        <v>1</v>
      </c>
      <c r="E43" s="150">
        <v>1.5173611111111109</v>
      </c>
      <c r="F43" s="138" t="s">
        <v>89</v>
      </c>
      <c r="G43" s="140">
        <v>9</v>
      </c>
      <c r="H43" s="141">
        <v>679</v>
      </c>
    </row>
    <row r="44" spans="1:8" ht="19.8" customHeight="1" x14ac:dyDescent="0.3">
      <c r="A44" s="149">
        <v>45986</v>
      </c>
      <c r="B44" s="138" t="s">
        <v>83</v>
      </c>
      <c r="C44" s="139" t="s">
        <v>102</v>
      </c>
      <c r="D44" s="138" t="s">
        <v>1</v>
      </c>
      <c r="E44" s="150">
        <v>1.854166666666667</v>
      </c>
      <c r="F44" s="138" t="s">
        <v>89</v>
      </c>
      <c r="G44" s="140">
        <v>9</v>
      </c>
      <c r="H44" s="141">
        <v>679</v>
      </c>
    </row>
    <row r="45" spans="1:8" ht="19.8" customHeight="1" x14ac:dyDescent="0.3">
      <c r="A45" s="149">
        <v>45986</v>
      </c>
      <c r="B45" s="138" t="s">
        <v>83</v>
      </c>
      <c r="C45" s="139" t="s">
        <v>103</v>
      </c>
      <c r="D45" s="138" t="s">
        <v>1</v>
      </c>
      <c r="E45" s="150">
        <v>1.302083333333333</v>
      </c>
      <c r="F45" s="138" t="s">
        <v>89</v>
      </c>
      <c r="G45" s="140">
        <v>9</v>
      </c>
      <c r="H45" s="141">
        <v>679</v>
      </c>
    </row>
    <row r="46" spans="1:8" ht="19.8" customHeight="1" x14ac:dyDescent="0.3">
      <c r="A46" s="149">
        <v>45986</v>
      </c>
      <c r="B46" s="138" t="s">
        <v>83</v>
      </c>
      <c r="C46" s="139" t="s">
        <v>104</v>
      </c>
      <c r="D46" s="138" t="s">
        <v>1</v>
      </c>
      <c r="E46" s="150">
        <v>1.395833333333333</v>
      </c>
      <c r="F46" s="138" t="s">
        <v>89</v>
      </c>
      <c r="G46" s="140">
        <v>4</v>
      </c>
      <c r="H46" s="141">
        <v>719</v>
      </c>
    </row>
    <row r="47" spans="1:8" ht="19.8" customHeight="1" x14ac:dyDescent="0.3">
      <c r="A47" s="149">
        <v>45986</v>
      </c>
      <c r="B47" s="138" t="s">
        <v>121</v>
      </c>
      <c r="C47" s="139" t="s">
        <v>122</v>
      </c>
      <c r="D47" s="138" t="s">
        <v>1</v>
      </c>
      <c r="E47" s="150">
        <v>1.239583333333333</v>
      </c>
      <c r="F47" s="138" t="s">
        <v>125</v>
      </c>
      <c r="G47" s="140">
        <v>9</v>
      </c>
      <c r="H47" s="141">
        <v>723</v>
      </c>
    </row>
    <row r="48" spans="1:8" ht="19.8" customHeight="1" x14ac:dyDescent="0.3">
      <c r="A48" s="149">
        <v>45986</v>
      </c>
      <c r="B48" s="138" t="s">
        <v>121</v>
      </c>
      <c r="C48" s="139" t="s">
        <v>128</v>
      </c>
      <c r="D48" s="138" t="s">
        <v>1</v>
      </c>
      <c r="E48" s="150">
        <v>1.3784722222222221</v>
      </c>
      <c r="F48" s="138" t="s">
        <v>123</v>
      </c>
      <c r="G48" s="140">
        <v>9</v>
      </c>
      <c r="H48" s="141">
        <v>935</v>
      </c>
    </row>
    <row r="49" spans="1:8" ht="19.8" customHeight="1" x14ac:dyDescent="0.3">
      <c r="A49" s="149">
        <v>45986</v>
      </c>
      <c r="B49" s="138" t="s">
        <v>121</v>
      </c>
      <c r="C49" s="139" t="s">
        <v>131</v>
      </c>
      <c r="D49" s="138" t="s">
        <v>1</v>
      </c>
      <c r="E49" s="150">
        <v>1.006944444444444</v>
      </c>
      <c r="F49" s="138" t="s">
        <v>123</v>
      </c>
      <c r="G49" s="140">
        <v>9</v>
      </c>
      <c r="H49" s="141">
        <v>935</v>
      </c>
    </row>
    <row r="50" spans="1:8" ht="19.8" customHeight="1" x14ac:dyDescent="0.3">
      <c r="A50" s="149">
        <v>45986</v>
      </c>
      <c r="B50" s="138" t="s">
        <v>121</v>
      </c>
      <c r="C50" s="139" t="s">
        <v>132</v>
      </c>
      <c r="D50" s="138" t="s">
        <v>1</v>
      </c>
      <c r="E50" s="150">
        <v>1.1423611111111109</v>
      </c>
      <c r="F50" s="138" t="s">
        <v>123</v>
      </c>
      <c r="G50" s="140">
        <v>9</v>
      </c>
      <c r="H50" s="141">
        <v>935</v>
      </c>
    </row>
    <row r="51" spans="1:8" ht="19.8" customHeight="1" x14ac:dyDescent="0.3">
      <c r="A51" s="149">
        <v>45986</v>
      </c>
      <c r="B51" s="138" t="s">
        <v>121</v>
      </c>
      <c r="C51" s="139" t="s">
        <v>133</v>
      </c>
      <c r="D51" s="138" t="s">
        <v>1</v>
      </c>
      <c r="E51" s="150">
        <v>1.930555555555556</v>
      </c>
      <c r="F51" s="138" t="s">
        <v>123</v>
      </c>
      <c r="G51" s="140">
        <v>9</v>
      </c>
      <c r="H51" s="141">
        <v>935</v>
      </c>
    </row>
    <row r="52" spans="1:8" ht="19.8" customHeight="1" x14ac:dyDescent="0.3">
      <c r="A52" s="149">
        <v>45986</v>
      </c>
      <c r="B52" s="138" t="s">
        <v>148</v>
      </c>
      <c r="C52" s="139" t="s">
        <v>149</v>
      </c>
      <c r="D52" s="138" t="s">
        <v>1</v>
      </c>
      <c r="E52" s="150">
        <v>1.4861111111111109</v>
      </c>
      <c r="F52" s="138" t="s">
        <v>150</v>
      </c>
      <c r="G52" s="140">
        <v>9</v>
      </c>
      <c r="H52" s="141">
        <v>970</v>
      </c>
    </row>
    <row r="53" spans="1:8" ht="19.8" customHeight="1" x14ac:dyDescent="0.3">
      <c r="A53" s="149">
        <v>45986</v>
      </c>
      <c r="B53" s="138" t="s">
        <v>148</v>
      </c>
      <c r="C53" s="139" t="s">
        <v>152</v>
      </c>
      <c r="D53" s="138" t="s">
        <v>1</v>
      </c>
      <c r="E53" s="150">
        <v>1.5138888888888891</v>
      </c>
      <c r="F53" s="138" t="s">
        <v>150</v>
      </c>
      <c r="G53" s="140">
        <v>9</v>
      </c>
      <c r="H53" s="141">
        <v>970</v>
      </c>
    </row>
    <row r="54" spans="1:8" ht="19.8" customHeight="1" x14ac:dyDescent="0.3">
      <c r="A54" s="149">
        <v>45986</v>
      </c>
      <c r="B54" s="138" t="s">
        <v>121</v>
      </c>
      <c r="C54" s="139" t="s">
        <v>128</v>
      </c>
      <c r="D54" s="138" t="s">
        <v>1</v>
      </c>
      <c r="E54" s="150">
        <v>1.3784722222222221</v>
      </c>
      <c r="F54" s="138" t="s">
        <v>125</v>
      </c>
      <c r="G54" s="140">
        <v>9</v>
      </c>
      <c r="H54" s="141">
        <v>980</v>
      </c>
    </row>
    <row r="55" spans="1:8" ht="19.8" customHeight="1" x14ac:dyDescent="0.3">
      <c r="A55" s="149">
        <v>45986</v>
      </c>
      <c r="B55" s="138" t="s">
        <v>121</v>
      </c>
      <c r="C55" s="139" t="s">
        <v>131</v>
      </c>
      <c r="D55" s="138" t="s">
        <v>1</v>
      </c>
      <c r="E55" s="150">
        <v>1.006944444444444</v>
      </c>
      <c r="F55" s="138" t="s">
        <v>125</v>
      </c>
      <c r="G55" s="140">
        <v>9</v>
      </c>
      <c r="H55" s="141">
        <v>980</v>
      </c>
    </row>
    <row r="56" spans="1:8" ht="19.8" customHeight="1" x14ac:dyDescent="0.3">
      <c r="A56" s="149">
        <v>45986</v>
      </c>
      <c r="B56" s="138" t="s">
        <v>121</v>
      </c>
      <c r="C56" s="139" t="s">
        <v>132</v>
      </c>
      <c r="D56" s="138" t="s">
        <v>1</v>
      </c>
      <c r="E56" s="150">
        <v>1.1423611111111109</v>
      </c>
      <c r="F56" s="138" t="s">
        <v>125</v>
      </c>
      <c r="G56" s="140">
        <v>9</v>
      </c>
      <c r="H56" s="141">
        <v>980</v>
      </c>
    </row>
    <row r="57" spans="1:8" ht="19.8" customHeight="1" x14ac:dyDescent="0.3">
      <c r="A57" s="149">
        <v>45986</v>
      </c>
      <c r="B57" s="138" t="s">
        <v>121</v>
      </c>
      <c r="C57" s="139" t="s">
        <v>133</v>
      </c>
      <c r="D57" s="138" t="s">
        <v>1</v>
      </c>
      <c r="E57" s="150">
        <v>1.930555555555556</v>
      </c>
      <c r="F57" s="138" t="s">
        <v>125</v>
      </c>
      <c r="G57" s="140">
        <v>9</v>
      </c>
      <c r="H57" s="141">
        <v>980</v>
      </c>
    </row>
    <row r="58" spans="1:8" ht="19.8" customHeight="1" x14ac:dyDescent="0.3">
      <c r="A58" s="149">
        <v>45986</v>
      </c>
      <c r="B58" s="138" t="s">
        <v>148</v>
      </c>
      <c r="C58" s="139" t="s">
        <v>153</v>
      </c>
      <c r="D58" s="138" t="s">
        <v>1</v>
      </c>
      <c r="E58" s="150">
        <v>1.2222222222222221</v>
      </c>
      <c r="F58" s="138" t="s">
        <v>150</v>
      </c>
      <c r="G58" s="140">
        <v>9</v>
      </c>
      <c r="H58" s="151" t="s">
        <v>154</v>
      </c>
    </row>
    <row r="59" spans="1:8" ht="19.8" customHeight="1" x14ac:dyDescent="0.3">
      <c r="A59" s="149">
        <v>45986</v>
      </c>
      <c r="B59" s="138" t="s">
        <v>121</v>
      </c>
      <c r="C59" s="139" t="s">
        <v>134</v>
      </c>
      <c r="D59" s="138" t="s">
        <v>1</v>
      </c>
      <c r="E59" s="150">
        <v>1.71875</v>
      </c>
      <c r="F59" s="138" t="s">
        <v>123</v>
      </c>
      <c r="G59" s="140">
        <v>9</v>
      </c>
      <c r="H59" s="151" t="s">
        <v>135</v>
      </c>
    </row>
    <row r="60" spans="1:8" ht="19.8" customHeight="1" x14ac:dyDescent="0.3">
      <c r="A60" s="149">
        <v>45986</v>
      </c>
      <c r="B60" s="138" t="s">
        <v>35</v>
      </c>
      <c r="C60" s="139" t="s">
        <v>36</v>
      </c>
      <c r="D60" s="138" t="s">
        <v>1</v>
      </c>
      <c r="E60" s="150">
        <v>1.302083333333333</v>
      </c>
      <c r="F60" s="138" t="s">
        <v>43</v>
      </c>
      <c r="G60" s="140">
        <v>2</v>
      </c>
      <c r="H60" s="151" t="s">
        <v>44</v>
      </c>
    </row>
    <row r="61" spans="1:8" ht="19.8" customHeight="1" x14ac:dyDescent="0.3">
      <c r="A61" s="149">
        <v>45986</v>
      </c>
      <c r="B61" s="138" t="s">
        <v>35</v>
      </c>
      <c r="C61" s="139" t="s">
        <v>50</v>
      </c>
      <c r="D61" s="138" t="s">
        <v>1</v>
      </c>
      <c r="E61" s="150">
        <v>1.1284722222222221</v>
      </c>
      <c r="F61" s="138" t="s">
        <v>43</v>
      </c>
      <c r="G61" s="140">
        <v>5</v>
      </c>
      <c r="H61" s="151" t="s">
        <v>44</v>
      </c>
    </row>
    <row r="62" spans="1:8" ht="19.8" customHeight="1" x14ac:dyDescent="0.3">
      <c r="A62" s="149">
        <v>45986</v>
      </c>
      <c r="B62" s="138" t="s">
        <v>35</v>
      </c>
      <c r="C62" s="139" t="s">
        <v>45</v>
      </c>
      <c r="D62" s="138" t="s">
        <v>1</v>
      </c>
      <c r="E62" s="150">
        <v>1.788194444444444</v>
      </c>
      <c r="F62" s="138" t="s">
        <v>43</v>
      </c>
      <c r="G62" s="140">
        <v>2</v>
      </c>
      <c r="H62" s="151" t="s">
        <v>44</v>
      </c>
    </row>
    <row r="63" spans="1:8" ht="19.8" customHeight="1" x14ac:dyDescent="0.3">
      <c r="A63" s="149">
        <v>45986</v>
      </c>
      <c r="B63" s="138" t="s">
        <v>35</v>
      </c>
      <c r="C63" s="139" t="s">
        <v>47</v>
      </c>
      <c r="D63" s="138" t="s">
        <v>1</v>
      </c>
      <c r="E63" s="150">
        <v>1.8888888888888891</v>
      </c>
      <c r="F63" s="138" t="s">
        <v>43</v>
      </c>
      <c r="G63" s="140">
        <v>1</v>
      </c>
      <c r="H63" s="151" t="s">
        <v>44</v>
      </c>
    </row>
    <row r="64" spans="1:8" ht="19.8" customHeight="1" x14ac:dyDescent="0.3">
      <c r="A64" s="149">
        <v>45986</v>
      </c>
      <c r="B64" s="138" t="s">
        <v>121</v>
      </c>
      <c r="C64" s="139" t="s">
        <v>134</v>
      </c>
      <c r="D64" s="138" t="s">
        <v>1</v>
      </c>
      <c r="E64" s="150">
        <v>1.71875</v>
      </c>
      <c r="F64" s="138" t="s">
        <v>125</v>
      </c>
      <c r="G64" s="140">
        <v>9</v>
      </c>
      <c r="H64" s="151" t="s">
        <v>136</v>
      </c>
    </row>
    <row r="65" spans="1:8" ht="19.8" customHeight="1" x14ac:dyDescent="0.3">
      <c r="A65" s="149">
        <v>45986</v>
      </c>
      <c r="B65" s="138" t="s">
        <v>121</v>
      </c>
      <c r="C65" s="139" t="s">
        <v>137</v>
      </c>
      <c r="D65" s="138" t="s">
        <v>1</v>
      </c>
      <c r="E65" s="150">
        <v>1.8888888888888891</v>
      </c>
      <c r="F65" s="138" t="s">
        <v>125</v>
      </c>
      <c r="G65" s="140">
        <v>4</v>
      </c>
      <c r="H65" s="151" t="s">
        <v>138</v>
      </c>
    </row>
    <row r="66" spans="1:8" ht="19.8" customHeight="1" x14ac:dyDescent="0.3">
      <c r="A66" s="149">
        <v>45986</v>
      </c>
      <c r="B66" s="138" t="s">
        <v>121</v>
      </c>
      <c r="C66" s="139" t="s">
        <v>139</v>
      </c>
      <c r="D66" s="138" t="s">
        <v>1</v>
      </c>
      <c r="E66" s="150">
        <v>1.302083333333333</v>
      </c>
      <c r="F66" s="138" t="s">
        <v>125</v>
      </c>
      <c r="G66" s="140">
        <v>4</v>
      </c>
      <c r="H66" s="151" t="s">
        <v>138</v>
      </c>
    </row>
    <row r="67" spans="1:8" ht="19.8" customHeight="1" x14ac:dyDescent="0.3">
      <c r="A67" s="149">
        <v>45986</v>
      </c>
      <c r="B67" s="138" t="s">
        <v>121</v>
      </c>
      <c r="C67" s="139" t="s">
        <v>140</v>
      </c>
      <c r="D67" s="138" t="s">
        <v>1</v>
      </c>
      <c r="E67" s="150">
        <v>1.1284722222222221</v>
      </c>
      <c r="F67" s="138" t="s">
        <v>125</v>
      </c>
      <c r="G67" s="140">
        <v>4</v>
      </c>
      <c r="H67" s="151" t="s">
        <v>138</v>
      </c>
    </row>
    <row r="68" spans="1:8" ht="19.8" customHeight="1" x14ac:dyDescent="0.3">
      <c r="A68" s="149">
        <v>45986</v>
      </c>
      <c r="B68" s="138" t="s">
        <v>121</v>
      </c>
      <c r="C68" s="139" t="s">
        <v>141</v>
      </c>
      <c r="D68" s="138" t="s">
        <v>1</v>
      </c>
      <c r="E68" s="150">
        <v>1.788194444444444</v>
      </c>
      <c r="F68" s="138" t="s">
        <v>125</v>
      </c>
      <c r="G68" s="140">
        <v>4</v>
      </c>
      <c r="H68" s="151" t="s">
        <v>138</v>
      </c>
    </row>
    <row r="69" spans="1:8" ht="19.8" customHeight="1" x14ac:dyDescent="0.3">
      <c r="A69" s="149">
        <v>45986</v>
      </c>
      <c r="B69" s="138" t="s">
        <v>148</v>
      </c>
      <c r="C69" s="139" t="s">
        <v>155</v>
      </c>
      <c r="D69" s="138" t="s">
        <v>1</v>
      </c>
      <c r="E69" s="150">
        <v>1.2777777777777779</v>
      </c>
      <c r="F69" s="138" t="s">
        <v>150</v>
      </c>
      <c r="G69" s="140">
        <v>9</v>
      </c>
      <c r="H69" s="151" t="s">
        <v>156</v>
      </c>
    </row>
    <row r="70" spans="1:8" ht="19.8" customHeight="1" x14ac:dyDescent="0.3">
      <c r="A70" s="149">
        <v>45986</v>
      </c>
      <c r="B70" s="138" t="s">
        <v>121</v>
      </c>
      <c r="C70" s="139" t="s">
        <v>142</v>
      </c>
      <c r="D70" s="138" t="s">
        <v>1</v>
      </c>
      <c r="E70" s="150">
        <v>1.8298611111111109</v>
      </c>
      <c r="F70" s="138" t="s">
        <v>123</v>
      </c>
      <c r="G70" s="140">
        <v>9</v>
      </c>
      <c r="H70" s="151" t="s">
        <v>143</v>
      </c>
    </row>
    <row r="71" spans="1:8" ht="19.8" customHeight="1" x14ac:dyDescent="0.3">
      <c r="A71" s="149">
        <v>45986</v>
      </c>
      <c r="B71" s="138" t="s">
        <v>121</v>
      </c>
      <c r="C71" s="139" t="s">
        <v>142</v>
      </c>
      <c r="D71" s="138" t="s">
        <v>1</v>
      </c>
      <c r="E71" s="150">
        <v>1.8298611111111109</v>
      </c>
      <c r="F71" s="138" t="s">
        <v>125</v>
      </c>
      <c r="G71" s="140">
        <v>9</v>
      </c>
      <c r="H71" s="151" t="s">
        <v>144</v>
      </c>
    </row>
    <row r="72" spans="1:8" ht="19.8" customHeight="1" x14ac:dyDescent="0.3">
      <c r="A72" s="149">
        <v>45986</v>
      </c>
      <c r="B72" s="138" t="s">
        <v>148</v>
      </c>
      <c r="C72" s="139" t="s">
        <v>157</v>
      </c>
      <c r="D72" s="138" t="s">
        <v>1</v>
      </c>
      <c r="E72" s="150">
        <v>1.774305555555556</v>
      </c>
      <c r="F72" s="138" t="s">
        <v>150</v>
      </c>
      <c r="G72" s="140">
        <v>9</v>
      </c>
      <c r="H72" s="151" t="s">
        <v>158</v>
      </c>
    </row>
    <row r="73" spans="1:8" ht="19.8" customHeight="1" x14ac:dyDescent="0.3">
      <c r="A73" s="149">
        <v>45986</v>
      </c>
      <c r="B73" s="138" t="s">
        <v>121</v>
      </c>
      <c r="C73" s="139" t="s">
        <v>145</v>
      </c>
      <c r="D73" s="138" t="s">
        <v>1</v>
      </c>
      <c r="E73" s="150">
        <v>1.6111111111111109</v>
      </c>
      <c r="F73" s="138" t="s">
        <v>123</v>
      </c>
      <c r="G73" s="140">
        <v>1</v>
      </c>
      <c r="H73" s="151" t="s">
        <v>146</v>
      </c>
    </row>
    <row r="74" spans="1:8" ht="19.8" customHeight="1" x14ac:dyDescent="0.3">
      <c r="A74" s="149">
        <v>45986</v>
      </c>
      <c r="B74" s="138" t="s">
        <v>121</v>
      </c>
      <c r="C74" s="139" t="s">
        <v>145</v>
      </c>
      <c r="D74" s="138" t="s">
        <v>1</v>
      </c>
      <c r="E74" s="150">
        <v>1.6111111111111109</v>
      </c>
      <c r="F74" s="138" t="s">
        <v>125</v>
      </c>
      <c r="G74" s="140">
        <v>1</v>
      </c>
      <c r="H74" s="151" t="s">
        <v>147</v>
      </c>
    </row>
    <row r="75" spans="1:8" ht="19.8" customHeight="1" x14ac:dyDescent="0.3">
      <c r="A75" s="152">
        <v>45986</v>
      </c>
      <c r="B75" s="153" t="s">
        <v>55</v>
      </c>
      <c r="C75" s="154" t="s">
        <v>78</v>
      </c>
      <c r="D75" s="153" t="s">
        <v>1</v>
      </c>
      <c r="E75" s="155">
        <v>1.5590277777777779</v>
      </c>
      <c r="F75" s="153" t="s">
        <v>79</v>
      </c>
      <c r="G75" s="153"/>
      <c r="H75" s="156" t="s">
        <v>80</v>
      </c>
    </row>
    <row r="76" spans="1:8" ht="19.8" customHeight="1" x14ac:dyDescent="0.3">
      <c r="A76" s="149">
        <v>45987</v>
      </c>
      <c r="B76" s="138" t="s">
        <v>35</v>
      </c>
      <c r="C76" s="139" t="s">
        <v>47</v>
      </c>
      <c r="D76" s="138" t="s">
        <v>1</v>
      </c>
      <c r="E76" s="150">
        <v>1.8888888888888891</v>
      </c>
      <c r="F76" s="138" t="s">
        <v>37</v>
      </c>
      <c r="G76" s="140">
        <v>2</v>
      </c>
      <c r="H76" s="141">
        <v>389</v>
      </c>
    </row>
    <row r="77" spans="1:8" ht="19.8" customHeight="1" x14ac:dyDescent="0.3">
      <c r="A77" s="149">
        <v>45987</v>
      </c>
      <c r="B77" s="138" t="s">
        <v>116</v>
      </c>
      <c r="C77" s="139" t="s">
        <v>117</v>
      </c>
      <c r="D77" s="138" t="s">
        <v>1</v>
      </c>
      <c r="E77" s="150">
        <v>1.270833333333333</v>
      </c>
      <c r="F77" s="138" t="s">
        <v>28</v>
      </c>
      <c r="G77" s="140">
        <v>1</v>
      </c>
      <c r="H77" s="141">
        <v>400</v>
      </c>
    </row>
    <row r="78" spans="1:8" ht="19.8" customHeight="1" x14ac:dyDescent="0.3">
      <c r="A78" s="147">
        <v>45987</v>
      </c>
      <c r="B78" s="143" t="s">
        <v>55</v>
      </c>
      <c r="C78" s="144" t="s">
        <v>73</v>
      </c>
      <c r="D78" s="143" t="s">
        <v>1</v>
      </c>
      <c r="E78" s="148">
        <v>1.520833333333333</v>
      </c>
      <c r="F78" s="143" t="s">
        <v>57</v>
      </c>
      <c r="G78" s="145">
        <v>9</v>
      </c>
      <c r="H78" s="146">
        <v>401</v>
      </c>
    </row>
    <row r="79" spans="1:8" ht="19.8" customHeight="1" x14ac:dyDescent="0.3">
      <c r="A79" s="147">
        <v>45987</v>
      </c>
      <c r="B79" s="143" t="s">
        <v>55</v>
      </c>
      <c r="C79" s="144" t="s">
        <v>65</v>
      </c>
      <c r="D79" s="143" t="s">
        <v>1</v>
      </c>
      <c r="E79" s="148">
        <v>1.5173611111111109</v>
      </c>
      <c r="F79" s="143" t="s">
        <v>57</v>
      </c>
      <c r="G79" s="145">
        <v>9</v>
      </c>
      <c r="H79" s="146">
        <v>401</v>
      </c>
    </row>
    <row r="80" spans="1:8" ht="19.8" customHeight="1" x14ac:dyDescent="0.3">
      <c r="A80" s="149">
        <v>45987</v>
      </c>
      <c r="B80" s="138" t="s">
        <v>26</v>
      </c>
      <c r="C80" s="139" t="s">
        <v>33</v>
      </c>
      <c r="D80" s="138" t="s">
        <v>1</v>
      </c>
      <c r="E80" s="150">
        <v>1.9375</v>
      </c>
      <c r="F80" s="138" t="s">
        <v>28</v>
      </c>
      <c r="G80" s="140">
        <v>3</v>
      </c>
      <c r="H80" s="141">
        <v>401</v>
      </c>
    </row>
    <row r="81" spans="1:8" ht="19.8" customHeight="1" x14ac:dyDescent="0.3">
      <c r="A81" s="149">
        <v>45987</v>
      </c>
      <c r="B81" s="138" t="s">
        <v>26</v>
      </c>
      <c r="C81" s="139" t="s">
        <v>27</v>
      </c>
      <c r="D81" s="138" t="s">
        <v>1</v>
      </c>
      <c r="E81" s="150">
        <v>1.3715277777777779</v>
      </c>
      <c r="F81" s="138" t="s">
        <v>28</v>
      </c>
      <c r="G81" s="140">
        <v>9</v>
      </c>
      <c r="H81" s="141">
        <v>401</v>
      </c>
    </row>
    <row r="82" spans="1:8" ht="19.8" customHeight="1" x14ac:dyDescent="0.3">
      <c r="A82" s="149">
        <v>45987</v>
      </c>
      <c r="B82" s="138" t="s">
        <v>35</v>
      </c>
      <c r="C82" s="139" t="s">
        <v>36</v>
      </c>
      <c r="D82" s="138" t="s">
        <v>1</v>
      </c>
      <c r="E82" s="150">
        <v>1.302083333333333</v>
      </c>
      <c r="F82" s="138" t="s">
        <v>37</v>
      </c>
      <c r="G82" s="140">
        <v>5</v>
      </c>
      <c r="H82" s="141">
        <v>419</v>
      </c>
    </row>
    <row r="83" spans="1:8" ht="19.8" customHeight="1" x14ac:dyDescent="0.3">
      <c r="A83" s="149">
        <v>45987</v>
      </c>
      <c r="B83" s="138" t="s">
        <v>35</v>
      </c>
      <c r="C83" s="139" t="s">
        <v>50</v>
      </c>
      <c r="D83" s="138" t="s">
        <v>1</v>
      </c>
      <c r="E83" s="150">
        <v>1.1284722222222221</v>
      </c>
      <c r="F83" s="138" t="s">
        <v>37</v>
      </c>
      <c r="G83" s="140">
        <v>2</v>
      </c>
      <c r="H83" s="141">
        <v>419</v>
      </c>
    </row>
    <row r="84" spans="1:8" ht="19.8" customHeight="1" x14ac:dyDescent="0.3">
      <c r="A84" s="149">
        <v>45987</v>
      </c>
      <c r="B84" s="138" t="s">
        <v>35</v>
      </c>
      <c r="C84" s="139" t="s">
        <v>45</v>
      </c>
      <c r="D84" s="138" t="s">
        <v>1</v>
      </c>
      <c r="E84" s="150">
        <v>1.788194444444444</v>
      </c>
      <c r="F84" s="138" t="s">
        <v>37</v>
      </c>
      <c r="G84" s="140">
        <v>7</v>
      </c>
      <c r="H84" s="141">
        <v>419</v>
      </c>
    </row>
    <row r="85" spans="1:8" ht="19.8" customHeight="1" x14ac:dyDescent="0.3">
      <c r="A85" s="147">
        <v>45987</v>
      </c>
      <c r="B85" s="143" t="s">
        <v>55</v>
      </c>
      <c r="C85" s="144" t="s">
        <v>68</v>
      </c>
      <c r="D85" s="143" t="s">
        <v>1</v>
      </c>
      <c r="E85" s="148">
        <v>1.614583333333333</v>
      </c>
      <c r="F85" s="143" t="s">
        <v>57</v>
      </c>
      <c r="G85" s="145">
        <v>9</v>
      </c>
      <c r="H85" s="146">
        <v>436</v>
      </c>
    </row>
    <row r="86" spans="1:8" ht="19.8" customHeight="1" x14ac:dyDescent="0.3">
      <c r="A86" s="149">
        <v>45987</v>
      </c>
      <c r="B86" s="138" t="s">
        <v>83</v>
      </c>
      <c r="C86" s="139" t="s">
        <v>103</v>
      </c>
      <c r="D86" s="138" t="s">
        <v>1</v>
      </c>
      <c r="E86" s="150">
        <v>1.302083333333333</v>
      </c>
      <c r="F86" s="138" t="s">
        <v>85</v>
      </c>
      <c r="G86" s="140">
        <v>5</v>
      </c>
      <c r="H86" s="141">
        <v>449</v>
      </c>
    </row>
    <row r="87" spans="1:8" ht="19.8" customHeight="1" x14ac:dyDescent="0.3">
      <c r="A87" s="149">
        <v>45987</v>
      </c>
      <c r="B87" s="138" t="s">
        <v>83</v>
      </c>
      <c r="C87" s="139" t="s">
        <v>94</v>
      </c>
      <c r="D87" s="138" t="s">
        <v>1</v>
      </c>
      <c r="E87" s="150">
        <v>1.256944444444444</v>
      </c>
      <c r="F87" s="138" t="s">
        <v>85</v>
      </c>
      <c r="G87" s="140">
        <v>9</v>
      </c>
      <c r="H87" s="141">
        <v>489</v>
      </c>
    </row>
    <row r="88" spans="1:8" ht="19.8" customHeight="1" x14ac:dyDescent="0.3">
      <c r="A88" s="149">
        <v>45987</v>
      </c>
      <c r="B88" s="138" t="s">
        <v>83</v>
      </c>
      <c r="C88" s="139" t="s">
        <v>84</v>
      </c>
      <c r="D88" s="138" t="s">
        <v>1</v>
      </c>
      <c r="E88" s="150">
        <v>1.9027777777777779</v>
      </c>
      <c r="F88" s="138" t="s">
        <v>85</v>
      </c>
      <c r="G88" s="140">
        <v>4</v>
      </c>
      <c r="H88" s="141">
        <v>489</v>
      </c>
    </row>
    <row r="89" spans="1:8" ht="19.8" customHeight="1" x14ac:dyDescent="0.3">
      <c r="A89" s="149">
        <v>45987</v>
      </c>
      <c r="B89" s="138" t="s">
        <v>83</v>
      </c>
      <c r="C89" s="139" t="s">
        <v>100</v>
      </c>
      <c r="D89" s="138" t="s">
        <v>1</v>
      </c>
      <c r="E89" s="150">
        <v>1.645833333333333</v>
      </c>
      <c r="F89" s="138" t="s">
        <v>85</v>
      </c>
      <c r="G89" s="140">
        <v>6</v>
      </c>
      <c r="H89" s="141">
        <v>489</v>
      </c>
    </row>
    <row r="90" spans="1:8" ht="19.8" customHeight="1" x14ac:dyDescent="0.3">
      <c r="A90" s="149">
        <v>45987</v>
      </c>
      <c r="B90" s="138" t="s">
        <v>83</v>
      </c>
      <c r="C90" s="139" t="s">
        <v>101</v>
      </c>
      <c r="D90" s="138" t="s">
        <v>1</v>
      </c>
      <c r="E90" s="150">
        <v>1.5173611111111109</v>
      </c>
      <c r="F90" s="138" t="s">
        <v>85</v>
      </c>
      <c r="G90" s="140">
        <v>9</v>
      </c>
      <c r="H90" s="141">
        <v>489</v>
      </c>
    </row>
    <row r="91" spans="1:8" ht="19.8" customHeight="1" x14ac:dyDescent="0.3">
      <c r="A91" s="149">
        <v>45987</v>
      </c>
      <c r="B91" s="138" t="s">
        <v>83</v>
      </c>
      <c r="C91" s="139" t="s">
        <v>102</v>
      </c>
      <c r="D91" s="138" t="s">
        <v>1</v>
      </c>
      <c r="E91" s="150">
        <v>1.854166666666667</v>
      </c>
      <c r="F91" s="138" t="s">
        <v>85</v>
      </c>
      <c r="G91" s="140">
        <v>3</v>
      </c>
      <c r="H91" s="141">
        <v>489</v>
      </c>
    </row>
    <row r="92" spans="1:8" ht="19.8" customHeight="1" x14ac:dyDescent="0.3">
      <c r="A92" s="149">
        <v>45987</v>
      </c>
      <c r="B92" s="138" t="s">
        <v>83</v>
      </c>
      <c r="C92" s="139" t="s">
        <v>104</v>
      </c>
      <c r="D92" s="138" t="s">
        <v>1</v>
      </c>
      <c r="E92" s="150">
        <v>1.395833333333333</v>
      </c>
      <c r="F92" s="138" t="s">
        <v>85</v>
      </c>
      <c r="G92" s="140">
        <v>9</v>
      </c>
      <c r="H92" s="141">
        <v>489</v>
      </c>
    </row>
    <row r="93" spans="1:8" ht="19.8" customHeight="1" x14ac:dyDescent="0.3">
      <c r="A93" s="149">
        <v>45987</v>
      </c>
      <c r="B93" s="138" t="s">
        <v>83</v>
      </c>
      <c r="C93" s="139" t="s">
        <v>91</v>
      </c>
      <c r="D93" s="138" t="s">
        <v>1</v>
      </c>
      <c r="E93" s="150">
        <v>1.7986111111111109</v>
      </c>
      <c r="F93" s="138" t="s">
        <v>85</v>
      </c>
      <c r="G93" s="140">
        <v>9</v>
      </c>
      <c r="H93" s="141">
        <v>489</v>
      </c>
    </row>
    <row r="94" spans="1:8" ht="19.8" customHeight="1" x14ac:dyDescent="0.3">
      <c r="A94" s="149">
        <v>45987</v>
      </c>
      <c r="B94" s="138" t="s">
        <v>110</v>
      </c>
      <c r="C94" s="139" t="s">
        <v>173</v>
      </c>
      <c r="D94" s="138" t="s">
        <v>1</v>
      </c>
      <c r="E94" s="150">
        <v>1.3923611111111109</v>
      </c>
      <c r="F94" s="138" t="s">
        <v>112</v>
      </c>
      <c r="G94" s="140">
        <v>9</v>
      </c>
      <c r="H94" s="141">
        <v>536</v>
      </c>
    </row>
    <row r="95" spans="1:8" ht="19.8" customHeight="1" x14ac:dyDescent="0.3">
      <c r="A95" s="149">
        <v>45987</v>
      </c>
      <c r="B95" s="138" t="s">
        <v>35</v>
      </c>
      <c r="C95" s="139" t="s">
        <v>47</v>
      </c>
      <c r="D95" s="138" t="s">
        <v>1</v>
      </c>
      <c r="E95" s="150">
        <v>1.8888888888888891</v>
      </c>
      <c r="F95" s="138" t="s">
        <v>40</v>
      </c>
      <c r="G95" s="140">
        <v>2</v>
      </c>
      <c r="H95" s="141">
        <v>539</v>
      </c>
    </row>
    <row r="96" spans="1:8" ht="19.8" customHeight="1" x14ac:dyDescent="0.3">
      <c r="A96" s="149">
        <v>45987</v>
      </c>
      <c r="B96" s="138" t="s">
        <v>83</v>
      </c>
      <c r="C96" s="139" t="s">
        <v>103</v>
      </c>
      <c r="D96" s="138" t="s">
        <v>1</v>
      </c>
      <c r="E96" s="150">
        <v>1.302083333333333</v>
      </c>
      <c r="F96" s="138" t="s">
        <v>87</v>
      </c>
      <c r="G96" s="140">
        <v>5</v>
      </c>
      <c r="H96" s="141">
        <v>549</v>
      </c>
    </row>
    <row r="97" spans="1:8" ht="19.8" customHeight="1" x14ac:dyDescent="0.3">
      <c r="A97" s="149">
        <v>45987</v>
      </c>
      <c r="B97" s="138" t="s">
        <v>35</v>
      </c>
      <c r="C97" s="139" t="s">
        <v>36</v>
      </c>
      <c r="D97" s="138" t="s">
        <v>1</v>
      </c>
      <c r="E97" s="150">
        <v>1.302083333333333</v>
      </c>
      <c r="F97" s="138" t="s">
        <v>40</v>
      </c>
      <c r="G97" s="140">
        <v>5</v>
      </c>
      <c r="H97" s="141">
        <v>569</v>
      </c>
    </row>
    <row r="98" spans="1:8" ht="19.8" customHeight="1" x14ac:dyDescent="0.3">
      <c r="A98" s="149">
        <v>45987</v>
      </c>
      <c r="B98" s="138" t="s">
        <v>35</v>
      </c>
      <c r="C98" s="139" t="s">
        <v>50</v>
      </c>
      <c r="D98" s="138" t="s">
        <v>1</v>
      </c>
      <c r="E98" s="150">
        <v>1.1284722222222221</v>
      </c>
      <c r="F98" s="138" t="s">
        <v>40</v>
      </c>
      <c r="G98" s="140">
        <v>2</v>
      </c>
      <c r="H98" s="141">
        <v>569</v>
      </c>
    </row>
    <row r="99" spans="1:8" ht="19.8" customHeight="1" x14ac:dyDescent="0.3">
      <c r="A99" s="149">
        <v>45987</v>
      </c>
      <c r="B99" s="138" t="s">
        <v>35</v>
      </c>
      <c r="C99" s="139" t="s">
        <v>45</v>
      </c>
      <c r="D99" s="138" t="s">
        <v>1</v>
      </c>
      <c r="E99" s="150">
        <v>1.788194444444444</v>
      </c>
      <c r="F99" s="138" t="s">
        <v>40</v>
      </c>
      <c r="G99" s="140">
        <v>7</v>
      </c>
      <c r="H99" s="141">
        <v>569</v>
      </c>
    </row>
    <row r="100" spans="1:8" ht="19.8" customHeight="1" x14ac:dyDescent="0.3">
      <c r="A100" s="149">
        <v>45987</v>
      </c>
      <c r="B100" s="138" t="s">
        <v>83</v>
      </c>
      <c r="C100" s="139" t="s">
        <v>94</v>
      </c>
      <c r="D100" s="138" t="s">
        <v>1</v>
      </c>
      <c r="E100" s="150">
        <v>1.256944444444444</v>
      </c>
      <c r="F100" s="138" t="s">
        <v>87</v>
      </c>
      <c r="G100" s="140">
        <v>9</v>
      </c>
      <c r="H100" s="141">
        <v>589</v>
      </c>
    </row>
    <row r="101" spans="1:8" ht="19.8" customHeight="1" x14ac:dyDescent="0.3">
      <c r="A101" s="149">
        <v>45987</v>
      </c>
      <c r="B101" s="138" t="s">
        <v>83</v>
      </c>
      <c r="C101" s="139" t="s">
        <v>84</v>
      </c>
      <c r="D101" s="138" t="s">
        <v>1</v>
      </c>
      <c r="E101" s="150">
        <v>1.9027777777777779</v>
      </c>
      <c r="F101" s="138" t="s">
        <v>87</v>
      </c>
      <c r="G101" s="140">
        <v>4</v>
      </c>
      <c r="H101" s="141">
        <v>589</v>
      </c>
    </row>
    <row r="102" spans="1:8" ht="19.8" customHeight="1" x14ac:dyDescent="0.3">
      <c r="A102" s="149">
        <v>45987</v>
      </c>
      <c r="B102" s="138" t="s">
        <v>83</v>
      </c>
      <c r="C102" s="139" t="s">
        <v>100</v>
      </c>
      <c r="D102" s="138" t="s">
        <v>1</v>
      </c>
      <c r="E102" s="150">
        <v>1.645833333333333</v>
      </c>
      <c r="F102" s="138" t="s">
        <v>87</v>
      </c>
      <c r="G102" s="140">
        <v>6</v>
      </c>
      <c r="H102" s="141">
        <v>589</v>
      </c>
    </row>
    <row r="103" spans="1:8" ht="19.8" customHeight="1" x14ac:dyDescent="0.3">
      <c r="A103" s="149">
        <v>45987</v>
      </c>
      <c r="B103" s="138" t="s">
        <v>83</v>
      </c>
      <c r="C103" s="139" t="s">
        <v>101</v>
      </c>
      <c r="D103" s="138" t="s">
        <v>1</v>
      </c>
      <c r="E103" s="150">
        <v>1.5173611111111109</v>
      </c>
      <c r="F103" s="138" t="s">
        <v>87</v>
      </c>
      <c r="G103" s="140">
        <v>9</v>
      </c>
      <c r="H103" s="141">
        <v>589</v>
      </c>
    </row>
    <row r="104" spans="1:8" ht="19.8" customHeight="1" x14ac:dyDescent="0.3">
      <c r="A104" s="149">
        <v>45987</v>
      </c>
      <c r="B104" s="138" t="s">
        <v>83</v>
      </c>
      <c r="C104" s="139" t="s">
        <v>102</v>
      </c>
      <c r="D104" s="138" t="s">
        <v>1</v>
      </c>
      <c r="E104" s="150">
        <v>1.854166666666667</v>
      </c>
      <c r="F104" s="138" t="s">
        <v>87</v>
      </c>
      <c r="G104" s="140">
        <v>3</v>
      </c>
      <c r="H104" s="141">
        <v>589</v>
      </c>
    </row>
    <row r="105" spans="1:8" ht="19.8" customHeight="1" x14ac:dyDescent="0.3">
      <c r="A105" s="149">
        <v>45987</v>
      </c>
      <c r="B105" s="138" t="s">
        <v>83</v>
      </c>
      <c r="C105" s="139" t="s">
        <v>104</v>
      </c>
      <c r="D105" s="138" t="s">
        <v>1</v>
      </c>
      <c r="E105" s="150">
        <v>1.395833333333333</v>
      </c>
      <c r="F105" s="138" t="s">
        <v>87</v>
      </c>
      <c r="G105" s="140">
        <v>9</v>
      </c>
      <c r="H105" s="141">
        <v>589</v>
      </c>
    </row>
    <row r="106" spans="1:8" ht="19.8" customHeight="1" x14ac:dyDescent="0.3">
      <c r="A106" s="149">
        <v>45987</v>
      </c>
      <c r="B106" s="138" t="s">
        <v>83</v>
      </c>
      <c r="C106" s="139" t="s">
        <v>91</v>
      </c>
      <c r="D106" s="138" t="s">
        <v>1</v>
      </c>
      <c r="E106" s="150">
        <v>1.7986111111111109</v>
      </c>
      <c r="F106" s="138" t="s">
        <v>87</v>
      </c>
      <c r="G106" s="140">
        <v>9</v>
      </c>
      <c r="H106" s="141">
        <v>589</v>
      </c>
    </row>
    <row r="107" spans="1:8" ht="19.8" customHeight="1" x14ac:dyDescent="0.3">
      <c r="A107" s="149">
        <v>45987</v>
      </c>
      <c r="B107" s="138" t="s">
        <v>83</v>
      </c>
      <c r="C107" s="139" t="s">
        <v>103</v>
      </c>
      <c r="D107" s="138" t="s">
        <v>1</v>
      </c>
      <c r="E107" s="150">
        <v>1.302083333333333</v>
      </c>
      <c r="F107" s="138" t="s">
        <v>89</v>
      </c>
      <c r="G107" s="140">
        <v>5</v>
      </c>
      <c r="H107" s="141">
        <v>639</v>
      </c>
    </row>
    <row r="108" spans="1:8" ht="19.8" customHeight="1" x14ac:dyDescent="0.3">
      <c r="A108" s="149">
        <v>45987</v>
      </c>
      <c r="B108" s="138" t="s">
        <v>110</v>
      </c>
      <c r="C108" s="139" t="s">
        <v>173</v>
      </c>
      <c r="D108" s="138" t="s">
        <v>1</v>
      </c>
      <c r="E108" s="150">
        <v>1.3923611111111109</v>
      </c>
      <c r="F108" s="138" t="s">
        <v>43</v>
      </c>
      <c r="G108" s="140">
        <v>9</v>
      </c>
      <c r="H108" s="141">
        <v>660</v>
      </c>
    </row>
    <row r="109" spans="1:8" ht="19.8" customHeight="1" x14ac:dyDescent="0.3">
      <c r="A109" s="149">
        <v>45987</v>
      </c>
      <c r="B109" s="138" t="s">
        <v>148</v>
      </c>
      <c r="C109" s="139" t="s">
        <v>174</v>
      </c>
      <c r="D109" s="138" t="s">
        <v>1</v>
      </c>
      <c r="E109" s="150">
        <v>1.7847222222222221</v>
      </c>
      <c r="F109" s="138" t="s">
        <v>150</v>
      </c>
      <c r="G109" s="140">
        <v>9</v>
      </c>
      <c r="H109" s="141">
        <v>673</v>
      </c>
    </row>
    <row r="110" spans="1:8" ht="19.8" customHeight="1" x14ac:dyDescent="0.3">
      <c r="A110" s="149">
        <v>45987</v>
      </c>
      <c r="B110" s="138" t="s">
        <v>121</v>
      </c>
      <c r="C110" s="139" t="s">
        <v>132</v>
      </c>
      <c r="D110" s="138" t="s">
        <v>1</v>
      </c>
      <c r="E110" s="150">
        <v>1.1423611111111109</v>
      </c>
      <c r="F110" s="138" t="s">
        <v>123</v>
      </c>
      <c r="G110" s="140">
        <v>3</v>
      </c>
      <c r="H110" s="141">
        <v>678</v>
      </c>
    </row>
    <row r="111" spans="1:8" ht="19.8" customHeight="1" x14ac:dyDescent="0.3">
      <c r="A111" s="149">
        <v>45987</v>
      </c>
      <c r="B111" s="138" t="s">
        <v>83</v>
      </c>
      <c r="C111" s="139" t="s">
        <v>94</v>
      </c>
      <c r="D111" s="138" t="s">
        <v>1</v>
      </c>
      <c r="E111" s="150">
        <v>1.256944444444444</v>
      </c>
      <c r="F111" s="138" t="s">
        <v>89</v>
      </c>
      <c r="G111" s="140">
        <v>9</v>
      </c>
      <c r="H111" s="141">
        <v>679</v>
      </c>
    </row>
    <row r="112" spans="1:8" ht="19.8" customHeight="1" x14ac:dyDescent="0.3">
      <c r="A112" s="149">
        <v>45987</v>
      </c>
      <c r="B112" s="138" t="s">
        <v>83</v>
      </c>
      <c r="C112" s="139" t="s">
        <v>84</v>
      </c>
      <c r="D112" s="138" t="s">
        <v>1</v>
      </c>
      <c r="E112" s="150">
        <v>1.9027777777777779</v>
      </c>
      <c r="F112" s="138" t="s">
        <v>89</v>
      </c>
      <c r="G112" s="140">
        <v>4</v>
      </c>
      <c r="H112" s="141">
        <v>679</v>
      </c>
    </row>
    <row r="113" spans="1:8" ht="19.8" customHeight="1" x14ac:dyDescent="0.3">
      <c r="A113" s="149">
        <v>45987</v>
      </c>
      <c r="B113" s="138" t="s">
        <v>83</v>
      </c>
      <c r="C113" s="139" t="s">
        <v>100</v>
      </c>
      <c r="D113" s="138" t="s">
        <v>1</v>
      </c>
      <c r="E113" s="150">
        <v>1.645833333333333</v>
      </c>
      <c r="F113" s="138" t="s">
        <v>89</v>
      </c>
      <c r="G113" s="140">
        <v>6</v>
      </c>
      <c r="H113" s="141">
        <v>679</v>
      </c>
    </row>
    <row r="114" spans="1:8" ht="19.8" customHeight="1" x14ac:dyDescent="0.3">
      <c r="A114" s="149">
        <v>45987</v>
      </c>
      <c r="B114" s="138" t="s">
        <v>83</v>
      </c>
      <c r="C114" s="139" t="s">
        <v>101</v>
      </c>
      <c r="D114" s="138" t="s">
        <v>1</v>
      </c>
      <c r="E114" s="150">
        <v>1.5173611111111109</v>
      </c>
      <c r="F114" s="138" t="s">
        <v>89</v>
      </c>
      <c r="G114" s="140">
        <v>9</v>
      </c>
      <c r="H114" s="141">
        <v>679</v>
      </c>
    </row>
    <row r="115" spans="1:8" ht="19.8" customHeight="1" x14ac:dyDescent="0.3">
      <c r="A115" s="149">
        <v>45987</v>
      </c>
      <c r="B115" s="138" t="s">
        <v>83</v>
      </c>
      <c r="C115" s="139" t="s">
        <v>102</v>
      </c>
      <c r="D115" s="138" t="s">
        <v>1</v>
      </c>
      <c r="E115" s="150">
        <v>1.854166666666667</v>
      </c>
      <c r="F115" s="138" t="s">
        <v>89</v>
      </c>
      <c r="G115" s="140">
        <v>3</v>
      </c>
      <c r="H115" s="141">
        <v>679</v>
      </c>
    </row>
    <row r="116" spans="1:8" ht="19.8" customHeight="1" x14ac:dyDescent="0.3">
      <c r="A116" s="149">
        <v>45987</v>
      </c>
      <c r="B116" s="138" t="s">
        <v>83</v>
      </c>
      <c r="C116" s="139" t="s">
        <v>104</v>
      </c>
      <c r="D116" s="138" t="s">
        <v>1</v>
      </c>
      <c r="E116" s="150">
        <v>1.395833333333333</v>
      </c>
      <c r="F116" s="138" t="s">
        <v>89</v>
      </c>
      <c r="G116" s="140">
        <v>9</v>
      </c>
      <c r="H116" s="141">
        <v>679</v>
      </c>
    </row>
    <row r="117" spans="1:8" ht="19.8" customHeight="1" x14ac:dyDescent="0.3">
      <c r="A117" s="149">
        <v>45987</v>
      </c>
      <c r="B117" s="138" t="s">
        <v>83</v>
      </c>
      <c r="C117" s="139" t="s">
        <v>91</v>
      </c>
      <c r="D117" s="138" t="s">
        <v>1</v>
      </c>
      <c r="E117" s="150">
        <v>1.7986111111111109</v>
      </c>
      <c r="F117" s="138" t="s">
        <v>89</v>
      </c>
      <c r="G117" s="140">
        <v>9</v>
      </c>
      <c r="H117" s="141">
        <v>679</v>
      </c>
    </row>
    <row r="118" spans="1:8" ht="19.8" customHeight="1" x14ac:dyDescent="0.3">
      <c r="A118" s="149">
        <v>45987</v>
      </c>
      <c r="B118" s="138" t="s">
        <v>116</v>
      </c>
      <c r="C118" s="139" t="s">
        <v>119</v>
      </c>
      <c r="D118" s="138" t="s">
        <v>1</v>
      </c>
      <c r="E118" s="150">
        <v>1.8611111111111109</v>
      </c>
      <c r="F118" s="138" t="s">
        <v>28</v>
      </c>
      <c r="G118" s="140">
        <v>3</v>
      </c>
      <c r="H118" s="141">
        <v>695</v>
      </c>
    </row>
    <row r="119" spans="1:8" ht="19.8" customHeight="1" x14ac:dyDescent="0.3">
      <c r="A119" s="149">
        <v>45987</v>
      </c>
      <c r="B119" s="138" t="s">
        <v>121</v>
      </c>
      <c r="C119" s="139" t="s">
        <v>132</v>
      </c>
      <c r="D119" s="138" t="s">
        <v>1</v>
      </c>
      <c r="E119" s="150">
        <v>1.1423611111111109</v>
      </c>
      <c r="F119" s="138" t="s">
        <v>125</v>
      </c>
      <c r="G119" s="140">
        <v>3</v>
      </c>
      <c r="H119" s="141">
        <v>723</v>
      </c>
    </row>
    <row r="120" spans="1:8" ht="19.8" customHeight="1" x14ac:dyDescent="0.3">
      <c r="A120" s="149">
        <v>45987</v>
      </c>
      <c r="B120" s="138" t="s">
        <v>148</v>
      </c>
      <c r="C120" s="139" t="s">
        <v>176</v>
      </c>
      <c r="D120" s="138" t="s">
        <v>1</v>
      </c>
      <c r="E120" s="150">
        <v>1.145833333333333</v>
      </c>
      <c r="F120" s="138" t="s">
        <v>150</v>
      </c>
      <c r="G120" s="140">
        <v>9</v>
      </c>
      <c r="H120" s="141">
        <v>765</v>
      </c>
    </row>
    <row r="121" spans="1:8" ht="19.8" customHeight="1" x14ac:dyDescent="0.3">
      <c r="A121" s="149">
        <v>45987</v>
      </c>
      <c r="B121" s="138" t="s">
        <v>148</v>
      </c>
      <c r="C121" s="139" t="s">
        <v>149</v>
      </c>
      <c r="D121" s="138" t="s">
        <v>1</v>
      </c>
      <c r="E121" s="150">
        <v>1.4861111111111109</v>
      </c>
      <c r="F121" s="138" t="s">
        <v>150</v>
      </c>
      <c r="G121" s="140">
        <v>9</v>
      </c>
      <c r="H121" s="141">
        <v>842</v>
      </c>
    </row>
    <row r="122" spans="1:8" ht="19.8" customHeight="1" x14ac:dyDescent="0.3">
      <c r="A122" s="149">
        <v>45987</v>
      </c>
      <c r="B122" s="138" t="s">
        <v>148</v>
      </c>
      <c r="C122" s="139" t="s">
        <v>155</v>
      </c>
      <c r="D122" s="138" t="s">
        <v>1</v>
      </c>
      <c r="E122" s="150">
        <v>1.274305555555556</v>
      </c>
      <c r="F122" s="138" t="s">
        <v>150</v>
      </c>
      <c r="G122" s="140">
        <v>9</v>
      </c>
      <c r="H122" s="141">
        <v>842</v>
      </c>
    </row>
    <row r="123" spans="1:8" ht="19.8" customHeight="1" x14ac:dyDescent="0.3">
      <c r="A123" s="149">
        <v>45987</v>
      </c>
      <c r="B123" s="138" t="s">
        <v>148</v>
      </c>
      <c r="C123" s="139" t="s">
        <v>152</v>
      </c>
      <c r="D123" s="138" t="s">
        <v>1</v>
      </c>
      <c r="E123" s="150">
        <v>1.506944444444444</v>
      </c>
      <c r="F123" s="138" t="s">
        <v>150</v>
      </c>
      <c r="G123" s="140">
        <v>9</v>
      </c>
      <c r="H123" s="141">
        <v>842</v>
      </c>
    </row>
    <row r="124" spans="1:8" ht="19.8" customHeight="1" x14ac:dyDescent="0.3">
      <c r="A124" s="149">
        <v>45987</v>
      </c>
      <c r="B124" s="138" t="s">
        <v>148</v>
      </c>
      <c r="C124" s="139" t="s">
        <v>179</v>
      </c>
      <c r="D124" s="138" t="s">
        <v>1</v>
      </c>
      <c r="E124" s="150">
        <v>1.958333333333333</v>
      </c>
      <c r="F124" s="138" t="s">
        <v>150</v>
      </c>
      <c r="G124" s="140">
        <v>9</v>
      </c>
      <c r="H124" s="141">
        <v>842</v>
      </c>
    </row>
    <row r="125" spans="1:8" ht="19.8" customHeight="1" x14ac:dyDescent="0.3">
      <c r="A125" s="149">
        <v>45987</v>
      </c>
      <c r="B125" s="138" t="s">
        <v>148</v>
      </c>
      <c r="C125" s="139" t="s">
        <v>153</v>
      </c>
      <c r="D125" s="138" t="s">
        <v>1</v>
      </c>
      <c r="E125" s="150">
        <v>1.2222222222222221</v>
      </c>
      <c r="F125" s="138" t="s">
        <v>150</v>
      </c>
      <c r="G125" s="140">
        <v>9</v>
      </c>
      <c r="H125" s="141">
        <v>842</v>
      </c>
    </row>
    <row r="126" spans="1:8" ht="19.8" customHeight="1" x14ac:dyDescent="0.3">
      <c r="A126" s="149">
        <v>45987</v>
      </c>
      <c r="B126" s="138" t="s">
        <v>121</v>
      </c>
      <c r="C126" s="139" t="s">
        <v>128</v>
      </c>
      <c r="D126" s="138" t="s">
        <v>1</v>
      </c>
      <c r="E126" s="150">
        <v>1.3784722222222221</v>
      </c>
      <c r="F126" s="138" t="s">
        <v>123</v>
      </c>
      <c r="G126" s="140">
        <v>9</v>
      </c>
      <c r="H126" s="141">
        <v>935</v>
      </c>
    </row>
    <row r="127" spans="1:8" ht="19.8" customHeight="1" x14ac:dyDescent="0.3">
      <c r="A127" s="149">
        <v>45987</v>
      </c>
      <c r="B127" s="138" t="s">
        <v>121</v>
      </c>
      <c r="C127" s="139" t="s">
        <v>131</v>
      </c>
      <c r="D127" s="138" t="s">
        <v>1</v>
      </c>
      <c r="E127" s="150">
        <v>1.006944444444444</v>
      </c>
      <c r="F127" s="138" t="s">
        <v>123</v>
      </c>
      <c r="G127" s="140">
        <v>9</v>
      </c>
      <c r="H127" s="141">
        <v>935</v>
      </c>
    </row>
    <row r="128" spans="1:8" ht="19.8" customHeight="1" x14ac:dyDescent="0.3">
      <c r="A128" s="149">
        <v>45987</v>
      </c>
      <c r="B128" s="138" t="s">
        <v>121</v>
      </c>
      <c r="C128" s="139" t="s">
        <v>122</v>
      </c>
      <c r="D128" s="138" t="s">
        <v>1</v>
      </c>
      <c r="E128" s="150">
        <v>1.239583333333333</v>
      </c>
      <c r="F128" s="138" t="s">
        <v>123</v>
      </c>
      <c r="G128" s="140">
        <v>9</v>
      </c>
      <c r="H128" s="141">
        <v>935</v>
      </c>
    </row>
    <row r="129" spans="1:8" ht="19.8" customHeight="1" x14ac:dyDescent="0.3">
      <c r="A129" s="149">
        <v>45987</v>
      </c>
      <c r="B129" s="138" t="s">
        <v>121</v>
      </c>
      <c r="C129" s="139" t="s">
        <v>128</v>
      </c>
      <c r="D129" s="138" t="s">
        <v>1</v>
      </c>
      <c r="E129" s="150">
        <v>1.3784722222222221</v>
      </c>
      <c r="F129" s="138" t="s">
        <v>125</v>
      </c>
      <c r="G129" s="140">
        <v>9</v>
      </c>
      <c r="H129" s="141">
        <v>980</v>
      </c>
    </row>
    <row r="130" spans="1:8" ht="19.8" customHeight="1" x14ac:dyDescent="0.3">
      <c r="A130" s="149">
        <v>45987</v>
      </c>
      <c r="B130" s="138" t="s">
        <v>121</v>
      </c>
      <c r="C130" s="139" t="s">
        <v>131</v>
      </c>
      <c r="D130" s="138" t="s">
        <v>1</v>
      </c>
      <c r="E130" s="150">
        <v>1.006944444444444</v>
      </c>
      <c r="F130" s="138" t="s">
        <v>125</v>
      </c>
      <c r="G130" s="140">
        <v>9</v>
      </c>
      <c r="H130" s="141">
        <v>980</v>
      </c>
    </row>
    <row r="131" spans="1:8" ht="19.8" customHeight="1" x14ac:dyDescent="0.3">
      <c r="A131" s="149">
        <v>45987</v>
      </c>
      <c r="B131" s="138" t="s">
        <v>121</v>
      </c>
      <c r="C131" s="139" t="s">
        <v>122</v>
      </c>
      <c r="D131" s="138" t="s">
        <v>1</v>
      </c>
      <c r="E131" s="150">
        <v>1.239583333333333</v>
      </c>
      <c r="F131" s="138" t="s">
        <v>125</v>
      </c>
      <c r="G131" s="140">
        <v>9</v>
      </c>
      <c r="H131" s="141">
        <v>980</v>
      </c>
    </row>
    <row r="132" spans="1:8" ht="19.8" customHeight="1" x14ac:dyDescent="0.3">
      <c r="A132" s="149">
        <v>45987</v>
      </c>
      <c r="B132" s="138" t="s">
        <v>35</v>
      </c>
      <c r="C132" s="139" t="s">
        <v>36</v>
      </c>
      <c r="D132" s="138" t="s">
        <v>1</v>
      </c>
      <c r="E132" s="150">
        <v>1.302083333333333</v>
      </c>
      <c r="F132" s="138" t="s">
        <v>43</v>
      </c>
      <c r="G132" s="140">
        <v>5</v>
      </c>
      <c r="H132" s="151" t="s">
        <v>44</v>
      </c>
    </row>
    <row r="133" spans="1:8" ht="19.8" customHeight="1" x14ac:dyDescent="0.3">
      <c r="A133" s="149">
        <v>45987</v>
      </c>
      <c r="B133" s="138" t="s">
        <v>35</v>
      </c>
      <c r="C133" s="139" t="s">
        <v>50</v>
      </c>
      <c r="D133" s="138" t="s">
        <v>1</v>
      </c>
      <c r="E133" s="150">
        <v>1.1284722222222221</v>
      </c>
      <c r="F133" s="138" t="s">
        <v>43</v>
      </c>
      <c r="G133" s="140">
        <v>2</v>
      </c>
      <c r="H133" s="151" t="s">
        <v>44</v>
      </c>
    </row>
    <row r="134" spans="1:8" ht="19.8" customHeight="1" x14ac:dyDescent="0.3">
      <c r="A134" s="149">
        <v>45987</v>
      </c>
      <c r="B134" s="138" t="s">
        <v>35</v>
      </c>
      <c r="C134" s="139" t="s">
        <v>45</v>
      </c>
      <c r="D134" s="138" t="s">
        <v>1</v>
      </c>
      <c r="E134" s="150">
        <v>1.788194444444444</v>
      </c>
      <c r="F134" s="138" t="s">
        <v>43</v>
      </c>
      <c r="G134" s="140">
        <v>7</v>
      </c>
      <c r="H134" s="151" t="s">
        <v>44</v>
      </c>
    </row>
    <row r="135" spans="1:8" ht="19.8" customHeight="1" x14ac:dyDescent="0.3">
      <c r="A135" s="149">
        <v>45987</v>
      </c>
      <c r="B135" s="138" t="s">
        <v>35</v>
      </c>
      <c r="C135" s="139" t="s">
        <v>47</v>
      </c>
      <c r="D135" s="138" t="s">
        <v>1</v>
      </c>
      <c r="E135" s="150">
        <v>1.8888888888888891</v>
      </c>
      <c r="F135" s="138" t="s">
        <v>43</v>
      </c>
      <c r="G135" s="140">
        <v>2</v>
      </c>
      <c r="H135" s="151" t="s">
        <v>44</v>
      </c>
    </row>
    <row r="136" spans="1:8" ht="19.8" customHeight="1" x14ac:dyDescent="0.3">
      <c r="A136" s="149">
        <v>45987</v>
      </c>
      <c r="B136" s="138" t="s">
        <v>148</v>
      </c>
      <c r="C136" s="139" t="s">
        <v>180</v>
      </c>
      <c r="D136" s="138" t="s">
        <v>1</v>
      </c>
      <c r="E136" s="150">
        <v>1.0138888888888891</v>
      </c>
      <c r="F136" s="138" t="s">
        <v>150</v>
      </c>
      <c r="G136" s="140">
        <v>9</v>
      </c>
      <c r="H136" s="151" t="s">
        <v>181</v>
      </c>
    </row>
    <row r="137" spans="1:8" ht="19.8" customHeight="1" x14ac:dyDescent="0.3">
      <c r="A137" s="149">
        <v>45987</v>
      </c>
      <c r="B137" s="138" t="s">
        <v>121</v>
      </c>
      <c r="C137" s="139" t="s">
        <v>133</v>
      </c>
      <c r="D137" s="138" t="s">
        <v>1</v>
      </c>
      <c r="E137" s="150">
        <v>1.930555555555556</v>
      </c>
      <c r="F137" s="138" t="s">
        <v>123</v>
      </c>
      <c r="G137" s="140">
        <v>9</v>
      </c>
      <c r="H137" s="151" t="s">
        <v>182</v>
      </c>
    </row>
    <row r="138" spans="1:8" ht="19.8" customHeight="1" x14ac:dyDescent="0.3">
      <c r="A138" s="149">
        <v>45987</v>
      </c>
      <c r="B138" s="138" t="s">
        <v>121</v>
      </c>
      <c r="C138" s="139" t="s">
        <v>133</v>
      </c>
      <c r="D138" s="138" t="s">
        <v>1</v>
      </c>
      <c r="E138" s="150">
        <v>1.930555555555556</v>
      </c>
      <c r="F138" s="138" t="s">
        <v>125</v>
      </c>
      <c r="G138" s="140">
        <v>9</v>
      </c>
      <c r="H138" s="151" t="s">
        <v>183</v>
      </c>
    </row>
    <row r="139" spans="1:8" ht="19.8" customHeight="1" x14ac:dyDescent="0.3">
      <c r="A139" s="149">
        <v>45987</v>
      </c>
      <c r="B139" s="138" t="s">
        <v>121</v>
      </c>
      <c r="C139" s="139" t="s">
        <v>137</v>
      </c>
      <c r="D139" s="138" t="s">
        <v>1</v>
      </c>
      <c r="E139" s="150">
        <v>1.8888888888888891</v>
      </c>
      <c r="F139" s="138" t="s">
        <v>125</v>
      </c>
      <c r="G139" s="140">
        <v>4</v>
      </c>
      <c r="H139" s="151" t="s">
        <v>138</v>
      </c>
    </row>
    <row r="140" spans="1:8" ht="19.8" customHeight="1" x14ac:dyDescent="0.3">
      <c r="A140" s="149">
        <v>45987</v>
      </c>
      <c r="B140" s="138" t="s">
        <v>121</v>
      </c>
      <c r="C140" s="139" t="s">
        <v>139</v>
      </c>
      <c r="D140" s="138" t="s">
        <v>1</v>
      </c>
      <c r="E140" s="150">
        <v>1.302083333333333</v>
      </c>
      <c r="F140" s="138" t="s">
        <v>125</v>
      </c>
      <c r="G140" s="140">
        <v>4</v>
      </c>
      <c r="H140" s="151" t="s">
        <v>138</v>
      </c>
    </row>
    <row r="141" spans="1:8" ht="19.8" customHeight="1" x14ac:dyDescent="0.3">
      <c r="A141" s="149">
        <v>45987</v>
      </c>
      <c r="B141" s="138" t="s">
        <v>121</v>
      </c>
      <c r="C141" s="139" t="s">
        <v>140</v>
      </c>
      <c r="D141" s="138" t="s">
        <v>1</v>
      </c>
      <c r="E141" s="150">
        <v>1.1284722222222221</v>
      </c>
      <c r="F141" s="138" t="s">
        <v>125</v>
      </c>
      <c r="G141" s="140">
        <v>4</v>
      </c>
      <c r="H141" s="151" t="s">
        <v>138</v>
      </c>
    </row>
    <row r="142" spans="1:8" ht="19.8" customHeight="1" x14ac:dyDescent="0.3">
      <c r="A142" s="149">
        <v>45987</v>
      </c>
      <c r="B142" s="138" t="s">
        <v>121</v>
      </c>
      <c r="C142" s="139" t="s">
        <v>141</v>
      </c>
      <c r="D142" s="138" t="s">
        <v>1</v>
      </c>
      <c r="E142" s="150">
        <v>1.788194444444444</v>
      </c>
      <c r="F142" s="138" t="s">
        <v>125</v>
      </c>
      <c r="G142" s="140">
        <v>4</v>
      </c>
      <c r="H142" s="151" t="s">
        <v>138</v>
      </c>
    </row>
    <row r="143" spans="1:8" ht="19.8" customHeight="1" x14ac:dyDescent="0.3">
      <c r="A143" s="149">
        <v>45987</v>
      </c>
      <c r="B143" s="138" t="s">
        <v>121</v>
      </c>
      <c r="C143" s="139" t="s">
        <v>134</v>
      </c>
      <c r="D143" s="138" t="s">
        <v>1</v>
      </c>
      <c r="E143" s="150">
        <v>1.71875</v>
      </c>
      <c r="F143" s="138" t="s">
        <v>123</v>
      </c>
      <c r="G143" s="140">
        <v>9</v>
      </c>
      <c r="H143" s="151" t="s">
        <v>143</v>
      </c>
    </row>
    <row r="144" spans="1:8" ht="19.8" customHeight="1" x14ac:dyDescent="0.3">
      <c r="A144" s="149">
        <v>45987</v>
      </c>
      <c r="B144" s="138" t="s">
        <v>121</v>
      </c>
      <c r="C144" s="139" t="s">
        <v>145</v>
      </c>
      <c r="D144" s="138" t="s">
        <v>1</v>
      </c>
      <c r="E144" s="150">
        <v>1.6111111111111109</v>
      </c>
      <c r="F144" s="138" t="s">
        <v>123</v>
      </c>
      <c r="G144" s="140">
        <v>9</v>
      </c>
      <c r="H144" s="151" t="s">
        <v>143</v>
      </c>
    </row>
    <row r="145" spans="1:8" ht="19.8" customHeight="1" x14ac:dyDescent="0.3">
      <c r="A145" s="149">
        <v>45987</v>
      </c>
      <c r="B145" s="138" t="s">
        <v>121</v>
      </c>
      <c r="C145" s="139" t="s">
        <v>142</v>
      </c>
      <c r="D145" s="138" t="s">
        <v>1</v>
      </c>
      <c r="E145" s="150">
        <v>1.8298611111111109</v>
      </c>
      <c r="F145" s="138" t="s">
        <v>123</v>
      </c>
      <c r="G145" s="140">
        <v>9</v>
      </c>
      <c r="H145" s="151" t="s">
        <v>143</v>
      </c>
    </row>
    <row r="146" spans="1:8" ht="19.8" customHeight="1" x14ac:dyDescent="0.3">
      <c r="A146" s="149">
        <v>45987</v>
      </c>
      <c r="B146" s="138" t="s">
        <v>121</v>
      </c>
      <c r="C146" s="139" t="s">
        <v>134</v>
      </c>
      <c r="D146" s="138" t="s">
        <v>1</v>
      </c>
      <c r="E146" s="150">
        <v>1.71875</v>
      </c>
      <c r="F146" s="138" t="s">
        <v>125</v>
      </c>
      <c r="G146" s="140">
        <v>9</v>
      </c>
      <c r="H146" s="151" t="s">
        <v>144</v>
      </c>
    </row>
    <row r="147" spans="1:8" ht="19.8" customHeight="1" x14ac:dyDescent="0.3">
      <c r="A147" s="149">
        <v>45987</v>
      </c>
      <c r="B147" s="138" t="s">
        <v>121</v>
      </c>
      <c r="C147" s="139" t="s">
        <v>145</v>
      </c>
      <c r="D147" s="138" t="s">
        <v>1</v>
      </c>
      <c r="E147" s="150">
        <v>1.6111111111111109</v>
      </c>
      <c r="F147" s="138" t="s">
        <v>125</v>
      </c>
      <c r="G147" s="140">
        <v>9</v>
      </c>
      <c r="H147" s="151" t="s">
        <v>144</v>
      </c>
    </row>
    <row r="148" spans="1:8" ht="19.8" customHeight="1" x14ac:dyDescent="0.3">
      <c r="A148" s="149">
        <v>45987</v>
      </c>
      <c r="B148" s="138" t="s">
        <v>121</v>
      </c>
      <c r="C148" s="139" t="s">
        <v>142</v>
      </c>
      <c r="D148" s="138" t="s">
        <v>1</v>
      </c>
      <c r="E148" s="150">
        <v>1.8298611111111109</v>
      </c>
      <c r="F148" s="138" t="s">
        <v>125</v>
      </c>
      <c r="G148" s="140">
        <v>9</v>
      </c>
      <c r="H148" s="151" t="s">
        <v>144</v>
      </c>
    </row>
    <row r="149" spans="1:8" ht="19.8" customHeight="1" x14ac:dyDescent="0.3">
      <c r="A149" s="157">
        <v>45987</v>
      </c>
      <c r="B149" s="158" t="s">
        <v>148</v>
      </c>
      <c r="C149" s="159" t="s">
        <v>157</v>
      </c>
      <c r="D149" s="158" t="s">
        <v>1</v>
      </c>
      <c r="E149" s="160">
        <v>1.774305555555556</v>
      </c>
      <c r="F149" s="158" t="s">
        <v>150</v>
      </c>
      <c r="G149" s="161">
        <v>4</v>
      </c>
      <c r="H149" s="162" t="s">
        <v>158</v>
      </c>
    </row>
    <row r="150" spans="1:8" ht="19.8" customHeight="1" x14ac:dyDescent="0.3">
      <c r="A150" s="149">
        <v>45988</v>
      </c>
      <c r="B150" s="138" t="s">
        <v>35</v>
      </c>
      <c r="C150" s="139" t="s">
        <v>36</v>
      </c>
      <c r="D150" s="138" t="s">
        <v>1</v>
      </c>
      <c r="E150" s="150">
        <v>1.302083333333333</v>
      </c>
      <c r="F150" s="138" t="s">
        <v>37</v>
      </c>
      <c r="G150" s="140">
        <v>1</v>
      </c>
      <c r="H150" s="141">
        <v>359</v>
      </c>
    </row>
    <row r="151" spans="1:8" ht="19.8" customHeight="1" x14ac:dyDescent="0.3">
      <c r="A151" s="149">
        <v>45988</v>
      </c>
      <c r="B151" s="138" t="s">
        <v>35</v>
      </c>
      <c r="C151" s="139" t="s">
        <v>50</v>
      </c>
      <c r="D151" s="138" t="s">
        <v>1</v>
      </c>
      <c r="E151" s="150">
        <v>1.1284722222222221</v>
      </c>
      <c r="F151" s="138" t="s">
        <v>37</v>
      </c>
      <c r="G151" s="140">
        <v>4</v>
      </c>
      <c r="H151" s="141">
        <v>359</v>
      </c>
    </row>
    <row r="152" spans="1:8" ht="19.8" customHeight="1" x14ac:dyDescent="0.3">
      <c r="A152" s="149">
        <v>45988</v>
      </c>
      <c r="B152" s="138" t="s">
        <v>116</v>
      </c>
      <c r="C152" s="139" t="s">
        <v>117</v>
      </c>
      <c r="D152" s="138" t="s">
        <v>1</v>
      </c>
      <c r="E152" s="150">
        <v>1.291666666666667</v>
      </c>
      <c r="F152" s="138" t="s">
        <v>28</v>
      </c>
      <c r="G152" s="140">
        <v>9</v>
      </c>
      <c r="H152" s="141">
        <v>400</v>
      </c>
    </row>
    <row r="153" spans="1:8" ht="19.8" customHeight="1" x14ac:dyDescent="0.3">
      <c r="A153" s="149">
        <v>45988</v>
      </c>
      <c r="B153" s="138" t="s">
        <v>116</v>
      </c>
      <c r="C153" s="139" t="s">
        <v>119</v>
      </c>
      <c r="D153" s="138" t="s">
        <v>1</v>
      </c>
      <c r="E153" s="150">
        <v>1.59375</v>
      </c>
      <c r="F153" s="138" t="s">
        <v>28</v>
      </c>
      <c r="G153" s="140">
        <v>9</v>
      </c>
      <c r="H153" s="141">
        <v>400</v>
      </c>
    </row>
    <row r="154" spans="1:8" ht="19.8" customHeight="1" x14ac:dyDescent="0.3">
      <c r="A154" s="147">
        <v>45988</v>
      </c>
      <c r="B154" s="143" t="s">
        <v>55</v>
      </c>
      <c r="C154" s="144" t="s">
        <v>189</v>
      </c>
      <c r="D154" s="143" t="s">
        <v>1</v>
      </c>
      <c r="E154" s="148">
        <v>1.364583333333333</v>
      </c>
      <c r="F154" s="143" t="s">
        <v>57</v>
      </c>
      <c r="G154" s="145">
        <v>9</v>
      </c>
      <c r="H154" s="146">
        <v>401</v>
      </c>
    </row>
    <row r="155" spans="1:8" ht="19.8" customHeight="1" x14ac:dyDescent="0.3">
      <c r="A155" s="147">
        <v>45988</v>
      </c>
      <c r="B155" s="143" t="s">
        <v>55</v>
      </c>
      <c r="C155" s="144" t="s">
        <v>192</v>
      </c>
      <c r="D155" s="143" t="s">
        <v>1</v>
      </c>
      <c r="E155" s="148">
        <v>1.2534722222222221</v>
      </c>
      <c r="F155" s="143" t="s">
        <v>57</v>
      </c>
      <c r="G155" s="145">
        <v>9</v>
      </c>
      <c r="H155" s="146">
        <v>401</v>
      </c>
    </row>
    <row r="156" spans="1:8" ht="19.8" customHeight="1" x14ac:dyDescent="0.3">
      <c r="A156" s="147">
        <v>45988</v>
      </c>
      <c r="B156" s="143" t="s">
        <v>55</v>
      </c>
      <c r="C156" s="144" t="s">
        <v>68</v>
      </c>
      <c r="D156" s="143" t="s">
        <v>1</v>
      </c>
      <c r="E156" s="148">
        <v>1.583333333333333</v>
      </c>
      <c r="F156" s="143" t="s">
        <v>57</v>
      </c>
      <c r="G156" s="145">
        <v>9</v>
      </c>
      <c r="H156" s="146">
        <v>401</v>
      </c>
    </row>
    <row r="157" spans="1:8" ht="19.8" customHeight="1" x14ac:dyDescent="0.3">
      <c r="A157" s="147">
        <v>45988</v>
      </c>
      <c r="B157" s="143" t="s">
        <v>55</v>
      </c>
      <c r="C157" s="144" t="s">
        <v>196</v>
      </c>
      <c r="D157" s="143" t="s">
        <v>1</v>
      </c>
      <c r="E157" s="148">
        <v>1.739583333333333</v>
      </c>
      <c r="F157" s="143" t="s">
        <v>57</v>
      </c>
      <c r="G157" s="145">
        <v>9</v>
      </c>
      <c r="H157" s="146">
        <v>401</v>
      </c>
    </row>
    <row r="158" spans="1:8" ht="19.8" customHeight="1" x14ac:dyDescent="0.3">
      <c r="A158" s="149">
        <v>45988</v>
      </c>
      <c r="B158" s="138" t="s">
        <v>26</v>
      </c>
      <c r="C158" s="139" t="s">
        <v>33</v>
      </c>
      <c r="D158" s="138" t="s">
        <v>1</v>
      </c>
      <c r="E158" s="150">
        <v>1.666666666666667</v>
      </c>
      <c r="F158" s="138" t="s">
        <v>28</v>
      </c>
      <c r="G158" s="140">
        <v>1</v>
      </c>
      <c r="H158" s="141">
        <v>401</v>
      </c>
    </row>
    <row r="159" spans="1:8" ht="19.8" customHeight="1" x14ac:dyDescent="0.3">
      <c r="A159" s="149">
        <v>45988</v>
      </c>
      <c r="B159" s="138" t="s">
        <v>83</v>
      </c>
      <c r="C159" s="139" t="s">
        <v>101</v>
      </c>
      <c r="D159" s="138" t="s">
        <v>1</v>
      </c>
      <c r="E159" s="150">
        <v>1.5173611111111109</v>
      </c>
      <c r="F159" s="138" t="s">
        <v>85</v>
      </c>
      <c r="G159" s="140">
        <v>9</v>
      </c>
      <c r="H159" s="141">
        <v>409</v>
      </c>
    </row>
    <row r="160" spans="1:8" ht="19.8" customHeight="1" x14ac:dyDescent="0.3">
      <c r="A160" s="149">
        <v>45988</v>
      </c>
      <c r="B160" s="138" t="s">
        <v>35</v>
      </c>
      <c r="C160" s="139" t="s">
        <v>45</v>
      </c>
      <c r="D160" s="138" t="s">
        <v>1</v>
      </c>
      <c r="E160" s="150">
        <v>1.788194444444444</v>
      </c>
      <c r="F160" s="138" t="s">
        <v>37</v>
      </c>
      <c r="G160" s="140">
        <v>10</v>
      </c>
      <c r="H160" s="141">
        <v>419</v>
      </c>
    </row>
    <row r="161" spans="1:8" ht="19.8" customHeight="1" x14ac:dyDescent="0.3">
      <c r="A161" s="149">
        <v>45988</v>
      </c>
      <c r="B161" s="138" t="s">
        <v>35</v>
      </c>
      <c r="C161" s="139" t="s">
        <v>47</v>
      </c>
      <c r="D161" s="138" t="s">
        <v>1</v>
      </c>
      <c r="E161" s="150">
        <v>1.8888888888888891</v>
      </c>
      <c r="F161" s="138" t="s">
        <v>37</v>
      </c>
      <c r="G161" s="140">
        <v>10</v>
      </c>
      <c r="H161" s="141">
        <v>419</v>
      </c>
    </row>
    <row r="162" spans="1:8" ht="19.8" customHeight="1" x14ac:dyDescent="0.3">
      <c r="A162" s="147">
        <v>45988</v>
      </c>
      <c r="B162" s="143" t="s">
        <v>55</v>
      </c>
      <c r="C162" s="144" t="s">
        <v>56</v>
      </c>
      <c r="D162" s="143" t="s">
        <v>1</v>
      </c>
      <c r="E162" s="148">
        <v>1.0486111111111109</v>
      </c>
      <c r="F162" s="143" t="s">
        <v>57</v>
      </c>
      <c r="G162" s="145">
        <v>9</v>
      </c>
      <c r="H162" s="146">
        <v>436</v>
      </c>
    </row>
    <row r="163" spans="1:8" ht="19.8" customHeight="1" x14ac:dyDescent="0.3">
      <c r="A163" s="147">
        <v>45988</v>
      </c>
      <c r="B163" s="143" t="s">
        <v>55</v>
      </c>
      <c r="C163" s="144" t="s">
        <v>62</v>
      </c>
      <c r="D163" s="143" t="s">
        <v>1</v>
      </c>
      <c r="E163" s="148">
        <v>1.114583333333333</v>
      </c>
      <c r="F163" s="143" t="s">
        <v>57</v>
      </c>
      <c r="G163" s="145">
        <v>9</v>
      </c>
      <c r="H163" s="146">
        <v>436</v>
      </c>
    </row>
    <row r="164" spans="1:8" ht="19.8" customHeight="1" x14ac:dyDescent="0.3">
      <c r="A164" s="147">
        <v>45988</v>
      </c>
      <c r="B164" s="143" t="s">
        <v>55</v>
      </c>
      <c r="C164" s="144" t="s">
        <v>65</v>
      </c>
      <c r="D164" s="143" t="s">
        <v>1</v>
      </c>
      <c r="E164" s="148">
        <v>1.333333333333333</v>
      </c>
      <c r="F164" s="143" t="s">
        <v>57</v>
      </c>
      <c r="G164" s="145">
        <v>5</v>
      </c>
      <c r="H164" s="146">
        <v>436</v>
      </c>
    </row>
    <row r="165" spans="1:8" ht="19.8" customHeight="1" x14ac:dyDescent="0.3">
      <c r="A165" s="149">
        <v>45988</v>
      </c>
      <c r="B165" s="138" t="s">
        <v>83</v>
      </c>
      <c r="C165" s="139" t="s">
        <v>94</v>
      </c>
      <c r="D165" s="138" t="s">
        <v>1</v>
      </c>
      <c r="E165" s="150">
        <v>1.256944444444444</v>
      </c>
      <c r="F165" s="138" t="s">
        <v>85</v>
      </c>
      <c r="G165" s="140">
        <v>7</v>
      </c>
      <c r="H165" s="141">
        <v>449</v>
      </c>
    </row>
    <row r="166" spans="1:8" ht="19.8" customHeight="1" x14ac:dyDescent="0.3">
      <c r="A166" s="149">
        <v>45988</v>
      </c>
      <c r="B166" s="138" t="s">
        <v>83</v>
      </c>
      <c r="C166" s="139" t="s">
        <v>84</v>
      </c>
      <c r="D166" s="138" t="s">
        <v>1</v>
      </c>
      <c r="E166" s="150">
        <v>1.9027777777777779</v>
      </c>
      <c r="F166" s="138" t="s">
        <v>85</v>
      </c>
      <c r="G166" s="140">
        <v>9</v>
      </c>
      <c r="H166" s="141">
        <v>449</v>
      </c>
    </row>
    <row r="167" spans="1:8" ht="19.8" customHeight="1" x14ac:dyDescent="0.3">
      <c r="A167" s="149">
        <v>45988</v>
      </c>
      <c r="B167" s="138" t="s">
        <v>83</v>
      </c>
      <c r="C167" s="139" t="s">
        <v>100</v>
      </c>
      <c r="D167" s="138" t="s">
        <v>1</v>
      </c>
      <c r="E167" s="150">
        <v>1.6597222222222221</v>
      </c>
      <c r="F167" s="138" t="s">
        <v>85</v>
      </c>
      <c r="G167" s="140">
        <v>9</v>
      </c>
      <c r="H167" s="141">
        <v>449</v>
      </c>
    </row>
    <row r="168" spans="1:8" ht="19.8" customHeight="1" x14ac:dyDescent="0.3">
      <c r="A168" s="149">
        <v>45988</v>
      </c>
      <c r="B168" s="138" t="s">
        <v>83</v>
      </c>
      <c r="C168" s="139" t="s">
        <v>102</v>
      </c>
      <c r="D168" s="138" t="s">
        <v>1</v>
      </c>
      <c r="E168" s="150">
        <v>1.854166666666667</v>
      </c>
      <c r="F168" s="138" t="s">
        <v>85</v>
      </c>
      <c r="G168" s="140">
        <v>9</v>
      </c>
      <c r="H168" s="141">
        <v>449</v>
      </c>
    </row>
    <row r="169" spans="1:8" ht="19.8" customHeight="1" x14ac:dyDescent="0.3">
      <c r="A169" s="149">
        <v>45988</v>
      </c>
      <c r="B169" s="138" t="s">
        <v>83</v>
      </c>
      <c r="C169" s="139" t="s">
        <v>104</v>
      </c>
      <c r="D169" s="138" t="s">
        <v>1</v>
      </c>
      <c r="E169" s="150">
        <v>1.395833333333333</v>
      </c>
      <c r="F169" s="138" t="s">
        <v>85</v>
      </c>
      <c r="G169" s="140">
        <v>9</v>
      </c>
      <c r="H169" s="141">
        <v>449</v>
      </c>
    </row>
    <row r="170" spans="1:8" ht="19.8" customHeight="1" x14ac:dyDescent="0.3">
      <c r="A170" s="149">
        <v>45988</v>
      </c>
      <c r="B170" s="138" t="s">
        <v>83</v>
      </c>
      <c r="C170" s="139" t="s">
        <v>103</v>
      </c>
      <c r="D170" s="138" t="s">
        <v>1</v>
      </c>
      <c r="E170" s="150">
        <v>1.302083333333333</v>
      </c>
      <c r="F170" s="138" t="s">
        <v>85</v>
      </c>
      <c r="G170" s="140">
        <v>9</v>
      </c>
      <c r="H170" s="141">
        <v>449</v>
      </c>
    </row>
    <row r="171" spans="1:8" ht="19.8" customHeight="1" x14ac:dyDescent="0.3">
      <c r="A171" s="149">
        <v>45988</v>
      </c>
      <c r="B171" s="138" t="s">
        <v>83</v>
      </c>
      <c r="C171" s="139" t="s">
        <v>91</v>
      </c>
      <c r="D171" s="138" t="s">
        <v>1</v>
      </c>
      <c r="E171" s="150">
        <v>1.7986111111111109</v>
      </c>
      <c r="F171" s="138" t="s">
        <v>85</v>
      </c>
      <c r="G171" s="140">
        <v>9</v>
      </c>
      <c r="H171" s="141">
        <v>449</v>
      </c>
    </row>
    <row r="172" spans="1:8" ht="19.8" customHeight="1" x14ac:dyDescent="0.3">
      <c r="A172" s="149">
        <v>45988</v>
      </c>
      <c r="B172" s="138" t="s">
        <v>110</v>
      </c>
      <c r="C172" s="139" t="s">
        <v>173</v>
      </c>
      <c r="D172" s="138" t="s">
        <v>1</v>
      </c>
      <c r="E172" s="150">
        <v>1.3298611111111109</v>
      </c>
      <c r="F172" s="138" t="s">
        <v>112</v>
      </c>
      <c r="G172" s="140">
        <v>9</v>
      </c>
      <c r="H172" s="141">
        <v>469</v>
      </c>
    </row>
    <row r="173" spans="1:8" ht="19.8" customHeight="1" x14ac:dyDescent="0.3">
      <c r="A173" s="149">
        <v>45988</v>
      </c>
      <c r="B173" s="138" t="s">
        <v>35</v>
      </c>
      <c r="C173" s="139" t="s">
        <v>36</v>
      </c>
      <c r="D173" s="138" t="s">
        <v>1</v>
      </c>
      <c r="E173" s="150">
        <v>1.302083333333333</v>
      </c>
      <c r="F173" s="138" t="s">
        <v>40</v>
      </c>
      <c r="G173" s="140">
        <v>1</v>
      </c>
      <c r="H173" s="141">
        <v>509</v>
      </c>
    </row>
    <row r="174" spans="1:8" ht="19.8" customHeight="1" x14ac:dyDescent="0.3">
      <c r="A174" s="149">
        <v>45988</v>
      </c>
      <c r="B174" s="138" t="s">
        <v>35</v>
      </c>
      <c r="C174" s="139" t="s">
        <v>50</v>
      </c>
      <c r="D174" s="138" t="s">
        <v>1</v>
      </c>
      <c r="E174" s="150">
        <v>1.1284722222222221</v>
      </c>
      <c r="F174" s="138" t="s">
        <v>40</v>
      </c>
      <c r="G174" s="140">
        <v>4</v>
      </c>
      <c r="H174" s="141">
        <v>509</v>
      </c>
    </row>
    <row r="175" spans="1:8" ht="19.8" customHeight="1" x14ac:dyDescent="0.3">
      <c r="A175" s="149">
        <v>45988</v>
      </c>
      <c r="B175" s="138" t="s">
        <v>83</v>
      </c>
      <c r="C175" s="139" t="s">
        <v>101</v>
      </c>
      <c r="D175" s="138" t="s">
        <v>1</v>
      </c>
      <c r="E175" s="150">
        <v>1.5173611111111109</v>
      </c>
      <c r="F175" s="138" t="s">
        <v>87</v>
      </c>
      <c r="G175" s="140">
        <v>9</v>
      </c>
      <c r="H175" s="141">
        <v>509</v>
      </c>
    </row>
    <row r="176" spans="1:8" ht="19.8" customHeight="1" x14ac:dyDescent="0.3">
      <c r="A176" s="149">
        <v>45988</v>
      </c>
      <c r="B176" s="138" t="s">
        <v>83</v>
      </c>
      <c r="C176" s="139" t="s">
        <v>94</v>
      </c>
      <c r="D176" s="138" t="s">
        <v>1</v>
      </c>
      <c r="E176" s="150">
        <v>1.256944444444444</v>
      </c>
      <c r="F176" s="138" t="s">
        <v>87</v>
      </c>
      <c r="G176" s="140">
        <v>7</v>
      </c>
      <c r="H176" s="141">
        <v>549</v>
      </c>
    </row>
    <row r="177" spans="1:8" ht="19.8" customHeight="1" x14ac:dyDescent="0.3">
      <c r="A177" s="149">
        <v>45988</v>
      </c>
      <c r="B177" s="138" t="s">
        <v>83</v>
      </c>
      <c r="C177" s="139" t="s">
        <v>84</v>
      </c>
      <c r="D177" s="138" t="s">
        <v>1</v>
      </c>
      <c r="E177" s="150">
        <v>1.9027777777777779</v>
      </c>
      <c r="F177" s="138" t="s">
        <v>87</v>
      </c>
      <c r="G177" s="140">
        <v>9</v>
      </c>
      <c r="H177" s="141">
        <v>549</v>
      </c>
    </row>
    <row r="178" spans="1:8" ht="19.8" customHeight="1" x14ac:dyDescent="0.3">
      <c r="A178" s="149">
        <v>45988</v>
      </c>
      <c r="B178" s="138" t="s">
        <v>83</v>
      </c>
      <c r="C178" s="139" t="s">
        <v>100</v>
      </c>
      <c r="D178" s="138" t="s">
        <v>1</v>
      </c>
      <c r="E178" s="150">
        <v>1.6597222222222221</v>
      </c>
      <c r="F178" s="138" t="s">
        <v>87</v>
      </c>
      <c r="G178" s="140">
        <v>9</v>
      </c>
      <c r="H178" s="141">
        <v>549</v>
      </c>
    </row>
    <row r="179" spans="1:8" ht="19.8" customHeight="1" x14ac:dyDescent="0.3">
      <c r="A179" s="149">
        <v>45988</v>
      </c>
      <c r="B179" s="138" t="s">
        <v>83</v>
      </c>
      <c r="C179" s="139" t="s">
        <v>102</v>
      </c>
      <c r="D179" s="138" t="s">
        <v>1</v>
      </c>
      <c r="E179" s="150">
        <v>1.854166666666667</v>
      </c>
      <c r="F179" s="138" t="s">
        <v>87</v>
      </c>
      <c r="G179" s="140">
        <v>9</v>
      </c>
      <c r="H179" s="141">
        <v>549</v>
      </c>
    </row>
    <row r="180" spans="1:8" ht="19.8" customHeight="1" x14ac:dyDescent="0.3">
      <c r="A180" s="149">
        <v>45988</v>
      </c>
      <c r="B180" s="138" t="s">
        <v>83</v>
      </c>
      <c r="C180" s="139" t="s">
        <v>104</v>
      </c>
      <c r="D180" s="138" t="s">
        <v>1</v>
      </c>
      <c r="E180" s="150">
        <v>1.395833333333333</v>
      </c>
      <c r="F180" s="138" t="s">
        <v>87</v>
      </c>
      <c r="G180" s="140">
        <v>9</v>
      </c>
      <c r="H180" s="141">
        <v>549</v>
      </c>
    </row>
    <row r="181" spans="1:8" ht="19.8" customHeight="1" x14ac:dyDescent="0.3">
      <c r="A181" s="149">
        <v>45988</v>
      </c>
      <c r="B181" s="138" t="s">
        <v>83</v>
      </c>
      <c r="C181" s="139" t="s">
        <v>103</v>
      </c>
      <c r="D181" s="138" t="s">
        <v>1</v>
      </c>
      <c r="E181" s="150">
        <v>1.302083333333333</v>
      </c>
      <c r="F181" s="138" t="s">
        <v>87</v>
      </c>
      <c r="G181" s="140">
        <v>9</v>
      </c>
      <c r="H181" s="141">
        <v>549</v>
      </c>
    </row>
    <row r="182" spans="1:8" ht="19.8" customHeight="1" x14ac:dyDescent="0.3">
      <c r="A182" s="149">
        <v>45988</v>
      </c>
      <c r="B182" s="138" t="s">
        <v>83</v>
      </c>
      <c r="C182" s="139" t="s">
        <v>91</v>
      </c>
      <c r="D182" s="138" t="s">
        <v>1</v>
      </c>
      <c r="E182" s="150">
        <v>1.7986111111111109</v>
      </c>
      <c r="F182" s="138" t="s">
        <v>87</v>
      </c>
      <c r="G182" s="140">
        <v>9</v>
      </c>
      <c r="H182" s="141">
        <v>549</v>
      </c>
    </row>
    <row r="183" spans="1:8" ht="19.8" customHeight="1" x14ac:dyDescent="0.3">
      <c r="A183" s="149">
        <v>45988</v>
      </c>
      <c r="B183" s="138" t="s">
        <v>35</v>
      </c>
      <c r="C183" s="139" t="s">
        <v>45</v>
      </c>
      <c r="D183" s="138" t="s">
        <v>1</v>
      </c>
      <c r="E183" s="150">
        <v>1.788194444444444</v>
      </c>
      <c r="F183" s="138" t="s">
        <v>40</v>
      </c>
      <c r="G183" s="140">
        <v>10</v>
      </c>
      <c r="H183" s="141">
        <v>569</v>
      </c>
    </row>
    <row r="184" spans="1:8" ht="19.8" customHeight="1" x14ac:dyDescent="0.3">
      <c r="A184" s="149">
        <v>45988</v>
      </c>
      <c r="B184" s="138" t="s">
        <v>35</v>
      </c>
      <c r="C184" s="139" t="s">
        <v>47</v>
      </c>
      <c r="D184" s="138" t="s">
        <v>1</v>
      </c>
      <c r="E184" s="150">
        <v>1.8888888888888891</v>
      </c>
      <c r="F184" s="138" t="s">
        <v>40</v>
      </c>
      <c r="G184" s="140">
        <v>10</v>
      </c>
      <c r="H184" s="141">
        <v>569</v>
      </c>
    </row>
    <row r="185" spans="1:8" ht="19.8" customHeight="1" x14ac:dyDescent="0.3">
      <c r="A185" s="149">
        <v>45988</v>
      </c>
      <c r="B185" s="138" t="s">
        <v>110</v>
      </c>
      <c r="C185" s="139" t="s">
        <v>173</v>
      </c>
      <c r="D185" s="138" t="s">
        <v>1</v>
      </c>
      <c r="E185" s="150">
        <v>1.3298611111111109</v>
      </c>
      <c r="F185" s="138" t="s">
        <v>43</v>
      </c>
      <c r="G185" s="140">
        <v>9</v>
      </c>
      <c r="H185" s="141">
        <v>592</v>
      </c>
    </row>
    <row r="186" spans="1:8" ht="19.8" customHeight="1" x14ac:dyDescent="0.3">
      <c r="A186" s="149">
        <v>45988</v>
      </c>
      <c r="B186" s="138" t="s">
        <v>83</v>
      </c>
      <c r="C186" s="139" t="s">
        <v>101</v>
      </c>
      <c r="D186" s="138" t="s">
        <v>1</v>
      </c>
      <c r="E186" s="150">
        <v>1.5173611111111109</v>
      </c>
      <c r="F186" s="138" t="s">
        <v>89</v>
      </c>
      <c r="G186" s="140">
        <v>9</v>
      </c>
      <c r="H186" s="141">
        <v>599</v>
      </c>
    </row>
    <row r="187" spans="1:8" ht="19.8" customHeight="1" x14ac:dyDescent="0.3">
      <c r="A187" s="149">
        <v>45988</v>
      </c>
      <c r="B187" s="138" t="s">
        <v>83</v>
      </c>
      <c r="C187" s="139" t="s">
        <v>94</v>
      </c>
      <c r="D187" s="138" t="s">
        <v>1</v>
      </c>
      <c r="E187" s="150">
        <v>1.256944444444444</v>
      </c>
      <c r="F187" s="138" t="s">
        <v>89</v>
      </c>
      <c r="G187" s="140">
        <v>7</v>
      </c>
      <c r="H187" s="141">
        <v>639</v>
      </c>
    </row>
    <row r="188" spans="1:8" ht="19.8" customHeight="1" x14ac:dyDescent="0.3">
      <c r="A188" s="149">
        <v>45988</v>
      </c>
      <c r="B188" s="138" t="s">
        <v>83</v>
      </c>
      <c r="C188" s="139" t="s">
        <v>84</v>
      </c>
      <c r="D188" s="138" t="s">
        <v>1</v>
      </c>
      <c r="E188" s="150">
        <v>1.9027777777777779</v>
      </c>
      <c r="F188" s="138" t="s">
        <v>89</v>
      </c>
      <c r="G188" s="140">
        <v>9</v>
      </c>
      <c r="H188" s="141">
        <v>639</v>
      </c>
    </row>
    <row r="189" spans="1:8" ht="19.8" customHeight="1" x14ac:dyDescent="0.3">
      <c r="A189" s="149">
        <v>45988</v>
      </c>
      <c r="B189" s="138" t="s">
        <v>83</v>
      </c>
      <c r="C189" s="139" t="s">
        <v>100</v>
      </c>
      <c r="D189" s="138" t="s">
        <v>1</v>
      </c>
      <c r="E189" s="150">
        <v>1.6597222222222221</v>
      </c>
      <c r="F189" s="138" t="s">
        <v>89</v>
      </c>
      <c r="G189" s="140">
        <v>9</v>
      </c>
      <c r="H189" s="141">
        <v>639</v>
      </c>
    </row>
    <row r="190" spans="1:8" ht="19.8" customHeight="1" x14ac:dyDescent="0.3">
      <c r="A190" s="149">
        <v>45988</v>
      </c>
      <c r="B190" s="138" t="s">
        <v>83</v>
      </c>
      <c r="C190" s="139" t="s">
        <v>102</v>
      </c>
      <c r="D190" s="138" t="s">
        <v>1</v>
      </c>
      <c r="E190" s="150">
        <v>1.854166666666667</v>
      </c>
      <c r="F190" s="138" t="s">
        <v>89</v>
      </c>
      <c r="G190" s="140">
        <v>9</v>
      </c>
      <c r="H190" s="141">
        <v>639</v>
      </c>
    </row>
    <row r="191" spans="1:8" ht="19.8" customHeight="1" x14ac:dyDescent="0.3">
      <c r="A191" s="149">
        <v>45988</v>
      </c>
      <c r="B191" s="138" t="s">
        <v>83</v>
      </c>
      <c r="C191" s="139" t="s">
        <v>104</v>
      </c>
      <c r="D191" s="138" t="s">
        <v>1</v>
      </c>
      <c r="E191" s="150">
        <v>1.395833333333333</v>
      </c>
      <c r="F191" s="138" t="s">
        <v>89</v>
      </c>
      <c r="G191" s="140">
        <v>9</v>
      </c>
      <c r="H191" s="141">
        <v>639</v>
      </c>
    </row>
    <row r="192" spans="1:8" ht="19.8" customHeight="1" x14ac:dyDescent="0.3">
      <c r="A192" s="149">
        <v>45988</v>
      </c>
      <c r="B192" s="138" t="s">
        <v>83</v>
      </c>
      <c r="C192" s="139" t="s">
        <v>103</v>
      </c>
      <c r="D192" s="138" t="s">
        <v>1</v>
      </c>
      <c r="E192" s="150">
        <v>1.302083333333333</v>
      </c>
      <c r="F192" s="138" t="s">
        <v>89</v>
      </c>
      <c r="G192" s="140">
        <v>9</v>
      </c>
      <c r="H192" s="141">
        <v>639</v>
      </c>
    </row>
    <row r="193" spans="1:8" ht="19.8" customHeight="1" x14ac:dyDescent="0.3">
      <c r="A193" s="149">
        <v>45988</v>
      </c>
      <c r="B193" s="138" t="s">
        <v>83</v>
      </c>
      <c r="C193" s="139" t="s">
        <v>91</v>
      </c>
      <c r="D193" s="138" t="s">
        <v>1</v>
      </c>
      <c r="E193" s="150">
        <v>1.7986111111111109</v>
      </c>
      <c r="F193" s="138" t="s">
        <v>89</v>
      </c>
      <c r="G193" s="140">
        <v>9</v>
      </c>
      <c r="H193" s="141">
        <v>639</v>
      </c>
    </row>
    <row r="194" spans="1:8" ht="19.8" customHeight="1" x14ac:dyDescent="0.3">
      <c r="A194" s="149">
        <v>45988</v>
      </c>
      <c r="B194" s="138" t="s">
        <v>148</v>
      </c>
      <c r="C194" s="139" t="s">
        <v>176</v>
      </c>
      <c r="D194" s="138" t="s">
        <v>1</v>
      </c>
      <c r="E194" s="150">
        <v>1.145833333333333</v>
      </c>
      <c r="F194" s="138" t="s">
        <v>150</v>
      </c>
      <c r="G194" s="140">
        <v>9</v>
      </c>
      <c r="H194" s="141">
        <v>673</v>
      </c>
    </row>
    <row r="195" spans="1:8" ht="19.8" customHeight="1" x14ac:dyDescent="0.3">
      <c r="A195" s="149">
        <v>45988</v>
      </c>
      <c r="B195" s="138" t="s">
        <v>121</v>
      </c>
      <c r="C195" s="139" t="s">
        <v>128</v>
      </c>
      <c r="D195" s="138" t="s">
        <v>1</v>
      </c>
      <c r="E195" s="150">
        <v>1.3784722222222221</v>
      </c>
      <c r="F195" s="138" t="s">
        <v>123</v>
      </c>
      <c r="G195" s="140">
        <v>9</v>
      </c>
      <c r="H195" s="141">
        <v>678</v>
      </c>
    </row>
    <row r="196" spans="1:8" ht="19.8" customHeight="1" x14ac:dyDescent="0.3">
      <c r="A196" s="149">
        <v>45988</v>
      </c>
      <c r="B196" s="138" t="s">
        <v>121</v>
      </c>
      <c r="C196" s="139" t="s">
        <v>122</v>
      </c>
      <c r="D196" s="138" t="s">
        <v>1</v>
      </c>
      <c r="E196" s="150">
        <v>1.243055555555556</v>
      </c>
      <c r="F196" s="138" t="s">
        <v>123</v>
      </c>
      <c r="G196" s="140">
        <v>9</v>
      </c>
      <c r="H196" s="141">
        <v>678</v>
      </c>
    </row>
    <row r="197" spans="1:8" ht="19.8" customHeight="1" x14ac:dyDescent="0.3">
      <c r="A197" s="149">
        <v>45988</v>
      </c>
      <c r="B197" s="138" t="s">
        <v>121</v>
      </c>
      <c r="C197" s="139" t="s">
        <v>132</v>
      </c>
      <c r="D197" s="138" t="s">
        <v>1</v>
      </c>
      <c r="E197" s="150">
        <v>1.1423611111111109</v>
      </c>
      <c r="F197" s="138" t="s">
        <v>123</v>
      </c>
      <c r="G197" s="140">
        <v>9</v>
      </c>
      <c r="H197" s="141">
        <v>678</v>
      </c>
    </row>
    <row r="198" spans="1:8" ht="19.8" customHeight="1" x14ac:dyDescent="0.3">
      <c r="A198" s="149">
        <v>45988</v>
      </c>
      <c r="B198" s="138" t="s">
        <v>121</v>
      </c>
      <c r="C198" s="139" t="s">
        <v>128</v>
      </c>
      <c r="D198" s="138" t="s">
        <v>1</v>
      </c>
      <c r="E198" s="150">
        <v>1.3784722222222221</v>
      </c>
      <c r="F198" s="138" t="s">
        <v>125</v>
      </c>
      <c r="G198" s="140">
        <v>9</v>
      </c>
      <c r="H198" s="141">
        <v>723</v>
      </c>
    </row>
    <row r="199" spans="1:8" ht="19.8" customHeight="1" x14ac:dyDescent="0.3">
      <c r="A199" s="149">
        <v>45988</v>
      </c>
      <c r="B199" s="138" t="s">
        <v>121</v>
      </c>
      <c r="C199" s="139" t="s">
        <v>122</v>
      </c>
      <c r="D199" s="138" t="s">
        <v>1</v>
      </c>
      <c r="E199" s="150">
        <v>1.243055555555556</v>
      </c>
      <c r="F199" s="138" t="s">
        <v>125</v>
      </c>
      <c r="G199" s="140">
        <v>9</v>
      </c>
      <c r="H199" s="141">
        <v>723</v>
      </c>
    </row>
    <row r="200" spans="1:8" ht="19.8" customHeight="1" x14ac:dyDescent="0.3">
      <c r="A200" s="149">
        <v>45988</v>
      </c>
      <c r="B200" s="138" t="s">
        <v>121</v>
      </c>
      <c r="C200" s="139" t="s">
        <v>132</v>
      </c>
      <c r="D200" s="138" t="s">
        <v>1</v>
      </c>
      <c r="E200" s="150">
        <v>1.1423611111111109</v>
      </c>
      <c r="F200" s="138" t="s">
        <v>125</v>
      </c>
      <c r="G200" s="140">
        <v>9</v>
      </c>
      <c r="H200" s="141">
        <v>723</v>
      </c>
    </row>
    <row r="201" spans="1:8" ht="19.8" customHeight="1" x14ac:dyDescent="0.3">
      <c r="A201" s="149">
        <v>45988</v>
      </c>
      <c r="B201" s="138" t="s">
        <v>148</v>
      </c>
      <c r="C201" s="139" t="s">
        <v>149</v>
      </c>
      <c r="D201" s="138" t="s">
        <v>1</v>
      </c>
      <c r="E201" s="150">
        <v>1.4861111111111109</v>
      </c>
      <c r="F201" s="138" t="s">
        <v>150</v>
      </c>
      <c r="G201" s="140">
        <v>9</v>
      </c>
      <c r="H201" s="141">
        <v>765</v>
      </c>
    </row>
    <row r="202" spans="1:8" ht="19.8" customHeight="1" x14ac:dyDescent="0.3">
      <c r="A202" s="149">
        <v>45988</v>
      </c>
      <c r="B202" s="138" t="s">
        <v>148</v>
      </c>
      <c r="C202" s="139" t="s">
        <v>152</v>
      </c>
      <c r="D202" s="138" t="s">
        <v>1</v>
      </c>
      <c r="E202" s="150">
        <v>1.5138888888888891</v>
      </c>
      <c r="F202" s="138" t="s">
        <v>150</v>
      </c>
      <c r="G202" s="140">
        <v>9</v>
      </c>
      <c r="H202" s="141">
        <v>765</v>
      </c>
    </row>
    <row r="203" spans="1:8" ht="19.8" customHeight="1" x14ac:dyDescent="0.3">
      <c r="A203" s="149">
        <v>45988</v>
      </c>
      <c r="B203" s="138" t="s">
        <v>148</v>
      </c>
      <c r="C203" s="139" t="s">
        <v>153</v>
      </c>
      <c r="D203" s="138" t="s">
        <v>1</v>
      </c>
      <c r="E203" s="150">
        <v>1.2222222222222221</v>
      </c>
      <c r="F203" s="138" t="s">
        <v>150</v>
      </c>
      <c r="G203" s="140">
        <v>9</v>
      </c>
      <c r="H203" s="141">
        <v>765</v>
      </c>
    </row>
    <row r="204" spans="1:8" ht="19.8" customHeight="1" x14ac:dyDescent="0.3">
      <c r="A204" s="149">
        <v>45988</v>
      </c>
      <c r="B204" s="138" t="s">
        <v>148</v>
      </c>
      <c r="C204" s="139" t="s">
        <v>179</v>
      </c>
      <c r="D204" s="138" t="s">
        <v>1</v>
      </c>
      <c r="E204" s="150">
        <v>1.958333333333333</v>
      </c>
      <c r="F204" s="138" t="s">
        <v>150</v>
      </c>
      <c r="G204" s="140">
        <v>9</v>
      </c>
      <c r="H204" s="141">
        <v>842</v>
      </c>
    </row>
    <row r="205" spans="1:8" ht="19.8" customHeight="1" x14ac:dyDescent="0.3">
      <c r="A205" s="149">
        <v>45988</v>
      </c>
      <c r="B205" s="138" t="s">
        <v>121</v>
      </c>
      <c r="C205" s="139" t="s">
        <v>131</v>
      </c>
      <c r="D205" s="138" t="s">
        <v>1</v>
      </c>
      <c r="E205" s="150">
        <v>1.006944444444444</v>
      </c>
      <c r="F205" s="138" t="s">
        <v>123</v>
      </c>
      <c r="G205" s="140">
        <v>9</v>
      </c>
      <c r="H205" s="141">
        <v>935</v>
      </c>
    </row>
    <row r="206" spans="1:8" ht="19.8" customHeight="1" x14ac:dyDescent="0.3">
      <c r="A206" s="149">
        <v>45988</v>
      </c>
      <c r="B206" s="138" t="s">
        <v>148</v>
      </c>
      <c r="C206" s="139" t="s">
        <v>180</v>
      </c>
      <c r="D206" s="138" t="s">
        <v>1</v>
      </c>
      <c r="E206" s="150">
        <v>1.0138888888888891</v>
      </c>
      <c r="F206" s="138" t="s">
        <v>150</v>
      </c>
      <c r="G206" s="140">
        <v>9</v>
      </c>
      <c r="H206" s="141">
        <v>970</v>
      </c>
    </row>
    <row r="207" spans="1:8" ht="19.8" customHeight="1" x14ac:dyDescent="0.3">
      <c r="A207" s="149">
        <v>45988</v>
      </c>
      <c r="B207" s="138" t="s">
        <v>148</v>
      </c>
      <c r="C207" s="139" t="s">
        <v>155</v>
      </c>
      <c r="D207" s="138" t="s">
        <v>1</v>
      </c>
      <c r="E207" s="150">
        <v>1.2777777777777779</v>
      </c>
      <c r="F207" s="138" t="s">
        <v>150</v>
      </c>
      <c r="G207" s="140">
        <v>9</v>
      </c>
      <c r="H207" s="141">
        <v>970</v>
      </c>
    </row>
    <row r="208" spans="1:8" ht="19.8" customHeight="1" x14ac:dyDescent="0.3">
      <c r="A208" s="149">
        <v>45988</v>
      </c>
      <c r="B208" s="138" t="s">
        <v>148</v>
      </c>
      <c r="C208" s="139" t="s">
        <v>157</v>
      </c>
      <c r="D208" s="138" t="s">
        <v>1</v>
      </c>
      <c r="E208" s="150">
        <v>1.774305555555556</v>
      </c>
      <c r="F208" s="138" t="s">
        <v>150</v>
      </c>
      <c r="G208" s="140">
        <v>9</v>
      </c>
      <c r="H208" s="141">
        <v>970</v>
      </c>
    </row>
    <row r="209" spans="1:8" ht="19.8" customHeight="1" x14ac:dyDescent="0.3">
      <c r="A209" s="149">
        <v>45988</v>
      </c>
      <c r="B209" s="138" t="s">
        <v>121</v>
      </c>
      <c r="C209" s="139" t="s">
        <v>131</v>
      </c>
      <c r="D209" s="138" t="s">
        <v>1</v>
      </c>
      <c r="E209" s="150">
        <v>1.006944444444444</v>
      </c>
      <c r="F209" s="138" t="s">
        <v>125</v>
      </c>
      <c r="G209" s="140">
        <v>9</v>
      </c>
      <c r="H209" s="141">
        <v>980</v>
      </c>
    </row>
    <row r="210" spans="1:8" ht="19.8" customHeight="1" x14ac:dyDescent="0.3">
      <c r="A210" s="149">
        <v>45988</v>
      </c>
      <c r="B210" s="138" t="s">
        <v>121</v>
      </c>
      <c r="C210" s="139" t="s">
        <v>145</v>
      </c>
      <c r="D210" s="138" t="s">
        <v>1</v>
      </c>
      <c r="E210" s="150">
        <v>1.6111111111111109</v>
      </c>
      <c r="F210" s="138" t="s">
        <v>123</v>
      </c>
      <c r="G210" s="140">
        <v>9</v>
      </c>
      <c r="H210" s="151" t="s">
        <v>135</v>
      </c>
    </row>
    <row r="211" spans="1:8" ht="19.8" customHeight="1" x14ac:dyDescent="0.3">
      <c r="A211" s="149">
        <v>45988</v>
      </c>
      <c r="B211" s="138" t="s">
        <v>35</v>
      </c>
      <c r="C211" s="139" t="s">
        <v>36</v>
      </c>
      <c r="D211" s="138" t="s">
        <v>1</v>
      </c>
      <c r="E211" s="150">
        <v>1.302083333333333</v>
      </c>
      <c r="F211" s="138" t="s">
        <v>43</v>
      </c>
      <c r="G211" s="140">
        <v>1</v>
      </c>
      <c r="H211" s="151" t="s">
        <v>44</v>
      </c>
    </row>
    <row r="212" spans="1:8" ht="19.8" customHeight="1" x14ac:dyDescent="0.3">
      <c r="A212" s="149">
        <v>45988</v>
      </c>
      <c r="B212" s="138" t="s">
        <v>35</v>
      </c>
      <c r="C212" s="139" t="s">
        <v>45</v>
      </c>
      <c r="D212" s="138" t="s">
        <v>1</v>
      </c>
      <c r="E212" s="150">
        <v>1.788194444444444</v>
      </c>
      <c r="F212" s="138" t="s">
        <v>43</v>
      </c>
      <c r="G212" s="140">
        <v>10</v>
      </c>
      <c r="H212" s="151" t="s">
        <v>44</v>
      </c>
    </row>
    <row r="213" spans="1:8" ht="19.8" customHeight="1" x14ac:dyDescent="0.3">
      <c r="A213" s="149">
        <v>45988</v>
      </c>
      <c r="B213" s="138" t="s">
        <v>35</v>
      </c>
      <c r="C213" s="139" t="s">
        <v>47</v>
      </c>
      <c r="D213" s="138" t="s">
        <v>1</v>
      </c>
      <c r="E213" s="150">
        <v>1.8888888888888891</v>
      </c>
      <c r="F213" s="138" t="s">
        <v>43</v>
      </c>
      <c r="G213" s="140">
        <v>10</v>
      </c>
      <c r="H213" s="151" t="s">
        <v>44</v>
      </c>
    </row>
    <row r="214" spans="1:8" ht="19.8" customHeight="1" x14ac:dyDescent="0.3">
      <c r="A214" s="149">
        <v>45988</v>
      </c>
      <c r="B214" s="138" t="s">
        <v>121</v>
      </c>
      <c r="C214" s="139" t="s">
        <v>145</v>
      </c>
      <c r="D214" s="138" t="s">
        <v>1</v>
      </c>
      <c r="E214" s="150">
        <v>1.6111111111111109</v>
      </c>
      <c r="F214" s="138" t="s">
        <v>125</v>
      </c>
      <c r="G214" s="140">
        <v>9</v>
      </c>
      <c r="H214" s="151" t="s">
        <v>136</v>
      </c>
    </row>
    <row r="215" spans="1:8" ht="19.8" customHeight="1" x14ac:dyDescent="0.3">
      <c r="A215" s="149">
        <v>45988</v>
      </c>
      <c r="B215" s="138" t="s">
        <v>121</v>
      </c>
      <c r="C215" s="139" t="s">
        <v>134</v>
      </c>
      <c r="D215" s="138" t="s">
        <v>1</v>
      </c>
      <c r="E215" s="150">
        <v>1.71875</v>
      </c>
      <c r="F215" s="138" t="s">
        <v>123</v>
      </c>
      <c r="G215" s="140">
        <v>9</v>
      </c>
      <c r="H215" s="151" t="s">
        <v>205</v>
      </c>
    </row>
    <row r="216" spans="1:8" ht="19.8" customHeight="1" x14ac:dyDescent="0.3">
      <c r="A216" s="149">
        <v>45988</v>
      </c>
      <c r="B216" s="138" t="s">
        <v>121</v>
      </c>
      <c r="C216" s="139" t="s">
        <v>139</v>
      </c>
      <c r="D216" s="138" t="s">
        <v>1</v>
      </c>
      <c r="E216" s="150">
        <v>1.302083333333333</v>
      </c>
      <c r="F216" s="138" t="s">
        <v>125</v>
      </c>
      <c r="G216" s="140">
        <v>4</v>
      </c>
      <c r="H216" s="151" t="s">
        <v>207</v>
      </c>
    </row>
    <row r="217" spans="1:8" ht="19.8" customHeight="1" x14ac:dyDescent="0.3">
      <c r="A217" s="149">
        <v>45988</v>
      </c>
      <c r="B217" s="138" t="s">
        <v>121</v>
      </c>
      <c r="C217" s="139" t="s">
        <v>140</v>
      </c>
      <c r="D217" s="138" t="s">
        <v>1</v>
      </c>
      <c r="E217" s="150">
        <v>1.1284722222222221</v>
      </c>
      <c r="F217" s="138" t="s">
        <v>125</v>
      </c>
      <c r="G217" s="140">
        <v>4</v>
      </c>
      <c r="H217" s="151" t="s">
        <v>207</v>
      </c>
    </row>
    <row r="218" spans="1:8" ht="19.8" customHeight="1" x14ac:dyDescent="0.3">
      <c r="A218" s="149">
        <v>45988</v>
      </c>
      <c r="B218" s="138" t="s">
        <v>121</v>
      </c>
      <c r="C218" s="139" t="s">
        <v>134</v>
      </c>
      <c r="D218" s="138" t="s">
        <v>1</v>
      </c>
      <c r="E218" s="150">
        <v>1.71875</v>
      </c>
      <c r="F218" s="138" t="s">
        <v>125</v>
      </c>
      <c r="G218" s="140">
        <v>9</v>
      </c>
      <c r="H218" s="151" t="s">
        <v>206</v>
      </c>
    </row>
    <row r="219" spans="1:8" ht="19.8" customHeight="1" x14ac:dyDescent="0.3">
      <c r="A219" s="149">
        <v>45988</v>
      </c>
      <c r="B219" s="138" t="s">
        <v>121</v>
      </c>
      <c r="C219" s="139" t="s">
        <v>133</v>
      </c>
      <c r="D219" s="138" t="s">
        <v>1</v>
      </c>
      <c r="E219" s="150">
        <v>1.930555555555556</v>
      </c>
      <c r="F219" s="138" t="s">
        <v>123</v>
      </c>
      <c r="G219" s="140">
        <v>9</v>
      </c>
      <c r="H219" s="151" t="s">
        <v>182</v>
      </c>
    </row>
    <row r="220" spans="1:8" ht="19.8" customHeight="1" x14ac:dyDescent="0.3">
      <c r="A220" s="149">
        <v>45988</v>
      </c>
      <c r="B220" s="138" t="s">
        <v>121</v>
      </c>
      <c r="C220" s="139" t="s">
        <v>133</v>
      </c>
      <c r="D220" s="138" t="s">
        <v>1</v>
      </c>
      <c r="E220" s="150">
        <v>1.930555555555556</v>
      </c>
      <c r="F220" s="138" t="s">
        <v>125</v>
      </c>
      <c r="G220" s="140">
        <v>9</v>
      </c>
      <c r="H220" s="151" t="s">
        <v>183</v>
      </c>
    </row>
    <row r="221" spans="1:8" ht="19.8" customHeight="1" x14ac:dyDescent="0.3">
      <c r="A221" s="149">
        <v>45988</v>
      </c>
      <c r="B221" s="138" t="s">
        <v>121</v>
      </c>
      <c r="C221" s="139" t="s">
        <v>137</v>
      </c>
      <c r="D221" s="138" t="s">
        <v>1</v>
      </c>
      <c r="E221" s="150">
        <v>1.8888888888888891</v>
      </c>
      <c r="F221" s="138" t="s">
        <v>125</v>
      </c>
      <c r="G221" s="140">
        <v>4</v>
      </c>
      <c r="H221" s="151" t="s">
        <v>138</v>
      </c>
    </row>
    <row r="222" spans="1:8" ht="19.8" customHeight="1" x14ac:dyDescent="0.3">
      <c r="A222" s="149">
        <v>45988</v>
      </c>
      <c r="B222" s="138" t="s">
        <v>121</v>
      </c>
      <c r="C222" s="139" t="s">
        <v>141</v>
      </c>
      <c r="D222" s="138" t="s">
        <v>1</v>
      </c>
      <c r="E222" s="150">
        <v>1.788194444444444</v>
      </c>
      <c r="F222" s="138" t="s">
        <v>125</v>
      </c>
      <c r="G222" s="140">
        <v>4</v>
      </c>
      <c r="H222" s="151" t="s">
        <v>138</v>
      </c>
    </row>
    <row r="223" spans="1:8" ht="19.8" customHeight="1" x14ac:dyDescent="0.3">
      <c r="A223" s="149">
        <v>45988</v>
      </c>
      <c r="B223" s="138" t="s">
        <v>35</v>
      </c>
      <c r="C223" s="139" t="s">
        <v>50</v>
      </c>
      <c r="D223" s="138" t="s">
        <v>1</v>
      </c>
      <c r="E223" s="150">
        <v>1.1284722222222221</v>
      </c>
      <c r="F223" s="138" t="s">
        <v>43</v>
      </c>
      <c r="G223" s="140">
        <v>4</v>
      </c>
      <c r="H223" s="151" t="s">
        <v>186</v>
      </c>
    </row>
    <row r="224" spans="1:8" ht="19.8" customHeight="1" x14ac:dyDescent="0.3">
      <c r="A224" s="149">
        <v>45988</v>
      </c>
      <c r="B224" s="138" t="s">
        <v>121</v>
      </c>
      <c r="C224" s="139" t="s">
        <v>142</v>
      </c>
      <c r="D224" s="138" t="s">
        <v>1</v>
      </c>
      <c r="E224" s="150">
        <v>1.8298611111111109</v>
      </c>
      <c r="F224" s="138" t="s">
        <v>123</v>
      </c>
      <c r="G224" s="140">
        <v>9</v>
      </c>
      <c r="H224" s="151" t="s">
        <v>208</v>
      </c>
    </row>
    <row r="225" spans="1:8" ht="19.8" customHeight="1" x14ac:dyDescent="0.3">
      <c r="A225" s="157">
        <v>45988</v>
      </c>
      <c r="B225" s="158" t="s">
        <v>121</v>
      </c>
      <c r="C225" s="159" t="s">
        <v>142</v>
      </c>
      <c r="D225" s="158" t="s">
        <v>1</v>
      </c>
      <c r="E225" s="160">
        <v>1.8298611111111109</v>
      </c>
      <c r="F225" s="158" t="s">
        <v>125</v>
      </c>
      <c r="G225" s="161">
        <v>9</v>
      </c>
      <c r="H225" s="162" t="s">
        <v>209</v>
      </c>
    </row>
    <row r="226" spans="1:8" ht="19.8" customHeight="1" x14ac:dyDescent="0.3">
      <c r="A226" s="149">
        <v>45989</v>
      </c>
      <c r="B226" s="138" t="s">
        <v>35</v>
      </c>
      <c r="C226" s="139" t="s">
        <v>50</v>
      </c>
      <c r="D226" s="138" t="s">
        <v>1</v>
      </c>
      <c r="E226" s="150">
        <v>1.1284722222222221</v>
      </c>
      <c r="F226" s="138" t="s">
        <v>37</v>
      </c>
      <c r="G226" s="140">
        <v>1</v>
      </c>
      <c r="H226" s="141">
        <v>359</v>
      </c>
    </row>
    <row r="227" spans="1:8" ht="19.8" customHeight="1" x14ac:dyDescent="0.3">
      <c r="A227" s="149">
        <v>45989</v>
      </c>
      <c r="B227" s="138" t="s">
        <v>35</v>
      </c>
      <c r="C227" s="139" t="s">
        <v>36</v>
      </c>
      <c r="D227" s="138" t="s">
        <v>1</v>
      </c>
      <c r="E227" s="150">
        <v>1.302083333333333</v>
      </c>
      <c r="F227" s="138" t="s">
        <v>37</v>
      </c>
      <c r="G227" s="140">
        <v>2</v>
      </c>
      <c r="H227" s="141">
        <v>389</v>
      </c>
    </row>
    <row r="228" spans="1:8" ht="19.8" customHeight="1" x14ac:dyDescent="0.3">
      <c r="A228" s="147">
        <v>45989</v>
      </c>
      <c r="B228" s="143" t="s">
        <v>55</v>
      </c>
      <c r="C228" s="144" t="s">
        <v>56</v>
      </c>
      <c r="D228" s="143" t="s">
        <v>1</v>
      </c>
      <c r="E228" s="148">
        <v>1.114583333333333</v>
      </c>
      <c r="F228" s="143" t="s">
        <v>57</v>
      </c>
      <c r="G228" s="145">
        <v>9</v>
      </c>
      <c r="H228" s="146">
        <v>401</v>
      </c>
    </row>
    <row r="229" spans="1:8" ht="19.8" customHeight="1" x14ac:dyDescent="0.3">
      <c r="A229" s="147">
        <v>45989</v>
      </c>
      <c r="B229" s="143" t="s">
        <v>55</v>
      </c>
      <c r="C229" s="144" t="s">
        <v>62</v>
      </c>
      <c r="D229" s="143" t="s">
        <v>1</v>
      </c>
      <c r="E229" s="148">
        <v>1.7361111111111109</v>
      </c>
      <c r="F229" s="143" t="s">
        <v>57</v>
      </c>
      <c r="G229" s="145">
        <v>9</v>
      </c>
      <c r="H229" s="146">
        <v>401</v>
      </c>
    </row>
    <row r="230" spans="1:8" ht="19.8" customHeight="1" x14ac:dyDescent="0.3">
      <c r="A230" s="147">
        <v>45989</v>
      </c>
      <c r="B230" s="143" t="s">
        <v>55</v>
      </c>
      <c r="C230" s="144" t="s">
        <v>65</v>
      </c>
      <c r="D230" s="143" t="s">
        <v>1</v>
      </c>
      <c r="E230" s="148">
        <v>1.319444444444444</v>
      </c>
      <c r="F230" s="143" t="s">
        <v>57</v>
      </c>
      <c r="G230" s="145">
        <v>9</v>
      </c>
      <c r="H230" s="146">
        <v>401</v>
      </c>
    </row>
    <row r="231" spans="1:8" ht="19.8" customHeight="1" x14ac:dyDescent="0.3">
      <c r="A231" s="147">
        <v>45989</v>
      </c>
      <c r="B231" s="143" t="s">
        <v>55</v>
      </c>
      <c r="C231" s="144" t="s">
        <v>68</v>
      </c>
      <c r="D231" s="143" t="s">
        <v>1</v>
      </c>
      <c r="E231" s="148">
        <v>1.458333333333333</v>
      </c>
      <c r="F231" s="143" t="s">
        <v>57</v>
      </c>
      <c r="G231" s="145">
        <v>9</v>
      </c>
      <c r="H231" s="146">
        <v>401</v>
      </c>
    </row>
    <row r="232" spans="1:8" ht="19.8" customHeight="1" x14ac:dyDescent="0.3">
      <c r="A232" s="147">
        <v>45989</v>
      </c>
      <c r="B232" s="143" t="s">
        <v>55</v>
      </c>
      <c r="C232" s="144" t="s">
        <v>196</v>
      </c>
      <c r="D232" s="143" t="s">
        <v>1</v>
      </c>
      <c r="E232" s="148">
        <v>1.614583333333333</v>
      </c>
      <c r="F232" s="143" t="s">
        <v>57</v>
      </c>
      <c r="G232" s="145">
        <v>9</v>
      </c>
      <c r="H232" s="146">
        <v>401</v>
      </c>
    </row>
    <row r="233" spans="1:8" ht="19.8" customHeight="1" x14ac:dyDescent="0.3">
      <c r="A233" s="149">
        <v>45989</v>
      </c>
      <c r="B233" s="138" t="s">
        <v>26</v>
      </c>
      <c r="C233" s="139" t="s">
        <v>33</v>
      </c>
      <c r="D233" s="138" t="s">
        <v>1</v>
      </c>
      <c r="E233" s="150">
        <v>1.666666666666667</v>
      </c>
      <c r="F233" s="138" t="s">
        <v>28</v>
      </c>
      <c r="G233" s="140">
        <v>2</v>
      </c>
      <c r="H233" s="141">
        <v>401</v>
      </c>
    </row>
    <row r="234" spans="1:8" ht="19.8" customHeight="1" x14ac:dyDescent="0.3">
      <c r="A234" s="149">
        <v>45989</v>
      </c>
      <c r="B234" s="138" t="s">
        <v>83</v>
      </c>
      <c r="C234" s="139" t="s">
        <v>102</v>
      </c>
      <c r="D234" s="138" t="s">
        <v>1</v>
      </c>
      <c r="E234" s="150">
        <v>1.854166666666667</v>
      </c>
      <c r="F234" s="138" t="s">
        <v>85</v>
      </c>
      <c r="G234" s="140">
        <v>2</v>
      </c>
      <c r="H234" s="141">
        <v>409</v>
      </c>
    </row>
    <row r="235" spans="1:8" ht="19.8" customHeight="1" x14ac:dyDescent="0.3">
      <c r="A235" s="149">
        <v>45989</v>
      </c>
      <c r="B235" s="138" t="s">
        <v>35</v>
      </c>
      <c r="C235" s="139" t="s">
        <v>45</v>
      </c>
      <c r="D235" s="138" t="s">
        <v>1</v>
      </c>
      <c r="E235" s="150">
        <v>1.788194444444444</v>
      </c>
      <c r="F235" s="138" t="s">
        <v>37</v>
      </c>
      <c r="G235" s="140">
        <v>8</v>
      </c>
      <c r="H235" s="141">
        <v>419</v>
      </c>
    </row>
    <row r="236" spans="1:8" ht="19.8" customHeight="1" x14ac:dyDescent="0.3">
      <c r="A236" s="149">
        <v>45989</v>
      </c>
      <c r="B236" s="138" t="s">
        <v>35</v>
      </c>
      <c r="C236" s="139" t="s">
        <v>47</v>
      </c>
      <c r="D236" s="138" t="s">
        <v>1</v>
      </c>
      <c r="E236" s="150">
        <v>1.8888888888888891</v>
      </c>
      <c r="F236" s="138" t="s">
        <v>37</v>
      </c>
      <c r="G236" s="140">
        <v>8</v>
      </c>
      <c r="H236" s="141">
        <v>419</v>
      </c>
    </row>
    <row r="237" spans="1:8" ht="19.8" customHeight="1" x14ac:dyDescent="0.3">
      <c r="A237" s="149">
        <v>45989</v>
      </c>
      <c r="B237" s="138" t="s">
        <v>83</v>
      </c>
      <c r="C237" s="139" t="s">
        <v>94</v>
      </c>
      <c r="D237" s="138" t="s">
        <v>1</v>
      </c>
      <c r="E237" s="150">
        <v>1.256944444444444</v>
      </c>
      <c r="F237" s="138" t="s">
        <v>85</v>
      </c>
      <c r="G237" s="140">
        <v>3</v>
      </c>
      <c r="H237" s="141">
        <v>449</v>
      </c>
    </row>
    <row r="238" spans="1:8" ht="19.8" customHeight="1" x14ac:dyDescent="0.3">
      <c r="A238" s="149">
        <v>45989</v>
      </c>
      <c r="B238" s="138" t="s">
        <v>83</v>
      </c>
      <c r="C238" s="139" t="s">
        <v>100</v>
      </c>
      <c r="D238" s="138" t="s">
        <v>1</v>
      </c>
      <c r="E238" s="150">
        <v>1.645833333333333</v>
      </c>
      <c r="F238" s="138" t="s">
        <v>85</v>
      </c>
      <c r="G238" s="140">
        <v>5</v>
      </c>
      <c r="H238" s="141">
        <v>449</v>
      </c>
    </row>
    <row r="239" spans="1:8" ht="19.8" customHeight="1" x14ac:dyDescent="0.3">
      <c r="A239" s="149">
        <v>45989</v>
      </c>
      <c r="B239" s="138" t="s">
        <v>83</v>
      </c>
      <c r="C239" s="139" t="s">
        <v>101</v>
      </c>
      <c r="D239" s="138" t="s">
        <v>1</v>
      </c>
      <c r="E239" s="150">
        <v>1.5173611111111109</v>
      </c>
      <c r="F239" s="138" t="s">
        <v>85</v>
      </c>
      <c r="G239" s="140">
        <v>9</v>
      </c>
      <c r="H239" s="141">
        <v>449</v>
      </c>
    </row>
    <row r="240" spans="1:8" ht="19.8" customHeight="1" x14ac:dyDescent="0.3">
      <c r="A240" s="149">
        <v>45989</v>
      </c>
      <c r="B240" s="138" t="s">
        <v>83</v>
      </c>
      <c r="C240" s="139" t="s">
        <v>104</v>
      </c>
      <c r="D240" s="138" t="s">
        <v>1</v>
      </c>
      <c r="E240" s="150">
        <v>1.395833333333333</v>
      </c>
      <c r="F240" s="138" t="s">
        <v>85</v>
      </c>
      <c r="G240" s="140">
        <v>2</v>
      </c>
      <c r="H240" s="141">
        <v>449</v>
      </c>
    </row>
    <row r="241" spans="1:8" ht="19.8" customHeight="1" x14ac:dyDescent="0.3">
      <c r="A241" s="149">
        <v>45989</v>
      </c>
      <c r="B241" s="138" t="s">
        <v>110</v>
      </c>
      <c r="C241" s="139" t="s">
        <v>173</v>
      </c>
      <c r="D241" s="138" t="s">
        <v>1</v>
      </c>
      <c r="E241" s="150">
        <v>1.3923611111111109</v>
      </c>
      <c r="F241" s="138" t="s">
        <v>112</v>
      </c>
      <c r="G241" s="140">
        <v>9</v>
      </c>
      <c r="H241" s="141">
        <v>449</v>
      </c>
    </row>
    <row r="242" spans="1:8" ht="19.8" customHeight="1" x14ac:dyDescent="0.3">
      <c r="A242" s="149">
        <v>45989</v>
      </c>
      <c r="B242" s="138" t="s">
        <v>110</v>
      </c>
      <c r="C242" s="139" t="s">
        <v>220</v>
      </c>
      <c r="D242" s="138" t="s">
        <v>1</v>
      </c>
      <c r="E242" s="150">
        <v>1.975694444444444</v>
      </c>
      <c r="F242" s="138" t="s">
        <v>112</v>
      </c>
      <c r="G242" s="140">
        <v>9</v>
      </c>
      <c r="H242" s="141">
        <v>456</v>
      </c>
    </row>
    <row r="243" spans="1:8" ht="19.8" customHeight="1" x14ac:dyDescent="0.3">
      <c r="A243" s="147">
        <v>45989</v>
      </c>
      <c r="B243" s="143" t="s">
        <v>55</v>
      </c>
      <c r="C243" s="144" t="s">
        <v>73</v>
      </c>
      <c r="D243" s="143" t="s">
        <v>1</v>
      </c>
      <c r="E243" s="148">
        <v>1.9375</v>
      </c>
      <c r="F243" s="143" t="s">
        <v>57</v>
      </c>
      <c r="G243" s="145">
        <v>3</v>
      </c>
      <c r="H243" s="146">
        <v>471</v>
      </c>
    </row>
    <row r="244" spans="1:8" ht="19.8" customHeight="1" x14ac:dyDescent="0.3">
      <c r="A244" s="149">
        <v>45989</v>
      </c>
      <c r="B244" s="138" t="s">
        <v>83</v>
      </c>
      <c r="C244" s="139" t="s">
        <v>84</v>
      </c>
      <c r="D244" s="138" t="s">
        <v>1</v>
      </c>
      <c r="E244" s="150">
        <v>1.9027777777777779</v>
      </c>
      <c r="F244" s="138" t="s">
        <v>85</v>
      </c>
      <c r="G244" s="140">
        <v>9</v>
      </c>
      <c r="H244" s="141">
        <v>489</v>
      </c>
    </row>
    <row r="245" spans="1:8" ht="19.8" customHeight="1" x14ac:dyDescent="0.3">
      <c r="A245" s="149">
        <v>45989</v>
      </c>
      <c r="B245" s="138" t="s">
        <v>83</v>
      </c>
      <c r="C245" s="139" t="s">
        <v>91</v>
      </c>
      <c r="D245" s="138" t="s">
        <v>1</v>
      </c>
      <c r="E245" s="150">
        <v>1.7986111111111109</v>
      </c>
      <c r="F245" s="138" t="s">
        <v>85</v>
      </c>
      <c r="G245" s="140">
        <v>9</v>
      </c>
      <c r="H245" s="141">
        <v>489</v>
      </c>
    </row>
    <row r="246" spans="1:8" ht="19.8" customHeight="1" x14ac:dyDescent="0.3">
      <c r="A246" s="149">
        <v>45989</v>
      </c>
      <c r="B246" s="138" t="s">
        <v>35</v>
      </c>
      <c r="C246" s="139" t="s">
        <v>50</v>
      </c>
      <c r="D246" s="138" t="s">
        <v>1</v>
      </c>
      <c r="E246" s="150">
        <v>1.1284722222222221</v>
      </c>
      <c r="F246" s="138" t="s">
        <v>40</v>
      </c>
      <c r="G246" s="140">
        <v>1</v>
      </c>
      <c r="H246" s="141">
        <v>509</v>
      </c>
    </row>
    <row r="247" spans="1:8" ht="19.8" customHeight="1" x14ac:dyDescent="0.3">
      <c r="A247" s="149">
        <v>45989</v>
      </c>
      <c r="B247" s="138" t="s">
        <v>83</v>
      </c>
      <c r="C247" s="139" t="s">
        <v>102</v>
      </c>
      <c r="D247" s="138" t="s">
        <v>1</v>
      </c>
      <c r="E247" s="150">
        <v>1.854166666666667</v>
      </c>
      <c r="F247" s="138" t="s">
        <v>87</v>
      </c>
      <c r="G247" s="140">
        <v>2</v>
      </c>
      <c r="H247" s="141">
        <v>509</v>
      </c>
    </row>
    <row r="248" spans="1:8" ht="19.8" customHeight="1" x14ac:dyDescent="0.3">
      <c r="A248" s="149">
        <v>45989</v>
      </c>
      <c r="B248" s="138" t="s">
        <v>35</v>
      </c>
      <c r="C248" s="139" t="s">
        <v>36</v>
      </c>
      <c r="D248" s="138" t="s">
        <v>1</v>
      </c>
      <c r="E248" s="150">
        <v>1.302083333333333</v>
      </c>
      <c r="F248" s="138" t="s">
        <v>40</v>
      </c>
      <c r="G248" s="140">
        <v>2</v>
      </c>
      <c r="H248" s="141">
        <v>539</v>
      </c>
    </row>
    <row r="249" spans="1:8" ht="19.8" customHeight="1" x14ac:dyDescent="0.3">
      <c r="A249" s="149">
        <v>45989</v>
      </c>
      <c r="B249" s="138" t="s">
        <v>83</v>
      </c>
      <c r="C249" s="139" t="s">
        <v>94</v>
      </c>
      <c r="D249" s="138" t="s">
        <v>1</v>
      </c>
      <c r="E249" s="150">
        <v>1.256944444444444</v>
      </c>
      <c r="F249" s="138" t="s">
        <v>87</v>
      </c>
      <c r="G249" s="140">
        <v>3</v>
      </c>
      <c r="H249" s="141">
        <v>549</v>
      </c>
    </row>
    <row r="250" spans="1:8" ht="19.8" customHeight="1" x14ac:dyDescent="0.3">
      <c r="A250" s="149">
        <v>45989</v>
      </c>
      <c r="B250" s="138" t="s">
        <v>83</v>
      </c>
      <c r="C250" s="139" t="s">
        <v>100</v>
      </c>
      <c r="D250" s="138" t="s">
        <v>1</v>
      </c>
      <c r="E250" s="150">
        <v>1.645833333333333</v>
      </c>
      <c r="F250" s="138" t="s">
        <v>87</v>
      </c>
      <c r="G250" s="140">
        <v>5</v>
      </c>
      <c r="H250" s="141">
        <v>549</v>
      </c>
    </row>
    <row r="251" spans="1:8" ht="19.8" customHeight="1" x14ac:dyDescent="0.3">
      <c r="A251" s="149">
        <v>45989</v>
      </c>
      <c r="B251" s="138" t="s">
        <v>83</v>
      </c>
      <c r="C251" s="139" t="s">
        <v>101</v>
      </c>
      <c r="D251" s="138" t="s">
        <v>1</v>
      </c>
      <c r="E251" s="150">
        <v>1.5173611111111109</v>
      </c>
      <c r="F251" s="138" t="s">
        <v>87</v>
      </c>
      <c r="G251" s="140">
        <v>9</v>
      </c>
      <c r="H251" s="141">
        <v>549</v>
      </c>
    </row>
    <row r="252" spans="1:8" ht="19.8" customHeight="1" x14ac:dyDescent="0.3">
      <c r="A252" s="149">
        <v>45989</v>
      </c>
      <c r="B252" s="138" t="s">
        <v>83</v>
      </c>
      <c r="C252" s="139" t="s">
        <v>104</v>
      </c>
      <c r="D252" s="138" t="s">
        <v>1</v>
      </c>
      <c r="E252" s="150">
        <v>1.395833333333333</v>
      </c>
      <c r="F252" s="138" t="s">
        <v>87</v>
      </c>
      <c r="G252" s="140">
        <v>2</v>
      </c>
      <c r="H252" s="141">
        <v>549</v>
      </c>
    </row>
    <row r="253" spans="1:8" ht="19.8" customHeight="1" x14ac:dyDescent="0.3">
      <c r="A253" s="149">
        <v>45989</v>
      </c>
      <c r="B253" s="138" t="s">
        <v>35</v>
      </c>
      <c r="C253" s="139" t="s">
        <v>45</v>
      </c>
      <c r="D253" s="138" t="s">
        <v>1</v>
      </c>
      <c r="E253" s="150">
        <v>1.788194444444444</v>
      </c>
      <c r="F253" s="138" t="s">
        <v>40</v>
      </c>
      <c r="G253" s="140">
        <v>8</v>
      </c>
      <c r="H253" s="141">
        <v>569</v>
      </c>
    </row>
    <row r="254" spans="1:8" ht="19.8" customHeight="1" x14ac:dyDescent="0.3">
      <c r="A254" s="149">
        <v>45989</v>
      </c>
      <c r="B254" s="138" t="s">
        <v>35</v>
      </c>
      <c r="C254" s="139" t="s">
        <v>47</v>
      </c>
      <c r="D254" s="138" t="s">
        <v>1</v>
      </c>
      <c r="E254" s="150">
        <v>1.8888888888888891</v>
      </c>
      <c r="F254" s="138" t="s">
        <v>40</v>
      </c>
      <c r="G254" s="140">
        <v>8</v>
      </c>
      <c r="H254" s="141">
        <v>569</v>
      </c>
    </row>
    <row r="255" spans="1:8" ht="19.8" customHeight="1" x14ac:dyDescent="0.3">
      <c r="A255" s="149">
        <v>45989</v>
      </c>
      <c r="B255" s="138" t="s">
        <v>110</v>
      </c>
      <c r="C255" s="139" t="s">
        <v>173</v>
      </c>
      <c r="D255" s="138" t="s">
        <v>1</v>
      </c>
      <c r="E255" s="150">
        <v>1.3923611111111109</v>
      </c>
      <c r="F255" s="138" t="s">
        <v>43</v>
      </c>
      <c r="G255" s="140">
        <v>9</v>
      </c>
      <c r="H255" s="141">
        <v>572</v>
      </c>
    </row>
    <row r="256" spans="1:8" ht="19.8" customHeight="1" x14ac:dyDescent="0.3">
      <c r="A256" s="149">
        <v>45989</v>
      </c>
      <c r="B256" s="138" t="s">
        <v>110</v>
      </c>
      <c r="C256" s="139" t="s">
        <v>220</v>
      </c>
      <c r="D256" s="138" t="s">
        <v>1</v>
      </c>
      <c r="E256" s="150">
        <v>1.975694444444444</v>
      </c>
      <c r="F256" s="138" t="s">
        <v>43</v>
      </c>
      <c r="G256" s="140">
        <v>9</v>
      </c>
      <c r="H256" s="141">
        <v>579</v>
      </c>
    </row>
    <row r="257" spans="1:8" ht="19.8" customHeight="1" x14ac:dyDescent="0.3">
      <c r="A257" s="149">
        <v>45989</v>
      </c>
      <c r="B257" s="138" t="s">
        <v>83</v>
      </c>
      <c r="C257" s="139" t="s">
        <v>84</v>
      </c>
      <c r="D257" s="138" t="s">
        <v>1</v>
      </c>
      <c r="E257" s="150">
        <v>1.9027777777777779</v>
      </c>
      <c r="F257" s="138" t="s">
        <v>87</v>
      </c>
      <c r="G257" s="140">
        <v>9</v>
      </c>
      <c r="H257" s="141">
        <v>589</v>
      </c>
    </row>
    <row r="258" spans="1:8" ht="19.8" customHeight="1" x14ac:dyDescent="0.3">
      <c r="A258" s="149">
        <v>45989</v>
      </c>
      <c r="B258" s="138" t="s">
        <v>83</v>
      </c>
      <c r="C258" s="139" t="s">
        <v>91</v>
      </c>
      <c r="D258" s="138" t="s">
        <v>1</v>
      </c>
      <c r="E258" s="150">
        <v>1.7986111111111109</v>
      </c>
      <c r="F258" s="138" t="s">
        <v>87</v>
      </c>
      <c r="G258" s="140">
        <v>9</v>
      </c>
      <c r="H258" s="141">
        <v>589</v>
      </c>
    </row>
    <row r="259" spans="1:8" ht="19.8" customHeight="1" x14ac:dyDescent="0.3">
      <c r="A259" s="149">
        <v>45989</v>
      </c>
      <c r="B259" s="138" t="s">
        <v>83</v>
      </c>
      <c r="C259" s="139" t="s">
        <v>102</v>
      </c>
      <c r="D259" s="138" t="s">
        <v>1</v>
      </c>
      <c r="E259" s="150">
        <v>1.854166666666667</v>
      </c>
      <c r="F259" s="138" t="s">
        <v>89</v>
      </c>
      <c r="G259" s="140">
        <v>2</v>
      </c>
      <c r="H259" s="141">
        <v>599</v>
      </c>
    </row>
    <row r="260" spans="1:8" ht="19.8" customHeight="1" x14ac:dyDescent="0.3">
      <c r="A260" s="149">
        <v>45989</v>
      </c>
      <c r="B260" s="138" t="s">
        <v>83</v>
      </c>
      <c r="C260" s="139" t="s">
        <v>94</v>
      </c>
      <c r="D260" s="138" t="s">
        <v>1</v>
      </c>
      <c r="E260" s="150">
        <v>1.256944444444444</v>
      </c>
      <c r="F260" s="138" t="s">
        <v>89</v>
      </c>
      <c r="G260" s="140">
        <v>3</v>
      </c>
      <c r="H260" s="141">
        <v>639</v>
      </c>
    </row>
    <row r="261" spans="1:8" ht="19.8" customHeight="1" x14ac:dyDescent="0.3">
      <c r="A261" s="149">
        <v>45989</v>
      </c>
      <c r="B261" s="138" t="s">
        <v>83</v>
      </c>
      <c r="C261" s="139" t="s">
        <v>100</v>
      </c>
      <c r="D261" s="138" t="s">
        <v>1</v>
      </c>
      <c r="E261" s="150">
        <v>1.645833333333333</v>
      </c>
      <c r="F261" s="138" t="s">
        <v>89</v>
      </c>
      <c r="G261" s="140">
        <v>5</v>
      </c>
      <c r="H261" s="141">
        <v>639</v>
      </c>
    </row>
    <row r="262" spans="1:8" ht="19.8" customHeight="1" x14ac:dyDescent="0.3">
      <c r="A262" s="149">
        <v>45989</v>
      </c>
      <c r="B262" s="138" t="s">
        <v>83</v>
      </c>
      <c r="C262" s="139" t="s">
        <v>101</v>
      </c>
      <c r="D262" s="138" t="s">
        <v>1</v>
      </c>
      <c r="E262" s="150">
        <v>1.5173611111111109</v>
      </c>
      <c r="F262" s="138" t="s">
        <v>89</v>
      </c>
      <c r="G262" s="140">
        <v>9</v>
      </c>
      <c r="H262" s="141">
        <v>639</v>
      </c>
    </row>
    <row r="263" spans="1:8" ht="19.8" customHeight="1" x14ac:dyDescent="0.3">
      <c r="A263" s="149">
        <v>45989</v>
      </c>
      <c r="B263" s="138" t="s">
        <v>83</v>
      </c>
      <c r="C263" s="139" t="s">
        <v>104</v>
      </c>
      <c r="D263" s="138" t="s">
        <v>1</v>
      </c>
      <c r="E263" s="150">
        <v>1.395833333333333</v>
      </c>
      <c r="F263" s="138" t="s">
        <v>89</v>
      </c>
      <c r="G263" s="140">
        <v>2</v>
      </c>
      <c r="H263" s="141">
        <v>639</v>
      </c>
    </row>
    <row r="264" spans="1:8" ht="19.8" customHeight="1" x14ac:dyDescent="0.3">
      <c r="A264" s="149">
        <v>45989</v>
      </c>
      <c r="B264" s="138" t="s">
        <v>121</v>
      </c>
      <c r="C264" s="139" t="s">
        <v>128</v>
      </c>
      <c r="D264" s="138" t="s">
        <v>1</v>
      </c>
      <c r="E264" s="150">
        <v>1.3784722222222221</v>
      </c>
      <c r="F264" s="138" t="s">
        <v>123</v>
      </c>
      <c r="G264" s="140">
        <v>9</v>
      </c>
      <c r="H264" s="141">
        <v>678</v>
      </c>
    </row>
    <row r="265" spans="1:8" ht="19.8" customHeight="1" x14ac:dyDescent="0.3">
      <c r="A265" s="149">
        <v>45989</v>
      </c>
      <c r="B265" s="138" t="s">
        <v>121</v>
      </c>
      <c r="C265" s="139" t="s">
        <v>145</v>
      </c>
      <c r="D265" s="138" t="s">
        <v>1</v>
      </c>
      <c r="E265" s="150">
        <v>1.6111111111111109</v>
      </c>
      <c r="F265" s="138" t="s">
        <v>123</v>
      </c>
      <c r="G265" s="140">
        <v>9</v>
      </c>
      <c r="H265" s="141">
        <v>678</v>
      </c>
    </row>
    <row r="266" spans="1:8" ht="19.8" customHeight="1" x14ac:dyDescent="0.3">
      <c r="A266" s="149">
        <v>45989</v>
      </c>
      <c r="B266" s="138" t="s">
        <v>121</v>
      </c>
      <c r="C266" s="139" t="s">
        <v>122</v>
      </c>
      <c r="D266" s="138" t="s">
        <v>1</v>
      </c>
      <c r="E266" s="150">
        <v>1.239583333333333</v>
      </c>
      <c r="F266" s="138" t="s">
        <v>123</v>
      </c>
      <c r="G266" s="140">
        <v>9</v>
      </c>
      <c r="H266" s="141">
        <v>678</v>
      </c>
    </row>
    <row r="267" spans="1:8" ht="19.8" customHeight="1" x14ac:dyDescent="0.3">
      <c r="A267" s="149">
        <v>45989</v>
      </c>
      <c r="B267" s="138" t="s">
        <v>121</v>
      </c>
      <c r="C267" s="139" t="s">
        <v>132</v>
      </c>
      <c r="D267" s="138" t="s">
        <v>1</v>
      </c>
      <c r="E267" s="150">
        <v>1.1423611111111109</v>
      </c>
      <c r="F267" s="138" t="s">
        <v>123</v>
      </c>
      <c r="G267" s="140">
        <v>9</v>
      </c>
      <c r="H267" s="141">
        <v>678</v>
      </c>
    </row>
    <row r="268" spans="1:8" ht="19.8" customHeight="1" x14ac:dyDescent="0.3">
      <c r="A268" s="149">
        <v>45989</v>
      </c>
      <c r="B268" s="138" t="s">
        <v>83</v>
      </c>
      <c r="C268" s="139" t="s">
        <v>84</v>
      </c>
      <c r="D268" s="138" t="s">
        <v>1</v>
      </c>
      <c r="E268" s="150">
        <v>1.9027777777777779</v>
      </c>
      <c r="F268" s="138" t="s">
        <v>89</v>
      </c>
      <c r="G268" s="140">
        <v>9</v>
      </c>
      <c r="H268" s="141">
        <v>679</v>
      </c>
    </row>
    <row r="269" spans="1:8" ht="19.8" customHeight="1" x14ac:dyDescent="0.3">
      <c r="A269" s="149">
        <v>45989</v>
      </c>
      <c r="B269" s="138" t="s">
        <v>83</v>
      </c>
      <c r="C269" s="139" t="s">
        <v>91</v>
      </c>
      <c r="D269" s="138" t="s">
        <v>1</v>
      </c>
      <c r="E269" s="150">
        <v>1.7986111111111109</v>
      </c>
      <c r="F269" s="138" t="s">
        <v>89</v>
      </c>
      <c r="G269" s="140">
        <v>9</v>
      </c>
      <c r="H269" s="141">
        <v>679</v>
      </c>
    </row>
    <row r="270" spans="1:8" ht="19.8" customHeight="1" x14ac:dyDescent="0.3">
      <c r="A270" s="149">
        <v>45989</v>
      </c>
      <c r="B270" s="138" t="s">
        <v>121</v>
      </c>
      <c r="C270" s="139" t="s">
        <v>128</v>
      </c>
      <c r="D270" s="138" t="s">
        <v>1</v>
      </c>
      <c r="E270" s="150">
        <v>1.3784722222222221</v>
      </c>
      <c r="F270" s="138" t="s">
        <v>125</v>
      </c>
      <c r="G270" s="140">
        <v>9</v>
      </c>
      <c r="H270" s="141">
        <v>723</v>
      </c>
    </row>
    <row r="271" spans="1:8" ht="19.8" customHeight="1" x14ac:dyDescent="0.3">
      <c r="A271" s="149">
        <v>45989</v>
      </c>
      <c r="B271" s="138" t="s">
        <v>121</v>
      </c>
      <c r="C271" s="139" t="s">
        <v>145</v>
      </c>
      <c r="D271" s="138" t="s">
        <v>1</v>
      </c>
      <c r="E271" s="150">
        <v>1.6111111111111109</v>
      </c>
      <c r="F271" s="138" t="s">
        <v>125</v>
      </c>
      <c r="G271" s="140">
        <v>9</v>
      </c>
      <c r="H271" s="141">
        <v>723</v>
      </c>
    </row>
    <row r="272" spans="1:8" ht="19.8" customHeight="1" x14ac:dyDescent="0.3">
      <c r="A272" s="149">
        <v>45989</v>
      </c>
      <c r="B272" s="138" t="s">
        <v>121</v>
      </c>
      <c r="C272" s="139" t="s">
        <v>122</v>
      </c>
      <c r="D272" s="138" t="s">
        <v>1</v>
      </c>
      <c r="E272" s="150">
        <v>1.239583333333333</v>
      </c>
      <c r="F272" s="138" t="s">
        <v>125</v>
      </c>
      <c r="G272" s="140">
        <v>9</v>
      </c>
      <c r="H272" s="141">
        <v>723</v>
      </c>
    </row>
    <row r="273" spans="1:8" ht="19.8" customHeight="1" x14ac:dyDescent="0.3">
      <c r="A273" s="149">
        <v>45989</v>
      </c>
      <c r="B273" s="138" t="s">
        <v>121</v>
      </c>
      <c r="C273" s="139" t="s">
        <v>132</v>
      </c>
      <c r="D273" s="138" t="s">
        <v>1</v>
      </c>
      <c r="E273" s="150">
        <v>1.1423611111111109</v>
      </c>
      <c r="F273" s="138" t="s">
        <v>125</v>
      </c>
      <c r="G273" s="140">
        <v>9</v>
      </c>
      <c r="H273" s="141">
        <v>723</v>
      </c>
    </row>
    <row r="274" spans="1:8" ht="19.8" customHeight="1" x14ac:dyDescent="0.3">
      <c r="A274" s="149">
        <v>45989</v>
      </c>
      <c r="B274" s="138" t="s">
        <v>121</v>
      </c>
      <c r="C274" s="139" t="s">
        <v>134</v>
      </c>
      <c r="D274" s="138" t="s">
        <v>1</v>
      </c>
      <c r="E274" s="150">
        <v>1.71875</v>
      </c>
      <c r="F274" s="138" t="s">
        <v>123</v>
      </c>
      <c r="G274" s="140">
        <v>9</v>
      </c>
      <c r="H274" s="141">
        <v>797</v>
      </c>
    </row>
    <row r="275" spans="1:8" ht="19.8" customHeight="1" x14ac:dyDescent="0.3">
      <c r="A275" s="149">
        <v>45989</v>
      </c>
      <c r="B275" s="138" t="s">
        <v>148</v>
      </c>
      <c r="C275" s="139" t="s">
        <v>180</v>
      </c>
      <c r="D275" s="138" t="s">
        <v>1</v>
      </c>
      <c r="E275" s="150">
        <v>1.0138888888888891</v>
      </c>
      <c r="F275" s="138" t="s">
        <v>150</v>
      </c>
      <c r="G275" s="140">
        <v>9</v>
      </c>
      <c r="H275" s="141">
        <v>842</v>
      </c>
    </row>
    <row r="276" spans="1:8" ht="19.8" customHeight="1" x14ac:dyDescent="0.3">
      <c r="A276" s="149">
        <v>45989</v>
      </c>
      <c r="B276" s="138" t="s">
        <v>148</v>
      </c>
      <c r="C276" s="139" t="s">
        <v>149</v>
      </c>
      <c r="D276" s="138" t="s">
        <v>1</v>
      </c>
      <c r="E276" s="150">
        <v>1.4722222222222221</v>
      </c>
      <c r="F276" s="138" t="s">
        <v>150</v>
      </c>
      <c r="G276" s="140">
        <v>9</v>
      </c>
      <c r="H276" s="141">
        <v>842</v>
      </c>
    </row>
    <row r="277" spans="1:8" ht="19.8" customHeight="1" x14ac:dyDescent="0.3">
      <c r="A277" s="149">
        <v>45989</v>
      </c>
      <c r="B277" s="138" t="s">
        <v>148</v>
      </c>
      <c r="C277" s="139" t="s">
        <v>176</v>
      </c>
      <c r="D277" s="138" t="s">
        <v>1</v>
      </c>
      <c r="E277" s="150">
        <v>1.145833333333333</v>
      </c>
      <c r="F277" s="138" t="s">
        <v>150</v>
      </c>
      <c r="G277" s="140">
        <v>9</v>
      </c>
      <c r="H277" s="141">
        <v>842</v>
      </c>
    </row>
    <row r="278" spans="1:8" ht="19.8" customHeight="1" x14ac:dyDescent="0.3">
      <c r="A278" s="149">
        <v>45989</v>
      </c>
      <c r="B278" s="138" t="s">
        <v>148</v>
      </c>
      <c r="C278" s="139" t="s">
        <v>155</v>
      </c>
      <c r="D278" s="138" t="s">
        <v>1</v>
      </c>
      <c r="E278" s="150">
        <v>1.2777777777777779</v>
      </c>
      <c r="F278" s="138" t="s">
        <v>150</v>
      </c>
      <c r="G278" s="140">
        <v>9</v>
      </c>
      <c r="H278" s="141">
        <v>842</v>
      </c>
    </row>
    <row r="279" spans="1:8" ht="19.8" customHeight="1" x14ac:dyDescent="0.3">
      <c r="A279" s="149">
        <v>45989</v>
      </c>
      <c r="B279" s="138" t="s">
        <v>148</v>
      </c>
      <c r="C279" s="139" t="s">
        <v>153</v>
      </c>
      <c r="D279" s="138" t="s">
        <v>1</v>
      </c>
      <c r="E279" s="150">
        <v>1.229166666666667</v>
      </c>
      <c r="F279" s="138" t="s">
        <v>150</v>
      </c>
      <c r="G279" s="140">
        <v>9</v>
      </c>
      <c r="H279" s="141">
        <v>842</v>
      </c>
    </row>
    <row r="280" spans="1:8" ht="19.8" customHeight="1" x14ac:dyDescent="0.3">
      <c r="A280" s="149">
        <v>45989</v>
      </c>
      <c r="B280" s="138" t="s">
        <v>121</v>
      </c>
      <c r="C280" s="139" t="s">
        <v>134</v>
      </c>
      <c r="D280" s="138" t="s">
        <v>1</v>
      </c>
      <c r="E280" s="150">
        <v>1.71875</v>
      </c>
      <c r="F280" s="138" t="s">
        <v>125</v>
      </c>
      <c r="G280" s="140">
        <v>9</v>
      </c>
      <c r="H280" s="141">
        <v>842</v>
      </c>
    </row>
    <row r="281" spans="1:8" ht="19.8" customHeight="1" x14ac:dyDescent="0.3">
      <c r="A281" s="149">
        <v>45989</v>
      </c>
      <c r="B281" s="138" t="s">
        <v>121</v>
      </c>
      <c r="C281" s="139" t="s">
        <v>131</v>
      </c>
      <c r="D281" s="138" t="s">
        <v>1</v>
      </c>
      <c r="E281" s="150">
        <v>1.006944444444444</v>
      </c>
      <c r="F281" s="138" t="s">
        <v>123</v>
      </c>
      <c r="G281" s="140">
        <v>9</v>
      </c>
      <c r="H281" s="141">
        <v>935</v>
      </c>
    </row>
    <row r="282" spans="1:8" ht="19.8" customHeight="1" x14ac:dyDescent="0.3">
      <c r="A282" s="149">
        <v>45989</v>
      </c>
      <c r="B282" s="138" t="s">
        <v>121</v>
      </c>
      <c r="C282" s="139" t="s">
        <v>133</v>
      </c>
      <c r="D282" s="138" t="s">
        <v>1</v>
      </c>
      <c r="E282" s="150">
        <v>1.930555555555556</v>
      </c>
      <c r="F282" s="138" t="s">
        <v>123</v>
      </c>
      <c r="G282" s="140">
        <v>9</v>
      </c>
      <c r="H282" s="141">
        <v>935</v>
      </c>
    </row>
    <row r="283" spans="1:8" ht="19.8" customHeight="1" x14ac:dyDescent="0.3">
      <c r="A283" s="149">
        <v>45989</v>
      </c>
      <c r="B283" s="138" t="s">
        <v>121</v>
      </c>
      <c r="C283" s="139" t="s">
        <v>142</v>
      </c>
      <c r="D283" s="138" t="s">
        <v>1</v>
      </c>
      <c r="E283" s="150">
        <v>1.8298611111111109</v>
      </c>
      <c r="F283" s="138" t="s">
        <v>123</v>
      </c>
      <c r="G283" s="140">
        <v>9</v>
      </c>
      <c r="H283" s="141">
        <v>935</v>
      </c>
    </row>
    <row r="284" spans="1:8" ht="19.8" customHeight="1" x14ac:dyDescent="0.3">
      <c r="A284" s="149">
        <v>45989</v>
      </c>
      <c r="B284" s="138" t="s">
        <v>121</v>
      </c>
      <c r="C284" s="139" t="s">
        <v>131</v>
      </c>
      <c r="D284" s="138" t="s">
        <v>1</v>
      </c>
      <c r="E284" s="150">
        <v>1.006944444444444</v>
      </c>
      <c r="F284" s="138" t="s">
        <v>125</v>
      </c>
      <c r="G284" s="140">
        <v>9</v>
      </c>
      <c r="H284" s="141">
        <v>980</v>
      </c>
    </row>
    <row r="285" spans="1:8" ht="19.8" customHeight="1" x14ac:dyDescent="0.3">
      <c r="A285" s="149">
        <v>45989</v>
      </c>
      <c r="B285" s="138" t="s">
        <v>121</v>
      </c>
      <c r="C285" s="139" t="s">
        <v>133</v>
      </c>
      <c r="D285" s="138" t="s">
        <v>1</v>
      </c>
      <c r="E285" s="150">
        <v>1.930555555555556</v>
      </c>
      <c r="F285" s="138" t="s">
        <v>125</v>
      </c>
      <c r="G285" s="140">
        <v>9</v>
      </c>
      <c r="H285" s="141">
        <v>980</v>
      </c>
    </row>
    <row r="286" spans="1:8" ht="19.8" customHeight="1" x14ac:dyDescent="0.3">
      <c r="A286" s="149">
        <v>45989</v>
      </c>
      <c r="B286" s="138" t="s">
        <v>121</v>
      </c>
      <c r="C286" s="139" t="s">
        <v>142</v>
      </c>
      <c r="D286" s="138" t="s">
        <v>1</v>
      </c>
      <c r="E286" s="150">
        <v>1.8298611111111109</v>
      </c>
      <c r="F286" s="138" t="s">
        <v>125</v>
      </c>
      <c r="G286" s="140">
        <v>9</v>
      </c>
      <c r="H286" s="141">
        <v>980</v>
      </c>
    </row>
    <row r="287" spans="1:8" ht="19.8" customHeight="1" x14ac:dyDescent="0.3">
      <c r="A287" s="149">
        <v>45989</v>
      </c>
      <c r="B287" s="138" t="s">
        <v>35</v>
      </c>
      <c r="C287" s="139" t="s">
        <v>36</v>
      </c>
      <c r="D287" s="138" t="s">
        <v>1</v>
      </c>
      <c r="E287" s="150">
        <v>1.302083333333333</v>
      </c>
      <c r="F287" s="138" t="s">
        <v>43</v>
      </c>
      <c r="G287" s="140">
        <v>2</v>
      </c>
      <c r="H287" s="151" t="s">
        <v>44</v>
      </c>
    </row>
    <row r="288" spans="1:8" ht="19.8" customHeight="1" x14ac:dyDescent="0.3">
      <c r="A288" s="149">
        <v>45989</v>
      </c>
      <c r="B288" s="138" t="s">
        <v>35</v>
      </c>
      <c r="C288" s="139" t="s">
        <v>50</v>
      </c>
      <c r="D288" s="138" t="s">
        <v>1</v>
      </c>
      <c r="E288" s="150">
        <v>1.1284722222222221</v>
      </c>
      <c r="F288" s="138" t="s">
        <v>43</v>
      </c>
      <c r="G288" s="140">
        <v>1</v>
      </c>
      <c r="H288" s="151" t="s">
        <v>44</v>
      </c>
    </row>
    <row r="289" spans="1:8" ht="19.8" customHeight="1" x14ac:dyDescent="0.3">
      <c r="A289" s="149">
        <v>45989</v>
      </c>
      <c r="B289" s="138" t="s">
        <v>35</v>
      </c>
      <c r="C289" s="139" t="s">
        <v>45</v>
      </c>
      <c r="D289" s="138" t="s">
        <v>1</v>
      </c>
      <c r="E289" s="150">
        <v>1.788194444444444</v>
      </c>
      <c r="F289" s="138" t="s">
        <v>43</v>
      </c>
      <c r="G289" s="140">
        <v>8</v>
      </c>
      <c r="H289" s="151" t="s">
        <v>44</v>
      </c>
    </row>
    <row r="290" spans="1:8" ht="19.8" customHeight="1" x14ac:dyDescent="0.3">
      <c r="A290" s="149">
        <v>45989</v>
      </c>
      <c r="B290" s="138" t="s">
        <v>35</v>
      </c>
      <c r="C290" s="139" t="s">
        <v>47</v>
      </c>
      <c r="D290" s="138" t="s">
        <v>1</v>
      </c>
      <c r="E290" s="150">
        <v>1.8888888888888891</v>
      </c>
      <c r="F290" s="138" t="s">
        <v>43</v>
      </c>
      <c r="G290" s="140">
        <v>8</v>
      </c>
      <c r="H290" s="151" t="s">
        <v>44</v>
      </c>
    </row>
    <row r="291" spans="1:8" ht="19.8" customHeight="1" x14ac:dyDescent="0.3">
      <c r="A291" s="149">
        <v>45989</v>
      </c>
      <c r="B291" s="138" t="s">
        <v>121</v>
      </c>
      <c r="C291" s="139" t="s">
        <v>140</v>
      </c>
      <c r="D291" s="138" t="s">
        <v>1</v>
      </c>
      <c r="E291" s="150">
        <v>1.1284722222222221</v>
      </c>
      <c r="F291" s="138" t="s">
        <v>125</v>
      </c>
      <c r="G291" s="140">
        <v>4</v>
      </c>
      <c r="H291" s="151" t="s">
        <v>207</v>
      </c>
    </row>
    <row r="292" spans="1:8" ht="19.8" customHeight="1" x14ac:dyDescent="0.3">
      <c r="A292" s="149">
        <v>45989</v>
      </c>
      <c r="B292" s="138" t="s">
        <v>148</v>
      </c>
      <c r="C292" s="139" t="s">
        <v>157</v>
      </c>
      <c r="D292" s="138" t="s">
        <v>1</v>
      </c>
      <c r="E292" s="150">
        <v>1.770833333333333</v>
      </c>
      <c r="F292" s="138" t="s">
        <v>150</v>
      </c>
      <c r="G292" s="140">
        <v>9</v>
      </c>
      <c r="H292" s="151" t="s">
        <v>181</v>
      </c>
    </row>
    <row r="293" spans="1:8" ht="19.8" customHeight="1" x14ac:dyDescent="0.3">
      <c r="A293" s="149">
        <v>45989</v>
      </c>
      <c r="B293" s="138" t="s">
        <v>121</v>
      </c>
      <c r="C293" s="139" t="s">
        <v>137</v>
      </c>
      <c r="D293" s="138" t="s">
        <v>1</v>
      </c>
      <c r="E293" s="150">
        <v>1.8888888888888891</v>
      </c>
      <c r="F293" s="138" t="s">
        <v>125</v>
      </c>
      <c r="G293" s="140">
        <v>4</v>
      </c>
      <c r="H293" s="151" t="s">
        <v>138</v>
      </c>
    </row>
    <row r="294" spans="1:8" ht="19.8" customHeight="1" x14ac:dyDescent="0.3">
      <c r="A294" s="149">
        <v>45989</v>
      </c>
      <c r="B294" s="138" t="s">
        <v>121</v>
      </c>
      <c r="C294" s="139" t="s">
        <v>139</v>
      </c>
      <c r="D294" s="138" t="s">
        <v>1</v>
      </c>
      <c r="E294" s="150">
        <v>1.302083333333333</v>
      </c>
      <c r="F294" s="138" t="s">
        <v>125</v>
      </c>
      <c r="G294" s="140">
        <v>4</v>
      </c>
      <c r="H294" s="151" t="s">
        <v>138</v>
      </c>
    </row>
    <row r="295" spans="1:8" ht="19.8" customHeight="1" x14ac:dyDescent="0.3">
      <c r="A295" s="149">
        <v>45989</v>
      </c>
      <c r="B295" s="138" t="s">
        <v>121</v>
      </c>
      <c r="C295" s="139" t="s">
        <v>141</v>
      </c>
      <c r="D295" s="138" t="s">
        <v>1</v>
      </c>
      <c r="E295" s="150">
        <v>1.788194444444444</v>
      </c>
      <c r="F295" s="138" t="s">
        <v>125</v>
      </c>
      <c r="G295" s="140">
        <v>4</v>
      </c>
      <c r="H295" s="151" t="s">
        <v>138</v>
      </c>
    </row>
    <row r="296" spans="1:8" ht="19.8" customHeight="1" x14ac:dyDescent="0.3">
      <c r="A296" s="157">
        <v>45989</v>
      </c>
      <c r="B296" s="158" t="s">
        <v>148</v>
      </c>
      <c r="C296" s="159" t="s">
        <v>179</v>
      </c>
      <c r="D296" s="158" t="s">
        <v>1</v>
      </c>
      <c r="E296" s="160">
        <v>1.958333333333333</v>
      </c>
      <c r="F296" s="158" t="s">
        <v>150</v>
      </c>
      <c r="G296" s="161">
        <v>9</v>
      </c>
      <c r="H296" s="162" t="s">
        <v>156</v>
      </c>
    </row>
    <row r="297" spans="1:8" ht="19.8" customHeight="1" x14ac:dyDescent="0.3">
      <c r="A297" s="149">
        <v>45990</v>
      </c>
      <c r="B297" s="138" t="s">
        <v>35</v>
      </c>
      <c r="C297" s="139" t="s">
        <v>50</v>
      </c>
      <c r="D297" s="138" t="s">
        <v>1</v>
      </c>
      <c r="E297" s="150">
        <v>1.1284722222222221</v>
      </c>
      <c r="F297" s="138" t="s">
        <v>37</v>
      </c>
      <c r="G297" s="140">
        <v>9</v>
      </c>
      <c r="H297" s="141">
        <v>389</v>
      </c>
    </row>
    <row r="298" spans="1:8" ht="19.8" customHeight="1" x14ac:dyDescent="0.3">
      <c r="A298" s="147">
        <v>45990</v>
      </c>
      <c r="B298" s="143" t="s">
        <v>55</v>
      </c>
      <c r="C298" s="144" t="s">
        <v>192</v>
      </c>
      <c r="D298" s="143" t="s">
        <v>1</v>
      </c>
      <c r="E298" s="148">
        <v>1.2361111111111109</v>
      </c>
      <c r="F298" s="143" t="s">
        <v>57</v>
      </c>
      <c r="G298" s="145">
        <v>8</v>
      </c>
      <c r="H298" s="146">
        <v>401</v>
      </c>
    </row>
    <row r="299" spans="1:8" ht="19.8" customHeight="1" x14ac:dyDescent="0.3">
      <c r="A299" s="147">
        <v>45990</v>
      </c>
      <c r="B299" s="143" t="s">
        <v>55</v>
      </c>
      <c r="C299" s="144" t="s">
        <v>65</v>
      </c>
      <c r="D299" s="143" t="s">
        <v>1</v>
      </c>
      <c r="E299" s="148">
        <v>1.333333333333333</v>
      </c>
      <c r="F299" s="143" t="s">
        <v>57</v>
      </c>
      <c r="G299" s="145">
        <v>9</v>
      </c>
      <c r="H299" s="146">
        <v>401</v>
      </c>
    </row>
    <row r="300" spans="1:8" ht="19.8" customHeight="1" x14ac:dyDescent="0.3">
      <c r="A300" s="149">
        <v>45990</v>
      </c>
      <c r="B300" s="138" t="s">
        <v>26</v>
      </c>
      <c r="C300" s="139" t="s">
        <v>27</v>
      </c>
      <c r="D300" s="138" t="s">
        <v>1</v>
      </c>
      <c r="E300" s="150">
        <v>1.21875</v>
      </c>
      <c r="F300" s="138" t="s">
        <v>28</v>
      </c>
      <c r="G300" s="140">
        <v>9</v>
      </c>
      <c r="H300" s="141">
        <v>401</v>
      </c>
    </row>
    <row r="301" spans="1:8" ht="19.8" customHeight="1" x14ac:dyDescent="0.3">
      <c r="A301" s="149">
        <v>45990</v>
      </c>
      <c r="B301" s="138" t="s">
        <v>35</v>
      </c>
      <c r="C301" s="139" t="s">
        <v>36</v>
      </c>
      <c r="D301" s="138" t="s">
        <v>1</v>
      </c>
      <c r="E301" s="150">
        <v>1.302083333333333</v>
      </c>
      <c r="F301" s="138" t="s">
        <v>37</v>
      </c>
      <c r="G301" s="140">
        <v>5</v>
      </c>
      <c r="H301" s="141">
        <v>419</v>
      </c>
    </row>
    <row r="302" spans="1:8" ht="19.8" customHeight="1" x14ac:dyDescent="0.3">
      <c r="A302" s="149">
        <v>45990</v>
      </c>
      <c r="B302" s="138" t="s">
        <v>110</v>
      </c>
      <c r="C302" s="139" t="s">
        <v>111</v>
      </c>
      <c r="D302" s="138" t="s">
        <v>1</v>
      </c>
      <c r="E302" s="150">
        <v>1.2152777777777779</v>
      </c>
      <c r="F302" s="138" t="s">
        <v>112</v>
      </c>
      <c r="G302" s="140">
        <v>9</v>
      </c>
      <c r="H302" s="141">
        <v>430</v>
      </c>
    </row>
    <row r="303" spans="1:8" ht="19.8" customHeight="1" x14ac:dyDescent="0.3">
      <c r="A303" s="147">
        <v>45990</v>
      </c>
      <c r="B303" s="143" t="s">
        <v>55</v>
      </c>
      <c r="C303" s="144" t="s">
        <v>68</v>
      </c>
      <c r="D303" s="143" t="s">
        <v>1</v>
      </c>
      <c r="E303" s="148">
        <v>1.680555555555556</v>
      </c>
      <c r="F303" s="143" t="s">
        <v>57</v>
      </c>
      <c r="G303" s="145">
        <v>9</v>
      </c>
      <c r="H303" s="146">
        <v>436</v>
      </c>
    </row>
    <row r="304" spans="1:8" ht="19.8" customHeight="1" x14ac:dyDescent="0.3">
      <c r="A304" s="149">
        <v>45990</v>
      </c>
      <c r="B304" s="138" t="s">
        <v>110</v>
      </c>
      <c r="C304" s="139" t="s">
        <v>173</v>
      </c>
      <c r="D304" s="138" t="s">
        <v>1</v>
      </c>
      <c r="E304" s="150">
        <v>1.3298611111111109</v>
      </c>
      <c r="F304" s="138" t="s">
        <v>112</v>
      </c>
      <c r="G304" s="140">
        <v>9</v>
      </c>
      <c r="H304" s="141">
        <v>437</v>
      </c>
    </row>
    <row r="305" spans="1:8" ht="19.8" customHeight="1" x14ac:dyDescent="0.3">
      <c r="A305" s="149">
        <v>45990</v>
      </c>
      <c r="B305" s="138" t="s">
        <v>83</v>
      </c>
      <c r="C305" s="139" t="s">
        <v>84</v>
      </c>
      <c r="D305" s="138" t="s">
        <v>1</v>
      </c>
      <c r="E305" s="150">
        <v>1.9027777777777779</v>
      </c>
      <c r="F305" s="138" t="s">
        <v>85</v>
      </c>
      <c r="G305" s="140">
        <v>9</v>
      </c>
      <c r="H305" s="141">
        <v>449</v>
      </c>
    </row>
    <row r="306" spans="1:8" ht="19.8" customHeight="1" x14ac:dyDescent="0.3">
      <c r="A306" s="149">
        <v>45990</v>
      </c>
      <c r="B306" s="138" t="s">
        <v>83</v>
      </c>
      <c r="C306" s="139" t="s">
        <v>100</v>
      </c>
      <c r="D306" s="138" t="s">
        <v>1</v>
      </c>
      <c r="E306" s="150">
        <v>1.6597222222222221</v>
      </c>
      <c r="F306" s="138" t="s">
        <v>85</v>
      </c>
      <c r="G306" s="140">
        <v>2</v>
      </c>
      <c r="H306" s="141">
        <v>449</v>
      </c>
    </row>
    <row r="307" spans="1:8" ht="19.8" customHeight="1" x14ac:dyDescent="0.3">
      <c r="A307" s="149">
        <v>45990</v>
      </c>
      <c r="B307" s="138" t="s">
        <v>83</v>
      </c>
      <c r="C307" s="139" t="s">
        <v>101</v>
      </c>
      <c r="D307" s="138" t="s">
        <v>1</v>
      </c>
      <c r="E307" s="150">
        <v>1.5173611111111109</v>
      </c>
      <c r="F307" s="138" t="s">
        <v>85</v>
      </c>
      <c r="G307" s="140">
        <v>6</v>
      </c>
      <c r="H307" s="141">
        <v>449</v>
      </c>
    </row>
    <row r="308" spans="1:8" ht="19.8" customHeight="1" x14ac:dyDescent="0.3">
      <c r="A308" s="149">
        <v>45990</v>
      </c>
      <c r="B308" s="138" t="s">
        <v>83</v>
      </c>
      <c r="C308" s="139" t="s">
        <v>102</v>
      </c>
      <c r="D308" s="138" t="s">
        <v>1</v>
      </c>
      <c r="E308" s="150">
        <v>1.854166666666667</v>
      </c>
      <c r="F308" s="138" t="s">
        <v>85</v>
      </c>
      <c r="G308" s="140">
        <v>9</v>
      </c>
      <c r="H308" s="141">
        <v>449</v>
      </c>
    </row>
    <row r="309" spans="1:8" ht="19.8" customHeight="1" x14ac:dyDescent="0.3">
      <c r="A309" s="149">
        <v>45990</v>
      </c>
      <c r="B309" s="138" t="s">
        <v>83</v>
      </c>
      <c r="C309" s="139" t="s">
        <v>104</v>
      </c>
      <c r="D309" s="138" t="s">
        <v>1</v>
      </c>
      <c r="E309" s="150">
        <v>1.395833333333333</v>
      </c>
      <c r="F309" s="138" t="s">
        <v>85</v>
      </c>
      <c r="G309" s="140">
        <v>9</v>
      </c>
      <c r="H309" s="141">
        <v>449</v>
      </c>
    </row>
    <row r="310" spans="1:8" ht="19.8" customHeight="1" x14ac:dyDescent="0.3">
      <c r="A310" s="149">
        <v>45990</v>
      </c>
      <c r="B310" s="138" t="s">
        <v>83</v>
      </c>
      <c r="C310" s="139" t="s">
        <v>91</v>
      </c>
      <c r="D310" s="138" t="s">
        <v>1</v>
      </c>
      <c r="E310" s="150">
        <v>1.7986111111111109</v>
      </c>
      <c r="F310" s="138" t="s">
        <v>85</v>
      </c>
      <c r="G310" s="140">
        <v>4</v>
      </c>
      <c r="H310" s="141">
        <v>449</v>
      </c>
    </row>
    <row r="311" spans="1:8" ht="19.8" customHeight="1" x14ac:dyDescent="0.3">
      <c r="A311" s="149">
        <v>45990</v>
      </c>
      <c r="B311" s="138" t="s">
        <v>35</v>
      </c>
      <c r="C311" s="139" t="s">
        <v>45</v>
      </c>
      <c r="D311" s="138" t="s">
        <v>1</v>
      </c>
      <c r="E311" s="150">
        <v>1.788194444444444</v>
      </c>
      <c r="F311" s="138" t="s">
        <v>37</v>
      </c>
      <c r="G311" s="140">
        <v>4</v>
      </c>
      <c r="H311" s="141">
        <v>459</v>
      </c>
    </row>
    <row r="312" spans="1:8" ht="19.8" customHeight="1" x14ac:dyDescent="0.3">
      <c r="A312" s="149">
        <v>45990</v>
      </c>
      <c r="B312" s="138" t="s">
        <v>83</v>
      </c>
      <c r="C312" s="139" t="s">
        <v>94</v>
      </c>
      <c r="D312" s="138" t="s">
        <v>1</v>
      </c>
      <c r="E312" s="150">
        <v>1.256944444444444</v>
      </c>
      <c r="F312" s="138" t="s">
        <v>85</v>
      </c>
      <c r="G312" s="140">
        <v>9</v>
      </c>
      <c r="H312" s="141">
        <v>489</v>
      </c>
    </row>
    <row r="313" spans="1:8" ht="19.8" customHeight="1" x14ac:dyDescent="0.3">
      <c r="A313" s="149">
        <v>45990</v>
      </c>
      <c r="B313" s="138" t="s">
        <v>35</v>
      </c>
      <c r="C313" s="139" t="s">
        <v>47</v>
      </c>
      <c r="D313" s="138" t="s">
        <v>1</v>
      </c>
      <c r="E313" s="150">
        <v>1.8888888888888891</v>
      </c>
      <c r="F313" s="138" t="s">
        <v>37</v>
      </c>
      <c r="G313" s="140">
        <v>5</v>
      </c>
      <c r="H313" s="141">
        <v>499</v>
      </c>
    </row>
    <row r="314" spans="1:8" ht="19.8" customHeight="1" x14ac:dyDescent="0.3">
      <c r="A314" s="149">
        <v>45990</v>
      </c>
      <c r="B314" s="138" t="s">
        <v>35</v>
      </c>
      <c r="C314" s="139" t="s">
        <v>50</v>
      </c>
      <c r="D314" s="138" t="s">
        <v>1</v>
      </c>
      <c r="E314" s="150">
        <v>1.1284722222222221</v>
      </c>
      <c r="F314" s="138" t="s">
        <v>40</v>
      </c>
      <c r="G314" s="140">
        <v>9</v>
      </c>
      <c r="H314" s="141">
        <v>539</v>
      </c>
    </row>
    <row r="315" spans="1:8" ht="19.8" customHeight="1" x14ac:dyDescent="0.3">
      <c r="A315" s="149">
        <v>45990</v>
      </c>
      <c r="B315" s="138" t="s">
        <v>83</v>
      </c>
      <c r="C315" s="139" t="s">
        <v>84</v>
      </c>
      <c r="D315" s="138" t="s">
        <v>1</v>
      </c>
      <c r="E315" s="150">
        <v>1.9027777777777779</v>
      </c>
      <c r="F315" s="138" t="s">
        <v>87</v>
      </c>
      <c r="G315" s="140">
        <v>9</v>
      </c>
      <c r="H315" s="141">
        <v>549</v>
      </c>
    </row>
    <row r="316" spans="1:8" ht="19.8" customHeight="1" x14ac:dyDescent="0.3">
      <c r="A316" s="149">
        <v>45990</v>
      </c>
      <c r="B316" s="138" t="s">
        <v>83</v>
      </c>
      <c r="C316" s="139" t="s">
        <v>100</v>
      </c>
      <c r="D316" s="138" t="s">
        <v>1</v>
      </c>
      <c r="E316" s="150">
        <v>1.6597222222222221</v>
      </c>
      <c r="F316" s="138" t="s">
        <v>87</v>
      </c>
      <c r="G316" s="140">
        <v>2</v>
      </c>
      <c r="H316" s="141">
        <v>549</v>
      </c>
    </row>
    <row r="317" spans="1:8" ht="19.8" customHeight="1" x14ac:dyDescent="0.3">
      <c r="A317" s="149">
        <v>45990</v>
      </c>
      <c r="B317" s="138" t="s">
        <v>83</v>
      </c>
      <c r="C317" s="139" t="s">
        <v>101</v>
      </c>
      <c r="D317" s="138" t="s">
        <v>1</v>
      </c>
      <c r="E317" s="150">
        <v>1.5173611111111109</v>
      </c>
      <c r="F317" s="138" t="s">
        <v>87</v>
      </c>
      <c r="G317" s="140">
        <v>6</v>
      </c>
      <c r="H317" s="141">
        <v>549</v>
      </c>
    </row>
    <row r="318" spans="1:8" ht="19.8" customHeight="1" x14ac:dyDescent="0.3">
      <c r="A318" s="149">
        <v>45990</v>
      </c>
      <c r="B318" s="138" t="s">
        <v>83</v>
      </c>
      <c r="C318" s="139" t="s">
        <v>102</v>
      </c>
      <c r="D318" s="138" t="s">
        <v>1</v>
      </c>
      <c r="E318" s="150">
        <v>1.854166666666667</v>
      </c>
      <c r="F318" s="138" t="s">
        <v>87</v>
      </c>
      <c r="G318" s="140">
        <v>9</v>
      </c>
      <c r="H318" s="141">
        <v>549</v>
      </c>
    </row>
    <row r="319" spans="1:8" ht="19.8" customHeight="1" x14ac:dyDescent="0.3">
      <c r="A319" s="149">
        <v>45990</v>
      </c>
      <c r="B319" s="138" t="s">
        <v>83</v>
      </c>
      <c r="C319" s="139" t="s">
        <v>104</v>
      </c>
      <c r="D319" s="138" t="s">
        <v>1</v>
      </c>
      <c r="E319" s="150">
        <v>1.395833333333333</v>
      </c>
      <c r="F319" s="138" t="s">
        <v>87</v>
      </c>
      <c r="G319" s="140">
        <v>9</v>
      </c>
      <c r="H319" s="141">
        <v>549</v>
      </c>
    </row>
    <row r="320" spans="1:8" ht="19.8" customHeight="1" x14ac:dyDescent="0.3">
      <c r="A320" s="149">
        <v>45990</v>
      </c>
      <c r="B320" s="138" t="s">
        <v>83</v>
      </c>
      <c r="C320" s="139" t="s">
        <v>91</v>
      </c>
      <c r="D320" s="138" t="s">
        <v>1</v>
      </c>
      <c r="E320" s="150">
        <v>1.7986111111111109</v>
      </c>
      <c r="F320" s="138" t="s">
        <v>87</v>
      </c>
      <c r="G320" s="140">
        <v>4</v>
      </c>
      <c r="H320" s="141">
        <v>549</v>
      </c>
    </row>
    <row r="321" spans="1:8" ht="19.8" customHeight="1" x14ac:dyDescent="0.3">
      <c r="A321" s="149">
        <v>45990</v>
      </c>
      <c r="B321" s="138" t="s">
        <v>110</v>
      </c>
      <c r="C321" s="139" t="s">
        <v>111</v>
      </c>
      <c r="D321" s="138" t="s">
        <v>1</v>
      </c>
      <c r="E321" s="150">
        <v>1.2152777777777779</v>
      </c>
      <c r="F321" s="138" t="s">
        <v>43</v>
      </c>
      <c r="G321" s="140">
        <v>9</v>
      </c>
      <c r="H321" s="141">
        <v>553</v>
      </c>
    </row>
    <row r="322" spans="1:8" ht="19.8" customHeight="1" x14ac:dyDescent="0.3">
      <c r="A322" s="149">
        <v>45990</v>
      </c>
      <c r="B322" s="138" t="s">
        <v>110</v>
      </c>
      <c r="C322" s="139" t="s">
        <v>173</v>
      </c>
      <c r="D322" s="138" t="s">
        <v>1</v>
      </c>
      <c r="E322" s="150">
        <v>1.3298611111111109</v>
      </c>
      <c r="F322" s="138" t="s">
        <v>43</v>
      </c>
      <c r="G322" s="140">
        <v>9</v>
      </c>
      <c r="H322" s="141">
        <v>561</v>
      </c>
    </row>
    <row r="323" spans="1:8" ht="19.8" customHeight="1" x14ac:dyDescent="0.3">
      <c r="A323" s="149">
        <v>45990</v>
      </c>
      <c r="B323" s="138" t="s">
        <v>35</v>
      </c>
      <c r="C323" s="139" t="s">
        <v>36</v>
      </c>
      <c r="D323" s="138" t="s">
        <v>1</v>
      </c>
      <c r="E323" s="150">
        <v>1.302083333333333</v>
      </c>
      <c r="F323" s="138" t="s">
        <v>40</v>
      </c>
      <c r="G323" s="140">
        <v>5</v>
      </c>
      <c r="H323" s="141">
        <v>569</v>
      </c>
    </row>
    <row r="324" spans="1:8" ht="19.8" customHeight="1" x14ac:dyDescent="0.3">
      <c r="A324" s="149">
        <v>45990</v>
      </c>
      <c r="B324" s="138" t="s">
        <v>83</v>
      </c>
      <c r="C324" s="139" t="s">
        <v>94</v>
      </c>
      <c r="D324" s="138" t="s">
        <v>1</v>
      </c>
      <c r="E324" s="150">
        <v>1.256944444444444</v>
      </c>
      <c r="F324" s="138" t="s">
        <v>87</v>
      </c>
      <c r="G324" s="140">
        <v>9</v>
      </c>
      <c r="H324" s="141">
        <v>589</v>
      </c>
    </row>
    <row r="325" spans="1:8" ht="19.8" customHeight="1" x14ac:dyDescent="0.3">
      <c r="A325" s="149">
        <v>45990</v>
      </c>
      <c r="B325" s="138" t="s">
        <v>116</v>
      </c>
      <c r="C325" s="139" t="s">
        <v>117</v>
      </c>
      <c r="D325" s="138" t="s">
        <v>1</v>
      </c>
      <c r="E325" s="150">
        <v>1.270833333333333</v>
      </c>
      <c r="F325" s="138" t="s">
        <v>28</v>
      </c>
      <c r="G325" s="140">
        <v>5</v>
      </c>
      <c r="H325" s="141">
        <v>595</v>
      </c>
    </row>
    <row r="326" spans="1:8" ht="19.8" customHeight="1" x14ac:dyDescent="0.3">
      <c r="A326" s="149">
        <v>45990</v>
      </c>
      <c r="B326" s="138" t="s">
        <v>26</v>
      </c>
      <c r="C326" s="139" t="s">
        <v>33</v>
      </c>
      <c r="D326" s="138" t="s">
        <v>1</v>
      </c>
      <c r="E326" s="150">
        <v>1.666666666666667</v>
      </c>
      <c r="F326" s="138" t="s">
        <v>28</v>
      </c>
      <c r="G326" s="140">
        <v>9</v>
      </c>
      <c r="H326" s="141">
        <v>599</v>
      </c>
    </row>
    <row r="327" spans="1:8" ht="19.8" customHeight="1" x14ac:dyDescent="0.3">
      <c r="A327" s="149">
        <v>45990</v>
      </c>
      <c r="B327" s="138" t="s">
        <v>35</v>
      </c>
      <c r="C327" s="139" t="s">
        <v>45</v>
      </c>
      <c r="D327" s="138" t="s">
        <v>1</v>
      </c>
      <c r="E327" s="150">
        <v>1.788194444444444</v>
      </c>
      <c r="F327" s="138" t="s">
        <v>40</v>
      </c>
      <c r="G327" s="140">
        <v>4</v>
      </c>
      <c r="H327" s="141">
        <v>609</v>
      </c>
    </row>
    <row r="328" spans="1:8" ht="19.8" customHeight="1" x14ac:dyDescent="0.3">
      <c r="A328" s="149">
        <v>45990</v>
      </c>
      <c r="B328" s="138" t="s">
        <v>83</v>
      </c>
      <c r="C328" s="139" t="s">
        <v>84</v>
      </c>
      <c r="D328" s="138" t="s">
        <v>1</v>
      </c>
      <c r="E328" s="150">
        <v>1.9027777777777779</v>
      </c>
      <c r="F328" s="138" t="s">
        <v>89</v>
      </c>
      <c r="G328" s="140">
        <v>9</v>
      </c>
      <c r="H328" s="141">
        <v>639</v>
      </c>
    </row>
    <row r="329" spans="1:8" ht="19.8" customHeight="1" x14ac:dyDescent="0.3">
      <c r="A329" s="149">
        <v>45990</v>
      </c>
      <c r="B329" s="138" t="s">
        <v>83</v>
      </c>
      <c r="C329" s="139" t="s">
        <v>100</v>
      </c>
      <c r="D329" s="138" t="s">
        <v>1</v>
      </c>
      <c r="E329" s="150">
        <v>1.6597222222222221</v>
      </c>
      <c r="F329" s="138" t="s">
        <v>89</v>
      </c>
      <c r="G329" s="140">
        <v>2</v>
      </c>
      <c r="H329" s="141">
        <v>639</v>
      </c>
    </row>
    <row r="330" spans="1:8" ht="19.8" customHeight="1" x14ac:dyDescent="0.3">
      <c r="A330" s="149">
        <v>45990</v>
      </c>
      <c r="B330" s="138" t="s">
        <v>83</v>
      </c>
      <c r="C330" s="139" t="s">
        <v>101</v>
      </c>
      <c r="D330" s="138" t="s">
        <v>1</v>
      </c>
      <c r="E330" s="150">
        <v>1.5173611111111109</v>
      </c>
      <c r="F330" s="138" t="s">
        <v>89</v>
      </c>
      <c r="G330" s="140">
        <v>6</v>
      </c>
      <c r="H330" s="141">
        <v>639</v>
      </c>
    </row>
    <row r="331" spans="1:8" ht="19.8" customHeight="1" x14ac:dyDescent="0.3">
      <c r="A331" s="149">
        <v>45990</v>
      </c>
      <c r="B331" s="138" t="s">
        <v>83</v>
      </c>
      <c r="C331" s="139" t="s">
        <v>102</v>
      </c>
      <c r="D331" s="138" t="s">
        <v>1</v>
      </c>
      <c r="E331" s="150">
        <v>1.854166666666667</v>
      </c>
      <c r="F331" s="138" t="s">
        <v>89</v>
      </c>
      <c r="G331" s="140">
        <v>9</v>
      </c>
      <c r="H331" s="141">
        <v>639</v>
      </c>
    </row>
    <row r="332" spans="1:8" ht="19.8" customHeight="1" x14ac:dyDescent="0.3">
      <c r="A332" s="149">
        <v>45990</v>
      </c>
      <c r="B332" s="138" t="s">
        <v>83</v>
      </c>
      <c r="C332" s="139" t="s">
        <v>104</v>
      </c>
      <c r="D332" s="138" t="s">
        <v>1</v>
      </c>
      <c r="E332" s="150">
        <v>1.395833333333333</v>
      </c>
      <c r="F332" s="138" t="s">
        <v>89</v>
      </c>
      <c r="G332" s="140">
        <v>9</v>
      </c>
      <c r="H332" s="141">
        <v>639</v>
      </c>
    </row>
    <row r="333" spans="1:8" ht="19.8" customHeight="1" x14ac:dyDescent="0.3">
      <c r="A333" s="149">
        <v>45990</v>
      </c>
      <c r="B333" s="138" t="s">
        <v>83</v>
      </c>
      <c r="C333" s="139" t="s">
        <v>91</v>
      </c>
      <c r="D333" s="138" t="s">
        <v>1</v>
      </c>
      <c r="E333" s="150">
        <v>1.7986111111111109</v>
      </c>
      <c r="F333" s="138" t="s">
        <v>89</v>
      </c>
      <c r="G333" s="140">
        <v>4</v>
      </c>
      <c r="H333" s="141">
        <v>639</v>
      </c>
    </row>
    <row r="334" spans="1:8" ht="19.8" customHeight="1" x14ac:dyDescent="0.3">
      <c r="A334" s="149">
        <v>45990</v>
      </c>
      <c r="B334" s="138" t="s">
        <v>35</v>
      </c>
      <c r="C334" s="139" t="s">
        <v>47</v>
      </c>
      <c r="D334" s="138" t="s">
        <v>1</v>
      </c>
      <c r="E334" s="150">
        <v>1.8888888888888891</v>
      </c>
      <c r="F334" s="138" t="s">
        <v>40</v>
      </c>
      <c r="G334" s="140">
        <v>5</v>
      </c>
      <c r="H334" s="141">
        <v>649</v>
      </c>
    </row>
    <row r="335" spans="1:8" ht="19.8" customHeight="1" x14ac:dyDescent="0.3">
      <c r="A335" s="149">
        <v>45990</v>
      </c>
      <c r="B335" s="138" t="s">
        <v>121</v>
      </c>
      <c r="C335" s="139" t="s">
        <v>128</v>
      </c>
      <c r="D335" s="138" t="s">
        <v>1</v>
      </c>
      <c r="E335" s="150">
        <v>1.3784722222222221</v>
      </c>
      <c r="F335" s="138" t="s">
        <v>123</v>
      </c>
      <c r="G335" s="140">
        <v>9</v>
      </c>
      <c r="H335" s="141">
        <v>678</v>
      </c>
    </row>
    <row r="336" spans="1:8" ht="19.8" customHeight="1" x14ac:dyDescent="0.3">
      <c r="A336" s="149">
        <v>45990</v>
      </c>
      <c r="B336" s="138" t="s">
        <v>121</v>
      </c>
      <c r="C336" s="139" t="s">
        <v>131</v>
      </c>
      <c r="D336" s="138" t="s">
        <v>1</v>
      </c>
      <c r="E336" s="150">
        <v>1.006944444444444</v>
      </c>
      <c r="F336" s="138" t="s">
        <v>123</v>
      </c>
      <c r="G336" s="140">
        <v>9</v>
      </c>
      <c r="H336" s="141">
        <v>678</v>
      </c>
    </row>
    <row r="337" spans="1:8" ht="19.8" customHeight="1" x14ac:dyDescent="0.3">
      <c r="A337" s="149">
        <v>45990</v>
      </c>
      <c r="B337" s="138" t="s">
        <v>121</v>
      </c>
      <c r="C337" s="139" t="s">
        <v>122</v>
      </c>
      <c r="D337" s="138" t="s">
        <v>1</v>
      </c>
      <c r="E337" s="150">
        <v>1.243055555555556</v>
      </c>
      <c r="F337" s="138" t="s">
        <v>123</v>
      </c>
      <c r="G337" s="140">
        <v>9</v>
      </c>
      <c r="H337" s="141">
        <v>678</v>
      </c>
    </row>
    <row r="338" spans="1:8" ht="19.8" customHeight="1" x14ac:dyDescent="0.3">
      <c r="A338" s="149">
        <v>45990</v>
      </c>
      <c r="B338" s="138" t="s">
        <v>121</v>
      </c>
      <c r="C338" s="139" t="s">
        <v>132</v>
      </c>
      <c r="D338" s="138" t="s">
        <v>1</v>
      </c>
      <c r="E338" s="150">
        <v>1.1423611111111109</v>
      </c>
      <c r="F338" s="138" t="s">
        <v>123</v>
      </c>
      <c r="G338" s="140">
        <v>9</v>
      </c>
      <c r="H338" s="141">
        <v>678</v>
      </c>
    </row>
    <row r="339" spans="1:8" ht="19.8" customHeight="1" x14ac:dyDescent="0.3">
      <c r="A339" s="149">
        <v>45990</v>
      </c>
      <c r="B339" s="138" t="s">
        <v>83</v>
      </c>
      <c r="C339" s="139" t="s">
        <v>94</v>
      </c>
      <c r="D339" s="138" t="s">
        <v>1</v>
      </c>
      <c r="E339" s="150">
        <v>1.256944444444444</v>
      </c>
      <c r="F339" s="138" t="s">
        <v>89</v>
      </c>
      <c r="G339" s="140">
        <v>9</v>
      </c>
      <c r="H339" s="141">
        <v>679</v>
      </c>
    </row>
    <row r="340" spans="1:8" ht="19.8" customHeight="1" x14ac:dyDescent="0.3">
      <c r="A340" s="149">
        <v>45990</v>
      </c>
      <c r="B340" s="138" t="s">
        <v>121</v>
      </c>
      <c r="C340" s="139" t="s">
        <v>128</v>
      </c>
      <c r="D340" s="138" t="s">
        <v>1</v>
      </c>
      <c r="E340" s="150">
        <v>1.3784722222222221</v>
      </c>
      <c r="F340" s="138" t="s">
        <v>125</v>
      </c>
      <c r="G340" s="140">
        <v>9</v>
      </c>
      <c r="H340" s="141">
        <v>723</v>
      </c>
    </row>
    <row r="341" spans="1:8" ht="19.8" customHeight="1" x14ac:dyDescent="0.3">
      <c r="A341" s="149">
        <v>45990</v>
      </c>
      <c r="B341" s="138" t="s">
        <v>121</v>
      </c>
      <c r="C341" s="139" t="s">
        <v>131</v>
      </c>
      <c r="D341" s="138" t="s">
        <v>1</v>
      </c>
      <c r="E341" s="150">
        <v>1.006944444444444</v>
      </c>
      <c r="F341" s="138" t="s">
        <v>125</v>
      </c>
      <c r="G341" s="140">
        <v>9</v>
      </c>
      <c r="H341" s="141">
        <v>723</v>
      </c>
    </row>
    <row r="342" spans="1:8" ht="19.8" customHeight="1" x14ac:dyDescent="0.3">
      <c r="A342" s="149">
        <v>45990</v>
      </c>
      <c r="B342" s="138" t="s">
        <v>121</v>
      </c>
      <c r="C342" s="139" t="s">
        <v>122</v>
      </c>
      <c r="D342" s="138" t="s">
        <v>1</v>
      </c>
      <c r="E342" s="150">
        <v>1.243055555555556</v>
      </c>
      <c r="F342" s="138" t="s">
        <v>125</v>
      </c>
      <c r="G342" s="140">
        <v>9</v>
      </c>
      <c r="H342" s="141">
        <v>723</v>
      </c>
    </row>
    <row r="343" spans="1:8" ht="19.8" customHeight="1" x14ac:dyDescent="0.3">
      <c r="A343" s="149">
        <v>45990</v>
      </c>
      <c r="B343" s="138" t="s">
        <v>121</v>
      </c>
      <c r="C343" s="139" t="s">
        <v>132</v>
      </c>
      <c r="D343" s="138" t="s">
        <v>1</v>
      </c>
      <c r="E343" s="150">
        <v>1.1423611111111109</v>
      </c>
      <c r="F343" s="138" t="s">
        <v>125</v>
      </c>
      <c r="G343" s="140">
        <v>9</v>
      </c>
      <c r="H343" s="141">
        <v>723</v>
      </c>
    </row>
    <row r="344" spans="1:8" ht="19.8" customHeight="1" x14ac:dyDescent="0.3">
      <c r="A344" s="149">
        <v>45990</v>
      </c>
      <c r="B344" s="138" t="s">
        <v>121</v>
      </c>
      <c r="C344" s="139" t="s">
        <v>134</v>
      </c>
      <c r="D344" s="138" t="s">
        <v>1</v>
      </c>
      <c r="E344" s="150">
        <v>1.71875</v>
      </c>
      <c r="F344" s="138" t="s">
        <v>123</v>
      </c>
      <c r="G344" s="140">
        <v>9</v>
      </c>
      <c r="H344" s="141">
        <v>935</v>
      </c>
    </row>
    <row r="345" spans="1:8" ht="19.8" customHeight="1" x14ac:dyDescent="0.3">
      <c r="A345" s="149">
        <v>45990</v>
      </c>
      <c r="B345" s="138" t="s">
        <v>121</v>
      </c>
      <c r="C345" s="139" t="s">
        <v>145</v>
      </c>
      <c r="D345" s="138" t="s">
        <v>1</v>
      </c>
      <c r="E345" s="150">
        <v>1.6111111111111109</v>
      </c>
      <c r="F345" s="138" t="s">
        <v>123</v>
      </c>
      <c r="G345" s="140">
        <v>5</v>
      </c>
      <c r="H345" s="141">
        <v>935</v>
      </c>
    </row>
    <row r="346" spans="1:8" ht="19.8" customHeight="1" x14ac:dyDescent="0.3">
      <c r="A346" s="149">
        <v>45990</v>
      </c>
      <c r="B346" s="138" t="s">
        <v>148</v>
      </c>
      <c r="C346" s="139" t="s">
        <v>153</v>
      </c>
      <c r="D346" s="138" t="s">
        <v>1</v>
      </c>
      <c r="E346" s="150">
        <v>1.229166666666667</v>
      </c>
      <c r="F346" s="138" t="s">
        <v>150</v>
      </c>
      <c r="G346" s="140">
        <v>9</v>
      </c>
      <c r="H346" s="141">
        <v>974</v>
      </c>
    </row>
    <row r="347" spans="1:8" ht="19.8" customHeight="1" x14ac:dyDescent="0.3">
      <c r="A347" s="149">
        <v>45990</v>
      </c>
      <c r="B347" s="138" t="s">
        <v>121</v>
      </c>
      <c r="C347" s="139" t="s">
        <v>134</v>
      </c>
      <c r="D347" s="138" t="s">
        <v>1</v>
      </c>
      <c r="E347" s="150">
        <v>1.71875</v>
      </c>
      <c r="F347" s="138" t="s">
        <v>125</v>
      </c>
      <c r="G347" s="140">
        <v>9</v>
      </c>
      <c r="H347" s="141">
        <v>980</v>
      </c>
    </row>
    <row r="348" spans="1:8" ht="19.8" customHeight="1" x14ac:dyDescent="0.3">
      <c r="A348" s="149">
        <v>45990</v>
      </c>
      <c r="B348" s="138" t="s">
        <v>121</v>
      </c>
      <c r="C348" s="139" t="s">
        <v>145</v>
      </c>
      <c r="D348" s="138" t="s">
        <v>1</v>
      </c>
      <c r="E348" s="150">
        <v>1.6111111111111109</v>
      </c>
      <c r="F348" s="138" t="s">
        <v>125</v>
      </c>
      <c r="G348" s="140">
        <v>5</v>
      </c>
      <c r="H348" s="141">
        <v>980</v>
      </c>
    </row>
    <row r="349" spans="1:8" ht="19.8" customHeight="1" x14ac:dyDescent="0.3">
      <c r="A349" s="149">
        <v>45990</v>
      </c>
      <c r="B349" s="138" t="s">
        <v>148</v>
      </c>
      <c r="C349" s="139" t="s">
        <v>176</v>
      </c>
      <c r="D349" s="138" t="s">
        <v>1</v>
      </c>
      <c r="E349" s="150">
        <v>1.145833333333333</v>
      </c>
      <c r="F349" s="138" t="s">
        <v>150</v>
      </c>
      <c r="G349" s="140">
        <v>9</v>
      </c>
      <c r="H349" s="151" t="s">
        <v>154</v>
      </c>
    </row>
    <row r="350" spans="1:8" ht="19.8" customHeight="1" x14ac:dyDescent="0.3">
      <c r="A350" s="149">
        <v>45990</v>
      </c>
      <c r="B350" s="138" t="s">
        <v>35</v>
      </c>
      <c r="C350" s="139" t="s">
        <v>36</v>
      </c>
      <c r="D350" s="138" t="s">
        <v>1</v>
      </c>
      <c r="E350" s="150">
        <v>1.302083333333333</v>
      </c>
      <c r="F350" s="138" t="s">
        <v>43</v>
      </c>
      <c r="G350" s="140">
        <v>5</v>
      </c>
      <c r="H350" s="151" t="s">
        <v>44</v>
      </c>
    </row>
    <row r="351" spans="1:8" ht="19.8" customHeight="1" x14ac:dyDescent="0.3">
      <c r="A351" s="149">
        <v>45990</v>
      </c>
      <c r="B351" s="138" t="s">
        <v>35</v>
      </c>
      <c r="C351" s="139" t="s">
        <v>50</v>
      </c>
      <c r="D351" s="138" t="s">
        <v>1</v>
      </c>
      <c r="E351" s="150">
        <v>1.1284722222222221</v>
      </c>
      <c r="F351" s="138" t="s">
        <v>43</v>
      </c>
      <c r="G351" s="140">
        <v>9</v>
      </c>
      <c r="H351" s="151" t="s">
        <v>44</v>
      </c>
    </row>
    <row r="352" spans="1:8" ht="19.8" customHeight="1" x14ac:dyDescent="0.3">
      <c r="A352" s="149">
        <v>45990</v>
      </c>
      <c r="B352" s="138" t="s">
        <v>35</v>
      </c>
      <c r="C352" s="139" t="s">
        <v>45</v>
      </c>
      <c r="D352" s="138" t="s">
        <v>1</v>
      </c>
      <c r="E352" s="150">
        <v>1.788194444444444</v>
      </c>
      <c r="F352" s="138" t="s">
        <v>43</v>
      </c>
      <c r="G352" s="140">
        <v>4</v>
      </c>
      <c r="H352" s="151" t="s">
        <v>44</v>
      </c>
    </row>
    <row r="353" spans="1:8" ht="19.8" customHeight="1" x14ac:dyDescent="0.3">
      <c r="A353" s="149">
        <v>45990</v>
      </c>
      <c r="B353" s="138" t="s">
        <v>35</v>
      </c>
      <c r="C353" s="139" t="s">
        <v>47</v>
      </c>
      <c r="D353" s="138" t="s">
        <v>1</v>
      </c>
      <c r="E353" s="150">
        <v>1.8888888888888891</v>
      </c>
      <c r="F353" s="138" t="s">
        <v>43</v>
      </c>
      <c r="G353" s="140">
        <v>5</v>
      </c>
      <c r="H353" s="151" t="s">
        <v>44</v>
      </c>
    </row>
    <row r="354" spans="1:8" ht="19.8" customHeight="1" x14ac:dyDescent="0.3">
      <c r="A354" s="149">
        <v>45990</v>
      </c>
      <c r="B354" s="138" t="s">
        <v>121</v>
      </c>
      <c r="C354" s="139" t="s">
        <v>140</v>
      </c>
      <c r="D354" s="138" t="s">
        <v>1</v>
      </c>
      <c r="E354" s="150">
        <v>1.1284722222222221</v>
      </c>
      <c r="F354" s="138" t="s">
        <v>125</v>
      </c>
      <c r="G354" s="140">
        <v>4</v>
      </c>
      <c r="H354" s="151" t="s">
        <v>207</v>
      </c>
    </row>
    <row r="355" spans="1:8" ht="19.8" customHeight="1" x14ac:dyDescent="0.3">
      <c r="A355" s="149">
        <v>45990</v>
      </c>
      <c r="B355" s="138" t="s">
        <v>148</v>
      </c>
      <c r="C355" s="139" t="s">
        <v>155</v>
      </c>
      <c r="D355" s="138" t="s">
        <v>1</v>
      </c>
      <c r="E355" s="150">
        <v>1.28125</v>
      </c>
      <c r="F355" s="138" t="s">
        <v>150</v>
      </c>
      <c r="G355" s="140">
        <v>9</v>
      </c>
      <c r="H355" s="151" t="s">
        <v>237</v>
      </c>
    </row>
    <row r="356" spans="1:8" ht="19.8" customHeight="1" x14ac:dyDescent="0.3">
      <c r="A356" s="149">
        <v>45990</v>
      </c>
      <c r="B356" s="138" t="s">
        <v>121</v>
      </c>
      <c r="C356" s="139" t="s">
        <v>133</v>
      </c>
      <c r="D356" s="138" t="s">
        <v>1</v>
      </c>
      <c r="E356" s="150">
        <v>1.930555555555556</v>
      </c>
      <c r="F356" s="138" t="s">
        <v>123</v>
      </c>
      <c r="G356" s="140">
        <v>8</v>
      </c>
      <c r="H356" s="151" t="s">
        <v>182</v>
      </c>
    </row>
    <row r="357" spans="1:8" ht="19.8" customHeight="1" x14ac:dyDescent="0.3">
      <c r="A357" s="149">
        <v>45990</v>
      </c>
      <c r="B357" s="138" t="s">
        <v>121</v>
      </c>
      <c r="C357" s="139" t="s">
        <v>142</v>
      </c>
      <c r="D357" s="138" t="s">
        <v>1</v>
      </c>
      <c r="E357" s="150">
        <v>1.8298611111111109</v>
      </c>
      <c r="F357" s="138" t="s">
        <v>123</v>
      </c>
      <c r="G357" s="140">
        <v>5</v>
      </c>
      <c r="H357" s="151" t="s">
        <v>182</v>
      </c>
    </row>
    <row r="358" spans="1:8" ht="19.8" customHeight="1" x14ac:dyDescent="0.3">
      <c r="A358" s="149">
        <v>45990</v>
      </c>
      <c r="B358" s="138" t="s">
        <v>121</v>
      </c>
      <c r="C358" s="139" t="s">
        <v>133</v>
      </c>
      <c r="D358" s="138" t="s">
        <v>1</v>
      </c>
      <c r="E358" s="150">
        <v>1.930555555555556</v>
      </c>
      <c r="F358" s="138" t="s">
        <v>125</v>
      </c>
      <c r="G358" s="140">
        <v>8</v>
      </c>
      <c r="H358" s="151" t="s">
        <v>183</v>
      </c>
    </row>
    <row r="359" spans="1:8" ht="19.8" customHeight="1" x14ac:dyDescent="0.3">
      <c r="A359" s="149">
        <v>45990</v>
      </c>
      <c r="B359" s="138" t="s">
        <v>121</v>
      </c>
      <c r="C359" s="139" t="s">
        <v>142</v>
      </c>
      <c r="D359" s="138" t="s">
        <v>1</v>
      </c>
      <c r="E359" s="150">
        <v>1.8298611111111109</v>
      </c>
      <c r="F359" s="138" t="s">
        <v>125</v>
      </c>
      <c r="G359" s="140">
        <v>5</v>
      </c>
      <c r="H359" s="151" t="s">
        <v>183</v>
      </c>
    </row>
    <row r="360" spans="1:8" ht="19.8" customHeight="1" x14ac:dyDescent="0.3">
      <c r="A360" s="149">
        <v>45990</v>
      </c>
      <c r="B360" s="138" t="s">
        <v>121</v>
      </c>
      <c r="C360" s="139" t="s">
        <v>139</v>
      </c>
      <c r="D360" s="138" t="s">
        <v>1</v>
      </c>
      <c r="E360" s="150">
        <v>1.302083333333333</v>
      </c>
      <c r="F360" s="138" t="s">
        <v>125</v>
      </c>
      <c r="G360" s="140">
        <v>4</v>
      </c>
      <c r="H360" s="151" t="s">
        <v>138</v>
      </c>
    </row>
    <row r="361" spans="1:8" ht="19.8" customHeight="1" x14ac:dyDescent="0.3">
      <c r="A361" s="149">
        <v>45990</v>
      </c>
      <c r="B361" s="138" t="s">
        <v>121</v>
      </c>
      <c r="C361" s="139" t="s">
        <v>141</v>
      </c>
      <c r="D361" s="138" t="s">
        <v>1</v>
      </c>
      <c r="E361" s="150">
        <v>1.788194444444444</v>
      </c>
      <c r="F361" s="138" t="s">
        <v>125</v>
      </c>
      <c r="G361" s="140">
        <v>4</v>
      </c>
      <c r="H361" s="151" t="s">
        <v>138</v>
      </c>
    </row>
    <row r="362" spans="1:8" ht="19.8" customHeight="1" x14ac:dyDescent="0.3">
      <c r="A362" s="149">
        <v>45990</v>
      </c>
      <c r="B362" s="138" t="s">
        <v>121</v>
      </c>
      <c r="C362" s="139" t="s">
        <v>137</v>
      </c>
      <c r="D362" s="138" t="s">
        <v>1</v>
      </c>
      <c r="E362" s="150">
        <v>1.8888888888888891</v>
      </c>
      <c r="F362" s="138" t="s">
        <v>125</v>
      </c>
      <c r="G362" s="140">
        <v>4</v>
      </c>
      <c r="H362" s="151" t="s">
        <v>235</v>
      </c>
    </row>
    <row r="363" spans="1:8" ht="19.8" customHeight="1" x14ac:dyDescent="0.3">
      <c r="A363" s="157">
        <v>45990</v>
      </c>
      <c r="B363" s="158" t="s">
        <v>148</v>
      </c>
      <c r="C363" s="159" t="s">
        <v>180</v>
      </c>
      <c r="D363" s="158" t="s">
        <v>1</v>
      </c>
      <c r="E363" s="160">
        <v>1.0138888888888891</v>
      </c>
      <c r="F363" s="158" t="s">
        <v>150</v>
      </c>
      <c r="G363" s="161">
        <v>9</v>
      </c>
      <c r="H363" s="162" t="s">
        <v>238</v>
      </c>
    </row>
    <row r="364" spans="1:8" ht="19.8" customHeight="1" x14ac:dyDescent="0.3">
      <c r="A364" s="149">
        <v>45991</v>
      </c>
      <c r="B364" s="138" t="s">
        <v>116</v>
      </c>
      <c r="C364" s="139" t="s">
        <v>117</v>
      </c>
      <c r="D364" s="138" t="s">
        <v>1</v>
      </c>
      <c r="E364" s="150">
        <v>1.274305555555556</v>
      </c>
      <c r="F364" s="138" t="s">
        <v>28</v>
      </c>
      <c r="G364" s="140">
        <v>9</v>
      </c>
      <c r="H364" s="141">
        <v>400</v>
      </c>
    </row>
    <row r="365" spans="1:8" ht="19.8" customHeight="1" x14ac:dyDescent="0.3">
      <c r="A365" s="147">
        <v>45991</v>
      </c>
      <c r="B365" s="143" t="s">
        <v>55</v>
      </c>
      <c r="C365" s="144" t="s">
        <v>65</v>
      </c>
      <c r="D365" s="143" t="s">
        <v>1</v>
      </c>
      <c r="E365" s="148">
        <v>1.319444444444444</v>
      </c>
      <c r="F365" s="143" t="s">
        <v>57</v>
      </c>
      <c r="G365" s="145">
        <v>9</v>
      </c>
      <c r="H365" s="146">
        <v>401</v>
      </c>
    </row>
    <row r="366" spans="1:8" ht="19.8" customHeight="1" x14ac:dyDescent="0.3">
      <c r="A366" s="149">
        <v>45991</v>
      </c>
      <c r="B366" s="138" t="s">
        <v>26</v>
      </c>
      <c r="C366" s="139" t="s">
        <v>27</v>
      </c>
      <c r="D366" s="138" t="s">
        <v>1</v>
      </c>
      <c r="E366" s="150">
        <v>1.381944444444444</v>
      </c>
      <c r="F366" s="138" t="s">
        <v>28</v>
      </c>
      <c r="G366" s="140">
        <v>7</v>
      </c>
      <c r="H366" s="141">
        <v>401</v>
      </c>
    </row>
    <row r="367" spans="1:8" ht="19.8" customHeight="1" x14ac:dyDescent="0.3">
      <c r="A367" s="149">
        <v>45991</v>
      </c>
      <c r="B367" s="138" t="s">
        <v>83</v>
      </c>
      <c r="C367" s="139" t="s">
        <v>104</v>
      </c>
      <c r="D367" s="138" t="s">
        <v>1</v>
      </c>
      <c r="E367" s="150">
        <v>1.395833333333333</v>
      </c>
      <c r="F367" s="138" t="s">
        <v>85</v>
      </c>
      <c r="G367" s="140">
        <v>4</v>
      </c>
      <c r="H367" s="141">
        <v>409</v>
      </c>
    </row>
    <row r="368" spans="1:8" ht="19.8" customHeight="1" x14ac:dyDescent="0.3">
      <c r="A368" s="149">
        <v>45991</v>
      </c>
      <c r="B368" s="138" t="s">
        <v>83</v>
      </c>
      <c r="C368" s="139" t="s">
        <v>103</v>
      </c>
      <c r="D368" s="138" t="s">
        <v>1</v>
      </c>
      <c r="E368" s="150">
        <v>1.302083333333333</v>
      </c>
      <c r="F368" s="138" t="s">
        <v>85</v>
      </c>
      <c r="G368" s="140">
        <v>4</v>
      </c>
      <c r="H368" s="141">
        <v>409</v>
      </c>
    </row>
    <row r="369" spans="1:8" ht="19.8" customHeight="1" x14ac:dyDescent="0.3">
      <c r="A369" s="149">
        <v>45991</v>
      </c>
      <c r="B369" s="138" t="s">
        <v>110</v>
      </c>
      <c r="C369" s="139" t="s">
        <v>173</v>
      </c>
      <c r="D369" s="138" t="s">
        <v>1</v>
      </c>
      <c r="E369" s="150">
        <v>1.3888888888888891</v>
      </c>
      <c r="F369" s="138" t="s">
        <v>112</v>
      </c>
      <c r="G369" s="140">
        <v>9</v>
      </c>
      <c r="H369" s="141">
        <v>411</v>
      </c>
    </row>
    <row r="370" spans="1:8" ht="19.8" customHeight="1" x14ac:dyDescent="0.3">
      <c r="A370" s="149">
        <v>45991</v>
      </c>
      <c r="B370" s="138" t="s">
        <v>35</v>
      </c>
      <c r="C370" s="139" t="s">
        <v>50</v>
      </c>
      <c r="D370" s="138" t="s">
        <v>1</v>
      </c>
      <c r="E370" s="150">
        <v>1.1284722222222221</v>
      </c>
      <c r="F370" s="138" t="s">
        <v>37</v>
      </c>
      <c r="G370" s="140">
        <v>6</v>
      </c>
      <c r="H370" s="141">
        <v>419</v>
      </c>
    </row>
    <row r="371" spans="1:8" ht="19.8" customHeight="1" x14ac:dyDescent="0.3">
      <c r="A371" s="149">
        <v>45991</v>
      </c>
      <c r="B371" s="138" t="s">
        <v>35</v>
      </c>
      <c r="C371" s="139" t="s">
        <v>45</v>
      </c>
      <c r="D371" s="138" t="s">
        <v>1</v>
      </c>
      <c r="E371" s="150">
        <v>1.788194444444444</v>
      </c>
      <c r="F371" s="138" t="s">
        <v>37</v>
      </c>
      <c r="G371" s="140">
        <v>5</v>
      </c>
      <c r="H371" s="141">
        <v>419</v>
      </c>
    </row>
    <row r="372" spans="1:8" ht="19.8" customHeight="1" x14ac:dyDescent="0.3">
      <c r="A372" s="147">
        <v>45991</v>
      </c>
      <c r="B372" s="143" t="s">
        <v>55</v>
      </c>
      <c r="C372" s="144" t="s">
        <v>56</v>
      </c>
      <c r="D372" s="143" t="s">
        <v>1</v>
      </c>
      <c r="E372" s="148">
        <v>1.083333333333333</v>
      </c>
      <c r="F372" s="143" t="s">
        <v>57</v>
      </c>
      <c r="G372" s="145">
        <v>9</v>
      </c>
      <c r="H372" s="146">
        <v>436</v>
      </c>
    </row>
    <row r="373" spans="1:8" ht="19.8" customHeight="1" x14ac:dyDescent="0.3">
      <c r="A373" s="147">
        <v>45991</v>
      </c>
      <c r="B373" s="143" t="s">
        <v>55</v>
      </c>
      <c r="C373" s="144" t="s">
        <v>189</v>
      </c>
      <c r="D373" s="143" t="s">
        <v>1</v>
      </c>
      <c r="E373" s="148">
        <v>1.333333333333333</v>
      </c>
      <c r="F373" s="143" t="s">
        <v>57</v>
      </c>
      <c r="G373" s="145">
        <v>9</v>
      </c>
      <c r="H373" s="146">
        <v>436</v>
      </c>
    </row>
    <row r="374" spans="1:8" ht="19.8" customHeight="1" x14ac:dyDescent="0.3">
      <c r="A374" s="149">
        <v>45991</v>
      </c>
      <c r="B374" s="138" t="s">
        <v>83</v>
      </c>
      <c r="C374" s="139" t="s">
        <v>94</v>
      </c>
      <c r="D374" s="138" t="s">
        <v>1</v>
      </c>
      <c r="E374" s="150">
        <v>1.256944444444444</v>
      </c>
      <c r="F374" s="138" t="s">
        <v>85</v>
      </c>
      <c r="G374" s="140">
        <v>9</v>
      </c>
      <c r="H374" s="141">
        <v>449</v>
      </c>
    </row>
    <row r="375" spans="1:8" ht="19.8" customHeight="1" x14ac:dyDescent="0.3">
      <c r="A375" s="149">
        <v>45991</v>
      </c>
      <c r="B375" s="138" t="s">
        <v>83</v>
      </c>
      <c r="C375" s="139" t="s">
        <v>100</v>
      </c>
      <c r="D375" s="138" t="s">
        <v>1</v>
      </c>
      <c r="E375" s="150">
        <v>1.645833333333333</v>
      </c>
      <c r="F375" s="138" t="s">
        <v>85</v>
      </c>
      <c r="G375" s="140">
        <v>9</v>
      </c>
      <c r="H375" s="141">
        <v>449</v>
      </c>
    </row>
    <row r="376" spans="1:8" ht="19.8" customHeight="1" x14ac:dyDescent="0.3">
      <c r="A376" s="149">
        <v>45991</v>
      </c>
      <c r="B376" s="138" t="s">
        <v>83</v>
      </c>
      <c r="C376" s="139" t="s">
        <v>101</v>
      </c>
      <c r="D376" s="138" t="s">
        <v>1</v>
      </c>
      <c r="E376" s="150">
        <v>1.5173611111111109</v>
      </c>
      <c r="F376" s="138" t="s">
        <v>85</v>
      </c>
      <c r="G376" s="140">
        <v>9</v>
      </c>
      <c r="H376" s="141">
        <v>449</v>
      </c>
    </row>
    <row r="377" spans="1:8" ht="19.8" customHeight="1" x14ac:dyDescent="0.3">
      <c r="A377" s="149">
        <v>45991</v>
      </c>
      <c r="B377" s="138" t="s">
        <v>83</v>
      </c>
      <c r="C377" s="139" t="s">
        <v>102</v>
      </c>
      <c r="D377" s="138" t="s">
        <v>1</v>
      </c>
      <c r="E377" s="150">
        <v>1.854166666666667</v>
      </c>
      <c r="F377" s="138" t="s">
        <v>85</v>
      </c>
      <c r="G377" s="140">
        <v>9</v>
      </c>
      <c r="H377" s="141">
        <v>449</v>
      </c>
    </row>
    <row r="378" spans="1:8" ht="19.8" customHeight="1" x14ac:dyDescent="0.3">
      <c r="A378" s="149">
        <v>45991</v>
      </c>
      <c r="B378" s="138" t="s">
        <v>83</v>
      </c>
      <c r="C378" s="139" t="s">
        <v>91</v>
      </c>
      <c r="D378" s="138" t="s">
        <v>1</v>
      </c>
      <c r="E378" s="150">
        <v>1.7986111111111109</v>
      </c>
      <c r="F378" s="138" t="s">
        <v>85</v>
      </c>
      <c r="G378" s="140">
        <v>6</v>
      </c>
      <c r="H378" s="141">
        <v>449</v>
      </c>
    </row>
    <row r="379" spans="1:8" ht="19.8" customHeight="1" x14ac:dyDescent="0.3">
      <c r="A379" s="149">
        <v>45991</v>
      </c>
      <c r="B379" s="138" t="s">
        <v>35</v>
      </c>
      <c r="C379" s="139" t="s">
        <v>36</v>
      </c>
      <c r="D379" s="138" t="s">
        <v>1</v>
      </c>
      <c r="E379" s="150">
        <v>1.302083333333333</v>
      </c>
      <c r="F379" s="138" t="s">
        <v>37</v>
      </c>
      <c r="G379" s="140">
        <v>7</v>
      </c>
      <c r="H379" s="141">
        <v>459</v>
      </c>
    </row>
    <row r="380" spans="1:8" ht="19.8" customHeight="1" x14ac:dyDescent="0.3">
      <c r="A380" s="149">
        <v>45991</v>
      </c>
      <c r="B380" s="138" t="s">
        <v>35</v>
      </c>
      <c r="C380" s="139" t="s">
        <v>47</v>
      </c>
      <c r="D380" s="138" t="s">
        <v>1</v>
      </c>
      <c r="E380" s="150">
        <v>1.8888888888888891</v>
      </c>
      <c r="F380" s="138" t="s">
        <v>37</v>
      </c>
      <c r="G380" s="140">
        <v>5</v>
      </c>
      <c r="H380" s="141">
        <v>459</v>
      </c>
    </row>
    <row r="381" spans="1:8" ht="19.8" customHeight="1" x14ac:dyDescent="0.3">
      <c r="A381" s="149">
        <v>45991</v>
      </c>
      <c r="B381" s="138" t="s">
        <v>83</v>
      </c>
      <c r="C381" s="139" t="s">
        <v>84</v>
      </c>
      <c r="D381" s="138" t="s">
        <v>1</v>
      </c>
      <c r="E381" s="150">
        <v>1.9027777777777779</v>
      </c>
      <c r="F381" s="138" t="s">
        <v>85</v>
      </c>
      <c r="G381" s="140">
        <v>9</v>
      </c>
      <c r="H381" s="141">
        <v>489</v>
      </c>
    </row>
    <row r="382" spans="1:8" ht="19.8" customHeight="1" x14ac:dyDescent="0.3">
      <c r="A382" s="149">
        <v>45991</v>
      </c>
      <c r="B382" s="138" t="s">
        <v>83</v>
      </c>
      <c r="C382" s="139" t="s">
        <v>104</v>
      </c>
      <c r="D382" s="138" t="s">
        <v>1</v>
      </c>
      <c r="E382" s="150">
        <v>1.395833333333333</v>
      </c>
      <c r="F382" s="138" t="s">
        <v>87</v>
      </c>
      <c r="G382" s="140">
        <v>4</v>
      </c>
      <c r="H382" s="141">
        <v>509</v>
      </c>
    </row>
    <row r="383" spans="1:8" ht="19.8" customHeight="1" x14ac:dyDescent="0.3">
      <c r="A383" s="149">
        <v>45991</v>
      </c>
      <c r="B383" s="138" t="s">
        <v>83</v>
      </c>
      <c r="C383" s="139" t="s">
        <v>103</v>
      </c>
      <c r="D383" s="138" t="s">
        <v>1</v>
      </c>
      <c r="E383" s="150">
        <v>1.302083333333333</v>
      </c>
      <c r="F383" s="138" t="s">
        <v>87</v>
      </c>
      <c r="G383" s="140">
        <v>4</v>
      </c>
      <c r="H383" s="141">
        <v>509</v>
      </c>
    </row>
    <row r="384" spans="1:8" ht="19.8" customHeight="1" x14ac:dyDescent="0.3">
      <c r="A384" s="147">
        <v>45991</v>
      </c>
      <c r="B384" s="143" t="s">
        <v>55</v>
      </c>
      <c r="C384" s="144" t="s">
        <v>73</v>
      </c>
      <c r="D384" s="143" t="s">
        <v>1</v>
      </c>
      <c r="E384" s="148">
        <v>1.510416666666667</v>
      </c>
      <c r="F384" s="143" t="s">
        <v>57</v>
      </c>
      <c r="G384" s="145">
        <v>1</v>
      </c>
      <c r="H384" s="146">
        <v>526</v>
      </c>
    </row>
    <row r="385" spans="1:8" ht="19.8" customHeight="1" x14ac:dyDescent="0.3">
      <c r="A385" s="149">
        <v>45991</v>
      </c>
      <c r="B385" s="138" t="s">
        <v>110</v>
      </c>
      <c r="C385" s="139" t="s">
        <v>173</v>
      </c>
      <c r="D385" s="138" t="s">
        <v>1</v>
      </c>
      <c r="E385" s="150">
        <v>1.3888888888888891</v>
      </c>
      <c r="F385" s="138" t="s">
        <v>43</v>
      </c>
      <c r="G385" s="140">
        <v>9</v>
      </c>
      <c r="H385" s="141">
        <v>535</v>
      </c>
    </row>
    <row r="386" spans="1:8" ht="19.8" customHeight="1" x14ac:dyDescent="0.3">
      <c r="A386" s="149">
        <v>45991</v>
      </c>
      <c r="B386" s="138" t="s">
        <v>83</v>
      </c>
      <c r="C386" s="139" t="s">
        <v>94</v>
      </c>
      <c r="D386" s="138" t="s">
        <v>1</v>
      </c>
      <c r="E386" s="150">
        <v>1.256944444444444</v>
      </c>
      <c r="F386" s="138" t="s">
        <v>87</v>
      </c>
      <c r="G386" s="140">
        <v>9</v>
      </c>
      <c r="H386" s="141">
        <v>549</v>
      </c>
    </row>
    <row r="387" spans="1:8" ht="19.8" customHeight="1" x14ac:dyDescent="0.3">
      <c r="A387" s="149">
        <v>45991</v>
      </c>
      <c r="B387" s="138" t="s">
        <v>83</v>
      </c>
      <c r="C387" s="139" t="s">
        <v>100</v>
      </c>
      <c r="D387" s="138" t="s">
        <v>1</v>
      </c>
      <c r="E387" s="150">
        <v>1.645833333333333</v>
      </c>
      <c r="F387" s="138" t="s">
        <v>87</v>
      </c>
      <c r="G387" s="140">
        <v>9</v>
      </c>
      <c r="H387" s="141">
        <v>549</v>
      </c>
    </row>
    <row r="388" spans="1:8" ht="19.8" customHeight="1" x14ac:dyDescent="0.3">
      <c r="A388" s="149">
        <v>45991</v>
      </c>
      <c r="B388" s="138" t="s">
        <v>83</v>
      </c>
      <c r="C388" s="139" t="s">
        <v>101</v>
      </c>
      <c r="D388" s="138" t="s">
        <v>1</v>
      </c>
      <c r="E388" s="150">
        <v>1.5173611111111109</v>
      </c>
      <c r="F388" s="138" t="s">
        <v>87</v>
      </c>
      <c r="G388" s="140">
        <v>9</v>
      </c>
      <c r="H388" s="141">
        <v>549</v>
      </c>
    </row>
    <row r="389" spans="1:8" ht="19.8" customHeight="1" x14ac:dyDescent="0.3">
      <c r="A389" s="149">
        <v>45991</v>
      </c>
      <c r="B389" s="138" t="s">
        <v>83</v>
      </c>
      <c r="C389" s="139" t="s">
        <v>102</v>
      </c>
      <c r="D389" s="138" t="s">
        <v>1</v>
      </c>
      <c r="E389" s="150">
        <v>1.854166666666667</v>
      </c>
      <c r="F389" s="138" t="s">
        <v>87</v>
      </c>
      <c r="G389" s="140">
        <v>9</v>
      </c>
      <c r="H389" s="141">
        <v>549</v>
      </c>
    </row>
    <row r="390" spans="1:8" ht="19.8" customHeight="1" x14ac:dyDescent="0.3">
      <c r="A390" s="149">
        <v>45991</v>
      </c>
      <c r="B390" s="138" t="s">
        <v>83</v>
      </c>
      <c r="C390" s="139" t="s">
        <v>91</v>
      </c>
      <c r="D390" s="138" t="s">
        <v>1</v>
      </c>
      <c r="E390" s="150">
        <v>1.7986111111111109</v>
      </c>
      <c r="F390" s="138" t="s">
        <v>87</v>
      </c>
      <c r="G390" s="140">
        <v>6</v>
      </c>
      <c r="H390" s="141">
        <v>549</v>
      </c>
    </row>
    <row r="391" spans="1:8" ht="19.8" customHeight="1" x14ac:dyDescent="0.3">
      <c r="A391" s="149">
        <v>45991</v>
      </c>
      <c r="B391" s="138" t="s">
        <v>35</v>
      </c>
      <c r="C391" s="139" t="s">
        <v>50</v>
      </c>
      <c r="D391" s="138" t="s">
        <v>1</v>
      </c>
      <c r="E391" s="150">
        <v>1.1284722222222221</v>
      </c>
      <c r="F391" s="138" t="s">
        <v>40</v>
      </c>
      <c r="G391" s="140">
        <v>6</v>
      </c>
      <c r="H391" s="141">
        <v>569</v>
      </c>
    </row>
    <row r="392" spans="1:8" ht="19.8" customHeight="1" x14ac:dyDescent="0.3">
      <c r="A392" s="149">
        <v>45991</v>
      </c>
      <c r="B392" s="138" t="s">
        <v>35</v>
      </c>
      <c r="C392" s="139" t="s">
        <v>45</v>
      </c>
      <c r="D392" s="138" t="s">
        <v>1</v>
      </c>
      <c r="E392" s="150">
        <v>1.788194444444444</v>
      </c>
      <c r="F392" s="138" t="s">
        <v>40</v>
      </c>
      <c r="G392" s="140">
        <v>5</v>
      </c>
      <c r="H392" s="141">
        <v>569</v>
      </c>
    </row>
    <row r="393" spans="1:8" ht="19.8" customHeight="1" x14ac:dyDescent="0.3">
      <c r="A393" s="149">
        <v>45991</v>
      </c>
      <c r="B393" s="138" t="s">
        <v>83</v>
      </c>
      <c r="C393" s="139" t="s">
        <v>84</v>
      </c>
      <c r="D393" s="138" t="s">
        <v>1</v>
      </c>
      <c r="E393" s="150">
        <v>1.9027777777777779</v>
      </c>
      <c r="F393" s="138" t="s">
        <v>87</v>
      </c>
      <c r="G393" s="140">
        <v>9</v>
      </c>
      <c r="H393" s="141">
        <v>589</v>
      </c>
    </row>
    <row r="394" spans="1:8" ht="19.8" customHeight="1" x14ac:dyDescent="0.3">
      <c r="A394" s="149">
        <v>45991</v>
      </c>
      <c r="B394" s="138" t="s">
        <v>26</v>
      </c>
      <c r="C394" s="139" t="s">
        <v>33</v>
      </c>
      <c r="D394" s="138" t="s">
        <v>1</v>
      </c>
      <c r="E394" s="150">
        <v>1.666666666666667</v>
      </c>
      <c r="F394" s="138" t="s">
        <v>28</v>
      </c>
      <c r="G394" s="140">
        <v>8</v>
      </c>
      <c r="H394" s="141">
        <v>599</v>
      </c>
    </row>
    <row r="395" spans="1:8" ht="19.8" customHeight="1" x14ac:dyDescent="0.3">
      <c r="A395" s="149">
        <v>45991</v>
      </c>
      <c r="B395" s="138" t="s">
        <v>83</v>
      </c>
      <c r="C395" s="139" t="s">
        <v>104</v>
      </c>
      <c r="D395" s="138" t="s">
        <v>1</v>
      </c>
      <c r="E395" s="150">
        <v>1.395833333333333</v>
      </c>
      <c r="F395" s="138" t="s">
        <v>89</v>
      </c>
      <c r="G395" s="140">
        <v>4</v>
      </c>
      <c r="H395" s="141">
        <v>599</v>
      </c>
    </row>
    <row r="396" spans="1:8" ht="19.8" customHeight="1" x14ac:dyDescent="0.3">
      <c r="A396" s="149">
        <v>45991</v>
      </c>
      <c r="B396" s="138" t="s">
        <v>83</v>
      </c>
      <c r="C396" s="139" t="s">
        <v>103</v>
      </c>
      <c r="D396" s="138" t="s">
        <v>1</v>
      </c>
      <c r="E396" s="150">
        <v>1.302083333333333</v>
      </c>
      <c r="F396" s="138" t="s">
        <v>89</v>
      </c>
      <c r="G396" s="140">
        <v>4</v>
      </c>
      <c r="H396" s="141">
        <v>599</v>
      </c>
    </row>
    <row r="397" spans="1:8" ht="19.8" customHeight="1" x14ac:dyDescent="0.3">
      <c r="A397" s="149">
        <v>45991</v>
      </c>
      <c r="B397" s="138" t="s">
        <v>35</v>
      </c>
      <c r="C397" s="139" t="s">
        <v>36</v>
      </c>
      <c r="D397" s="138" t="s">
        <v>1</v>
      </c>
      <c r="E397" s="150">
        <v>1.302083333333333</v>
      </c>
      <c r="F397" s="138" t="s">
        <v>40</v>
      </c>
      <c r="G397" s="140">
        <v>7</v>
      </c>
      <c r="H397" s="141">
        <v>609</v>
      </c>
    </row>
    <row r="398" spans="1:8" ht="19.8" customHeight="1" x14ac:dyDescent="0.3">
      <c r="A398" s="149">
        <v>45991</v>
      </c>
      <c r="B398" s="138" t="s">
        <v>35</v>
      </c>
      <c r="C398" s="139" t="s">
        <v>47</v>
      </c>
      <c r="D398" s="138" t="s">
        <v>1</v>
      </c>
      <c r="E398" s="150">
        <v>1.8888888888888891</v>
      </c>
      <c r="F398" s="138" t="s">
        <v>40</v>
      </c>
      <c r="G398" s="140">
        <v>5</v>
      </c>
      <c r="H398" s="141">
        <v>609</v>
      </c>
    </row>
    <row r="399" spans="1:8" ht="19.8" customHeight="1" x14ac:dyDescent="0.3">
      <c r="A399" s="149">
        <v>45991</v>
      </c>
      <c r="B399" s="138" t="s">
        <v>83</v>
      </c>
      <c r="C399" s="139" t="s">
        <v>94</v>
      </c>
      <c r="D399" s="138" t="s">
        <v>1</v>
      </c>
      <c r="E399" s="150">
        <v>1.256944444444444</v>
      </c>
      <c r="F399" s="138" t="s">
        <v>89</v>
      </c>
      <c r="G399" s="140">
        <v>9</v>
      </c>
      <c r="H399" s="141">
        <v>639</v>
      </c>
    </row>
    <row r="400" spans="1:8" ht="19.8" customHeight="1" x14ac:dyDescent="0.3">
      <c r="A400" s="149">
        <v>45991</v>
      </c>
      <c r="B400" s="138" t="s">
        <v>83</v>
      </c>
      <c r="C400" s="139" t="s">
        <v>100</v>
      </c>
      <c r="D400" s="138" t="s">
        <v>1</v>
      </c>
      <c r="E400" s="150">
        <v>1.645833333333333</v>
      </c>
      <c r="F400" s="138" t="s">
        <v>89</v>
      </c>
      <c r="G400" s="140">
        <v>9</v>
      </c>
      <c r="H400" s="141">
        <v>639</v>
      </c>
    </row>
    <row r="401" spans="1:8" ht="19.8" customHeight="1" x14ac:dyDescent="0.3">
      <c r="A401" s="149">
        <v>45991</v>
      </c>
      <c r="B401" s="138" t="s">
        <v>83</v>
      </c>
      <c r="C401" s="139" t="s">
        <v>101</v>
      </c>
      <c r="D401" s="138" t="s">
        <v>1</v>
      </c>
      <c r="E401" s="150">
        <v>1.5173611111111109</v>
      </c>
      <c r="F401" s="138" t="s">
        <v>89</v>
      </c>
      <c r="G401" s="140">
        <v>9</v>
      </c>
      <c r="H401" s="141">
        <v>639</v>
      </c>
    </row>
    <row r="402" spans="1:8" ht="19.8" customHeight="1" x14ac:dyDescent="0.3">
      <c r="A402" s="149">
        <v>45991</v>
      </c>
      <c r="B402" s="138" t="s">
        <v>83</v>
      </c>
      <c r="C402" s="139" t="s">
        <v>102</v>
      </c>
      <c r="D402" s="138" t="s">
        <v>1</v>
      </c>
      <c r="E402" s="150">
        <v>1.854166666666667</v>
      </c>
      <c r="F402" s="138" t="s">
        <v>89</v>
      </c>
      <c r="G402" s="140">
        <v>9</v>
      </c>
      <c r="H402" s="141">
        <v>639</v>
      </c>
    </row>
    <row r="403" spans="1:8" ht="19.8" customHeight="1" x14ac:dyDescent="0.3">
      <c r="A403" s="149">
        <v>45991</v>
      </c>
      <c r="B403" s="138" t="s">
        <v>83</v>
      </c>
      <c r="C403" s="139" t="s">
        <v>91</v>
      </c>
      <c r="D403" s="138" t="s">
        <v>1</v>
      </c>
      <c r="E403" s="150">
        <v>1.7986111111111109</v>
      </c>
      <c r="F403" s="138" t="s">
        <v>89</v>
      </c>
      <c r="G403" s="140">
        <v>6</v>
      </c>
      <c r="H403" s="141">
        <v>639</v>
      </c>
    </row>
    <row r="404" spans="1:8" ht="19.8" customHeight="1" x14ac:dyDescent="0.3">
      <c r="A404" s="149">
        <v>45991</v>
      </c>
      <c r="B404" s="138" t="s">
        <v>121</v>
      </c>
      <c r="C404" s="139" t="s">
        <v>122</v>
      </c>
      <c r="D404" s="138" t="s">
        <v>1</v>
      </c>
      <c r="E404" s="150">
        <v>1.239583333333333</v>
      </c>
      <c r="F404" s="138" t="s">
        <v>123</v>
      </c>
      <c r="G404" s="140">
        <v>9</v>
      </c>
      <c r="H404" s="141">
        <v>678</v>
      </c>
    </row>
    <row r="405" spans="1:8" ht="19.8" customHeight="1" x14ac:dyDescent="0.3">
      <c r="A405" s="149">
        <v>45991</v>
      </c>
      <c r="B405" s="138" t="s">
        <v>83</v>
      </c>
      <c r="C405" s="139" t="s">
        <v>84</v>
      </c>
      <c r="D405" s="138" t="s">
        <v>1</v>
      </c>
      <c r="E405" s="150">
        <v>1.9027777777777779</v>
      </c>
      <c r="F405" s="138" t="s">
        <v>89</v>
      </c>
      <c r="G405" s="140">
        <v>9</v>
      </c>
      <c r="H405" s="141">
        <v>679</v>
      </c>
    </row>
    <row r="406" spans="1:8" ht="19.8" customHeight="1" x14ac:dyDescent="0.3">
      <c r="A406" s="149">
        <v>45991</v>
      </c>
      <c r="B406" s="138" t="s">
        <v>121</v>
      </c>
      <c r="C406" s="139" t="s">
        <v>122</v>
      </c>
      <c r="D406" s="138" t="s">
        <v>1</v>
      </c>
      <c r="E406" s="150">
        <v>1.239583333333333</v>
      </c>
      <c r="F406" s="138" t="s">
        <v>125</v>
      </c>
      <c r="G406" s="140">
        <v>9</v>
      </c>
      <c r="H406" s="141">
        <v>723</v>
      </c>
    </row>
    <row r="407" spans="1:8" ht="19.8" customHeight="1" x14ac:dyDescent="0.3">
      <c r="A407" s="149">
        <v>45991</v>
      </c>
      <c r="B407" s="138" t="s">
        <v>116</v>
      </c>
      <c r="C407" s="139" t="s">
        <v>239</v>
      </c>
      <c r="D407" s="138" t="s">
        <v>1</v>
      </c>
      <c r="E407" s="150">
        <v>1.3472222222222221</v>
      </c>
      <c r="F407" s="138" t="s">
        <v>28</v>
      </c>
      <c r="G407" s="140">
        <v>1</v>
      </c>
      <c r="H407" s="141">
        <v>745</v>
      </c>
    </row>
    <row r="408" spans="1:8" ht="19.8" customHeight="1" x14ac:dyDescent="0.3">
      <c r="A408" s="149">
        <v>45991</v>
      </c>
      <c r="B408" s="138" t="s">
        <v>121</v>
      </c>
      <c r="C408" s="139" t="s">
        <v>128</v>
      </c>
      <c r="D408" s="138" t="s">
        <v>1</v>
      </c>
      <c r="E408" s="150">
        <v>1.3784722222222221</v>
      </c>
      <c r="F408" s="138" t="s">
        <v>123</v>
      </c>
      <c r="G408" s="140">
        <v>9</v>
      </c>
      <c r="H408" s="141">
        <v>935</v>
      </c>
    </row>
    <row r="409" spans="1:8" ht="19.8" customHeight="1" x14ac:dyDescent="0.3">
      <c r="A409" s="149">
        <v>45991</v>
      </c>
      <c r="B409" s="138" t="s">
        <v>121</v>
      </c>
      <c r="C409" s="139" t="s">
        <v>134</v>
      </c>
      <c r="D409" s="138" t="s">
        <v>1</v>
      </c>
      <c r="E409" s="150">
        <v>1.71875</v>
      </c>
      <c r="F409" s="138" t="s">
        <v>123</v>
      </c>
      <c r="G409" s="140">
        <v>9</v>
      </c>
      <c r="H409" s="141">
        <v>935</v>
      </c>
    </row>
    <row r="410" spans="1:8" ht="19.8" customHeight="1" x14ac:dyDescent="0.3">
      <c r="A410" s="149">
        <v>45991</v>
      </c>
      <c r="B410" s="138" t="s">
        <v>121</v>
      </c>
      <c r="C410" s="139" t="s">
        <v>145</v>
      </c>
      <c r="D410" s="138" t="s">
        <v>1</v>
      </c>
      <c r="E410" s="150">
        <v>1.6111111111111109</v>
      </c>
      <c r="F410" s="138" t="s">
        <v>123</v>
      </c>
      <c r="G410" s="140">
        <v>9</v>
      </c>
      <c r="H410" s="141">
        <v>935</v>
      </c>
    </row>
    <row r="411" spans="1:8" ht="19.8" customHeight="1" x14ac:dyDescent="0.3">
      <c r="A411" s="149">
        <v>45991</v>
      </c>
      <c r="B411" s="138" t="s">
        <v>148</v>
      </c>
      <c r="C411" s="139" t="s">
        <v>176</v>
      </c>
      <c r="D411" s="138" t="s">
        <v>1</v>
      </c>
      <c r="E411" s="150">
        <v>1.145833333333333</v>
      </c>
      <c r="F411" s="138" t="s">
        <v>150</v>
      </c>
      <c r="G411" s="140">
        <v>9</v>
      </c>
      <c r="H411" s="141">
        <v>970</v>
      </c>
    </row>
    <row r="412" spans="1:8" ht="19.8" customHeight="1" x14ac:dyDescent="0.3">
      <c r="A412" s="149">
        <v>45991</v>
      </c>
      <c r="B412" s="138" t="s">
        <v>121</v>
      </c>
      <c r="C412" s="139" t="s">
        <v>128</v>
      </c>
      <c r="D412" s="138" t="s">
        <v>1</v>
      </c>
      <c r="E412" s="150">
        <v>1.3784722222222221</v>
      </c>
      <c r="F412" s="138" t="s">
        <v>125</v>
      </c>
      <c r="G412" s="140">
        <v>9</v>
      </c>
      <c r="H412" s="141">
        <v>980</v>
      </c>
    </row>
    <row r="413" spans="1:8" ht="19.8" customHeight="1" x14ac:dyDescent="0.3">
      <c r="A413" s="149">
        <v>45991</v>
      </c>
      <c r="B413" s="138" t="s">
        <v>121</v>
      </c>
      <c r="C413" s="139" t="s">
        <v>134</v>
      </c>
      <c r="D413" s="138" t="s">
        <v>1</v>
      </c>
      <c r="E413" s="150">
        <v>1.71875</v>
      </c>
      <c r="F413" s="138" t="s">
        <v>125</v>
      </c>
      <c r="G413" s="140">
        <v>9</v>
      </c>
      <c r="H413" s="141">
        <v>980</v>
      </c>
    </row>
    <row r="414" spans="1:8" ht="19.8" customHeight="1" x14ac:dyDescent="0.3">
      <c r="A414" s="149">
        <v>45991</v>
      </c>
      <c r="B414" s="138" t="s">
        <v>121</v>
      </c>
      <c r="C414" s="139" t="s">
        <v>145</v>
      </c>
      <c r="D414" s="138" t="s">
        <v>1</v>
      </c>
      <c r="E414" s="150">
        <v>1.6111111111111109</v>
      </c>
      <c r="F414" s="138" t="s">
        <v>125</v>
      </c>
      <c r="G414" s="140">
        <v>9</v>
      </c>
      <c r="H414" s="141">
        <v>980</v>
      </c>
    </row>
    <row r="415" spans="1:8" ht="19.8" customHeight="1" x14ac:dyDescent="0.3">
      <c r="A415" s="149">
        <v>45991</v>
      </c>
      <c r="B415" s="138" t="s">
        <v>35</v>
      </c>
      <c r="C415" s="139" t="s">
        <v>36</v>
      </c>
      <c r="D415" s="138" t="s">
        <v>1</v>
      </c>
      <c r="E415" s="150">
        <v>1.302083333333333</v>
      </c>
      <c r="F415" s="138" t="s">
        <v>43</v>
      </c>
      <c r="G415" s="140">
        <v>7</v>
      </c>
      <c r="H415" s="151" t="s">
        <v>44</v>
      </c>
    </row>
    <row r="416" spans="1:8" ht="19.8" customHeight="1" x14ac:dyDescent="0.3">
      <c r="A416" s="149">
        <v>45991</v>
      </c>
      <c r="B416" s="138" t="s">
        <v>35</v>
      </c>
      <c r="C416" s="139" t="s">
        <v>50</v>
      </c>
      <c r="D416" s="138" t="s">
        <v>1</v>
      </c>
      <c r="E416" s="150">
        <v>1.1284722222222221</v>
      </c>
      <c r="F416" s="138" t="s">
        <v>43</v>
      </c>
      <c r="G416" s="140">
        <v>6</v>
      </c>
      <c r="H416" s="151" t="s">
        <v>44</v>
      </c>
    </row>
    <row r="417" spans="1:8" ht="19.8" customHeight="1" x14ac:dyDescent="0.3">
      <c r="A417" s="149">
        <v>45991</v>
      </c>
      <c r="B417" s="138" t="s">
        <v>35</v>
      </c>
      <c r="C417" s="139" t="s">
        <v>45</v>
      </c>
      <c r="D417" s="138" t="s">
        <v>1</v>
      </c>
      <c r="E417" s="150">
        <v>1.788194444444444</v>
      </c>
      <c r="F417" s="138" t="s">
        <v>43</v>
      </c>
      <c r="G417" s="140">
        <v>5</v>
      </c>
      <c r="H417" s="151" t="s">
        <v>44</v>
      </c>
    </row>
    <row r="418" spans="1:8" ht="19.8" customHeight="1" x14ac:dyDescent="0.3">
      <c r="A418" s="149">
        <v>45991</v>
      </c>
      <c r="B418" s="138" t="s">
        <v>35</v>
      </c>
      <c r="C418" s="139" t="s">
        <v>47</v>
      </c>
      <c r="D418" s="138" t="s">
        <v>1</v>
      </c>
      <c r="E418" s="150">
        <v>1.8888888888888891</v>
      </c>
      <c r="F418" s="138" t="s">
        <v>43</v>
      </c>
      <c r="G418" s="140">
        <v>5</v>
      </c>
      <c r="H418" s="151" t="s">
        <v>44</v>
      </c>
    </row>
    <row r="419" spans="1:8" ht="19.8" customHeight="1" x14ac:dyDescent="0.3">
      <c r="A419" s="149">
        <v>45991</v>
      </c>
      <c r="B419" s="138" t="s">
        <v>121</v>
      </c>
      <c r="C419" s="139" t="s">
        <v>131</v>
      </c>
      <c r="D419" s="138" t="s">
        <v>1</v>
      </c>
      <c r="E419" s="150">
        <v>1.006944444444444</v>
      </c>
      <c r="F419" s="138" t="s">
        <v>123</v>
      </c>
      <c r="G419" s="140">
        <v>9</v>
      </c>
      <c r="H419" s="151" t="s">
        <v>182</v>
      </c>
    </row>
    <row r="420" spans="1:8" ht="19.8" customHeight="1" x14ac:dyDescent="0.3">
      <c r="A420" s="149">
        <v>45991</v>
      </c>
      <c r="B420" s="138" t="s">
        <v>121</v>
      </c>
      <c r="C420" s="139" t="s">
        <v>132</v>
      </c>
      <c r="D420" s="138" t="s">
        <v>1</v>
      </c>
      <c r="E420" s="150">
        <v>1.1423611111111109</v>
      </c>
      <c r="F420" s="138" t="s">
        <v>123</v>
      </c>
      <c r="G420" s="140">
        <v>9</v>
      </c>
      <c r="H420" s="151" t="s">
        <v>182</v>
      </c>
    </row>
    <row r="421" spans="1:8" ht="19.8" customHeight="1" x14ac:dyDescent="0.3">
      <c r="A421" s="149">
        <v>45991</v>
      </c>
      <c r="B421" s="138" t="s">
        <v>121</v>
      </c>
      <c r="C421" s="139" t="s">
        <v>133</v>
      </c>
      <c r="D421" s="138" t="s">
        <v>1</v>
      </c>
      <c r="E421" s="150">
        <v>1.930555555555556</v>
      </c>
      <c r="F421" s="138" t="s">
        <v>123</v>
      </c>
      <c r="G421" s="140">
        <v>9</v>
      </c>
      <c r="H421" s="151" t="s">
        <v>182</v>
      </c>
    </row>
    <row r="422" spans="1:8" ht="19.8" customHeight="1" x14ac:dyDescent="0.3">
      <c r="A422" s="149">
        <v>45991</v>
      </c>
      <c r="B422" s="138" t="s">
        <v>121</v>
      </c>
      <c r="C422" s="139" t="s">
        <v>131</v>
      </c>
      <c r="D422" s="138" t="s">
        <v>1</v>
      </c>
      <c r="E422" s="150">
        <v>1.006944444444444</v>
      </c>
      <c r="F422" s="138" t="s">
        <v>125</v>
      </c>
      <c r="G422" s="140">
        <v>9</v>
      </c>
      <c r="H422" s="151" t="s">
        <v>183</v>
      </c>
    </row>
    <row r="423" spans="1:8" ht="19.8" customHeight="1" x14ac:dyDescent="0.3">
      <c r="A423" s="149">
        <v>45991</v>
      </c>
      <c r="B423" s="138" t="s">
        <v>121</v>
      </c>
      <c r="C423" s="139" t="s">
        <v>132</v>
      </c>
      <c r="D423" s="138" t="s">
        <v>1</v>
      </c>
      <c r="E423" s="150">
        <v>1.1423611111111109</v>
      </c>
      <c r="F423" s="138" t="s">
        <v>125</v>
      </c>
      <c r="G423" s="140">
        <v>9</v>
      </c>
      <c r="H423" s="151" t="s">
        <v>183</v>
      </c>
    </row>
    <row r="424" spans="1:8" ht="19.8" customHeight="1" x14ac:dyDescent="0.3">
      <c r="A424" s="149">
        <v>45991</v>
      </c>
      <c r="B424" s="138" t="s">
        <v>121</v>
      </c>
      <c r="C424" s="139" t="s">
        <v>133</v>
      </c>
      <c r="D424" s="138" t="s">
        <v>1</v>
      </c>
      <c r="E424" s="150">
        <v>1.930555555555556</v>
      </c>
      <c r="F424" s="138" t="s">
        <v>125</v>
      </c>
      <c r="G424" s="140">
        <v>9</v>
      </c>
      <c r="H424" s="151" t="s">
        <v>183</v>
      </c>
    </row>
    <row r="425" spans="1:8" ht="19.8" customHeight="1" x14ac:dyDescent="0.3">
      <c r="A425" s="149">
        <v>45991</v>
      </c>
      <c r="B425" s="138" t="s">
        <v>121</v>
      </c>
      <c r="C425" s="139" t="s">
        <v>137</v>
      </c>
      <c r="D425" s="138" t="s">
        <v>1</v>
      </c>
      <c r="E425" s="150">
        <v>1.8888888888888891</v>
      </c>
      <c r="F425" s="138" t="s">
        <v>125</v>
      </c>
      <c r="G425" s="140">
        <v>4</v>
      </c>
      <c r="H425" s="151" t="s">
        <v>138</v>
      </c>
    </row>
    <row r="426" spans="1:8" ht="19.8" customHeight="1" x14ac:dyDescent="0.3">
      <c r="A426" s="149">
        <v>45991</v>
      </c>
      <c r="B426" s="138" t="s">
        <v>121</v>
      </c>
      <c r="C426" s="139" t="s">
        <v>139</v>
      </c>
      <c r="D426" s="138" t="s">
        <v>1</v>
      </c>
      <c r="E426" s="150">
        <v>1.302083333333333</v>
      </c>
      <c r="F426" s="138" t="s">
        <v>125</v>
      </c>
      <c r="G426" s="140">
        <v>4</v>
      </c>
      <c r="H426" s="151" t="s">
        <v>138</v>
      </c>
    </row>
    <row r="427" spans="1:8" ht="19.8" customHeight="1" x14ac:dyDescent="0.3">
      <c r="A427" s="149">
        <v>45991</v>
      </c>
      <c r="B427" s="138" t="s">
        <v>121</v>
      </c>
      <c r="C427" s="139" t="s">
        <v>140</v>
      </c>
      <c r="D427" s="138" t="s">
        <v>1</v>
      </c>
      <c r="E427" s="150">
        <v>1.1284722222222221</v>
      </c>
      <c r="F427" s="138" t="s">
        <v>125</v>
      </c>
      <c r="G427" s="140">
        <v>4</v>
      </c>
      <c r="H427" s="151" t="s">
        <v>138</v>
      </c>
    </row>
    <row r="428" spans="1:8" ht="19.8" customHeight="1" x14ac:dyDescent="0.3">
      <c r="A428" s="149">
        <v>45991</v>
      </c>
      <c r="B428" s="138" t="s">
        <v>121</v>
      </c>
      <c r="C428" s="139" t="s">
        <v>141</v>
      </c>
      <c r="D428" s="138" t="s">
        <v>1</v>
      </c>
      <c r="E428" s="150">
        <v>1.788194444444444</v>
      </c>
      <c r="F428" s="138" t="s">
        <v>125</v>
      </c>
      <c r="G428" s="140">
        <v>4</v>
      </c>
      <c r="H428" s="151" t="s">
        <v>138</v>
      </c>
    </row>
    <row r="429" spans="1:8" ht="19.8" customHeight="1" x14ac:dyDescent="0.3">
      <c r="A429" s="149">
        <v>45991</v>
      </c>
      <c r="B429" s="138" t="s">
        <v>148</v>
      </c>
      <c r="C429" s="139" t="s">
        <v>149</v>
      </c>
      <c r="D429" s="138" t="s">
        <v>1</v>
      </c>
      <c r="E429" s="150">
        <v>1.4861111111111109</v>
      </c>
      <c r="F429" s="138" t="s">
        <v>150</v>
      </c>
      <c r="G429" s="140">
        <v>9</v>
      </c>
      <c r="H429" s="151" t="s">
        <v>156</v>
      </c>
    </row>
    <row r="430" spans="1:8" ht="19.8" customHeight="1" x14ac:dyDescent="0.3">
      <c r="A430" s="149">
        <v>45991</v>
      </c>
      <c r="B430" s="138" t="s">
        <v>148</v>
      </c>
      <c r="C430" s="139" t="s">
        <v>153</v>
      </c>
      <c r="D430" s="138" t="s">
        <v>1</v>
      </c>
      <c r="E430" s="150">
        <v>1.2222222222222221</v>
      </c>
      <c r="F430" s="138" t="s">
        <v>150</v>
      </c>
      <c r="G430" s="140">
        <v>9</v>
      </c>
      <c r="H430" s="151" t="s">
        <v>255</v>
      </c>
    </row>
    <row r="431" spans="1:8" ht="19.8" customHeight="1" x14ac:dyDescent="0.3">
      <c r="A431" s="149">
        <v>45991</v>
      </c>
      <c r="B431" s="138" t="s">
        <v>121</v>
      </c>
      <c r="C431" s="139" t="s">
        <v>142</v>
      </c>
      <c r="D431" s="138" t="s">
        <v>1</v>
      </c>
      <c r="E431" s="150">
        <v>1.8298611111111109</v>
      </c>
      <c r="F431" s="138" t="s">
        <v>123</v>
      </c>
      <c r="G431" s="140">
        <v>9</v>
      </c>
      <c r="H431" s="151" t="s">
        <v>253</v>
      </c>
    </row>
    <row r="432" spans="1:8" ht="19.8" customHeight="1" x14ac:dyDescent="0.3">
      <c r="A432" s="149">
        <v>45991</v>
      </c>
      <c r="B432" s="138" t="s">
        <v>121</v>
      </c>
      <c r="C432" s="139" t="s">
        <v>142</v>
      </c>
      <c r="D432" s="138" t="s">
        <v>1</v>
      </c>
      <c r="E432" s="150">
        <v>1.8298611111111109</v>
      </c>
      <c r="F432" s="138" t="s">
        <v>125</v>
      </c>
      <c r="G432" s="140">
        <v>9</v>
      </c>
      <c r="H432" s="151" t="s">
        <v>254</v>
      </c>
    </row>
    <row r="433" spans="1:8" ht="19.8" customHeight="1" x14ac:dyDescent="0.3">
      <c r="A433" s="149">
        <v>45991</v>
      </c>
      <c r="B433" s="138" t="s">
        <v>148</v>
      </c>
      <c r="C433" s="139" t="s">
        <v>179</v>
      </c>
      <c r="D433" s="138" t="s">
        <v>1</v>
      </c>
      <c r="E433" s="150">
        <v>1.958333333333333</v>
      </c>
      <c r="F433" s="138" t="s">
        <v>150</v>
      </c>
      <c r="G433" s="140">
        <v>1</v>
      </c>
      <c r="H433" s="151" t="s">
        <v>158</v>
      </c>
    </row>
    <row r="434" spans="1:8" ht="19.8" customHeight="1" x14ac:dyDescent="0.3">
      <c r="A434" s="149">
        <v>45991</v>
      </c>
      <c r="B434" s="138" t="s">
        <v>148</v>
      </c>
      <c r="C434" s="139" t="s">
        <v>157</v>
      </c>
      <c r="D434" s="138" t="s">
        <v>1</v>
      </c>
      <c r="E434" s="150">
        <v>1.774305555555556</v>
      </c>
      <c r="F434" s="138" t="s">
        <v>150</v>
      </c>
      <c r="G434" s="140">
        <v>9</v>
      </c>
      <c r="H434" s="151" t="s">
        <v>158</v>
      </c>
    </row>
    <row r="435" spans="1:8" ht="19.8" customHeight="1" x14ac:dyDescent="0.3">
      <c r="A435" s="149">
        <v>45991</v>
      </c>
      <c r="B435" s="138" t="s">
        <v>148</v>
      </c>
      <c r="C435" s="139" t="s">
        <v>180</v>
      </c>
      <c r="D435" s="138" t="s">
        <v>1</v>
      </c>
      <c r="E435" s="150">
        <v>1.0138888888888891</v>
      </c>
      <c r="F435" s="138" t="s">
        <v>150</v>
      </c>
      <c r="G435" s="140">
        <v>1</v>
      </c>
      <c r="H435" s="151" t="s">
        <v>238</v>
      </c>
    </row>
    <row r="436" spans="1:8" ht="19.8" customHeight="1" x14ac:dyDescent="0.3">
      <c r="A436" s="152">
        <v>45991</v>
      </c>
      <c r="B436" s="153" t="s">
        <v>55</v>
      </c>
      <c r="C436" s="154" t="s">
        <v>70</v>
      </c>
      <c r="D436" s="153" t="s">
        <v>1</v>
      </c>
      <c r="E436" s="155">
        <v>1.631944444444444</v>
      </c>
      <c r="F436" s="153" t="s">
        <v>79</v>
      </c>
      <c r="G436" s="153"/>
      <c r="H436" s="156" t="s">
        <v>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163" t="s">
        <v>407</v>
      </c>
      <c r="B1" s="163" t="s">
        <v>8</v>
      </c>
      <c r="C1" s="163" t="s">
        <v>9</v>
      </c>
      <c r="D1" s="163" t="s">
        <v>408</v>
      </c>
      <c r="E1" s="163" t="s">
        <v>10</v>
      </c>
      <c r="F1" s="163" t="s">
        <v>11</v>
      </c>
      <c r="G1" s="163" t="s">
        <v>12</v>
      </c>
      <c r="H1" s="163" t="s">
        <v>13</v>
      </c>
      <c r="I1" s="163" t="s">
        <v>414</v>
      </c>
    </row>
    <row r="2" spans="1:9" ht="15.6" x14ac:dyDescent="0.3">
      <c r="A2" s="164" t="s">
        <v>409</v>
      </c>
      <c r="B2" s="164" t="s">
        <v>55</v>
      </c>
      <c r="C2" s="164" t="s">
        <v>56</v>
      </c>
      <c r="D2" s="164" t="s">
        <v>1</v>
      </c>
      <c r="E2" s="164" t="s">
        <v>313</v>
      </c>
      <c r="F2" s="164" t="s">
        <v>57</v>
      </c>
      <c r="G2" s="164" t="s">
        <v>415</v>
      </c>
      <c r="H2" s="164" t="s">
        <v>58</v>
      </c>
      <c r="I2" s="165" t="s">
        <v>416</v>
      </c>
    </row>
    <row r="3" spans="1:9" ht="15.6" x14ac:dyDescent="0.3">
      <c r="A3" s="164" t="s">
        <v>409</v>
      </c>
      <c r="B3" s="164" t="s">
        <v>55</v>
      </c>
      <c r="C3" s="164" t="s">
        <v>62</v>
      </c>
      <c r="D3" s="164" t="s">
        <v>1</v>
      </c>
      <c r="E3" s="164" t="s">
        <v>286</v>
      </c>
      <c r="F3" s="164" t="s">
        <v>57</v>
      </c>
      <c r="G3" s="164" t="s">
        <v>415</v>
      </c>
      <c r="H3" s="164" t="s">
        <v>58</v>
      </c>
      <c r="I3" s="165" t="s">
        <v>416</v>
      </c>
    </row>
    <row r="4" spans="1:9" ht="15.6" x14ac:dyDescent="0.3">
      <c r="A4" s="164" t="s">
        <v>409</v>
      </c>
      <c r="B4" s="164" t="s">
        <v>55</v>
      </c>
      <c r="C4" s="164" t="s">
        <v>65</v>
      </c>
      <c r="D4" s="164" t="s">
        <v>1</v>
      </c>
      <c r="E4" s="164" t="s">
        <v>317</v>
      </c>
      <c r="F4" s="164" t="s">
        <v>57</v>
      </c>
      <c r="G4" s="164" t="s">
        <v>415</v>
      </c>
      <c r="H4" s="164" t="s">
        <v>58</v>
      </c>
      <c r="I4" s="165" t="s">
        <v>416</v>
      </c>
    </row>
    <row r="5" spans="1:9" ht="15.6" x14ac:dyDescent="0.3">
      <c r="A5" s="164" t="s">
        <v>409</v>
      </c>
      <c r="B5" s="164" t="s">
        <v>55</v>
      </c>
      <c r="C5" s="164" t="s">
        <v>68</v>
      </c>
      <c r="D5" s="164" t="s">
        <v>1</v>
      </c>
      <c r="E5" s="164" t="s">
        <v>301</v>
      </c>
      <c r="F5" s="164" t="s">
        <v>57</v>
      </c>
      <c r="G5" s="164" t="s">
        <v>417</v>
      </c>
      <c r="H5" s="164" t="s">
        <v>58</v>
      </c>
      <c r="I5" s="165" t="s">
        <v>416</v>
      </c>
    </row>
    <row r="6" spans="1:9" ht="15.6" x14ac:dyDescent="0.3">
      <c r="A6" s="164" t="s">
        <v>409</v>
      </c>
      <c r="B6" s="164" t="s">
        <v>55</v>
      </c>
      <c r="C6" s="164" t="s">
        <v>73</v>
      </c>
      <c r="D6" s="164" t="s">
        <v>1</v>
      </c>
      <c r="E6" s="164" t="s">
        <v>307</v>
      </c>
      <c r="F6" s="164" t="s">
        <v>57</v>
      </c>
      <c r="G6" s="164" t="s">
        <v>418</v>
      </c>
      <c r="H6" s="164" t="s">
        <v>74</v>
      </c>
      <c r="I6" s="165" t="s">
        <v>416</v>
      </c>
    </row>
    <row r="7" spans="1:9" ht="15.6" x14ac:dyDescent="0.3">
      <c r="A7" s="166" t="s">
        <v>409</v>
      </c>
      <c r="B7" s="166" t="s">
        <v>83</v>
      </c>
      <c r="C7" s="166" t="s">
        <v>84</v>
      </c>
      <c r="D7" s="166" t="s">
        <v>1</v>
      </c>
      <c r="E7" s="166" t="s">
        <v>419</v>
      </c>
      <c r="F7" s="166" t="s">
        <v>89</v>
      </c>
      <c r="G7" s="166" t="s">
        <v>420</v>
      </c>
      <c r="H7" s="166" t="s">
        <v>90</v>
      </c>
      <c r="I7" s="167" t="s">
        <v>421</v>
      </c>
    </row>
    <row r="8" spans="1:9" ht="15.6" x14ac:dyDescent="0.3">
      <c r="A8" s="166" t="s">
        <v>409</v>
      </c>
      <c r="B8" s="166" t="s">
        <v>83</v>
      </c>
      <c r="C8" s="166" t="s">
        <v>91</v>
      </c>
      <c r="D8" s="166" t="s">
        <v>1</v>
      </c>
      <c r="E8" s="166" t="s">
        <v>422</v>
      </c>
      <c r="F8" s="166" t="s">
        <v>89</v>
      </c>
      <c r="G8" s="166" t="s">
        <v>423</v>
      </c>
      <c r="H8" s="166" t="s">
        <v>90</v>
      </c>
      <c r="I8" s="167" t="s">
        <v>424</v>
      </c>
    </row>
    <row r="9" spans="1:9" ht="15.6" x14ac:dyDescent="0.3">
      <c r="A9" s="166" t="s">
        <v>409</v>
      </c>
      <c r="B9" s="166" t="s">
        <v>110</v>
      </c>
      <c r="C9" s="166" t="s">
        <v>111</v>
      </c>
      <c r="D9" s="166" t="s">
        <v>1</v>
      </c>
      <c r="E9" s="166" t="s">
        <v>425</v>
      </c>
      <c r="F9" s="166" t="s">
        <v>43</v>
      </c>
      <c r="G9" s="166" t="s">
        <v>426</v>
      </c>
      <c r="H9" s="166" t="s">
        <v>115</v>
      </c>
      <c r="I9" s="167" t="s">
        <v>427</v>
      </c>
    </row>
    <row r="10" spans="1:9" ht="15.6" x14ac:dyDescent="0.3">
      <c r="A10" s="166" t="s">
        <v>409</v>
      </c>
      <c r="B10" s="166" t="s">
        <v>83</v>
      </c>
      <c r="C10" s="166" t="s">
        <v>94</v>
      </c>
      <c r="D10" s="166" t="s">
        <v>1</v>
      </c>
      <c r="E10" s="166" t="s">
        <v>428</v>
      </c>
      <c r="F10" s="166" t="s">
        <v>89</v>
      </c>
      <c r="G10" s="166" t="s">
        <v>426</v>
      </c>
      <c r="H10" s="166" t="s">
        <v>99</v>
      </c>
      <c r="I10" s="167" t="s">
        <v>429</v>
      </c>
    </row>
    <row r="11" spans="1:9" ht="15.6" x14ac:dyDescent="0.3">
      <c r="A11" s="166" t="s">
        <v>409</v>
      </c>
      <c r="B11" s="166" t="s">
        <v>83</v>
      </c>
      <c r="C11" s="166" t="s">
        <v>100</v>
      </c>
      <c r="D11" s="166" t="s">
        <v>1</v>
      </c>
      <c r="E11" s="166" t="s">
        <v>430</v>
      </c>
      <c r="F11" s="166" t="s">
        <v>89</v>
      </c>
      <c r="G11" s="166" t="s">
        <v>426</v>
      </c>
      <c r="H11" s="166" t="s">
        <v>99</v>
      </c>
      <c r="I11" s="167" t="s">
        <v>429</v>
      </c>
    </row>
    <row r="12" spans="1:9" ht="15.6" x14ac:dyDescent="0.3">
      <c r="A12" s="166" t="s">
        <v>409</v>
      </c>
      <c r="B12" s="166" t="s">
        <v>83</v>
      </c>
      <c r="C12" s="166" t="s">
        <v>101</v>
      </c>
      <c r="D12" s="166" t="s">
        <v>1</v>
      </c>
      <c r="E12" s="166" t="s">
        <v>321</v>
      </c>
      <c r="F12" s="166" t="s">
        <v>89</v>
      </c>
      <c r="G12" s="166" t="s">
        <v>426</v>
      </c>
      <c r="H12" s="166" t="s">
        <v>99</v>
      </c>
      <c r="I12" s="167" t="s">
        <v>429</v>
      </c>
    </row>
    <row r="13" spans="1:9" ht="15.6" x14ac:dyDescent="0.3">
      <c r="A13" s="166" t="s">
        <v>409</v>
      </c>
      <c r="B13" s="166" t="s">
        <v>83</v>
      </c>
      <c r="C13" s="166" t="s">
        <v>102</v>
      </c>
      <c r="D13" s="166" t="s">
        <v>1</v>
      </c>
      <c r="E13" s="166" t="s">
        <v>431</v>
      </c>
      <c r="F13" s="166" t="s">
        <v>89</v>
      </c>
      <c r="G13" s="166" t="s">
        <v>426</v>
      </c>
      <c r="H13" s="166" t="s">
        <v>99</v>
      </c>
      <c r="I13" s="167" t="s">
        <v>429</v>
      </c>
    </row>
    <row r="14" spans="1:9" ht="15.6" x14ac:dyDescent="0.3">
      <c r="A14" s="166" t="s">
        <v>409</v>
      </c>
      <c r="B14" s="166" t="s">
        <v>83</v>
      </c>
      <c r="C14" s="166" t="s">
        <v>103</v>
      </c>
      <c r="D14" s="166" t="s">
        <v>1</v>
      </c>
      <c r="E14" s="166" t="s">
        <v>411</v>
      </c>
      <c r="F14" s="166" t="s">
        <v>89</v>
      </c>
      <c r="G14" s="166" t="s">
        <v>426</v>
      </c>
      <c r="H14" s="166" t="s">
        <v>99</v>
      </c>
      <c r="I14" s="167" t="s">
        <v>429</v>
      </c>
    </row>
    <row r="15" spans="1:9" ht="15.6" x14ac:dyDescent="0.3">
      <c r="A15" s="166" t="s">
        <v>409</v>
      </c>
      <c r="B15" s="166" t="s">
        <v>83</v>
      </c>
      <c r="C15" s="166" t="s">
        <v>104</v>
      </c>
      <c r="D15" s="166" t="s">
        <v>1</v>
      </c>
      <c r="E15" s="166" t="s">
        <v>432</v>
      </c>
      <c r="F15" s="166" t="s">
        <v>89</v>
      </c>
      <c r="G15" s="166" t="s">
        <v>433</v>
      </c>
      <c r="H15" s="166" t="s">
        <v>109</v>
      </c>
      <c r="I15" s="167" t="s">
        <v>434</v>
      </c>
    </row>
    <row r="16" spans="1:9" ht="15.6" x14ac:dyDescent="0.3">
      <c r="A16" s="166" t="s">
        <v>409</v>
      </c>
      <c r="B16" s="166" t="s">
        <v>121</v>
      </c>
      <c r="C16" s="166" t="s">
        <v>122</v>
      </c>
      <c r="D16" s="166" t="s">
        <v>1</v>
      </c>
      <c r="E16" s="166" t="s">
        <v>435</v>
      </c>
      <c r="F16" s="166" t="s">
        <v>125</v>
      </c>
      <c r="G16" s="166" t="s">
        <v>415</v>
      </c>
      <c r="H16" s="166" t="s">
        <v>127</v>
      </c>
      <c r="I16" s="167" t="s">
        <v>436</v>
      </c>
    </row>
    <row r="17" spans="1:9" ht="15.6" x14ac:dyDescent="0.3">
      <c r="A17" s="166" t="s">
        <v>409</v>
      </c>
      <c r="B17" s="166" t="s">
        <v>121</v>
      </c>
      <c r="C17" s="166" t="s">
        <v>128</v>
      </c>
      <c r="D17" s="166" t="s">
        <v>1</v>
      </c>
      <c r="E17" s="166" t="s">
        <v>437</v>
      </c>
      <c r="F17" s="166" t="s">
        <v>125</v>
      </c>
      <c r="G17" s="166" t="s">
        <v>415</v>
      </c>
      <c r="H17" s="166" t="s">
        <v>130</v>
      </c>
      <c r="I17" s="167" t="s">
        <v>438</v>
      </c>
    </row>
    <row r="18" spans="1:9" ht="15.6" x14ac:dyDescent="0.3">
      <c r="A18" s="166" t="s">
        <v>409</v>
      </c>
      <c r="B18" s="166" t="s">
        <v>121</v>
      </c>
      <c r="C18" s="166" t="s">
        <v>131</v>
      </c>
      <c r="D18" s="166" t="s">
        <v>1</v>
      </c>
      <c r="E18" s="166" t="s">
        <v>439</v>
      </c>
      <c r="F18" s="166" t="s">
        <v>125</v>
      </c>
      <c r="G18" s="166" t="s">
        <v>415</v>
      </c>
      <c r="H18" s="166" t="s">
        <v>130</v>
      </c>
      <c r="I18" s="167" t="s">
        <v>438</v>
      </c>
    </row>
    <row r="19" spans="1:9" ht="15.6" x14ac:dyDescent="0.3">
      <c r="A19" s="166" t="s">
        <v>409</v>
      </c>
      <c r="B19" s="166" t="s">
        <v>121</v>
      </c>
      <c r="C19" s="166" t="s">
        <v>132</v>
      </c>
      <c r="D19" s="166" t="s">
        <v>1</v>
      </c>
      <c r="E19" s="166" t="s">
        <v>440</v>
      </c>
      <c r="F19" s="166" t="s">
        <v>125</v>
      </c>
      <c r="G19" s="166" t="s">
        <v>415</v>
      </c>
      <c r="H19" s="166" t="s">
        <v>130</v>
      </c>
      <c r="I19" s="167" t="s">
        <v>438</v>
      </c>
    </row>
    <row r="20" spans="1:9" ht="15.6" x14ac:dyDescent="0.3">
      <c r="A20" s="166" t="s">
        <v>409</v>
      </c>
      <c r="B20" s="166" t="s">
        <v>121</v>
      </c>
      <c r="C20" s="166" t="s">
        <v>133</v>
      </c>
      <c r="D20" s="166" t="s">
        <v>1</v>
      </c>
      <c r="E20" s="166" t="s">
        <v>441</v>
      </c>
      <c r="F20" s="166" t="s">
        <v>125</v>
      </c>
      <c r="G20" s="166" t="s">
        <v>415</v>
      </c>
      <c r="H20" s="166" t="s">
        <v>130</v>
      </c>
      <c r="I20" s="167" t="s">
        <v>438</v>
      </c>
    </row>
    <row r="21" spans="1:9" ht="15.6" x14ac:dyDescent="0.3">
      <c r="A21" s="166" t="s">
        <v>409</v>
      </c>
      <c r="B21" s="166" t="s">
        <v>35</v>
      </c>
      <c r="C21" s="166" t="s">
        <v>36</v>
      </c>
      <c r="D21" s="166" t="s">
        <v>1</v>
      </c>
      <c r="E21" s="166" t="s">
        <v>411</v>
      </c>
      <c r="F21" s="166" t="s">
        <v>43</v>
      </c>
      <c r="G21" s="166" t="s">
        <v>420</v>
      </c>
      <c r="H21" s="166" t="s">
        <v>44</v>
      </c>
      <c r="I21" s="168" t="s">
        <v>442</v>
      </c>
    </row>
    <row r="22" spans="1:9" ht="15.6" x14ac:dyDescent="0.3">
      <c r="A22" s="166" t="s">
        <v>409</v>
      </c>
      <c r="B22" s="166" t="s">
        <v>35</v>
      </c>
      <c r="C22" s="166" t="s">
        <v>50</v>
      </c>
      <c r="D22" s="166" t="s">
        <v>1</v>
      </c>
      <c r="E22" s="166" t="s">
        <v>443</v>
      </c>
      <c r="F22" s="166" t="s">
        <v>43</v>
      </c>
      <c r="G22" s="166" t="s">
        <v>444</v>
      </c>
      <c r="H22" s="166" t="s">
        <v>44</v>
      </c>
      <c r="I22" s="168" t="s">
        <v>442</v>
      </c>
    </row>
    <row r="23" spans="1:9" ht="15.6" x14ac:dyDescent="0.3">
      <c r="A23" s="166" t="s">
        <v>409</v>
      </c>
      <c r="B23" s="166" t="s">
        <v>35</v>
      </c>
      <c r="C23" s="166" t="s">
        <v>45</v>
      </c>
      <c r="D23" s="166" t="s">
        <v>1</v>
      </c>
      <c r="E23" s="166" t="s">
        <v>412</v>
      </c>
      <c r="F23" s="166" t="s">
        <v>43</v>
      </c>
      <c r="G23" s="166" t="s">
        <v>420</v>
      </c>
      <c r="H23" s="166" t="s">
        <v>44</v>
      </c>
      <c r="I23" s="168" t="s">
        <v>445</v>
      </c>
    </row>
    <row r="24" spans="1:9" ht="15.6" x14ac:dyDescent="0.3">
      <c r="A24" s="166" t="s">
        <v>409</v>
      </c>
      <c r="B24" s="166" t="s">
        <v>35</v>
      </c>
      <c r="C24" s="166" t="s">
        <v>47</v>
      </c>
      <c r="D24" s="166" t="s">
        <v>1</v>
      </c>
      <c r="E24" s="166" t="s">
        <v>413</v>
      </c>
      <c r="F24" s="166" t="s">
        <v>43</v>
      </c>
      <c r="G24" s="166" t="s">
        <v>418</v>
      </c>
      <c r="H24" s="166" t="s">
        <v>44</v>
      </c>
      <c r="I24" s="168" t="s">
        <v>442</v>
      </c>
    </row>
    <row r="25" spans="1:9" ht="15.6" x14ac:dyDescent="0.3">
      <c r="A25" s="166" t="s">
        <v>409</v>
      </c>
      <c r="B25" s="166" t="s">
        <v>121</v>
      </c>
      <c r="C25" s="166" t="s">
        <v>134</v>
      </c>
      <c r="D25" s="166" t="s">
        <v>1</v>
      </c>
      <c r="E25" s="166" t="s">
        <v>446</v>
      </c>
      <c r="F25" s="166" t="s">
        <v>125</v>
      </c>
      <c r="G25" s="166" t="s">
        <v>415</v>
      </c>
      <c r="H25" s="166" t="s">
        <v>136</v>
      </c>
      <c r="I25" s="167" t="s">
        <v>447</v>
      </c>
    </row>
    <row r="26" spans="1:9" ht="15.6" x14ac:dyDescent="0.3">
      <c r="A26" s="166" t="s">
        <v>409</v>
      </c>
      <c r="B26" s="166" t="s">
        <v>121</v>
      </c>
      <c r="C26" s="166" t="s">
        <v>141</v>
      </c>
      <c r="D26" s="166" t="s">
        <v>1</v>
      </c>
      <c r="E26" s="166" t="s">
        <v>412</v>
      </c>
      <c r="F26" s="166" t="s">
        <v>125</v>
      </c>
      <c r="G26" s="166" t="s">
        <v>433</v>
      </c>
      <c r="H26" s="166" t="s">
        <v>138</v>
      </c>
      <c r="I26" s="168" t="s">
        <v>448</v>
      </c>
    </row>
    <row r="27" spans="1:9" ht="15.6" x14ac:dyDescent="0.3">
      <c r="A27" s="164" t="s">
        <v>449</v>
      </c>
      <c r="B27" s="164" t="s">
        <v>55</v>
      </c>
      <c r="C27" s="164" t="s">
        <v>73</v>
      </c>
      <c r="D27" s="164" t="s">
        <v>1</v>
      </c>
      <c r="E27" s="164" t="s">
        <v>325</v>
      </c>
      <c r="F27" s="164" t="s">
        <v>57</v>
      </c>
      <c r="G27" s="164" t="s">
        <v>415</v>
      </c>
      <c r="H27" s="164" t="s">
        <v>30</v>
      </c>
      <c r="I27" s="165" t="s">
        <v>416</v>
      </c>
    </row>
    <row r="28" spans="1:9" ht="15.6" x14ac:dyDescent="0.3">
      <c r="A28" s="164" t="s">
        <v>449</v>
      </c>
      <c r="B28" s="164" t="s">
        <v>55</v>
      </c>
      <c r="C28" s="164" t="s">
        <v>65</v>
      </c>
      <c r="D28" s="164" t="s">
        <v>1</v>
      </c>
      <c r="E28" s="164" t="s">
        <v>321</v>
      </c>
      <c r="F28" s="164" t="s">
        <v>57</v>
      </c>
      <c r="G28" s="164" t="s">
        <v>415</v>
      </c>
      <c r="H28" s="164" t="s">
        <v>30</v>
      </c>
      <c r="I28" s="165" t="s">
        <v>416</v>
      </c>
    </row>
    <row r="29" spans="1:9" ht="15.6" x14ac:dyDescent="0.3">
      <c r="A29" s="164" t="s">
        <v>449</v>
      </c>
      <c r="B29" s="164" t="s">
        <v>55</v>
      </c>
      <c r="C29" s="164" t="s">
        <v>68</v>
      </c>
      <c r="D29" s="164" t="s">
        <v>1</v>
      </c>
      <c r="E29" s="164" t="s">
        <v>301</v>
      </c>
      <c r="F29" s="164" t="s">
        <v>57</v>
      </c>
      <c r="G29" s="164" t="s">
        <v>415</v>
      </c>
      <c r="H29" s="164" t="s">
        <v>58</v>
      </c>
      <c r="I29" s="165" t="s">
        <v>416</v>
      </c>
    </row>
    <row r="30" spans="1:9" ht="15.6" x14ac:dyDescent="0.3">
      <c r="A30" s="166" t="s">
        <v>449</v>
      </c>
      <c r="B30" s="166" t="s">
        <v>83</v>
      </c>
      <c r="C30" s="166" t="s">
        <v>103</v>
      </c>
      <c r="D30" s="166" t="s">
        <v>1</v>
      </c>
      <c r="E30" s="166" t="s">
        <v>411</v>
      </c>
      <c r="F30" s="166" t="s">
        <v>89</v>
      </c>
      <c r="G30" s="166" t="s">
        <v>444</v>
      </c>
      <c r="H30" s="166" t="s">
        <v>90</v>
      </c>
      <c r="I30" s="167" t="s">
        <v>429</v>
      </c>
    </row>
    <row r="31" spans="1:9" ht="15.6" x14ac:dyDescent="0.3">
      <c r="A31" s="166" t="s">
        <v>449</v>
      </c>
      <c r="B31" s="166" t="s">
        <v>110</v>
      </c>
      <c r="C31" s="166" t="s">
        <v>173</v>
      </c>
      <c r="D31" s="166" t="s">
        <v>1</v>
      </c>
      <c r="E31" s="166" t="s">
        <v>450</v>
      </c>
      <c r="F31" s="166" t="s">
        <v>43</v>
      </c>
      <c r="G31" s="166" t="s">
        <v>426</v>
      </c>
      <c r="H31" s="166" t="s">
        <v>115</v>
      </c>
      <c r="I31" s="167" t="s">
        <v>451</v>
      </c>
    </row>
    <row r="32" spans="1:9" ht="15.6" x14ac:dyDescent="0.3">
      <c r="A32" s="166" t="s">
        <v>449</v>
      </c>
      <c r="B32" s="166" t="s">
        <v>83</v>
      </c>
      <c r="C32" s="166" t="s">
        <v>94</v>
      </c>
      <c r="D32" s="166" t="s">
        <v>1</v>
      </c>
      <c r="E32" s="166" t="s">
        <v>428</v>
      </c>
      <c r="F32" s="166" t="s">
        <v>89</v>
      </c>
      <c r="G32" s="166" t="s">
        <v>426</v>
      </c>
      <c r="H32" s="166" t="s">
        <v>99</v>
      </c>
      <c r="I32" s="167" t="s">
        <v>434</v>
      </c>
    </row>
    <row r="33" spans="1:9" ht="15.6" x14ac:dyDescent="0.3">
      <c r="A33" s="166" t="s">
        <v>449</v>
      </c>
      <c r="B33" s="166" t="s">
        <v>83</v>
      </c>
      <c r="C33" s="166" t="s">
        <v>84</v>
      </c>
      <c r="D33" s="166" t="s">
        <v>1</v>
      </c>
      <c r="E33" s="166" t="s">
        <v>419</v>
      </c>
      <c r="F33" s="166" t="s">
        <v>89</v>
      </c>
      <c r="G33" s="166" t="s">
        <v>433</v>
      </c>
      <c r="H33" s="166" t="s">
        <v>99</v>
      </c>
      <c r="I33" s="167" t="s">
        <v>429</v>
      </c>
    </row>
    <row r="34" spans="1:9" ht="15.6" x14ac:dyDescent="0.3">
      <c r="A34" s="166" t="s">
        <v>449</v>
      </c>
      <c r="B34" s="166" t="s">
        <v>83</v>
      </c>
      <c r="C34" s="166" t="s">
        <v>100</v>
      </c>
      <c r="D34" s="166" t="s">
        <v>1</v>
      </c>
      <c r="E34" s="166" t="s">
        <v>430</v>
      </c>
      <c r="F34" s="166" t="s">
        <v>89</v>
      </c>
      <c r="G34" s="166" t="s">
        <v>417</v>
      </c>
      <c r="H34" s="166" t="s">
        <v>99</v>
      </c>
      <c r="I34" s="167" t="s">
        <v>429</v>
      </c>
    </row>
    <row r="35" spans="1:9" ht="15.6" x14ac:dyDescent="0.3">
      <c r="A35" s="166" t="s">
        <v>449</v>
      </c>
      <c r="B35" s="166" t="s">
        <v>83</v>
      </c>
      <c r="C35" s="166" t="s">
        <v>101</v>
      </c>
      <c r="D35" s="166" t="s">
        <v>1</v>
      </c>
      <c r="E35" s="166" t="s">
        <v>321</v>
      </c>
      <c r="F35" s="166" t="s">
        <v>89</v>
      </c>
      <c r="G35" s="166" t="s">
        <v>426</v>
      </c>
      <c r="H35" s="166" t="s">
        <v>99</v>
      </c>
      <c r="I35" s="167" t="s">
        <v>434</v>
      </c>
    </row>
    <row r="36" spans="1:9" ht="15.6" x14ac:dyDescent="0.3">
      <c r="A36" s="166" t="s">
        <v>449</v>
      </c>
      <c r="B36" s="166" t="s">
        <v>83</v>
      </c>
      <c r="C36" s="166" t="s">
        <v>102</v>
      </c>
      <c r="D36" s="166" t="s">
        <v>1</v>
      </c>
      <c r="E36" s="166" t="s">
        <v>431</v>
      </c>
      <c r="F36" s="166" t="s">
        <v>89</v>
      </c>
      <c r="G36" s="166" t="s">
        <v>423</v>
      </c>
      <c r="H36" s="166" t="s">
        <v>99</v>
      </c>
      <c r="I36" s="167" t="s">
        <v>429</v>
      </c>
    </row>
    <row r="37" spans="1:9" ht="15.6" x14ac:dyDescent="0.3">
      <c r="A37" s="166" t="s">
        <v>449</v>
      </c>
      <c r="B37" s="166" t="s">
        <v>83</v>
      </c>
      <c r="C37" s="166" t="s">
        <v>104</v>
      </c>
      <c r="D37" s="166" t="s">
        <v>1</v>
      </c>
      <c r="E37" s="166" t="s">
        <v>432</v>
      </c>
      <c r="F37" s="166" t="s">
        <v>89</v>
      </c>
      <c r="G37" s="166" t="s">
        <v>426</v>
      </c>
      <c r="H37" s="166" t="s">
        <v>99</v>
      </c>
      <c r="I37" s="167" t="s">
        <v>434</v>
      </c>
    </row>
    <row r="38" spans="1:9" ht="15.6" x14ac:dyDescent="0.3">
      <c r="A38" s="166" t="s">
        <v>449</v>
      </c>
      <c r="B38" s="166" t="s">
        <v>83</v>
      </c>
      <c r="C38" s="166" t="s">
        <v>91</v>
      </c>
      <c r="D38" s="166" t="s">
        <v>1</v>
      </c>
      <c r="E38" s="166" t="s">
        <v>422</v>
      </c>
      <c r="F38" s="166" t="s">
        <v>89</v>
      </c>
      <c r="G38" s="166" t="s">
        <v>426</v>
      </c>
      <c r="H38" s="166" t="s">
        <v>99</v>
      </c>
      <c r="I38" s="167" t="s">
        <v>429</v>
      </c>
    </row>
    <row r="39" spans="1:9" ht="15.6" x14ac:dyDescent="0.3">
      <c r="A39" s="166" t="s">
        <v>449</v>
      </c>
      <c r="B39" s="166" t="s">
        <v>121</v>
      </c>
      <c r="C39" s="166" t="s">
        <v>132</v>
      </c>
      <c r="D39" s="166" t="s">
        <v>1</v>
      </c>
      <c r="E39" s="166" t="s">
        <v>440</v>
      </c>
      <c r="F39" s="166" t="s">
        <v>125</v>
      </c>
      <c r="G39" s="166" t="s">
        <v>423</v>
      </c>
      <c r="H39" s="166" t="s">
        <v>127</v>
      </c>
      <c r="I39" s="167" t="s">
        <v>436</v>
      </c>
    </row>
    <row r="40" spans="1:9" ht="15.6" x14ac:dyDescent="0.3">
      <c r="A40" s="166" t="s">
        <v>449</v>
      </c>
      <c r="B40" s="166" t="s">
        <v>121</v>
      </c>
      <c r="C40" s="166" t="s">
        <v>128</v>
      </c>
      <c r="D40" s="166" t="s">
        <v>1</v>
      </c>
      <c r="E40" s="166" t="s">
        <v>437</v>
      </c>
      <c r="F40" s="166" t="s">
        <v>125</v>
      </c>
      <c r="G40" s="166" t="s">
        <v>415</v>
      </c>
      <c r="H40" s="166" t="s">
        <v>130</v>
      </c>
      <c r="I40" s="167" t="s">
        <v>452</v>
      </c>
    </row>
    <row r="41" spans="1:9" ht="15.6" x14ac:dyDescent="0.3">
      <c r="A41" s="166" t="s">
        <v>449</v>
      </c>
      <c r="B41" s="166" t="s">
        <v>121</v>
      </c>
      <c r="C41" s="166" t="s">
        <v>131</v>
      </c>
      <c r="D41" s="166" t="s">
        <v>1</v>
      </c>
      <c r="E41" s="166" t="s">
        <v>439</v>
      </c>
      <c r="F41" s="166" t="s">
        <v>125</v>
      </c>
      <c r="G41" s="166" t="s">
        <v>415</v>
      </c>
      <c r="H41" s="166" t="s">
        <v>130</v>
      </c>
      <c r="I41" s="167" t="s">
        <v>438</v>
      </c>
    </row>
    <row r="42" spans="1:9" ht="15.6" x14ac:dyDescent="0.3">
      <c r="A42" s="166" t="s">
        <v>449</v>
      </c>
      <c r="B42" s="166" t="s">
        <v>121</v>
      </c>
      <c r="C42" s="166" t="s">
        <v>122</v>
      </c>
      <c r="D42" s="166" t="s">
        <v>1</v>
      </c>
      <c r="E42" s="166" t="s">
        <v>435</v>
      </c>
      <c r="F42" s="166" t="s">
        <v>125</v>
      </c>
      <c r="G42" s="166" t="s">
        <v>415</v>
      </c>
      <c r="H42" s="166" t="s">
        <v>130</v>
      </c>
      <c r="I42" s="167" t="s">
        <v>438</v>
      </c>
    </row>
    <row r="43" spans="1:9" ht="15.6" x14ac:dyDescent="0.3">
      <c r="A43" s="166" t="s">
        <v>449</v>
      </c>
      <c r="B43" s="166" t="s">
        <v>35</v>
      </c>
      <c r="C43" s="166" t="s">
        <v>36</v>
      </c>
      <c r="D43" s="166" t="s">
        <v>1</v>
      </c>
      <c r="E43" s="166" t="s">
        <v>411</v>
      </c>
      <c r="F43" s="166" t="s">
        <v>43</v>
      </c>
      <c r="G43" s="166" t="s">
        <v>444</v>
      </c>
      <c r="H43" s="166" t="s">
        <v>44</v>
      </c>
      <c r="I43" s="168" t="s">
        <v>448</v>
      </c>
    </row>
    <row r="44" spans="1:9" ht="15.6" x14ac:dyDescent="0.3">
      <c r="A44" s="166" t="s">
        <v>449</v>
      </c>
      <c r="B44" s="166" t="s">
        <v>35</v>
      </c>
      <c r="C44" s="166" t="s">
        <v>50</v>
      </c>
      <c r="D44" s="166" t="s">
        <v>1</v>
      </c>
      <c r="E44" s="166" t="s">
        <v>443</v>
      </c>
      <c r="F44" s="166" t="s">
        <v>43</v>
      </c>
      <c r="G44" s="166" t="s">
        <v>420</v>
      </c>
      <c r="H44" s="166" t="s">
        <v>44</v>
      </c>
      <c r="I44" s="168" t="s">
        <v>442</v>
      </c>
    </row>
    <row r="45" spans="1:9" ht="15.6" x14ac:dyDescent="0.3">
      <c r="A45" s="166" t="s">
        <v>449</v>
      </c>
      <c r="B45" s="166" t="s">
        <v>35</v>
      </c>
      <c r="C45" s="166" t="s">
        <v>45</v>
      </c>
      <c r="D45" s="166" t="s">
        <v>1</v>
      </c>
      <c r="E45" s="166" t="s">
        <v>412</v>
      </c>
      <c r="F45" s="166" t="s">
        <v>43</v>
      </c>
      <c r="G45" s="166" t="s">
        <v>453</v>
      </c>
      <c r="H45" s="166" t="s">
        <v>44</v>
      </c>
      <c r="I45" s="168" t="s">
        <v>442</v>
      </c>
    </row>
    <row r="46" spans="1:9" ht="15.6" x14ac:dyDescent="0.3">
      <c r="A46" s="166" t="s">
        <v>449</v>
      </c>
      <c r="B46" s="166" t="s">
        <v>35</v>
      </c>
      <c r="C46" s="166" t="s">
        <v>47</v>
      </c>
      <c r="D46" s="166" t="s">
        <v>1</v>
      </c>
      <c r="E46" s="166" t="s">
        <v>413</v>
      </c>
      <c r="F46" s="166" t="s">
        <v>43</v>
      </c>
      <c r="G46" s="166" t="s">
        <v>420</v>
      </c>
      <c r="H46" s="166" t="s">
        <v>44</v>
      </c>
      <c r="I46" s="168" t="s">
        <v>442</v>
      </c>
    </row>
    <row r="47" spans="1:9" ht="15.6" x14ac:dyDescent="0.3">
      <c r="A47" s="164" t="s">
        <v>454</v>
      </c>
      <c r="B47" s="164" t="s">
        <v>55</v>
      </c>
      <c r="C47" s="164" t="s">
        <v>189</v>
      </c>
      <c r="D47" s="164" t="s">
        <v>1</v>
      </c>
      <c r="E47" s="164" t="s">
        <v>349</v>
      </c>
      <c r="F47" s="164" t="s">
        <v>57</v>
      </c>
      <c r="G47" s="164" t="s">
        <v>415</v>
      </c>
      <c r="H47" s="164" t="s">
        <v>30</v>
      </c>
      <c r="I47" s="165" t="s">
        <v>416</v>
      </c>
    </row>
    <row r="48" spans="1:9" ht="15.6" x14ac:dyDescent="0.3">
      <c r="A48" s="164" t="s">
        <v>454</v>
      </c>
      <c r="B48" s="164" t="s">
        <v>55</v>
      </c>
      <c r="C48" s="164" t="s">
        <v>192</v>
      </c>
      <c r="D48" s="164" t="s">
        <v>1</v>
      </c>
      <c r="E48" s="164" t="s">
        <v>341</v>
      </c>
      <c r="F48" s="164" t="s">
        <v>57</v>
      </c>
      <c r="G48" s="164" t="s">
        <v>415</v>
      </c>
      <c r="H48" s="164" t="s">
        <v>30</v>
      </c>
      <c r="I48" s="165" t="s">
        <v>416</v>
      </c>
    </row>
    <row r="49" spans="1:9" ht="15.6" x14ac:dyDescent="0.3">
      <c r="A49" s="164" t="s">
        <v>454</v>
      </c>
      <c r="B49" s="164" t="s">
        <v>55</v>
      </c>
      <c r="C49" s="164" t="s">
        <v>68</v>
      </c>
      <c r="D49" s="164" t="s">
        <v>1</v>
      </c>
      <c r="E49" s="164" t="s">
        <v>351</v>
      </c>
      <c r="F49" s="164" t="s">
        <v>57</v>
      </c>
      <c r="G49" s="164" t="s">
        <v>415</v>
      </c>
      <c r="H49" s="164" t="s">
        <v>30</v>
      </c>
      <c r="I49" s="165" t="s">
        <v>416</v>
      </c>
    </row>
    <row r="50" spans="1:9" ht="15.6" x14ac:dyDescent="0.3">
      <c r="A50" s="164" t="s">
        <v>454</v>
      </c>
      <c r="B50" s="164" t="s">
        <v>55</v>
      </c>
      <c r="C50" s="164" t="s">
        <v>196</v>
      </c>
      <c r="D50" s="164" t="s">
        <v>1</v>
      </c>
      <c r="E50" s="164" t="s">
        <v>355</v>
      </c>
      <c r="F50" s="164" t="s">
        <v>57</v>
      </c>
      <c r="G50" s="164" t="s">
        <v>415</v>
      </c>
      <c r="H50" s="164" t="s">
        <v>30</v>
      </c>
      <c r="I50" s="165" t="s">
        <v>416</v>
      </c>
    </row>
    <row r="51" spans="1:9" ht="15.6" x14ac:dyDescent="0.3">
      <c r="A51" s="164" t="s">
        <v>454</v>
      </c>
      <c r="B51" s="164" t="s">
        <v>55</v>
      </c>
      <c r="C51" s="164" t="s">
        <v>56</v>
      </c>
      <c r="D51" s="164" t="s">
        <v>1</v>
      </c>
      <c r="E51" s="164" t="s">
        <v>336</v>
      </c>
      <c r="F51" s="164" t="s">
        <v>57</v>
      </c>
      <c r="G51" s="164" t="s">
        <v>415</v>
      </c>
      <c r="H51" s="164" t="s">
        <v>58</v>
      </c>
      <c r="I51" s="165" t="s">
        <v>416</v>
      </c>
    </row>
    <row r="52" spans="1:9" ht="15.6" x14ac:dyDescent="0.3">
      <c r="A52" s="164" t="s">
        <v>454</v>
      </c>
      <c r="B52" s="164" t="s">
        <v>55</v>
      </c>
      <c r="C52" s="164" t="s">
        <v>62</v>
      </c>
      <c r="D52" s="164" t="s">
        <v>1</v>
      </c>
      <c r="E52" s="164" t="s">
        <v>338</v>
      </c>
      <c r="F52" s="164" t="s">
        <v>57</v>
      </c>
      <c r="G52" s="164" t="s">
        <v>415</v>
      </c>
      <c r="H52" s="164" t="s">
        <v>58</v>
      </c>
      <c r="I52" s="165" t="s">
        <v>416</v>
      </c>
    </row>
    <row r="53" spans="1:9" ht="15.6" x14ac:dyDescent="0.3">
      <c r="A53" s="164" t="s">
        <v>454</v>
      </c>
      <c r="B53" s="164" t="s">
        <v>55</v>
      </c>
      <c r="C53" s="164" t="s">
        <v>65</v>
      </c>
      <c r="D53" s="164" t="s">
        <v>1</v>
      </c>
      <c r="E53" s="164" t="s">
        <v>345</v>
      </c>
      <c r="F53" s="164" t="s">
        <v>57</v>
      </c>
      <c r="G53" s="164" t="s">
        <v>444</v>
      </c>
      <c r="H53" s="164" t="s">
        <v>58</v>
      </c>
      <c r="I53" s="165" t="s">
        <v>416</v>
      </c>
    </row>
    <row r="54" spans="1:9" ht="15.6" x14ac:dyDescent="0.3">
      <c r="A54" s="166" t="s">
        <v>454</v>
      </c>
      <c r="B54" s="166" t="s">
        <v>110</v>
      </c>
      <c r="C54" s="166" t="s">
        <v>173</v>
      </c>
      <c r="D54" s="166" t="s">
        <v>1</v>
      </c>
      <c r="E54" s="166" t="s">
        <v>455</v>
      </c>
      <c r="F54" s="166" t="s">
        <v>43</v>
      </c>
      <c r="G54" s="166" t="s">
        <v>426</v>
      </c>
      <c r="H54" s="166" t="s">
        <v>204</v>
      </c>
      <c r="I54" s="167" t="s">
        <v>456</v>
      </c>
    </row>
    <row r="55" spans="1:9" ht="15.6" x14ac:dyDescent="0.3">
      <c r="A55" s="166" t="s">
        <v>454</v>
      </c>
      <c r="B55" s="166" t="s">
        <v>83</v>
      </c>
      <c r="C55" s="166" t="s">
        <v>101</v>
      </c>
      <c r="D55" s="166" t="s">
        <v>1</v>
      </c>
      <c r="E55" s="166" t="s">
        <v>321</v>
      </c>
      <c r="F55" s="166" t="s">
        <v>89</v>
      </c>
      <c r="G55" s="166" t="s">
        <v>426</v>
      </c>
      <c r="H55" s="166" t="s">
        <v>34</v>
      </c>
      <c r="I55" s="167" t="s">
        <v>421</v>
      </c>
    </row>
    <row r="56" spans="1:9" ht="15.6" x14ac:dyDescent="0.3">
      <c r="A56" s="166" t="s">
        <v>454</v>
      </c>
      <c r="B56" s="166" t="s">
        <v>83</v>
      </c>
      <c r="C56" s="166" t="s">
        <v>94</v>
      </c>
      <c r="D56" s="166" t="s">
        <v>1</v>
      </c>
      <c r="E56" s="166" t="s">
        <v>428</v>
      </c>
      <c r="F56" s="166" t="s">
        <v>89</v>
      </c>
      <c r="G56" s="166" t="s">
        <v>453</v>
      </c>
      <c r="H56" s="166" t="s">
        <v>90</v>
      </c>
      <c r="I56" s="167" t="s">
        <v>429</v>
      </c>
    </row>
    <row r="57" spans="1:9" ht="15.6" x14ac:dyDescent="0.3">
      <c r="A57" s="166" t="s">
        <v>454</v>
      </c>
      <c r="B57" s="166" t="s">
        <v>83</v>
      </c>
      <c r="C57" s="166" t="s">
        <v>84</v>
      </c>
      <c r="D57" s="166" t="s">
        <v>1</v>
      </c>
      <c r="E57" s="166" t="s">
        <v>419</v>
      </c>
      <c r="F57" s="166" t="s">
        <v>89</v>
      </c>
      <c r="G57" s="166" t="s">
        <v>426</v>
      </c>
      <c r="H57" s="166" t="s">
        <v>90</v>
      </c>
      <c r="I57" s="167" t="s">
        <v>429</v>
      </c>
    </row>
    <row r="58" spans="1:9" ht="15.6" x14ac:dyDescent="0.3">
      <c r="A58" s="166" t="s">
        <v>454</v>
      </c>
      <c r="B58" s="166" t="s">
        <v>83</v>
      </c>
      <c r="C58" s="166" t="s">
        <v>100</v>
      </c>
      <c r="D58" s="166" t="s">
        <v>1</v>
      </c>
      <c r="E58" s="166" t="s">
        <v>457</v>
      </c>
      <c r="F58" s="166" t="s">
        <v>89</v>
      </c>
      <c r="G58" s="166" t="s">
        <v>426</v>
      </c>
      <c r="H58" s="166" t="s">
        <v>90</v>
      </c>
      <c r="I58" s="167" t="s">
        <v>429</v>
      </c>
    </row>
    <row r="59" spans="1:9" ht="15.6" x14ac:dyDescent="0.3">
      <c r="A59" s="166" t="s">
        <v>454</v>
      </c>
      <c r="B59" s="166" t="s">
        <v>83</v>
      </c>
      <c r="C59" s="166" t="s">
        <v>102</v>
      </c>
      <c r="D59" s="166" t="s">
        <v>1</v>
      </c>
      <c r="E59" s="166" t="s">
        <v>431</v>
      </c>
      <c r="F59" s="166" t="s">
        <v>89</v>
      </c>
      <c r="G59" s="166" t="s">
        <v>426</v>
      </c>
      <c r="H59" s="166" t="s">
        <v>90</v>
      </c>
      <c r="I59" s="167" t="s">
        <v>429</v>
      </c>
    </row>
    <row r="60" spans="1:9" ht="15.6" x14ac:dyDescent="0.3">
      <c r="A60" s="166" t="s">
        <v>454</v>
      </c>
      <c r="B60" s="166" t="s">
        <v>83</v>
      </c>
      <c r="C60" s="166" t="s">
        <v>104</v>
      </c>
      <c r="D60" s="166" t="s">
        <v>1</v>
      </c>
      <c r="E60" s="166" t="s">
        <v>432</v>
      </c>
      <c r="F60" s="166" t="s">
        <v>89</v>
      </c>
      <c r="G60" s="166" t="s">
        <v>426</v>
      </c>
      <c r="H60" s="166" t="s">
        <v>90</v>
      </c>
      <c r="I60" s="167" t="s">
        <v>429</v>
      </c>
    </row>
    <row r="61" spans="1:9" ht="15.6" x14ac:dyDescent="0.3">
      <c r="A61" s="166" t="s">
        <v>454</v>
      </c>
      <c r="B61" s="166" t="s">
        <v>83</v>
      </c>
      <c r="C61" s="166" t="s">
        <v>103</v>
      </c>
      <c r="D61" s="166" t="s">
        <v>1</v>
      </c>
      <c r="E61" s="166" t="s">
        <v>411</v>
      </c>
      <c r="F61" s="166" t="s">
        <v>89</v>
      </c>
      <c r="G61" s="166" t="s">
        <v>426</v>
      </c>
      <c r="H61" s="166" t="s">
        <v>90</v>
      </c>
      <c r="I61" s="167" t="s">
        <v>421</v>
      </c>
    </row>
    <row r="62" spans="1:9" ht="15.6" x14ac:dyDescent="0.3">
      <c r="A62" s="166" t="s">
        <v>454</v>
      </c>
      <c r="B62" s="166" t="s">
        <v>83</v>
      </c>
      <c r="C62" s="166" t="s">
        <v>91</v>
      </c>
      <c r="D62" s="166" t="s">
        <v>1</v>
      </c>
      <c r="E62" s="166" t="s">
        <v>422</v>
      </c>
      <c r="F62" s="166" t="s">
        <v>89</v>
      </c>
      <c r="G62" s="166" t="s">
        <v>426</v>
      </c>
      <c r="H62" s="166" t="s">
        <v>90</v>
      </c>
      <c r="I62" s="167" t="s">
        <v>429</v>
      </c>
    </row>
    <row r="63" spans="1:9" ht="15.6" x14ac:dyDescent="0.3">
      <c r="A63" s="166" t="s">
        <v>454</v>
      </c>
      <c r="B63" s="166" t="s">
        <v>121</v>
      </c>
      <c r="C63" s="166" t="s">
        <v>128</v>
      </c>
      <c r="D63" s="166" t="s">
        <v>1</v>
      </c>
      <c r="E63" s="166" t="s">
        <v>437</v>
      </c>
      <c r="F63" s="166" t="s">
        <v>125</v>
      </c>
      <c r="G63" s="166" t="s">
        <v>415</v>
      </c>
      <c r="H63" s="166" t="s">
        <v>127</v>
      </c>
      <c r="I63" s="167" t="s">
        <v>458</v>
      </c>
    </row>
    <row r="64" spans="1:9" ht="15.6" x14ac:dyDescent="0.3">
      <c r="A64" s="166" t="s">
        <v>454</v>
      </c>
      <c r="B64" s="166" t="s">
        <v>121</v>
      </c>
      <c r="C64" s="166" t="s">
        <v>122</v>
      </c>
      <c r="D64" s="166" t="s">
        <v>1</v>
      </c>
      <c r="E64" s="166" t="s">
        <v>459</v>
      </c>
      <c r="F64" s="166" t="s">
        <v>125</v>
      </c>
      <c r="G64" s="166" t="s">
        <v>415</v>
      </c>
      <c r="H64" s="166" t="s">
        <v>127</v>
      </c>
      <c r="I64" s="167" t="s">
        <v>458</v>
      </c>
    </row>
    <row r="65" spans="1:9" ht="15.6" x14ac:dyDescent="0.3">
      <c r="A65" s="166" t="s">
        <v>454</v>
      </c>
      <c r="B65" s="166" t="s">
        <v>121</v>
      </c>
      <c r="C65" s="166" t="s">
        <v>132</v>
      </c>
      <c r="D65" s="166" t="s">
        <v>1</v>
      </c>
      <c r="E65" s="166" t="s">
        <v>440</v>
      </c>
      <c r="F65" s="166" t="s">
        <v>125</v>
      </c>
      <c r="G65" s="166" t="s">
        <v>415</v>
      </c>
      <c r="H65" s="166" t="s">
        <v>127</v>
      </c>
      <c r="I65" s="167" t="s">
        <v>436</v>
      </c>
    </row>
    <row r="66" spans="1:9" ht="15.6" x14ac:dyDescent="0.3">
      <c r="A66" s="166" t="s">
        <v>454</v>
      </c>
      <c r="B66" s="166" t="s">
        <v>121</v>
      </c>
      <c r="C66" s="166" t="s">
        <v>131</v>
      </c>
      <c r="D66" s="166" t="s">
        <v>1</v>
      </c>
      <c r="E66" s="166" t="s">
        <v>439</v>
      </c>
      <c r="F66" s="166" t="s">
        <v>125</v>
      </c>
      <c r="G66" s="166" t="s">
        <v>415</v>
      </c>
      <c r="H66" s="166" t="s">
        <v>130</v>
      </c>
      <c r="I66" s="167" t="s">
        <v>438</v>
      </c>
    </row>
    <row r="67" spans="1:9" ht="15.6" x14ac:dyDescent="0.3">
      <c r="A67" s="166" t="s">
        <v>454</v>
      </c>
      <c r="B67" s="166" t="s">
        <v>35</v>
      </c>
      <c r="C67" s="166" t="s">
        <v>36</v>
      </c>
      <c r="D67" s="166" t="s">
        <v>1</v>
      </c>
      <c r="E67" s="166" t="s">
        <v>411</v>
      </c>
      <c r="F67" s="166" t="s">
        <v>43</v>
      </c>
      <c r="G67" s="166" t="s">
        <v>418</v>
      </c>
      <c r="H67" s="166" t="s">
        <v>44</v>
      </c>
      <c r="I67" s="168" t="s">
        <v>442</v>
      </c>
    </row>
    <row r="68" spans="1:9" ht="15.6" x14ac:dyDescent="0.3">
      <c r="A68" s="166" t="s">
        <v>454</v>
      </c>
      <c r="B68" s="166" t="s">
        <v>35</v>
      </c>
      <c r="C68" s="166" t="s">
        <v>45</v>
      </c>
      <c r="D68" s="166" t="s">
        <v>1</v>
      </c>
      <c r="E68" s="166" t="s">
        <v>412</v>
      </c>
      <c r="F68" s="166" t="s">
        <v>43</v>
      </c>
      <c r="G68" s="166" t="s">
        <v>460</v>
      </c>
      <c r="H68" s="166" t="s">
        <v>44</v>
      </c>
      <c r="I68" s="168" t="s">
        <v>448</v>
      </c>
    </row>
    <row r="69" spans="1:9" ht="15.6" x14ac:dyDescent="0.3">
      <c r="A69" s="166" t="s">
        <v>454</v>
      </c>
      <c r="B69" s="166" t="s">
        <v>35</v>
      </c>
      <c r="C69" s="166" t="s">
        <v>47</v>
      </c>
      <c r="D69" s="166" t="s">
        <v>1</v>
      </c>
      <c r="E69" s="166" t="s">
        <v>413</v>
      </c>
      <c r="F69" s="166" t="s">
        <v>43</v>
      </c>
      <c r="G69" s="166" t="s">
        <v>460</v>
      </c>
      <c r="H69" s="166" t="s">
        <v>44</v>
      </c>
      <c r="I69" s="168" t="s">
        <v>448</v>
      </c>
    </row>
    <row r="70" spans="1:9" ht="15.6" x14ac:dyDescent="0.3">
      <c r="A70" s="166" t="s">
        <v>454</v>
      </c>
      <c r="B70" s="166" t="s">
        <v>121</v>
      </c>
      <c r="C70" s="166" t="s">
        <v>145</v>
      </c>
      <c r="D70" s="166" t="s">
        <v>1</v>
      </c>
      <c r="E70" s="166" t="s">
        <v>461</v>
      </c>
      <c r="F70" s="166" t="s">
        <v>125</v>
      </c>
      <c r="G70" s="166" t="s">
        <v>415</v>
      </c>
      <c r="H70" s="166" t="s">
        <v>136</v>
      </c>
      <c r="I70" s="169" t="s">
        <v>462</v>
      </c>
    </row>
    <row r="71" spans="1:9" ht="15.6" x14ac:dyDescent="0.3">
      <c r="A71" s="166" t="s">
        <v>454</v>
      </c>
      <c r="B71" s="166" t="s">
        <v>121</v>
      </c>
      <c r="C71" s="166" t="s">
        <v>139</v>
      </c>
      <c r="D71" s="166" t="s">
        <v>1</v>
      </c>
      <c r="E71" s="166" t="s">
        <v>411</v>
      </c>
      <c r="F71" s="166" t="s">
        <v>125</v>
      </c>
      <c r="G71" s="166" t="s">
        <v>433</v>
      </c>
      <c r="H71" s="166" t="s">
        <v>207</v>
      </c>
      <c r="I71" s="168" t="s">
        <v>463</v>
      </c>
    </row>
    <row r="72" spans="1:9" ht="15.6" x14ac:dyDescent="0.3">
      <c r="A72" s="166" t="s">
        <v>454</v>
      </c>
      <c r="B72" s="166" t="s">
        <v>121</v>
      </c>
      <c r="C72" s="166" t="s">
        <v>140</v>
      </c>
      <c r="D72" s="166" t="s">
        <v>1</v>
      </c>
      <c r="E72" s="166" t="s">
        <v>443</v>
      </c>
      <c r="F72" s="166" t="s">
        <v>125</v>
      </c>
      <c r="G72" s="166" t="s">
        <v>433</v>
      </c>
      <c r="H72" s="166" t="s">
        <v>207</v>
      </c>
      <c r="I72" s="168" t="s">
        <v>463</v>
      </c>
    </row>
    <row r="73" spans="1:9" ht="15.6" x14ac:dyDescent="0.3">
      <c r="A73" s="166" t="s">
        <v>454</v>
      </c>
      <c r="B73" s="166" t="s">
        <v>121</v>
      </c>
      <c r="C73" s="166" t="s">
        <v>134</v>
      </c>
      <c r="D73" s="166" t="s">
        <v>1</v>
      </c>
      <c r="E73" s="166" t="s">
        <v>446</v>
      </c>
      <c r="F73" s="166" t="s">
        <v>125</v>
      </c>
      <c r="G73" s="166" t="s">
        <v>415</v>
      </c>
      <c r="H73" s="166" t="s">
        <v>206</v>
      </c>
      <c r="I73" s="168" t="s">
        <v>464</v>
      </c>
    </row>
    <row r="74" spans="1:9" ht="15.6" x14ac:dyDescent="0.3">
      <c r="A74" s="164" t="s">
        <v>465</v>
      </c>
      <c r="B74" s="164" t="s">
        <v>55</v>
      </c>
      <c r="C74" s="164" t="s">
        <v>56</v>
      </c>
      <c r="D74" s="164" t="s">
        <v>1</v>
      </c>
      <c r="E74" s="164" t="s">
        <v>338</v>
      </c>
      <c r="F74" s="164" t="s">
        <v>57</v>
      </c>
      <c r="G74" s="164" t="s">
        <v>415</v>
      </c>
      <c r="H74" s="164" t="s">
        <v>30</v>
      </c>
      <c r="I74" s="165" t="s">
        <v>416</v>
      </c>
    </row>
    <row r="75" spans="1:9" ht="15.6" x14ac:dyDescent="0.3">
      <c r="A75" s="164" t="s">
        <v>465</v>
      </c>
      <c r="B75" s="164" t="s">
        <v>55</v>
      </c>
      <c r="C75" s="164" t="s">
        <v>62</v>
      </c>
      <c r="D75" s="164" t="s">
        <v>1</v>
      </c>
      <c r="E75" s="164" t="s">
        <v>370</v>
      </c>
      <c r="F75" s="164" t="s">
        <v>57</v>
      </c>
      <c r="G75" s="164" t="s">
        <v>415</v>
      </c>
      <c r="H75" s="164" t="s">
        <v>30</v>
      </c>
      <c r="I75" s="165" t="s">
        <v>416</v>
      </c>
    </row>
    <row r="76" spans="1:9" ht="15.6" x14ac:dyDescent="0.3">
      <c r="A76" s="164" t="s">
        <v>465</v>
      </c>
      <c r="B76" s="164" t="s">
        <v>55</v>
      </c>
      <c r="C76" s="164" t="s">
        <v>65</v>
      </c>
      <c r="D76" s="164" t="s">
        <v>1</v>
      </c>
      <c r="E76" s="164" t="s">
        <v>362</v>
      </c>
      <c r="F76" s="164" t="s">
        <v>57</v>
      </c>
      <c r="G76" s="164" t="s">
        <v>415</v>
      </c>
      <c r="H76" s="164" t="s">
        <v>30</v>
      </c>
      <c r="I76" s="165" t="s">
        <v>416</v>
      </c>
    </row>
    <row r="77" spans="1:9" ht="15.6" x14ac:dyDescent="0.3">
      <c r="A77" s="164" t="s">
        <v>465</v>
      </c>
      <c r="B77" s="164" t="s">
        <v>55</v>
      </c>
      <c r="C77" s="164" t="s">
        <v>68</v>
      </c>
      <c r="D77" s="164" t="s">
        <v>1</v>
      </c>
      <c r="E77" s="164" t="s">
        <v>364</v>
      </c>
      <c r="F77" s="164" t="s">
        <v>57</v>
      </c>
      <c r="G77" s="164" t="s">
        <v>415</v>
      </c>
      <c r="H77" s="164" t="s">
        <v>30</v>
      </c>
      <c r="I77" s="165" t="s">
        <v>416</v>
      </c>
    </row>
    <row r="78" spans="1:9" ht="15.6" x14ac:dyDescent="0.3">
      <c r="A78" s="164" t="s">
        <v>465</v>
      </c>
      <c r="B78" s="164" t="s">
        <v>55</v>
      </c>
      <c r="C78" s="164" t="s">
        <v>196</v>
      </c>
      <c r="D78" s="164" t="s">
        <v>1</v>
      </c>
      <c r="E78" s="164" t="s">
        <v>301</v>
      </c>
      <c r="F78" s="164" t="s">
        <v>57</v>
      </c>
      <c r="G78" s="164" t="s">
        <v>415</v>
      </c>
      <c r="H78" s="164" t="s">
        <v>30</v>
      </c>
      <c r="I78" s="165" t="s">
        <v>416</v>
      </c>
    </row>
    <row r="79" spans="1:9" ht="15.6" x14ac:dyDescent="0.3">
      <c r="A79" s="164" t="s">
        <v>465</v>
      </c>
      <c r="B79" s="164" t="s">
        <v>55</v>
      </c>
      <c r="C79" s="164" t="s">
        <v>73</v>
      </c>
      <c r="D79" s="164" t="s">
        <v>1</v>
      </c>
      <c r="E79" s="164" t="s">
        <v>375</v>
      </c>
      <c r="F79" s="164" t="s">
        <v>57</v>
      </c>
      <c r="G79" s="164" t="s">
        <v>423</v>
      </c>
      <c r="H79" s="164" t="s">
        <v>74</v>
      </c>
      <c r="I79" s="165" t="s">
        <v>416</v>
      </c>
    </row>
    <row r="80" spans="1:9" ht="15.6" x14ac:dyDescent="0.3">
      <c r="A80" s="166" t="s">
        <v>465</v>
      </c>
      <c r="B80" s="166" t="s">
        <v>110</v>
      </c>
      <c r="C80" s="166" t="s">
        <v>173</v>
      </c>
      <c r="D80" s="166" t="s">
        <v>1</v>
      </c>
      <c r="E80" s="166" t="s">
        <v>450</v>
      </c>
      <c r="F80" s="166" t="s">
        <v>43</v>
      </c>
      <c r="G80" s="166" t="s">
        <v>426</v>
      </c>
      <c r="H80" s="166" t="s">
        <v>219</v>
      </c>
      <c r="I80" s="167" t="s">
        <v>424</v>
      </c>
    </row>
    <row r="81" spans="1:9" ht="15.6" x14ac:dyDescent="0.3">
      <c r="A81" s="166" t="s">
        <v>465</v>
      </c>
      <c r="B81" s="166" t="s">
        <v>110</v>
      </c>
      <c r="C81" s="166" t="s">
        <v>220</v>
      </c>
      <c r="D81" s="166" t="s">
        <v>1</v>
      </c>
      <c r="E81" s="166" t="s">
        <v>466</v>
      </c>
      <c r="F81" s="166" t="s">
        <v>43</v>
      </c>
      <c r="G81" s="166" t="s">
        <v>426</v>
      </c>
      <c r="H81" s="166" t="s">
        <v>222</v>
      </c>
      <c r="I81" s="167" t="s">
        <v>436</v>
      </c>
    </row>
    <row r="82" spans="1:9" ht="15.6" x14ac:dyDescent="0.3">
      <c r="A82" s="166" t="s">
        <v>465</v>
      </c>
      <c r="B82" s="166" t="s">
        <v>83</v>
      </c>
      <c r="C82" s="166" t="s">
        <v>102</v>
      </c>
      <c r="D82" s="166" t="s">
        <v>1</v>
      </c>
      <c r="E82" s="166" t="s">
        <v>431</v>
      </c>
      <c r="F82" s="166" t="s">
        <v>89</v>
      </c>
      <c r="G82" s="166" t="s">
        <v>420</v>
      </c>
      <c r="H82" s="166" t="s">
        <v>34</v>
      </c>
      <c r="I82" s="167" t="s">
        <v>467</v>
      </c>
    </row>
    <row r="83" spans="1:9" ht="15.6" x14ac:dyDescent="0.3">
      <c r="A83" s="166" t="s">
        <v>465</v>
      </c>
      <c r="B83" s="166" t="s">
        <v>83</v>
      </c>
      <c r="C83" s="166" t="s">
        <v>94</v>
      </c>
      <c r="D83" s="166" t="s">
        <v>1</v>
      </c>
      <c r="E83" s="166" t="s">
        <v>428</v>
      </c>
      <c r="F83" s="166" t="s">
        <v>89</v>
      </c>
      <c r="G83" s="166" t="s">
        <v>423</v>
      </c>
      <c r="H83" s="166" t="s">
        <v>90</v>
      </c>
      <c r="I83" s="167" t="s">
        <v>429</v>
      </c>
    </row>
    <row r="84" spans="1:9" ht="15.6" x14ac:dyDescent="0.3">
      <c r="A84" s="166" t="s">
        <v>465</v>
      </c>
      <c r="B84" s="166" t="s">
        <v>83</v>
      </c>
      <c r="C84" s="166" t="s">
        <v>100</v>
      </c>
      <c r="D84" s="166" t="s">
        <v>1</v>
      </c>
      <c r="E84" s="166" t="s">
        <v>430</v>
      </c>
      <c r="F84" s="166" t="s">
        <v>89</v>
      </c>
      <c r="G84" s="166" t="s">
        <v>444</v>
      </c>
      <c r="H84" s="166" t="s">
        <v>90</v>
      </c>
      <c r="I84" s="167" t="s">
        <v>429</v>
      </c>
    </row>
    <row r="85" spans="1:9" ht="15.6" x14ac:dyDescent="0.3">
      <c r="A85" s="166" t="s">
        <v>465</v>
      </c>
      <c r="B85" s="166" t="s">
        <v>83</v>
      </c>
      <c r="C85" s="166" t="s">
        <v>101</v>
      </c>
      <c r="D85" s="166" t="s">
        <v>1</v>
      </c>
      <c r="E85" s="166" t="s">
        <v>321</v>
      </c>
      <c r="F85" s="166" t="s">
        <v>89</v>
      </c>
      <c r="G85" s="166" t="s">
        <v>426</v>
      </c>
      <c r="H85" s="166" t="s">
        <v>90</v>
      </c>
      <c r="I85" s="167" t="s">
        <v>429</v>
      </c>
    </row>
    <row r="86" spans="1:9" ht="15.6" x14ac:dyDescent="0.3">
      <c r="A86" s="166" t="s">
        <v>465</v>
      </c>
      <c r="B86" s="166" t="s">
        <v>83</v>
      </c>
      <c r="C86" s="166" t="s">
        <v>104</v>
      </c>
      <c r="D86" s="166" t="s">
        <v>1</v>
      </c>
      <c r="E86" s="166" t="s">
        <v>432</v>
      </c>
      <c r="F86" s="166" t="s">
        <v>89</v>
      </c>
      <c r="G86" s="166" t="s">
        <v>420</v>
      </c>
      <c r="H86" s="166" t="s">
        <v>90</v>
      </c>
      <c r="I86" s="167" t="s">
        <v>429</v>
      </c>
    </row>
    <row r="87" spans="1:9" ht="15.6" x14ac:dyDescent="0.3">
      <c r="A87" s="166" t="s">
        <v>465</v>
      </c>
      <c r="B87" s="166" t="s">
        <v>83</v>
      </c>
      <c r="C87" s="166" t="s">
        <v>84</v>
      </c>
      <c r="D87" s="166" t="s">
        <v>1</v>
      </c>
      <c r="E87" s="166" t="s">
        <v>419</v>
      </c>
      <c r="F87" s="166" t="s">
        <v>89</v>
      </c>
      <c r="G87" s="166" t="s">
        <v>426</v>
      </c>
      <c r="H87" s="166" t="s">
        <v>99</v>
      </c>
      <c r="I87" s="167" t="s">
        <v>468</v>
      </c>
    </row>
    <row r="88" spans="1:9" ht="15.6" x14ac:dyDescent="0.3">
      <c r="A88" s="166" t="s">
        <v>465</v>
      </c>
      <c r="B88" s="166" t="s">
        <v>83</v>
      </c>
      <c r="C88" s="166" t="s">
        <v>91</v>
      </c>
      <c r="D88" s="166" t="s">
        <v>1</v>
      </c>
      <c r="E88" s="166" t="s">
        <v>422</v>
      </c>
      <c r="F88" s="166" t="s">
        <v>89</v>
      </c>
      <c r="G88" s="166" t="s">
        <v>426</v>
      </c>
      <c r="H88" s="166" t="s">
        <v>99</v>
      </c>
      <c r="I88" s="167" t="s">
        <v>434</v>
      </c>
    </row>
    <row r="89" spans="1:9" ht="15.6" x14ac:dyDescent="0.3">
      <c r="A89" s="166" t="s">
        <v>465</v>
      </c>
      <c r="B89" s="166" t="s">
        <v>121</v>
      </c>
      <c r="C89" s="166" t="s">
        <v>128</v>
      </c>
      <c r="D89" s="166" t="s">
        <v>1</v>
      </c>
      <c r="E89" s="166" t="s">
        <v>437</v>
      </c>
      <c r="F89" s="166" t="s">
        <v>125</v>
      </c>
      <c r="G89" s="166" t="s">
        <v>415</v>
      </c>
      <c r="H89" s="166" t="s">
        <v>127</v>
      </c>
      <c r="I89" s="167" t="s">
        <v>458</v>
      </c>
    </row>
    <row r="90" spans="1:9" ht="15.6" x14ac:dyDescent="0.3">
      <c r="A90" s="166" t="s">
        <v>465</v>
      </c>
      <c r="B90" s="166" t="s">
        <v>121</v>
      </c>
      <c r="C90" s="166" t="s">
        <v>145</v>
      </c>
      <c r="D90" s="166" t="s">
        <v>1</v>
      </c>
      <c r="E90" s="166" t="s">
        <v>461</v>
      </c>
      <c r="F90" s="166" t="s">
        <v>125</v>
      </c>
      <c r="G90" s="166" t="s">
        <v>415</v>
      </c>
      <c r="H90" s="166" t="s">
        <v>127</v>
      </c>
      <c r="I90" s="167" t="s">
        <v>458</v>
      </c>
    </row>
    <row r="91" spans="1:9" ht="15.6" x14ac:dyDescent="0.3">
      <c r="A91" s="166" t="s">
        <v>465</v>
      </c>
      <c r="B91" s="166" t="s">
        <v>121</v>
      </c>
      <c r="C91" s="166" t="s">
        <v>122</v>
      </c>
      <c r="D91" s="166" t="s">
        <v>1</v>
      </c>
      <c r="E91" s="166" t="s">
        <v>435</v>
      </c>
      <c r="F91" s="166" t="s">
        <v>125</v>
      </c>
      <c r="G91" s="166" t="s">
        <v>415</v>
      </c>
      <c r="H91" s="166" t="s">
        <v>127</v>
      </c>
      <c r="I91" s="167" t="s">
        <v>458</v>
      </c>
    </row>
    <row r="92" spans="1:9" ht="15.6" x14ac:dyDescent="0.3">
      <c r="A92" s="166" t="s">
        <v>465</v>
      </c>
      <c r="B92" s="166" t="s">
        <v>121</v>
      </c>
      <c r="C92" s="166" t="s">
        <v>132</v>
      </c>
      <c r="D92" s="166" t="s">
        <v>1</v>
      </c>
      <c r="E92" s="166" t="s">
        <v>440</v>
      </c>
      <c r="F92" s="166" t="s">
        <v>125</v>
      </c>
      <c r="G92" s="166" t="s">
        <v>415</v>
      </c>
      <c r="H92" s="166" t="s">
        <v>127</v>
      </c>
      <c r="I92" s="167" t="s">
        <v>458</v>
      </c>
    </row>
    <row r="93" spans="1:9" ht="15.6" x14ac:dyDescent="0.3">
      <c r="A93" s="166" t="s">
        <v>465</v>
      </c>
      <c r="B93" s="166" t="s">
        <v>121</v>
      </c>
      <c r="C93" s="166" t="s">
        <v>134</v>
      </c>
      <c r="D93" s="166" t="s">
        <v>1</v>
      </c>
      <c r="E93" s="166" t="s">
        <v>446</v>
      </c>
      <c r="F93" s="166" t="s">
        <v>125</v>
      </c>
      <c r="G93" s="166" t="s">
        <v>415</v>
      </c>
      <c r="H93" s="166" t="s">
        <v>178</v>
      </c>
      <c r="I93" s="167" t="s">
        <v>451</v>
      </c>
    </row>
    <row r="94" spans="1:9" ht="15.6" x14ac:dyDescent="0.3">
      <c r="A94" s="166" t="s">
        <v>465</v>
      </c>
      <c r="B94" s="166" t="s">
        <v>121</v>
      </c>
      <c r="C94" s="166" t="s">
        <v>131</v>
      </c>
      <c r="D94" s="166" t="s">
        <v>1</v>
      </c>
      <c r="E94" s="166" t="s">
        <v>439</v>
      </c>
      <c r="F94" s="166" t="s">
        <v>125</v>
      </c>
      <c r="G94" s="166" t="s">
        <v>415</v>
      </c>
      <c r="H94" s="166" t="s">
        <v>130</v>
      </c>
      <c r="I94" s="167" t="s">
        <v>452</v>
      </c>
    </row>
    <row r="95" spans="1:9" ht="15.6" x14ac:dyDescent="0.3">
      <c r="A95" s="166" t="s">
        <v>465</v>
      </c>
      <c r="B95" s="166" t="s">
        <v>121</v>
      </c>
      <c r="C95" s="166" t="s">
        <v>133</v>
      </c>
      <c r="D95" s="166" t="s">
        <v>1</v>
      </c>
      <c r="E95" s="166" t="s">
        <v>441</v>
      </c>
      <c r="F95" s="166" t="s">
        <v>125</v>
      </c>
      <c r="G95" s="166" t="s">
        <v>415</v>
      </c>
      <c r="H95" s="166" t="s">
        <v>130</v>
      </c>
      <c r="I95" s="167" t="s">
        <v>469</v>
      </c>
    </row>
    <row r="96" spans="1:9" ht="15.6" x14ac:dyDescent="0.3">
      <c r="A96" s="166" t="s">
        <v>465</v>
      </c>
      <c r="B96" s="166" t="s">
        <v>121</v>
      </c>
      <c r="C96" s="166" t="s">
        <v>142</v>
      </c>
      <c r="D96" s="166" t="s">
        <v>1</v>
      </c>
      <c r="E96" s="166" t="s">
        <v>470</v>
      </c>
      <c r="F96" s="166" t="s">
        <v>125</v>
      </c>
      <c r="G96" s="166" t="s">
        <v>415</v>
      </c>
      <c r="H96" s="166" t="s">
        <v>130</v>
      </c>
      <c r="I96" s="167" t="s">
        <v>452</v>
      </c>
    </row>
    <row r="97" spans="1:9" ht="15.6" x14ac:dyDescent="0.3">
      <c r="A97" s="166" t="s">
        <v>465</v>
      </c>
      <c r="B97" s="166" t="s">
        <v>35</v>
      </c>
      <c r="C97" s="166" t="s">
        <v>36</v>
      </c>
      <c r="D97" s="166" t="s">
        <v>1</v>
      </c>
      <c r="E97" s="166" t="s">
        <v>411</v>
      </c>
      <c r="F97" s="166" t="s">
        <v>43</v>
      </c>
      <c r="G97" s="166" t="s">
        <v>420</v>
      </c>
      <c r="H97" s="166" t="s">
        <v>44</v>
      </c>
      <c r="I97" s="168" t="s">
        <v>448</v>
      </c>
    </row>
    <row r="98" spans="1:9" ht="15.6" x14ac:dyDescent="0.3">
      <c r="A98" s="166" t="s">
        <v>465</v>
      </c>
      <c r="B98" s="166" t="s">
        <v>35</v>
      </c>
      <c r="C98" s="166" t="s">
        <v>50</v>
      </c>
      <c r="D98" s="166" t="s">
        <v>1</v>
      </c>
      <c r="E98" s="166" t="s">
        <v>443</v>
      </c>
      <c r="F98" s="166" t="s">
        <v>43</v>
      </c>
      <c r="G98" s="166" t="s">
        <v>418</v>
      </c>
      <c r="H98" s="166" t="s">
        <v>44</v>
      </c>
      <c r="I98" s="168" t="s">
        <v>448</v>
      </c>
    </row>
    <row r="99" spans="1:9" ht="15.6" x14ac:dyDescent="0.3">
      <c r="A99" s="166" t="s">
        <v>465</v>
      </c>
      <c r="B99" s="166" t="s">
        <v>35</v>
      </c>
      <c r="C99" s="166" t="s">
        <v>45</v>
      </c>
      <c r="D99" s="166" t="s">
        <v>1</v>
      </c>
      <c r="E99" s="166" t="s">
        <v>412</v>
      </c>
      <c r="F99" s="166" t="s">
        <v>43</v>
      </c>
      <c r="G99" s="166" t="s">
        <v>471</v>
      </c>
      <c r="H99" s="166" t="s">
        <v>44</v>
      </c>
      <c r="I99" s="168" t="s">
        <v>448</v>
      </c>
    </row>
    <row r="100" spans="1:9" ht="15.6" x14ac:dyDescent="0.3">
      <c r="A100" s="166" t="s">
        <v>465</v>
      </c>
      <c r="B100" s="166" t="s">
        <v>35</v>
      </c>
      <c r="C100" s="166" t="s">
        <v>47</v>
      </c>
      <c r="D100" s="166" t="s">
        <v>1</v>
      </c>
      <c r="E100" s="166" t="s">
        <v>413</v>
      </c>
      <c r="F100" s="166" t="s">
        <v>43</v>
      </c>
      <c r="G100" s="166" t="s">
        <v>471</v>
      </c>
      <c r="H100" s="166" t="s">
        <v>44</v>
      </c>
      <c r="I100" s="168" t="s">
        <v>445</v>
      </c>
    </row>
    <row r="101" spans="1:9" ht="15.6" x14ac:dyDescent="0.3">
      <c r="A101" s="166" t="s">
        <v>465</v>
      </c>
      <c r="B101" s="166" t="s">
        <v>121</v>
      </c>
      <c r="C101" s="166" t="s">
        <v>140</v>
      </c>
      <c r="D101" s="166" t="s">
        <v>1</v>
      </c>
      <c r="E101" s="166" t="s">
        <v>443</v>
      </c>
      <c r="F101" s="166" t="s">
        <v>125</v>
      </c>
      <c r="G101" s="166" t="s">
        <v>433</v>
      </c>
      <c r="H101" s="166" t="s">
        <v>207</v>
      </c>
      <c r="I101" s="168" t="s">
        <v>472</v>
      </c>
    </row>
    <row r="102" spans="1:9" ht="15.6" x14ac:dyDescent="0.3">
      <c r="A102" s="166" t="s">
        <v>465</v>
      </c>
      <c r="B102" s="166" t="s">
        <v>121</v>
      </c>
      <c r="C102" s="166" t="s">
        <v>137</v>
      </c>
      <c r="D102" s="166" t="s">
        <v>1</v>
      </c>
      <c r="E102" s="166" t="s">
        <v>413</v>
      </c>
      <c r="F102" s="166" t="s">
        <v>125</v>
      </c>
      <c r="G102" s="166" t="s">
        <v>433</v>
      </c>
      <c r="H102" s="166" t="s">
        <v>138</v>
      </c>
      <c r="I102" s="168" t="s">
        <v>448</v>
      </c>
    </row>
    <row r="103" spans="1:9" ht="15.6" x14ac:dyDescent="0.3">
      <c r="A103" s="164" t="s">
        <v>473</v>
      </c>
      <c r="B103" s="164" t="s">
        <v>55</v>
      </c>
      <c r="C103" s="164" t="s">
        <v>192</v>
      </c>
      <c r="D103" s="164" t="s">
        <v>1</v>
      </c>
      <c r="E103" s="164" t="s">
        <v>380</v>
      </c>
      <c r="F103" s="164" t="s">
        <v>57</v>
      </c>
      <c r="G103" s="164" t="s">
        <v>471</v>
      </c>
      <c r="H103" s="164" t="s">
        <v>30</v>
      </c>
      <c r="I103" s="165" t="s">
        <v>416</v>
      </c>
    </row>
    <row r="104" spans="1:9" ht="15.6" x14ac:dyDescent="0.3">
      <c r="A104" s="164" t="s">
        <v>473</v>
      </c>
      <c r="B104" s="164" t="s">
        <v>55</v>
      </c>
      <c r="C104" s="164" t="s">
        <v>65</v>
      </c>
      <c r="D104" s="164" t="s">
        <v>1</v>
      </c>
      <c r="E104" s="164" t="s">
        <v>345</v>
      </c>
      <c r="F104" s="164" t="s">
        <v>57</v>
      </c>
      <c r="G104" s="164" t="s">
        <v>415</v>
      </c>
      <c r="H104" s="164" t="s">
        <v>30</v>
      </c>
      <c r="I104" s="165" t="s">
        <v>416</v>
      </c>
    </row>
    <row r="105" spans="1:9" ht="15.6" x14ac:dyDescent="0.3">
      <c r="A105" s="164" t="s">
        <v>473</v>
      </c>
      <c r="B105" s="164" t="s">
        <v>55</v>
      </c>
      <c r="C105" s="164" t="s">
        <v>68</v>
      </c>
      <c r="D105" s="164" t="s">
        <v>1</v>
      </c>
      <c r="E105" s="164" t="s">
        <v>384</v>
      </c>
      <c r="F105" s="164" t="s">
        <v>57</v>
      </c>
      <c r="G105" s="164" t="s">
        <v>415</v>
      </c>
      <c r="H105" s="164" t="s">
        <v>58</v>
      </c>
      <c r="I105" s="165" t="s">
        <v>416</v>
      </c>
    </row>
    <row r="106" spans="1:9" ht="15.6" x14ac:dyDescent="0.3">
      <c r="A106" s="166" t="s">
        <v>473</v>
      </c>
      <c r="B106" s="166" t="s">
        <v>110</v>
      </c>
      <c r="C106" s="166" t="s">
        <v>111</v>
      </c>
      <c r="D106" s="166" t="s">
        <v>1</v>
      </c>
      <c r="E106" s="166" t="s">
        <v>474</v>
      </c>
      <c r="F106" s="166" t="s">
        <v>43</v>
      </c>
      <c r="G106" s="166" t="s">
        <v>426</v>
      </c>
      <c r="H106" s="166" t="s">
        <v>232</v>
      </c>
      <c r="I106" s="167" t="s">
        <v>475</v>
      </c>
    </row>
    <row r="107" spans="1:9" ht="15.6" x14ac:dyDescent="0.3">
      <c r="A107" s="166" t="s">
        <v>473</v>
      </c>
      <c r="B107" s="166" t="s">
        <v>110</v>
      </c>
      <c r="C107" s="166" t="s">
        <v>173</v>
      </c>
      <c r="D107" s="166" t="s">
        <v>1</v>
      </c>
      <c r="E107" s="166" t="s">
        <v>455</v>
      </c>
      <c r="F107" s="166" t="s">
        <v>43</v>
      </c>
      <c r="G107" s="166" t="s">
        <v>426</v>
      </c>
      <c r="H107" s="166" t="s">
        <v>234</v>
      </c>
      <c r="I107" s="167" t="s">
        <v>456</v>
      </c>
    </row>
    <row r="108" spans="1:9" ht="15.6" x14ac:dyDescent="0.3">
      <c r="A108" s="166" t="s">
        <v>473</v>
      </c>
      <c r="B108" s="166" t="s">
        <v>83</v>
      </c>
      <c r="C108" s="166" t="s">
        <v>84</v>
      </c>
      <c r="D108" s="166" t="s">
        <v>1</v>
      </c>
      <c r="E108" s="166" t="s">
        <v>419</v>
      </c>
      <c r="F108" s="166" t="s">
        <v>89</v>
      </c>
      <c r="G108" s="166" t="s">
        <v>426</v>
      </c>
      <c r="H108" s="166" t="s">
        <v>90</v>
      </c>
      <c r="I108" s="167" t="s">
        <v>421</v>
      </c>
    </row>
    <row r="109" spans="1:9" ht="15.6" x14ac:dyDescent="0.3">
      <c r="A109" s="166" t="s">
        <v>473</v>
      </c>
      <c r="B109" s="166" t="s">
        <v>83</v>
      </c>
      <c r="C109" s="166" t="s">
        <v>100</v>
      </c>
      <c r="D109" s="166" t="s">
        <v>1</v>
      </c>
      <c r="E109" s="166" t="s">
        <v>457</v>
      </c>
      <c r="F109" s="166" t="s">
        <v>89</v>
      </c>
      <c r="G109" s="166" t="s">
        <v>420</v>
      </c>
      <c r="H109" s="166" t="s">
        <v>90</v>
      </c>
      <c r="I109" s="167" t="s">
        <v>421</v>
      </c>
    </row>
    <row r="110" spans="1:9" ht="15.6" x14ac:dyDescent="0.3">
      <c r="A110" s="166" t="s">
        <v>473</v>
      </c>
      <c r="B110" s="166" t="s">
        <v>83</v>
      </c>
      <c r="C110" s="166" t="s">
        <v>101</v>
      </c>
      <c r="D110" s="166" t="s">
        <v>1</v>
      </c>
      <c r="E110" s="166" t="s">
        <v>321</v>
      </c>
      <c r="F110" s="166" t="s">
        <v>89</v>
      </c>
      <c r="G110" s="166" t="s">
        <v>417</v>
      </c>
      <c r="H110" s="166" t="s">
        <v>90</v>
      </c>
      <c r="I110" s="167" t="s">
        <v>421</v>
      </c>
    </row>
    <row r="111" spans="1:9" ht="15.6" x14ac:dyDescent="0.3">
      <c r="A111" s="166" t="s">
        <v>473</v>
      </c>
      <c r="B111" s="166" t="s">
        <v>83</v>
      </c>
      <c r="C111" s="166" t="s">
        <v>102</v>
      </c>
      <c r="D111" s="166" t="s">
        <v>1</v>
      </c>
      <c r="E111" s="166" t="s">
        <v>431</v>
      </c>
      <c r="F111" s="166" t="s">
        <v>89</v>
      </c>
      <c r="G111" s="166" t="s">
        <v>426</v>
      </c>
      <c r="H111" s="166" t="s">
        <v>90</v>
      </c>
      <c r="I111" s="167" t="s">
        <v>421</v>
      </c>
    </row>
    <row r="112" spans="1:9" ht="15.6" x14ac:dyDescent="0.3">
      <c r="A112" s="166" t="s">
        <v>473</v>
      </c>
      <c r="B112" s="166" t="s">
        <v>83</v>
      </c>
      <c r="C112" s="166" t="s">
        <v>104</v>
      </c>
      <c r="D112" s="166" t="s">
        <v>1</v>
      </c>
      <c r="E112" s="166" t="s">
        <v>432</v>
      </c>
      <c r="F112" s="166" t="s">
        <v>89</v>
      </c>
      <c r="G112" s="166" t="s">
        <v>426</v>
      </c>
      <c r="H112" s="166" t="s">
        <v>90</v>
      </c>
      <c r="I112" s="167" t="s">
        <v>429</v>
      </c>
    </row>
    <row r="113" spans="1:9" ht="15.6" x14ac:dyDescent="0.3">
      <c r="A113" s="166" t="s">
        <v>473</v>
      </c>
      <c r="B113" s="166" t="s">
        <v>83</v>
      </c>
      <c r="C113" s="166" t="s">
        <v>91</v>
      </c>
      <c r="D113" s="166" t="s">
        <v>1</v>
      </c>
      <c r="E113" s="166" t="s">
        <v>422</v>
      </c>
      <c r="F113" s="166" t="s">
        <v>89</v>
      </c>
      <c r="G113" s="166" t="s">
        <v>433</v>
      </c>
      <c r="H113" s="166" t="s">
        <v>90</v>
      </c>
      <c r="I113" s="167" t="s">
        <v>421</v>
      </c>
    </row>
    <row r="114" spans="1:9" ht="15.6" x14ac:dyDescent="0.3">
      <c r="A114" s="166" t="s">
        <v>473</v>
      </c>
      <c r="B114" s="166" t="s">
        <v>83</v>
      </c>
      <c r="C114" s="166" t="s">
        <v>94</v>
      </c>
      <c r="D114" s="166" t="s">
        <v>1</v>
      </c>
      <c r="E114" s="166" t="s">
        <v>428</v>
      </c>
      <c r="F114" s="166" t="s">
        <v>89</v>
      </c>
      <c r="G114" s="166" t="s">
        <v>426</v>
      </c>
      <c r="H114" s="166" t="s">
        <v>99</v>
      </c>
      <c r="I114" s="167" t="s">
        <v>434</v>
      </c>
    </row>
    <row r="115" spans="1:9" ht="15.6" x14ac:dyDescent="0.3">
      <c r="A115" s="166" t="s">
        <v>473</v>
      </c>
      <c r="B115" s="166" t="s">
        <v>121</v>
      </c>
      <c r="C115" s="166" t="s">
        <v>128</v>
      </c>
      <c r="D115" s="166" t="s">
        <v>1</v>
      </c>
      <c r="E115" s="166" t="s">
        <v>437</v>
      </c>
      <c r="F115" s="166" t="s">
        <v>125</v>
      </c>
      <c r="G115" s="166" t="s">
        <v>415</v>
      </c>
      <c r="H115" s="166" t="s">
        <v>127</v>
      </c>
      <c r="I115" s="167" t="s">
        <v>458</v>
      </c>
    </row>
    <row r="116" spans="1:9" ht="15.6" x14ac:dyDescent="0.3">
      <c r="A116" s="166" t="s">
        <v>473</v>
      </c>
      <c r="B116" s="166" t="s">
        <v>121</v>
      </c>
      <c r="C116" s="166" t="s">
        <v>131</v>
      </c>
      <c r="D116" s="166" t="s">
        <v>1</v>
      </c>
      <c r="E116" s="166" t="s">
        <v>439</v>
      </c>
      <c r="F116" s="166" t="s">
        <v>125</v>
      </c>
      <c r="G116" s="166" t="s">
        <v>415</v>
      </c>
      <c r="H116" s="166" t="s">
        <v>127</v>
      </c>
      <c r="I116" s="167" t="s">
        <v>476</v>
      </c>
    </row>
    <row r="117" spans="1:9" ht="15.6" x14ac:dyDescent="0.3">
      <c r="A117" s="166" t="s">
        <v>473</v>
      </c>
      <c r="B117" s="166" t="s">
        <v>121</v>
      </c>
      <c r="C117" s="166" t="s">
        <v>122</v>
      </c>
      <c r="D117" s="166" t="s">
        <v>1</v>
      </c>
      <c r="E117" s="166" t="s">
        <v>459</v>
      </c>
      <c r="F117" s="166" t="s">
        <v>125</v>
      </c>
      <c r="G117" s="166" t="s">
        <v>415</v>
      </c>
      <c r="H117" s="166" t="s">
        <v>127</v>
      </c>
      <c r="I117" s="167" t="s">
        <v>458</v>
      </c>
    </row>
    <row r="118" spans="1:9" ht="15.6" x14ac:dyDescent="0.3">
      <c r="A118" s="166" t="s">
        <v>473</v>
      </c>
      <c r="B118" s="166" t="s">
        <v>121</v>
      </c>
      <c r="C118" s="166" t="s">
        <v>132</v>
      </c>
      <c r="D118" s="166" t="s">
        <v>1</v>
      </c>
      <c r="E118" s="166" t="s">
        <v>440</v>
      </c>
      <c r="F118" s="166" t="s">
        <v>125</v>
      </c>
      <c r="G118" s="166" t="s">
        <v>415</v>
      </c>
      <c r="H118" s="166" t="s">
        <v>127</v>
      </c>
      <c r="I118" s="167" t="s">
        <v>458</v>
      </c>
    </row>
    <row r="119" spans="1:9" ht="15.6" x14ac:dyDescent="0.3">
      <c r="A119" s="166" t="s">
        <v>473</v>
      </c>
      <c r="B119" s="166" t="s">
        <v>121</v>
      </c>
      <c r="C119" s="166" t="s">
        <v>134</v>
      </c>
      <c r="D119" s="166" t="s">
        <v>1</v>
      </c>
      <c r="E119" s="166" t="s">
        <v>446</v>
      </c>
      <c r="F119" s="166" t="s">
        <v>125</v>
      </c>
      <c r="G119" s="166" t="s">
        <v>415</v>
      </c>
      <c r="H119" s="166" t="s">
        <v>130</v>
      </c>
      <c r="I119" s="167" t="s">
        <v>438</v>
      </c>
    </row>
    <row r="120" spans="1:9" ht="15.6" x14ac:dyDescent="0.3">
      <c r="A120" s="166" t="s">
        <v>473</v>
      </c>
      <c r="B120" s="166" t="s">
        <v>121</v>
      </c>
      <c r="C120" s="166" t="s">
        <v>145</v>
      </c>
      <c r="D120" s="166" t="s">
        <v>1</v>
      </c>
      <c r="E120" s="166" t="s">
        <v>461</v>
      </c>
      <c r="F120" s="166" t="s">
        <v>125</v>
      </c>
      <c r="G120" s="166" t="s">
        <v>444</v>
      </c>
      <c r="H120" s="166" t="s">
        <v>130</v>
      </c>
      <c r="I120" s="167" t="s">
        <v>438</v>
      </c>
    </row>
    <row r="121" spans="1:9" ht="15.6" x14ac:dyDescent="0.3">
      <c r="A121" s="166" t="s">
        <v>473</v>
      </c>
      <c r="B121" s="166" t="s">
        <v>35</v>
      </c>
      <c r="C121" s="166" t="s">
        <v>36</v>
      </c>
      <c r="D121" s="166" t="s">
        <v>1</v>
      </c>
      <c r="E121" s="166" t="s">
        <v>411</v>
      </c>
      <c r="F121" s="166" t="s">
        <v>43</v>
      </c>
      <c r="G121" s="166" t="s">
        <v>444</v>
      </c>
      <c r="H121" s="166" t="s">
        <v>44</v>
      </c>
      <c r="I121" s="168" t="s">
        <v>448</v>
      </c>
    </row>
    <row r="122" spans="1:9" ht="15.6" x14ac:dyDescent="0.3">
      <c r="A122" s="166" t="s">
        <v>473</v>
      </c>
      <c r="B122" s="166" t="s">
        <v>35</v>
      </c>
      <c r="C122" s="166" t="s">
        <v>50</v>
      </c>
      <c r="D122" s="166" t="s">
        <v>1</v>
      </c>
      <c r="E122" s="166" t="s">
        <v>443</v>
      </c>
      <c r="F122" s="166" t="s">
        <v>43</v>
      </c>
      <c r="G122" s="166" t="s">
        <v>426</v>
      </c>
      <c r="H122" s="166" t="s">
        <v>44</v>
      </c>
      <c r="I122" s="168" t="s">
        <v>448</v>
      </c>
    </row>
    <row r="123" spans="1:9" ht="15.6" x14ac:dyDescent="0.3">
      <c r="A123" s="166" t="s">
        <v>473</v>
      </c>
      <c r="B123" s="166" t="s">
        <v>35</v>
      </c>
      <c r="C123" s="166" t="s">
        <v>45</v>
      </c>
      <c r="D123" s="166" t="s">
        <v>1</v>
      </c>
      <c r="E123" s="166" t="s">
        <v>412</v>
      </c>
      <c r="F123" s="166" t="s">
        <v>43</v>
      </c>
      <c r="G123" s="166" t="s">
        <v>433</v>
      </c>
      <c r="H123" s="166" t="s">
        <v>44</v>
      </c>
      <c r="I123" s="168" t="s">
        <v>442</v>
      </c>
    </row>
    <row r="124" spans="1:9" ht="15.6" x14ac:dyDescent="0.3">
      <c r="A124" s="166" t="s">
        <v>473</v>
      </c>
      <c r="B124" s="166" t="s">
        <v>35</v>
      </c>
      <c r="C124" s="166" t="s">
        <v>47</v>
      </c>
      <c r="D124" s="166" t="s">
        <v>1</v>
      </c>
      <c r="E124" s="166" t="s">
        <v>413</v>
      </c>
      <c r="F124" s="166" t="s">
        <v>43</v>
      </c>
      <c r="G124" s="166" t="s">
        <v>444</v>
      </c>
      <c r="H124" s="166" t="s">
        <v>44</v>
      </c>
      <c r="I124" s="168" t="s">
        <v>442</v>
      </c>
    </row>
    <row r="125" spans="1:9" ht="15.6" x14ac:dyDescent="0.3">
      <c r="A125" s="166" t="s">
        <v>473</v>
      </c>
      <c r="B125" s="166" t="s">
        <v>121</v>
      </c>
      <c r="C125" s="166" t="s">
        <v>140</v>
      </c>
      <c r="D125" s="166" t="s">
        <v>1</v>
      </c>
      <c r="E125" s="166" t="s">
        <v>443</v>
      </c>
      <c r="F125" s="166" t="s">
        <v>125</v>
      </c>
      <c r="G125" s="166" t="s">
        <v>433</v>
      </c>
      <c r="H125" s="166" t="s">
        <v>207</v>
      </c>
      <c r="I125" s="168" t="s">
        <v>472</v>
      </c>
    </row>
    <row r="126" spans="1:9" ht="15.6" x14ac:dyDescent="0.3">
      <c r="A126" s="164" t="s">
        <v>477</v>
      </c>
      <c r="B126" s="164" t="s">
        <v>55</v>
      </c>
      <c r="C126" s="164" t="s">
        <v>65</v>
      </c>
      <c r="D126" s="164" t="s">
        <v>1</v>
      </c>
      <c r="E126" s="164" t="s">
        <v>362</v>
      </c>
      <c r="F126" s="164" t="s">
        <v>57</v>
      </c>
      <c r="G126" s="164" t="s">
        <v>415</v>
      </c>
      <c r="H126" s="164" t="s">
        <v>30</v>
      </c>
      <c r="I126" s="165" t="s">
        <v>416</v>
      </c>
    </row>
    <row r="127" spans="1:9" ht="15.6" x14ac:dyDescent="0.3">
      <c r="A127" s="164" t="s">
        <v>477</v>
      </c>
      <c r="B127" s="164" t="s">
        <v>55</v>
      </c>
      <c r="C127" s="164" t="s">
        <v>56</v>
      </c>
      <c r="D127" s="164" t="s">
        <v>1</v>
      </c>
      <c r="E127" s="164" t="s">
        <v>391</v>
      </c>
      <c r="F127" s="164" t="s">
        <v>57</v>
      </c>
      <c r="G127" s="164" t="s">
        <v>415</v>
      </c>
      <c r="H127" s="164" t="s">
        <v>58</v>
      </c>
      <c r="I127" s="165" t="s">
        <v>416</v>
      </c>
    </row>
    <row r="128" spans="1:9" ht="15.6" x14ac:dyDescent="0.3">
      <c r="A128" s="164" t="s">
        <v>477</v>
      </c>
      <c r="B128" s="164" t="s">
        <v>55</v>
      </c>
      <c r="C128" s="164" t="s">
        <v>189</v>
      </c>
      <c r="D128" s="164" t="s">
        <v>1</v>
      </c>
      <c r="E128" s="164" t="s">
        <v>345</v>
      </c>
      <c r="F128" s="164" t="s">
        <v>57</v>
      </c>
      <c r="G128" s="164" t="s">
        <v>415</v>
      </c>
      <c r="H128" s="164" t="s">
        <v>58</v>
      </c>
      <c r="I128" s="165" t="s">
        <v>416</v>
      </c>
    </row>
    <row r="129" spans="1:9" ht="15.6" x14ac:dyDescent="0.3">
      <c r="A129" s="164" t="s">
        <v>477</v>
      </c>
      <c r="B129" s="164" t="s">
        <v>55</v>
      </c>
      <c r="C129" s="164" t="s">
        <v>73</v>
      </c>
      <c r="D129" s="164" t="s">
        <v>1</v>
      </c>
      <c r="E129" s="164" t="s">
        <v>398</v>
      </c>
      <c r="F129" s="164" t="s">
        <v>57</v>
      </c>
      <c r="G129" s="164" t="s">
        <v>418</v>
      </c>
      <c r="H129" s="164" t="s">
        <v>244</v>
      </c>
      <c r="I129" s="165" t="s">
        <v>416</v>
      </c>
    </row>
    <row r="130" spans="1:9" ht="15.6" x14ac:dyDescent="0.3">
      <c r="A130" s="166" t="s">
        <v>477</v>
      </c>
      <c r="B130" s="166" t="s">
        <v>110</v>
      </c>
      <c r="C130" s="166" t="s">
        <v>173</v>
      </c>
      <c r="D130" s="166" t="s">
        <v>1</v>
      </c>
      <c r="E130" s="166" t="s">
        <v>478</v>
      </c>
      <c r="F130" s="166" t="s">
        <v>43</v>
      </c>
      <c r="G130" s="166" t="s">
        <v>426</v>
      </c>
      <c r="H130" s="166" t="s">
        <v>251</v>
      </c>
      <c r="I130" s="167" t="s">
        <v>479</v>
      </c>
    </row>
    <row r="131" spans="1:9" ht="15.6" x14ac:dyDescent="0.3">
      <c r="A131" s="166" t="s">
        <v>477</v>
      </c>
      <c r="B131" s="166" t="s">
        <v>83</v>
      </c>
      <c r="C131" s="166" t="s">
        <v>104</v>
      </c>
      <c r="D131" s="166" t="s">
        <v>1</v>
      </c>
      <c r="E131" s="166" t="s">
        <v>432</v>
      </c>
      <c r="F131" s="166" t="s">
        <v>89</v>
      </c>
      <c r="G131" s="166" t="s">
        <v>433</v>
      </c>
      <c r="H131" s="166" t="s">
        <v>34</v>
      </c>
      <c r="I131" s="167" t="s">
        <v>456</v>
      </c>
    </row>
    <row r="132" spans="1:9" ht="15.6" x14ac:dyDescent="0.3">
      <c r="A132" s="166" t="s">
        <v>477</v>
      </c>
      <c r="B132" s="166" t="s">
        <v>83</v>
      </c>
      <c r="C132" s="166" t="s">
        <v>103</v>
      </c>
      <c r="D132" s="166" t="s">
        <v>1</v>
      </c>
      <c r="E132" s="166" t="s">
        <v>411</v>
      </c>
      <c r="F132" s="166" t="s">
        <v>89</v>
      </c>
      <c r="G132" s="166" t="s">
        <v>433</v>
      </c>
      <c r="H132" s="166" t="s">
        <v>34</v>
      </c>
      <c r="I132" s="167" t="s">
        <v>421</v>
      </c>
    </row>
    <row r="133" spans="1:9" ht="15.6" x14ac:dyDescent="0.3">
      <c r="A133" s="166" t="s">
        <v>477</v>
      </c>
      <c r="B133" s="166" t="s">
        <v>83</v>
      </c>
      <c r="C133" s="166" t="s">
        <v>94</v>
      </c>
      <c r="D133" s="166" t="s">
        <v>1</v>
      </c>
      <c r="E133" s="166" t="s">
        <v>428</v>
      </c>
      <c r="F133" s="166" t="s">
        <v>89</v>
      </c>
      <c r="G133" s="166" t="s">
        <v>426</v>
      </c>
      <c r="H133" s="166" t="s">
        <v>90</v>
      </c>
      <c r="I133" s="167" t="s">
        <v>429</v>
      </c>
    </row>
    <row r="134" spans="1:9" ht="15.6" x14ac:dyDescent="0.3">
      <c r="A134" s="166" t="s">
        <v>477</v>
      </c>
      <c r="B134" s="166" t="s">
        <v>83</v>
      </c>
      <c r="C134" s="166" t="s">
        <v>100</v>
      </c>
      <c r="D134" s="166" t="s">
        <v>1</v>
      </c>
      <c r="E134" s="166" t="s">
        <v>430</v>
      </c>
      <c r="F134" s="166" t="s">
        <v>89</v>
      </c>
      <c r="G134" s="166" t="s">
        <v>426</v>
      </c>
      <c r="H134" s="166" t="s">
        <v>90</v>
      </c>
      <c r="I134" s="167" t="s">
        <v>436</v>
      </c>
    </row>
    <row r="135" spans="1:9" ht="15.6" x14ac:dyDescent="0.3">
      <c r="A135" s="166" t="s">
        <v>477</v>
      </c>
      <c r="B135" s="166" t="s">
        <v>83</v>
      </c>
      <c r="C135" s="166" t="s">
        <v>101</v>
      </c>
      <c r="D135" s="166" t="s">
        <v>1</v>
      </c>
      <c r="E135" s="166" t="s">
        <v>321</v>
      </c>
      <c r="F135" s="166" t="s">
        <v>89</v>
      </c>
      <c r="G135" s="166" t="s">
        <v>426</v>
      </c>
      <c r="H135" s="166" t="s">
        <v>90</v>
      </c>
      <c r="I135" s="167" t="s">
        <v>436</v>
      </c>
    </row>
    <row r="136" spans="1:9" ht="15.6" x14ac:dyDescent="0.3">
      <c r="A136" s="166" t="s">
        <v>477</v>
      </c>
      <c r="B136" s="166" t="s">
        <v>83</v>
      </c>
      <c r="C136" s="166" t="s">
        <v>102</v>
      </c>
      <c r="D136" s="166" t="s">
        <v>1</v>
      </c>
      <c r="E136" s="166" t="s">
        <v>431</v>
      </c>
      <c r="F136" s="166" t="s">
        <v>89</v>
      </c>
      <c r="G136" s="166" t="s">
        <v>426</v>
      </c>
      <c r="H136" s="166" t="s">
        <v>90</v>
      </c>
      <c r="I136" s="167" t="s">
        <v>436</v>
      </c>
    </row>
    <row r="137" spans="1:9" ht="15.6" x14ac:dyDescent="0.3">
      <c r="A137" s="166" t="s">
        <v>477</v>
      </c>
      <c r="B137" s="166" t="s">
        <v>83</v>
      </c>
      <c r="C137" s="166" t="s">
        <v>91</v>
      </c>
      <c r="D137" s="166" t="s">
        <v>1</v>
      </c>
      <c r="E137" s="166" t="s">
        <v>422</v>
      </c>
      <c r="F137" s="166" t="s">
        <v>89</v>
      </c>
      <c r="G137" s="166" t="s">
        <v>417</v>
      </c>
      <c r="H137" s="166" t="s">
        <v>90</v>
      </c>
      <c r="I137" s="167" t="s">
        <v>436</v>
      </c>
    </row>
    <row r="138" spans="1:9" ht="15.6" x14ac:dyDescent="0.3">
      <c r="A138" s="166" t="s">
        <v>477</v>
      </c>
      <c r="B138" s="166" t="s">
        <v>83</v>
      </c>
      <c r="C138" s="166" t="s">
        <v>84</v>
      </c>
      <c r="D138" s="166" t="s">
        <v>1</v>
      </c>
      <c r="E138" s="166" t="s">
        <v>419</v>
      </c>
      <c r="F138" s="166" t="s">
        <v>89</v>
      </c>
      <c r="G138" s="166" t="s">
        <v>426</v>
      </c>
      <c r="H138" s="166" t="s">
        <v>99</v>
      </c>
      <c r="I138" s="167" t="s">
        <v>475</v>
      </c>
    </row>
    <row r="139" spans="1:9" ht="15.6" x14ac:dyDescent="0.3">
      <c r="A139" s="166" t="s">
        <v>477</v>
      </c>
      <c r="B139" s="166" t="s">
        <v>121</v>
      </c>
      <c r="C139" s="166" t="s">
        <v>122</v>
      </c>
      <c r="D139" s="166" t="s">
        <v>1</v>
      </c>
      <c r="E139" s="166" t="s">
        <v>435</v>
      </c>
      <c r="F139" s="166" t="s">
        <v>125</v>
      </c>
      <c r="G139" s="166" t="s">
        <v>415</v>
      </c>
      <c r="H139" s="166" t="s">
        <v>127</v>
      </c>
      <c r="I139" s="167" t="s">
        <v>458</v>
      </c>
    </row>
    <row r="140" spans="1:9" ht="15.6" x14ac:dyDescent="0.3">
      <c r="A140" s="166" t="s">
        <v>477</v>
      </c>
      <c r="B140" s="166" t="s">
        <v>121</v>
      </c>
      <c r="C140" s="166" t="s">
        <v>128</v>
      </c>
      <c r="D140" s="166" t="s">
        <v>1</v>
      </c>
      <c r="E140" s="166" t="s">
        <v>437</v>
      </c>
      <c r="F140" s="166" t="s">
        <v>125</v>
      </c>
      <c r="G140" s="166" t="s">
        <v>415</v>
      </c>
      <c r="H140" s="166" t="s">
        <v>130</v>
      </c>
      <c r="I140" s="167" t="s">
        <v>438</v>
      </c>
    </row>
    <row r="141" spans="1:9" ht="15.6" x14ac:dyDescent="0.3">
      <c r="A141" s="166" t="s">
        <v>477</v>
      </c>
      <c r="B141" s="166" t="s">
        <v>121</v>
      </c>
      <c r="C141" s="166" t="s">
        <v>134</v>
      </c>
      <c r="D141" s="166" t="s">
        <v>1</v>
      </c>
      <c r="E141" s="166" t="s">
        <v>446</v>
      </c>
      <c r="F141" s="166" t="s">
        <v>125</v>
      </c>
      <c r="G141" s="166" t="s">
        <v>415</v>
      </c>
      <c r="H141" s="166" t="s">
        <v>130</v>
      </c>
      <c r="I141" s="167" t="s">
        <v>480</v>
      </c>
    </row>
    <row r="142" spans="1:9" ht="15.6" x14ac:dyDescent="0.3">
      <c r="A142" s="166" t="s">
        <v>477</v>
      </c>
      <c r="B142" s="166" t="s">
        <v>121</v>
      </c>
      <c r="C142" s="166" t="s">
        <v>145</v>
      </c>
      <c r="D142" s="166" t="s">
        <v>1</v>
      </c>
      <c r="E142" s="166" t="s">
        <v>461</v>
      </c>
      <c r="F142" s="166" t="s">
        <v>125</v>
      </c>
      <c r="G142" s="166" t="s">
        <v>415</v>
      </c>
      <c r="H142" s="166" t="s">
        <v>130</v>
      </c>
      <c r="I142" s="167" t="s">
        <v>480</v>
      </c>
    </row>
    <row r="143" spans="1:9" ht="15.6" x14ac:dyDescent="0.3">
      <c r="A143" s="166" t="s">
        <v>477</v>
      </c>
      <c r="B143" s="166" t="s">
        <v>35</v>
      </c>
      <c r="C143" s="166" t="s">
        <v>36</v>
      </c>
      <c r="D143" s="166" t="s">
        <v>1</v>
      </c>
      <c r="E143" s="166" t="s">
        <v>411</v>
      </c>
      <c r="F143" s="166" t="s">
        <v>43</v>
      </c>
      <c r="G143" s="166" t="s">
        <v>453</v>
      </c>
      <c r="H143" s="166" t="s">
        <v>44</v>
      </c>
      <c r="I143" s="168" t="s">
        <v>448</v>
      </c>
    </row>
    <row r="144" spans="1:9" ht="15.6" x14ac:dyDescent="0.3">
      <c r="A144" s="166" t="s">
        <v>477</v>
      </c>
      <c r="B144" s="166" t="s">
        <v>35</v>
      </c>
      <c r="C144" s="166" t="s">
        <v>50</v>
      </c>
      <c r="D144" s="166" t="s">
        <v>1</v>
      </c>
      <c r="E144" s="166" t="s">
        <v>443</v>
      </c>
      <c r="F144" s="166" t="s">
        <v>43</v>
      </c>
      <c r="G144" s="166" t="s">
        <v>417</v>
      </c>
      <c r="H144" s="166" t="s">
        <v>44</v>
      </c>
      <c r="I144" s="168" t="s">
        <v>442</v>
      </c>
    </row>
    <row r="145" spans="1:9" ht="15.6" x14ac:dyDescent="0.3">
      <c r="A145" s="166" t="s">
        <v>477</v>
      </c>
      <c r="B145" s="166" t="s">
        <v>35</v>
      </c>
      <c r="C145" s="166" t="s">
        <v>45</v>
      </c>
      <c r="D145" s="166" t="s">
        <v>1</v>
      </c>
      <c r="E145" s="166" t="s">
        <v>412</v>
      </c>
      <c r="F145" s="166" t="s">
        <v>43</v>
      </c>
      <c r="G145" s="166" t="s">
        <v>444</v>
      </c>
      <c r="H145" s="166" t="s">
        <v>44</v>
      </c>
      <c r="I145" s="169" t="s">
        <v>481</v>
      </c>
    </row>
    <row r="146" spans="1:9" ht="15.6" x14ac:dyDescent="0.3">
      <c r="A146" s="166" t="s">
        <v>477</v>
      </c>
      <c r="B146" s="166" t="s">
        <v>35</v>
      </c>
      <c r="C146" s="166" t="s">
        <v>47</v>
      </c>
      <c r="D146" s="166" t="s">
        <v>1</v>
      </c>
      <c r="E146" s="166" t="s">
        <v>413</v>
      </c>
      <c r="F146" s="166" t="s">
        <v>43</v>
      </c>
      <c r="G146" s="166" t="s">
        <v>444</v>
      </c>
      <c r="H146" s="166" t="s">
        <v>44</v>
      </c>
      <c r="I146" s="169" t="s">
        <v>481</v>
      </c>
    </row>
    <row r="147" spans="1:9" ht="15.6" x14ac:dyDescent="0.3">
      <c r="A147" s="166" t="s">
        <v>477</v>
      </c>
      <c r="B147" s="166" t="s">
        <v>121</v>
      </c>
      <c r="C147" s="166" t="s">
        <v>133</v>
      </c>
      <c r="D147" s="166" t="s">
        <v>1</v>
      </c>
      <c r="E147" s="166" t="s">
        <v>441</v>
      </c>
      <c r="F147" s="166" t="s">
        <v>125</v>
      </c>
      <c r="G147" s="166" t="s">
        <v>415</v>
      </c>
      <c r="H147" s="166" t="s">
        <v>183</v>
      </c>
      <c r="I147" s="168" t="s">
        <v>482</v>
      </c>
    </row>
    <row r="148" spans="1:9" ht="15.6" x14ac:dyDescent="0.3">
      <c r="A148" s="166" t="s">
        <v>477</v>
      </c>
      <c r="B148" s="166" t="s">
        <v>121</v>
      </c>
      <c r="C148" s="166" t="s">
        <v>137</v>
      </c>
      <c r="D148" s="166" t="s">
        <v>1</v>
      </c>
      <c r="E148" s="166" t="s">
        <v>413</v>
      </c>
      <c r="F148" s="166" t="s">
        <v>125</v>
      </c>
      <c r="G148" s="166" t="s">
        <v>433</v>
      </c>
      <c r="H148" s="166" t="s">
        <v>138</v>
      </c>
      <c r="I148" s="168" t="s">
        <v>483</v>
      </c>
    </row>
    <row r="149" spans="1:9" ht="15.6" x14ac:dyDescent="0.3">
      <c r="A149" s="166" t="s">
        <v>477</v>
      </c>
      <c r="B149" s="166" t="s">
        <v>121</v>
      </c>
      <c r="C149" s="166" t="s">
        <v>141</v>
      </c>
      <c r="D149" s="166" t="s">
        <v>1</v>
      </c>
      <c r="E149" s="166" t="s">
        <v>412</v>
      </c>
      <c r="F149" s="166" t="s">
        <v>125</v>
      </c>
      <c r="G149" s="166" t="s">
        <v>433</v>
      </c>
      <c r="H149" s="166" t="s">
        <v>138</v>
      </c>
      <c r="I149" s="168" t="s">
        <v>483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147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2.88671875" bestFit="1" customWidth="1"/>
    <col min="5" max="5" width="20.1093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9.21875" bestFit="1" customWidth="1"/>
  </cols>
  <sheetData>
    <row r="1" spans="1:92" ht="28.8" customHeight="1" x14ac:dyDescent="0.3">
      <c r="A1" s="195" t="s">
        <v>0</v>
      </c>
      <c r="B1" s="194"/>
      <c r="C1" s="194"/>
      <c r="D1" s="194"/>
      <c r="E1" s="194"/>
      <c r="F1" s="1" t="s">
        <v>484</v>
      </c>
      <c r="G1" s="2" t="s">
        <v>2</v>
      </c>
      <c r="H1" s="193">
        <v>45986</v>
      </c>
      <c r="I1" s="194"/>
      <c r="J1" s="194"/>
      <c r="K1" s="194"/>
      <c r="L1" s="194"/>
      <c r="M1" s="1" t="s">
        <v>3</v>
      </c>
      <c r="N1" s="205">
        <v>45991</v>
      </c>
      <c r="O1" s="194"/>
      <c r="P1" s="194"/>
      <c r="Q1" s="194"/>
      <c r="R1" s="194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7" t="s">
        <v>4</v>
      </c>
      <c r="B2" s="194"/>
      <c r="C2" s="194"/>
      <c r="D2" s="194"/>
      <c r="E2" s="194"/>
      <c r="F2" s="194"/>
      <c r="G2" s="203">
        <v>45982.183612777248</v>
      </c>
      <c r="H2" s="194"/>
      <c r="I2" s="194"/>
      <c r="J2" s="194"/>
      <c r="K2" s="206">
        <v>45982.183612777531</v>
      </c>
      <c r="L2" s="194"/>
      <c r="M2" s="194"/>
      <c r="N2" s="194"/>
      <c r="O2" s="194"/>
      <c r="P2" s="194"/>
      <c r="Q2" s="194"/>
      <c r="R2" s="19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8" t="s">
        <v>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45986</v>
      </c>
      <c r="H4" s="196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110</v>
      </c>
      <c r="B6" s="8" t="s">
        <v>485</v>
      </c>
      <c r="C6" s="9">
        <v>0.1875</v>
      </c>
      <c r="D6" s="8" t="s">
        <v>486</v>
      </c>
      <c r="E6" s="8" t="s">
        <v>113</v>
      </c>
      <c r="F6" s="8" t="s">
        <v>487</v>
      </c>
      <c r="G6" s="207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9" t="s">
        <v>110</v>
      </c>
      <c r="B7" s="19" t="s">
        <v>485</v>
      </c>
      <c r="C7" s="20">
        <v>0.1875</v>
      </c>
      <c r="D7" s="19" t="s">
        <v>488</v>
      </c>
      <c r="E7" s="19" t="s">
        <v>97</v>
      </c>
      <c r="F7" s="19" t="s">
        <v>489</v>
      </c>
      <c r="G7" s="200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9" t="s">
        <v>110</v>
      </c>
      <c r="B8" s="19" t="s">
        <v>485</v>
      </c>
      <c r="C8" s="20">
        <v>0.1875</v>
      </c>
      <c r="D8" s="19" t="s">
        <v>43</v>
      </c>
      <c r="E8" s="19" t="s">
        <v>97</v>
      </c>
      <c r="F8" s="19" t="s">
        <v>490</v>
      </c>
      <c r="G8" s="200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110</v>
      </c>
      <c r="B9" s="15" t="s">
        <v>491</v>
      </c>
      <c r="C9" s="16">
        <v>0.52777777777777779</v>
      </c>
      <c r="D9" s="15" t="s">
        <v>486</v>
      </c>
      <c r="E9" s="15" t="s">
        <v>95</v>
      </c>
      <c r="F9" s="15" t="s">
        <v>115</v>
      </c>
      <c r="G9" s="200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9" t="s">
        <v>110</v>
      </c>
      <c r="B10" s="19" t="s">
        <v>491</v>
      </c>
      <c r="C10" s="20">
        <v>0.52777777777777779</v>
      </c>
      <c r="D10" s="19" t="s">
        <v>488</v>
      </c>
      <c r="E10" s="19" t="s">
        <v>97</v>
      </c>
      <c r="F10" s="19" t="s">
        <v>492</v>
      </c>
      <c r="G10" s="200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9" t="s">
        <v>110</v>
      </c>
      <c r="B11" s="19" t="s">
        <v>491</v>
      </c>
      <c r="C11" s="20">
        <v>0.52777777777777779</v>
      </c>
      <c r="D11" s="19" t="s">
        <v>43</v>
      </c>
      <c r="E11" s="19" t="s">
        <v>97</v>
      </c>
      <c r="F11" s="19" t="s">
        <v>493</v>
      </c>
      <c r="G11" s="200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7" t="s">
        <v>35</v>
      </c>
      <c r="B12" s="17" t="s">
        <v>494</v>
      </c>
      <c r="C12" s="18">
        <v>0.25694444444444448</v>
      </c>
      <c r="D12" s="17" t="s">
        <v>495</v>
      </c>
      <c r="E12" s="17" t="s">
        <v>170</v>
      </c>
      <c r="F12" s="17" t="s">
        <v>496</v>
      </c>
      <c r="G12" s="200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9" t="s">
        <v>35</v>
      </c>
      <c r="B13" s="19" t="s">
        <v>494</v>
      </c>
      <c r="C13" s="20">
        <v>0.25694444444444448</v>
      </c>
      <c r="D13" s="19" t="s">
        <v>486</v>
      </c>
      <c r="E13" s="19" t="s">
        <v>93</v>
      </c>
      <c r="F13" s="19" t="s">
        <v>497</v>
      </c>
      <c r="G13" s="200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9" t="s">
        <v>35</v>
      </c>
      <c r="B14" s="19" t="s">
        <v>494</v>
      </c>
      <c r="C14" s="20">
        <v>0.25694444444444448</v>
      </c>
      <c r="D14" s="19" t="s">
        <v>488</v>
      </c>
      <c r="E14" s="19" t="s">
        <v>93</v>
      </c>
      <c r="F14" s="19" t="s">
        <v>498</v>
      </c>
      <c r="G14" s="200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35</v>
      </c>
      <c r="B15" s="19" t="s">
        <v>494</v>
      </c>
      <c r="C15" s="20">
        <v>0.25694444444444448</v>
      </c>
      <c r="D15" s="19" t="s">
        <v>499</v>
      </c>
      <c r="E15" s="19" t="s">
        <v>93</v>
      </c>
      <c r="F15" s="19" t="s">
        <v>500</v>
      </c>
      <c r="G15" s="200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7" t="s">
        <v>148</v>
      </c>
      <c r="B16" s="17" t="s">
        <v>501</v>
      </c>
      <c r="C16" s="18">
        <v>0.60416666666666663</v>
      </c>
      <c r="D16" s="17" t="s">
        <v>150</v>
      </c>
      <c r="E16" s="17" t="s">
        <v>29</v>
      </c>
      <c r="F16" s="17" t="s">
        <v>502</v>
      </c>
      <c r="G16" s="200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10" t="s">
        <v>55</v>
      </c>
      <c r="B17" s="110" t="s">
        <v>503</v>
      </c>
      <c r="C17" s="111">
        <v>0.70833333333333337</v>
      </c>
      <c r="D17" s="110" t="s">
        <v>57</v>
      </c>
      <c r="E17" s="110" t="s">
        <v>170</v>
      </c>
      <c r="F17" s="110" t="s">
        <v>504</v>
      </c>
      <c r="G17" s="200"/>
      <c r="H17" s="32" t="s">
        <v>505</v>
      </c>
      <c r="I17" s="170">
        <v>0.98319999999999996</v>
      </c>
      <c r="J17" s="34">
        <v>176</v>
      </c>
      <c r="K17" s="35">
        <v>45980</v>
      </c>
      <c r="L17" s="34">
        <v>5</v>
      </c>
      <c r="M17" s="34">
        <v>0</v>
      </c>
      <c r="N17" s="34">
        <v>0</v>
      </c>
      <c r="O17" s="36" t="s">
        <v>506</v>
      </c>
      <c r="P17" s="37">
        <v>0.70833333333333337</v>
      </c>
      <c r="Q17" s="34">
        <v>179</v>
      </c>
      <c r="R17" s="38" t="s">
        <v>507</v>
      </c>
    </row>
    <row r="18" spans="1:18" ht="15" customHeight="1" x14ac:dyDescent="0.3">
      <c r="A18" s="17" t="s">
        <v>121</v>
      </c>
      <c r="B18" s="17" t="s">
        <v>508</v>
      </c>
      <c r="C18" s="18">
        <v>0.34027777777777768</v>
      </c>
      <c r="D18" s="17" t="s">
        <v>123</v>
      </c>
      <c r="E18" s="17" t="s">
        <v>29</v>
      </c>
      <c r="F18" s="17" t="s">
        <v>509</v>
      </c>
      <c r="G18" s="200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9" t="s">
        <v>121</v>
      </c>
      <c r="B19" s="19" t="s">
        <v>508</v>
      </c>
      <c r="C19" s="20">
        <v>0.34027777777777768</v>
      </c>
      <c r="D19" s="19" t="s">
        <v>125</v>
      </c>
      <c r="E19" s="19" t="s">
        <v>126</v>
      </c>
      <c r="F19" s="19" t="s">
        <v>510</v>
      </c>
      <c r="G19" s="200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121</v>
      </c>
      <c r="B20" s="15" t="s">
        <v>511</v>
      </c>
      <c r="C20" s="16">
        <v>0.71180555555555547</v>
      </c>
      <c r="D20" s="15" t="s">
        <v>123</v>
      </c>
      <c r="E20" s="15" t="s">
        <v>32</v>
      </c>
      <c r="F20" s="15" t="s">
        <v>509</v>
      </c>
      <c r="G20" s="200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121</v>
      </c>
      <c r="B21" s="19" t="s">
        <v>511</v>
      </c>
      <c r="C21" s="20">
        <v>0.71180555555555547</v>
      </c>
      <c r="D21" s="19" t="s">
        <v>125</v>
      </c>
      <c r="E21" s="19" t="s">
        <v>126</v>
      </c>
      <c r="F21" s="19" t="s">
        <v>510</v>
      </c>
      <c r="G21" s="200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8" x14ac:dyDescent="0.3">
      <c r="A22" s="208" t="s">
        <v>512</v>
      </c>
      <c r="B22" s="209"/>
      <c r="C22" s="209"/>
      <c r="D22" s="209"/>
      <c r="E22" s="209"/>
      <c r="F22" s="210"/>
      <c r="G22" s="200"/>
      <c r="H22" s="171"/>
      <c r="I22" s="171"/>
      <c r="J22" s="171"/>
      <c r="K22" s="171"/>
      <c r="L22" s="171"/>
      <c r="M22" s="171"/>
      <c r="N22" s="171"/>
      <c r="O22" s="172"/>
      <c r="P22" s="171"/>
      <c r="Q22" s="133"/>
      <c r="R22" s="133"/>
    </row>
    <row r="23" spans="1:18" ht="15" customHeight="1" x14ac:dyDescent="0.3">
      <c r="A23" s="15" t="s">
        <v>26</v>
      </c>
      <c r="B23" s="15" t="s">
        <v>27</v>
      </c>
      <c r="C23" s="16" t="s">
        <v>349</v>
      </c>
      <c r="D23" s="15" t="s">
        <v>28</v>
      </c>
      <c r="E23" s="15" t="s">
        <v>415</v>
      </c>
      <c r="F23" s="15" t="s">
        <v>30</v>
      </c>
      <c r="G23" s="200"/>
      <c r="H23" s="171"/>
      <c r="I23" s="171"/>
      <c r="J23" s="171"/>
      <c r="K23" s="171"/>
      <c r="L23" s="171"/>
      <c r="M23" s="171"/>
      <c r="N23" s="171"/>
      <c r="O23" s="172"/>
      <c r="P23" s="171"/>
      <c r="Q23" s="133"/>
      <c r="R23" s="133"/>
    </row>
    <row r="24" spans="1:18" ht="15" customHeight="1" x14ac:dyDescent="0.3">
      <c r="A24" s="15" t="s">
        <v>26</v>
      </c>
      <c r="B24" s="15" t="s">
        <v>31</v>
      </c>
      <c r="C24" s="16" t="s">
        <v>410</v>
      </c>
      <c r="D24" s="15" t="s">
        <v>28</v>
      </c>
      <c r="E24" s="15" t="s">
        <v>415</v>
      </c>
      <c r="F24" s="15" t="s">
        <v>30</v>
      </c>
      <c r="G24" s="200"/>
      <c r="H24" s="171"/>
      <c r="I24" s="171"/>
      <c r="J24" s="171"/>
      <c r="K24" s="171"/>
      <c r="L24" s="171"/>
      <c r="M24" s="171"/>
      <c r="N24" s="171"/>
      <c r="O24" s="172"/>
      <c r="P24" s="171"/>
      <c r="Q24" s="133"/>
      <c r="R24" s="133"/>
    </row>
    <row r="25" spans="1:18" ht="15" customHeight="1" x14ac:dyDescent="0.3">
      <c r="A25" s="15" t="s">
        <v>35</v>
      </c>
      <c r="B25" s="15" t="s">
        <v>36</v>
      </c>
      <c r="C25" s="16" t="s">
        <v>411</v>
      </c>
      <c r="D25" s="15" t="s">
        <v>37</v>
      </c>
      <c r="E25" s="15" t="s">
        <v>420</v>
      </c>
      <c r="F25" s="15" t="s">
        <v>39</v>
      </c>
      <c r="G25" s="200"/>
      <c r="H25" s="171"/>
      <c r="I25" s="171"/>
      <c r="J25" s="171"/>
      <c r="K25" s="171"/>
      <c r="L25" s="171"/>
      <c r="M25" s="171"/>
      <c r="N25" s="171"/>
      <c r="O25" s="172"/>
      <c r="P25" s="171"/>
      <c r="Q25" s="133"/>
      <c r="R25" s="133"/>
    </row>
    <row r="26" spans="1:18" ht="15" customHeight="1" x14ac:dyDescent="0.3">
      <c r="A26" s="15" t="s">
        <v>35</v>
      </c>
      <c r="B26" s="15" t="s">
        <v>45</v>
      </c>
      <c r="C26" s="16" t="s">
        <v>412</v>
      </c>
      <c r="D26" s="15" t="s">
        <v>37</v>
      </c>
      <c r="E26" s="15" t="s">
        <v>420</v>
      </c>
      <c r="F26" s="15" t="s">
        <v>39</v>
      </c>
      <c r="G26" s="200"/>
      <c r="H26" s="171"/>
      <c r="I26" s="171"/>
      <c r="J26" s="171"/>
      <c r="K26" s="171"/>
      <c r="L26" s="171"/>
      <c r="M26" s="171"/>
      <c r="N26" s="171"/>
      <c r="O26" s="172"/>
      <c r="P26" s="171"/>
      <c r="Q26" s="133"/>
      <c r="R26" s="133"/>
    </row>
    <row r="27" spans="1:18" ht="15" customHeight="1" x14ac:dyDescent="0.3">
      <c r="A27" s="15" t="s">
        <v>35</v>
      </c>
      <c r="B27" s="15" t="s">
        <v>47</v>
      </c>
      <c r="C27" s="16" t="s">
        <v>413</v>
      </c>
      <c r="D27" s="15" t="s">
        <v>37</v>
      </c>
      <c r="E27" s="15" t="s">
        <v>418</v>
      </c>
      <c r="F27" s="15" t="s">
        <v>39</v>
      </c>
      <c r="G27" s="200"/>
      <c r="H27" s="171"/>
      <c r="I27" s="171"/>
      <c r="J27" s="171"/>
      <c r="K27" s="171"/>
      <c r="L27" s="171"/>
      <c r="M27" s="171"/>
      <c r="N27" s="171"/>
      <c r="O27" s="172"/>
      <c r="P27" s="171"/>
      <c r="Q27" s="133"/>
      <c r="R27" s="133"/>
    </row>
    <row r="28" spans="1:18" ht="15" customHeight="1" x14ac:dyDescent="0.3">
      <c r="A28" s="15" t="s">
        <v>55</v>
      </c>
      <c r="B28" s="15" t="s">
        <v>56</v>
      </c>
      <c r="C28" s="16" t="s">
        <v>313</v>
      </c>
      <c r="D28" s="15" t="s">
        <v>57</v>
      </c>
      <c r="E28" s="15" t="s">
        <v>415</v>
      </c>
      <c r="F28" s="15" t="s">
        <v>58</v>
      </c>
      <c r="G28" s="200"/>
      <c r="H28" s="171"/>
      <c r="I28" s="171"/>
      <c r="J28" s="171"/>
      <c r="K28" s="171"/>
      <c r="L28" s="171"/>
      <c r="M28" s="171"/>
      <c r="N28" s="171"/>
      <c r="O28" s="172"/>
      <c r="P28" s="171"/>
      <c r="Q28" s="133"/>
      <c r="R28" s="133"/>
    </row>
    <row r="29" spans="1:18" ht="15" customHeight="1" x14ac:dyDescent="0.3">
      <c r="A29" s="15" t="s">
        <v>55</v>
      </c>
      <c r="B29" s="15" t="s">
        <v>62</v>
      </c>
      <c r="C29" s="16" t="s">
        <v>286</v>
      </c>
      <c r="D29" s="15" t="s">
        <v>57</v>
      </c>
      <c r="E29" s="15" t="s">
        <v>415</v>
      </c>
      <c r="F29" s="15" t="s">
        <v>58</v>
      </c>
      <c r="G29" s="200"/>
      <c r="H29" s="171"/>
      <c r="I29" s="171"/>
      <c r="J29" s="171"/>
      <c r="K29" s="171"/>
      <c r="L29" s="171"/>
      <c r="M29" s="171"/>
      <c r="N29" s="171"/>
      <c r="O29" s="172"/>
      <c r="P29" s="171"/>
      <c r="Q29" s="133"/>
      <c r="R29" s="133"/>
    </row>
    <row r="30" spans="1:18" ht="15" customHeight="1" x14ac:dyDescent="0.3">
      <c r="A30" s="15" t="s">
        <v>55</v>
      </c>
      <c r="B30" s="15" t="s">
        <v>65</v>
      </c>
      <c r="C30" s="16" t="s">
        <v>317</v>
      </c>
      <c r="D30" s="15" t="s">
        <v>57</v>
      </c>
      <c r="E30" s="15" t="s">
        <v>415</v>
      </c>
      <c r="F30" s="15" t="s">
        <v>58</v>
      </c>
      <c r="G30" s="200"/>
      <c r="H30" s="171"/>
      <c r="I30" s="171"/>
      <c r="J30" s="171"/>
      <c r="K30" s="171"/>
      <c r="L30" s="171"/>
      <c r="M30" s="171"/>
      <c r="N30" s="171"/>
      <c r="O30" s="172"/>
      <c r="P30" s="171"/>
      <c r="Q30" s="133"/>
      <c r="R30" s="133"/>
    </row>
    <row r="31" spans="1:18" ht="15" customHeight="1" x14ac:dyDescent="0.3">
      <c r="A31" s="15" t="s">
        <v>55</v>
      </c>
      <c r="B31" s="15" t="s">
        <v>68</v>
      </c>
      <c r="C31" s="16" t="s">
        <v>301</v>
      </c>
      <c r="D31" s="15" t="s">
        <v>57</v>
      </c>
      <c r="E31" s="15" t="s">
        <v>417</v>
      </c>
      <c r="F31" s="15" t="s">
        <v>58</v>
      </c>
      <c r="G31" s="200"/>
      <c r="H31" s="171"/>
      <c r="I31" s="171"/>
      <c r="J31" s="171"/>
      <c r="K31" s="171"/>
      <c r="L31" s="171"/>
      <c r="M31" s="171"/>
      <c r="N31" s="171"/>
      <c r="O31" s="172"/>
      <c r="P31" s="171"/>
      <c r="Q31" s="133"/>
      <c r="R31" s="133"/>
    </row>
    <row r="32" spans="1:18" ht="15" customHeight="1" thickBot="1" x14ac:dyDescent="0.35">
      <c r="A32" s="61" t="s">
        <v>83</v>
      </c>
      <c r="B32" s="61" t="s">
        <v>84</v>
      </c>
      <c r="C32" s="62" t="s">
        <v>419</v>
      </c>
      <c r="D32" s="61" t="s">
        <v>85</v>
      </c>
      <c r="E32" s="61" t="s">
        <v>420</v>
      </c>
      <c r="F32" s="61" t="s">
        <v>86</v>
      </c>
      <c r="G32" s="201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17.399999999999999" customHeight="1" thickBot="1" x14ac:dyDescent="0.35">
      <c r="A33" s="225"/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7"/>
    </row>
    <row r="34" spans="1:18" ht="22.05" customHeight="1" thickTop="1" thickBot="1" x14ac:dyDescent="0.35">
      <c r="A34" s="190" t="s">
        <v>6</v>
      </c>
      <c r="B34" s="191"/>
      <c r="C34" s="191"/>
      <c r="D34" s="191"/>
      <c r="E34" s="191"/>
      <c r="F34" s="192"/>
      <c r="G34" s="68">
        <v>45987</v>
      </c>
      <c r="H34" s="202" t="s">
        <v>7</v>
      </c>
      <c r="I34" s="191"/>
      <c r="J34" s="191"/>
      <c r="K34" s="191"/>
      <c r="L34" s="191"/>
      <c r="M34" s="191"/>
      <c r="N34" s="191"/>
      <c r="O34" s="191"/>
      <c r="P34" s="191"/>
      <c r="Q34" s="191"/>
      <c r="R34" s="192"/>
    </row>
    <row r="35" spans="1:18" ht="24" customHeight="1" x14ac:dyDescent="0.3">
      <c r="A35" s="69" t="s">
        <v>8</v>
      </c>
      <c r="B35" s="69" t="s">
        <v>9</v>
      </c>
      <c r="C35" s="70" t="s">
        <v>10</v>
      </c>
      <c r="D35" s="69" t="s">
        <v>11</v>
      </c>
      <c r="E35" s="69" t="s">
        <v>12</v>
      </c>
      <c r="F35" s="71" t="s">
        <v>13</v>
      </c>
      <c r="G35" s="72" t="s">
        <v>14</v>
      </c>
      <c r="H35" s="69" t="s">
        <v>15</v>
      </c>
      <c r="I35" s="73" t="s">
        <v>16</v>
      </c>
      <c r="J35" s="74" t="s">
        <v>17</v>
      </c>
      <c r="K35" s="75" t="s">
        <v>18</v>
      </c>
      <c r="L35" s="74" t="s">
        <v>19</v>
      </c>
      <c r="M35" s="74" t="s">
        <v>20</v>
      </c>
      <c r="N35" s="74" t="s">
        <v>21</v>
      </c>
      <c r="O35" s="69" t="s">
        <v>22</v>
      </c>
      <c r="P35" s="70" t="s">
        <v>23</v>
      </c>
      <c r="Q35" s="74" t="s">
        <v>24</v>
      </c>
      <c r="R35" s="69" t="s">
        <v>25</v>
      </c>
    </row>
    <row r="36" spans="1:18" ht="15" customHeight="1" x14ac:dyDescent="0.3">
      <c r="A36" s="8" t="s">
        <v>110</v>
      </c>
      <c r="B36" s="8" t="s">
        <v>485</v>
      </c>
      <c r="C36" s="9">
        <v>0.3298611111111111</v>
      </c>
      <c r="D36" s="8" t="s">
        <v>486</v>
      </c>
      <c r="E36" s="8" t="s">
        <v>113</v>
      </c>
      <c r="F36" s="8" t="s">
        <v>513</v>
      </c>
      <c r="G36" s="207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9" t="s">
        <v>110</v>
      </c>
      <c r="B37" s="19" t="s">
        <v>485</v>
      </c>
      <c r="C37" s="20">
        <v>0.3298611111111111</v>
      </c>
      <c r="D37" s="19" t="s">
        <v>488</v>
      </c>
      <c r="E37" s="19" t="s">
        <v>97</v>
      </c>
      <c r="F37" s="19" t="s">
        <v>514</v>
      </c>
      <c r="G37" s="200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9" t="s">
        <v>110</v>
      </c>
      <c r="B38" s="19" t="s">
        <v>485</v>
      </c>
      <c r="C38" s="20">
        <v>0.3298611111111111</v>
      </c>
      <c r="D38" s="19" t="s">
        <v>43</v>
      </c>
      <c r="E38" s="19" t="s">
        <v>97</v>
      </c>
      <c r="F38" s="19" t="s">
        <v>515</v>
      </c>
      <c r="G38" s="200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10" t="s">
        <v>55</v>
      </c>
      <c r="B39" s="110" t="s">
        <v>516</v>
      </c>
      <c r="C39" s="111">
        <v>0.71875</v>
      </c>
      <c r="D39" s="110" t="s">
        <v>57</v>
      </c>
      <c r="E39" s="110" t="s">
        <v>163</v>
      </c>
      <c r="F39" s="110" t="s">
        <v>517</v>
      </c>
      <c r="G39" s="200"/>
      <c r="H39" s="32" t="s">
        <v>518</v>
      </c>
      <c r="I39" s="170">
        <v>0.99439999999999995</v>
      </c>
      <c r="J39" s="34">
        <v>178</v>
      </c>
      <c r="K39" s="35">
        <v>45981</v>
      </c>
      <c r="L39" s="34">
        <v>14</v>
      </c>
      <c r="M39" s="34">
        <v>0</v>
      </c>
      <c r="N39" s="34">
        <v>2</v>
      </c>
      <c r="O39" s="36" t="s">
        <v>327</v>
      </c>
      <c r="P39" s="37">
        <v>0.71875</v>
      </c>
      <c r="Q39" s="34">
        <v>179</v>
      </c>
      <c r="R39" s="38" t="s">
        <v>519</v>
      </c>
    </row>
    <row r="40" spans="1:18" ht="15" customHeight="1" x14ac:dyDescent="0.3">
      <c r="A40" s="121" t="s">
        <v>55</v>
      </c>
      <c r="B40" s="121" t="s">
        <v>520</v>
      </c>
      <c r="C40" s="122">
        <v>0.40972222222222232</v>
      </c>
      <c r="D40" s="121" t="s">
        <v>57</v>
      </c>
      <c r="E40" s="121" t="s">
        <v>51</v>
      </c>
      <c r="F40" s="121" t="s">
        <v>521</v>
      </c>
      <c r="G40" s="200"/>
      <c r="H40" s="90" t="s">
        <v>522</v>
      </c>
      <c r="I40" s="176">
        <v>0.97209999999999996</v>
      </c>
      <c r="J40" s="92">
        <v>174</v>
      </c>
      <c r="K40" s="93">
        <v>45980</v>
      </c>
      <c r="L40" s="92">
        <v>11</v>
      </c>
      <c r="M40" s="92">
        <v>0</v>
      </c>
      <c r="N40" s="92">
        <v>0</v>
      </c>
      <c r="O40" s="94" t="s">
        <v>523</v>
      </c>
      <c r="P40" s="95">
        <v>0.40972222222222232</v>
      </c>
      <c r="Q40" s="92">
        <v>179</v>
      </c>
      <c r="R40" s="96" t="s">
        <v>524</v>
      </c>
    </row>
    <row r="41" spans="1:18" ht="15" customHeight="1" x14ac:dyDescent="0.3">
      <c r="A41" s="42" t="s">
        <v>55</v>
      </c>
      <c r="B41" s="42" t="s">
        <v>505</v>
      </c>
      <c r="C41" s="43">
        <v>0.65625</v>
      </c>
      <c r="D41" s="42" t="s">
        <v>79</v>
      </c>
      <c r="E41" s="177"/>
      <c r="F41" s="42" t="s">
        <v>80</v>
      </c>
      <c r="G41" s="200"/>
      <c r="H41" s="44" t="s">
        <v>505</v>
      </c>
      <c r="I41" s="45">
        <v>1</v>
      </c>
      <c r="J41" s="46">
        <v>179</v>
      </c>
      <c r="K41" s="47">
        <v>45979</v>
      </c>
      <c r="L41" s="46">
        <v>16</v>
      </c>
      <c r="M41" s="46">
        <v>0</v>
      </c>
      <c r="N41" s="46">
        <v>0</v>
      </c>
      <c r="O41" s="48" t="s">
        <v>81</v>
      </c>
      <c r="P41" s="49">
        <v>0.65625</v>
      </c>
      <c r="Q41" s="46">
        <v>179</v>
      </c>
      <c r="R41" s="50" t="s">
        <v>525</v>
      </c>
    </row>
    <row r="42" spans="1:18" ht="15" customHeight="1" x14ac:dyDescent="0.3">
      <c r="A42" s="17" t="s">
        <v>148</v>
      </c>
      <c r="B42" s="17" t="s">
        <v>501</v>
      </c>
      <c r="C42" s="18">
        <v>0.60416666666666663</v>
      </c>
      <c r="D42" s="17" t="s">
        <v>150</v>
      </c>
      <c r="E42" s="17" t="s">
        <v>29</v>
      </c>
      <c r="F42" s="17" t="s">
        <v>502</v>
      </c>
      <c r="G42" s="200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7" t="s">
        <v>121</v>
      </c>
      <c r="B43" s="17" t="s">
        <v>511</v>
      </c>
      <c r="C43" s="18">
        <v>0.71180555555555547</v>
      </c>
      <c r="D43" s="17" t="s">
        <v>123</v>
      </c>
      <c r="E43" s="17" t="s">
        <v>170</v>
      </c>
      <c r="F43" s="17" t="s">
        <v>509</v>
      </c>
      <c r="G43" s="200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121</v>
      </c>
      <c r="B44" s="19" t="s">
        <v>511</v>
      </c>
      <c r="C44" s="20">
        <v>0.71180555555555547</v>
      </c>
      <c r="D44" s="19" t="s">
        <v>125</v>
      </c>
      <c r="E44" s="19" t="s">
        <v>93</v>
      </c>
      <c r="F44" s="19" t="s">
        <v>510</v>
      </c>
      <c r="G44" s="200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8" x14ac:dyDescent="0.3">
      <c r="A45" s="208" t="s">
        <v>512</v>
      </c>
      <c r="B45" s="209"/>
      <c r="C45" s="209"/>
      <c r="D45" s="209"/>
      <c r="E45" s="209"/>
      <c r="F45" s="210"/>
      <c r="G45" s="200"/>
      <c r="H45" s="171"/>
      <c r="I45" s="171"/>
      <c r="J45" s="171"/>
      <c r="K45" s="171"/>
      <c r="L45" s="171"/>
      <c r="M45" s="171"/>
      <c r="N45" s="171"/>
      <c r="O45" s="172"/>
      <c r="P45" s="171"/>
      <c r="Q45" s="133"/>
      <c r="R45" s="133"/>
    </row>
    <row r="46" spans="1:18" ht="15" customHeight="1" x14ac:dyDescent="0.3">
      <c r="A46" s="15" t="s">
        <v>35</v>
      </c>
      <c r="B46" s="15" t="s">
        <v>47</v>
      </c>
      <c r="C46" s="16" t="s">
        <v>413</v>
      </c>
      <c r="D46" s="15" t="s">
        <v>37</v>
      </c>
      <c r="E46" s="15" t="s">
        <v>420</v>
      </c>
      <c r="F46" s="15" t="s">
        <v>159</v>
      </c>
      <c r="G46" s="200"/>
      <c r="H46" s="171"/>
      <c r="I46" s="171"/>
      <c r="J46" s="171"/>
      <c r="K46" s="171"/>
      <c r="L46" s="171"/>
      <c r="M46" s="171"/>
      <c r="N46" s="171"/>
      <c r="O46" s="172"/>
      <c r="P46" s="171"/>
      <c r="Q46" s="133"/>
      <c r="R46" s="133"/>
    </row>
    <row r="47" spans="1:18" ht="15" customHeight="1" x14ac:dyDescent="0.3">
      <c r="A47" s="15" t="s">
        <v>116</v>
      </c>
      <c r="B47" s="15" t="s">
        <v>117</v>
      </c>
      <c r="C47" s="16" t="s">
        <v>526</v>
      </c>
      <c r="D47" s="15" t="s">
        <v>28</v>
      </c>
      <c r="E47" s="15" t="s">
        <v>418</v>
      </c>
      <c r="F47" s="15" t="s">
        <v>164</v>
      </c>
      <c r="G47" s="200"/>
      <c r="H47" s="171"/>
      <c r="I47" s="171"/>
      <c r="J47" s="171"/>
      <c r="K47" s="171"/>
      <c r="L47" s="171"/>
      <c r="M47" s="171"/>
      <c r="N47" s="171"/>
      <c r="O47" s="172"/>
      <c r="P47" s="171"/>
      <c r="Q47" s="133"/>
      <c r="R47" s="133"/>
    </row>
    <row r="48" spans="1:18" ht="15" customHeight="1" x14ac:dyDescent="0.3">
      <c r="A48" s="15" t="s">
        <v>55</v>
      </c>
      <c r="B48" s="15" t="s">
        <v>73</v>
      </c>
      <c r="C48" s="16" t="s">
        <v>325</v>
      </c>
      <c r="D48" s="15" t="s">
        <v>57</v>
      </c>
      <c r="E48" s="15" t="s">
        <v>415</v>
      </c>
      <c r="F48" s="15" t="s">
        <v>30</v>
      </c>
      <c r="G48" s="200"/>
      <c r="H48" s="171"/>
      <c r="I48" s="171"/>
      <c r="J48" s="171"/>
      <c r="K48" s="171"/>
      <c r="L48" s="171"/>
      <c r="M48" s="171"/>
      <c r="N48" s="171"/>
      <c r="O48" s="172"/>
      <c r="P48" s="171"/>
      <c r="Q48" s="133"/>
      <c r="R48" s="133"/>
    </row>
    <row r="49" spans="1:18" ht="15" customHeight="1" x14ac:dyDescent="0.3">
      <c r="A49" s="15" t="s">
        <v>55</v>
      </c>
      <c r="B49" s="15" t="s">
        <v>65</v>
      </c>
      <c r="C49" s="16" t="s">
        <v>321</v>
      </c>
      <c r="D49" s="15" t="s">
        <v>57</v>
      </c>
      <c r="E49" s="15" t="s">
        <v>415</v>
      </c>
      <c r="F49" s="15" t="s">
        <v>30</v>
      </c>
      <c r="G49" s="200"/>
      <c r="H49" s="171"/>
      <c r="I49" s="171"/>
      <c r="J49" s="171"/>
      <c r="K49" s="171"/>
      <c r="L49" s="171"/>
      <c r="M49" s="171"/>
      <c r="N49" s="171"/>
      <c r="O49" s="172"/>
      <c r="P49" s="171"/>
      <c r="Q49" s="133"/>
      <c r="R49" s="133"/>
    </row>
    <row r="50" spans="1:18" ht="15" customHeight="1" x14ac:dyDescent="0.3">
      <c r="A50" s="15" t="s">
        <v>26</v>
      </c>
      <c r="B50" s="15" t="s">
        <v>33</v>
      </c>
      <c r="C50" s="16" t="s">
        <v>375</v>
      </c>
      <c r="D50" s="15" t="s">
        <v>28</v>
      </c>
      <c r="E50" s="15" t="s">
        <v>423</v>
      </c>
      <c r="F50" s="15" t="s">
        <v>30</v>
      </c>
      <c r="G50" s="200"/>
      <c r="H50" s="171"/>
      <c r="I50" s="171"/>
      <c r="J50" s="171"/>
      <c r="K50" s="171"/>
      <c r="L50" s="171"/>
      <c r="M50" s="171"/>
      <c r="N50" s="171"/>
      <c r="O50" s="172"/>
      <c r="P50" s="171"/>
      <c r="Q50" s="133"/>
      <c r="R50" s="133"/>
    </row>
    <row r="51" spans="1:18" ht="15" customHeight="1" x14ac:dyDescent="0.3">
      <c r="A51" s="15" t="s">
        <v>26</v>
      </c>
      <c r="B51" s="15" t="s">
        <v>27</v>
      </c>
      <c r="C51" s="16" t="s">
        <v>527</v>
      </c>
      <c r="D51" s="15" t="s">
        <v>28</v>
      </c>
      <c r="E51" s="15" t="s">
        <v>415</v>
      </c>
      <c r="F51" s="15" t="s">
        <v>30</v>
      </c>
      <c r="G51" s="200"/>
      <c r="H51" s="171"/>
      <c r="I51" s="171"/>
      <c r="J51" s="171"/>
      <c r="K51" s="171"/>
      <c r="L51" s="171"/>
      <c r="M51" s="171"/>
      <c r="N51" s="171"/>
      <c r="O51" s="172"/>
      <c r="P51" s="171"/>
      <c r="Q51" s="133"/>
      <c r="R51" s="133"/>
    </row>
    <row r="52" spans="1:18" ht="15" customHeight="1" x14ac:dyDescent="0.3">
      <c r="A52" s="15" t="s">
        <v>35</v>
      </c>
      <c r="B52" s="15" t="s">
        <v>36</v>
      </c>
      <c r="C52" s="16" t="s">
        <v>411</v>
      </c>
      <c r="D52" s="15" t="s">
        <v>37</v>
      </c>
      <c r="E52" s="15" t="s">
        <v>444</v>
      </c>
      <c r="F52" s="15" t="s">
        <v>39</v>
      </c>
      <c r="G52" s="200"/>
      <c r="H52" s="171"/>
      <c r="I52" s="171"/>
      <c r="J52" s="171"/>
      <c r="K52" s="171"/>
      <c r="L52" s="171"/>
      <c r="M52" s="171"/>
      <c r="N52" s="171"/>
      <c r="O52" s="172"/>
      <c r="P52" s="171"/>
      <c r="Q52" s="133"/>
      <c r="R52" s="133"/>
    </row>
    <row r="53" spans="1:18" ht="15" customHeight="1" x14ac:dyDescent="0.3">
      <c r="A53" s="15" t="s">
        <v>35</v>
      </c>
      <c r="B53" s="15" t="s">
        <v>50</v>
      </c>
      <c r="C53" s="16" t="s">
        <v>443</v>
      </c>
      <c r="D53" s="15" t="s">
        <v>37</v>
      </c>
      <c r="E53" s="15" t="s">
        <v>420</v>
      </c>
      <c r="F53" s="15" t="s">
        <v>39</v>
      </c>
      <c r="G53" s="200"/>
      <c r="H53" s="171"/>
      <c r="I53" s="171"/>
      <c r="J53" s="171"/>
      <c r="K53" s="171"/>
      <c r="L53" s="171"/>
      <c r="M53" s="171"/>
      <c r="N53" s="171"/>
      <c r="O53" s="172"/>
      <c r="P53" s="171"/>
      <c r="Q53" s="133"/>
      <c r="R53" s="133"/>
    </row>
    <row r="54" spans="1:18" ht="15" customHeight="1" x14ac:dyDescent="0.3">
      <c r="A54" s="15" t="s">
        <v>35</v>
      </c>
      <c r="B54" s="15" t="s">
        <v>45</v>
      </c>
      <c r="C54" s="16" t="s">
        <v>412</v>
      </c>
      <c r="D54" s="15" t="s">
        <v>37</v>
      </c>
      <c r="E54" s="15" t="s">
        <v>453</v>
      </c>
      <c r="F54" s="15" t="s">
        <v>39</v>
      </c>
      <c r="G54" s="200"/>
      <c r="H54" s="171"/>
      <c r="I54" s="171"/>
      <c r="J54" s="171"/>
      <c r="K54" s="171"/>
      <c r="L54" s="171"/>
      <c r="M54" s="171"/>
      <c r="N54" s="171"/>
      <c r="O54" s="172"/>
      <c r="P54" s="171"/>
      <c r="Q54" s="133"/>
      <c r="R54" s="133"/>
    </row>
    <row r="55" spans="1:18" ht="15" customHeight="1" thickBot="1" x14ac:dyDescent="0.35">
      <c r="A55" s="61" t="s">
        <v>55</v>
      </c>
      <c r="B55" s="61" t="s">
        <v>68</v>
      </c>
      <c r="C55" s="62" t="s">
        <v>301</v>
      </c>
      <c r="D55" s="61" t="s">
        <v>57</v>
      </c>
      <c r="E55" s="61" t="s">
        <v>415</v>
      </c>
      <c r="F55" s="61" t="s">
        <v>58</v>
      </c>
      <c r="G55" s="201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7.399999999999999" customHeight="1" thickBot="1" x14ac:dyDescent="0.35">
      <c r="A56" s="225"/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7"/>
    </row>
    <row r="57" spans="1:18" ht="22.05" customHeight="1" thickTop="1" thickBot="1" x14ac:dyDescent="0.35">
      <c r="A57" s="190" t="s">
        <v>6</v>
      </c>
      <c r="B57" s="191"/>
      <c r="C57" s="191"/>
      <c r="D57" s="191"/>
      <c r="E57" s="191"/>
      <c r="F57" s="192"/>
      <c r="G57" s="68">
        <v>45988</v>
      </c>
      <c r="H57" s="202" t="s">
        <v>7</v>
      </c>
      <c r="I57" s="191"/>
      <c r="J57" s="191"/>
      <c r="K57" s="191"/>
      <c r="L57" s="191"/>
      <c r="M57" s="191"/>
      <c r="N57" s="191"/>
      <c r="O57" s="191"/>
      <c r="P57" s="191"/>
      <c r="Q57" s="191"/>
      <c r="R57" s="192"/>
    </row>
    <row r="58" spans="1:18" ht="24" customHeight="1" x14ac:dyDescent="0.3">
      <c r="A58" s="69" t="s">
        <v>8</v>
      </c>
      <c r="B58" s="69" t="s">
        <v>9</v>
      </c>
      <c r="C58" s="70" t="s">
        <v>10</v>
      </c>
      <c r="D58" s="69" t="s">
        <v>11</v>
      </c>
      <c r="E58" s="69" t="s">
        <v>12</v>
      </c>
      <c r="F58" s="71" t="s">
        <v>13</v>
      </c>
      <c r="G58" s="72" t="s">
        <v>14</v>
      </c>
      <c r="H58" s="69" t="s">
        <v>15</v>
      </c>
      <c r="I58" s="73" t="s">
        <v>16</v>
      </c>
      <c r="J58" s="74" t="s">
        <v>17</v>
      </c>
      <c r="K58" s="75" t="s">
        <v>18</v>
      </c>
      <c r="L58" s="74" t="s">
        <v>19</v>
      </c>
      <c r="M58" s="74" t="s">
        <v>20</v>
      </c>
      <c r="N58" s="74" t="s">
        <v>21</v>
      </c>
      <c r="O58" s="69" t="s">
        <v>22</v>
      </c>
      <c r="P58" s="70" t="s">
        <v>23</v>
      </c>
      <c r="Q58" s="74" t="s">
        <v>24</v>
      </c>
      <c r="R58" s="69" t="s">
        <v>25</v>
      </c>
    </row>
    <row r="59" spans="1:18" ht="15" customHeight="1" x14ac:dyDescent="0.3">
      <c r="A59" s="8" t="s">
        <v>110</v>
      </c>
      <c r="B59" s="8" t="s">
        <v>491</v>
      </c>
      <c r="C59" s="9">
        <v>0.52777777777777779</v>
      </c>
      <c r="D59" s="8" t="s">
        <v>486</v>
      </c>
      <c r="E59" s="8" t="s">
        <v>113</v>
      </c>
      <c r="F59" s="8" t="s">
        <v>52</v>
      </c>
      <c r="G59" s="199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110</v>
      </c>
      <c r="B60" s="19" t="s">
        <v>491</v>
      </c>
      <c r="C60" s="20">
        <v>0.52777777777777779</v>
      </c>
      <c r="D60" s="19" t="s">
        <v>488</v>
      </c>
      <c r="E60" s="19" t="s">
        <v>97</v>
      </c>
      <c r="F60" s="19" t="s">
        <v>528</v>
      </c>
      <c r="G60" s="200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9" t="s">
        <v>110</v>
      </c>
      <c r="B61" s="19" t="s">
        <v>491</v>
      </c>
      <c r="C61" s="20">
        <v>0.52777777777777779</v>
      </c>
      <c r="D61" s="19" t="s">
        <v>43</v>
      </c>
      <c r="E61" s="19" t="s">
        <v>97</v>
      </c>
      <c r="F61" s="19" t="s">
        <v>529</v>
      </c>
      <c r="G61" s="200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110</v>
      </c>
      <c r="B62" s="15" t="s">
        <v>530</v>
      </c>
      <c r="C62" s="16">
        <v>0.79861111111111116</v>
      </c>
      <c r="D62" s="15" t="s">
        <v>486</v>
      </c>
      <c r="E62" s="15" t="s">
        <v>95</v>
      </c>
      <c r="F62" s="15" t="s">
        <v>531</v>
      </c>
      <c r="G62" s="200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9" t="s">
        <v>110</v>
      </c>
      <c r="B63" s="19" t="s">
        <v>530</v>
      </c>
      <c r="C63" s="20">
        <v>0.79861111111111116</v>
      </c>
      <c r="D63" s="19" t="s">
        <v>488</v>
      </c>
      <c r="E63" s="19" t="s">
        <v>97</v>
      </c>
      <c r="F63" s="19" t="s">
        <v>532</v>
      </c>
      <c r="G63" s="200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9" t="s">
        <v>110</v>
      </c>
      <c r="B64" s="19" t="s">
        <v>530</v>
      </c>
      <c r="C64" s="20">
        <v>0.79861111111111116</v>
      </c>
      <c r="D64" s="19" t="s">
        <v>43</v>
      </c>
      <c r="E64" s="19" t="s">
        <v>97</v>
      </c>
      <c r="F64" s="19" t="s">
        <v>533</v>
      </c>
      <c r="G64" s="200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7" t="s">
        <v>121</v>
      </c>
      <c r="B65" s="17" t="s">
        <v>508</v>
      </c>
      <c r="C65" s="18">
        <v>0.34027777777777768</v>
      </c>
      <c r="D65" s="17" t="s">
        <v>534</v>
      </c>
      <c r="E65" s="17" t="s">
        <v>29</v>
      </c>
      <c r="F65" s="17" t="s">
        <v>535</v>
      </c>
      <c r="G65" s="200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121</v>
      </c>
      <c r="B66" s="19" t="s">
        <v>508</v>
      </c>
      <c r="C66" s="20">
        <v>0.34027777777777768</v>
      </c>
      <c r="D66" s="19" t="s">
        <v>123</v>
      </c>
      <c r="E66" s="19" t="s">
        <v>126</v>
      </c>
      <c r="F66" s="19" t="s">
        <v>536</v>
      </c>
      <c r="G66" s="200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9" t="s">
        <v>121</v>
      </c>
      <c r="B67" s="19" t="s">
        <v>508</v>
      </c>
      <c r="C67" s="20">
        <v>0.34027777777777768</v>
      </c>
      <c r="D67" s="19" t="s">
        <v>125</v>
      </c>
      <c r="E67" s="19" t="s">
        <v>126</v>
      </c>
      <c r="F67" s="19" t="s">
        <v>537</v>
      </c>
      <c r="G67" s="200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21" t="s">
        <v>55</v>
      </c>
      <c r="B68" s="21" t="s">
        <v>503</v>
      </c>
      <c r="C68" s="22">
        <v>0.27430555555555552</v>
      </c>
      <c r="D68" s="21" t="s">
        <v>57</v>
      </c>
      <c r="E68" s="21" t="s">
        <v>249</v>
      </c>
      <c r="F68" s="21" t="s">
        <v>538</v>
      </c>
      <c r="G68" s="200"/>
      <c r="H68" s="23" t="s">
        <v>505</v>
      </c>
      <c r="I68" s="178">
        <v>0.97770000000000001</v>
      </c>
      <c r="J68" s="25">
        <v>175</v>
      </c>
      <c r="K68" s="26">
        <v>45981</v>
      </c>
      <c r="L68" s="25">
        <v>2</v>
      </c>
      <c r="M68" s="25">
        <v>0</v>
      </c>
      <c r="N68" s="25">
        <v>2</v>
      </c>
      <c r="O68" s="27" t="s">
        <v>539</v>
      </c>
      <c r="P68" s="28">
        <v>0.27430555555555552</v>
      </c>
      <c r="Q68" s="25">
        <v>179</v>
      </c>
      <c r="R68" s="29" t="s">
        <v>540</v>
      </c>
    </row>
    <row r="69" spans="1:18" ht="18" x14ac:dyDescent="0.3">
      <c r="A69" s="208" t="s">
        <v>512</v>
      </c>
      <c r="B69" s="209"/>
      <c r="C69" s="209"/>
      <c r="D69" s="209"/>
      <c r="E69" s="209"/>
      <c r="F69" s="210"/>
      <c r="G69" s="200"/>
      <c r="H69" s="171"/>
      <c r="I69" s="171"/>
      <c r="J69" s="171"/>
      <c r="K69" s="171"/>
      <c r="L69" s="171"/>
      <c r="M69" s="171"/>
      <c r="N69" s="171"/>
      <c r="O69" s="172"/>
      <c r="P69" s="171"/>
      <c r="Q69" s="133"/>
      <c r="R69" s="133"/>
    </row>
    <row r="70" spans="1:18" ht="15" customHeight="1" x14ac:dyDescent="0.3">
      <c r="A70" s="15" t="s">
        <v>35</v>
      </c>
      <c r="B70" s="15" t="s">
        <v>36</v>
      </c>
      <c r="C70" s="16" t="s">
        <v>411</v>
      </c>
      <c r="D70" s="15" t="s">
        <v>37</v>
      </c>
      <c r="E70" s="15" t="s">
        <v>418</v>
      </c>
      <c r="F70" s="15" t="s">
        <v>184</v>
      </c>
      <c r="G70" s="200"/>
      <c r="H70" s="171"/>
      <c r="I70" s="171"/>
      <c r="J70" s="171"/>
      <c r="K70" s="171"/>
      <c r="L70" s="171"/>
      <c r="M70" s="171"/>
      <c r="N70" s="171"/>
      <c r="O70" s="172"/>
      <c r="P70" s="171"/>
      <c r="Q70" s="133"/>
      <c r="R70" s="133"/>
    </row>
    <row r="71" spans="1:18" ht="15" customHeight="1" x14ac:dyDescent="0.3">
      <c r="A71" s="15" t="s">
        <v>35</v>
      </c>
      <c r="B71" s="15" t="s">
        <v>50</v>
      </c>
      <c r="C71" s="16" t="s">
        <v>443</v>
      </c>
      <c r="D71" s="15" t="s">
        <v>37</v>
      </c>
      <c r="E71" s="15" t="s">
        <v>433</v>
      </c>
      <c r="F71" s="15" t="s">
        <v>184</v>
      </c>
      <c r="G71" s="200"/>
      <c r="H71" s="171"/>
      <c r="I71" s="171"/>
      <c r="J71" s="171"/>
      <c r="K71" s="171"/>
      <c r="L71" s="171"/>
      <c r="M71" s="171"/>
      <c r="N71" s="171"/>
      <c r="O71" s="172"/>
      <c r="P71" s="171"/>
      <c r="Q71" s="133"/>
      <c r="R71" s="133"/>
    </row>
    <row r="72" spans="1:18" ht="15" customHeight="1" x14ac:dyDescent="0.3">
      <c r="A72" s="15" t="s">
        <v>116</v>
      </c>
      <c r="B72" s="15" t="s">
        <v>117</v>
      </c>
      <c r="C72" s="16" t="s">
        <v>541</v>
      </c>
      <c r="D72" s="15" t="s">
        <v>28</v>
      </c>
      <c r="E72" s="15" t="s">
        <v>415</v>
      </c>
      <c r="F72" s="15" t="s">
        <v>164</v>
      </c>
      <c r="G72" s="200"/>
      <c r="H72" s="171"/>
      <c r="I72" s="171"/>
      <c r="J72" s="171"/>
      <c r="K72" s="171"/>
      <c r="L72" s="171"/>
      <c r="M72" s="171"/>
      <c r="N72" s="171"/>
      <c r="O72" s="172"/>
      <c r="P72" s="171"/>
      <c r="Q72" s="133"/>
      <c r="R72" s="133"/>
    </row>
    <row r="73" spans="1:18" ht="15" customHeight="1" x14ac:dyDescent="0.3">
      <c r="A73" s="15" t="s">
        <v>116</v>
      </c>
      <c r="B73" s="15" t="s">
        <v>119</v>
      </c>
      <c r="C73" s="16" t="s">
        <v>542</v>
      </c>
      <c r="D73" s="15" t="s">
        <v>28</v>
      </c>
      <c r="E73" s="15" t="s">
        <v>415</v>
      </c>
      <c r="F73" s="15" t="s">
        <v>164</v>
      </c>
      <c r="G73" s="200"/>
      <c r="H73" s="171"/>
      <c r="I73" s="171"/>
      <c r="J73" s="171"/>
      <c r="K73" s="171"/>
      <c r="L73" s="171"/>
      <c r="M73" s="171"/>
      <c r="N73" s="171"/>
      <c r="O73" s="172"/>
      <c r="P73" s="171"/>
      <c r="Q73" s="133"/>
      <c r="R73" s="133"/>
    </row>
    <row r="74" spans="1:18" ht="15" customHeight="1" x14ac:dyDescent="0.3">
      <c r="A74" s="15" t="s">
        <v>55</v>
      </c>
      <c r="B74" s="15" t="s">
        <v>189</v>
      </c>
      <c r="C74" s="16" t="s">
        <v>349</v>
      </c>
      <c r="D74" s="15" t="s">
        <v>57</v>
      </c>
      <c r="E74" s="15" t="s">
        <v>415</v>
      </c>
      <c r="F74" s="15" t="s">
        <v>30</v>
      </c>
      <c r="G74" s="200"/>
      <c r="H74" s="171"/>
      <c r="I74" s="171"/>
      <c r="J74" s="171"/>
      <c r="K74" s="171"/>
      <c r="L74" s="171"/>
      <c r="M74" s="171"/>
      <c r="N74" s="171"/>
      <c r="O74" s="172"/>
      <c r="P74" s="171"/>
      <c r="Q74" s="133"/>
      <c r="R74" s="133"/>
    </row>
    <row r="75" spans="1:18" ht="15" customHeight="1" x14ac:dyDescent="0.3">
      <c r="A75" s="15" t="s">
        <v>55</v>
      </c>
      <c r="B75" s="15" t="s">
        <v>192</v>
      </c>
      <c r="C75" s="16" t="s">
        <v>341</v>
      </c>
      <c r="D75" s="15" t="s">
        <v>57</v>
      </c>
      <c r="E75" s="15" t="s">
        <v>415</v>
      </c>
      <c r="F75" s="15" t="s">
        <v>30</v>
      </c>
      <c r="G75" s="200"/>
      <c r="H75" s="171"/>
      <c r="I75" s="171"/>
      <c r="J75" s="171"/>
      <c r="K75" s="171"/>
      <c r="L75" s="171"/>
      <c r="M75" s="171"/>
      <c r="N75" s="171"/>
      <c r="O75" s="172"/>
      <c r="P75" s="171"/>
      <c r="Q75" s="133"/>
      <c r="R75" s="133"/>
    </row>
    <row r="76" spans="1:18" ht="15" customHeight="1" x14ac:dyDescent="0.3">
      <c r="A76" s="15" t="s">
        <v>55</v>
      </c>
      <c r="B76" s="15" t="s">
        <v>68</v>
      </c>
      <c r="C76" s="16" t="s">
        <v>351</v>
      </c>
      <c r="D76" s="15" t="s">
        <v>57</v>
      </c>
      <c r="E76" s="15" t="s">
        <v>415</v>
      </c>
      <c r="F76" s="15" t="s">
        <v>30</v>
      </c>
      <c r="G76" s="200"/>
      <c r="H76" s="171"/>
      <c r="I76" s="171"/>
      <c r="J76" s="171"/>
      <c r="K76" s="171"/>
      <c r="L76" s="171"/>
      <c r="M76" s="171"/>
      <c r="N76" s="171"/>
      <c r="O76" s="172"/>
      <c r="P76" s="171"/>
      <c r="Q76" s="133"/>
      <c r="R76" s="133"/>
    </row>
    <row r="77" spans="1:18" ht="15" customHeight="1" x14ac:dyDescent="0.3">
      <c r="A77" s="15" t="s">
        <v>55</v>
      </c>
      <c r="B77" s="15" t="s">
        <v>196</v>
      </c>
      <c r="C77" s="16" t="s">
        <v>355</v>
      </c>
      <c r="D77" s="15" t="s">
        <v>57</v>
      </c>
      <c r="E77" s="15" t="s">
        <v>415</v>
      </c>
      <c r="F77" s="15" t="s">
        <v>30</v>
      </c>
      <c r="G77" s="200"/>
      <c r="H77" s="171"/>
      <c r="I77" s="171"/>
      <c r="J77" s="171"/>
      <c r="K77" s="171"/>
      <c r="L77" s="171"/>
      <c r="M77" s="171"/>
      <c r="N77" s="171"/>
      <c r="O77" s="172"/>
      <c r="P77" s="171"/>
      <c r="Q77" s="133"/>
      <c r="R77" s="133"/>
    </row>
    <row r="78" spans="1:18" ht="15" customHeight="1" x14ac:dyDescent="0.3">
      <c r="A78" s="15" t="s">
        <v>26</v>
      </c>
      <c r="B78" s="15" t="s">
        <v>33</v>
      </c>
      <c r="C78" s="16" t="s">
        <v>543</v>
      </c>
      <c r="D78" s="15" t="s">
        <v>28</v>
      </c>
      <c r="E78" s="15" t="s">
        <v>418</v>
      </c>
      <c r="F78" s="15" t="s">
        <v>30</v>
      </c>
      <c r="G78" s="200"/>
      <c r="H78" s="171"/>
      <c r="I78" s="171"/>
      <c r="J78" s="171"/>
      <c r="K78" s="171"/>
      <c r="L78" s="171"/>
      <c r="M78" s="171"/>
      <c r="N78" s="171"/>
      <c r="O78" s="172"/>
      <c r="P78" s="171"/>
      <c r="Q78" s="133"/>
      <c r="R78" s="133"/>
    </row>
    <row r="79" spans="1:18" ht="15" customHeight="1" thickBot="1" x14ac:dyDescent="0.35">
      <c r="A79" s="61" t="s">
        <v>83</v>
      </c>
      <c r="B79" s="61" t="s">
        <v>101</v>
      </c>
      <c r="C79" s="62" t="s">
        <v>321</v>
      </c>
      <c r="D79" s="61" t="s">
        <v>85</v>
      </c>
      <c r="E79" s="61" t="s">
        <v>426</v>
      </c>
      <c r="F79" s="61" t="s">
        <v>202</v>
      </c>
      <c r="G79" s="201"/>
      <c r="H79" s="173"/>
      <c r="I79" s="173"/>
      <c r="J79" s="173"/>
      <c r="K79" s="173"/>
      <c r="L79" s="173"/>
      <c r="M79" s="173"/>
      <c r="N79" s="173"/>
      <c r="O79" s="174"/>
      <c r="P79" s="173"/>
      <c r="Q79" s="175"/>
      <c r="R79" s="175"/>
    </row>
    <row r="80" spans="1:18" ht="17.399999999999999" customHeight="1" thickBot="1" x14ac:dyDescent="0.35">
      <c r="A80" s="225"/>
      <c r="B80" s="226"/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7"/>
    </row>
    <row r="81" spans="1:18" ht="22.05" customHeight="1" thickTop="1" thickBot="1" x14ac:dyDescent="0.35">
      <c r="A81" s="190" t="s">
        <v>6</v>
      </c>
      <c r="B81" s="191"/>
      <c r="C81" s="191"/>
      <c r="D81" s="191"/>
      <c r="E81" s="191"/>
      <c r="F81" s="192"/>
      <c r="G81" s="68">
        <v>45989</v>
      </c>
      <c r="H81" s="202" t="s">
        <v>7</v>
      </c>
      <c r="I81" s="191"/>
      <c r="J81" s="191"/>
      <c r="K81" s="191"/>
      <c r="L81" s="191"/>
      <c r="M81" s="191"/>
      <c r="N81" s="191"/>
      <c r="O81" s="191"/>
      <c r="P81" s="191"/>
      <c r="Q81" s="191"/>
      <c r="R81" s="192"/>
    </row>
    <row r="82" spans="1:18" ht="24" customHeight="1" x14ac:dyDescent="0.3">
      <c r="A82" s="69" t="s">
        <v>8</v>
      </c>
      <c r="B82" s="69" t="s">
        <v>9</v>
      </c>
      <c r="C82" s="70" t="s">
        <v>10</v>
      </c>
      <c r="D82" s="69" t="s">
        <v>11</v>
      </c>
      <c r="E82" s="69" t="s">
        <v>12</v>
      </c>
      <c r="F82" s="71" t="s">
        <v>13</v>
      </c>
      <c r="G82" s="72" t="s">
        <v>14</v>
      </c>
      <c r="H82" s="69" t="s">
        <v>15</v>
      </c>
      <c r="I82" s="73" t="s">
        <v>16</v>
      </c>
      <c r="J82" s="74" t="s">
        <v>17</v>
      </c>
      <c r="K82" s="75" t="s">
        <v>18</v>
      </c>
      <c r="L82" s="74" t="s">
        <v>19</v>
      </c>
      <c r="M82" s="74" t="s">
        <v>20</v>
      </c>
      <c r="N82" s="74" t="s">
        <v>21</v>
      </c>
      <c r="O82" s="69" t="s">
        <v>22</v>
      </c>
      <c r="P82" s="70" t="s">
        <v>23</v>
      </c>
      <c r="Q82" s="74" t="s">
        <v>24</v>
      </c>
      <c r="R82" s="69" t="s">
        <v>25</v>
      </c>
    </row>
    <row r="83" spans="1:18" ht="15" customHeight="1" x14ac:dyDescent="0.3">
      <c r="A83" s="8" t="s">
        <v>110</v>
      </c>
      <c r="B83" s="8" t="s">
        <v>485</v>
      </c>
      <c r="C83" s="9">
        <v>0.1875</v>
      </c>
      <c r="D83" s="8" t="s">
        <v>486</v>
      </c>
      <c r="E83" s="8" t="s">
        <v>113</v>
      </c>
      <c r="F83" s="8" t="s">
        <v>544</v>
      </c>
      <c r="G83" s="199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9" t="s">
        <v>110</v>
      </c>
      <c r="B84" s="19" t="s">
        <v>485</v>
      </c>
      <c r="C84" s="20">
        <v>0.1875</v>
      </c>
      <c r="D84" s="19" t="s">
        <v>488</v>
      </c>
      <c r="E84" s="19" t="s">
        <v>97</v>
      </c>
      <c r="F84" s="19" t="s">
        <v>545</v>
      </c>
      <c r="G84" s="200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9" t="s">
        <v>110</v>
      </c>
      <c r="B85" s="19" t="s">
        <v>485</v>
      </c>
      <c r="C85" s="20">
        <v>0.1875</v>
      </c>
      <c r="D85" s="19" t="s">
        <v>43</v>
      </c>
      <c r="E85" s="19" t="s">
        <v>97</v>
      </c>
      <c r="F85" s="19" t="s">
        <v>42</v>
      </c>
      <c r="G85" s="200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88" t="s">
        <v>55</v>
      </c>
      <c r="B86" s="88" t="s">
        <v>503</v>
      </c>
      <c r="C86" s="89">
        <v>0.41666666666666669</v>
      </c>
      <c r="D86" s="88" t="s">
        <v>57</v>
      </c>
      <c r="E86" s="88" t="s">
        <v>248</v>
      </c>
      <c r="F86" s="88" t="s">
        <v>517</v>
      </c>
      <c r="G86" s="200"/>
      <c r="H86" s="90" t="s">
        <v>505</v>
      </c>
      <c r="I86" s="91">
        <v>0.46429999999999999</v>
      </c>
      <c r="J86" s="92">
        <v>78</v>
      </c>
      <c r="K86" s="93">
        <v>45981</v>
      </c>
      <c r="L86" s="92">
        <v>49</v>
      </c>
      <c r="M86" s="92">
        <v>0</v>
      </c>
      <c r="N86" s="92">
        <v>13</v>
      </c>
      <c r="O86" s="94" t="s">
        <v>546</v>
      </c>
      <c r="P86" s="95">
        <v>0.41666666666666669</v>
      </c>
      <c r="Q86" s="92">
        <v>168</v>
      </c>
      <c r="R86" s="96" t="s">
        <v>547</v>
      </c>
    </row>
    <row r="87" spans="1:18" ht="15" customHeight="1" x14ac:dyDescent="0.3">
      <c r="A87" s="17" t="s">
        <v>121</v>
      </c>
      <c r="B87" s="17" t="s">
        <v>511</v>
      </c>
      <c r="C87" s="18">
        <v>0.71180555555555547</v>
      </c>
      <c r="D87" s="17" t="s">
        <v>123</v>
      </c>
      <c r="E87" s="17" t="s">
        <v>171</v>
      </c>
      <c r="F87" s="17" t="s">
        <v>509</v>
      </c>
      <c r="G87" s="200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9" t="s">
        <v>121</v>
      </c>
      <c r="B88" s="19" t="s">
        <v>511</v>
      </c>
      <c r="C88" s="20">
        <v>0.71180555555555547</v>
      </c>
      <c r="D88" s="19" t="s">
        <v>125</v>
      </c>
      <c r="E88" s="19" t="s">
        <v>53</v>
      </c>
      <c r="F88" s="19" t="s">
        <v>510</v>
      </c>
      <c r="G88" s="200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8" x14ac:dyDescent="0.3">
      <c r="A89" s="208" t="s">
        <v>512</v>
      </c>
      <c r="B89" s="209"/>
      <c r="C89" s="209"/>
      <c r="D89" s="209"/>
      <c r="E89" s="209"/>
      <c r="F89" s="210"/>
      <c r="G89" s="200"/>
      <c r="H89" s="171"/>
      <c r="I89" s="171"/>
      <c r="J89" s="171"/>
      <c r="K89" s="171"/>
      <c r="L89" s="171"/>
      <c r="M89" s="171"/>
      <c r="N89" s="171"/>
      <c r="O89" s="172"/>
      <c r="P89" s="171"/>
      <c r="Q89" s="133"/>
      <c r="R89" s="133"/>
    </row>
    <row r="90" spans="1:18" ht="15" customHeight="1" x14ac:dyDescent="0.3">
      <c r="A90" s="15" t="s">
        <v>35</v>
      </c>
      <c r="B90" s="15" t="s">
        <v>50</v>
      </c>
      <c r="C90" s="16" t="s">
        <v>443</v>
      </c>
      <c r="D90" s="15" t="s">
        <v>37</v>
      </c>
      <c r="E90" s="15" t="s">
        <v>418</v>
      </c>
      <c r="F90" s="15" t="s">
        <v>184</v>
      </c>
      <c r="G90" s="200"/>
      <c r="H90" s="171"/>
      <c r="I90" s="171"/>
      <c r="J90" s="171"/>
      <c r="K90" s="171"/>
      <c r="L90" s="171"/>
      <c r="M90" s="171"/>
      <c r="N90" s="171"/>
      <c r="O90" s="172"/>
      <c r="P90" s="171"/>
      <c r="Q90" s="133"/>
      <c r="R90" s="133"/>
    </row>
    <row r="91" spans="1:18" ht="15" customHeight="1" x14ac:dyDescent="0.3">
      <c r="A91" s="15" t="s">
        <v>35</v>
      </c>
      <c r="B91" s="15" t="s">
        <v>36</v>
      </c>
      <c r="C91" s="16" t="s">
        <v>411</v>
      </c>
      <c r="D91" s="15" t="s">
        <v>37</v>
      </c>
      <c r="E91" s="15" t="s">
        <v>420</v>
      </c>
      <c r="F91" s="15" t="s">
        <v>159</v>
      </c>
      <c r="G91" s="200"/>
      <c r="H91" s="171"/>
      <c r="I91" s="171"/>
      <c r="J91" s="171"/>
      <c r="K91" s="171"/>
      <c r="L91" s="171"/>
      <c r="M91" s="171"/>
      <c r="N91" s="171"/>
      <c r="O91" s="172"/>
      <c r="P91" s="171"/>
      <c r="Q91" s="133"/>
      <c r="R91" s="133"/>
    </row>
    <row r="92" spans="1:18" ht="15" customHeight="1" x14ac:dyDescent="0.3">
      <c r="A92" s="15" t="s">
        <v>55</v>
      </c>
      <c r="B92" s="15" t="s">
        <v>56</v>
      </c>
      <c r="C92" s="16" t="s">
        <v>338</v>
      </c>
      <c r="D92" s="15" t="s">
        <v>57</v>
      </c>
      <c r="E92" s="15" t="s">
        <v>415</v>
      </c>
      <c r="F92" s="15" t="s">
        <v>30</v>
      </c>
      <c r="G92" s="200"/>
      <c r="H92" s="171"/>
      <c r="I92" s="171"/>
      <c r="J92" s="171"/>
      <c r="K92" s="171"/>
      <c r="L92" s="171"/>
      <c r="M92" s="171"/>
      <c r="N92" s="171"/>
      <c r="O92" s="172"/>
      <c r="P92" s="171"/>
      <c r="Q92" s="133"/>
      <c r="R92" s="133"/>
    </row>
    <row r="93" spans="1:18" ht="15" customHeight="1" x14ac:dyDescent="0.3">
      <c r="A93" s="15" t="s">
        <v>55</v>
      </c>
      <c r="B93" s="15" t="s">
        <v>62</v>
      </c>
      <c r="C93" s="16" t="s">
        <v>370</v>
      </c>
      <c r="D93" s="15" t="s">
        <v>57</v>
      </c>
      <c r="E93" s="15" t="s">
        <v>415</v>
      </c>
      <c r="F93" s="15" t="s">
        <v>30</v>
      </c>
      <c r="G93" s="200"/>
      <c r="H93" s="171"/>
      <c r="I93" s="171"/>
      <c r="J93" s="171"/>
      <c r="K93" s="171"/>
      <c r="L93" s="171"/>
      <c r="M93" s="171"/>
      <c r="N93" s="171"/>
      <c r="O93" s="172"/>
      <c r="P93" s="171"/>
      <c r="Q93" s="133"/>
      <c r="R93" s="133"/>
    </row>
    <row r="94" spans="1:18" ht="15" customHeight="1" x14ac:dyDescent="0.3">
      <c r="A94" s="15" t="s">
        <v>55</v>
      </c>
      <c r="B94" s="15" t="s">
        <v>65</v>
      </c>
      <c r="C94" s="16" t="s">
        <v>362</v>
      </c>
      <c r="D94" s="15" t="s">
        <v>57</v>
      </c>
      <c r="E94" s="15" t="s">
        <v>415</v>
      </c>
      <c r="F94" s="15" t="s">
        <v>30</v>
      </c>
      <c r="G94" s="200"/>
      <c r="H94" s="171"/>
      <c r="I94" s="171"/>
      <c r="J94" s="171"/>
      <c r="K94" s="171"/>
      <c r="L94" s="171"/>
      <c r="M94" s="171"/>
      <c r="N94" s="171"/>
      <c r="O94" s="172"/>
      <c r="P94" s="171"/>
      <c r="Q94" s="133"/>
      <c r="R94" s="133"/>
    </row>
    <row r="95" spans="1:18" ht="15" customHeight="1" x14ac:dyDescent="0.3">
      <c r="A95" s="15" t="s">
        <v>55</v>
      </c>
      <c r="B95" s="15" t="s">
        <v>68</v>
      </c>
      <c r="C95" s="16" t="s">
        <v>364</v>
      </c>
      <c r="D95" s="15" t="s">
        <v>57</v>
      </c>
      <c r="E95" s="15" t="s">
        <v>415</v>
      </c>
      <c r="F95" s="15" t="s">
        <v>30</v>
      </c>
      <c r="G95" s="200"/>
      <c r="H95" s="171"/>
      <c r="I95" s="171"/>
      <c r="J95" s="171"/>
      <c r="K95" s="171"/>
      <c r="L95" s="171"/>
      <c r="M95" s="171"/>
      <c r="N95" s="171"/>
      <c r="O95" s="172"/>
      <c r="P95" s="171"/>
      <c r="Q95" s="133"/>
      <c r="R95" s="133"/>
    </row>
    <row r="96" spans="1:18" ht="15" customHeight="1" x14ac:dyDescent="0.3">
      <c r="A96" s="15" t="s">
        <v>55</v>
      </c>
      <c r="B96" s="15" t="s">
        <v>196</v>
      </c>
      <c r="C96" s="16" t="s">
        <v>301</v>
      </c>
      <c r="D96" s="15" t="s">
        <v>57</v>
      </c>
      <c r="E96" s="15" t="s">
        <v>415</v>
      </c>
      <c r="F96" s="15" t="s">
        <v>30</v>
      </c>
      <c r="G96" s="200"/>
      <c r="H96" s="171"/>
      <c r="I96" s="171"/>
      <c r="J96" s="171"/>
      <c r="K96" s="171"/>
      <c r="L96" s="171"/>
      <c r="M96" s="171"/>
      <c r="N96" s="171"/>
      <c r="O96" s="172"/>
      <c r="P96" s="171"/>
      <c r="Q96" s="133"/>
      <c r="R96" s="133"/>
    </row>
    <row r="97" spans="1:18" ht="15" customHeight="1" x14ac:dyDescent="0.3">
      <c r="A97" s="15" t="s">
        <v>26</v>
      </c>
      <c r="B97" s="15" t="s">
        <v>33</v>
      </c>
      <c r="C97" s="16" t="s">
        <v>543</v>
      </c>
      <c r="D97" s="15" t="s">
        <v>28</v>
      </c>
      <c r="E97" s="15" t="s">
        <v>420</v>
      </c>
      <c r="F97" s="15" t="s">
        <v>30</v>
      </c>
      <c r="G97" s="200"/>
      <c r="H97" s="171"/>
      <c r="I97" s="171"/>
      <c r="J97" s="171"/>
      <c r="K97" s="171"/>
      <c r="L97" s="171"/>
      <c r="M97" s="171"/>
      <c r="N97" s="171"/>
      <c r="O97" s="172"/>
      <c r="P97" s="171"/>
      <c r="Q97" s="133"/>
      <c r="R97" s="133"/>
    </row>
    <row r="98" spans="1:18" ht="15" customHeight="1" x14ac:dyDescent="0.3">
      <c r="A98" s="15" t="s">
        <v>83</v>
      </c>
      <c r="B98" s="15" t="s">
        <v>102</v>
      </c>
      <c r="C98" s="16" t="s">
        <v>431</v>
      </c>
      <c r="D98" s="15" t="s">
        <v>85</v>
      </c>
      <c r="E98" s="15" t="s">
        <v>420</v>
      </c>
      <c r="F98" s="15" t="s">
        <v>202</v>
      </c>
      <c r="G98" s="200"/>
      <c r="H98" s="171"/>
      <c r="I98" s="171"/>
      <c r="J98" s="171"/>
      <c r="K98" s="171"/>
      <c r="L98" s="171"/>
      <c r="M98" s="171"/>
      <c r="N98" s="171"/>
      <c r="O98" s="172"/>
      <c r="P98" s="171"/>
      <c r="Q98" s="133"/>
      <c r="R98" s="133"/>
    </row>
    <row r="99" spans="1:18" ht="15" customHeight="1" thickBot="1" x14ac:dyDescent="0.35">
      <c r="A99" s="61" t="s">
        <v>35</v>
      </c>
      <c r="B99" s="61" t="s">
        <v>45</v>
      </c>
      <c r="C99" s="62" t="s">
        <v>412</v>
      </c>
      <c r="D99" s="61" t="s">
        <v>37</v>
      </c>
      <c r="E99" s="61" t="s">
        <v>471</v>
      </c>
      <c r="F99" s="61" t="s">
        <v>39</v>
      </c>
      <c r="G99" s="201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7.399999999999999" customHeight="1" thickBot="1" x14ac:dyDescent="0.35">
      <c r="A100" s="225"/>
      <c r="B100" s="226"/>
      <c r="C100" s="226"/>
      <c r="D100" s="226"/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7"/>
    </row>
    <row r="101" spans="1:18" ht="22.05" customHeight="1" thickTop="1" thickBot="1" x14ac:dyDescent="0.35">
      <c r="A101" s="190" t="s">
        <v>6</v>
      </c>
      <c r="B101" s="191"/>
      <c r="C101" s="191"/>
      <c r="D101" s="191"/>
      <c r="E101" s="191"/>
      <c r="F101" s="192"/>
      <c r="G101" s="68">
        <v>45990</v>
      </c>
      <c r="H101" s="202" t="s">
        <v>7</v>
      </c>
      <c r="I101" s="191"/>
      <c r="J101" s="191"/>
      <c r="K101" s="191"/>
      <c r="L101" s="191"/>
      <c r="M101" s="191"/>
      <c r="N101" s="191"/>
      <c r="O101" s="191"/>
      <c r="P101" s="191"/>
      <c r="Q101" s="191"/>
      <c r="R101" s="192"/>
    </row>
    <row r="102" spans="1:18" ht="24" customHeight="1" x14ac:dyDescent="0.3">
      <c r="A102" s="69" t="s">
        <v>8</v>
      </c>
      <c r="B102" s="69" t="s">
        <v>9</v>
      </c>
      <c r="C102" s="70" t="s">
        <v>10</v>
      </c>
      <c r="D102" s="69" t="s">
        <v>11</v>
      </c>
      <c r="E102" s="69" t="s">
        <v>12</v>
      </c>
      <c r="F102" s="71" t="s">
        <v>13</v>
      </c>
      <c r="G102" s="72" t="s">
        <v>14</v>
      </c>
      <c r="H102" s="69" t="s">
        <v>15</v>
      </c>
      <c r="I102" s="73" t="s">
        <v>16</v>
      </c>
      <c r="J102" s="74" t="s">
        <v>17</v>
      </c>
      <c r="K102" s="75" t="s">
        <v>18</v>
      </c>
      <c r="L102" s="74" t="s">
        <v>19</v>
      </c>
      <c r="M102" s="74" t="s">
        <v>20</v>
      </c>
      <c r="N102" s="74" t="s">
        <v>21</v>
      </c>
      <c r="O102" s="69" t="s">
        <v>22</v>
      </c>
      <c r="P102" s="70" t="s">
        <v>23</v>
      </c>
      <c r="Q102" s="74" t="s">
        <v>24</v>
      </c>
      <c r="R102" s="69" t="s">
        <v>25</v>
      </c>
    </row>
    <row r="103" spans="1:18" ht="15" customHeight="1" x14ac:dyDescent="0.3">
      <c r="A103" s="8" t="s">
        <v>35</v>
      </c>
      <c r="B103" s="8" t="s">
        <v>494</v>
      </c>
      <c r="C103" s="9">
        <v>0.25694444444444448</v>
      </c>
      <c r="D103" s="8" t="s">
        <v>495</v>
      </c>
      <c r="E103" s="8" t="s">
        <v>163</v>
      </c>
      <c r="F103" s="8" t="s">
        <v>548</v>
      </c>
      <c r="G103" s="199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9" t="s">
        <v>35</v>
      </c>
      <c r="B104" s="19" t="s">
        <v>494</v>
      </c>
      <c r="C104" s="20">
        <v>0.25694444444444448</v>
      </c>
      <c r="D104" s="19" t="s">
        <v>486</v>
      </c>
      <c r="E104" s="19" t="s">
        <v>49</v>
      </c>
      <c r="F104" s="19" t="s">
        <v>549</v>
      </c>
      <c r="G104" s="200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9" t="s">
        <v>35</v>
      </c>
      <c r="B105" s="19" t="s">
        <v>494</v>
      </c>
      <c r="C105" s="20">
        <v>0.25694444444444448</v>
      </c>
      <c r="D105" s="19" t="s">
        <v>488</v>
      </c>
      <c r="E105" s="19" t="s">
        <v>49</v>
      </c>
      <c r="F105" s="19" t="s">
        <v>550</v>
      </c>
      <c r="G105" s="200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9" t="s">
        <v>35</v>
      </c>
      <c r="B106" s="19" t="s">
        <v>494</v>
      </c>
      <c r="C106" s="20">
        <v>0.25694444444444448</v>
      </c>
      <c r="D106" s="19" t="s">
        <v>499</v>
      </c>
      <c r="E106" s="19" t="s">
        <v>49</v>
      </c>
      <c r="F106" s="19" t="s">
        <v>99</v>
      </c>
      <c r="G106" s="200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7" t="s">
        <v>110</v>
      </c>
      <c r="B107" s="17" t="s">
        <v>491</v>
      </c>
      <c r="C107" s="18">
        <v>0.52777777777777779</v>
      </c>
      <c r="D107" s="17" t="s">
        <v>486</v>
      </c>
      <c r="E107" s="17" t="s">
        <v>113</v>
      </c>
      <c r="F107" s="17" t="s">
        <v>551</v>
      </c>
      <c r="G107" s="200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19" t="s">
        <v>110</v>
      </c>
      <c r="B108" s="19" t="s">
        <v>491</v>
      </c>
      <c r="C108" s="20">
        <v>0.52777777777777779</v>
      </c>
      <c r="D108" s="19" t="s">
        <v>488</v>
      </c>
      <c r="E108" s="19" t="s">
        <v>97</v>
      </c>
      <c r="F108" s="19" t="s">
        <v>552</v>
      </c>
      <c r="G108" s="200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9" t="s">
        <v>110</v>
      </c>
      <c r="B109" s="19" t="s">
        <v>491</v>
      </c>
      <c r="C109" s="20">
        <v>0.52777777777777779</v>
      </c>
      <c r="D109" s="19" t="s">
        <v>43</v>
      </c>
      <c r="E109" s="19" t="s">
        <v>97</v>
      </c>
      <c r="F109" s="19" t="s">
        <v>553</v>
      </c>
      <c r="G109" s="200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88" t="s">
        <v>55</v>
      </c>
      <c r="B110" s="88" t="s">
        <v>503</v>
      </c>
      <c r="C110" s="89">
        <v>0.79166666666666663</v>
      </c>
      <c r="D110" s="88" t="s">
        <v>57</v>
      </c>
      <c r="E110" s="88" t="s">
        <v>248</v>
      </c>
      <c r="F110" s="88" t="s">
        <v>554</v>
      </c>
      <c r="G110" s="200"/>
      <c r="H110" s="90" t="s">
        <v>505</v>
      </c>
      <c r="I110" s="176">
        <v>0.95830000000000004</v>
      </c>
      <c r="J110" s="92">
        <v>161</v>
      </c>
      <c r="K110" s="93">
        <v>45981</v>
      </c>
      <c r="L110" s="92">
        <v>2</v>
      </c>
      <c r="M110" s="92">
        <v>0</v>
      </c>
      <c r="N110" s="92">
        <v>1</v>
      </c>
      <c r="O110" s="94" t="s">
        <v>555</v>
      </c>
      <c r="P110" s="95">
        <v>0.79166666666666663</v>
      </c>
      <c r="Q110" s="92">
        <v>168</v>
      </c>
      <c r="R110" s="96" t="s">
        <v>556</v>
      </c>
    </row>
    <row r="111" spans="1:18" ht="15" customHeight="1" x14ac:dyDescent="0.3">
      <c r="A111" s="112" t="s">
        <v>55</v>
      </c>
      <c r="B111" s="112" t="s">
        <v>516</v>
      </c>
      <c r="C111" s="113">
        <v>0.45833333333333331</v>
      </c>
      <c r="D111" s="112" t="s">
        <v>57</v>
      </c>
      <c r="E111" s="112" t="s">
        <v>105</v>
      </c>
      <c r="F111" s="112" t="s">
        <v>554</v>
      </c>
      <c r="G111" s="200"/>
      <c r="H111" s="114" t="s">
        <v>518</v>
      </c>
      <c r="I111" s="131">
        <v>0.97619999999999996</v>
      </c>
      <c r="J111" s="116">
        <v>164</v>
      </c>
      <c r="K111" s="117">
        <v>45979</v>
      </c>
      <c r="L111" s="116">
        <v>2</v>
      </c>
      <c r="M111" s="116">
        <v>0</v>
      </c>
      <c r="N111" s="116">
        <v>0</v>
      </c>
      <c r="O111" s="118" t="s">
        <v>557</v>
      </c>
      <c r="P111" s="119">
        <v>0.45833333333333331</v>
      </c>
      <c r="Q111" s="116">
        <v>168</v>
      </c>
      <c r="R111" s="120" t="s">
        <v>558</v>
      </c>
    </row>
    <row r="112" spans="1:18" ht="15" customHeight="1" x14ac:dyDescent="0.3">
      <c r="A112" s="17" t="s">
        <v>121</v>
      </c>
      <c r="B112" s="17" t="s">
        <v>508</v>
      </c>
      <c r="C112" s="18">
        <v>0.34027777777777768</v>
      </c>
      <c r="D112" s="17" t="s">
        <v>123</v>
      </c>
      <c r="E112" s="17" t="s">
        <v>29</v>
      </c>
      <c r="F112" s="17" t="s">
        <v>509</v>
      </c>
      <c r="G112" s="200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9" t="s">
        <v>121</v>
      </c>
      <c r="B113" s="19" t="s">
        <v>508</v>
      </c>
      <c r="C113" s="20">
        <v>0.34027777777777768</v>
      </c>
      <c r="D113" s="19" t="s">
        <v>125</v>
      </c>
      <c r="E113" s="19" t="s">
        <v>126</v>
      </c>
      <c r="F113" s="19" t="s">
        <v>510</v>
      </c>
      <c r="G113" s="200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15" t="s">
        <v>121</v>
      </c>
      <c r="B114" s="15" t="s">
        <v>511</v>
      </c>
      <c r="C114" s="16">
        <v>0.71180555555555547</v>
      </c>
      <c r="D114" s="15" t="s">
        <v>123</v>
      </c>
      <c r="E114" s="15" t="s">
        <v>32</v>
      </c>
      <c r="F114" s="15" t="s">
        <v>509</v>
      </c>
      <c r="G114" s="200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9" t="s">
        <v>121</v>
      </c>
      <c r="B115" s="19" t="s">
        <v>511</v>
      </c>
      <c r="C115" s="20">
        <v>0.71180555555555547</v>
      </c>
      <c r="D115" s="19" t="s">
        <v>125</v>
      </c>
      <c r="E115" s="19" t="s">
        <v>126</v>
      </c>
      <c r="F115" s="19" t="s">
        <v>510</v>
      </c>
      <c r="G115" s="200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8" x14ac:dyDescent="0.3">
      <c r="A116" s="208" t="s">
        <v>512</v>
      </c>
      <c r="B116" s="209"/>
      <c r="C116" s="209"/>
      <c r="D116" s="209"/>
      <c r="E116" s="209"/>
      <c r="F116" s="210"/>
      <c r="G116" s="200"/>
      <c r="H116" s="171"/>
      <c r="I116" s="171"/>
      <c r="J116" s="171"/>
      <c r="K116" s="171"/>
      <c r="L116" s="171"/>
      <c r="M116" s="171"/>
      <c r="N116" s="171"/>
      <c r="O116" s="172"/>
      <c r="P116" s="171"/>
      <c r="Q116" s="133"/>
      <c r="R116" s="133"/>
    </row>
    <row r="117" spans="1:18" ht="15" customHeight="1" x14ac:dyDescent="0.3">
      <c r="A117" s="15" t="s">
        <v>35</v>
      </c>
      <c r="B117" s="15" t="s">
        <v>50</v>
      </c>
      <c r="C117" s="16" t="s">
        <v>443</v>
      </c>
      <c r="D117" s="15" t="s">
        <v>37</v>
      </c>
      <c r="E117" s="15" t="s">
        <v>426</v>
      </c>
      <c r="F117" s="15" t="s">
        <v>159</v>
      </c>
      <c r="G117" s="200"/>
      <c r="H117" s="171"/>
      <c r="I117" s="171"/>
      <c r="J117" s="171"/>
      <c r="K117" s="171"/>
      <c r="L117" s="171"/>
      <c r="M117" s="171"/>
      <c r="N117" s="171"/>
      <c r="O117" s="172"/>
      <c r="P117" s="171"/>
      <c r="Q117" s="133"/>
      <c r="R117" s="133"/>
    </row>
    <row r="118" spans="1:18" ht="15" customHeight="1" x14ac:dyDescent="0.3">
      <c r="A118" s="15" t="s">
        <v>55</v>
      </c>
      <c r="B118" s="15" t="s">
        <v>192</v>
      </c>
      <c r="C118" s="16" t="s">
        <v>380</v>
      </c>
      <c r="D118" s="15" t="s">
        <v>57</v>
      </c>
      <c r="E118" s="15" t="s">
        <v>471</v>
      </c>
      <c r="F118" s="15" t="s">
        <v>30</v>
      </c>
      <c r="G118" s="200"/>
      <c r="H118" s="171"/>
      <c r="I118" s="171"/>
      <c r="J118" s="171"/>
      <c r="K118" s="171"/>
      <c r="L118" s="171"/>
      <c r="M118" s="171"/>
      <c r="N118" s="171"/>
      <c r="O118" s="172"/>
      <c r="P118" s="171"/>
      <c r="Q118" s="133"/>
      <c r="R118" s="133"/>
    </row>
    <row r="119" spans="1:18" ht="15" customHeight="1" x14ac:dyDescent="0.3">
      <c r="A119" s="15" t="s">
        <v>55</v>
      </c>
      <c r="B119" s="15" t="s">
        <v>65</v>
      </c>
      <c r="C119" s="16" t="s">
        <v>345</v>
      </c>
      <c r="D119" s="15" t="s">
        <v>57</v>
      </c>
      <c r="E119" s="15" t="s">
        <v>415</v>
      </c>
      <c r="F119" s="15" t="s">
        <v>30</v>
      </c>
      <c r="G119" s="200"/>
      <c r="H119" s="171"/>
      <c r="I119" s="171"/>
      <c r="J119" s="171"/>
      <c r="K119" s="171"/>
      <c r="L119" s="171"/>
      <c r="M119" s="171"/>
      <c r="N119" s="171"/>
      <c r="O119" s="172"/>
      <c r="P119" s="171"/>
      <c r="Q119" s="133"/>
      <c r="R119" s="133"/>
    </row>
    <row r="120" spans="1:18" ht="15" customHeight="1" x14ac:dyDescent="0.3">
      <c r="A120" s="15" t="s">
        <v>26</v>
      </c>
      <c r="B120" s="15" t="s">
        <v>27</v>
      </c>
      <c r="C120" s="16" t="s">
        <v>559</v>
      </c>
      <c r="D120" s="15" t="s">
        <v>28</v>
      </c>
      <c r="E120" s="15" t="s">
        <v>415</v>
      </c>
      <c r="F120" s="15" t="s">
        <v>30</v>
      </c>
      <c r="G120" s="200"/>
      <c r="H120" s="171"/>
      <c r="I120" s="171"/>
      <c r="J120" s="171"/>
      <c r="K120" s="171"/>
      <c r="L120" s="171"/>
      <c r="M120" s="171"/>
      <c r="N120" s="171"/>
      <c r="O120" s="172"/>
      <c r="P120" s="171"/>
      <c r="Q120" s="133"/>
      <c r="R120" s="133"/>
    </row>
    <row r="121" spans="1:18" ht="15" customHeight="1" x14ac:dyDescent="0.3">
      <c r="A121" s="15" t="s">
        <v>35</v>
      </c>
      <c r="B121" s="15" t="s">
        <v>36</v>
      </c>
      <c r="C121" s="16" t="s">
        <v>411</v>
      </c>
      <c r="D121" s="15" t="s">
        <v>37</v>
      </c>
      <c r="E121" s="15" t="s">
        <v>444</v>
      </c>
      <c r="F121" s="15" t="s">
        <v>39</v>
      </c>
      <c r="G121" s="200"/>
      <c r="H121" s="171"/>
      <c r="I121" s="171"/>
      <c r="J121" s="171"/>
      <c r="K121" s="171"/>
      <c r="L121" s="171"/>
      <c r="M121" s="171"/>
      <c r="N121" s="171"/>
      <c r="O121" s="172"/>
      <c r="P121" s="171"/>
      <c r="Q121" s="133"/>
      <c r="R121" s="133"/>
    </row>
    <row r="122" spans="1:18" ht="15" customHeight="1" x14ac:dyDescent="0.3">
      <c r="A122" s="15" t="s">
        <v>110</v>
      </c>
      <c r="B122" s="15" t="s">
        <v>111</v>
      </c>
      <c r="C122" s="16" t="s">
        <v>474</v>
      </c>
      <c r="D122" s="15" t="s">
        <v>112</v>
      </c>
      <c r="E122" s="15" t="s">
        <v>426</v>
      </c>
      <c r="F122" s="15" t="s">
        <v>231</v>
      </c>
      <c r="G122" s="200"/>
      <c r="H122" s="171"/>
      <c r="I122" s="171"/>
      <c r="J122" s="171"/>
      <c r="K122" s="171"/>
      <c r="L122" s="171"/>
      <c r="M122" s="171"/>
      <c r="N122" s="171"/>
      <c r="O122" s="172"/>
      <c r="P122" s="171"/>
      <c r="Q122" s="133"/>
      <c r="R122" s="133"/>
    </row>
    <row r="123" spans="1:18" ht="15" customHeight="1" x14ac:dyDescent="0.3">
      <c r="A123" s="15" t="s">
        <v>55</v>
      </c>
      <c r="B123" s="15" t="s">
        <v>68</v>
      </c>
      <c r="C123" s="16" t="s">
        <v>384</v>
      </c>
      <c r="D123" s="15" t="s">
        <v>57</v>
      </c>
      <c r="E123" s="15" t="s">
        <v>415</v>
      </c>
      <c r="F123" s="15" t="s">
        <v>58</v>
      </c>
      <c r="G123" s="200"/>
      <c r="H123" s="171"/>
      <c r="I123" s="171"/>
      <c r="J123" s="171"/>
      <c r="K123" s="171"/>
      <c r="L123" s="171"/>
      <c r="M123" s="171"/>
      <c r="N123" s="171"/>
      <c r="O123" s="172"/>
      <c r="P123" s="171"/>
      <c r="Q123" s="133"/>
      <c r="R123" s="133"/>
    </row>
    <row r="124" spans="1:18" ht="15" customHeight="1" x14ac:dyDescent="0.3">
      <c r="A124" s="15" t="s">
        <v>110</v>
      </c>
      <c r="B124" s="15" t="s">
        <v>173</v>
      </c>
      <c r="C124" s="16" t="s">
        <v>455</v>
      </c>
      <c r="D124" s="15" t="s">
        <v>112</v>
      </c>
      <c r="E124" s="15" t="s">
        <v>426</v>
      </c>
      <c r="F124" s="15" t="s">
        <v>233</v>
      </c>
      <c r="G124" s="200"/>
      <c r="H124" s="171"/>
      <c r="I124" s="171"/>
      <c r="J124" s="171"/>
      <c r="K124" s="171"/>
      <c r="L124" s="171"/>
      <c r="M124" s="171"/>
      <c r="N124" s="171"/>
      <c r="O124" s="172"/>
      <c r="P124" s="171"/>
      <c r="Q124" s="133"/>
      <c r="R124" s="133"/>
    </row>
    <row r="125" spans="1:18" ht="15" customHeight="1" x14ac:dyDescent="0.3">
      <c r="A125" s="15" t="s">
        <v>83</v>
      </c>
      <c r="B125" s="15" t="s">
        <v>84</v>
      </c>
      <c r="C125" s="16" t="s">
        <v>419</v>
      </c>
      <c r="D125" s="15" t="s">
        <v>85</v>
      </c>
      <c r="E125" s="15" t="s">
        <v>426</v>
      </c>
      <c r="F125" s="15" t="s">
        <v>86</v>
      </c>
      <c r="G125" s="200"/>
      <c r="H125" s="171"/>
      <c r="I125" s="171"/>
      <c r="J125" s="171"/>
      <c r="K125" s="171"/>
      <c r="L125" s="171"/>
      <c r="M125" s="171"/>
      <c r="N125" s="171"/>
      <c r="O125" s="172"/>
      <c r="P125" s="171"/>
      <c r="Q125" s="133"/>
      <c r="R125" s="133"/>
    </row>
    <row r="126" spans="1:18" ht="15" customHeight="1" thickBot="1" x14ac:dyDescent="0.35">
      <c r="A126" s="61" t="s">
        <v>83</v>
      </c>
      <c r="B126" s="61" t="s">
        <v>100</v>
      </c>
      <c r="C126" s="62" t="s">
        <v>457</v>
      </c>
      <c r="D126" s="61" t="s">
        <v>85</v>
      </c>
      <c r="E126" s="61" t="s">
        <v>420</v>
      </c>
      <c r="F126" s="61" t="s">
        <v>86</v>
      </c>
      <c r="G126" s="201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7.399999999999999" customHeight="1" thickBot="1" x14ac:dyDescent="0.35">
      <c r="A127" s="225"/>
      <c r="B127" s="226"/>
      <c r="C127" s="226"/>
      <c r="D127" s="226"/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7"/>
    </row>
    <row r="128" spans="1:18" ht="22.05" customHeight="1" thickTop="1" thickBot="1" x14ac:dyDescent="0.35">
      <c r="A128" s="190" t="s">
        <v>6</v>
      </c>
      <c r="B128" s="191"/>
      <c r="C128" s="191"/>
      <c r="D128" s="191"/>
      <c r="E128" s="191"/>
      <c r="F128" s="192"/>
      <c r="G128" s="68">
        <v>45991</v>
      </c>
      <c r="H128" s="202" t="s">
        <v>7</v>
      </c>
      <c r="I128" s="191"/>
      <c r="J128" s="191"/>
      <c r="K128" s="191"/>
      <c r="L128" s="191"/>
      <c r="M128" s="191"/>
      <c r="N128" s="191"/>
      <c r="O128" s="191"/>
      <c r="P128" s="191"/>
      <c r="Q128" s="191"/>
      <c r="R128" s="192"/>
    </row>
    <row r="129" spans="1:18" ht="24" customHeight="1" x14ac:dyDescent="0.3">
      <c r="A129" s="69" t="s">
        <v>8</v>
      </c>
      <c r="B129" s="69" t="s">
        <v>9</v>
      </c>
      <c r="C129" s="70" t="s">
        <v>10</v>
      </c>
      <c r="D129" s="69" t="s">
        <v>11</v>
      </c>
      <c r="E129" s="69" t="s">
        <v>12</v>
      </c>
      <c r="F129" s="71" t="s">
        <v>13</v>
      </c>
      <c r="G129" s="72" t="s">
        <v>14</v>
      </c>
      <c r="H129" s="69" t="s">
        <v>15</v>
      </c>
      <c r="I129" s="73" t="s">
        <v>16</v>
      </c>
      <c r="J129" s="74" t="s">
        <v>17</v>
      </c>
      <c r="K129" s="75" t="s">
        <v>18</v>
      </c>
      <c r="L129" s="74" t="s">
        <v>19</v>
      </c>
      <c r="M129" s="74" t="s">
        <v>20</v>
      </c>
      <c r="N129" s="74" t="s">
        <v>21</v>
      </c>
      <c r="O129" s="69" t="s">
        <v>22</v>
      </c>
      <c r="P129" s="70" t="s">
        <v>23</v>
      </c>
      <c r="Q129" s="74" t="s">
        <v>24</v>
      </c>
      <c r="R129" s="69" t="s">
        <v>25</v>
      </c>
    </row>
    <row r="130" spans="1:18" ht="15" customHeight="1" x14ac:dyDescent="0.3">
      <c r="A130" s="8" t="s">
        <v>110</v>
      </c>
      <c r="B130" s="8" t="s">
        <v>491</v>
      </c>
      <c r="C130" s="9">
        <v>0.52777777777777779</v>
      </c>
      <c r="D130" s="8" t="s">
        <v>486</v>
      </c>
      <c r="E130" s="8" t="s">
        <v>113</v>
      </c>
      <c r="F130" s="8" t="s">
        <v>551</v>
      </c>
      <c r="G130" s="199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9" t="s">
        <v>110</v>
      </c>
      <c r="B131" s="19" t="s">
        <v>491</v>
      </c>
      <c r="C131" s="20">
        <v>0.52777777777777779</v>
      </c>
      <c r="D131" s="19" t="s">
        <v>488</v>
      </c>
      <c r="E131" s="19" t="s">
        <v>97</v>
      </c>
      <c r="F131" s="19" t="s">
        <v>552</v>
      </c>
      <c r="G131" s="200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9" t="s">
        <v>110</v>
      </c>
      <c r="B132" s="19" t="s">
        <v>491</v>
      </c>
      <c r="C132" s="20">
        <v>0.52777777777777779</v>
      </c>
      <c r="D132" s="19" t="s">
        <v>43</v>
      </c>
      <c r="E132" s="19" t="s">
        <v>97</v>
      </c>
      <c r="F132" s="19" t="s">
        <v>553</v>
      </c>
      <c r="G132" s="200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21" t="s">
        <v>55</v>
      </c>
      <c r="B133" s="21" t="s">
        <v>503</v>
      </c>
      <c r="C133" s="22">
        <v>0.6875</v>
      </c>
      <c r="D133" s="21" t="s">
        <v>57</v>
      </c>
      <c r="E133" s="21" t="s">
        <v>170</v>
      </c>
      <c r="F133" s="21" t="s">
        <v>517</v>
      </c>
      <c r="G133" s="200"/>
      <c r="H133" s="23" t="s">
        <v>505</v>
      </c>
      <c r="I133" s="178">
        <v>0.98209999999999997</v>
      </c>
      <c r="J133" s="25">
        <v>165</v>
      </c>
      <c r="K133" s="26">
        <v>45981</v>
      </c>
      <c r="L133" s="25">
        <v>6</v>
      </c>
      <c r="M133" s="25">
        <v>0</v>
      </c>
      <c r="N133" s="25">
        <v>4</v>
      </c>
      <c r="O133" s="27" t="s">
        <v>376</v>
      </c>
      <c r="P133" s="28">
        <v>0.6875</v>
      </c>
      <c r="Q133" s="25">
        <v>168</v>
      </c>
      <c r="R133" s="29" t="s">
        <v>560</v>
      </c>
    </row>
    <row r="134" spans="1:18" ht="15" customHeight="1" x14ac:dyDescent="0.3">
      <c r="A134" s="51" t="s">
        <v>55</v>
      </c>
      <c r="B134" s="51" t="s">
        <v>516</v>
      </c>
      <c r="C134" s="52">
        <v>0.48958333333333331</v>
      </c>
      <c r="D134" s="51" t="s">
        <v>57</v>
      </c>
      <c r="E134" s="51" t="s">
        <v>46</v>
      </c>
      <c r="F134" s="51" t="s">
        <v>554</v>
      </c>
      <c r="G134" s="200"/>
      <c r="H134" s="54" t="s">
        <v>518</v>
      </c>
      <c r="I134" s="55">
        <v>0.98809999999999998</v>
      </c>
      <c r="J134" s="56">
        <v>166</v>
      </c>
      <c r="K134" s="57">
        <v>45970</v>
      </c>
      <c r="L134" s="56">
        <v>0</v>
      </c>
      <c r="M134" s="56">
        <v>0</v>
      </c>
      <c r="N134" s="56">
        <v>0</v>
      </c>
      <c r="O134" s="58" t="s">
        <v>561</v>
      </c>
      <c r="P134" s="59">
        <v>0.48958333333333331</v>
      </c>
      <c r="Q134" s="56">
        <v>168</v>
      </c>
      <c r="R134" s="60" t="s">
        <v>562</v>
      </c>
    </row>
    <row r="135" spans="1:18" ht="15" customHeight="1" x14ac:dyDescent="0.3">
      <c r="A135" s="17" t="s">
        <v>121</v>
      </c>
      <c r="B135" s="17" t="s">
        <v>511</v>
      </c>
      <c r="C135" s="18">
        <v>0.71180555555555547</v>
      </c>
      <c r="D135" s="17" t="s">
        <v>123</v>
      </c>
      <c r="E135" s="17" t="s">
        <v>249</v>
      </c>
      <c r="F135" s="17" t="s">
        <v>563</v>
      </c>
      <c r="G135" s="200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19" t="s">
        <v>121</v>
      </c>
      <c r="B136" s="19" t="s">
        <v>511</v>
      </c>
      <c r="C136" s="20">
        <v>0.71180555555555547</v>
      </c>
      <c r="D136" s="19" t="s">
        <v>125</v>
      </c>
      <c r="E136" s="19" t="s">
        <v>107</v>
      </c>
      <c r="F136" s="19" t="s">
        <v>564</v>
      </c>
      <c r="G136" s="200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8" x14ac:dyDescent="0.3">
      <c r="A137" s="208" t="s">
        <v>512</v>
      </c>
      <c r="B137" s="209"/>
      <c r="C137" s="209"/>
      <c r="D137" s="209"/>
      <c r="E137" s="209"/>
      <c r="F137" s="210"/>
      <c r="G137" s="200"/>
      <c r="H137" s="171"/>
      <c r="I137" s="171"/>
      <c r="J137" s="171"/>
      <c r="K137" s="171"/>
      <c r="L137" s="171"/>
      <c r="M137" s="171"/>
      <c r="N137" s="171"/>
      <c r="O137" s="172"/>
      <c r="P137" s="171"/>
      <c r="Q137" s="133"/>
      <c r="R137" s="133"/>
    </row>
    <row r="138" spans="1:18" ht="15" customHeight="1" x14ac:dyDescent="0.3">
      <c r="A138" s="15" t="s">
        <v>116</v>
      </c>
      <c r="B138" s="15" t="s">
        <v>117</v>
      </c>
      <c r="C138" s="16" t="s">
        <v>565</v>
      </c>
      <c r="D138" s="15" t="s">
        <v>28</v>
      </c>
      <c r="E138" s="15" t="s">
        <v>415</v>
      </c>
      <c r="F138" s="15" t="s">
        <v>164</v>
      </c>
      <c r="G138" s="200"/>
      <c r="H138" s="171"/>
      <c r="I138" s="171"/>
      <c r="J138" s="171"/>
      <c r="K138" s="171"/>
      <c r="L138" s="171"/>
      <c r="M138" s="171"/>
      <c r="N138" s="171"/>
      <c r="O138" s="172"/>
      <c r="P138" s="171"/>
      <c r="Q138" s="133"/>
      <c r="R138" s="133"/>
    </row>
    <row r="139" spans="1:18" ht="15" customHeight="1" x14ac:dyDescent="0.3">
      <c r="A139" s="15" t="s">
        <v>55</v>
      </c>
      <c r="B139" s="15" t="s">
        <v>65</v>
      </c>
      <c r="C139" s="16" t="s">
        <v>362</v>
      </c>
      <c r="D139" s="15" t="s">
        <v>57</v>
      </c>
      <c r="E139" s="15" t="s">
        <v>415</v>
      </c>
      <c r="F139" s="15" t="s">
        <v>30</v>
      </c>
      <c r="G139" s="200"/>
      <c r="H139" s="171"/>
      <c r="I139" s="171"/>
      <c r="J139" s="171"/>
      <c r="K139" s="171"/>
      <c r="L139" s="171"/>
      <c r="M139" s="171"/>
      <c r="N139" s="171"/>
      <c r="O139" s="172"/>
      <c r="P139" s="171"/>
      <c r="Q139" s="133"/>
      <c r="R139" s="133"/>
    </row>
    <row r="140" spans="1:18" ht="15" customHeight="1" x14ac:dyDescent="0.3">
      <c r="A140" s="15" t="s">
        <v>26</v>
      </c>
      <c r="B140" s="15" t="s">
        <v>27</v>
      </c>
      <c r="C140" s="16" t="s">
        <v>566</v>
      </c>
      <c r="D140" s="15" t="s">
        <v>28</v>
      </c>
      <c r="E140" s="15" t="s">
        <v>453</v>
      </c>
      <c r="F140" s="15" t="s">
        <v>30</v>
      </c>
      <c r="G140" s="200"/>
      <c r="H140" s="171"/>
      <c r="I140" s="171"/>
      <c r="J140" s="171"/>
      <c r="K140" s="171"/>
      <c r="L140" s="171"/>
      <c r="M140" s="171"/>
      <c r="N140" s="171"/>
      <c r="O140" s="172"/>
      <c r="P140" s="171"/>
      <c r="Q140" s="133"/>
      <c r="R140" s="133"/>
    </row>
    <row r="141" spans="1:18" ht="15" customHeight="1" x14ac:dyDescent="0.3">
      <c r="A141" s="15" t="s">
        <v>83</v>
      </c>
      <c r="B141" s="15" t="s">
        <v>104</v>
      </c>
      <c r="C141" s="16" t="s">
        <v>432</v>
      </c>
      <c r="D141" s="15" t="s">
        <v>85</v>
      </c>
      <c r="E141" s="15" t="s">
        <v>433</v>
      </c>
      <c r="F141" s="15" t="s">
        <v>202</v>
      </c>
      <c r="G141" s="200"/>
      <c r="H141" s="171"/>
      <c r="I141" s="171"/>
      <c r="J141" s="171"/>
      <c r="K141" s="171"/>
      <c r="L141" s="171"/>
      <c r="M141" s="171"/>
      <c r="N141" s="171"/>
      <c r="O141" s="172"/>
      <c r="P141" s="171"/>
      <c r="Q141" s="133"/>
      <c r="R141" s="133"/>
    </row>
    <row r="142" spans="1:18" ht="15" customHeight="1" x14ac:dyDescent="0.3">
      <c r="A142" s="15" t="s">
        <v>83</v>
      </c>
      <c r="B142" s="15" t="s">
        <v>103</v>
      </c>
      <c r="C142" s="16" t="s">
        <v>411</v>
      </c>
      <c r="D142" s="15" t="s">
        <v>85</v>
      </c>
      <c r="E142" s="15" t="s">
        <v>433</v>
      </c>
      <c r="F142" s="15" t="s">
        <v>202</v>
      </c>
      <c r="G142" s="200"/>
      <c r="H142" s="171"/>
      <c r="I142" s="171"/>
      <c r="J142" s="171"/>
      <c r="K142" s="171"/>
      <c r="L142" s="171"/>
      <c r="M142" s="171"/>
      <c r="N142" s="171"/>
      <c r="O142" s="172"/>
      <c r="P142" s="171"/>
      <c r="Q142" s="133"/>
      <c r="R142" s="133"/>
    </row>
    <row r="143" spans="1:18" ht="15" customHeight="1" x14ac:dyDescent="0.3">
      <c r="A143" s="15" t="s">
        <v>110</v>
      </c>
      <c r="B143" s="15" t="s">
        <v>173</v>
      </c>
      <c r="C143" s="16" t="s">
        <v>478</v>
      </c>
      <c r="D143" s="15" t="s">
        <v>112</v>
      </c>
      <c r="E143" s="15" t="s">
        <v>426</v>
      </c>
      <c r="F143" s="15" t="s">
        <v>250</v>
      </c>
      <c r="G143" s="200"/>
      <c r="H143" s="171"/>
      <c r="I143" s="171"/>
      <c r="J143" s="171"/>
      <c r="K143" s="171"/>
      <c r="L143" s="171"/>
      <c r="M143" s="171"/>
      <c r="N143" s="171"/>
      <c r="O143" s="172"/>
      <c r="P143" s="171"/>
      <c r="Q143" s="133"/>
      <c r="R143" s="133"/>
    </row>
    <row r="144" spans="1:18" ht="15" customHeight="1" x14ac:dyDescent="0.3">
      <c r="A144" s="15" t="s">
        <v>35</v>
      </c>
      <c r="B144" s="15" t="s">
        <v>50</v>
      </c>
      <c r="C144" s="16" t="s">
        <v>443</v>
      </c>
      <c r="D144" s="15" t="s">
        <v>37</v>
      </c>
      <c r="E144" s="15" t="s">
        <v>417</v>
      </c>
      <c r="F144" s="15" t="s">
        <v>39</v>
      </c>
      <c r="G144" s="200"/>
      <c r="H144" s="171"/>
      <c r="I144" s="171"/>
      <c r="J144" s="171"/>
      <c r="K144" s="171"/>
      <c r="L144" s="171"/>
      <c r="M144" s="171"/>
      <c r="N144" s="171"/>
      <c r="O144" s="172"/>
      <c r="P144" s="171"/>
      <c r="Q144" s="133"/>
      <c r="R144" s="133"/>
    </row>
    <row r="145" spans="1:18" ht="15" customHeight="1" x14ac:dyDescent="0.3">
      <c r="A145" s="15" t="s">
        <v>35</v>
      </c>
      <c r="B145" s="15" t="s">
        <v>45</v>
      </c>
      <c r="C145" s="16" t="s">
        <v>412</v>
      </c>
      <c r="D145" s="15" t="s">
        <v>37</v>
      </c>
      <c r="E145" s="15" t="s">
        <v>444</v>
      </c>
      <c r="F145" s="15" t="s">
        <v>39</v>
      </c>
      <c r="G145" s="200"/>
      <c r="H145" s="171"/>
      <c r="I145" s="171"/>
      <c r="J145" s="171"/>
      <c r="K145" s="171"/>
      <c r="L145" s="171"/>
      <c r="M145" s="171"/>
      <c r="N145" s="171"/>
      <c r="O145" s="172"/>
      <c r="P145" s="171"/>
      <c r="Q145" s="133"/>
      <c r="R145" s="133"/>
    </row>
    <row r="146" spans="1:18" ht="15" customHeight="1" x14ac:dyDescent="0.3">
      <c r="A146" s="15" t="s">
        <v>55</v>
      </c>
      <c r="B146" s="15" t="s">
        <v>56</v>
      </c>
      <c r="C146" s="16" t="s">
        <v>391</v>
      </c>
      <c r="D146" s="15" t="s">
        <v>57</v>
      </c>
      <c r="E146" s="15" t="s">
        <v>415</v>
      </c>
      <c r="F146" s="15" t="s">
        <v>58</v>
      </c>
      <c r="G146" s="200"/>
      <c r="H146" s="171"/>
      <c r="I146" s="171"/>
      <c r="J146" s="171"/>
      <c r="K146" s="171"/>
      <c r="L146" s="171"/>
      <c r="M146" s="171"/>
      <c r="N146" s="171"/>
      <c r="O146" s="172"/>
      <c r="P146" s="171"/>
      <c r="Q146" s="133"/>
      <c r="R146" s="133"/>
    </row>
    <row r="147" spans="1:18" ht="15" customHeight="1" x14ac:dyDescent="0.3">
      <c r="A147" s="61" t="s">
        <v>55</v>
      </c>
      <c r="B147" s="61" t="s">
        <v>189</v>
      </c>
      <c r="C147" s="62" t="s">
        <v>345</v>
      </c>
      <c r="D147" s="61" t="s">
        <v>57</v>
      </c>
      <c r="E147" s="61" t="s">
        <v>415</v>
      </c>
      <c r="F147" s="61" t="s">
        <v>58</v>
      </c>
      <c r="G147" s="201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</sheetData>
  <mergeCells count="36">
    <mergeCell ref="H128:R128"/>
    <mergeCell ref="H81:R81"/>
    <mergeCell ref="G130:G147"/>
    <mergeCell ref="H57:R57"/>
    <mergeCell ref="A127:R127"/>
    <mergeCell ref="G83:G99"/>
    <mergeCell ref="H101:R101"/>
    <mergeCell ref="A69:F69"/>
    <mergeCell ref="G103:G126"/>
    <mergeCell ref="A22:F22"/>
    <mergeCell ref="G2:J2"/>
    <mergeCell ref="A4:F4"/>
    <mergeCell ref="N1:R1"/>
    <mergeCell ref="A81:F81"/>
    <mergeCell ref="A100:R100"/>
    <mergeCell ref="K2:R2"/>
    <mergeCell ref="A34:F34"/>
    <mergeCell ref="G36:G55"/>
    <mergeCell ref="A45:F45"/>
    <mergeCell ref="G6:G32"/>
    <mergeCell ref="A137:F137"/>
    <mergeCell ref="A128:F128"/>
    <mergeCell ref="A89:F89"/>
    <mergeCell ref="H1:L1"/>
    <mergeCell ref="A1:E1"/>
    <mergeCell ref="A80:R80"/>
    <mergeCell ref="A101:F101"/>
    <mergeCell ref="G59:G79"/>
    <mergeCell ref="H4:R4"/>
    <mergeCell ref="A56:R56"/>
    <mergeCell ref="A57:F57"/>
    <mergeCell ref="A2:F2"/>
    <mergeCell ref="A3:R3"/>
    <mergeCell ref="H34:R34"/>
    <mergeCell ref="A33:R33"/>
    <mergeCell ref="A116:F1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"/>
  <sheetViews>
    <sheetView workbookViewId="0"/>
  </sheetViews>
  <sheetFormatPr defaultRowHeight="15.6" outlineLevelCol="1" x14ac:dyDescent="0.3"/>
  <cols>
    <col min="1" max="1" width="11.5546875" style="212" bestFit="1" customWidth="1"/>
    <col min="2" max="2" width="10.44140625" style="212" bestFit="1" customWidth="1"/>
    <col min="3" max="3" width="6.77734375" style="212" bestFit="1" customWidth="1"/>
    <col min="4" max="4" width="5.5546875" style="212" bestFit="1" customWidth="1"/>
    <col min="5" max="5" width="8.109375" style="212" bestFit="1" customWidth="1"/>
    <col min="6" max="6" width="4.21875" style="212" bestFit="1" customWidth="1"/>
    <col min="7" max="7" width="10" style="212" bestFit="1" customWidth="1"/>
    <col min="8" max="10" width="8.5546875" style="212" bestFit="1" customWidth="1"/>
    <col min="11" max="11" width="10.5546875" style="212" bestFit="1" customWidth="1"/>
    <col min="12" max="12" width="9.109375" style="212" bestFit="1" customWidth="1"/>
    <col min="13" max="13" width="7.6640625" style="212" bestFit="1" customWidth="1" outlineLevel="1"/>
    <col min="14" max="14" width="6.33203125" style="212" bestFit="1" customWidth="1" outlineLevel="1"/>
    <col min="15" max="15" width="8" style="212" bestFit="1" customWidth="1" outlineLevel="1"/>
    <col min="16" max="16" width="13.6640625" style="212" bestFit="1" customWidth="1"/>
    <col min="17" max="25" width="3.88671875" style="212" bestFit="1" customWidth="1"/>
    <col min="26" max="26" width="4.109375" style="212" bestFit="1" customWidth="1"/>
    <col min="27" max="27" width="5" style="212" bestFit="1" customWidth="1"/>
    <col min="28" max="29" width="4.21875" style="212" bestFit="1" customWidth="1"/>
    <col min="30" max="31" width="4.5546875" style="212" bestFit="1" customWidth="1"/>
    <col min="32" max="34" width="3.88671875" style="212" bestFit="1" customWidth="1"/>
    <col min="35" max="35" width="5.21875" style="212" bestFit="1" customWidth="1"/>
    <col min="36" max="36" width="3.88671875" style="212" bestFit="1" customWidth="1"/>
    <col min="37" max="16384" width="8.88671875" style="212"/>
  </cols>
  <sheetData>
    <row r="1" spans="1:36" x14ac:dyDescent="0.3">
      <c r="A1" s="211" t="s">
        <v>256</v>
      </c>
      <c r="B1" s="211" t="s">
        <v>257</v>
      </c>
      <c r="C1" s="211" t="s">
        <v>258</v>
      </c>
      <c r="D1" s="211" t="s">
        <v>23</v>
      </c>
      <c r="E1" s="211" t="s">
        <v>259</v>
      </c>
      <c r="F1" s="211" t="s">
        <v>260</v>
      </c>
      <c r="G1" s="211" t="s">
        <v>16</v>
      </c>
      <c r="H1" s="211" t="s">
        <v>261</v>
      </c>
      <c r="I1" s="211" t="s">
        <v>262</v>
      </c>
      <c r="J1" s="211" t="s">
        <v>263</v>
      </c>
      <c r="K1" s="211" t="s">
        <v>264</v>
      </c>
      <c r="L1" s="211" t="s">
        <v>18</v>
      </c>
      <c r="M1" s="211" t="s">
        <v>20</v>
      </c>
      <c r="N1" s="211" t="s">
        <v>21</v>
      </c>
      <c r="O1" s="211" t="s">
        <v>19</v>
      </c>
      <c r="P1" s="211" t="s">
        <v>22</v>
      </c>
      <c r="Q1" s="211" t="s">
        <v>265</v>
      </c>
      <c r="R1" s="211" t="s">
        <v>266</v>
      </c>
      <c r="S1" s="211" t="s">
        <v>267</v>
      </c>
      <c r="T1" s="211" t="s">
        <v>268</v>
      </c>
      <c r="U1" s="211" t="s">
        <v>269</v>
      </c>
      <c r="V1" s="211" t="s">
        <v>270</v>
      </c>
      <c r="W1" s="211" t="s">
        <v>271</v>
      </c>
      <c r="X1" s="211" t="s">
        <v>272</v>
      </c>
      <c r="Y1" s="211" t="s">
        <v>273</v>
      </c>
      <c r="Z1" s="211" t="s">
        <v>274</v>
      </c>
      <c r="AA1" s="211" t="s">
        <v>275</v>
      </c>
      <c r="AB1" s="211" t="s">
        <v>276</v>
      </c>
      <c r="AC1" s="211" t="s">
        <v>277</v>
      </c>
      <c r="AD1" s="211" t="s">
        <v>278</v>
      </c>
      <c r="AE1" s="211" t="s">
        <v>279</v>
      </c>
      <c r="AF1" s="211" t="s">
        <v>280</v>
      </c>
      <c r="AG1" s="211" t="s">
        <v>281</v>
      </c>
      <c r="AH1" s="211" t="s">
        <v>282</v>
      </c>
      <c r="AI1" s="211" t="s">
        <v>283</v>
      </c>
      <c r="AJ1" s="211" t="s">
        <v>284</v>
      </c>
    </row>
    <row r="2" spans="1:36" x14ac:dyDescent="0.3">
      <c r="A2" s="213" t="s">
        <v>285</v>
      </c>
      <c r="B2" s="214">
        <v>45986</v>
      </c>
      <c r="C2" s="215" t="s">
        <v>505</v>
      </c>
      <c r="D2" s="216" t="s">
        <v>567</v>
      </c>
      <c r="E2" s="215" t="s">
        <v>484</v>
      </c>
      <c r="F2" s="215" t="s">
        <v>287</v>
      </c>
      <c r="G2" s="217">
        <v>0.98319999999999996</v>
      </c>
      <c r="H2" s="218">
        <v>179</v>
      </c>
      <c r="I2" s="218">
        <v>176</v>
      </c>
      <c r="J2" s="218">
        <v>159</v>
      </c>
      <c r="K2" s="215" t="s">
        <v>288</v>
      </c>
      <c r="L2" s="219">
        <v>45980</v>
      </c>
      <c r="M2" s="218">
        <v>0</v>
      </c>
      <c r="N2" s="218">
        <v>0</v>
      </c>
      <c r="O2" s="218">
        <v>5</v>
      </c>
      <c r="P2" s="215" t="s">
        <v>506</v>
      </c>
      <c r="Q2" s="211"/>
      <c r="R2" s="211"/>
      <c r="S2" s="211"/>
      <c r="T2" s="211"/>
      <c r="U2" s="211"/>
      <c r="V2" s="211"/>
      <c r="W2" s="211"/>
      <c r="X2" s="218" t="s">
        <v>568</v>
      </c>
      <c r="Y2" s="211"/>
      <c r="Z2" s="218" t="s">
        <v>308</v>
      </c>
      <c r="AA2" s="211"/>
      <c r="AB2" s="211"/>
      <c r="AC2" s="218" t="s">
        <v>569</v>
      </c>
      <c r="AD2" s="211"/>
      <c r="AE2" s="211"/>
      <c r="AF2" s="211"/>
      <c r="AG2" s="211"/>
      <c r="AH2" s="211"/>
      <c r="AI2" s="218" t="s">
        <v>570</v>
      </c>
      <c r="AJ2" s="211"/>
    </row>
    <row r="3" spans="1:36" x14ac:dyDescent="0.3">
      <c r="A3" s="213" t="s">
        <v>320</v>
      </c>
      <c r="B3" s="214">
        <v>45987</v>
      </c>
      <c r="C3" s="215" t="s">
        <v>522</v>
      </c>
      <c r="D3" s="216" t="s">
        <v>571</v>
      </c>
      <c r="E3" s="215" t="s">
        <v>484</v>
      </c>
      <c r="F3" s="215" t="s">
        <v>287</v>
      </c>
      <c r="G3" s="217">
        <v>0.97209999999999996</v>
      </c>
      <c r="H3" s="218">
        <v>179</v>
      </c>
      <c r="I3" s="218">
        <v>174</v>
      </c>
      <c r="J3" s="218">
        <v>159</v>
      </c>
      <c r="K3" s="215" t="s">
        <v>288</v>
      </c>
      <c r="L3" s="219">
        <v>45980</v>
      </c>
      <c r="M3" s="218">
        <v>0</v>
      </c>
      <c r="N3" s="218">
        <v>0</v>
      </c>
      <c r="O3" s="218">
        <v>11</v>
      </c>
      <c r="P3" s="215" t="s">
        <v>523</v>
      </c>
      <c r="Q3" s="211"/>
      <c r="R3" s="211"/>
      <c r="S3" s="211"/>
      <c r="T3" s="211"/>
      <c r="U3" s="211"/>
      <c r="V3" s="211"/>
      <c r="W3" s="211"/>
      <c r="X3" s="218" t="s">
        <v>568</v>
      </c>
      <c r="Y3" s="218" t="s">
        <v>572</v>
      </c>
      <c r="Z3" s="218" t="s">
        <v>326</v>
      </c>
      <c r="AA3" s="211"/>
      <c r="AB3" s="211"/>
      <c r="AC3" s="218" t="s">
        <v>573</v>
      </c>
      <c r="AD3" s="211"/>
      <c r="AE3" s="211"/>
      <c r="AF3" s="211"/>
      <c r="AG3" s="211"/>
      <c r="AH3" s="211"/>
      <c r="AI3" s="218" t="s">
        <v>570</v>
      </c>
      <c r="AJ3" s="211"/>
    </row>
    <row r="4" spans="1:36" x14ac:dyDescent="0.3">
      <c r="A4" s="213" t="s">
        <v>320</v>
      </c>
      <c r="B4" s="214">
        <v>45987</v>
      </c>
      <c r="C4" s="215" t="s">
        <v>505</v>
      </c>
      <c r="D4" s="216" t="s">
        <v>574</v>
      </c>
      <c r="E4" s="215" t="s">
        <v>484</v>
      </c>
      <c r="F4" s="215" t="s">
        <v>287</v>
      </c>
      <c r="G4" s="217">
        <v>1</v>
      </c>
      <c r="H4" s="218">
        <v>179</v>
      </c>
      <c r="I4" s="218">
        <v>179</v>
      </c>
      <c r="J4" s="218">
        <v>126</v>
      </c>
      <c r="K4" s="215" t="s">
        <v>288</v>
      </c>
      <c r="L4" s="219">
        <v>45979</v>
      </c>
      <c r="M4" s="218">
        <v>0</v>
      </c>
      <c r="N4" s="218">
        <v>0</v>
      </c>
      <c r="O4" s="218">
        <v>16</v>
      </c>
      <c r="P4" s="215" t="s">
        <v>81</v>
      </c>
      <c r="Q4" s="211"/>
      <c r="R4" s="211"/>
      <c r="S4" s="211"/>
      <c r="T4" s="211"/>
      <c r="U4" s="211"/>
      <c r="V4" s="211"/>
      <c r="W4" s="211"/>
      <c r="X4" s="211"/>
      <c r="Y4" s="218" t="s">
        <v>557</v>
      </c>
      <c r="Z4" s="218" t="s">
        <v>302</v>
      </c>
      <c r="AA4" s="218" t="s">
        <v>575</v>
      </c>
      <c r="AB4" s="211"/>
      <c r="AC4" s="218" t="s">
        <v>303</v>
      </c>
      <c r="AD4" s="218" t="s">
        <v>403</v>
      </c>
      <c r="AE4" s="218" t="s">
        <v>315</v>
      </c>
      <c r="AF4" s="218" t="s">
        <v>166</v>
      </c>
      <c r="AG4" s="211"/>
      <c r="AH4" s="211"/>
      <c r="AI4" s="218" t="s">
        <v>576</v>
      </c>
      <c r="AJ4" s="211"/>
    </row>
    <row r="5" spans="1:36" x14ac:dyDescent="0.3">
      <c r="A5" s="213" t="s">
        <v>320</v>
      </c>
      <c r="B5" s="214">
        <v>45987</v>
      </c>
      <c r="C5" s="215" t="s">
        <v>518</v>
      </c>
      <c r="D5" s="216" t="s">
        <v>446</v>
      </c>
      <c r="E5" s="215" t="s">
        <v>484</v>
      </c>
      <c r="F5" s="215" t="s">
        <v>287</v>
      </c>
      <c r="G5" s="217">
        <v>0.99439999999999995</v>
      </c>
      <c r="H5" s="218">
        <v>179</v>
      </c>
      <c r="I5" s="218">
        <v>178</v>
      </c>
      <c r="J5" s="218">
        <v>129</v>
      </c>
      <c r="K5" s="215" t="s">
        <v>288</v>
      </c>
      <c r="L5" s="219">
        <v>45981</v>
      </c>
      <c r="M5" s="218">
        <v>0</v>
      </c>
      <c r="N5" s="218">
        <v>2</v>
      </c>
      <c r="O5" s="218">
        <v>14</v>
      </c>
      <c r="P5" s="215" t="s">
        <v>327</v>
      </c>
      <c r="Q5" s="211"/>
      <c r="R5" s="211"/>
      <c r="S5" s="211"/>
      <c r="T5" s="211"/>
      <c r="U5" s="211"/>
      <c r="V5" s="211"/>
      <c r="W5" s="211"/>
      <c r="X5" s="211"/>
      <c r="Y5" s="211"/>
      <c r="Z5" s="218" t="s">
        <v>577</v>
      </c>
      <c r="AA5" s="218" t="s">
        <v>578</v>
      </c>
      <c r="AB5" s="211"/>
      <c r="AC5" s="218" t="s">
        <v>303</v>
      </c>
      <c r="AD5" s="218" t="s">
        <v>579</v>
      </c>
      <c r="AE5" s="218" t="s">
        <v>387</v>
      </c>
      <c r="AF5" s="218" t="s">
        <v>580</v>
      </c>
      <c r="AG5" s="211"/>
      <c r="AH5" s="211"/>
      <c r="AI5" s="218" t="s">
        <v>581</v>
      </c>
      <c r="AJ5" s="211"/>
    </row>
    <row r="6" spans="1:36" x14ac:dyDescent="0.3">
      <c r="A6" s="213" t="s">
        <v>335</v>
      </c>
      <c r="B6" s="214">
        <v>45988</v>
      </c>
      <c r="C6" s="215" t="s">
        <v>505</v>
      </c>
      <c r="D6" s="216" t="s">
        <v>565</v>
      </c>
      <c r="E6" s="215" t="s">
        <v>484</v>
      </c>
      <c r="F6" s="215" t="s">
        <v>287</v>
      </c>
      <c r="G6" s="217">
        <v>0.97770000000000001</v>
      </c>
      <c r="H6" s="218">
        <v>179</v>
      </c>
      <c r="I6" s="218">
        <v>175</v>
      </c>
      <c r="J6" s="218">
        <v>171</v>
      </c>
      <c r="K6" s="215" t="s">
        <v>288</v>
      </c>
      <c r="L6" s="219">
        <v>45981</v>
      </c>
      <c r="M6" s="218">
        <v>0</v>
      </c>
      <c r="N6" s="218">
        <v>2</v>
      </c>
      <c r="O6" s="218">
        <v>2</v>
      </c>
      <c r="P6" s="215" t="s">
        <v>539</v>
      </c>
      <c r="Q6" s="211"/>
      <c r="R6" s="211"/>
      <c r="S6" s="211"/>
      <c r="T6" s="211"/>
      <c r="U6" s="211"/>
      <c r="V6" s="211"/>
      <c r="W6" s="211"/>
      <c r="X6" s="218" t="s">
        <v>582</v>
      </c>
      <c r="Y6" s="211"/>
      <c r="Z6" s="218" t="s">
        <v>308</v>
      </c>
      <c r="AA6" s="211"/>
      <c r="AB6" s="211"/>
      <c r="AC6" s="218" t="s">
        <v>245</v>
      </c>
      <c r="AD6" s="211"/>
      <c r="AE6" s="211"/>
      <c r="AF6" s="211"/>
      <c r="AG6" s="211"/>
      <c r="AH6" s="211"/>
      <c r="AI6" s="218" t="s">
        <v>583</v>
      </c>
      <c r="AJ6" s="211"/>
    </row>
    <row r="7" spans="1:36" x14ac:dyDescent="0.3">
      <c r="A7" s="213" t="s">
        <v>359</v>
      </c>
      <c r="B7" s="214">
        <v>45989</v>
      </c>
      <c r="C7" s="215" t="s">
        <v>505</v>
      </c>
      <c r="D7" s="216" t="s">
        <v>584</v>
      </c>
      <c r="E7" s="215" t="s">
        <v>484</v>
      </c>
      <c r="F7" s="215" t="s">
        <v>287</v>
      </c>
      <c r="G7" s="217">
        <v>0.46429999999999999</v>
      </c>
      <c r="H7" s="218">
        <v>168</v>
      </c>
      <c r="I7" s="218">
        <v>78</v>
      </c>
      <c r="J7" s="218">
        <v>0</v>
      </c>
      <c r="K7" s="215" t="s">
        <v>288</v>
      </c>
      <c r="L7" s="219">
        <v>45981</v>
      </c>
      <c r="M7" s="218">
        <v>0</v>
      </c>
      <c r="N7" s="218">
        <v>13</v>
      </c>
      <c r="O7" s="218">
        <v>49</v>
      </c>
      <c r="P7" s="215" t="s">
        <v>546</v>
      </c>
      <c r="Q7" s="211"/>
      <c r="R7" s="211"/>
      <c r="S7" s="211"/>
      <c r="T7" s="211"/>
      <c r="U7" s="211"/>
      <c r="V7" s="211"/>
      <c r="W7" s="211"/>
      <c r="X7" s="211"/>
      <c r="Y7" s="211"/>
      <c r="Z7" s="218" t="s">
        <v>302</v>
      </c>
      <c r="AA7" s="218" t="s">
        <v>578</v>
      </c>
      <c r="AB7" s="218" t="s">
        <v>585</v>
      </c>
      <c r="AC7" s="218" t="s">
        <v>586</v>
      </c>
      <c r="AD7" s="218" t="s">
        <v>296</v>
      </c>
      <c r="AE7" s="211"/>
      <c r="AF7" s="211"/>
      <c r="AG7" s="211"/>
      <c r="AH7" s="211"/>
      <c r="AI7" s="211"/>
      <c r="AJ7" s="211"/>
    </row>
    <row r="8" spans="1:36" x14ac:dyDescent="0.3">
      <c r="A8" s="213" t="s">
        <v>379</v>
      </c>
      <c r="B8" s="214">
        <v>45990</v>
      </c>
      <c r="C8" s="215" t="s">
        <v>518</v>
      </c>
      <c r="D8" s="216" t="s">
        <v>364</v>
      </c>
      <c r="E8" s="215" t="s">
        <v>484</v>
      </c>
      <c r="F8" s="215" t="s">
        <v>287</v>
      </c>
      <c r="G8" s="217">
        <v>0.97619999999999996</v>
      </c>
      <c r="H8" s="218">
        <v>168</v>
      </c>
      <c r="I8" s="218">
        <v>164</v>
      </c>
      <c r="J8" s="218">
        <v>138</v>
      </c>
      <c r="K8" s="215" t="s">
        <v>288</v>
      </c>
      <c r="L8" s="219">
        <v>45979</v>
      </c>
      <c r="M8" s="218">
        <v>0</v>
      </c>
      <c r="N8" s="218">
        <v>0</v>
      </c>
      <c r="O8" s="218">
        <v>2</v>
      </c>
      <c r="P8" s="215" t="s">
        <v>557</v>
      </c>
      <c r="Q8" s="211"/>
      <c r="R8" s="211"/>
      <c r="S8" s="211"/>
      <c r="T8" s="211"/>
      <c r="U8" s="211"/>
      <c r="V8" s="211"/>
      <c r="W8" s="211"/>
      <c r="X8" s="211"/>
      <c r="Y8" s="218" t="s">
        <v>557</v>
      </c>
      <c r="Z8" s="218" t="s">
        <v>326</v>
      </c>
      <c r="AA8" s="211"/>
      <c r="AB8" s="218" t="s">
        <v>587</v>
      </c>
      <c r="AC8" s="218" t="s">
        <v>588</v>
      </c>
      <c r="AD8" s="211"/>
      <c r="AE8" s="211"/>
      <c r="AF8" s="211"/>
      <c r="AG8" s="211"/>
      <c r="AH8" s="211"/>
      <c r="AI8" s="218" t="s">
        <v>589</v>
      </c>
      <c r="AJ8" s="211"/>
    </row>
    <row r="9" spans="1:36" x14ac:dyDescent="0.3">
      <c r="A9" s="213" t="s">
        <v>379</v>
      </c>
      <c r="B9" s="214">
        <v>45990</v>
      </c>
      <c r="C9" s="215" t="s">
        <v>505</v>
      </c>
      <c r="D9" s="216" t="s">
        <v>590</v>
      </c>
      <c r="E9" s="215" t="s">
        <v>484</v>
      </c>
      <c r="F9" s="215" t="s">
        <v>287</v>
      </c>
      <c r="G9" s="217">
        <v>0.95830000000000004</v>
      </c>
      <c r="H9" s="218">
        <v>168</v>
      </c>
      <c r="I9" s="218">
        <v>161</v>
      </c>
      <c r="J9" s="218">
        <v>119</v>
      </c>
      <c r="K9" s="215" t="s">
        <v>288</v>
      </c>
      <c r="L9" s="219">
        <v>45981</v>
      </c>
      <c r="M9" s="218">
        <v>0</v>
      </c>
      <c r="N9" s="218">
        <v>1</v>
      </c>
      <c r="O9" s="218">
        <v>2</v>
      </c>
      <c r="P9" s="215" t="s">
        <v>555</v>
      </c>
      <c r="Q9" s="211"/>
      <c r="R9" s="211"/>
      <c r="S9" s="211"/>
      <c r="T9" s="211"/>
      <c r="U9" s="211"/>
      <c r="V9" s="211"/>
      <c r="W9" s="211"/>
      <c r="X9" s="211"/>
      <c r="Y9" s="218" t="s">
        <v>591</v>
      </c>
      <c r="Z9" s="218" t="s">
        <v>592</v>
      </c>
      <c r="AA9" s="211"/>
      <c r="AB9" s="211"/>
      <c r="AC9" s="218" t="s">
        <v>303</v>
      </c>
      <c r="AD9" s="218" t="s">
        <v>328</v>
      </c>
      <c r="AE9" s="218" t="s">
        <v>71</v>
      </c>
      <c r="AF9" s="218" t="s">
        <v>227</v>
      </c>
      <c r="AG9" s="211"/>
      <c r="AH9" s="211"/>
      <c r="AI9" s="218" t="s">
        <v>593</v>
      </c>
      <c r="AJ9" s="211"/>
    </row>
    <row r="10" spans="1:36" x14ac:dyDescent="0.3">
      <c r="A10" s="213" t="s">
        <v>390</v>
      </c>
      <c r="B10" s="214">
        <v>45991</v>
      </c>
      <c r="C10" s="215" t="s">
        <v>518</v>
      </c>
      <c r="D10" s="216" t="s">
        <v>594</v>
      </c>
      <c r="E10" s="215" t="s">
        <v>484</v>
      </c>
      <c r="F10" s="215" t="s">
        <v>287</v>
      </c>
      <c r="G10" s="217">
        <v>0.98809999999999998</v>
      </c>
      <c r="H10" s="218">
        <v>168</v>
      </c>
      <c r="I10" s="218">
        <v>166</v>
      </c>
      <c r="J10" s="218">
        <v>137</v>
      </c>
      <c r="K10" s="215" t="s">
        <v>288</v>
      </c>
      <c r="L10" s="219">
        <v>45970</v>
      </c>
      <c r="M10" s="218">
        <v>0</v>
      </c>
      <c r="N10" s="218">
        <v>0</v>
      </c>
      <c r="O10" s="218">
        <v>0</v>
      </c>
      <c r="P10" s="215" t="s">
        <v>561</v>
      </c>
      <c r="Q10" s="211"/>
      <c r="R10" s="211"/>
      <c r="S10" s="211"/>
      <c r="T10" s="211"/>
      <c r="U10" s="211"/>
      <c r="V10" s="211"/>
      <c r="W10" s="211"/>
      <c r="X10" s="211"/>
      <c r="Y10" s="211"/>
      <c r="Z10" s="218" t="s">
        <v>308</v>
      </c>
      <c r="AA10" s="211"/>
      <c r="AB10" s="211"/>
      <c r="AC10" s="218" t="s">
        <v>310</v>
      </c>
      <c r="AD10" s="218" t="s">
        <v>328</v>
      </c>
      <c r="AE10" s="218" t="s">
        <v>404</v>
      </c>
      <c r="AF10" s="218" t="s">
        <v>227</v>
      </c>
      <c r="AG10" s="211"/>
      <c r="AH10" s="211"/>
      <c r="AI10" s="218" t="s">
        <v>595</v>
      </c>
      <c r="AJ10" s="218" t="s">
        <v>344</v>
      </c>
    </row>
    <row r="11" spans="1:36" x14ac:dyDescent="0.3">
      <c r="A11" s="213" t="s">
        <v>390</v>
      </c>
      <c r="B11" s="214">
        <v>45991</v>
      </c>
      <c r="C11" s="215" t="s">
        <v>505</v>
      </c>
      <c r="D11" s="216" t="s">
        <v>596</v>
      </c>
      <c r="E11" s="215" t="s">
        <v>484</v>
      </c>
      <c r="F11" s="215" t="s">
        <v>287</v>
      </c>
      <c r="G11" s="217">
        <v>0.98209999999999997</v>
      </c>
      <c r="H11" s="218">
        <v>168</v>
      </c>
      <c r="I11" s="218">
        <v>165</v>
      </c>
      <c r="J11" s="218">
        <v>138</v>
      </c>
      <c r="K11" s="215" t="s">
        <v>288</v>
      </c>
      <c r="L11" s="219">
        <v>45981</v>
      </c>
      <c r="M11" s="218">
        <v>0</v>
      </c>
      <c r="N11" s="218">
        <v>4</v>
      </c>
      <c r="O11" s="218">
        <v>6</v>
      </c>
      <c r="P11" s="215" t="s">
        <v>376</v>
      </c>
      <c r="Q11" s="211"/>
      <c r="R11" s="211"/>
      <c r="S11" s="211"/>
      <c r="T11" s="211"/>
      <c r="U11" s="211"/>
      <c r="V11" s="211"/>
      <c r="W11" s="211"/>
      <c r="X11" s="211"/>
      <c r="Y11" s="218" t="s">
        <v>367</v>
      </c>
      <c r="Z11" s="218" t="s">
        <v>326</v>
      </c>
      <c r="AA11" s="218" t="s">
        <v>597</v>
      </c>
      <c r="AB11" s="218" t="s">
        <v>598</v>
      </c>
      <c r="AC11" s="218" t="s">
        <v>599</v>
      </c>
      <c r="AD11" s="211"/>
      <c r="AE11" s="211"/>
      <c r="AF11" s="211"/>
      <c r="AG11" s="211"/>
      <c r="AH11" s="211"/>
      <c r="AI11" s="218" t="s">
        <v>600</v>
      </c>
      <c r="AJ11" s="218" t="s">
        <v>334</v>
      </c>
    </row>
    <row r="12" spans="1:36" ht="21" x14ac:dyDescent="0.3">
      <c r="A12" s="220" t="s">
        <v>671</v>
      </c>
      <c r="B12" s="221"/>
      <c r="C12" s="220">
        <f>SUBTOTAL(103,JED_HBE_LF_LEGACY[Flt])</f>
        <v>10</v>
      </c>
      <c r="D12" s="220"/>
      <c r="E12" s="220">
        <f>SUBTOTAL(103,JED_HBE_LF_LEGACY[Brd-Off])</f>
        <v>10</v>
      </c>
      <c r="F12" s="220"/>
      <c r="G12" s="222">
        <f>SUBTOTAL(101,JED_HBE_LF_LEGACY[LF%])</f>
        <v>0.92964000000000024</v>
      </c>
      <c r="H12" s="223">
        <f>SUBTOTAL(109,JED_HBE_LF_LEGACY[CAP])</f>
        <v>1735</v>
      </c>
      <c r="I12" s="223">
        <f>SUBTOTAL(109,JED_HBE_LF_LEGACY[BKG(Y)])</f>
        <v>1616</v>
      </c>
      <c r="J12" s="223">
        <f>SUBTOTAL(109,JED_HBE_LF_LEGACY[GRP(Y)])</f>
        <v>1276</v>
      </c>
      <c r="K12" s="220"/>
      <c r="L12" s="221"/>
      <c r="M12" s="223">
        <f>SUBTOTAL(109,JED_HBE_LF_LEGACY[TO-DAY])</f>
        <v>0</v>
      </c>
      <c r="N12" s="223">
        <f>SUBTOTAL(109,JED_HBE_LF_LEGACY[Y-DAY])</f>
        <v>22</v>
      </c>
      <c r="O12" s="223">
        <f>SUBTOTAL(109,JED_HBE_LF_LEGACY[WEEKLY])</f>
        <v>107</v>
      </c>
      <c r="P12" s="224"/>
      <c r="Q12" s="223">
        <f>SUBTOTAL(109,JED_HBE_LF_LEGACY[Y])</f>
        <v>0</v>
      </c>
      <c r="R12" s="223">
        <f>SUBTOTAL(109,JED_HBE_LF_LEGACY[B])</f>
        <v>0</v>
      </c>
      <c r="S12" s="223">
        <f>SUBTOTAL(109,JED_HBE_LF_LEGACY[M])</f>
        <v>0</v>
      </c>
      <c r="T12" s="223">
        <f>SUBTOTAL(109,JED_HBE_LF_LEGACY[H])</f>
        <v>0</v>
      </c>
      <c r="U12" s="223">
        <f>SUBTOTAL(109,JED_HBE_LF_LEGACY[Q])</f>
        <v>0</v>
      </c>
      <c r="V12" s="223">
        <f>SUBTOTAL(109,JED_HBE_LF_LEGACY[K])</f>
        <v>0</v>
      </c>
      <c r="W12" s="223">
        <f>SUBTOTAL(109,JED_HBE_LF_LEGACY[V])</f>
        <v>0</v>
      </c>
      <c r="X12" s="223">
        <f>SUBTOTAL(109,JED_HBE_LF_LEGACY[L])</f>
        <v>0</v>
      </c>
      <c r="Y12" s="223">
        <f>SUBTOTAL(109,JED_HBE_LF_LEGACY[G])</f>
        <v>0</v>
      </c>
      <c r="Z12" s="223">
        <f>SUBTOTAL(109,JED_HBE_LF_LEGACY[S])</f>
        <v>0</v>
      </c>
      <c r="AA12" s="223">
        <f>SUBTOTAL(109,JED_HBE_LF_LEGACY[W])</f>
        <v>0</v>
      </c>
      <c r="AB12" s="223">
        <f>SUBTOTAL(109,JED_HBE_LF_LEGACY[T])</f>
        <v>0</v>
      </c>
      <c r="AC12" s="223">
        <f>SUBTOTAL(109,JED_HBE_LF_LEGACY[X])</f>
        <v>0</v>
      </c>
      <c r="AD12" s="223">
        <f>SUBTOTAL(109,JED_HBE_LF_LEGACY[U])</f>
        <v>0</v>
      </c>
      <c r="AE12" s="223">
        <f>SUBTOTAL(109,JED_HBE_LF_LEGACY[O])</f>
        <v>0</v>
      </c>
      <c r="AF12" s="223">
        <f>SUBTOTAL(109,JED_HBE_LF_LEGACY[I])</f>
        <v>0</v>
      </c>
      <c r="AG12" s="223">
        <f>SUBTOTAL(109,JED_HBE_LF_LEGACY[E])</f>
        <v>0</v>
      </c>
      <c r="AH12" s="223">
        <f>SUBTOTAL(109,JED_HBE_LF_LEGACY[A])</f>
        <v>0</v>
      </c>
      <c r="AI12" s="223">
        <f>SUBTOTAL(109,JED_HBE_LF_LEGACY[P])</f>
        <v>0</v>
      </c>
      <c r="AJ12" s="223">
        <f>SUBTOTAL(103,JED_HBE_LF_LEGACY[N])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2.44140625" hidden="1" customWidth="1"/>
  </cols>
  <sheetData>
    <row r="1" spans="1:8" ht="18" x14ac:dyDescent="0.3">
      <c r="A1" s="134" t="s">
        <v>407</v>
      </c>
      <c r="B1" s="135" t="s">
        <v>8</v>
      </c>
      <c r="C1" s="135" t="s">
        <v>9</v>
      </c>
      <c r="D1" s="135" t="s">
        <v>408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 t="s">
        <v>409</v>
      </c>
      <c r="B2" s="138" t="s">
        <v>110</v>
      </c>
      <c r="C2" s="139" t="s">
        <v>485</v>
      </c>
      <c r="D2" s="138" t="s">
        <v>484</v>
      </c>
      <c r="E2" s="138" t="s">
        <v>601</v>
      </c>
      <c r="F2" s="138" t="s">
        <v>486</v>
      </c>
      <c r="G2" s="140">
        <v>9</v>
      </c>
      <c r="H2" s="141">
        <v>511</v>
      </c>
    </row>
    <row r="3" spans="1:8" ht="19.8" customHeight="1" x14ac:dyDescent="0.3">
      <c r="A3" s="137" t="s">
        <v>409</v>
      </c>
      <c r="B3" s="138" t="s">
        <v>35</v>
      </c>
      <c r="C3" s="139" t="s">
        <v>494</v>
      </c>
      <c r="D3" s="138" t="s">
        <v>484</v>
      </c>
      <c r="E3" s="138" t="s">
        <v>428</v>
      </c>
      <c r="F3" s="138" t="s">
        <v>495</v>
      </c>
      <c r="G3" s="140">
        <v>3</v>
      </c>
      <c r="H3" s="141">
        <v>519</v>
      </c>
    </row>
    <row r="4" spans="1:8" ht="19.8" customHeight="1" x14ac:dyDescent="0.3">
      <c r="A4" s="137" t="s">
        <v>409</v>
      </c>
      <c r="B4" s="138" t="s">
        <v>110</v>
      </c>
      <c r="C4" s="139" t="s">
        <v>485</v>
      </c>
      <c r="D4" s="138" t="s">
        <v>484</v>
      </c>
      <c r="E4" s="138" t="s">
        <v>601</v>
      </c>
      <c r="F4" s="138" t="s">
        <v>488</v>
      </c>
      <c r="G4" s="140">
        <v>9</v>
      </c>
      <c r="H4" s="141">
        <v>565</v>
      </c>
    </row>
    <row r="5" spans="1:8" ht="19.8" customHeight="1" x14ac:dyDescent="0.3">
      <c r="A5" s="137" t="s">
        <v>409</v>
      </c>
      <c r="B5" s="138" t="s">
        <v>35</v>
      </c>
      <c r="C5" s="139" t="s">
        <v>494</v>
      </c>
      <c r="D5" s="138" t="s">
        <v>484</v>
      </c>
      <c r="E5" s="138" t="s">
        <v>428</v>
      </c>
      <c r="F5" s="138" t="s">
        <v>486</v>
      </c>
      <c r="G5" s="140">
        <v>3</v>
      </c>
      <c r="H5" s="141">
        <v>578</v>
      </c>
    </row>
    <row r="6" spans="1:8" ht="19.8" customHeight="1" x14ac:dyDescent="0.3">
      <c r="A6" s="137" t="s">
        <v>409</v>
      </c>
      <c r="B6" s="138" t="s">
        <v>35</v>
      </c>
      <c r="C6" s="139" t="s">
        <v>494</v>
      </c>
      <c r="D6" s="138" t="s">
        <v>484</v>
      </c>
      <c r="E6" s="138" t="s">
        <v>428</v>
      </c>
      <c r="F6" s="138" t="s">
        <v>488</v>
      </c>
      <c r="G6" s="140">
        <v>3</v>
      </c>
      <c r="H6" s="141">
        <v>602</v>
      </c>
    </row>
    <row r="7" spans="1:8" ht="19.8" customHeight="1" x14ac:dyDescent="0.3">
      <c r="A7" s="137" t="s">
        <v>409</v>
      </c>
      <c r="B7" s="138" t="s">
        <v>110</v>
      </c>
      <c r="C7" s="139" t="s">
        <v>485</v>
      </c>
      <c r="D7" s="138" t="s">
        <v>484</v>
      </c>
      <c r="E7" s="138" t="s">
        <v>601</v>
      </c>
      <c r="F7" s="138" t="s">
        <v>43</v>
      </c>
      <c r="G7" s="140">
        <v>9</v>
      </c>
      <c r="H7" s="141">
        <v>635</v>
      </c>
    </row>
    <row r="8" spans="1:8" ht="19.8" customHeight="1" x14ac:dyDescent="0.3">
      <c r="A8" s="137" t="s">
        <v>409</v>
      </c>
      <c r="B8" s="138" t="s">
        <v>110</v>
      </c>
      <c r="C8" s="139" t="s">
        <v>491</v>
      </c>
      <c r="D8" s="138" t="s">
        <v>484</v>
      </c>
      <c r="E8" s="138" t="s">
        <v>602</v>
      </c>
      <c r="F8" s="138" t="s">
        <v>486</v>
      </c>
      <c r="G8" s="140">
        <v>9</v>
      </c>
      <c r="H8" s="141">
        <v>660</v>
      </c>
    </row>
    <row r="9" spans="1:8" ht="19.8" customHeight="1" x14ac:dyDescent="0.3">
      <c r="A9" s="137" t="s">
        <v>409</v>
      </c>
      <c r="B9" s="138" t="s">
        <v>110</v>
      </c>
      <c r="C9" s="139" t="s">
        <v>491</v>
      </c>
      <c r="D9" s="138" t="s">
        <v>484</v>
      </c>
      <c r="E9" s="138" t="s">
        <v>602</v>
      </c>
      <c r="F9" s="138" t="s">
        <v>488</v>
      </c>
      <c r="G9" s="140">
        <v>9</v>
      </c>
      <c r="H9" s="141">
        <v>726</v>
      </c>
    </row>
    <row r="10" spans="1:8" ht="19.8" customHeight="1" x14ac:dyDescent="0.3">
      <c r="A10" s="137" t="s">
        <v>409</v>
      </c>
      <c r="B10" s="138" t="s">
        <v>35</v>
      </c>
      <c r="C10" s="139" t="s">
        <v>494</v>
      </c>
      <c r="D10" s="138" t="s">
        <v>484</v>
      </c>
      <c r="E10" s="138" t="s">
        <v>428</v>
      </c>
      <c r="F10" s="138" t="s">
        <v>499</v>
      </c>
      <c r="G10" s="140">
        <v>3</v>
      </c>
      <c r="H10" s="141">
        <v>769</v>
      </c>
    </row>
    <row r="11" spans="1:8" ht="19.8" customHeight="1" x14ac:dyDescent="0.3">
      <c r="A11" s="137" t="s">
        <v>409</v>
      </c>
      <c r="B11" s="138" t="s">
        <v>110</v>
      </c>
      <c r="C11" s="139" t="s">
        <v>491</v>
      </c>
      <c r="D11" s="138" t="s">
        <v>484</v>
      </c>
      <c r="E11" s="138" t="s">
        <v>602</v>
      </c>
      <c r="F11" s="138" t="s">
        <v>43</v>
      </c>
      <c r="G11" s="140">
        <v>9</v>
      </c>
      <c r="H11" s="141">
        <v>788</v>
      </c>
    </row>
    <row r="12" spans="1:8" ht="19.8" customHeight="1" x14ac:dyDescent="0.3">
      <c r="A12" s="137" t="s">
        <v>409</v>
      </c>
      <c r="B12" s="138" t="s">
        <v>148</v>
      </c>
      <c r="C12" s="139" t="s">
        <v>501</v>
      </c>
      <c r="D12" s="138" t="s">
        <v>484</v>
      </c>
      <c r="E12" s="138" t="s">
        <v>603</v>
      </c>
      <c r="F12" s="138" t="s">
        <v>150</v>
      </c>
      <c r="G12" s="140">
        <v>9</v>
      </c>
      <c r="H12" s="151" t="s">
        <v>502</v>
      </c>
    </row>
    <row r="13" spans="1:8" ht="19.8" customHeight="1" x14ac:dyDescent="0.3">
      <c r="A13" s="142" t="s">
        <v>409</v>
      </c>
      <c r="B13" s="143" t="s">
        <v>55</v>
      </c>
      <c r="C13" s="144" t="s">
        <v>503</v>
      </c>
      <c r="D13" s="143" t="s">
        <v>484</v>
      </c>
      <c r="E13" s="143" t="s">
        <v>567</v>
      </c>
      <c r="F13" s="143" t="s">
        <v>57</v>
      </c>
      <c r="G13" s="145">
        <v>3</v>
      </c>
      <c r="H13" s="179" t="s">
        <v>504</v>
      </c>
    </row>
    <row r="14" spans="1:8" ht="19.8" customHeight="1" x14ac:dyDescent="0.3">
      <c r="A14" s="149">
        <v>45986</v>
      </c>
      <c r="B14" s="138" t="s">
        <v>121</v>
      </c>
      <c r="C14" s="139" t="s">
        <v>508</v>
      </c>
      <c r="D14" s="138" t="s">
        <v>484</v>
      </c>
      <c r="E14" s="150">
        <v>1.3402777777777779</v>
      </c>
      <c r="F14" s="138" t="s">
        <v>123</v>
      </c>
      <c r="G14" s="140">
        <v>9</v>
      </c>
      <c r="H14" s="151" t="s">
        <v>509</v>
      </c>
    </row>
    <row r="15" spans="1:8" ht="19.8" customHeight="1" x14ac:dyDescent="0.3">
      <c r="A15" s="149">
        <v>45986</v>
      </c>
      <c r="B15" s="138" t="s">
        <v>121</v>
      </c>
      <c r="C15" s="139" t="s">
        <v>511</v>
      </c>
      <c r="D15" s="138" t="s">
        <v>484</v>
      </c>
      <c r="E15" s="150">
        <v>1.711805555555556</v>
      </c>
      <c r="F15" s="138" t="s">
        <v>123</v>
      </c>
      <c r="G15" s="140">
        <v>9</v>
      </c>
      <c r="H15" s="151" t="s">
        <v>509</v>
      </c>
    </row>
    <row r="16" spans="1:8" ht="19.8" customHeight="1" x14ac:dyDescent="0.3">
      <c r="A16" s="149">
        <v>45986</v>
      </c>
      <c r="B16" s="138" t="s">
        <v>121</v>
      </c>
      <c r="C16" s="139" t="s">
        <v>508</v>
      </c>
      <c r="D16" s="138" t="s">
        <v>484</v>
      </c>
      <c r="E16" s="150">
        <v>1.3402777777777779</v>
      </c>
      <c r="F16" s="138" t="s">
        <v>125</v>
      </c>
      <c r="G16" s="140">
        <v>9</v>
      </c>
      <c r="H16" s="151" t="s">
        <v>510</v>
      </c>
    </row>
    <row r="17" spans="1:8" ht="19.8" customHeight="1" x14ac:dyDescent="0.3">
      <c r="A17" s="149">
        <v>45986</v>
      </c>
      <c r="B17" s="138" t="s">
        <v>121</v>
      </c>
      <c r="C17" s="139" t="s">
        <v>511</v>
      </c>
      <c r="D17" s="138" t="s">
        <v>484</v>
      </c>
      <c r="E17" s="150">
        <v>1.711805555555556</v>
      </c>
      <c r="F17" s="138" t="s">
        <v>125</v>
      </c>
      <c r="G17" s="140">
        <v>9</v>
      </c>
      <c r="H17" s="151" t="s">
        <v>510</v>
      </c>
    </row>
    <row r="18" spans="1:8" ht="19.8" customHeight="1" x14ac:dyDescent="0.3">
      <c r="A18" s="180"/>
      <c r="B18" s="181"/>
      <c r="C18" s="181"/>
      <c r="D18" s="181"/>
      <c r="E18" s="181"/>
      <c r="F18" s="182" t="s">
        <v>604</v>
      </c>
      <c r="G18" s="181"/>
      <c r="H18" s="183"/>
    </row>
    <row r="19" spans="1:8" ht="19.8" customHeight="1" x14ac:dyDescent="0.3">
      <c r="A19" s="149">
        <v>45986</v>
      </c>
      <c r="B19" s="138" t="s">
        <v>26</v>
      </c>
      <c r="C19" s="139" t="s">
        <v>27</v>
      </c>
      <c r="D19" s="138" t="s">
        <v>1</v>
      </c>
      <c r="E19" s="150">
        <v>1.364583333333333</v>
      </c>
      <c r="F19" s="138" t="s">
        <v>28</v>
      </c>
      <c r="G19" s="140">
        <v>9</v>
      </c>
      <c r="H19" s="141">
        <v>401</v>
      </c>
    </row>
    <row r="20" spans="1:8" ht="19.8" customHeight="1" x14ac:dyDescent="0.3">
      <c r="A20" s="149">
        <v>45986</v>
      </c>
      <c r="B20" s="138" t="s">
        <v>26</v>
      </c>
      <c r="C20" s="139" t="s">
        <v>31</v>
      </c>
      <c r="D20" s="138" t="s">
        <v>1</v>
      </c>
      <c r="E20" s="150">
        <v>1.0451388888888891</v>
      </c>
      <c r="F20" s="138" t="s">
        <v>28</v>
      </c>
      <c r="G20" s="140">
        <v>9</v>
      </c>
      <c r="H20" s="141">
        <v>401</v>
      </c>
    </row>
    <row r="21" spans="1:8" ht="19.8" customHeight="1" x14ac:dyDescent="0.3">
      <c r="A21" s="149">
        <v>45986</v>
      </c>
      <c r="B21" s="138" t="s">
        <v>35</v>
      </c>
      <c r="C21" s="139" t="s">
        <v>36</v>
      </c>
      <c r="D21" s="138" t="s">
        <v>1</v>
      </c>
      <c r="E21" s="150">
        <v>1.302083333333333</v>
      </c>
      <c r="F21" s="138" t="s">
        <v>37</v>
      </c>
      <c r="G21" s="140">
        <v>2</v>
      </c>
      <c r="H21" s="141">
        <v>419</v>
      </c>
    </row>
    <row r="22" spans="1:8" ht="19.8" customHeight="1" x14ac:dyDescent="0.3">
      <c r="A22" s="149">
        <v>45986</v>
      </c>
      <c r="B22" s="138" t="s">
        <v>35</v>
      </c>
      <c r="C22" s="139" t="s">
        <v>45</v>
      </c>
      <c r="D22" s="138" t="s">
        <v>1</v>
      </c>
      <c r="E22" s="150">
        <v>1.788194444444444</v>
      </c>
      <c r="F22" s="138" t="s">
        <v>37</v>
      </c>
      <c r="G22" s="140">
        <v>2</v>
      </c>
      <c r="H22" s="141">
        <v>419</v>
      </c>
    </row>
    <row r="23" spans="1:8" ht="19.8" customHeight="1" x14ac:dyDescent="0.3">
      <c r="A23" s="149">
        <v>45986</v>
      </c>
      <c r="B23" s="138" t="s">
        <v>35</v>
      </c>
      <c r="C23" s="139" t="s">
        <v>47</v>
      </c>
      <c r="D23" s="138" t="s">
        <v>1</v>
      </c>
      <c r="E23" s="150">
        <v>1.8888888888888891</v>
      </c>
      <c r="F23" s="138" t="s">
        <v>37</v>
      </c>
      <c r="G23" s="140">
        <v>1</v>
      </c>
      <c r="H23" s="141">
        <v>419</v>
      </c>
    </row>
    <row r="24" spans="1:8" ht="19.8" customHeight="1" x14ac:dyDescent="0.3">
      <c r="A24" s="149">
        <v>45986</v>
      </c>
      <c r="B24" s="138" t="s">
        <v>55</v>
      </c>
      <c r="C24" s="139" t="s">
        <v>56</v>
      </c>
      <c r="D24" s="138" t="s">
        <v>1</v>
      </c>
      <c r="E24" s="150">
        <v>1.9340277777777779</v>
      </c>
      <c r="F24" s="138" t="s">
        <v>57</v>
      </c>
      <c r="G24" s="140">
        <v>9</v>
      </c>
      <c r="H24" s="141">
        <v>436</v>
      </c>
    </row>
    <row r="25" spans="1:8" ht="19.8" customHeight="1" x14ac:dyDescent="0.3">
      <c r="A25" s="149">
        <v>45986</v>
      </c>
      <c r="B25" s="138" t="s">
        <v>55</v>
      </c>
      <c r="C25" s="139" t="s">
        <v>62</v>
      </c>
      <c r="D25" s="138" t="s">
        <v>1</v>
      </c>
      <c r="E25" s="150">
        <v>1.229166666666667</v>
      </c>
      <c r="F25" s="138" t="s">
        <v>57</v>
      </c>
      <c r="G25" s="140">
        <v>9</v>
      </c>
      <c r="H25" s="141">
        <v>436</v>
      </c>
    </row>
    <row r="26" spans="1:8" ht="19.8" customHeight="1" x14ac:dyDescent="0.3">
      <c r="A26" s="149">
        <v>45986</v>
      </c>
      <c r="B26" s="138" t="s">
        <v>55</v>
      </c>
      <c r="C26" s="139" t="s">
        <v>65</v>
      </c>
      <c r="D26" s="138" t="s">
        <v>1</v>
      </c>
      <c r="E26" s="150">
        <v>1.96875</v>
      </c>
      <c r="F26" s="138" t="s">
        <v>57</v>
      </c>
      <c r="G26" s="140">
        <v>9</v>
      </c>
      <c r="H26" s="141">
        <v>436</v>
      </c>
    </row>
    <row r="27" spans="1:8" ht="19.8" customHeight="1" x14ac:dyDescent="0.3">
      <c r="A27" s="149">
        <v>45986</v>
      </c>
      <c r="B27" s="138" t="s">
        <v>55</v>
      </c>
      <c r="C27" s="139" t="s">
        <v>68</v>
      </c>
      <c r="D27" s="138" t="s">
        <v>1</v>
      </c>
      <c r="E27" s="150">
        <v>1.614583333333333</v>
      </c>
      <c r="F27" s="138" t="s">
        <v>57</v>
      </c>
      <c r="G27" s="140">
        <v>6</v>
      </c>
      <c r="H27" s="141">
        <v>436</v>
      </c>
    </row>
    <row r="28" spans="1:8" ht="19.8" customHeight="1" x14ac:dyDescent="0.3">
      <c r="A28" s="157">
        <v>45986</v>
      </c>
      <c r="B28" s="158" t="s">
        <v>83</v>
      </c>
      <c r="C28" s="159" t="s">
        <v>84</v>
      </c>
      <c r="D28" s="158" t="s">
        <v>1</v>
      </c>
      <c r="E28" s="160">
        <v>1.9027777777777779</v>
      </c>
      <c r="F28" s="158" t="s">
        <v>85</v>
      </c>
      <c r="G28" s="161">
        <v>2</v>
      </c>
      <c r="H28" s="184">
        <v>449</v>
      </c>
    </row>
    <row r="29" spans="1:8" ht="19.8" customHeight="1" x14ac:dyDescent="0.3">
      <c r="A29" s="149">
        <v>45987</v>
      </c>
      <c r="B29" s="138" t="s">
        <v>110</v>
      </c>
      <c r="C29" s="139" t="s">
        <v>485</v>
      </c>
      <c r="D29" s="138" t="s">
        <v>484</v>
      </c>
      <c r="E29" s="150">
        <v>1.3298611111111109</v>
      </c>
      <c r="F29" s="138" t="s">
        <v>486</v>
      </c>
      <c r="G29" s="140">
        <v>9</v>
      </c>
      <c r="H29" s="141">
        <v>504</v>
      </c>
    </row>
    <row r="30" spans="1:8" ht="19.8" customHeight="1" x14ac:dyDescent="0.3">
      <c r="A30" s="149">
        <v>45987</v>
      </c>
      <c r="B30" s="138" t="s">
        <v>110</v>
      </c>
      <c r="C30" s="139" t="s">
        <v>485</v>
      </c>
      <c r="D30" s="138" t="s">
        <v>484</v>
      </c>
      <c r="E30" s="150">
        <v>1.3298611111111109</v>
      </c>
      <c r="F30" s="138" t="s">
        <v>488</v>
      </c>
      <c r="G30" s="140">
        <v>9</v>
      </c>
      <c r="H30" s="141">
        <v>558</v>
      </c>
    </row>
    <row r="31" spans="1:8" ht="19.8" customHeight="1" x14ac:dyDescent="0.3">
      <c r="A31" s="149">
        <v>45987</v>
      </c>
      <c r="B31" s="138" t="s">
        <v>110</v>
      </c>
      <c r="C31" s="139" t="s">
        <v>485</v>
      </c>
      <c r="D31" s="138" t="s">
        <v>484</v>
      </c>
      <c r="E31" s="150">
        <v>1.3298611111111109</v>
      </c>
      <c r="F31" s="138" t="s">
        <v>43</v>
      </c>
      <c r="G31" s="140">
        <v>9</v>
      </c>
      <c r="H31" s="141">
        <v>627</v>
      </c>
    </row>
    <row r="32" spans="1:8" ht="19.8" customHeight="1" x14ac:dyDescent="0.3">
      <c r="A32" s="147">
        <v>45987</v>
      </c>
      <c r="B32" s="143" t="s">
        <v>55</v>
      </c>
      <c r="C32" s="144" t="s">
        <v>516</v>
      </c>
      <c r="D32" s="143" t="s">
        <v>484</v>
      </c>
      <c r="E32" s="148">
        <v>1.71875</v>
      </c>
      <c r="F32" s="143" t="s">
        <v>57</v>
      </c>
      <c r="G32" s="145">
        <v>1</v>
      </c>
      <c r="H32" s="146">
        <v>646</v>
      </c>
    </row>
    <row r="33" spans="1:8" ht="19.8" customHeight="1" x14ac:dyDescent="0.3">
      <c r="A33" s="149">
        <v>45987</v>
      </c>
      <c r="B33" s="138" t="s">
        <v>148</v>
      </c>
      <c r="C33" s="139" t="s">
        <v>501</v>
      </c>
      <c r="D33" s="138" t="s">
        <v>484</v>
      </c>
      <c r="E33" s="150">
        <v>1.604166666666667</v>
      </c>
      <c r="F33" s="138" t="s">
        <v>150</v>
      </c>
      <c r="G33" s="140">
        <v>9</v>
      </c>
      <c r="H33" s="151" t="s">
        <v>502</v>
      </c>
    </row>
    <row r="34" spans="1:8" ht="19.8" customHeight="1" x14ac:dyDescent="0.3">
      <c r="A34" s="147">
        <v>45987</v>
      </c>
      <c r="B34" s="143" t="s">
        <v>55</v>
      </c>
      <c r="C34" s="144" t="s">
        <v>520</v>
      </c>
      <c r="D34" s="143" t="s">
        <v>484</v>
      </c>
      <c r="E34" s="148">
        <v>1.4097222222222221</v>
      </c>
      <c r="F34" s="143" t="s">
        <v>57</v>
      </c>
      <c r="G34" s="145">
        <v>5</v>
      </c>
      <c r="H34" s="179" t="s">
        <v>521</v>
      </c>
    </row>
    <row r="35" spans="1:8" ht="19.8" customHeight="1" x14ac:dyDescent="0.3">
      <c r="A35" s="149">
        <v>45987</v>
      </c>
      <c r="B35" s="138" t="s">
        <v>121</v>
      </c>
      <c r="C35" s="139" t="s">
        <v>511</v>
      </c>
      <c r="D35" s="138" t="s">
        <v>484</v>
      </c>
      <c r="E35" s="150">
        <v>1.711805555555556</v>
      </c>
      <c r="F35" s="138" t="s">
        <v>123</v>
      </c>
      <c r="G35" s="140">
        <v>3</v>
      </c>
      <c r="H35" s="151" t="s">
        <v>509</v>
      </c>
    </row>
    <row r="36" spans="1:8" ht="19.8" customHeight="1" x14ac:dyDescent="0.3">
      <c r="A36" s="149">
        <v>45987</v>
      </c>
      <c r="B36" s="138" t="s">
        <v>121</v>
      </c>
      <c r="C36" s="139" t="s">
        <v>511</v>
      </c>
      <c r="D36" s="138" t="s">
        <v>484</v>
      </c>
      <c r="E36" s="150">
        <v>1.711805555555556</v>
      </c>
      <c r="F36" s="138" t="s">
        <v>125</v>
      </c>
      <c r="G36" s="140">
        <v>3</v>
      </c>
      <c r="H36" s="151" t="s">
        <v>510</v>
      </c>
    </row>
    <row r="37" spans="1:8" ht="19.8" customHeight="1" x14ac:dyDescent="0.3">
      <c r="A37" s="147">
        <v>45987</v>
      </c>
      <c r="B37" s="143" t="s">
        <v>55</v>
      </c>
      <c r="C37" s="144" t="s">
        <v>505</v>
      </c>
      <c r="D37" s="143" t="s">
        <v>484</v>
      </c>
      <c r="E37" s="148">
        <v>1.65625</v>
      </c>
      <c r="F37" s="143" t="s">
        <v>79</v>
      </c>
      <c r="G37" s="143"/>
      <c r="H37" s="179" t="s">
        <v>80</v>
      </c>
    </row>
    <row r="38" spans="1:8" ht="19.8" customHeight="1" x14ac:dyDescent="0.3">
      <c r="A38" s="180"/>
      <c r="B38" s="181"/>
      <c r="C38" s="181"/>
      <c r="D38" s="181"/>
      <c r="E38" s="181"/>
      <c r="F38" s="182" t="s">
        <v>604</v>
      </c>
      <c r="G38" s="181"/>
      <c r="H38" s="183"/>
    </row>
    <row r="39" spans="1:8" ht="19.8" customHeight="1" x14ac:dyDescent="0.3">
      <c r="A39" s="149">
        <v>45987</v>
      </c>
      <c r="B39" s="138" t="s">
        <v>35</v>
      </c>
      <c r="C39" s="139" t="s">
        <v>47</v>
      </c>
      <c r="D39" s="138" t="s">
        <v>1</v>
      </c>
      <c r="E39" s="150">
        <v>1.8888888888888891</v>
      </c>
      <c r="F39" s="138" t="s">
        <v>37</v>
      </c>
      <c r="G39" s="140">
        <v>2</v>
      </c>
      <c r="H39" s="141">
        <v>389</v>
      </c>
    </row>
    <row r="40" spans="1:8" ht="19.8" customHeight="1" x14ac:dyDescent="0.3">
      <c r="A40" s="149">
        <v>45987</v>
      </c>
      <c r="B40" s="138" t="s">
        <v>116</v>
      </c>
      <c r="C40" s="139" t="s">
        <v>117</v>
      </c>
      <c r="D40" s="138" t="s">
        <v>1</v>
      </c>
      <c r="E40" s="150">
        <v>1.270833333333333</v>
      </c>
      <c r="F40" s="138" t="s">
        <v>28</v>
      </c>
      <c r="G40" s="140">
        <v>1</v>
      </c>
      <c r="H40" s="141">
        <v>400</v>
      </c>
    </row>
    <row r="41" spans="1:8" ht="19.8" customHeight="1" x14ac:dyDescent="0.3">
      <c r="A41" s="149">
        <v>45987</v>
      </c>
      <c r="B41" s="138" t="s">
        <v>55</v>
      </c>
      <c r="C41" s="139" t="s">
        <v>73</v>
      </c>
      <c r="D41" s="138" t="s">
        <v>1</v>
      </c>
      <c r="E41" s="150">
        <v>1.520833333333333</v>
      </c>
      <c r="F41" s="138" t="s">
        <v>57</v>
      </c>
      <c r="G41" s="140">
        <v>9</v>
      </c>
      <c r="H41" s="141">
        <v>401</v>
      </c>
    </row>
    <row r="42" spans="1:8" ht="19.8" customHeight="1" x14ac:dyDescent="0.3">
      <c r="A42" s="149">
        <v>45987</v>
      </c>
      <c r="B42" s="138" t="s">
        <v>55</v>
      </c>
      <c r="C42" s="139" t="s">
        <v>65</v>
      </c>
      <c r="D42" s="138" t="s">
        <v>1</v>
      </c>
      <c r="E42" s="150">
        <v>1.5173611111111109</v>
      </c>
      <c r="F42" s="138" t="s">
        <v>57</v>
      </c>
      <c r="G42" s="140">
        <v>9</v>
      </c>
      <c r="H42" s="141">
        <v>401</v>
      </c>
    </row>
    <row r="43" spans="1:8" ht="19.8" customHeight="1" x14ac:dyDescent="0.3">
      <c r="A43" s="149">
        <v>45987</v>
      </c>
      <c r="B43" s="138" t="s">
        <v>26</v>
      </c>
      <c r="C43" s="139" t="s">
        <v>33</v>
      </c>
      <c r="D43" s="138" t="s">
        <v>1</v>
      </c>
      <c r="E43" s="150">
        <v>1.9375</v>
      </c>
      <c r="F43" s="138" t="s">
        <v>28</v>
      </c>
      <c r="G43" s="140">
        <v>3</v>
      </c>
      <c r="H43" s="141">
        <v>401</v>
      </c>
    </row>
    <row r="44" spans="1:8" ht="19.8" customHeight="1" x14ac:dyDescent="0.3">
      <c r="A44" s="149">
        <v>45987</v>
      </c>
      <c r="B44" s="138" t="s">
        <v>26</v>
      </c>
      <c r="C44" s="139" t="s">
        <v>27</v>
      </c>
      <c r="D44" s="138" t="s">
        <v>1</v>
      </c>
      <c r="E44" s="150">
        <v>1.3715277777777779</v>
      </c>
      <c r="F44" s="138" t="s">
        <v>28</v>
      </c>
      <c r="G44" s="140">
        <v>9</v>
      </c>
      <c r="H44" s="141">
        <v>401</v>
      </c>
    </row>
    <row r="45" spans="1:8" ht="19.8" customHeight="1" x14ac:dyDescent="0.3">
      <c r="A45" s="149">
        <v>45987</v>
      </c>
      <c r="B45" s="138" t="s">
        <v>35</v>
      </c>
      <c r="C45" s="139" t="s">
        <v>36</v>
      </c>
      <c r="D45" s="138" t="s">
        <v>1</v>
      </c>
      <c r="E45" s="150">
        <v>1.302083333333333</v>
      </c>
      <c r="F45" s="138" t="s">
        <v>37</v>
      </c>
      <c r="G45" s="140">
        <v>5</v>
      </c>
      <c r="H45" s="141">
        <v>419</v>
      </c>
    </row>
    <row r="46" spans="1:8" ht="19.8" customHeight="1" x14ac:dyDescent="0.3">
      <c r="A46" s="149">
        <v>45987</v>
      </c>
      <c r="B46" s="138" t="s">
        <v>35</v>
      </c>
      <c r="C46" s="139" t="s">
        <v>50</v>
      </c>
      <c r="D46" s="138" t="s">
        <v>1</v>
      </c>
      <c r="E46" s="150">
        <v>1.1284722222222221</v>
      </c>
      <c r="F46" s="138" t="s">
        <v>37</v>
      </c>
      <c r="G46" s="140">
        <v>2</v>
      </c>
      <c r="H46" s="141">
        <v>419</v>
      </c>
    </row>
    <row r="47" spans="1:8" ht="19.8" customHeight="1" x14ac:dyDescent="0.3">
      <c r="A47" s="149">
        <v>45987</v>
      </c>
      <c r="B47" s="138" t="s">
        <v>35</v>
      </c>
      <c r="C47" s="139" t="s">
        <v>45</v>
      </c>
      <c r="D47" s="138" t="s">
        <v>1</v>
      </c>
      <c r="E47" s="150">
        <v>1.788194444444444</v>
      </c>
      <c r="F47" s="138" t="s">
        <v>37</v>
      </c>
      <c r="G47" s="140">
        <v>7</v>
      </c>
      <c r="H47" s="141">
        <v>419</v>
      </c>
    </row>
    <row r="48" spans="1:8" ht="19.8" customHeight="1" x14ac:dyDescent="0.3">
      <c r="A48" s="157">
        <v>45987</v>
      </c>
      <c r="B48" s="158" t="s">
        <v>55</v>
      </c>
      <c r="C48" s="159" t="s">
        <v>68</v>
      </c>
      <c r="D48" s="158" t="s">
        <v>1</v>
      </c>
      <c r="E48" s="160">
        <v>1.614583333333333</v>
      </c>
      <c r="F48" s="158" t="s">
        <v>57</v>
      </c>
      <c r="G48" s="161">
        <v>9</v>
      </c>
      <c r="H48" s="184">
        <v>436</v>
      </c>
    </row>
    <row r="49" spans="1:8" ht="19.8" customHeight="1" x14ac:dyDescent="0.3">
      <c r="A49" s="149">
        <v>45988</v>
      </c>
      <c r="B49" s="138" t="s">
        <v>110</v>
      </c>
      <c r="C49" s="139" t="s">
        <v>491</v>
      </c>
      <c r="D49" s="138" t="s">
        <v>484</v>
      </c>
      <c r="E49" s="150">
        <v>1.5277777777777779</v>
      </c>
      <c r="F49" s="138" t="s">
        <v>486</v>
      </c>
      <c r="G49" s="140">
        <v>9</v>
      </c>
      <c r="H49" s="141">
        <v>459</v>
      </c>
    </row>
    <row r="50" spans="1:8" ht="19.8" customHeight="1" x14ac:dyDescent="0.3">
      <c r="A50" s="149">
        <v>45988</v>
      </c>
      <c r="B50" s="138" t="s">
        <v>110</v>
      </c>
      <c r="C50" s="139" t="s">
        <v>530</v>
      </c>
      <c r="D50" s="138" t="s">
        <v>484</v>
      </c>
      <c r="E50" s="150">
        <v>1.7986111111111109</v>
      </c>
      <c r="F50" s="138" t="s">
        <v>486</v>
      </c>
      <c r="G50" s="140">
        <v>9</v>
      </c>
      <c r="H50" s="141">
        <v>496</v>
      </c>
    </row>
    <row r="51" spans="1:8" ht="19.8" customHeight="1" x14ac:dyDescent="0.3">
      <c r="A51" s="149">
        <v>45988</v>
      </c>
      <c r="B51" s="138" t="s">
        <v>110</v>
      </c>
      <c r="C51" s="139" t="s">
        <v>491</v>
      </c>
      <c r="D51" s="138" t="s">
        <v>484</v>
      </c>
      <c r="E51" s="150">
        <v>1.5277777777777779</v>
      </c>
      <c r="F51" s="138" t="s">
        <v>488</v>
      </c>
      <c r="G51" s="140">
        <v>9</v>
      </c>
      <c r="H51" s="141">
        <v>513</v>
      </c>
    </row>
    <row r="52" spans="1:8" ht="19.8" customHeight="1" x14ac:dyDescent="0.3">
      <c r="A52" s="149">
        <v>45988</v>
      </c>
      <c r="B52" s="138" t="s">
        <v>110</v>
      </c>
      <c r="C52" s="139" t="s">
        <v>530</v>
      </c>
      <c r="D52" s="138" t="s">
        <v>484</v>
      </c>
      <c r="E52" s="150">
        <v>1.7986111111111109</v>
      </c>
      <c r="F52" s="138" t="s">
        <v>488</v>
      </c>
      <c r="G52" s="140">
        <v>9</v>
      </c>
      <c r="H52" s="141">
        <v>550</v>
      </c>
    </row>
    <row r="53" spans="1:8" ht="19.8" customHeight="1" x14ac:dyDescent="0.3">
      <c r="A53" s="149">
        <v>45988</v>
      </c>
      <c r="B53" s="138" t="s">
        <v>121</v>
      </c>
      <c r="C53" s="139" t="s">
        <v>508</v>
      </c>
      <c r="D53" s="138" t="s">
        <v>484</v>
      </c>
      <c r="E53" s="150">
        <v>1.3402777777777779</v>
      </c>
      <c r="F53" s="138" t="s">
        <v>534</v>
      </c>
      <c r="G53" s="140">
        <v>9</v>
      </c>
      <c r="H53" s="141">
        <v>560</v>
      </c>
    </row>
    <row r="54" spans="1:8" ht="19.8" customHeight="1" x14ac:dyDescent="0.3">
      <c r="A54" s="149">
        <v>45988</v>
      </c>
      <c r="B54" s="138" t="s">
        <v>110</v>
      </c>
      <c r="C54" s="139" t="s">
        <v>491</v>
      </c>
      <c r="D54" s="138" t="s">
        <v>484</v>
      </c>
      <c r="E54" s="150">
        <v>1.5277777777777779</v>
      </c>
      <c r="F54" s="138" t="s">
        <v>43</v>
      </c>
      <c r="G54" s="140">
        <v>9</v>
      </c>
      <c r="H54" s="141">
        <v>582</v>
      </c>
    </row>
    <row r="55" spans="1:8" ht="19.8" customHeight="1" x14ac:dyDescent="0.3">
      <c r="A55" s="149">
        <v>45988</v>
      </c>
      <c r="B55" s="138" t="s">
        <v>110</v>
      </c>
      <c r="C55" s="139" t="s">
        <v>530</v>
      </c>
      <c r="D55" s="138" t="s">
        <v>484</v>
      </c>
      <c r="E55" s="150">
        <v>1.7986111111111109</v>
      </c>
      <c r="F55" s="138" t="s">
        <v>43</v>
      </c>
      <c r="G55" s="140">
        <v>9</v>
      </c>
      <c r="H55" s="141">
        <v>620</v>
      </c>
    </row>
    <row r="56" spans="1:8" ht="19.8" customHeight="1" x14ac:dyDescent="0.3">
      <c r="A56" s="149">
        <v>45988</v>
      </c>
      <c r="B56" s="138" t="s">
        <v>121</v>
      </c>
      <c r="C56" s="139" t="s">
        <v>508</v>
      </c>
      <c r="D56" s="138" t="s">
        <v>484</v>
      </c>
      <c r="E56" s="150">
        <v>1.3402777777777779</v>
      </c>
      <c r="F56" s="138" t="s">
        <v>123</v>
      </c>
      <c r="G56" s="140">
        <v>9</v>
      </c>
      <c r="H56" s="141">
        <v>704</v>
      </c>
    </row>
    <row r="57" spans="1:8" ht="19.8" customHeight="1" x14ac:dyDescent="0.3">
      <c r="A57" s="149">
        <v>45988</v>
      </c>
      <c r="B57" s="138" t="s">
        <v>121</v>
      </c>
      <c r="C57" s="139" t="s">
        <v>508</v>
      </c>
      <c r="D57" s="138" t="s">
        <v>484</v>
      </c>
      <c r="E57" s="150">
        <v>1.3402777777777779</v>
      </c>
      <c r="F57" s="138" t="s">
        <v>125</v>
      </c>
      <c r="G57" s="140">
        <v>9</v>
      </c>
      <c r="H57" s="141">
        <v>776</v>
      </c>
    </row>
    <row r="58" spans="1:8" ht="19.8" customHeight="1" x14ac:dyDescent="0.3">
      <c r="A58" s="147">
        <v>45988</v>
      </c>
      <c r="B58" s="143" t="s">
        <v>55</v>
      </c>
      <c r="C58" s="144" t="s">
        <v>503</v>
      </c>
      <c r="D58" s="143" t="s">
        <v>484</v>
      </c>
      <c r="E58" s="148">
        <v>1.274305555555556</v>
      </c>
      <c r="F58" s="143" t="s">
        <v>57</v>
      </c>
      <c r="G58" s="145">
        <v>4</v>
      </c>
      <c r="H58" s="146">
        <v>856</v>
      </c>
    </row>
    <row r="59" spans="1:8" ht="19.8" customHeight="1" x14ac:dyDescent="0.3">
      <c r="A59" s="180"/>
      <c r="B59" s="181"/>
      <c r="C59" s="181"/>
      <c r="D59" s="181"/>
      <c r="E59" s="181"/>
      <c r="F59" s="182" t="s">
        <v>604</v>
      </c>
      <c r="G59" s="181"/>
      <c r="H59" s="183"/>
    </row>
    <row r="60" spans="1:8" ht="19.8" customHeight="1" x14ac:dyDescent="0.3">
      <c r="A60" s="149">
        <v>45988</v>
      </c>
      <c r="B60" s="138" t="s">
        <v>35</v>
      </c>
      <c r="C60" s="139" t="s">
        <v>36</v>
      </c>
      <c r="D60" s="138" t="s">
        <v>1</v>
      </c>
      <c r="E60" s="150">
        <v>1.302083333333333</v>
      </c>
      <c r="F60" s="138" t="s">
        <v>37</v>
      </c>
      <c r="G60" s="140">
        <v>1</v>
      </c>
      <c r="H60" s="141">
        <v>359</v>
      </c>
    </row>
    <row r="61" spans="1:8" ht="19.8" customHeight="1" x14ac:dyDescent="0.3">
      <c r="A61" s="149">
        <v>45988</v>
      </c>
      <c r="B61" s="138" t="s">
        <v>35</v>
      </c>
      <c r="C61" s="139" t="s">
        <v>50</v>
      </c>
      <c r="D61" s="138" t="s">
        <v>1</v>
      </c>
      <c r="E61" s="150">
        <v>1.1284722222222221</v>
      </c>
      <c r="F61" s="138" t="s">
        <v>37</v>
      </c>
      <c r="G61" s="140">
        <v>4</v>
      </c>
      <c r="H61" s="141">
        <v>359</v>
      </c>
    </row>
    <row r="62" spans="1:8" ht="19.8" customHeight="1" x14ac:dyDescent="0.3">
      <c r="A62" s="149">
        <v>45988</v>
      </c>
      <c r="B62" s="138" t="s">
        <v>116</v>
      </c>
      <c r="C62" s="139" t="s">
        <v>117</v>
      </c>
      <c r="D62" s="138" t="s">
        <v>1</v>
      </c>
      <c r="E62" s="150">
        <v>1.291666666666667</v>
      </c>
      <c r="F62" s="138" t="s">
        <v>28</v>
      </c>
      <c r="G62" s="140">
        <v>9</v>
      </c>
      <c r="H62" s="141">
        <v>400</v>
      </c>
    </row>
    <row r="63" spans="1:8" ht="19.8" customHeight="1" x14ac:dyDescent="0.3">
      <c r="A63" s="149">
        <v>45988</v>
      </c>
      <c r="B63" s="138" t="s">
        <v>116</v>
      </c>
      <c r="C63" s="139" t="s">
        <v>119</v>
      </c>
      <c r="D63" s="138" t="s">
        <v>1</v>
      </c>
      <c r="E63" s="150">
        <v>1.59375</v>
      </c>
      <c r="F63" s="138" t="s">
        <v>28</v>
      </c>
      <c r="G63" s="140">
        <v>9</v>
      </c>
      <c r="H63" s="141">
        <v>400</v>
      </c>
    </row>
    <row r="64" spans="1:8" ht="19.8" customHeight="1" x14ac:dyDescent="0.3">
      <c r="A64" s="149">
        <v>45988</v>
      </c>
      <c r="B64" s="138" t="s">
        <v>55</v>
      </c>
      <c r="C64" s="139" t="s">
        <v>189</v>
      </c>
      <c r="D64" s="138" t="s">
        <v>1</v>
      </c>
      <c r="E64" s="150">
        <v>1.364583333333333</v>
      </c>
      <c r="F64" s="138" t="s">
        <v>57</v>
      </c>
      <c r="G64" s="140">
        <v>9</v>
      </c>
      <c r="H64" s="141">
        <v>401</v>
      </c>
    </row>
    <row r="65" spans="1:8" ht="19.8" customHeight="1" x14ac:dyDescent="0.3">
      <c r="A65" s="149">
        <v>45988</v>
      </c>
      <c r="B65" s="138" t="s">
        <v>55</v>
      </c>
      <c r="C65" s="139" t="s">
        <v>192</v>
      </c>
      <c r="D65" s="138" t="s">
        <v>1</v>
      </c>
      <c r="E65" s="150">
        <v>1.2534722222222221</v>
      </c>
      <c r="F65" s="138" t="s">
        <v>57</v>
      </c>
      <c r="G65" s="140">
        <v>9</v>
      </c>
      <c r="H65" s="141">
        <v>401</v>
      </c>
    </row>
    <row r="66" spans="1:8" ht="19.8" customHeight="1" x14ac:dyDescent="0.3">
      <c r="A66" s="149">
        <v>45988</v>
      </c>
      <c r="B66" s="138" t="s">
        <v>55</v>
      </c>
      <c r="C66" s="139" t="s">
        <v>68</v>
      </c>
      <c r="D66" s="138" t="s">
        <v>1</v>
      </c>
      <c r="E66" s="150">
        <v>1.583333333333333</v>
      </c>
      <c r="F66" s="138" t="s">
        <v>57</v>
      </c>
      <c r="G66" s="140">
        <v>9</v>
      </c>
      <c r="H66" s="141">
        <v>401</v>
      </c>
    </row>
    <row r="67" spans="1:8" ht="19.8" customHeight="1" x14ac:dyDescent="0.3">
      <c r="A67" s="149">
        <v>45988</v>
      </c>
      <c r="B67" s="138" t="s">
        <v>55</v>
      </c>
      <c r="C67" s="139" t="s">
        <v>196</v>
      </c>
      <c r="D67" s="138" t="s">
        <v>1</v>
      </c>
      <c r="E67" s="150">
        <v>1.739583333333333</v>
      </c>
      <c r="F67" s="138" t="s">
        <v>57</v>
      </c>
      <c r="G67" s="140">
        <v>9</v>
      </c>
      <c r="H67" s="141">
        <v>401</v>
      </c>
    </row>
    <row r="68" spans="1:8" ht="19.8" customHeight="1" x14ac:dyDescent="0.3">
      <c r="A68" s="149">
        <v>45988</v>
      </c>
      <c r="B68" s="138" t="s">
        <v>26</v>
      </c>
      <c r="C68" s="139" t="s">
        <v>33</v>
      </c>
      <c r="D68" s="138" t="s">
        <v>1</v>
      </c>
      <c r="E68" s="150">
        <v>1.666666666666667</v>
      </c>
      <c r="F68" s="138" t="s">
        <v>28</v>
      </c>
      <c r="G68" s="140">
        <v>1</v>
      </c>
      <c r="H68" s="141">
        <v>401</v>
      </c>
    </row>
    <row r="69" spans="1:8" ht="19.8" customHeight="1" x14ac:dyDescent="0.3">
      <c r="A69" s="157">
        <v>45988</v>
      </c>
      <c r="B69" s="158" t="s">
        <v>83</v>
      </c>
      <c r="C69" s="159" t="s">
        <v>101</v>
      </c>
      <c r="D69" s="158" t="s">
        <v>1</v>
      </c>
      <c r="E69" s="160">
        <v>1.5173611111111109</v>
      </c>
      <c r="F69" s="158" t="s">
        <v>85</v>
      </c>
      <c r="G69" s="161">
        <v>9</v>
      </c>
      <c r="H69" s="184">
        <v>409</v>
      </c>
    </row>
    <row r="70" spans="1:8" ht="19.8" customHeight="1" x14ac:dyDescent="0.3">
      <c r="A70" s="149">
        <v>45989</v>
      </c>
      <c r="B70" s="138" t="s">
        <v>110</v>
      </c>
      <c r="C70" s="139" t="s">
        <v>485</v>
      </c>
      <c r="D70" s="138" t="s">
        <v>484</v>
      </c>
      <c r="E70" s="150">
        <v>1.1875</v>
      </c>
      <c r="F70" s="138" t="s">
        <v>486</v>
      </c>
      <c r="G70" s="140">
        <v>9</v>
      </c>
      <c r="H70" s="141">
        <v>446</v>
      </c>
    </row>
    <row r="71" spans="1:8" ht="19.8" customHeight="1" x14ac:dyDescent="0.3">
      <c r="A71" s="149">
        <v>45989</v>
      </c>
      <c r="B71" s="138" t="s">
        <v>110</v>
      </c>
      <c r="C71" s="139" t="s">
        <v>485</v>
      </c>
      <c r="D71" s="138" t="s">
        <v>484</v>
      </c>
      <c r="E71" s="150">
        <v>1.1875</v>
      </c>
      <c r="F71" s="138" t="s">
        <v>488</v>
      </c>
      <c r="G71" s="140">
        <v>9</v>
      </c>
      <c r="H71" s="141">
        <v>491</v>
      </c>
    </row>
    <row r="72" spans="1:8" ht="19.8" customHeight="1" x14ac:dyDescent="0.3">
      <c r="A72" s="149">
        <v>45989</v>
      </c>
      <c r="B72" s="138" t="s">
        <v>110</v>
      </c>
      <c r="C72" s="139" t="s">
        <v>485</v>
      </c>
      <c r="D72" s="138" t="s">
        <v>484</v>
      </c>
      <c r="E72" s="150">
        <v>1.1875</v>
      </c>
      <c r="F72" s="138" t="s">
        <v>43</v>
      </c>
      <c r="G72" s="140">
        <v>9</v>
      </c>
      <c r="H72" s="141">
        <v>569</v>
      </c>
    </row>
    <row r="73" spans="1:8" ht="19.8" customHeight="1" x14ac:dyDescent="0.3">
      <c r="A73" s="147">
        <v>45989</v>
      </c>
      <c r="B73" s="143" t="s">
        <v>55</v>
      </c>
      <c r="C73" s="144" t="s">
        <v>503</v>
      </c>
      <c r="D73" s="143" t="s">
        <v>484</v>
      </c>
      <c r="E73" s="148">
        <v>1.416666666666667</v>
      </c>
      <c r="F73" s="143" t="s">
        <v>57</v>
      </c>
      <c r="G73" s="145">
        <v>7</v>
      </c>
      <c r="H73" s="146">
        <v>646</v>
      </c>
    </row>
    <row r="74" spans="1:8" ht="19.8" customHeight="1" x14ac:dyDescent="0.3">
      <c r="A74" s="149">
        <v>45989</v>
      </c>
      <c r="B74" s="138" t="s">
        <v>121</v>
      </c>
      <c r="C74" s="139" t="s">
        <v>511</v>
      </c>
      <c r="D74" s="138" t="s">
        <v>484</v>
      </c>
      <c r="E74" s="150">
        <v>1.711805555555556</v>
      </c>
      <c r="F74" s="138" t="s">
        <v>123</v>
      </c>
      <c r="G74" s="140">
        <v>5</v>
      </c>
      <c r="H74" s="151" t="s">
        <v>509</v>
      </c>
    </row>
    <row r="75" spans="1:8" ht="19.8" customHeight="1" x14ac:dyDescent="0.3">
      <c r="A75" s="149">
        <v>45989</v>
      </c>
      <c r="B75" s="138" t="s">
        <v>121</v>
      </c>
      <c r="C75" s="139" t="s">
        <v>511</v>
      </c>
      <c r="D75" s="138" t="s">
        <v>484</v>
      </c>
      <c r="E75" s="150">
        <v>1.711805555555556</v>
      </c>
      <c r="F75" s="138" t="s">
        <v>125</v>
      </c>
      <c r="G75" s="140">
        <v>5</v>
      </c>
      <c r="H75" s="151" t="s">
        <v>510</v>
      </c>
    </row>
    <row r="76" spans="1:8" ht="19.8" customHeight="1" x14ac:dyDescent="0.3">
      <c r="A76" s="180"/>
      <c r="B76" s="181"/>
      <c r="C76" s="181"/>
      <c r="D76" s="181"/>
      <c r="E76" s="181"/>
      <c r="F76" s="182" t="s">
        <v>604</v>
      </c>
      <c r="G76" s="181"/>
      <c r="H76" s="183"/>
    </row>
    <row r="77" spans="1:8" ht="19.8" customHeight="1" x14ac:dyDescent="0.3">
      <c r="A77" s="149">
        <v>45989</v>
      </c>
      <c r="B77" s="138" t="s">
        <v>35</v>
      </c>
      <c r="C77" s="139" t="s">
        <v>50</v>
      </c>
      <c r="D77" s="138" t="s">
        <v>1</v>
      </c>
      <c r="E77" s="150">
        <v>1.1284722222222221</v>
      </c>
      <c r="F77" s="138" t="s">
        <v>37</v>
      </c>
      <c r="G77" s="140">
        <v>1</v>
      </c>
      <c r="H77" s="141">
        <v>359</v>
      </c>
    </row>
    <row r="78" spans="1:8" ht="19.8" customHeight="1" x14ac:dyDescent="0.3">
      <c r="A78" s="149">
        <v>45989</v>
      </c>
      <c r="B78" s="138" t="s">
        <v>35</v>
      </c>
      <c r="C78" s="139" t="s">
        <v>36</v>
      </c>
      <c r="D78" s="138" t="s">
        <v>1</v>
      </c>
      <c r="E78" s="150">
        <v>1.302083333333333</v>
      </c>
      <c r="F78" s="138" t="s">
        <v>37</v>
      </c>
      <c r="G78" s="140">
        <v>2</v>
      </c>
      <c r="H78" s="141">
        <v>389</v>
      </c>
    </row>
    <row r="79" spans="1:8" ht="19.8" customHeight="1" x14ac:dyDescent="0.3">
      <c r="A79" s="149">
        <v>45989</v>
      </c>
      <c r="B79" s="138" t="s">
        <v>55</v>
      </c>
      <c r="C79" s="139" t="s">
        <v>56</v>
      </c>
      <c r="D79" s="138" t="s">
        <v>1</v>
      </c>
      <c r="E79" s="150">
        <v>1.114583333333333</v>
      </c>
      <c r="F79" s="138" t="s">
        <v>57</v>
      </c>
      <c r="G79" s="140">
        <v>9</v>
      </c>
      <c r="H79" s="141">
        <v>401</v>
      </c>
    </row>
    <row r="80" spans="1:8" ht="19.8" customHeight="1" x14ac:dyDescent="0.3">
      <c r="A80" s="149">
        <v>45989</v>
      </c>
      <c r="B80" s="138" t="s">
        <v>55</v>
      </c>
      <c r="C80" s="139" t="s">
        <v>62</v>
      </c>
      <c r="D80" s="138" t="s">
        <v>1</v>
      </c>
      <c r="E80" s="150">
        <v>1.7361111111111109</v>
      </c>
      <c r="F80" s="138" t="s">
        <v>57</v>
      </c>
      <c r="G80" s="140">
        <v>9</v>
      </c>
      <c r="H80" s="141">
        <v>401</v>
      </c>
    </row>
    <row r="81" spans="1:8" ht="19.8" customHeight="1" x14ac:dyDescent="0.3">
      <c r="A81" s="149">
        <v>45989</v>
      </c>
      <c r="B81" s="138" t="s">
        <v>55</v>
      </c>
      <c r="C81" s="139" t="s">
        <v>65</v>
      </c>
      <c r="D81" s="138" t="s">
        <v>1</v>
      </c>
      <c r="E81" s="150">
        <v>1.319444444444444</v>
      </c>
      <c r="F81" s="138" t="s">
        <v>57</v>
      </c>
      <c r="G81" s="140">
        <v>9</v>
      </c>
      <c r="H81" s="141">
        <v>401</v>
      </c>
    </row>
    <row r="82" spans="1:8" ht="19.8" customHeight="1" x14ac:dyDescent="0.3">
      <c r="A82" s="149">
        <v>45989</v>
      </c>
      <c r="B82" s="138" t="s">
        <v>55</v>
      </c>
      <c r="C82" s="139" t="s">
        <v>68</v>
      </c>
      <c r="D82" s="138" t="s">
        <v>1</v>
      </c>
      <c r="E82" s="150">
        <v>1.458333333333333</v>
      </c>
      <c r="F82" s="138" t="s">
        <v>57</v>
      </c>
      <c r="G82" s="140">
        <v>9</v>
      </c>
      <c r="H82" s="141">
        <v>401</v>
      </c>
    </row>
    <row r="83" spans="1:8" ht="19.8" customHeight="1" x14ac:dyDescent="0.3">
      <c r="A83" s="149">
        <v>45989</v>
      </c>
      <c r="B83" s="138" t="s">
        <v>55</v>
      </c>
      <c r="C83" s="139" t="s">
        <v>196</v>
      </c>
      <c r="D83" s="138" t="s">
        <v>1</v>
      </c>
      <c r="E83" s="150">
        <v>1.614583333333333</v>
      </c>
      <c r="F83" s="138" t="s">
        <v>57</v>
      </c>
      <c r="G83" s="140">
        <v>9</v>
      </c>
      <c r="H83" s="141">
        <v>401</v>
      </c>
    </row>
    <row r="84" spans="1:8" ht="19.8" customHeight="1" x14ac:dyDescent="0.3">
      <c r="A84" s="149">
        <v>45989</v>
      </c>
      <c r="B84" s="138" t="s">
        <v>26</v>
      </c>
      <c r="C84" s="139" t="s">
        <v>33</v>
      </c>
      <c r="D84" s="138" t="s">
        <v>1</v>
      </c>
      <c r="E84" s="150">
        <v>1.666666666666667</v>
      </c>
      <c r="F84" s="138" t="s">
        <v>28</v>
      </c>
      <c r="G84" s="140">
        <v>2</v>
      </c>
      <c r="H84" s="141">
        <v>401</v>
      </c>
    </row>
    <row r="85" spans="1:8" ht="19.8" customHeight="1" x14ac:dyDescent="0.3">
      <c r="A85" s="149">
        <v>45989</v>
      </c>
      <c r="B85" s="138" t="s">
        <v>83</v>
      </c>
      <c r="C85" s="139" t="s">
        <v>102</v>
      </c>
      <c r="D85" s="138" t="s">
        <v>1</v>
      </c>
      <c r="E85" s="150">
        <v>1.854166666666667</v>
      </c>
      <c r="F85" s="138" t="s">
        <v>85</v>
      </c>
      <c r="G85" s="140">
        <v>2</v>
      </c>
      <c r="H85" s="141">
        <v>409</v>
      </c>
    </row>
    <row r="86" spans="1:8" ht="19.8" customHeight="1" x14ac:dyDescent="0.3">
      <c r="A86" s="157">
        <v>45989</v>
      </c>
      <c r="B86" s="158" t="s">
        <v>35</v>
      </c>
      <c r="C86" s="159" t="s">
        <v>45</v>
      </c>
      <c r="D86" s="158" t="s">
        <v>1</v>
      </c>
      <c r="E86" s="160">
        <v>1.788194444444444</v>
      </c>
      <c r="F86" s="158" t="s">
        <v>37</v>
      </c>
      <c r="G86" s="161">
        <v>8</v>
      </c>
      <c r="H86" s="184">
        <v>419</v>
      </c>
    </row>
    <row r="87" spans="1:8" ht="19.8" customHeight="1" x14ac:dyDescent="0.3">
      <c r="A87" s="149">
        <v>45990</v>
      </c>
      <c r="B87" s="138" t="s">
        <v>35</v>
      </c>
      <c r="C87" s="139" t="s">
        <v>494</v>
      </c>
      <c r="D87" s="138" t="s">
        <v>484</v>
      </c>
      <c r="E87" s="150">
        <v>1.256944444444444</v>
      </c>
      <c r="F87" s="138" t="s">
        <v>495</v>
      </c>
      <c r="G87" s="140">
        <v>1</v>
      </c>
      <c r="H87" s="141">
        <v>429</v>
      </c>
    </row>
    <row r="88" spans="1:8" ht="19.8" customHeight="1" x14ac:dyDescent="0.3">
      <c r="A88" s="149">
        <v>45990</v>
      </c>
      <c r="B88" s="138" t="s">
        <v>35</v>
      </c>
      <c r="C88" s="139" t="s">
        <v>494</v>
      </c>
      <c r="D88" s="138" t="s">
        <v>484</v>
      </c>
      <c r="E88" s="150">
        <v>1.256944444444444</v>
      </c>
      <c r="F88" s="138" t="s">
        <v>486</v>
      </c>
      <c r="G88" s="140">
        <v>1</v>
      </c>
      <c r="H88" s="141">
        <v>488</v>
      </c>
    </row>
    <row r="89" spans="1:8" ht="19.8" customHeight="1" x14ac:dyDescent="0.3">
      <c r="A89" s="149">
        <v>45990</v>
      </c>
      <c r="B89" s="138" t="s">
        <v>35</v>
      </c>
      <c r="C89" s="139" t="s">
        <v>494</v>
      </c>
      <c r="D89" s="138" t="s">
        <v>484</v>
      </c>
      <c r="E89" s="150">
        <v>1.256944444444444</v>
      </c>
      <c r="F89" s="138" t="s">
        <v>488</v>
      </c>
      <c r="G89" s="140">
        <v>1</v>
      </c>
      <c r="H89" s="141">
        <v>512</v>
      </c>
    </row>
    <row r="90" spans="1:8" ht="19.8" customHeight="1" x14ac:dyDescent="0.3">
      <c r="A90" s="149">
        <v>45990</v>
      </c>
      <c r="B90" s="138" t="s">
        <v>110</v>
      </c>
      <c r="C90" s="139" t="s">
        <v>491</v>
      </c>
      <c r="D90" s="138" t="s">
        <v>484</v>
      </c>
      <c r="E90" s="150">
        <v>1.5277777777777779</v>
      </c>
      <c r="F90" s="138" t="s">
        <v>486</v>
      </c>
      <c r="G90" s="140">
        <v>9</v>
      </c>
      <c r="H90" s="141">
        <v>575</v>
      </c>
    </row>
    <row r="91" spans="1:8" ht="19.8" customHeight="1" x14ac:dyDescent="0.3">
      <c r="A91" s="149">
        <v>45990</v>
      </c>
      <c r="B91" s="138" t="s">
        <v>110</v>
      </c>
      <c r="C91" s="139" t="s">
        <v>491</v>
      </c>
      <c r="D91" s="138" t="s">
        <v>484</v>
      </c>
      <c r="E91" s="150">
        <v>1.5277777777777779</v>
      </c>
      <c r="F91" s="138" t="s">
        <v>488</v>
      </c>
      <c r="G91" s="140">
        <v>9</v>
      </c>
      <c r="H91" s="141">
        <v>641</v>
      </c>
    </row>
    <row r="92" spans="1:8" ht="19.8" customHeight="1" x14ac:dyDescent="0.3">
      <c r="A92" s="149">
        <v>45990</v>
      </c>
      <c r="B92" s="138" t="s">
        <v>35</v>
      </c>
      <c r="C92" s="139" t="s">
        <v>494</v>
      </c>
      <c r="D92" s="138" t="s">
        <v>484</v>
      </c>
      <c r="E92" s="150">
        <v>1.256944444444444</v>
      </c>
      <c r="F92" s="138" t="s">
        <v>499</v>
      </c>
      <c r="G92" s="140">
        <v>1</v>
      </c>
      <c r="H92" s="141">
        <v>679</v>
      </c>
    </row>
    <row r="93" spans="1:8" ht="19.8" customHeight="1" x14ac:dyDescent="0.3">
      <c r="A93" s="149">
        <v>45990</v>
      </c>
      <c r="B93" s="138" t="s">
        <v>110</v>
      </c>
      <c r="C93" s="139" t="s">
        <v>491</v>
      </c>
      <c r="D93" s="138" t="s">
        <v>484</v>
      </c>
      <c r="E93" s="150">
        <v>1.5277777777777779</v>
      </c>
      <c r="F93" s="138" t="s">
        <v>43</v>
      </c>
      <c r="G93" s="140">
        <v>9</v>
      </c>
      <c r="H93" s="141">
        <v>698</v>
      </c>
    </row>
    <row r="94" spans="1:8" ht="19.8" customHeight="1" x14ac:dyDescent="0.3">
      <c r="A94" s="147">
        <v>45990</v>
      </c>
      <c r="B94" s="143" t="s">
        <v>55</v>
      </c>
      <c r="C94" s="144" t="s">
        <v>503</v>
      </c>
      <c r="D94" s="143" t="s">
        <v>484</v>
      </c>
      <c r="E94" s="148">
        <v>1.791666666666667</v>
      </c>
      <c r="F94" s="143" t="s">
        <v>57</v>
      </c>
      <c r="G94" s="145">
        <v>7</v>
      </c>
      <c r="H94" s="146">
        <v>781</v>
      </c>
    </row>
    <row r="95" spans="1:8" ht="19.8" customHeight="1" x14ac:dyDescent="0.3">
      <c r="A95" s="147">
        <v>45990</v>
      </c>
      <c r="B95" s="143" t="s">
        <v>55</v>
      </c>
      <c r="C95" s="144" t="s">
        <v>516</v>
      </c>
      <c r="D95" s="143" t="s">
        <v>484</v>
      </c>
      <c r="E95" s="148">
        <v>1.458333333333333</v>
      </c>
      <c r="F95" s="143" t="s">
        <v>57</v>
      </c>
      <c r="G95" s="145">
        <v>4</v>
      </c>
      <c r="H95" s="146">
        <v>781</v>
      </c>
    </row>
    <row r="96" spans="1:8" ht="19.8" customHeight="1" x14ac:dyDescent="0.3">
      <c r="A96" s="149">
        <v>45990</v>
      </c>
      <c r="B96" s="138" t="s">
        <v>121</v>
      </c>
      <c r="C96" s="139" t="s">
        <v>508</v>
      </c>
      <c r="D96" s="138" t="s">
        <v>484</v>
      </c>
      <c r="E96" s="150">
        <v>1.3402777777777779</v>
      </c>
      <c r="F96" s="138" t="s">
        <v>123</v>
      </c>
      <c r="G96" s="140">
        <v>9</v>
      </c>
      <c r="H96" s="151" t="s">
        <v>509</v>
      </c>
    </row>
    <row r="97" spans="1:8" ht="19.8" customHeight="1" x14ac:dyDescent="0.3">
      <c r="A97" s="149">
        <v>45990</v>
      </c>
      <c r="B97" s="138" t="s">
        <v>121</v>
      </c>
      <c r="C97" s="139" t="s">
        <v>511</v>
      </c>
      <c r="D97" s="138" t="s">
        <v>484</v>
      </c>
      <c r="E97" s="150">
        <v>1.711805555555556</v>
      </c>
      <c r="F97" s="138" t="s">
        <v>123</v>
      </c>
      <c r="G97" s="140">
        <v>9</v>
      </c>
      <c r="H97" s="151" t="s">
        <v>509</v>
      </c>
    </row>
    <row r="98" spans="1:8" ht="19.8" customHeight="1" x14ac:dyDescent="0.3">
      <c r="A98" s="149">
        <v>45990</v>
      </c>
      <c r="B98" s="138" t="s">
        <v>121</v>
      </c>
      <c r="C98" s="139" t="s">
        <v>508</v>
      </c>
      <c r="D98" s="138" t="s">
        <v>484</v>
      </c>
      <c r="E98" s="150">
        <v>1.3402777777777779</v>
      </c>
      <c r="F98" s="138" t="s">
        <v>125</v>
      </c>
      <c r="G98" s="140">
        <v>9</v>
      </c>
      <c r="H98" s="151" t="s">
        <v>510</v>
      </c>
    </row>
    <row r="99" spans="1:8" ht="19.8" customHeight="1" x14ac:dyDescent="0.3">
      <c r="A99" s="149">
        <v>45990</v>
      </c>
      <c r="B99" s="138" t="s">
        <v>121</v>
      </c>
      <c r="C99" s="139" t="s">
        <v>511</v>
      </c>
      <c r="D99" s="138" t="s">
        <v>484</v>
      </c>
      <c r="E99" s="150">
        <v>1.711805555555556</v>
      </c>
      <c r="F99" s="138" t="s">
        <v>125</v>
      </c>
      <c r="G99" s="140">
        <v>9</v>
      </c>
      <c r="H99" s="151" t="s">
        <v>510</v>
      </c>
    </row>
    <row r="100" spans="1:8" ht="19.8" customHeight="1" x14ac:dyDescent="0.3">
      <c r="A100" s="180"/>
      <c r="B100" s="181"/>
      <c r="C100" s="181"/>
      <c r="D100" s="181"/>
      <c r="E100" s="181"/>
      <c r="F100" s="182" t="s">
        <v>604</v>
      </c>
      <c r="G100" s="181"/>
      <c r="H100" s="183"/>
    </row>
    <row r="101" spans="1:8" ht="19.8" customHeight="1" x14ac:dyDescent="0.3">
      <c r="A101" s="149">
        <v>45990</v>
      </c>
      <c r="B101" s="138" t="s">
        <v>35</v>
      </c>
      <c r="C101" s="139" t="s">
        <v>50</v>
      </c>
      <c r="D101" s="138" t="s">
        <v>1</v>
      </c>
      <c r="E101" s="150">
        <v>1.1284722222222221</v>
      </c>
      <c r="F101" s="138" t="s">
        <v>37</v>
      </c>
      <c r="G101" s="140">
        <v>9</v>
      </c>
      <c r="H101" s="141">
        <v>389</v>
      </c>
    </row>
    <row r="102" spans="1:8" ht="19.8" customHeight="1" x14ac:dyDescent="0.3">
      <c r="A102" s="149">
        <v>45990</v>
      </c>
      <c r="B102" s="138" t="s">
        <v>55</v>
      </c>
      <c r="C102" s="139" t="s">
        <v>192</v>
      </c>
      <c r="D102" s="138" t="s">
        <v>1</v>
      </c>
      <c r="E102" s="150">
        <v>1.2361111111111109</v>
      </c>
      <c r="F102" s="138" t="s">
        <v>57</v>
      </c>
      <c r="G102" s="140">
        <v>8</v>
      </c>
      <c r="H102" s="141">
        <v>401</v>
      </c>
    </row>
    <row r="103" spans="1:8" ht="19.8" customHeight="1" x14ac:dyDescent="0.3">
      <c r="A103" s="149">
        <v>45990</v>
      </c>
      <c r="B103" s="138" t="s">
        <v>55</v>
      </c>
      <c r="C103" s="139" t="s">
        <v>65</v>
      </c>
      <c r="D103" s="138" t="s">
        <v>1</v>
      </c>
      <c r="E103" s="150">
        <v>1.333333333333333</v>
      </c>
      <c r="F103" s="138" t="s">
        <v>57</v>
      </c>
      <c r="G103" s="140">
        <v>9</v>
      </c>
      <c r="H103" s="141">
        <v>401</v>
      </c>
    </row>
    <row r="104" spans="1:8" ht="19.8" customHeight="1" x14ac:dyDescent="0.3">
      <c r="A104" s="149">
        <v>45990</v>
      </c>
      <c r="B104" s="138" t="s">
        <v>26</v>
      </c>
      <c r="C104" s="139" t="s">
        <v>27</v>
      </c>
      <c r="D104" s="138" t="s">
        <v>1</v>
      </c>
      <c r="E104" s="150">
        <v>1.21875</v>
      </c>
      <c r="F104" s="138" t="s">
        <v>28</v>
      </c>
      <c r="G104" s="140">
        <v>9</v>
      </c>
      <c r="H104" s="141">
        <v>401</v>
      </c>
    </row>
    <row r="105" spans="1:8" ht="19.8" customHeight="1" x14ac:dyDescent="0.3">
      <c r="A105" s="149">
        <v>45990</v>
      </c>
      <c r="B105" s="138" t="s">
        <v>35</v>
      </c>
      <c r="C105" s="139" t="s">
        <v>36</v>
      </c>
      <c r="D105" s="138" t="s">
        <v>1</v>
      </c>
      <c r="E105" s="150">
        <v>1.302083333333333</v>
      </c>
      <c r="F105" s="138" t="s">
        <v>37</v>
      </c>
      <c r="G105" s="140">
        <v>5</v>
      </c>
      <c r="H105" s="141">
        <v>419</v>
      </c>
    </row>
    <row r="106" spans="1:8" ht="19.8" customHeight="1" x14ac:dyDescent="0.3">
      <c r="A106" s="149">
        <v>45990</v>
      </c>
      <c r="B106" s="138" t="s">
        <v>110</v>
      </c>
      <c r="C106" s="139" t="s">
        <v>111</v>
      </c>
      <c r="D106" s="138" t="s">
        <v>1</v>
      </c>
      <c r="E106" s="150">
        <v>1.2152777777777779</v>
      </c>
      <c r="F106" s="138" t="s">
        <v>112</v>
      </c>
      <c r="G106" s="140">
        <v>9</v>
      </c>
      <c r="H106" s="141">
        <v>430</v>
      </c>
    </row>
    <row r="107" spans="1:8" ht="19.8" customHeight="1" x14ac:dyDescent="0.3">
      <c r="A107" s="149">
        <v>45990</v>
      </c>
      <c r="B107" s="138" t="s">
        <v>55</v>
      </c>
      <c r="C107" s="139" t="s">
        <v>68</v>
      </c>
      <c r="D107" s="138" t="s">
        <v>1</v>
      </c>
      <c r="E107" s="150">
        <v>1.680555555555556</v>
      </c>
      <c r="F107" s="138" t="s">
        <v>57</v>
      </c>
      <c r="G107" s="140">
        <v>9</v>
      </c>
      <c r="H107" s="141">
        <v>436</v>
      </c>
    </row>
    <row r="108" spans="1:8" ht="19.8" customHeight="1" x14ac:dyDescent="0.3">
      <c r="A108" s="149">
        <v>45990</v>
      </c>
      <c r="B108" s="138" t="s">
        <v>110</v>
      </c>
      <c r="C108" s="139" t="s">
        <v>173</v>
      </c>
      <c r="D108" s="138" t="s">
        <v>1</v>
      </c>
      <c r="E108" s="150">
        <v>1.3298611111111109</v>
      </c>
      <c r="F108" s="138" t="s">
        <v>112</v>
      </c>
      <c r="G108" s="140">
        <v>9</v>
      </c>
      <c r="H108" s="141">
        <v>437</v>
      </c>
    </row>
    <row r="109" spans="1:8" ht="19.8" customHeight="1" x14ac:dyDescent="0.3">
      <c r="A109" s="149">
        <v>45990</v>
      </c>
      <c r="B109" s="138" t="s">
        <v>83</v>
      </c>
      <c r="C109" s="139" t="s">
        <v>84</v>
      </c>
      <c r="D109" s="138" t="s">
        <v>1</v>
      </c>
      <c r="E109" s="150">
        <v>1.9027777777777779</v>
      </c>
      <c r="F109" s="138" t="s">
        <v>85</v>
      </c>
      <c r="G109" s="140">
        <v>9</v>
      </c>
      <c r="H109" s="141">
        <v>449</v>
      </c>
    </row>
    <row r="110" spans="1:8" ht="19.8" customHeight="1" x14ac:dyDescent="0.3">
      <c r="A110" s="157">
        <v>45990</v>
      </c>
      <c r="B110" s="158" t="s">
        <v>83</v>
      </c>
      <c r="C110" s="159" t="s">
        <v>100</v>
      </c>
      <c r="D110" s="158" t="s">
        <v>1</v>
      </c>
      <c r="E110" s="160">
        <v>1.6597222222222221</v>
      </c>
      <c r="F110" s="158" t="s">
        <v>85</v>
      </c>
      <c r="G110" s="161">
        <v>2</v>
      </c>
      <c r="H110" s="184">
        <v>449</v>
      </c>
    </row>
    <row r="111" spans="1:8" ht="19.8" customHeight="1" x14ac:dyDescent="0.3">
      <c r="A111" s="149">
        <v>45991</v>
      </c>
      <c r="B111" s="138" t="s">
        <v>110</v>
      </c>
      <c r="C111" s="139" t="s">
        <v>491</v>
      </c>
      <c r="D111" s="138" t="s">
        <v>484</v>
      </c>
      <c r="E111" s="150">
        <v>1.5277777777777779</v>
      </c>
      <c r="F111" s="138" t="s">
        <v>486</v>
      </c>
      <c r="G111" s="140">
        <v>9</v>
      </c>
      <c r="H111" s="141">
        <v>575</v>
      </c>
    </row>
    <row r="112" spans="1:8" ht="19.8" customHeight="1" x14ac:dyDescent="0.3">
      <c r="A112" s="149">
        <v>45991</v>
      </c>
      <c r="B112" s="138" t="s">
        <v>110</v>
      </c>
      <c r="C112" s="139" t="s">
        <v>491</v>
      </c>
      <c r="D112" s="138" t="s">
        <v>484</v>
      </c>
      <c r="E112" s="150">
        <v>1.5277777777777779</v>
      </c>
      <c r="F112" s="138" t="s">
        <v>488</v>
      </c>
      <c r="G112" s="140">
        <v>9</v>
      </c>
      <c r="H112" s="141">
        <v>641</v>
      </c>
    </row>
    <row r="113" spans="1:8" ht="19.8" customHeight="1" x14ac:dyDescent="0.3">
      <c r="A113" s="147">
        <v>45991</v>
      </c>
      <c r="B113" s="143" t="s">
        <v>55</v>
      </c>
      <c r="C113" s="144" t="s">
        <v>503</v>
      </c>
      <c r="D113" s="143" t="s">
        <v>484</v>
      </c>
      <c r="E113" s="148">
        <v>1.6875</v>
      </c>
      <c r="F113" s="143" t="s">
        <v>57</v>
      </c>
      <c r="G113" s="145">
        <v>3</v>
      </c>
      <c r="H113" s="146">
        <v>646</v>
      </c>
    </row>
    <row r="114" spans="1:8" ht="19.8" customHeight="1" x14ac:dyDescent="0.3">
      <c r="A114" s="149">
        <v>45991</v>
      </c>
      <c r="B114" s="138" t="s">
        <v>110</v>
      </c>
      <c r="C114" s="139" t="s">
        <v>491</v>
      </c>
      <c r="D114" s="138" t="s">
        <v>484</v>
      </c>
      <c r="E114" s="150">
        <v>1.5277777777777779</v>
      </c>
      <c r="F114" s="138" t="s">
        <v>43</v>
      </c>
      <c r="G114" s="140">
        <v>9</v>
      </c>
      <c r="H114" s="141">
        <v>698</v>
      </c>
    </row>
    <row r="115" spans="1:8" ht="19.8" customHeight="1" x14ac:dyDescent="0.3">
      <c r="A115" s="147">
        <v>45991</v>
      </c>
      <c r="B115" s="143" t="s">
        <v>55</v>
      </c>
      <c r="C115" s="144" t="s">
        <v>516</v>
      </c>
      <c r="D115" s="143" t="s">
        <v>484</v>
      </c>
      <c r="E115" s="148">
        <v>1.489583333333333</v>
      </c>
      <c r="F115" s="143" t="s">
        <v>57</v>
      </c>
      <c r="G115" s="145">
        <v>2</v>
      </c>
      <c r="H115" s="146">
        <v>781</v>
      </c>
    </row>
    <row r="116" spans="1:8" ht="19.8" customHeight="1" x14ac:dyDescent="0.3">
      <c r="A116" s="149">
        <v>45991</v>
      </c>
      <c r="B116" s="138" t="s">
        <v>121</v>
      </c>
      <c r="C116" s="139" t="s">
        <v>511</v>
      </c>
      <c r="D116" s="138" t="s">
        <v>484</v>
      </c>
      <c r="E116" s="150">
        <v>1.711805555555556</v>
      </c>
      <c r="F116" s="138" t="s">
        <v>123</v>
      </c>
      <c r="G116" s="140">
        <v>4</v>
      </c>
      <c r="H116" s="151" t="s">
        <v>563</v>
      </c>
    </row>
    <row r="117" spans="1:8" ht="19.8" customHeight="1" x14ac:dyDescent="0.3">
      <c r="A117" s="149">
        <v>45991</v>
      </c>
      <c r="B117" s="138" t="s">
        <v>121</v>
      </c>
      <c r="C117" s="139" t="s">
        <v>511</v>
      </c>
      <c r="D117" s="138" t="s">
        <v>484</v>
      </c>
      <c r="E117" s="150">
        <v>1.711805555555556</v>
      </c>
      <c r="F117" s="138" t="s">
        <v>125</v>
      </c>
      <c r="G117" s="140">
        <v>4</v>
      </c>
      <c r="H117" s="151" t="s">
        <v>564</v>
      </c>
    </row>
    <row r="118" spans="1:8" ht="19.8" customHeight="1" x14ac:dyDescent="0.3">
      <c r="A118" s="180"/>
      <c r="B118" s="181"/>
      <c r="C118" s="181"/>
      <c r="D118" s="181"/>
      <c r="E118" s="181"/>
      <c r="F118" s="182" t="s">
        <v>604</v>
      </c>
      <c r="G118" s="181"/>
      <c r="H118" s="183"/>
    </row>
    <row r="119" spans="1:8" ht="19.8" customHeight="1" x14ac:dyDescent="0.3">
      <c r="A119" s="149">
        <v>45991</v>
      </c>
      <c r="B119" s="138" t="s">
        <v>116</v>
      </c>
      <c r="C119" s="139" t="s">
        <v>117</v>
      </c>
      <c r="D119" s="138" t="s">
        <v>1</v>
      </c>
      <c r="E119" s="150">
        <v>1.274305555555556</v>
      </c>
      <c r="F119" s="138" t="s">
        <v>28</v>
      </c>
      <c r="G119" s="140">
        <v>9</v>
      </c>
      <c r="H119" s="141">
        <v>400</v>
      </c>
    </row>
    <row r="120" spans="1:8" ht="19.8" customHeight="1" x14ac:dyDescent="0.3">
      <c r="A120" s="149">
        <v>45991</v>
      </c>
      <c r="B120" s="138" t="s">
        <v>55</v>
      </c>
      <c r="C120" s="139" t="s">
        <v>65</v>
      </c>
      <c r="D120" s="138" t="s">
        <v>1</v>
      </c>
      <c r="E120" s="150">
        <v>1.319444444444444</v>
      </c>
      <c r="F120" s="138" t="s">
        <v>57</v>
      </c>
      <c r="G120" s="140">
        <v>9</v>
      </c>
      <c r="H120" s="141">
        <v>401</v>
      </c>
    </row>
    <row r="121" spans="1:8" ht="19.8" customHeight="1" x14ac:dyDescent="0.3">
      <c r="A121" s="149">
        <v>45991</v>
      </c>
      <c r="B121" s="138" t="s">
        <v>26</v>
      </c>
      <c r="C121" s="139" t="s">
        <v>27</v>
      </c>
      <c r="D121" s="138" t="s">
        <v>1</v>
      </c>
      <c r="E121" s="150">
        <v>1.381944444444444</v>
      </c>
      <c r="F121" s="138" t="s">
        <v>28</v>
      </c>
      <c r="G121" s="140">
        <v>7</v>
      </c>
      <c r="H121" s="141">
        <v>401</v>
      </c>
    </row>
    <row r="122" spans="1:8" ht="19.8" customHeight="1" x14ac:dyDescent="0.3">
      <c r="A122" s="149">
        <v>45991</v>
      </c>
      <c r="B122" s="138" t="s">
        <v>83</v>
      </c>
      <c r="C122" s="139" t="s">
        <v>104</v>
      </c>
      <c r="D122" s="138" t="s">
        <v>1</v>
      </c>
      <c r="E122" s="150">
        <v>1.395833333333333</v>
      </c>
      <c r="F122" s="138" t="s">
        <v>85</v>
      </c>
      <c r="G122" s="140">
        <v>4</v>
      </c>
      <c r="H122" s="141">
        <v>409</v>
      </c>
    </row>
    <row r="123" spans="1:8" ht="19.8" customHeight="1" x14ac:dyDescent="0.3">
      <c r="A123" s="149">
        <v>45991</v>
      </c>
      <c r="B123" s="138" t="s">
        <v>83</v>
      </c>
      <c r="C123" s="139" t="s">
        <v>103</v>
      </c>
      <c r="D123" s="138" t="s">
        <v>1</v>
      </c>
      <c r="E123" s="150">
        <v>1.302083333333333</v>
      </c>
      <c r="F123" s="138" t="s">
        <v>85</v>
      </c>
      <c r="G123" s="140">
        <v>4</v>
      </c>
      <c r="H123" s="141">
        <v>409</v>
      </c>
    </row>
    <row r="124" spans="1:8" ht="19.8" customHeight="1" x14ac:dyDescent="0.3">
      <c r="A124" s="149">
        <v>45991</v>
      </c>
      <c r="B124" s="138" t="s">
        <v>110</v>
      </c>
      <c r="C124" s="139" t="s">
        <v>173</v>
      </c>
      <c r="D124" s="138" t="s">
        <v>1</v>
      </c>
      <c r="E124" s="150">
        <v>1.3888888888888891</v>
      </c>
      <c r="F124" s="138" t="s">
        <v>112</v>
      </c>
      <c r="G124" s="140">
        <v>9</v>
      </c>
      <c r="H124" s="141">
        <v>411</v>
      </c>
    </row>
    <row r="125" spans="1:8" ht="19.8" customHeight="1" x14ac:dyDescent="0.3">
      <c r="A125" s="149">
        <v>45991</v>
      </c>
      <c r="B125" s="138" t="s">
        <v>35</v>
      </c>
      <c r="C125" s="139" t="s">
        <v>50</v>
      </c>
      <c r="D125" s="138" t="s">
        <v>1</v>
      </c>
      <c r="E125" s="150">
        <v>1.1284722222222221</v>
      </c>
      <c r="F125" s="138" t="s">
        <v>37</v>
      </c>
      <c r="G125" s="140">
        <v>6</v>
      </c>
      <c r="H125" s="141">
        <v>419</v>
      </c>
    </row>
    <row r="126" spans="1:8" ht="19.8" customHeight="1" x14ac:dyDescent="0.3">
      <c r="A126" s="149">
        <v>45991</v>
      </c>
      <c r="B126" s="138" t="s">
        <v>35</v>
      </c>
      <c r="C126" s="139" t="s">
        <v>45</v>
      </c>
      <c r="D126" s="138" t="s">
        <v>1</v>
      </c>
      <c r="E126" s="150">
        <v>1.788194444444444</v>
      </c>
      <c r="F126" s="138" t="s">
        <v>37</v>
      </c>
      <c r="G126" s="140">
        <v>5</v>
      </c>
      <c r="H126" s="141">
        <v>419</v>
      </c>
    </row>
    <row r="127" spans="1:8" ht="19.8" customHeight="1" x14ac:dyDescent="0.3">
      <c r="A127" s="149">
        <v>45991</v>
      </c>
      <c r="B127" s="138" t="s">
        <v>55</v>
      </c>
      <c r="C127" s="139" t="s">
        <v>56</v>
      </c>
      <c r="D127" s="138" t="s">
        <v>1</v>
      </c>
      <c r="E127" s="150">
        <v>1.083333333333333</v>
      </c>
      <c r="F127" s="138" t="s">
        <v>57</v>
      </c>
      <c r="G127" s="140">
        <v>9</v>
      </c>
      <c r="H127" s="141">
        <v>436</v>
      </c>
    </row>
    <row r="128" spans="1:8" ht="19.8" customHeight="1" x14ac:dyDescent="0.3">
      <c r="A128" s="157">
        <v>45991</v>
      </c>
      <c r="B128" s="158" t="s">
        <v>55</v>
      </c>
      <c r="C128" s="159" t="s">
        <v>189</v>
      </c>
      <c r="D128" s="158" t="s">
        <v>1</v>
      </c>
      <c r="E128" s="160">
        <v>1.333333333333333</v>
      </c>
      <c r="F128" s="158" t="s">
        <v>57</v>
      </c>
      <c r="G128" s="161">
        <v>9</v>
      </c>
      <c r="H128" s="184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09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21875" bestFit="1" customWidth="1"/>
    <col min="5" max="5" width="20.1093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2.109375" bestFit="1" customWidth="1"/>
  </cols>
  <sheetData>
    <row r="1" spans="1:92" ht="28.8" customHeight="1" x14ac:dyDescent="0.3">
      <c r="A1" s="195" t="s">
        <v>0</v>
      </c>
      <c r="B1" s="194"/>
      <c r="C1" s="194"/>
      <c r="D1" s="194"/>
      <c r="E1" s="194"/>
      <c r="F1" s="1" t="s">
        <v>605</v>
      </c>
      <c r="G1" s="2" t="s">
        <v>2</v>
      </c>
      <c r="H1" s="193">
        <v>45986</v>
      </c>
      <c r="I1" s="194"/>
      <c r="J1" s="194"/>
      <c r="K1" s="194"/>
      <c r="L1" s="194"/>
      <c r="M1" s="1" t="s">
        <v>3</v>
      </c>
      <c r="N1" s="205">
        <v>45991</v>
      </c>
      <c r="O1" s="194"/>
      <c r="P1" s="194"/>
      <c r="Q1" s="194"/>
      <c r="R1" s="194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7" t="s">
        <v>4</v>
      </c>
      <c r="B2" s="194"/>
      <c r="C2" s="194"/>
      <c r="D2" s="194"/>
      <c r="E2" s="194"/>
      <c r="F2" s="194"/>
      <c r="G2" s="203">
        <v>45982.183631922613</v>
      </c>
      <c r="H2" s="194"/>
      <c r="I2" s="194"/>
      <c r="J2" s="194"/>
      <c r="K2" s="206">
        <v>45982.183631922868</v>
      </c>
      <c r="L2" s="194"/>
      <c r="M2" s="194"/>
      <c r="N2" s="194"/>
      <c r="O2" s="194"/>
      <c r="P2" s="194"/>
      <c r="Q2" s="194"/>
      <c r="R2" s="194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98" t="s">
        <v>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04" t="s">
        <v>6</v>
      </c>
      <c r="B4" s="191"/>
      <c r="C4" s="191"/>
      <c r="D4" s="191"/>
      <c r="E4" s="191"/>
      <c r="F4" s="192"/>
      <c r="G4" s="4">
        <v>45986</v>
      </c>
      <c r="H4" s="196" t="s">
        <v>7</v>
      </c>
      <c r="I4" s="191"/>
      <c r="J4" s="191"/>
      <c r="K4" s="191"/>
      <c r="L4" s="191"/>
      <c r="M4" s="191"/>
      <c r="N4" s="191"/>
      <c r="O4" s="191"/>
      <c r="P4" s="191"/>
      <c r="Q4" s="191"/>
      <c r="R4" s="19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8" t="s">
        <v>55</v>
      </c>
      <c r="B6" s="88" t="s">
        <v>606</v>
      </c>
      <c r="C6" s="89">
        <v>0.32291666666666669</v>
      </c>
      <c r="D6" s="88" t="s">
        <v>57</v>
      </c>
      <c r="E6" s="88" t="s">
        <v>170</v>
      </c>
      <c r="F6" s="88" t="s">
        <v>554</v>
      </c>
      <c r="G6" s="207"/>
      <c r="H6" s="90" t="s">
        <v>607</v>
      </c>
      <c r="I6" s="176">
        <v>0.93300000000000005</v>
      </c>
      <c r="J6" s="92">
        <v>167</v>
      </c>
      <c r="K6" s="93">
        <v>45971</v>
      </c>
      <c r="L6" s="92">
        <v>0</v>
      </c>
      <c r="M6" s="92">
        <v>0</v>
      </c>
      <c r="N6" s="92">
        <v>0</v>
      </c>
      <c r="O6" s="94" t="s">
        <v>591</v>
      </c>
      <c r="P6" s="95">
        <v>0.32291666666666669</v>
      </c>
      <c r="Q6" s="92">
        <v>179</v>
      </c>
      <c r="R6" s="96" t="s">
        <v>608</v>
      </c>
    </row>
    <row r="7" spans="1:92" ht="15" customHeight="1" x14ac:dyDescent="0.3">
      <c r="A7" s="30" t="s">
        <v>55</v>
      </c>
      <c r="B7" s="30" t="s">
        <v>609</v>
      </c>
      <c r="C7" s="31">
        <v>0.95138888888888884</v>
      </c>
      <c r="D7" s="30" t="s">
        <v>57</v>
      </c>
      <c r="E7" s="30" t="s">
        <v>105</v>
      </c>
      <c r="F7" s="30" t="s">
        <v>538</v>
      </c>
      <c r="G7" s="200"/>
      <c r="H7" s="32" t="s">
        <v>610</v>
      </c>
      <c r="I7" s="170">
        <v>0.97770000000000001</v>
      </c>
      <c r="J7" s="34">
        <v>175</v>
      </c>
      <c r="K7" s="35">
        <v>45973</v>
      </c>
      <c r="L7" s="34">
        <v>0</v>
      </c>
      <c r="M7" s="34">
        <v>0</v>
      </c>
      <c r="N7" s="34">
        <v>0</v>
      </c>
      <c r="O7" s="36" t="s">
        <v>539</v>
      </c>
      <c r="P7" s="37">
        <v>0.95138888888888884</v>
      </c>
      <c r="Q7" s="34">
        <v>179</v>
      </c>
      <c r="R7" s="38" t="s">
        <v>611</v>
      </c>
    </row>
    <row r="8" spans="1:92" ht="15" customHeight="1" x14ac:dyDescent="0.3">
      <c r="A8" s="17" t="s">
        <v>148</v>
      </c>
      <c r="B8" s="17" t="s">
        <v>612</v>
      </c>
      <c r="C8" s="18">
        <v>0.32291666666666669</v>
      </c>
      <c r="D8" s="17" t="s">
        <v>150</v>
      </c>
      <c r="E8" s="17" t="s">
        <v>249</v>
      </c>
      <c r="F8" s="17" t="s">
        <v>613</v>
      </c>
      <c r="G8" s="200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8" x14ac:dyDescent="0.3">
      <c r="A9" s="208" t="s">
        <v>512</v>
      </c>
      <c r="B9" s="209"/>
      <c r="C9" s="209"/>
      <c r="D9" s="209"/>
      <c r="E9" s="209"/>
      <c r="F9" s="210"/>
      <c r="G9" s="200"/>
      <c r="H9" s="171"/>
      <c r="I9" s="171"/>
      <c r="J9" s="171"/>
      <c r="K9" s="171"/>
      <c r="L9" s="171"/>
      <c r="M9" s="171"/>
      <c r="N9" s="171"/>
      <c r="O9" s="172"/>
      <c r="P9" s="171"/>
      <c r="Q9" s="133"/>
      <c r="R9" s="133"/>
    </row>
    <row r="10" spans="1:92" ht="15" customHeight="1" x14ac:dyDescent="0.3">
      <c r="A10" s="15" t="s">
        <v>26</v>
      </c>
      <c r="B10" s="15" t="s">
        <v>27</v>
      </c>
      <c r="C10" s="16" t="s">
        <v>349</v>
      </c>
      <c r="D10" s="15" t="s">
        <v>28</v>
      </c>
      <c r="E10" s="15" t="s">
        <v>415</v>
      </c>
      <c r="F10" s="15" t="s">
        <v>30</v>
      </c>
      <c r="G10" s="200"/>
      <c r="H10" s="171"/>
      <c r="I10" s="171"/>
      <c r="J10" s="171"/>
      <c r="K10" s="171"/>
      <c r="L10" s="171"/>
      <c r="M10" s="171"/>
      <c r="N10" s="171"/>
      <c r="O10" s="172"/>
      <c r="P10" s="171"/>
      <c r="Q10" s="133"/>
      <c r="R10" s="133"/>
    </row>
    <row r="11" spans="1:92" ht="15" customHeight="1" x14ac:dyDescent="0.3">
      <c r="A11" s="15" t="s">
        <v>26</v>
      </c>
      <c r="B11" s="15" t="s">
        <v>31</v>
      </c>
      <c r="C11" s="16" t="s">
        <v>410</v>
      </c>
      <c r="D11" s="15" t="s">
        <v>28</v>
      </c>
      <c r="E11" s="15" t="s">
        <v>415</v>
      </c>
      <c r="F11" s="15" t="s">
        <v>30</v>
      </c>
      <c r="G11" s="200"/>
      <c r="H11" s="171"/>
      <c r="I11" s="171"/>
      <c r="J11" s="171"/>
      <c r="K11" s="171"/>
      <c r="L11" s="171"/>
      <c r="M11" s="171"/>
      <c r="N11" s="171"/>
      <c r="O11" s="172"/>
      <c r="P11" s="171"/>
      <c r="Q11" s="133"/>
      <c r="R11" s="133"/>
    </row>
    <row r="12" spans="1:92" ht="15" customHeight="1" x14ac:dyDescent="0.3">
      <c r="A12" s="15" t="s">
        <v>35</v>
      </c>
      <c r="B12" s="15" t="s">
        <v>36</v>
      </c>
      <c r="C12" s="16" t="s">
        <v>411</v>
      </c>
      <c r="D12" s="15" t="s">
        <v>37</v>
      </c>
      <c r="E12" s="15" t="s">
        <v>420</v>
      </c>
      <c r="F12" s="15" t="s">
        <v>39</v>
      </c>
      <c r="G12" s="200"/>
      <c r="H12" s="171"/>
      <c r="I12" s="171"/>
      <c r="J12" s="171"/>
      <c r="K12" s="171"/>
      <c r="L12" s="171"/>
      <c r="M12" s="171"/>
      <c r="N12" s="171"/>
      <c r="O12" s="172"/>
      <c r="P12" s="171"/>
      <c r="Q12" s="133"/>
      <c r="R12" s="133"/>
    </row>
    <row r="13" spans="1:92" ht="15" customHeight="1" x14ac:dyDescent="0.3">
      <c r="A13" s="15" t="s">
        <v>35</v>
      </c>
      <c r="B13" s="15" t="s">
        <v>45</v>
      </c>
      <c r="C13" s="16" t="s">
        <v>412</v>
      </c>
      <c r="D13" s="15" t="s">
        <v>37</v>
      </c>
      <c r="E13" s="15" t="s">
        <v>420</v>
      </c>
      <c r="F13" s="15" t="s">
        <v>39</v>
      </c>
      <c r="G13" s="200"/>
      <c r="H13" s="171"/>
      <c r="I13" s="171"/>
      <c r="J13" s="171"/>
      <c r="K13" s="171"/>
      <c r="L13" s="171"/>
      <c r="M13" s="171"/>
      <c r="N13" s="171"/>
      <c r="O13" s="172"/>
      <c r="P13" s="171"/>
      <c r="Q13" s="133"/>
      <c r="R13" s="133"/>
    </row>
    <row r="14" spans="1:92" ht="15" customHeight="1" x14ac:dyDescent="0.3">
      <c r="A14" s="15" t="s">
        <v>35</v>
      </c>
      <c r="B14" s="15" t="s">
        <v>47</v>
      </c>
      <c r="C14" s="16" t="s">
        <v>413</v>
      </c>
      <c r="D14" s="15" t="s">
        <v>37</v>
      </c>
      <c r="E14" s="15" t="s">
        <v>418</v>
      </c>
      <c r="F14" s="15" t="s">
        <v>39</v>
      </c>
      <c r="G14" s="200"/>
      <c r="H14" s="171"/>
      <c r="I14" s="171"/>
      <c r="J14" s="171"/>
      <c r="K14" s="171"/>
      <c r="L14" s="171"/>
      <c r="M14" s="171"/>
      <c r="N14" s="171"/>
      <c r="O14" s="172"/>
      <c r="P14" s="171"/>
      <c r="Q14" s="133"/>
      <c r="R14" s="133"/>
    </row>
    <row r="15" spans="1:92" ht="15" customHeight="1" x14ac:dyDescent="0.3">
      <c r="A15" s="15" t="s">
        <v>55</v>
      </c>
      <c r="B15" s="15" t="s">
        <v>56</v>
      </c>
      <c r="C15" s="16" t="s">
        <v>313</v>
      </c>
      <c r="D15" s="15" t="s">
        <v>57</v>
      </c>
      <c r="E15" s="15" t="s">
        <v>415</v>
      </c>
      <c r="F15" s="15" t="s">
        <v>58</v>
      </c>
      <c r="G15" s="200"/>
      <c r="H15" s="171"/>
      <c r="I15" s="171"/>
      <c r="J15" s="171"/>
      <c r="K15" s="171"/>
      <c r="L15" s="171"/>
      <c r="M15" s="171"/>
      <c r="N15" s="171"/>
      <c r="O15" s="172"/>
      <c r="P15" s="171"/>
      <c r="Q15" s="133"/>
      <c r="R15" s="133"/>
    </row>
    <row r="16" spans="1:92" ht="15" customHeight="1" x14ac:dyDescent="0.3">
      <c r="A16" s="15" t="s">
        <v>55</v>
      </c>
      <c r="B16" s="15" t="s">
        <v>62</v>
      </c>
      <c r="C16" s="16" t="s">
        <v>286</v>
      </c>
      <c r="D16" s="15" t="s">
        <v>57</v>
      </c>
      <c r="E16" s="15" t="s">
        <v>415</v>
      </c>
      <c r="F16" s="15" t="s">
        <v>58</v>
      </c>
      <c r="G16" s="200"/>
      <c r="H16" s="171"/>
      <c r="I16" s="171"/>
      <c r="J16" s="171"/>
      <c r="K16" s="171"/>
      <c r="L16" s="171"/>
      <c r="M16" s="171"/>
      <c r="N16" s="171"/>
      <c r="O16" s="172"/>
      <c r="P16" s="171"/>
      <c r="Q16" s="133"/>
      <c r="R16" s="133"/>
    </row>
    <row r="17" spans="1:18" ht="15" customHeight="1" x14ac:dyDescent="0.3">
      <c r="A17" s="15" t="s">
        <v>55</v>
      </c>
      <c r="B17" s="15" t="s">
        <v>65</v>
      </c>
      <c r="C17" s="16" t="s">
        <v>317</v>
      </c>
      <c r="D17" s="15" t="s">
        <v>57</v>
      </c>
      <c r="E17" s="15" t="s">
        <v>415</v>
      </c>
      <c r="F17" s="15" t="s">
        <v>58</v>
      </c>
      <c r="G17" s="200"/>
      <c r="H17" s="171"/>
      <c r="I17" s="171"/>
      <c r="J17" s="171"/>
      <c r="K17" s="171"/>
      <c r="L17" s="171"/>
      <c r="M17" s="171"/>
      <c r="N17" s="171"/>
      <c r="O17" s="172"/>
      <c r="P17" s="171"/>
      <c r="Q17" s="133"/>
      <c r="R17" s="133"/>
    </row>
    <row r="18" spans="1:18" ht="15" customHeight="1" x14ac:dyDescent="0.3">
      <c r="A18" s="15" t="s">
        <v>55</v>
      </c>
      <c r="B18" s="15" t="s">
        <v>68</v>
      </c>
      <c r="C18" s="16" t="s">
        <v>301</v>
      </c>
      <c r="D18" s="15" t="s">
        <v>57</v>
      </c>
      <c r="E18" s="15" t="s">
        <v>417</v>
      </c>
      <c r="F18" s="15" t="s">
        <v>58</v>
      </c>
      <c r="G18" s="200"/>
      <c r="H18" s="171"/>
      <c r="I18" s="171"/>
      <c r="J18" s="171"/>
      <c r="K18" s="171"/>
      <c r="L18" s="171"/>
      <c r="M18" s="171"/>
      <c r="N18" s="171"/>
      <c r="O18" s="172"/>
      <c r="P18" s="171"/>
      <c r="Q18" s="133"/>
      <c r="R18" s="133"/>
    </row>
    <row r="19" spans="1:18" ht="15" customHeight="1" thickBot="1" x14ac:dyDescent="0.35">
      <c r="A19" s="61" t="s">
        <v>83</v>
      </c>
      <c r="B19" s="61" t="s">
        <v>84</v>
      </c>
      <c r="C19" s="62" t="s">
        <v>419</v>
      </c>
      <c r="D19" s="61" t="s">
        <v>85</v>
      </c>
      <c r="E19" s="61" t="s">
        <v>420</v>
      </c>
      <c r="F19" s="61" t="s">
        <v>86</v>
      </c>
      <c r="G19" s="201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7.399999999999999" customHeight="1" thickBot="1" x14ac:dyDescent="0.35">
      <c r="A20" s="225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7"/>
    </row>
    <row r="21" spans="1:18" ht="22.05" customHeight="1" thickTop="1" thickBot="1" x14ac:dyDescent="0.35">
      <c r="A21" s="190" t="s">
        <v>6</v>
      </c>
      <c r="B21" s="191"/>
      <c r="C21" s="191"/>
      <c r="D21" s="191"/>
      <c r="E21" s="191"/>
      <c r="F21" s="192"/>
      <c r="G21" s="68">
        <v>45987</v>
      </c>
      <c r="H21" s="202" t="s">
        <v>7</v>
      </c>
      <c r="I21" s="191"/>
      <c r="J21" s="191"/>
      <c r="K21" s="191"/>
      <c r="L21" s="191"/>
      <c r="M21" s="191"/>
      <c r="N21" s="191"/>
      <c r="O21" s="191"/>
      <c r="P21" s="191"/>
      <c r="Q21" s="191"/>
      <c r="R21" s="192"/>
    </row>
    <row r="22" spans="1:18" ht="24" customHeight="1" x14ac:dyDescent="0.3">
      <c r="A22" s="69" t="s">
        <v>8</v>
      </c>
      <c r="B22" s="69" t="s">
        <v>9</v>
      </c>
      <c r="C22" s="70" t="s">
        <v>10</v>
      </c>
      <c r="D22" s="69" t="s">
        <v>11</v>
      </c>
      <c r="E22" s="69" t="s">
        <v>12</v>
      </c>
      <c r="F22" s="71" t="s">
        <v>13</v>
      </c>
      <c r="G22" s="72" t="s">
        <v>14</v>
      </c>
      <c r="H22" s="69" t="s">
        <v>15</v>
      </c>
      <c r="I22" s="73" t="s">
        <v>16</v>
      </c>
      <c r="J22" s="74" t="s">
        <v>17</v>
      </c>
      <c r="K22" s="75" t="s">
        <v>18</v>
      </c>
      <c r="L22" s="74" t="s">
        <v>19</v>
      </c>
      <c r="M22" s="74" t="s">
        <v>20</v>
      </c>
      <c r="N22" s="74" t="s">
        <v>21</v>
      </c>
      <c r="O22" s="69" t="s">
        <v>22</v>
      </c>
      <c r="P22" s="70" t="s">
        <v>23</v>
      </c>
      <c r="Q22" s="74" t="s">
        <v>24</v>
      </c>
      <c r="R22" s="69" t="s">
        <v>25</v>
      </c>
    </row>
    <row r="23" spans="1:18" ht="15" customHeight="1" x14ac:dyDescent="0.3">
      <c r="A23" s="8" t="s">
        <v>35</v>
      </c>
      <c r="B23" s="8" t="s">
        <v>614</v>
      </c>
      <c r="C23" s="9">
        <v>0.28472222222222221</v>
      </c>
      <c r="D23" s="8" t="s">
        <v>495</v>
      </c>
      <c r="E23" s="8" t="s">
        <v>615</v>
      </c>
      <c r="F23" s="8" t="s">
        <v>616</v>
      </c>
      <c r="G23" s="199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9" t="s">
        <v>35</v>
      </c>
      <c r="B24" s="19" t="s">
        <v>614</v>
      </c>
      <c r="C24" s="20">
        <v>0.28472222222222221</v>
      </c>
      <c r="D24" s="19" t="s">
        <v>486</v>
      </c>
      <c r="E24" s="19" t="s">
        <v>617</v>
      </c>
      <c r="F24" s="19" t="s">
        <v>618</v>
      </c>
      <c r="G24" s="200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9" t="s">
        <v>35</v>
      </c>
      <c r="B25" s="19" t="s">
        <v>614</v>
      </c>
      <c r="C25" s="20">
        <v>0.28472222222222221</v>
      </c>
      <c r="D25" s="19" t="s">
        <v>488</v>
      </c>
      <c r="E25" s="19" t="s">
        <v>617</v>
      </c>
      <c r="F25" s="19" t="s">
        <v>619</v>
      </c>
      <c r="G25" s="200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9" t="s">
        <v>35</v>
      </c>
      <c r="B26" s="19" t="s">
        <v>614</v>
      </c>
      <c r="C26" s="20">
        <v>0.28472222222222221</v>
      </c>
      <c r="D26" s="19" t="s">
        <v>499</v>
      </c>
      <c r="E26" s="19" t="s">
        <v>617</v>
      </c>
      <c r="F26" s="19" t="s">
        <v>88</v>
      </c>
      <c r="G26" s="200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185" t="s">
        <v>55</v>
      </c>
      <c r="B27" s="185" t="s">
        <v>606</v>
      </c>
      <c r="C27" s="186">
        <v>0.2673611111111111</v>
      </c>
      <c r="D27" s="185" t="s">
        <v>57</v>
      </c>
      <c r="E27" s="185" t="s">
        <v>29</v>
      </c>
      <c r="F27" s="185" t="s">
        <v>30</v>
      </c>
      <c r="G27" s="200"/>
      <c r="H27" s="44" t="s">
        <v>607</v>
      </c>
      <c r="I27" s="97">
        <v>0.63690000000000002</v>
      </c>
      <c r="J27" s="46">
        <v>114</v>
      </c>
      <c r="K27" s="47">
        <v>45981</v>
      </c>
      <c r="L27" s="46">
        <v>13</v>
      </c>
      <c r="M27" s="46">
        <v>0</v>
      </c>
      <c r="N27" s="46">
        <v>4</v>
      </c>
      <c r="O27" s="48" t="s">
        <v>166</v>
      </c>
      <c r="P27" s="49">
        <v>0.2673611111111111</v>
      </c>
      <c r="Q27" s="46">
        <v>179</v>
      </c>
      <c r="R27" s="50" t="s">
        <v>620</v>
      </c>
    </row>
    <row r="28" spans="1:18" ht="15" customHeight="1" x14ac:dyDescent="0.3">
      <c r="A28" s="30" t="s">
        <v>55</v>
      </c>
      <c r="B28" s="30" t="s">
        <v>621</v>
      </c>
      <c r="C28" s="31">
        <v>0.33333333333333331</v>
      </c>
      <c r="D28" s="30" t="s">
        <v>57</v>
      </c>
      <c r="E28" s="30" t="s">
        <v>32</v>
      </c>
      <c r="F28" s="30" t="s">
        <v>30</v>
      </c>
      <c r="G28" s="200"/>
      <c r="H28" s="32" t="s">
        <v>622</v>
      </c>
      <c r="I28" s="41">
        <v>0.84519999999999995</v>
      </c>
      <c r="J28" s="34">
        <v>142</v>
      </c>
      <c r="K28" s="35">
        <v>45981</v>
      </c>
      <c r="L28" s="34">
        <v>16</v>
      </c>
      <c r="M28" s="34">
        <v>0</v>
      </c>
      <c r="N28" s="34">
        <v>2</v>
      </c>
      <c r="O28" s="36" t="s">
        <v>166</v>
      </c>
      <c r="P28" s="37">
        <v>0.33333333333333331</v>
      </c>
      <c r="Q28" s="34">
        <v>168</v>
      </c>
      <c r="R28" s="38" t="s">
        <v>623</v>
      </c>
    </row>
    <row r="29" spans="1:18" ht="15" customHeight="1" x14ac:dyDescent="0.3">
      <c r="A29" s="17" t="s">
        <v>148</v>
      </c>
      <c r="B29" s="17" t="s">
        <v>612</v>
      </c>
      <c r="C29" s="18">
        <v>0.2673611111111111</v>
      </c>
      <c r="D29" s="17" t="s">
        <v>624</v>
      </c>
      <c r="E29" s="17" t="s">
        <v>249</v>
      </c>
      <c r="F29" s="17" t="s">
        <v>625</v>
      </c>
      <c r="G29" s="200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8" x14ac:dyDescent="0.3">
      <c r="A30" s="208" t="s">
        <v>512</v>
      </c>
      <c r="B30" s="209"/>
      <c r="C30" s="209"/>
      <c r="D30" s="209"/>
      <c r="E30" s="209"/>
      <c r="F30" s="210"/>
      <c r="G30" s="200"/>
      <c r="H30" s="171"/>
      <c r="I30" s="171"/>
      <c r="J30" s="171"/>
      <c r="K30" s="171"/>
      <c r="L30" s="171"/>
      <c r="M30" s="171"/>
      <c r="N30" s="171"/>
      <c r="O30" s="172"/>
      <c r="P30" s="171"/>
      <c r="Q30" s="133"/>
      <c r="R30" s="133"/>
    </row>
    <row r="31" spans="1:18" ht="15" customHeight="1" x14ac:dyDescent="0.3">
      <c r="A31" s="15" t="s">
        <v>35</v>
      </c>
      <c r="B31" s="15" t="s">
        <v>47</v>
      </c>
      <c r="C31" s="16" t="s">
        <v>413</v>
      </c>
      <c r="D31" s="15" t="s">
        <v>37</v>
      </c>
      <c r="E31" s="15" t="s">
        <v>420</v>
      </c>
      <c r="F31" s="15" t="s">
        <v>159</v>
      </c>
      <c r="G31" s="200"/>
      <c r="H31" s="171"/>
      <c r="I31" s="171"/>
      <c r="J31" s="171"/>
      <c r="K31" s="171"/>
      <c r="L31" s="171"/>
      <c r="M31" s="171"/>
      <c r="N31" s="171"/>
      <c r="O31" s="172"/>
      <c r="P31" s="171"/>
      <c r="Q31" s="133"/>
      <c r="R31" s="133"/>
    </row>
    <row r="32" spans="1:18" ht="15" customHeight="1" x14ac:dyDescent="0.3">
      <c r="A32" s="15" t="s">
        <v>116</v>
      </c>
      <c r="B32" s="15" t="s">
        <v>117</v>
      </c>
      <c r="C32" s="16" t="s">
        <v>526</v>
      </c>
      <c r="D32" s="15" t="s">
        <v>28</v>
      </c>
      <c r="E32" s="15" t="s">
        <v>418</v>
      </c>
      <c r="F32" s="15" t="s">
        <v>164</v>
      </c>
      <c r="G32" s="200"/>
      <c r="H32" s="171"/>
      <c r="I32" s="171"/>
      <c r="J32" s="171"/>
      <c r="K32" s="171"/>
      <c r="L32" s="171"/>
      <c r="M32" s="171"/>
      <c r="N32" s="171"/>
      <c r="O32" s="172"/>
      <c r="P32" s="171"/>
      <c r="Q32" s="133"/>
      <c r="R32" s="133"/>
    </row>
    <row r="33" spans="1:18" ht="15" customHeight="1" x14ac:dyDescent="0.3">
      <c r="A33" s="15" t="s">
        <v>55</v>
      </c>
      <c r="B33" s="15" t="s">
        <v>73</v>
      </c>
      <c r="C33" s="16" t="s">
        <v>325</v>
      </c>
      <c r="D33" s="15" t="s">
        <v>57</v>
      </c>
      <c r="E33" s="15" t="s">
        <v>415</v>
      </c>
      <c r="F33" s="15" t="s">
        <v>30</v>
      </c>
      <c r="G33" s="200"/>
      <c r="H33" s="171"/>
      <c r="I33" s="171"/>
      <c r="J33" s="171"/>
      <c r="K33" s="171"/>
      <c r="L33" s="171"/>
      <c r="M33" s="171"/>
      <c r="N33" s="171"/>
      <c r="O33" s="172"/>
      <c r="P33" s="171"/>
      <c r="Q33" s="133"/>
      <c r="R33" s="133"/>
    </row>
    <row r="34" spans="1:18" ht="15" customHeight="1" x14ac:dyDescent="0.3">
      <c r="A34" s="15" t="s">
        <v>55</v>
      </c>
      <c r="B34" s="15" t="s">
        <v>65</v>
      </c>
      <c r="C34" s="16" t="s">
        <v>321</v>
      </c>
      <c r="D34" s="15" t="s">
        <v>57</v>
      </c>
      <c r="E34" s="15" t="s">
        <v>415</v>
      </c>
      <c r="F34" s="15" t="s">
        <v>30</v>
      </c>
      <c r="G34" s="200"/>
      <c r="H34" s="171"/>
      <c r="I34" s="171"/>
      <c r="J34" s="171"/>
      <c r="K34" s="171"/>
      <c r="L34" s="171"/>
      <c r="M34" s="171"/>
      <c r="N34" s="171"/>
      <c r="O34" s="172"/>
      <c r="P34" s="171"/>
      <c r="Q34" s="133"/>
      <c r="R34" s="133"/>
    </row>
    <row r="35" spans="1:18" ht="15" customHeight="1" x14ac:dyDescent="0.3">
      <c r="A35" s="15" t="s">
        <v>26</v>
      </c>
      <c r="B35" s="15" t="s">
        <v>33</v>
      </c>
      <c r="C35" s="16" t="s">
        <v>375</v>
      </c>
      <c r="D35" s="15" t="s">
        <v>28</v>
      </c>
      <c r="E35" s="15" t="s">
        <v>423</v>
      </c>
      <c r="F35" s="15" t="s">
        <v>30</v>
      </c>
      <c r="G35" s="200"/>
      <c r="H35" s="171"/>
      <c r="I35" s="171"/>
      <c r="J35" s="171"/>
      <c r="K35" s="171"/>
      <c r="L35" s="171"/>
      <c r="M35" s="171"/>
      <c r="N35" s="171"/>
      <c r="O35" s="172"/>
      <c r="P35" s="171"/>
      <c r="Q35" s="133"/>
      <c r="R35" s="133"/>
    </row>
    <row r="36" spans="1:18" ht="15" customHeight="1" x14ac:dyDescent="0.3">
      <c r="A36" s="15" t="s">
        <v>26</v>
      </c>
      <c r="B36" s="15" t="s">
        <v>27</v>
      </c>
      <c r="C36" s="16" t="s">
        <v>527</v>
      </c>
      <c r="D36" s="15" t="s">
        <v>28</v>
      </c>
      <c r="E36" s="15" t="s">
        <v>415</v>
      </c>
      <c r="F36" s="15" t="s">
        <v>30</v>
      </c>
      <c r="G36" s="200"/>
      <c r="H36" s="171"/>
      <c r="I36" s="171"/>
      <c r="J36" s="171"/>
      <c r="K36" s="171"/>
      <c r="L36" s="171"/>
      <c r="M36" s="171"/>
      <c r="N36" s="171"/>
      <c r="O36" s="172"/>
      <c r="P36" s="171"/>
      <c r="Q36" s="133"/>
      <c r="R36" s="133"/>
    </row>
    <row r="37" spans="1:18" ht="15" customHeight="1" x14ac:dyDescent="0.3">
      <c r="A37" s="15" t="s">
        <v>35</v>
      </c>
      <c r="B37" s="15" t="s">
        <v>36</v>
      </c>
      <c r="C37" s="16" t="s">
        <v>411</v>
      </c>
      <c r="D37" s="15" t="s">
        <v>37</v>
      </c>
      <c r="E37" s="15" t="s">
        <v>444</v>
      </c>
      <c r="F37" s="15" t="s">
        <v>39</v>
      </c>
      <c r="G37" s="200"/>
      <c r="H37" s="171"/>
      <c r="I37" s="171"/>
      <c r="J37" s="171"/>
      <c r="K37" s="171"/>
      <c r="L37" s="171"/>
      <c r="M37" s="171"/>
      <c r="N37" s="171"/>
      <c r="O37" s="172"/>
      <c r="P37" s="171"/>
      <c r="Q37" s="133"/>
      <c r="R37" s="133"/>
    </row>
    <row r="38" spans="1:18" ht="15" customHeight="1" x14ac:dyDescent="0.3">
      <c r="A38" s="15" t="s">
        <v>35</v>
      </c>
      <c r="B38" s="15" t="s">
        <v>50</v>
      </c>
      <c r="C38" s="16" t="s">
        <v>443</v>
      </c>
      <c r="D38" s="15" t="s">
        <v>37</v>
      </c>
      <c r="E38" s="15" t="s">
        <v>420</v>
      </c>
      <c r="F38" s="15" t="s">
        <v>39</v>
      </c>
      <c r="G38" s="200"/>
      <c r="H38" s="171"/>
      <c r="I38" s="171"/>
      <c r="J38" s="171"/>
      <c r="K38" s="171"/>
      <c r="L38" s="171"/>
      <c r="M38" s="171"/>
      <c r="N38" s="171"/>
      <c r="O38" s="172"/>
      <c r="P38" s="171"/>
      <c r="Q38" s="133"/>
      <c r="R38" s="133"/>
    </row>
    <row r="39" spans="1:18" ht="15" customHeight="1" x14ac:dyDescent="0.3">
      <c r="A39" s="15" t="s">
        <v>35</v>
      </c>
      <c r="B39" s="15" t="s">
        <v>45</v>
      </c>
      <c r="C39" s="16" t="s">
        <v>412</v>
      </c>
      <c r="D39" s="15" t="s">
        <v>37</v>
      </c>
      <c r="E39" s="15" t="s">
        <v>453</v>
      </c>
      <c r="F39" s="15" t="s">
        <v>39</v>
      </c>
      <c r="G39" s="200"/>
      <c r="H39" s="171"/>
      <c r="I39" s="171"/>
      <c r="J39" s="171"/>
      <c r="K39" s="171"/>
      <c r="L39" s="171"/>
      <c r="M39" s="171"/>
      <c r="N39" s="171"/>
      <c r="O39" s="172"/>
      <c r="P39" s="171"/>
      <c r="Q39" s="133"/>
      <c r="R39" s="133"/>
    </row>
    <row r="40" spans="1:18" ht="15" customHeight="1" thickBot="1" x14ac:dyDescent="0.35">
      <c r="A40" s="61" t="s">
        <v>55</v>
      </c>
      <c r="B40" s="61" t="s">
        <v>68</v>
      </c>
      <c r="C40" s="62" t="s">
        <v>301</v>
      </c>
      <c r="D40" s="61" t="s">
        <v>57</v>
      </c>
      <c r="E40" s="61" t="s">
        <v>415</v>
      </c>
      <c r="F40" s="61" t="s">
        <v>58</v>
      </c>
      <c r="G40" s="201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7.399999999999999" customHeight="1" thickBot="1" x14ac:dyDescent="0.35">
      <c r="A41" s="225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7"/>
    </row>
    <row r="42" spans="1:18" ht="22.05" customHeight="1" thickTop="1" thickBot="1" x14ac:dyDescent="0.35">
      <c r="A42" s="190" t="s">
        <v>6</v>
      </c>
      <c r="B42" s="191"/>
      <c r="C42" s="191"/>
      <c r="D42" s="191"/>
      <c r="E42" s="191"/>
      <c r="F42" s="192"/>
      <c r="G42" s="68">
        <v>45988</v>
      </c>
      <c r="H42" s="202" t="s">
        <v>7</v>
      </c>
      <c r="I42" s="191"/>
      <c r="J42" s="191"/>
      <c r="K42" s="191"/>
      <c r="L42" s="191"/>
      <c r="M42" s="191"/>
      <c r="N42" s="191"/>
      <c r="O42" s="191"/>
      <c r="P42" s="191"/>
      <c r="Q42" s="191"/>
      <c r="R42" s="192"/>
    </row>
    <row r="43" spans="1:18" ht="24" customHeight="1" x14ac:dyDescent="0.3">
      <c r="A43" s="69" t="s">
        <v>8</v>
      </c>
      <c r="B43" s="69" t="s">
        <v>9</v>
      </c>
      <c r="C43" s="70" t="s">
        <v>10</v>
      </c>
      <c r="D43" s="69" t="s">
        <v>11</v>
      </c>
      <c r="E43" s="69" t="s">
        <v>12</v>
      </c>
      <c r="F43" s="71" t="s">
        <v>13</v>
      </c>
      <c r="G43" s="72" t="s">
        <v>14</v>
      </c>
      <c r="H43" s="69" t="s">
        <v>15</v>
      </c>
      <c r="I43" s="73" t="s">
        <v>16</v>
      </c>
      <c r="J43" s="74" t="s">
        <v>17</v>
      </c>
      <c r="K43" s="75" t="s">
        <v>18</v>
      </c>
      <c r="L43" s="74" t="s">
        <v>19</v>
      </c>
      <c r="M43" s="74" t="s">
        <v>20</v>
      </c>
      <c r="N43" s="74" t="s">
        <v>21</v>
      </c>
      <c r="O43" s="69" t="s">
        <v>22</v>
      </c>
      <c r="P43" s="70" t="s">
        <v>23</v>
      </c>
      <c r="Q43" s="74" t="s">
        <v>24</v>
      </c>
      <c r="R43" s="69" t="s">
        <v>25</v>
      </c>
    </row>
    <row r="44" spans="1:18" ht="15" customHeight="1" x14ac:dyDescent="0.3">
      <c r="A44" s="124" t="s">
        <v>55</v>
      </c>
      <c r="B44" s="124" t="s">
        <v>626</v>
      </c>
      <c r="C44" s="125">
        <v>8.3333333333333329E-2</v>
      </c>
      <c r="D44" s="124" t="s">
        <v>57</v>
      </c>
      <c r="E44" s="124" t="s">
        <v>29</v>
      </c>
      <c r="F44" s="124" t="s">
        <v>30</v>
      </c>
      <c r="G44" s="207"/>
      <c r="H44" s="54" t="s">
        <v>627</v>
      </c>
      <c r="I44" s="187">
        <v>0.14879999999999999</v>
      </c>
      <c r="J44" s="56">
        <v>25</v>
      </c>
      <c r="K44" s="57">
        <v>45981</v>
      </c>
      <c r="L44" s="56">
        <v>7</v>
      </c>
      <c r="M44" s="56">
        <v>0</v>
      </c>
      <c r="N44" s="56">
        <v>3</v>
      </c>
      <c r="O44" s="58" t="s">
        <v>166</v>
      </c>
      <c r="P44" s="59">
        <v>8.3333333333333329E-2</v>
      </c>
      <c r="Q44" s="56">
        <v>168</v>
      </c>
      <c r="R44" s="60" t="s">
        <v>628</v>
      </c>
    </row>
    <row r="45" spans="1:18" ht="15" customHeight="1" x14ac:dyDescent="0.3">
      <c r="A45" s="30" t="s">
        <v>55</v>
      </c>
      <c r="B45" s="30" t="s">
        <v>606</v>
      </c>
      <c r="C45" s="31">
        <v>0.48958333333333331</v>
      </c>
      <c r="D45" s="30" t="s">
        <v>57</v>
      </c>
      <c r="E45" s="30" t="s">
        <v>32</v>
      </c>
      <c r="F45" s="30" t="s">
        <v>30</v>
      </c>
      <c r="G45" s="200"/>
      <c r="H45" s="32" t="s">
        <v>607</v>
      </c>
      <c r="I45" s="41">
        <v>0.67859999999999998</v>
      </c>
      <c r="J45" s="34">
        <v>114</v>
      </c>
      <c r="K45" s="35">
        <v>45980</v>
      </c>
      <c r="L45" s="34">
        <v>11</v>
      </c>
      <c r="M45" s="34">
        <v>0</v>
      </c>
      <c r="N45" s="34">
        <v>0</v>
      </c>
      <c r="O45" s="36" t="s">
        <v>166</v>
      </c>
      <c r="P45" s="37">
        <v>0.48958333333333331</v>
      </c>
      <c r="Q45" s="34">
        <v>168</v>
      </c>
      <c r="R45" s="38" t="s">
        <v>629</v>
      </c>
    </row>
    <row r="46" spans="1:18" ht="15" customHeight="1" x14ac:dyDescent="0.3">
      <c r="A46" s="51" t="s">
        <v>55</v>
      </c>
      <c r="B46" s="51" t="s">
        <v>609</v>
      </c>
      <c r="C46" s="52">
        <v>0.70833333333333337</v>
      </c>
      <c r="D46" s="51" t="s">
        <v>57</v>
      </c>
      <c r="E46" s="51" t="s">
        <v>32</v>
      </c>
      <c r="F46" s="51" t="s">
        <v>30</v>
      </c>
      <c r="G46" s="200"/>
      <c r="H46" s="54" t="s">
        <v>610</v>
      </c>
      <c r="I46" s="187">
        <v>0.45250000000000001</v>
      </c>
      <c r="J46" s="56">
        <v>81</v>
      </c>
      <c r="K46" s="57">
        <v>45981</v>
      </c>
      <c r="L46" s="56">
        <v>23</v>
      </c>
      <c r="M46" s="56">
        <v>0</v>
      </c>
      <c r="N46" s="56">
        <v>5</v>
      </c>
      <c r="O46" s="58" t="s">
        <v>166</v>
      </c>
      <c r="P46" s="59">
        <v>0.70833333333333337</v>
      </c>
      <c r="Q46" s="56">
        <v>179</v>
      </c>
      <c r="R46" s="60" t="s">
        <v>630</v>
      </c>
    </row>
    <row r="47" spans="1:18" ht="15" customHeight="1" x14ac:dyDescent="0.3">
      <c r="A47" s="17" t="s">
        <v>148</v>
      </c>
      <c r="B47" s="17" t="s">
        <v>612</v>
      </c>
      <c r="C47" s="18">
        <v>0.48958333333333331</v>
      </c>
      <c r="D47" s="17" t="s">
        <v>624</v>
      </c>
      <c r="E47" s="17" t="s">
        <v>249</v>
      </c>
      <c r="F47" s="17" t="s">
        <v>625</v>
      </c>
      <c r="G47" s="200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8" x14ac:dyDescent="0.3">
      <c r="A48" s="208" t="s">
        <v>512</v>
      </c>
      <c r="B48" s="209"/>
      <c r="C48" s="209"/>
      <c r="D48" s="209"/>
      <c r="E48" s="209"/>
      <c r="F48" s="210"/>
      <c r="G48" s="200"/>
      <c r="H48" s="171"/>
      <c r="I48" s="171"/>
      <c r="J48" s="171"/>
      <c r="K48" s="171"/>
      <c r="L48" s="171"/>
      <c r="M48" s="171"/>
      <c r="N48" s="171"/>
      <c r="O48" s="172"/>
      <c r="P48" s="171"/>
      <c r="Q48" s="133"/>
      <c r="R48" s="133"/>
    </row>
    <row r="49" spans="1:18" ht="15" customHeight="1" x14ac:dyDescent="0.3">
      <c r="A49" s="15" t="s">
        <v>35</v>
      </c>
      <c r="B49" s="15" t="s">
        <v>36</v>
      </c>
      <c r="C49" s="16" t="s">
        <v>411</v>
      </c>
      <c r="D49" s="15" t="s">
        <v>37</v>
      </c>
      <c r="E49" s="15" t="s">
        <v>418</v>
      </c>
      <c r="F49" s="15" t="s">
        <v>184</v>
      </c>
      <c r="G49" s="200"/>
      <c r="H49" s="171"/>
      <c r="I49" s="171"/>
      <c r="J49" s="171"/>
      <c r="K49" s="171"/>
      <c r="L49" s="171"/>
      <c r="M49" s="171"/>
      <c r="N49" s="171"/>
      <c r="O49" s="172"/>
      <c r="P49" s="171"/>
      <c r="Q49" s="133"/>
      <c r="R49" s="133"/>
    </row>
    <row r="50" spans="1:18" ht="15" customHeight="1" x14ac:dyDescent="0.3">
      <c r="A50" s="15" t="s">
        <v>35</v>
      </c>
      <c r="B50" s="15" t="s">
        <v>50</v>
      </c>
      <c r="C50" s="16" t="s">
        <v>443</v>
      </c>
      <c r="D50" s="15" t="s">
        <v>37</v>
      </c>
      <c r="E50" s="15" t="s">
        <v>433</v>
      </c>
      <c r="F50" s="15" t="s">
        <v>184</v>
      </c>
      <c r="G50" s="200"/>
      <c r="H50" s="171"/>
      <c r="I50" s="171"/>
      <c r="J50" s="171"/>
      <c r="K50" s="171"/>
      <c r="L50" s="171"/>
      <c r="M50" s="171"/>
      <c r="N50" s="171"/>
      <c r="O50" s="172"/>
      <c r="P50" s="171"/>
      <c r="Q50" s="133"/>
      <c r="R50" s="133"/>
    </row>
    <row r="51" spans="1:18" ht="15" customHeight="1" x14ac:dyDescent="0.3">
      <c r="A51" s="15" t="s">
        <v>116</v>
      </c>
      <c r="B51" s="15" t="s">
        <v>117</v>
      </c>
      <c r="C51" s="16" t="s">
        <v>541</v>
      </c>
      <c r="D51" s="15" t="s">
        <v>28</v>
      </c>
      <c r="E51" s="15" t="s">
        <v>415</v>
      </c>
      <c r="F51" s="15" t="s">
        <v>164</v>
      </c>
      <c r="G51" s="200"/>
      <c r="H51" s="171"/>
      <c r="I51" s="171"/>
      <c r="J51" s="171"/>
      <c r="K51" s="171"/>
      <c r="L51" s="171"/>
      <c r="M51" s="171"/>
      <c r="N51" s="171"/>
      <c r="O51" s="172"/>
      <c r="P51" s="171"/>
      <c r="Q51" s="133"/>
      <c r="R51" s="133"/>
    </row>
    <row r="52" spans="1:18" ht="15" customHeight="1" x14ac:dyDescent="0.3">
      <c r="A52" s="15" t="s">
        <v>116</v>
      </c>
      <c r="B52" s="15" t="s">
        <v>119</v>
      </c>
      <c r="C52" s="16" t="s">
        <v>542</v>
      </c>
      <c r="D52" s="15" t="s">
        <v>28</v>
      </c>
      <c r="E52" s="15" t="s">
        <v>415</v>
      </c>
      <c r="F52" s="15" t="s">
        <v>164</v>
      </c>
      <c r="G52" s="200"/>
      <c r="H52" s="171"/>
      <c r="I52" s="171"/>
      <c r="J52" s="171"/>
      <c r="K52" s="171"/>
      <c r="L52" s="171"/>
      <c r="M52" s="171"/>
      <c r="N52" s="171"/>
      <c r="O52" s="172"/>
      <c r="P52" s="171"/>
      <c r="Q52" s="133"/>
      <c r="R52" s="133"/>
    </row>
    <row r="53" spans="1:18" ht="15" customHeight="1" x14ac:dyDescent="0.3">
      <c r="A53" s="15" t="s">
        <v>55</v>
      </c>
      <c r="B53" s="15" t="s">
        <v>189</v>
      </c>
      <c r="C53" s="16" t="s">
        <v>349</v>
      </c>
      <c r="D53" s="15" t="s">
        <v>57</v>
      </c>
      <c r="E53" s="15" t="s">
        <v>415</v>
      </c>
      <c r="F53" s="15" t="s">
        <v>30</v>
      </c>
      <c r="G53" s="200"/>
      <c r="H53" s="171"/>
      <c r="I53" s="171"/>
      <c r="J53" s="171"/>
      <c r="K53" s="171"/>
      <c r="L53" s="171"/>
      <c r="M53" s="171"/>
      <c r="N53" s="171"/>
      <c r="O53" s="172"/>
      <c r="P53" s="171"/>
      <c r="Q53" s="133"/>
      <c r="R53" s="133"/>
    </row>
    <row r="54" spans="1:18" ht="15" customHeight="1" x14ac:dyDescent="0.3">
      <c r="A54" s="15" t="s">
        <v>55</v>
      </c>
      <c r="B54" s="15" t="s">
        <v>192</v>
      </c>
      <c r="C54" s="16" t="s">
        <v>341</v>
      </c>
      <c r="D54" s="15" t="s">
        <v>57</v>
      </c>
      <c r="E54" s="15" t="s">
        <v>415</v>
      </c>
      <c r="F54" s="15" t="s">
        <v>30</v>
      </c>
      <c r="G54" s="200"/>
      <c r="H54" s="171"/>
      <c r="I54" s="171"/>
      <c r="J54" s="171"/>
      <c r="K54" s="171"/>
      <c r="L54" s="171"/>
      <c r="M54" s="171"/>
      <c r="N54" s="171"/>
      <c r="O54" s="172"/>
      <c r="P54" s="171"/>
      <c r="Q54" s="133"/>
      <c r="R54" s="133"/>
    </row>
    <row r="55" spans="1:18" ht="15" customHeight="1" x14ac:dyDescent="0.3">
      <c r="A55" s="15" t="s">
        <v>55</v>
      </c>
      <c r="B55" s="15" t="s">
        <v>68</v>
      </c>
      <c r="C55" s="16" t="s">
        <v>351</v>
      </c>
      <c r="D55" s="15" t="s">
        <v>57</v>
      </c>
      <c r="E55" s="15" t="s">
        <v>415</v>
      </c>
      <c r="F55" s="15" t="s">
        <v>30</v>
      </c>
      <c r="G55" s="200"/>
      <c r="H55" s="171"/>
      <c r="I55" s="171"/>
      <c r="J55" s="171"/>
      <c r="K55" s="171"/>
      <c r="L55" s="171"/>
      <c r="M55" s="171"/>
      <c r="N55" s="171"/>
      <c r="O55" s="172"/>
      <c r="P55" s="171"/>
      <c r="Q55" s="133"/>
      <c r="R55" s="133"/>
    </row>
    <row r="56" spans="1:18" ht="15" customHeight="1" x14ac:dyDescent="0.3">
      <c r="A56" s="15" t="s">
        <v>55</v>
      </c>
      <c r="B56" s="15" t="s">
        <v>196</v>
      </c>
      <c r="C56" s="16" t="s">
        <v>355</v>
      </c>
      <c r="D56" s="15" t="s">
        <v>57</v>
      </c>
      <c r="E56" s="15" t="s">
        <v>415</v>
      </c>
      <c r="F56" s="15" t="s">
        <v>30</v>
      </c>
      <c r="G56" s="200"/>
      <c r="H56" s="171"/>
      <c r="I56" s="171"/>
      <c r="J56" s="171"/>
      <c r="K56" s="171"/>
      <c r="L56" s="171"/>
      <c r="M56" s="171"/>
      <c r="N56" s="171"/>
      <c r="O56" s="172"/>
      <c r="P56" s="171"/>
      <c r="Q56" s="133"/>
      <c r="R56" s="133"/>
    </row>
    <row r="57" spans="1:18" ht="15" customHeight="1" x14ac:dyDescent="0.3">
      <c r="A57" s="15" t="s">
        <v>26</v>
      </c>
      <c r="B57" s="15" t="s">
        <v>33</v>
      </c>
      <c r="C57" s="16" t="s">
        <v>543</v>
      </c>
      <c r="D57" s="15" t="s">
        <v>28</v>
      </c>
      <c r="E57" s="15" t="s">
        <v>418</v>
      </c>
      <c r="F57" s="15" t="s">
        <v>30</v>
      </c>
      <c r="G57" s="200"/>
      <c r="H57" s="171"/>
      <c r="I57" s="171"/>
      <c r="J57" s="171"/>
      <c r="K57" s="171"/>
      <c r="L57" s="171"/>
      <c r="M57" s="171"/>
      <c r="N57" s="171"/>
      <c r="O57" s="172"/>
      <c r="P57" s="171"/>
      <c r="Q57" s="133"/>
      <c r="R57" s="133"/>
    </row>
    <row r="58" spans="1:18" ht="15" customHeight="1" thickBot="1" x14ac:dyDescent="0.35">
      <c r="A58" s="61" t="s">
        <v>83</v>
      </c>
      <c r="B58" s="61" t="s">
        <v>101</v>
      </c>
      <c r="C58" s="62" t="s">
        <v>321</v>
      </c>
      <c r="D58" s="61" t="s">
        <v>85</v>
      </c>
      <c r="E58" s="61" t="s">
        <v>426</v>
      </c>
      <c r="F58" s="61" t="s">
        <v>202</v>
      </c>
      <c r="G58" s="201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7.399999999999999" customHeight="1" thickBot="1" x14ac:dyDescent="0.35">
      <c r="A59" s="225"/>
      <c r="B59" s="226"/>
      <c r="C59" s="226"/>
      <c r="D59" s="226"/>
      <c r="E59" s="226"/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7"/>
    </row>
    <row r="60" spans="1:18" ht="22.05" customHeight="1" thickTop="1" thickBot="1" x14ac:dyDescent="0.35">
      <c r="A60" s="190" t="s">
        <v>6</v>
      </c>
      <c r="B60" s="191"/>
      <c r="C60" s="191"/>
      <c r="D60" s="191"/>
      <c r="E60" s="191"/>
      <c r="F60" s="192"/>
      <c r="G60" s="68">
        <v>45989</v>
      </c>
      <c r="H60" s="202" t="s">
        <v>7</v>
      </c>
      <c r="I60" s="191"/>
      <c r="J60" s="191"/>
      <c r="K60" s="191"/>
      <c r="L60" s="191"/>
      <c r="M60" s="191"/>
      <c r="N60" s="191"/>
      <c r="O60" s="191"/>
      <c r="P60" s="191"/>
      <c r="Q60" s="191"/>
      <c r="R60" s="192"/>
    </row>
    <row r="61" spans="1:18" ht="24" customHeight="1" x14ac:dyDescent="0.3">
      <c r="A61" s="69" t="s">
        <v>8</v>
      </c>
      <c r="B61" s="69" t="s">
        <v>9</v>
      </c>
      <c r="C61" s="70" t="s">
        <v>10</v>
      </c>
      <c r="D61" s="69" t="s">
        <v>11</v>
      </c>
      <c r="E61" s="69" t="s">
        <v>12</v>
      </c>
      <c r="F61" s="71" t="s">
        <v>13</v>
      </c>
      <c r="G61" s="72" t="s">
        <v>14</v>
      </c>
      <c r="H61" s="69" t="s">
        <v>15</v>
      </c>
      <c r="I61" s="73" t="s">
        <v>16</v>
      </c>
      <c r="J61" s="74" t="s">
        <v>17</v>
      </c>
      <c r="K61" s="75" t="s">
        <v>18</v>
      </c>
      <c r="L61" s="74" t="s">
        <v>19</v>
      </c>
      <c r="M61" s="74" t="s">
        <v>20</v>
      </c>
      <c r="N61" s="74" t="s">
        <v>21</v>
      </c>
      <c r="O61" s="69" t="s">
        <v>22</v>
      </c>
      <c r="P61" s="70" t="s">
        <v>23</v>
      </c>
      <c r="Q61" s="74" t="s">
        <v>24</v>
      </c>
      <c r="R61" s="69" t="s">
        <v>25</v>
      </c>
    </row>
    <row r="62" spans="1:18" ht="15" customHeight="1" x14ac:dyDescent="0.3">
      <c r="A62" s="188" t="s">
        <v>55</v>
      </c>
      <c r="B62" s="188" t="s">
        <v>621</v>
      </c>
      <c r="C62" s="189">
        <v>0.29166666666666669</v>
      </c>
      <c r="D62" s="188" t="s">
        <v>57</v>
      </c>
      <c r="E62" s="188" t="s">
        <v>29</v>
      </c>
      <c r="F62" s="188" t="s">
        <v>30</v>
      </c>
      <c r="G62" s="207"/>
      <c r="H62" s="100" t="s">
        <v>622</v>
      </c>
      <c r="I62" s="101">
        <v>0.49399999999999999</v>
      </c>
      <c r="J62" s="102">
        <v>83</v>
      </c>
      <c r="K62" s="103">
        <v>45981</v>
      </c>
      <c r="L62" s="102">
        <v>49</v>
      </c>
      <c r="M62" s="102">
        <v>0</v>
      </c>
      <c r="N62" s="102">
        <v>12</v>
      </c>
      <c r="O62" s="104" t="s">
        <v>166</v>
      </c>
      <c r="P62" s="105">
        <v>0.29166666666666669</v>
      </c>
      <c r="Q62" s="102">
        <v>168</v>
      </c>
      <c r="R62" s="106" t="s">
        <v>631</v>
      </c>
    </row>
    <row r="63" spans="1:18" ht="18" x14ac:dyDescent="0.3">
      <c r="A63" s="208" t="s">
        <v>512</v>
      </c>
      <c r="B63" s="209"/>
      <c r="C63" s="209"/>
      <c r="D63" s="209"/>
      <c r="E63" s="209"/>
      <c r="F63" s="210"/>
      <c r="G63" s="200"/>
      <c r="H63" s="171"/>
      <c r="I63" s="171"/>
      <c r="J63" s="171"/>
      <c r="K63" s="171"/>
      <c r="L63" s="171"/>
      <c r="M63" s="171"/>
      <c r="N63" s="171"/>
      <c r="O63" s="172"/>
      <c r="P63" s="171"/>
      <c r="Q63" s="133"/>
      <c r="R63" s="133"/>
    </row>
    <row r="64" spans="1:18" ht="15" customHeight="1" x14ac:dyDescent="0.3">
      <c r="A64" s="15" t="s">
        <v>35</v>
      </c>
      <c r="B64" s="15" t="s">
        <v>50</v>
      </c>
      <c r="C64" s="16" t="s">
        <v>443</v>
      </c>
      <c r="D64" s="15" t="s">
        <v>37</v>
      </c>
      <c r="E64" s="15" t="s">
        <v>418</v>
      </c>
      <c r="F64" s="15" t="s">
        <v>184</v>
      </c>
      <c r="G64" s="200"/>
      <c r="H64" s="171"/>
      <c r="I64" s="171"/>
      <c r="J64" s="171"/>
      <c r="K64" s="171"/>
      <c r="L64" s="171"/>
      <c r="M64" s="171"/>
      <c r="N64" s="171"/>
      <c r="O64" s="172"/>
      <c r="P64" s="171"/>
      <c r="Q64" s="133"/>
      <c r="R64" s="133"/>
    </row>
    <row r="65" spans="1:18" ht="15" customHeight="1" x14ac:dyDescent="0.3">
      <c r="A65" s="15" t="s">
        <v>35</v>
      </c>
      <c r="B65" s="15" t="s">
        <v>36</v>
      </c>
      <c r="C65" s="16" t="s">
        <v>411</v>
      </c>
      <c r="D65" s="15" t="s">
        <v>37</v>
      </c>
      <c r="E65" s="15" t="s">
        <v>420</v>
      </c>
      <c r="F65" s="15" t="s">
        <v>159</v>
      </c>
      <c r="G65" s="200"/>
      <c r="H65" s="171"/>
      <c r="I65" s="171"/>
      <c r="J65" s="171"/>
      <c r="K65" s="171"/>
      <c r="L65" s="171"/>
      <c r="M65" s="171"/>
      <c r="N65" s="171"/>
      <c r="O65" s="172"/>
      <c r="P65" s="171"/>
      <c r="Q65" s="133"/>
      <c r="R65" s="133"/>
    </row>
    <row r="66" spans="1:18" ht="15" customHeight="1" x14ac:dyDescent="0.3">
      <c r="A66" s="15" t="s">
        <v>55</v>
      </c>
      <c r="B66" s="15" t="s">
        <v>56</v>
      </c>
      <c r="C66" s="16" t="s">
        <v>338</v>
      </c>
      <c r="D66" s="15" t="s">
        <v>57</v>
      </c>
      <c r="E66" s="15" t="s">
        <v>415</v>
      </c>
      <c r="F66" s="15" t="s">
        <v>30</v>
      </c>
      <c r="G66" s="200"/>
      <c r="H66" s="171"/>
      <c r="I66" s="171"/>
      <c r="J66" s="171"/>
      <c r="K66" s="171"/>
      <c r="L66" s="171"/>
      <c r="M66" s="171"/>
      <c r="N66" s="171"/>
      <c r="O66" s="172"/>
      <c r="P66" s="171"/>
      <c r="Q66" s="133"/>
      <c r="R66" s="133"/>
    </row>
    <row r="67" spans="1:18" ht="15" customHeight="1" x14ac:dyDescent="0.3">
      <c r="A67" s="15" t="s">
        <v>55</v>
      </c>
      <c r="B67" s="15" t="s">
        <v>62</v>
      </c>
      <c r="C67" s="16" t="s">
        <v>370</v>
      </c>
      <c r="D67" s="15" t="s">
        <v>57</v>
      </c>
      <c r="E67" s="15" t="s">
        <v>415</v>
      </c>
      <c r="F67" s="15" t="s">
        <v>30</v>
      </c>
      <c r="G67" s="200"/>
      <c r="H67" s="171"/>
      <c r="I67" s="171"/>
      <c r="J67" s="171"/>
      <c r="K67" s="171"/>
      <c r="L67" s="171"/>
      <c r="M67" s="171"/>
      <c r="N67" s="171"/>
      <c r="O67" s="172"/>
      <c r="P67" s="171"/>
      <c r="Q67" s="133"/>
      <c r="R67" s="133"/>
    </row>
    <row r="68" spans="1:18" ht="15" customHeight="1" x14ac:dyDescent="0.3">
      <c r="A68" s="15" t="s">
        <v>55</v>
      </c>
      <c r="B68" s="15" t="s">
        <v>65</v>
      </c>
      <c r="C68" s="16" t="s">
        <v>362</v>
      </c>
      <c r="D68" s="15" t="s">
        <v>57</v>
      </c>
      <c r="E68" s="15" t="s">
        <v>415</v>
      </c>
      <c r="F68" s="15" t="s">
        <v>30</v>
      </c>
      <c r="G68" s="200"/>
      <c r="H68" s="171"/>
      <c r="I68" s="171"/>
      <c r="J68" s="171"/>
      <c r="K68" s="171"/>
      <c r="L68" s="171"/>
      <c r="M68" s="171"/>
      <c r="N68" s="171"/>
      <c r="O68" s="172"/>
      <c r="P68" s="171"/>
      <c r="Q68" s="133"/>
      <c r="R68" s="133"/>
    </row>
    <row r="69" spans="1:18" ht="15" customHeight="1" x14ac:dyDescent="0.3">
      <c r="A69" s="15" t="s">
        <v>55</v>
      </c>
      <c r="B69" s="15" t="s">
        <v>68</v>
      </c>
      <c r="C69" s="16" t="s">
        <v>364</v>
      </c>
      <c r="D69" s="15" t="s">
        <v>57</v>
      </c>
      <c r="E69" s="15" t="s">
        <v>415</v>
      </c>
      <c r="F69" s="15" t="s">
        <v>30</v>
      </c>
      <c r="G69" s="200"/>
      <c r="H69" s="171"/>
      <c r="I69" s="171"/>
      <c r="J69" s="171"/>
      <c r="K69" s="171"/>
      <c r="L69" s="171"/>
      <c r="M69" s="171"/>
      <c r="N69" s="171"/>
      <c r="O69" s="172"/>
      <c r="P69" s="171"/>
      <c r="Q69" s="133"/>
      <c r="R69" s="133"/>
    </row>
    <row r="70" spans="1:18" ht="15" customHeight="1" x14ac:dyDescent="0.3">
      <c r="A70" s="15" t="s">
        <v>55</v>
      </c>
      <c r="B70" s="15" t="s">
        <v>196</v>
      </c>
      <c r="C70" s="16" t="s">
        <v>301</v>
      </c>
      <c r="D70" s="15" t="s">
        <v>57</v>
      </c>
      <c r="E70" s="15" t="s">
        <v>415</v>
      </c>
      <c r="F70" s="15" t="s">
        <v>30</v>
      </c>
      <c r="G70" s="200"/>
      <c r="H70" s="171"/>
      <c r="I70" s="171"/>
      <c r="J70" s="171"/>
      <c r="K70" s="171"/>
      <c r="L70" s="171"/>
      <c r="M70" s="171"/>
      <c r="N70" s="171"/>
      <c r="O70" s="172"/>
      <c r="P70" s="171"/>
      <c r="Q70" s="133"/>
      <c r="R70" s="133"/>
    </row>
    <row r="71" spans="1:18" ht="15" customHeight="1" x14ac:dyDescent="0.3">
      <c r="A71" s="15" t="s">
        <v>26</v>
      </c>
      <c r="B71" s="15" t="s">
        <v>33</v>
      </c>
      <c r="C71" s="16" t="s">
        <v>543</v>
      </c>
      <c r="D71" s="15" t="s">
        <v>28</v>
      </c>
      <c r="E71" s="15" t="s">
        <v>420</v>
      </c>
      <c r="F71" s="15" t="s">
        <v>30</v>
      </c>
      <c r="G71" s="200"/>
      <c r="H71" s="171"/>
      <c r="I71" s="171"/>
      <c r="J71" s="171"/>
      <c r="K71" s="171"/>
      <c r="L71" s="171"/>
      <c r="M71" s="171"/>
      <c r="N71" s="171"/>
      <c r="O71" s="172"/>
      <c r="P71" s="171"/>
      <c r="Q71" s="133"/>
      <c r="R71" s="133"/>
    </row>
    <row r="72" spans="1:18" ht="15" customHeight="1" x14ac:dyDescent="0.3">
      <c r="A72" s="15" t="s">
        <v>83</v>
      </c>
      <c r="B72" s="15" t="s">
        <v>102</v>
      </c>
      <c r="C72" s="16" t="s">
        <v>431</v>
      </c>
      <c r="D72" s="15" t="s">
        <v>85</v>
      </c>
      <c r="E72" s="15" t="s">
        <v>420</v>
      </c>
      <c r="F72" s="15" t="s">
        <v>202</v>
      </c>
      <c r="G72" s="200"/>
      <c r="H72" s="171"/>
      <c r="I72" s="171"/>
      <c r="J72" s="171"/>
      <c r="K72" s="171"/>
      <c r="L72" s="171"/>
      <c r="M72" s="171"/>
      <c r="N72" s="171"/>
      <c r="O72" s="172"/>
      <c r="P72" s="171"/>
      <c r="Q72" s="133"/>
      <c r="R72" s="133"/>
    </row>
    <row r="73" spans="1:18" ht="15" customHeight="1" thickBot="1" x14ac:dyDescent="0.35">
      <c r="A73" s="61" t="s">
        <v>35</v>
      </c>
      <c r="B73" s="61" t="s">
        <v>45</v>
      </c>
      <c r="C73" s="62" t="s">
        <v>412</v>
      </c>
      <c r="D73" s="61" t="s">
        <v>37</v>
      </c>
      <c r="E73" s="61" t="s">
        <v>471</v>
      </c>
      <c r="F73" s="61" t="s">
        <v>39</v>
      </c>
      <c r="G73" s="201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7.399999999999999" customHeight="1" thickBot="1" x14ac:dyDescent="0.35">
      <c r="A74" s="225"/>
      <c r="B74" s="226"/>
      <c r="C74" s="226"/>
      <c r="D74" s="226"/>
      <c r="E74" s="226"/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7"/>
    </row>
    <row r="75" spans="1:18" ht="22.05" customHeight="1" thickTop="1" thickBot="1" x14ac:dyDescent="0.35">
      <c r="A75" s="190" t="s">
        <v>6</v>
      </c>
      <c r="B75" s="191"/>
      <c r="C75" s="191"/>
      <c r="D75" s="191"/>
      <c r="E75" s="191"/>
      <c r="F75" s="192"/>
      <c r="G75" s="68">
        <v>45990</v>
      </c>
      <c r="H75" s="202" t="s">
        <v>7</v>
      </c>
      <c r="I75" s="191"/>
      <c r="J75" s="191"/>
      <c r="K75" s="191"/>
      <c r="L75" s="191"/>
      <c r="M75" s="191"/>
      <c r="N75" s="191"/>
      <c r="O75" s="191"/>
      <c r="P75" s="191"/>
      <c r="Q75" s="191"/>
      <c r="R75" s="192"/>
    </row>
    <row r="76" spans="1:18" ht="24" customHeight="1" x14ac:dyDescent="0.3">
      <c r="A76" s="69" t="s">
        <v>8</v>
      </c>
      <c r="B76" s="69" t="s">
        <v>9</v>
      </c>
      <c r="C76" s="70" t="s">
        <v>10</v>
      </c>
      <c r="D76" s="69" t="s">
        <v>11</v>
      </c>
      <c r="E76" s="69" t="s">
        <v>12</v>
      </c>
      <c r="F76" s="71" t="s">
        <v>13</v>
      </c>
      <c r="G76" s="72" t="s">
        <v>14</v>
      </c>
      <c r="H76" s="69" t="s">
        <v>15</v>
      </c>
      <c r="I76" s="73" t="s">
        <v>16</v>
      </c>
      <c r="J76" s="74" t="s">
        <v>17</v>
      </c>
      <c r="K76" s="75" t="s">
        <v>18</v>
      </c>
      <c r="L76" s="74" t="s">
        <v>19</v>
      </c>
      <c r="M76" s="74" t="s">
        <v>20</v>
      </c>
      <c r="N76" s="74" t="s">
        <v>21</v>
      </c>
      <c r="O76" s="69" t="s">
        <v>22</v>
      </c>
      <c r="P76" s="70" t="s">
        <v>23</v>
      </c>
      <c r="Q76" s="74" t="s">
        <v>24</v>
      </c>
      <c r="R76" s="69" t="s">
        <v>25</v>
      </c>
    </row>
    <row r="77" spans="1:18" ht="15" customHeight="1" x14ac:dyDescent="0.3">
      <c r="A77" s="188" t="s">
        <v>55</v>
      </c>
      <c r="B77" s="188" t="s">
        <v>621</v>
      </c>
      <c r="C77" s="189">
        <v>0.30208333333333331</v>
      </c>
      <c r="D77" s="188" t="s">
        <v>57</v>
      </c>
      <c r="E77" s="188" t="s">
        <v>29</v>
      </c>
      <c r="F77" s="188" t="s">
        <v>74</v>
      </c>
      <c r="G77" s="199"/>
      <c r="H77" s="100" t="s">
        <v>622</v>
      </c>
      <c r="I77" s="127">
        <v>0.71430000000000005</v>
      </c>
      <c r="J77" s="102">
        <v>120</v>
      </c>
      <c r="K77" s="103">
        <v>45981</v>
      </c>
      <c r="L77" s="102">
        <v>3</v>
      </c>
      <c r="M77" s="102">
        <v>0</v>
      </c>
      <c r="N77" s="102">
        <v>2</v>
      </c>
      <c r="O77" s="104" t="s">
        <v>632</v>
      </c>
      <c r="P77" s="105">
        <v>0.30208333333333331</v>
      </c>
      <c r="Q77" s="102">
        <v>168</v>
      </c>
      <c r="R77" s="106" t="s">
        <v>633</v>
      </c>
    </row>
    <row r="78" spans="1:18" ht="15" customHeight="1" x14ac:dyDescent="0.3">
      <c r="A78" s="108" t="s">
        <v>55</v>
      </c>
      <c r="B78" s="108" t="s">
        <v>609</v>
      </c>
      <c r="C78" s="109">
        <v>0.6875</v>
      </c>
      <c r="D78" s="108" t="s">
        <v>57</v>
      </c>
      <c r="E78" s="108" t="s">
        <v>32</v>
      </c>
      <c r="F78" s="108" t="s">
        <v>244</v>
      </c>
      <c r="G78" s="200"/>
      <c r="H78" s="78" t="s">
        <v>610</v>
      </c>
      <c r="I78" s="123">
        <v>0.92859999999999998</v>
      </c>
      <c r="J78" s="80">
        <v>156</v>
      </c>
      <c r="K78" s="81">
        <v>45981</v>
      </c>
      <c r="L78" s="80">
        <v>6</v>
      </c>
      <c r="M78" s="80">
        <v>0</v>
      </c>
      <c r="N78" s="80">
        <v>3</v>
      </c>
      <c r="O78" s="82" t="s">
        <v>386</v>
      </c>
      <c r="P78" s="83">
        <v>0.6875</v>
      </c>
      <c r="Q78" s="80">
        <v>168</v>
      </c>
      <c r="R78" s="84" t="s">
        <v>634</v>
      </c>
    </row>
    <row r="79" spans="1:18" ht="18" x14ac:dyDescent="0.3">
      <c r="A79" s="208" t="s">
        <v>512</v>
      </c>
      <c r="B79" s="209"/>
      <c r="C79" s="209"/>
      <c r="D79" s="209"/>
      <c r="E79" s="209"/>
      <c r="F79" s="210"/>
      <c r="G79" s="200"/>
      <c r="H79" s="171"/>
      <c r="I79" s="171"/>
      <c r="J79" s="171"/>
      <c r="K79" s="171"/>
      <c r="L79" s="171"/>
      <c r="M79" s="171"/>
      <c r="N79" s="171"/>
      <c r="O79" s="172"/>
      <c r="P79" s="171"/>
      <c r="Q79" s="133"/>
      <c r="R79" s="133"/>
    </row>
    <row r="80" spans="1:18" ht="15" customHeight="1" x14ac:dyDescent="0.3">
      <c r="A80" s="15" t="s">
        <v>35</v>
      </c>
      <c r="B80" s="15" t="s">
        <v>50</v>
      </c>
      <c r="C80" s="16" t="s">
        <v>443</v>
      </c>
      <c r="D80" s="15" t="s">
        <v>37</v>
      </c>
      <c r="E80" s="15" t="s">
        <v>426</v>
      </c>
      <c r="F80" s="15" t="s">
        <v>159</v>
      </c>
      <c r="G80" s="200"/>
      <c r="H80" s="171"/>
      <c r="I80" s="171"/>
      <c r="J80" s="171"/>
      <c r="K80" s="171"/>
      <c r="L80" s="171"/>
      <c r="M80" s="171"/>
      <c r="N80" s="171"/>
      <c r="O80" s="172"/>
      <c r="P80" s="171"/>
      <c r="Q80" s="133"/>
      <c r="R80" s="133"/>
    </row>
    <row r="81" spans="1:18" ht="15" customHeight="1" x14ac:dyDescent="0.3">
      <c r="A81" s="15" t="s">
        <v>55</v>
      </c>
      <c r="B81" s="15" t="s">
        <v>192</v>
      </c>
      <c r="C81" s="16" t="s">
        <v>380</v>
      </c>
      <c r="D81" s="15" t="s">
        <v>57</v>
      </c>
      <c r="E81" s="15" t="s">
        <v>471</v>
      </c>
      <c r="F81" s="15" t="s">
        <v>30</v>
      </c>
      <c r="G81" s="200"/>
      <c r="H81" s="171"/>
      <c r="I81" s="171"/>
      <c r="J81" s="171"/>
      <c r="K81" s="171"/>
      <c r="L81" s="171"/>
      <c r="M81" s="171"/>
      <c r="N81" s="171"/>
      <c r="O81" s="172"/>
      <c r="P81" s="171"/>
      <c r="Q81" s="133"/>
      <c r="R81" s="133"/>
    </row>
    <row r="82" spans="1:18" ht="15" customHeight="1" x14ac:dyDescent="0.3">
      <c r="A82" s="15" t="s">
        <v>55</v>
      </c>
      <c r="B82" s="15" t="s">
        <v>65</v>
      </c>
      <c r="C82" s="16" t="s">
        <v>345</v>
      </c>
      <c r="D82" s="15" t="s">
        <v>57</v>
      </c>
      <c r="E82" s="15" t="s">
        <v>415</v>
      </c>
      <c r="F82" s="15" t="s">
        <v>30</v>
      </c>
      <c r="G82" s="200"/>
      <c r="H82" s="171"/>
      <c r="I82" s="171"/>
      <c r="J82" s="171"/>
      <c r="K82" s="171"/>
      <c r="L82" s="171"/>
      <c r="M82" s="171"/>
      <c r="N82" s="171"/>
      <c r="O82" s="172"/>
      <c r="P82" s="171"/>
      <c r="Q82" s="133"/>
      <c r="R82" s="133"/>
    </row>
    <row r="83" spans="1:18" ht="15" customHeight="1" x14ac:dyDescent="0.3">
      <c r="A83" s="15" t="s">
        <v>26</v>
      </c>
      <c r="B83" s="15" t="s">
        <v>27</v>
      </c>
      <c r="C83" s="16" t="s">
        <v>559</v>
      </c>
      <c r="D83" s="15" t="s">
        <v>28</v>
      </c>
      <c r="E83" s="15" t="s">
        <v>415</v>
      </c>
      <c r="F83" s="15" t="s">
        <v>30</v>
      </c>
      <c r="G83" s="200"/>
      <c r="H83" s="171"/>
      <c r="I83" s="171"/>
      <c r="J83" s="171"/>
      <c r="K83" s="171"/>
      <c r="L83" s="171"/>
      <c r="M83" s="171"/>
      <c r="N83" s="171"/>
      <c r="O83" s="172"/>
      <c r="P83" s="171"/>
      <c r="Q83" s="133"/>
      <c r="R83" s="133"/>
    </row>
    <row r="84" spans="1:18" ht="15" customHeight="1" x14ac:dyDescent="0.3">
      <c r="A84" s="15" t="s">
        <v>35</v>
      </c>
      <c r="B84" s="15" t="s">
        <v>36</v>
      </c>
      <c r="C84" s="16" t="s">
        <v>411</v>
      </c>
      <c r="D84" s="15" t="s">
        <v>37</v>
      </c>
      <c r="E84" s="15" t="s">
        <v>444</v>
      </c>
      <c r="F84" s="15" t="s">
        <v>39</v>
      </c>
      <c r="G84" s="200"/>
      <c r="H84" s="171"/>
      <c r="I84" s="171"/>
      <c r="J84" s="171"/>
      <c r="K84" s="171"/>
      <c r="L84" s="171"/>
      <c r="M84" s="171"/>
      <c r="N84" s="171"/>
      <c r="O84" s="172"/>
      <c r="P84" s="171"/>
      <c r="Q84" s="133"/>
      <c r="R84" s="133"/>
    </row>
    <row r="85" spans="1:18" ht="15" customHeight="1" x14ac:dyDescent="0.3">
      <c r="A85" s="15" t="s">
        <v>110</v>
      </c>
      <c r="B85" s="15" t="s">
        <v>111</v>
      </c>
      <c r="C85" s="16" t="s">
        <v>474</v>
      </c>
      <c r="D85" s="15" t="s">
        <v>112</v>
      </c>
      <c r="E85" s="15" t="s">
        <v>426</v>
      </c>
      <c r="F85" s="15" t="s">
        <v>231</v>
      </c>
      <c r="G85" s="200"/>
      <c r="H85" s="171"/>
      <c r="I85" s="171"/>
      <c r="J85" s="171"/>
      <c r="K85" s="171"/>
      <c r="L85" s="171"/>
      <c r="M85" s="171"/>
      <c r="N85" s="171"/>
      <c r="O85" s="172"/>
      <c r="P85" s="171"/>
      <c r="Q85" s="133"/>
      <c r="R85" s="133"/>
    </row>
    <row r="86" spans="1:18" ht="15" customHeight="1" x14ac:dyDescent="0.3">
      <c r="A86" s="15" t="s">
        <v>55</v>
      </c>
      <c r="B86" s="15" t="s">
        <v>68</v>
      </c>
      <c r="C86" s="16" t="s">
        <v>384</v>
      </c>
      <c r="D86" s="15" t="s">
        <v>57</v>
      </c>
      <c r="E86" s="15" t="s">
        <v>415</v>
      </c>
      <c r="F86" s="15" t="s">
        <v>58</v>
      </c>
      <c r="G86" s="200"/>
      <c r="H86" s="171"/>
      <c r="I86" s="171"/>
      <c r="J86" s="171"/>
      <c r="K86" s="171"/>
      <c r="L86" s="171"/>
      <c r="M86" s="171"/>
      <c r="N86" s="171"/>
      <c r="O86" s="172"/>
      <c r="P86" s="171"/>
      <c r="Q86" s="133"/>
      <c r="R86" s="133"/>
    </row>
    <row r="87" spans="1:18" ht="15" customHeight="1" x14ac:dyDescent="0.3">
      <c r="A87" s="15" t="s">
        <v>110</v>
      </c>
      <c r="B87" s="15" t="s">
        <v>173</v>
      </c>
      <c r="C87" s="16" t="s">
        <v>455</v>
      </c>
      <c r="D87" s="15" t="s">
        <v>112</v>
      </c>
      <c r="E87" s="15" t="s">
        <v>426</v>
      </c>
      <c r="F87" s="15" t="s">
        <v>233</v>
      </c>
      <c r="G87" s="200"/>
      <c r="H87" s="171"/>
      <c r="I87" s="171"/>
      <c r="J87" s="171"/>
      <c r="K87" s="171"/>
      <c r="L87" s="171"/>
      <c r="M87" s="171"/>
      <c r="N87" s="171"/>
      <c r="O87" s="172"/>
      <c r="P87" s="171"/>
      <c r="Q87" s="133"/>
      <c r="R87" s="133"/>
    </row>
    <row r="88" spans="1:18" ht="15" customHeight="1" x14ac:dyDescent="0.3">
      <c r="A88" s="15" t="s">
        <v>83</v>
      </c>
      <c r="B88" s="15" t="s">
        <v>84</v>
      </c>
      <c r="C88" s="16" t="s">
        <v>419</v>
      </c>
      <c r="D88" s="15" t="s">
        <v>85</v>
      </c>
      <c r="E88" s="15" t="s">
        <v>426</v>
      </c>
      <c r="F88" s="15" t="s">
        <v>86</v>
      </c>
      <c r="G88" s="200"/>
      <c r="H88" s="171"/>
      <c r="I88" s="171"/>
      <c r="J88" s="171"/>
      <c r="K88" s="171"/>
      <c r="L88" s="171"/>
      <c r="M88" s="171"/>
      <c r="N88" s="171"/>
      <c r="O88" s="172"/>
      <c r="P88" s="171"/>
      <c r="Q88" s="133"/>
      <c r="R88" s="133"/>
    </row>
    <row r="89" spans="1:18" ht="15" customHeight="1" thickBot="1" x14ac:dyDescent="0.35">
      <c r="A89" s="61" t="s">
        <v>83</v>
      </c>
      <c r="B89" s="61" t="s">
        <v>100</v>
      </c>
      <c r="C89" s="62" t="s">
        <v>457</v>
      </c>
      <c r="D89" s="61" t="s">
        <v>85</v>
      </c>
      <c r="E89" s="61" t="s">
        <v>420</v>
      </c>
      <c r="F89" s="61" t="s">
        <v>86</v>
      </c>
      <c r="G89" s="201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7.399999999999999" customHeight="1" thickBot="1" x14ac:dyDescent="0.35">
      <c r="A90" s="225"/>
      <c r="B90" s="226"/>
      <c r="C90" s="226"/>
      <c r="D90" s="226"/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7"/>
    </row>
    <row r="91" spans="1:18" ht="22.05" customHeight="1" thickTop="1" thickBot="1" x14ac:dyDescent="0.35">
      <c r="A91" s="190" t="s">
        <v>6</v>
      </c>
      <c r="B91" s="191"/>
      <c r="C91" s="191"/>
      <c r="D91" s="191"/>
      <c r="E91" s="191"/>
      <c r="F91" s="192"/>
      <c r="G91" s="68">
        <v>45991</v>
      </c>
      <c r="H91" s="202" t="s">
        <v>7</v>
      </c>
      <c r="I91" s="191"/>
      <c r="J91" s="191"/>
      <c r="K91" s="191"/>
      <c r="L91" s="191"/>
      <c r="M91" s="191"/>
      <c r="N91" s="191"/>
      <c r="O91" s="191"/>
      <c r="P91" s="191"/>
      <c r="Q91" s="191"/>
      <c r="R91" s="192"/>
    </row>
    <row r="92" spans="1:18" ht="24" customHeight="1" x14ac:dyDescent="0.3">
      <c r="A92" s="69" t="s">
        <v>8</v>
      </c>
      <c r="B92" s="69" t="s">
        <v>9</v>
      </c>
      <c r="C92" s="70" t="s">
        <v>10</v>
      </c>
      <c r="D92" s="69" t="s">
        <v>11</v>
      </c>
      <c r="E92" s="69" t="s">
        <v>12</v>
      </c>
      <c r="F92" s="71" t="s">
        <v>13</v>
      </c>
      <c r="G92" s="72" t="s">
        <v>14</v>
      </c>
      <c r="H92" s="69" t="s">
        <v>15</v>
      </c>
      <c r="I92" s="73" t="s">
        <v>16</v>
      </c>
      <c r="J92" s="74" t="s">
        <v>17</v>
      </c>
      <c r="K92" s="75" t="s">
        <v>18</v>
      </c>
      <c r="L92" s="74" t="s">
        <v>19</v>
      </c>
      <c r="M92" s="74" t="s">
        <v>20</v>
      </c>
      <c r="N92" s="74" t="s">
        <v>21</v>
      </c>
      <c r="O92" s="69" t="s">
        <v>22</v>
      </c>
      <c r="P92" s="70" t="s">
        <v>23</v>
      </c>
      <c r="Q92" s="74" t="s">
        <v>24</v>
      </c>
      <c r="R92" s="69" t="s">
        <v>25</v>
      </c>
    </row>
    <row r="93" spans="1:18" ht="15" customHeight="1" x14ac:dyDescent="0.3">
      <c r="A93" s="8" t="s">
        <v>35</v>
      </c>
      <c r="B93" s="8" t="s">
        <v>614</v>
      </c>
      <c r="C93" s="9">
        <v>0.28472222222222221</v>
      </c>
      <c r="D93" s="8" t="s">
        <v>495</v>
      </c>
      <c r="E93" s="8" t="s">
        <v>170</v>
      </c>
      <c r="F93" s="8" t="s">
        <v>635</v>
      </c>
      <c r="G93" s="199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9" t="s">
        <v>35</v>
      </c>
      <c r="B94" s="19" t="s">
        <v>614</v>
      </c>
      <c r="C94" s="20">
        <v>0.28472222222222221</v>
      </c>
      <c r="D94" s="19" t="s">
        <v>486</v>
      </c>
      <c r="E94" s="19" t="s">
        <v>93</v>
      </c>
      <c r="F94" s="19" t="s">
        <v>636</v>
      </c>
      <c r="G94" s="200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9" t="s">
        <v>35</v>
      </c>
      <c r="B95" s="19" t="s">
        <v>614</v>
      </c>
      <c r="C95" s="20">
        <v>0.28472222222222221</v>
      </c>
      <c r="D95" s="19" t="s">
        <v>488</v>
      </c>
      <c r="E95" s="19" t="s">
        <v>93</v>
      </c>
      <c r="F95" s="19" t="s">
        <v>637</v>
      </c>
      <c r="G95" s="200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9" t="s">
        <v>35</v>
      </c>
      <c r="B96" s="19" t="s">
        <v>614</v>
      </c>
      <c r="C96" s="20">
        <v>0.28472222222222221</v>
      </c>
      <c r="D96" s="19" t="s">
        <v>499</v>
      </c>
      <c r="E96" s="19" t="s">
        <v>93</v>
      </c>
      <c r="F96" s="19" t="s">
        <v>222</v>
      </c>
      <c r="G96" s="200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10" t="s">
        <v>55</v>
      </c>
      <c r="B97" s="110" t="s">
        <v>609</v>
      </c>
      <c r="C97" s="111">
        <v>0.85069444444444453</v>
      </c>
      <c r="D97" s="110" t="s">
        <v>57</v>
      </c>
      <c r="E97" s="110" t="s">
        <v>29</v>
      </c>
      <c r="F97" s="110" t="s">
        <v>30</v>
      </c>
      <c r="G97" s="200"/>
      <c r="H97" s="32" t="s">
        <v>610</v>
      </c>
      <c r="I97" s="33">
        <v>0.5</v>
      </c>
      <c r="J97" s="34">
        <v>84</v>
      </c>
      <c r="K97" s="35">
        <v>45981</v>
      </c>
      <c r="L97" s="34">
        <v>24</v>
      </c>
      <c r="M97" s="34">
        <v>0</v>
      </c>
      <c r="N97" s="34">
        <v>5</v>
      </c>
      <c r="O97" s="36" t="s">
        <v>166</v>
      </c>
      <c r="P97" s="37">
        <v>0.85069444444444453</v>
      </c>
      <c r="Q97" s="34">
        <v>168</v>
      </c>
      <c r="R97" s="38" t="s">
        <v>638</v>
      </c>
    </row>
    <row r="98" spans="1:18" ht="15" customHeight="1" x14ac:dyDescent="0.3">
      <c r="A98" s="98" t="s">
        <v>55</v>
      </c>
      <c r="B98" s="98" t="s">
        <v>621</v>
      </c>
      <c r="C98" s="99">
        <v>0.76736111111111116</v>
      </c>
      <c r="D98" s="98" t="s">
        <v>57</v>
      </c>
      <c r="E98" s="98" t="s">
        <v>32</v>
      </c>
      <c r="F98" s="98" t="s">
        <v>58</v>
      </c>
      <c r="G98" s="200"/>
      <c r="H98" s="100" t="s">
        <v>622</v>
      </c>
      <c r="I98" s="127">
        <v>0.72619999999999996</v>
      </c>
      <c r="J98" s="102">
        <v>122</v>
      </c>
      <c r="K98" s="103">
        <v>45981</v>
      </c>
      <c r="L98" s="102">
        <v>18</v>
      </c>
      <c r="M98" s="102">
        <v>0</v>
      </c>
      <c r="N98" s="102">
        <v>5</v>
      </c>
      <c r="O98" s="104" t="s">
        <v>60</v>
      </c>
      <c r="P98" s="105">
        <v>0.76736111111111116</v>
      </c>
      <c r="Q98" s="102">
        <v>168</v>
      </c>
      <c r="R98" s="106" t="s">
        <v>639</v>
      </c>
    </row>
    <row r="99" spans="1:18" ht="18" x14ac:dyDescent="0.3">
      <c r="A99" s="208" t="s">
        <v>512</v>
      </c>
      <c r="B99" s="209"/>
      <c r="C99" s="209"/>
      <c r="D99" s="209"/>
      <c r="E99" s="209"/>
      <c r="F99" s="210"/>
      <c r="G99" s="200"/>
      <c r="H99" s="171"/>
      <c r="I99" s="171"/>
      <c r="J99" s="171"/>
      <c r="K99" s="171"/>
      <c r="L99" s="171"/>
      <c r="M99" s="171"/>
      <c r="N99" s="171"/>
      <c r="O99" s="172"/>
      <c r="P99" s="171"/>
      <c r="Q99" s="133"/>
      <c r="R99" s="133"/>
    </row>
    <row r="100" spans="1:18" ht="15" customHeight="1" x14ac:dyDescent="0.3">
      <c r="A100" s="15" t="s">
        <v>116</v>
      </c>
      <c r="B100" s="15" t="s">
        <v>117</v>
      </c>
      <c r="C100" s="16" t="s">
        <v>565</v>
      </c>
      <c r="D100" s="15" t="s">
        <v>28</v>
      </c>
      <c r="E100" s="15" t="s">
        <v>415</v>
      </c>
      <c r="F100" s="15" t="s">
        <v>164</v>
      </c>
      <c r="G100" s="200"/>
      <c r="H100" s="171"/>
      <c r="I100" s="171"/>
      <c r="J100" s="171"/>
      <c r="K100" s="171"/>
      <c r="L100" s="171"/>
      <c r="M100" s="171"/>
      <c r="N100" s="171"/>
      <c r="O100" s="172"/>
      <c r="P100" s="171"/>
      <c r="Q100" s="133"/>
      <c r="R100" s="133"/>
    </row>
    <row r="101" spans="1:18" ht="15" customHeight="1" x14ac:dyDescent="0.3">
      <c r="A101" s="15" t="s">
        <v>55</v>
      </c>
      <c r="B101" s="15" t="s">
        <v>65</v>
      </c>
      <c r="C101" s="16" t="s">
        <v>362</v>
      </c>
      <c r="D101" s="15" t="s">
        <v>57</v>
      </c>
      <c r="E101" s="15" t="s">
        <v>415</v>
      </c>
      <c r="F101" s="15" t="s">
        <v>30</v>
      </c>
      <c r="G101" s="200"/>
      <c r="H101" s="171"/>
      <c r="I101" s="171"/>
      <c r="J101" s="171"/>
      <c r="K101" s="171"/>
      <c r="L101" s="171"/>
      <c r="M101" s="171"/>
      <c r="N101" s="171"/>
      <c r="O101" s="172"/>
      <c r="P101" s="171"/>
      <c r="Q101" s="133"/>
      <c r="R101" s="133"/>
    </row>
    <row r="102" spans="1:18" ht="15" customHeight="1" x14ac:dyDescent="0.3">
      <c r="A102" s="15" t="s">
        <v>26</v>
      </c>
      <c r="B102" s="15" t="s">
        <v>27</v>
      </c>
      <c r="C102" s="16" t="s">
        <v>566</v>
      </c>
      <c r="D102" s="15" t="s">
        <v>28</v>
      </c>
      <c r="E102" s="15" t="s">
        <v>453</v>
      </c>
      <c r="F102" s="15" t="s">
        <v>30</v>
      </c>
      <c r="G102" s="200"/>
      <c r="H102" s="171"/>
      <c r="I102" s="171"/>
      <c r="J102" s="171"/>
      <c r="K102" s="171"/>
      <c r="L102" s="171"/>
      <c r="M102" s="171"/>
      <c r="N102" s="171"/>
      <c r="O102" s="172"/>
      <c r="P102" s="171"/>
      <c r="Q102" s="133"/>
      <c r="R102" s="133"/>
    </row>
    <row r="103" spans="1:18" ht="15" customHeight="1" x14ac:dyDescent="0.3">
      <c r="A103" s="15" t="s">
        <v>83</v>
      </c>
      <c r="B103" s="15" t="s">
        <v>104</v>
      </c>
      <c r="C103" s="16" t="s">
        <v>432</v>
      </c>
      <c r="D103" s="15" t="s">
        <v>85</v>
      </c>
      <c r="E103" s="15" t="s">
        <v>433</v>
      </c>
      <c r="F103" s="15" t="s">
        <v>202</v>
      </c>
      <c r="G103" s="200"/>
      <c r="H103" s="171"/>
      <c r="I103" s="171"/>
      <c r="J103" s="171"/>
      <c r="K103" s="171"/>
      <c r="L103" s="171"/>
      <c r="M103" s="171"/>
      <c r="N103" s="171"/>
      <c r="O103" s="172"/>
      <c r="P103" s="171"/>
      <c r="Q103" s="133"/>
      <c r="R103" s="133"/>
    </row>
    <row r="104" spans="1:18" ht="15" customHeight="1" x14ac:dyDescent="0.3">
      <c r="A104" s="15" t="s">
        <v>83</v>
      </c>
      <c r="B104" s="15" t="s">
        <v>103</v>
      </c>
      <c r="C104" s="16" t="s">
        <v>411</v>
      </c>
      <c r="D104" s="15" t="s">
        <v>85</v>
      </c>
      <c r="E104" s="15" t="s">
        <v>433</v>
      </c>
      <c r="F104" s="15" t="s">
        <v>202</v>
      </c>
      <c r="G104" s="200"/>
      <c r="H104" s="171"/>
      <c r="I104" s="171"/>
      <c r="J104" s="171"/>
      <c r="K104" s="171"/>
      <c r="L104" s="171"/>
      <c r="M104" s="171"/>
      <c r="N104" s="171"/>
      <c r="O104" s="172"/>
      <c r="P104" s="171"/>
      <c r="Q104" s="133"/>
      <c r="R104" s="133"/>
    </row>
    <row r="105" spans="1:18" ht="15" customHeight="1" x14ac:dyDescent="0.3">
      <c r="A105" s="15" t="s">
        <v>110</v>
      </c>
      <c r="B105" s="15" t="s">
        <v>173</v>
      </c>
      <c r="C105" s="16" t="s">
        <v>478</v>
      </c>
      <c r="D105" s="15" t="s">
        <v>112</v>
      </c>
      <c r="E105" s="15" t="s">
        <v>426</v>
      </c>
      <c r="F105" s="15" t="s">
        <v>250</v>
      </c>
      <c r="G105" s="200"/>
      <c r="H105" s="171"/>
      <c r="I105" s="171"/>
      <c r="J105" s="171"/>
      <c r="K105" s="171"/>
      <c r="L105" s="171"/>
      <c r="M105" s="171"/>
      <c r="N105" s="171"/>
      <c r="O105" s="172"/>
      <c r="P105" s="171"/>
      <c r="Q105" s="133"/>
      <c r="R105" s="133"/>
    </row>
    <row r="106" spans="1:18" ht="15" customHeight="1" x14ac:dyDescent="0.3">
      <c r="A106" s="15" t="s">
        <v>35</v>
      </c>
      <c r="B106" s="15" t="s">
        <v>50</v>
      </c>
      <c r="C106" s="16" t="s">
        <v>443</v>
      </c>
      <c r="D106" s="15" t="s">
        <v>37</v>
      </c>
      <c r="E106" s="15" t="s">
        <v>417</v>
      </c>
      <c r="F106" s="15" t="s">
        <v>39</v>
      </c>
      <c r="G106" s="200"/>
      <c r="H106" s="171"/>
      <c r="I106" s="171"/>
      <c r="J106" s="171"/>
      <c r="K106" s="171"/>
      <c r="L106" s="171"/>
      <c r="M106" s="171"/>
      <c r="N106" s="171"/>
      <c r="O106" s="172"/>
      <c r="P106" s="171"/>
      <c r="Q106" s="133"/>
      <c r="R106" s="133"/>
    </row>
    <row r="107" spans="1:18" ht="15" customHeight="1" x14ac:dyDescent="0.3">
      <c r="A107" s="15" t="s">
        <v>35</v>
      </c>
      <c r="B107" s="15" t="s">
        <v>45</v>
      </c>
      <c r="C107" s="16" t="s">
        <v>412</v>
      </c>
      <c r="D107" s="15" t="s">
        <v>37</v>
      </c>
      <c r="E107" s="15" t="s">
        <v>444</v>
      </c>
      <c r="F107" s="15" t="s">
        <v>39</v>
      </c>
      <c r="G107" s="200"/>
      <c r="H107" s="171"/>
      <c r="I107" s="171"/>
      <c r="J107" s="171"/>
      <c r="K107" s="171"/>
      <c r="L107" s="171"/>
      <c r="M107" s="171"/>
      <c r="N107" s="171"/>
      <c r="O107" s="172"/>
      <c r="P107" s="171"/>
      <c r="Q107" s="133"/>
      <c r="R107" s="133"/>
    </row>
    <row r="108" spans="1:18" ht="15" customHeight="1" x14ac:dyDescent="0.3">
      <c r="A108" s="15" t="s">
        <v>55</v>
      </c>
      <c r="B108" s="15" t="s">
        <v>56</v>
      </c>
      <c r="C108" s="16" t="s">
        <v>391</v>
      </c>
      <c r="D108" s="15" t="s">
        <v>57</v>
      </c>
      <c r="E108" s="15" t="s">
        <v>415</v>
      </c>
      <c r="F108" s="15" t="s">
        <v>58</v>
      </c>
      <c r="G108" s="200"/>
      <c r="H108" s="171"/>
      <c r="I108" s="171"/>
      <c r="J108" s="171"/>
      <c r="K108" s="171"/>
      <c r="L108" s="171"/>
      <c r="M108" s="171"/>
      <c r="N108" s="171"/>
      <c r="O108" s="172"/>
      <c r="P108" s="171"/>
      <c r="Q108" s="133"/>
      <c r="R108" s="133"/>
    </row>
    <row r="109" spans="1:18" ht="15" customHeight="1" x14ac:dyDescent="0.3">
      <c r="A109" s="61" t="s">
        <v>55</v>
      </c>
      <c r="B109" s="61" t="s">
        <v>189</v>
      </c>
      <c r="C109" s="62" t="s">
        <v>345</v>
      </c>
      <c r="D109" s="61" t="s">
        <v>57</v>
      </c>
      <c r="E109" s="61" t="s">
        <v>415</v>
      </c>
      <c r="F109" s="61" t="s">
        <v>58</v>
      </c>
      <c r="G109" s="201"/>
      <c r="H109" s="173"/>
      <c r="I109" s="173"/>
      <c r="J109" s="173"/>
      <c r="K109" s="173"/>
      <c r="L109" s="173"/>
      <c r="M109" s="173"/>
      <c r="N109" s="173"/>
      <c r="O109" s="174"/>
      <c r="P109" s="173"/>
      <c r="Q109" s="175"/>
      <c r="R109" s="175"/>
    </row>
  </sheetData>
  <mergeCells count="36">
    <mergeCell ref="K2:R2"/>
    <mergeCell ref="A48:F48"/>
    <mergeCell ref="A30:F30"/>
    <mergeCell ref="H75:R75"/>
    <mergeCell ref="G62:G73"/>
    <mergeCell ref="G23:G40"/>
    <mergeCell ref="G44:G58"/>
    <mergeCell ref="A59:R59"/>
    <mergeCell ref="A60:F60"/>
    <mergeCell ref="G6:G19"/>
    <mergeCell ref="H42:R42"/>
    <mergeCell ref="H1:L1"/>
    <mergeCell ref="A1:E1"/>
    <mergeCell ref="A21:F21"/>
    <mergeCell ref="H4:R4"/>
    <mergeCell ref="A74:R74"/>
    <mergeCell ref="A2:F2"/>
    <mergeCell ref="A3:R3"/>
    <mergeCell ref="A42:F42"/>
    <mergeCell ref="H21:R21"/>
    <mergeCell ref="H60:R60"/>
    <mergeCell ref="G2:J2"/>
    <mergeCell ref="A4:F4"/>
    <mergeCell ref="N1:R1"/>
    <mergeCell ref="A20:R20"/>
    <mergeCell ref="A63:F63"/>
    <mergeCell ref="A9:F9"/>
    <mergeCell ref="A99:F99"/>
    <mergeCell ref="H91:R91"/>
    <mergeCell ref="A41:R41"/>
    <mergeCell ref="A75:F75"/>
    <mergeCell ref="A90:R90"/>
    <mergeCell ref="A91:F91"/>
    <mergeCell ref="G93:G109"/>
    <mergeCell ref="A79:F79"/>
    <mergeCell ref="G77:G8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defaultRowHeight="15.6" outlineLevelCol="1" x14ac:dyDescent="0.3"/>
  <cols>
    <col min="1" max="1" width="11.5546875" style="212" bestFit="1" customWidth="1"/>
    <col min="2" max="2" width="10.44140625" style="212" bestFit="1" customWidth="1"/>
    <col min="3" max="3" width="6.77734375" style="212" bestFit="1" customWidth="1"/>
    <col min="4" max="4" width="5.5546875" style="212" bestFit="1" customWidth="1"/>
    <col min="5" max="5" width="7.77734375" style="212" bestFit="1" customWidth="1"/>
    <col min="6" max="6" width="4.21875" style="212" bestFit="1" customWidth="1"/>
    <col min="7" max="7" width="10" style="212" bestFit="1" customWidth="1"/>
    <col min="8" max="10" width="8.5546875" style="212" bestFit="1" customWidth="1"/>
    <col min="11" max="11" width="10.5546875" style="212" bestFit="1" customWidth="1"/>
    <col min="12" max="12" width="9.109375" style="212" bestFit="1" customWidth="1"/>
    <col min="13" max="13" width="7.6640625" style="212" bestFit="1" customWidth="1" outlineLevel="1"/>
    <col min="14" max="14" width="6.33203125" style="212" bestFit="1" customWidth="1" outlineLevel="1"/>
    <col min="15" max="15" width="8" style="212" bestFit="1" customWidth="1" outlineLevel="1"/>
    <col min="16" max="16" width="13.6640625" style="212" bestFit="1" customWidth="1"/>
    <col min="17" max="26" width="3.88671875" style="212" bestFit="1" customWidth="1"/>
    <col min="27" max="27" width="4" style="212" bestFit="1" customWidth="1"/>
    <col min="28" max="28" width="3.88671875" style="212" bestFit="1" customWidth="1"/>
    <col min="29" max="29" width="4.21875" style="212" bestFit="1" customWidth="1"/>
    <col min="30" max="31" width="4.5546875" style="212" bestFit="1" customWidth="1"/>
    <col min="32" max="32" width="3.88671875" style="212" bestFit="1" customWidth="1"/>
    <col min="33" max="33" width="4.21875" style="212" bestFit="1" customWidth="1"/>
    <col min="34" max="34" width="3.88671875" style="212" bestFit="1" customWidth="1"/>
    <col min="35" max="35" width="5.21875" style="212" bestFit="1" customWidth="1"/>
    <col min="36" max="36" width="3.88671875" style="212" bestFit="1" customWidth="1"/>
    <col min="37" max="16384" width="8.88671875" style="212"/>
  </cols>
  <sheetData>
    <row r="1" spans="1:36" x14ac:dyDescent="0.3">
      <c r="A1" s="211" t="s">
        <v>256</v>
      </c>
      <c r="B1" s="211" t="s">
        <v>257</v>
      </c>
      <c r="C1" s="211" t="s">
        <v>258</v>
      </c>
      <c r="D1" s="211" t="s">
        <v>23</v>
      </c>
      <c r="E1" s="211" t="s">
        <v>259</v>
      </c>
      <c r="F1" s="211" t="s">
        <v>260</v>
      </c>
      <c r="G1" s="211" t="s">
        <v>16</v>
      </c>
      <c r="H1" s="211" t="s">
        <v>261</v>
      </c>
      <c r="I1" s="211" t="s">
        <v>262</v>
      </c>
      <c r="J1" s="211" t="s">
        <v>263</v>
      </c>
      <c r="K1" s="211" t="s">
        <v>264</v>
      </c>
      <c r="L1" s="211" t="s">
        <v>18</v>
      </c>
      <c r="M1" s="211" t="s">
        <v>20</v>
      </c>
      <c r="N1" s="211" t="s">
        <v>21</v>
      </c>
      <c r="O1" s="211" t="s">
        <v>19</v>
      </c>
      <c r="P1" s="211" t="s">
        <v>22</v>
      </c>
      <c r="Q1" s="211" t="s">
        <v>265</v>
      </c>
      <c r="R1" s="211" t="s">
        <v>266</v>
      </c>
      <c r="S1" s="211" t="s">
        <v>267</v>
      </c>
      <c r="T1" s="211" t="s">
        <v>268</v>
      </c>
      <c r="U1" s="211" t="s">
        <v>269</v>
      </c>
      <c r="V1" s="211" t="s">
        <v>270</v>
      </c>
      <c r="W1" s="211" t="s">
        <v>271</v>
      </c>
      <c r="X1" s="211" t="s">
        <v>272</v>
      </c>
      <c r="Y1" s="211" t="s">
        <v>273</v>
      </c>
      <c r="Z1" s="211" t="s">
        <v>274</v>
      </c>
      <c r="AA1" s="211" t="s">
        <v>275</v>
      </c>
      <c r="AB1" s="211" t="s">
        <v>276</v>
      </c>
      <c r="AC1" s="211" t="s">
        <v>277</v>
      </c>
      <c r="AD1" s="211" t="s">
        <v>278</v>
      </c>
      <c r="AE1" s="211" t="s">
        <v>279</v>
      </c>
      <c r="AF1" s="211" t="s">
        <v>280</v>
      </c>
      <c r="AG1" s="211" t="s">
        <v>281</v>
      </c>
      <c r="AH1" s="211" t="s">
        <v>282</v>
      </c>
      <c r="AI1" s="211" t="s">
        <v>283</v>
      </c>
      <c r="AJ1" s="211" t="s">
        <v>284</v>
      </c>
    </row>
    <row r="2" spans="1:36" x14ac:dyDescent="0.3">
      <c r="A2" s="213" t="s">
        <v>285</v>
      </c>
      <c r="B2" s="214">
        <v>45986</v>
      </c>
      <c r="C2" s="215" t="s">
        <v>607</v>
      </c>
      <c r="D2" s="216" t="s">
        <v>640</v>
      </c>
      <c r="E2" s="215" t="s">
        <v>605</v>
      </c>
      <c r="F2" s="215" t="s">
        <v>287</v>
      </c>
      <c r="G2" s="217">
        <v>0.93300000000000005</v>
      </c>
      <c r="H2" s="218">
        <v>179</v>
      </c>
      <c r="I2" s="218">
        <v>167</v>
      </c>
      <c r="J2" s="218">
        <v>155</v>
      </c>
      <c r="K2" s="215" t="s">
        <v>288</v>
      </c>
      <c r="L2" s="219">
        <v>45971</v>
      </c>
      <c r="M2" s="218">
        <v>0</v>
      </c>
      <c r="N2" s="218">
        <v>0</v>
      </c>
      <c r="O2" s="218">
        <v>0</v>
      </c>
      <c r="P2" s="215" t="s">
        <v>591</v>
      </c>
      <c r="Q2" s="211"/>
      <c r="R2" s="211"/>
      <c r="S2" s="211"/>
      <c r="T2" s="211"/>
      <c r="U2" s="211"/>
      <c r="V2" s="211"/>
      <c r="W2" s="211"/>
      <c r="X2" s="211"/>
      <c r="Y2" s="211"/>
      <c r="Z2" s="218" t="s">
        <v>371</v>
      </c>
      <c r="AA2" s="211"/>
      <c r="AB2" s="211"/>
      <c r="AC2" s="211"/>
      <c r="AD2" s="218" t="s">
        <v>403</v>
      </c>
      <c r="AE2" s="211"/>
      <c r="AF2" s="211"/>
      <c r="AG2" s="211"/>
      <c r="AH2" s="211"/>
      <c r="AI2" s="218" t="s">
        <v>641</v>
      </c>
      <c r="AJ2" s="211"/>
    </row>
    <row r="3" spans="1:36" x14ac:dyDescent="0.3">
      <c r="A3" s="213" t="s">
        <v>285</v>
      </c>
      <c r="B3" s="214">
        <v>45986</v>
      </c>
      <c r="C3" s="215" t="s">
        <v>610</v>
      </c>
      <c r="D3" s="216" t="s">
        <v>642</v>
      </c>
      <c r="E3" s="215" t="s">
        <v>605</v>
      </c>
      <c r="F3" s="215" t="s">
        <v>287</v>
      </c>
      <c r="G3" s="217">
        <v>0.97770000000000001</v>
      </c>
      <c r="H3" s="218">
        <v>179</v>
      </c>
      <c r="I3" s="218">
        <v>175</v>
      </c>
      <c r="J3" s="218">
        <v>167</v>
      </c>
      <c r="K3" s="215" t="s">
        <v>288</v>
      </c>
      <c r="L3" s="219">
        <v>45973</v>
      </c>
      <c r="M3" s="218">
        <v>0</v>
      </c>
      <c r="N3" s="218">
        <v>0</v>
      </c>
      <c r="O3" s="218">
        <v>0</v>
      </c>
      <c r="P3" s="215" t="s">
        <v>539</v>
      </c>
      <c r="Q3" s="211"/>
      <c r="R3" s="211"/>
      <c r="S3" s="211"/>
      <c r="T3" s="211"/>
      <c r="U3" s="211"/>
      <c r="V3" s="211"/>
      <c r="W3" s="211"/>
      <c r="X3" s="218" t="s">
        <v>366</v>
      </c>
      <c r="Y3" s="211"/>
      <c r="Z3" s="218" t="s">
        <v>308</v>
      </c>
      <c r="AA3" s="211"/>
      <c r="AB3" s="211"/>
      <c r="AC3" s="218" t="s">
        <v>290</v>
      </c>
      <c r="AD3" s="211"/>
      <c r="AE3" s="211"/>
      <c r="AF3" s="218" t="s">
        <v>643</v>
      </c>
      <c r="AG3" s="211"/>
      <c r="AH3" s="211"/>
      <c r="AI3" s="218" t="s">
        <v>644</v>
      </c>
      <c r="AJ3" s="211"/>
    </row>
    <row r="4" spans="1:36" x14ac:dyDescent="0.3">
      <c r="A4" s="213" t="s">
        <v>320</v>
      </c>
      <c r="B4" s="214">
        <v>45987</v>
      </c>
      <c r="C4" s="215" t="s">
        <v>607</v>
      </c>
      <c r="D4" s="216" t="s">
        <v>645</v>
      </c>
      <c r="E4" s="215" t="s">
        <v>605</v>
      </c>
      <c r="F4" s="215" t="s">
        <v>287</v>
      </c>
      <c r="G4" s="217">
        <v>0.63690000000000002</v>
      </c>
      <c r="H4" s="218">
        <v>179</v>
      </c>
      <c r="I4" s="218">
        <v>114</v>
      </c>
      <c r="J4" s="218">
        <v>84</v>
      </c>
      <c r="K4" s="215" t="s">
        <v>288</v>
      </c>
      <c r="L4" s="219">
        <v>45981</v>
      </c>
      <c r="M4" s="218">
        <v>0</v>
      </c>
      <c r="N4" s="218">
        <v>4</v>
      </c>
      <c r="O4" s="218">
        <v>13</v>
      </c>
      <c r="P4" s="215" t="s">
        <v>166</v>
      </c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8" t="s">
        <v>217</v>
      </c>
      <c r="AE4" s="218" t="s">
        <v>60</v>
      </c>
      <c r="AF4" s="218" t="s">
        <v>646</v>
      </c>
      <c r="AG4" s="218" t="s">
        <v>405</v>
      </c>
      <c r="AH4" s="211"/>
      <c r="AI4" s="218" t="s">
        <v>647</v>
      </c>
      <c r="AJ4" s="211"/>
    </row>
    <row r="5" spans="1:36" x14ac:dyDescent="0.3">
      <c r="A5" s="213" t="s">
        <v>320</v>
      </c>
      <c r="B5" s="214">
        <v>45987</v>
      </c>
      <c r="C5" s="215" t="s">
        <v>622</v>
      </c>
      <c r="D5" s="216" t="s">
        <v>345</v>
      </c>
      <c r="E5" s="215" t="s">
        <v>605</v>
      </c>
      <c r="F5" s="215" t="s">
        <v>287</v>
      </c>
      <c r="G5" s="217">
        <v>0.84519999999999995</v>
      </c>
      <c r="H5" s="218">
        <v>168</v>
      </c>
      <c r="I5" s="218">
        <v>142</v>
      </c>
      <c r="J5" s="218">
        <v>108</v>
      </c>
      <c r="K5" s="215" t="s">
        <v>288</v>
      </c>
      <c r="L5" s="219">
        <v>45981</v>
      </c>
      <c r="M5" s="218">
        <v>0</v>
      </c>
      <c r="N5" s="218">
        <v>2</v>
      </c>
      <c r="O5" s="218">
        <v>16</v>
      </c>
      <c r="P5" s="215" t="s">
        <v>166</v>
      </c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8" t="s">
        <v>328</v>
      </c>
      <c r="AE5" s="218" t="s">
        <v>340</v>
      </c>
      <c r="AF5" s="218" t="s">
        <v>648</v>
      </c>
      <c r="AG5" s="218" t="s">
        <v>649</v>
      </c>
      <c r="AH5" s="211"/>
      <c r="AI5" s="218" t="s">
        <v>650</v>
      </c>
      <c r="AJ5" s="211"/>
    </row>
    <row r="6" spans="1:36" x14ac:dyDescent="0.3">
      <c r="A6" s="213" t="s">
        <v>335</v>
      </c>
      <c r="B6" s="214">
        <v>45988</v>
      </c>
      <c r="C6" s="215" t="s">
        <v>627</v>
      </c>
      <c r="D6" s="216" t="s">
        <v>391</v>
      </c>
      <c r="E6" s="215" t="s">
        <v>605</v>
      </c>
      <c r="F6" s="215" t="s">
        <v>287</v>
      </c>
      <c r="G6" s="217">
        <v>0.14879999999999999</v>
      </c>
      <c r="H6" s="218">
        <v>168</v>
      </c>
      <c r="I6" s="218">
        <v>25</v>
      </c>
      <c r="J6" s="218">
        <v>0</v>
      </c>
      <c r="K6" s="215" t="s">
        <v>288</v>
      </c>
      <c r="L6" s="219">
        <v>45981</v>
      </c>
      <c r="M6" s="218">
        <v>0</v>
      </c>
      <c r="N6" s="218">
        <v>3</v>
      </c>
      <c r="O6" s="218">
        <v>7</v>
      </c>
      <c r="P6" s="215" t="s">
        <v>166</v>
      </c>
      <c r="Q6" s="211"/>
      <c r="R6" s="211"/>
      <c r="S6" s="211"/>
      <c r="T6" s="211"/>
      <c r="U6" s="211"/>
      <c r="V6" s="211"/>
      <c r="W6" s="211"/>
      <c r="X6" s="211"/>
      <c r="Y6" s="211"/>
      <c r="Z6" s="218" t="s">
        <v>308</v>
      </c>
      <c r="AA6" s="211"/>
      <c r="AB6" s="211"/>
      <c r="AC6" s="211"/>
      <c r="AD6" s="218" t="s">
        <v>579</v>
      </c>
      <c r="AE6" s="218" t="s">
        <v>346</v>
      </c>
      <c r="AF6" s="218" t="s">
        <v>648</v>
      </c>
      <c r="AG6" s="211"/>
      <c r="AH6" s="211"/>
      <c r="AI6" s="211"/>
      <c r="AJ6" s="211"/>
    </row>
    <row r="7" spans="1:36" x14ac:dyDescent="0.3">
      <c r="A7" s="213" t="s">
        <v>335</v>
      </c>
      <c r="B7" s="214">
        <v>45988</v>
      </c>
      <c r="C7" s="215" t="s">
        <v>607</v>
      </c>
      <c r="D7" s="216" t="s">
        <v>594</v>
      </c>
      <c r="E7" s="215" t="s">
        <v>605</v>
      </c>
      <c r="F7" s="215" t="s">
        <v>287</v>
      </c>
      <c r="G7" s="217">
        <v>0.67859999999999998</v>
      </c>
      <c r="H7" s="218">
        <v>168</v>
      </c>
      <c r="I7" s="218">
        <v>114</v>
      </c>
      <c r="J7" s="218">
        <v>96</v>
      </c>
      <c r="K7" s="215" t="s">
        <v>288</v>
      </c>
      <c r="L7" s="219">
        <v>45980</v>
      </c>
      <c r="M7" s="218">
        <v>0</v>
      </c>
      <c r="N7" s="218">
        <v>0</v>
      </c>
      <c r="O7" s="218">
        <v>11</v>
      </c>
      <c r="P7" s="215" t="s">
        <v>166</v>
      </c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  <c r="AB7" s="211"/>
      <c r="AC7" s="211"/>
      <c r="AD7" s="218" t="s">
        <v>76</v>
      </c>
      <c r="AE7" s="218" t="s">
        <v>404</v>
      </c>
      <c r="AF7" s="218" t="s">
        <v>166</v>
      </c>
      <c r="AG7" s="218" t="s">
        <v>651</v>
      </c>
      <c r="AH7" s="211"/>
      <c r="AI7" s="218" t="s">
        <v>383</v>
      </c>
      <c r="AJ7" s="211"/>
    </row>
    <row r="8" spans="1:36" x14ac:dyDescent="0.3">
      <c r="A8" s="213" t="s">
        <v>335</v>
      </c>
      <c r="B8" s="214">
        <v>45988</v>
      </c>
      <c r="C8" s="215" t="s">
        <v>610</v>
      </c>
      <c r="D8" s="216" t="s">
        <v>567</v>
      </c>
      <c r="E8" s="215" t="s">
        <v>605</v>
      </c>
      <c r="F8" s="215" t="s">
        <v>287</v>
      </c>
      <c r="G8" s="217">
        <v>0.45250000000000001</v>
      </c>
      <c r="H8" s="218">
        <v>179</v>
      </c>
      <c r="I8" s="218">
        <v>81</v>
      </c>
      <c r="J8" s="218">
        <v>44</v>
      </c>
      <c r="K8" s="215" t="s">
        <v>288</v>
      </c>
      <c r="L8" s="219">
        <v>45981</v>
      </c>
      <c r="M8" s="218">
        <v>0</v>
      </c>
      <c r="N8" s="218">
        <v>5</v>
      </c>
      <c r="O8" s="218">
        <v>23</v>
      </c>
      <c r="P8" s="215" t="s">
        <v>166</v>
      </c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8" t="s">
        <v>652</v>
      </c>
      <c r="AC8" s="218" t="s">
        <v>573</v>
      </c>
      <c r="AD8" s="218" t="s">
        <v>632</v>
      </c>
      <c r="AE8" s="218" t="s">
        <v>200</v>
      </c>
      <c r="AF8" s="218" t="s">
        <v>653</v>
      </c>
      <c r="AG8" s="211"/>
      <c r="AH8" s="211"/>
      <c r="AI8" s="218" t="s">
        <v>654</v>
      </c>
      <c r="AJ8" s="211"/>
    </row>
    <row r="9" spans="1:36" x14ac:dyDescent="0.3">
      <c r="A9" s="213" t="s">
        <v>359</v>
      </c>
      <c r="B9" s="214">
        <v>45989</v>
      </c>
      <c r="C9" s="215" t="s">
        <v>622</v>
      </c>
      <c r="D9" s="216" t="s">
        <v>541</v>
      </c>
      <c r="E9" s="215" t="s">
        <v>605</v>
      </c>
      <c r="F9" s="215" t="s">
        <v>287</v>
      </c>
      <c r="G9" s="217">
        <v>0.49399999999999999</v>
      </c>
      <c r="H9" s="218">
        <v>168</v>
      </c>
      <c r="I9" s="218">
        <v>83</v>
      </c>
      <c r="J9" s="218">
        <v>2</v>
      </c>
      <c r="K9" s="215" t="s">
        <v>288</v>
      </c>
      <c r="L9" s="219">
        <v>45981</v>
      </c>
      <c r="M9" s="218">
        <v>0</v>
      </c>
      <c r="N9" s="218">
        <v>12</v>
      </c>
      <c r="O9" s="218">
        <v>49</v>
      </c>
      <c r="P9" s="215" t="s">
        <v>166</v>
      </c>
      <c r="Q9" s="211"/>
      <c r="R9" s="211"/>
      <c r="S9" s="211"/>
      <c r="T9" s="211"/>
      <c r="U9" s="211"/>
      <c r="V9" s="211"/>
      <c r="W9" s="211"/>
      <c r="X9" s="211"/>
      <c r="Y9" s="211"/>
      <c r="Z9" s="218" t="s">
        <v>326</v>
      </c>
      <c r="AA9" s="218" t="s">
        <v>327</v>
      </c>
      <c r="AB9" s="211"/>
      <c r="AC9" s="218" t="s">
        <v>655</v>
      </c>
      <c r="AD9" s="218" t="s">
        <v>372</v>
      </c>
      <c r="AE9" s="218" t="s">
        <v>377</v>
      </c>
      <c r="AF9" s="218" t="s">
        <v>656</v>
      </c>
      <c r="AG9" s="211"/>
      <c r="AH9" s="211"/>
      <c r="AI9" s="218" t="s">
        <v>657</v>
      </c>
      <c r="AJ9" s="211"/>
    </row>
    <row r="10" spans="1:36" x14ac:dyDescent="0.3">
      <c r="A10" s="213" t="s">
        <v>379</v>
      </c>
      <c r="B10" s="214">
        <v>45990</v>
      </c>
      <c r="C10" s="215" t="s">
        <v>622</v>
      </c>
      <c r="D10" s="216" t="s">
        <v>411</v>
      </c>
      <c r="E10" s="215" t="s">
        <v>605</v>
      </c>
      <c r="F10" s="215" t="s">
        <v>287</v>
      </c>
      <c r="G10" s="217">
        <v>0.71430000000000005</v>
      </c>
      <c r="H10" s="218">
        <v>168</v>
      </c>
      <c r="I10" s="218">
        <v>120</v>
      </c>
      <c r="J10" s="218">
        <v>95</v>
      </c>
      <c r="K10" s="215" t="s">
        <v>288</v>
      </c>
      <c r="L10" s="219">
        <v>45981</v>
      </c>
      <c r="M10" s="218">
        <v>0</v>
      </c>
      <c r="N10" s="218">
        <v>2</v>
      </c>
      <c r="O10" s="218">
        <v>3</v>
      </c>
      <c r="P10" s="215" t="s">
        <v>632</v>
      </c>
      <c r="Q10" s="211"/>
      <c r="R10" s="211"/>
      <c r="S10" s="211"/>
      <c r="T10" s="211"/>
      <c r="U10" s="211"/>
      <c r="V10" s="211"/>
      <c r="W10" s="211"/>
      <c r="X10" s="211"/>
      <c r="Y10" s="211"/>
      <c r="Z10" s="218" t="s">
        <v>371</v>
      </c>
      <c r="AA10" s="218" t="s">
        <v>327</v>
      </c>
      <c r="AB10" s="211"/>
      <c r="AC10" s="218" t="s">
        <v>658</v>
      </c>
      <c r="AD10" s="218" t="s">
        <v>322</v>
      </c>
      <c r="AE10" s="218" t="s">
        <v>346</v>
      </c>
      <c r="AF10" s="218" t="s">
        <v>659</v>
      </c>
      <c r="AG10" s="211"/>
      <c r="AH10" s="211"/>
      <c r="AI10" s="218" t="s">
        <v>383</v>
      </c>
      <c r="AJ10" s="211"/>
    </row>
    <row r="11" spans="1:36" x14ac:dyDescent="0.3">
      <c r="A11" s="213" t="s">
        <v>379</v>
      </c>
      <c r="B11" s="214">
        <v>45990</v>
      </c>
      <c r="C11" s="215" t="s">
        <v>610</v>
      </c>
      <c r="D11" s="216" t="s">
        <v>596</v>
      </c>
      <c r="E11" s="215" t="s">
        <v>605</v>
      </c>
      <c r="F11" s="215" t="s">
        <v>287</v>
      </c>
      <c r="G11" s="217">
        <v>0.92859999999999998</v>
      </c>
      <c r="H11" s="218">
        <v>168</v>
      </c>
      <c r="I11" s="218">
        <v>156</v>
      </c>
      <c r="J11" s="218">
        <v>135</v>
      </c>
      <c r="K11" s="215" t="s">
        <v>288</v>
      </c>
      <c r="L11" s="219">
        <v>45981</v>
      </c>
      <c r="M11" s="218">
        <v>0</v>
      </c>
      <c r="N11" s="218">
        <v>3</v>
      </c>
      <c r="O11" s="218">
        <v>6</v>
      </c>
      <c r="P11" s="215" t="s">
        <v>386</v>
      </c>
      <c r="Q11" s="211"/>
      <c r="R11" s="211"/>
      <c r="S11" s="211"/>
      <c r="T11" s="211"/>
      <c r="U11" s="211"/>
      <c r="V11" s="211"/>
      <c r="W11" s="211"/>
      <c r="X11" s="211"/>
      <c r="Y11" s="211"/>
      <c r="Z11" s="218" t="s">
        <v>308</v>
      </c>
      <c r="AA11" s="218" t="s">
        <v>327</v>
      </c>
      <c r="AB11" s="218" t="s">
        <v>652</v>
      </c>
      <c r="AC11" s="218" t="s">
        <v>245</v>
      </c>
      <c r="AD11" s="218" t="s">
        <v>660</v>
      </c>
      <c r="AE11" s="211"/>
      <c r="AF11" s="218" t="s">
        <v>659</v>
      </c>
      <c r="AG11" s="211"/>
      <c r="AH11" s="211"/>
      <c r="AI11" s="218" t="s">
        <v>661</v>
      </c>
      <c r="AJ11" s="211"/>
    </row>
    <row r="12" spans="1:36" x14ac:dyDescent="0.3">
      <c r="A12" s="213" t="s">
        <v>390</v>
      </c>
      <c r="B12" s="214">
        <v>45991</v>
      </c>
      <c r="C12" s="215" t="s">
        <v>622</v>
      </c>
      <c r="D12" s="216" t="s">
        <v>662</v>
      </c>
      <c r="E12" s="215" t="s">
        <v>605</v>
      </c>
      <c r="F12" s="215" t="s">
        <v>287</v>
      </c>
      <c r="G12" s="217">
        <v>0.72619999999999996</v>
      </c>
      <c r="H12" s="218">
        <v>168</v>
      </c>
      <c r="I12" s="218">
        <v>122</v>
      </c>
      <c r="J12" s="218">
        <v>75</v>
      </c>
      <c r="K12" s="215" t="s">
        <v>288</v>
      </c>
      <c r="L12" s="219">
        <v>45981</v>
      </c>
      <c r="M12" s="218">
        <v>0</v>
      </c>
      <c r="N12" s="218">
        <v>5</v>
      </c>
      <c r="O12" s="218">
        <v>18</v>
      </c>
      <c r="P12" s="215" t="s">
        <v>60</v>
      </c>
      <c r="Q12" s="211"/>
      <c r="R12" s="211"/>
      <c r="S12" s="211"/>
      <c r="T12" s="211"/>
      <c r="U12" s="211"/>
      <c r="V12" s="211"/>
      <c r="W12" s="211"/>
      <c r="X12" s="211"/>
      <c r="Y12" s="211"/>
      <c r="Z12" s="218" t="s">
        <v>663</v>
      </c>
      <c r="AA12" s="211"/>
      <c r="AB12" s="211"/>
      <c r="AC12" s="218" t="s">
        <v>310</v>
      </c>
      <c r="AD12" s="218" t="s">
        <v>664</v>
      </c>
      <c r="AE12" s="218" t="s">
        <v>346</v>
      </c>
      <c r="AF12" s="218" t="s">
        <v>665</v>
      </c>
      <c r="AG12" s="211"/>
      <c r="AH12" s="211"/>
      <c r="AI12" s="218" t="s">
        <v>666</v>
      </c>
      <c r="AJ12" s="211"/>
    </row>
    <row r="13" spans="1:36" x14ac:dyDescent="0.3">
      <c r="A13" s="213" t="s">
        <v>390</v>
      </c>
      <c r="B13" s="214">
        <v>45991</v>
      </c>
      <c r="C13" s="215" t="s">
        <v>610</v>
      </c>
      <c r="D13" s="216" t="s">
        <v>667</v>
      </c>
      <c r="E13" s="215" t="s">
        <v>605</v>
      </c>
      <c r="F13" s="215" t="s">
        <v>287</v>
      </c>
      <c r="G13" s="217">
        <v>0.5</v>
      </c>
      <c r="H13" s="218">
        <v>168</v>
      </c>
      <c r="I13" s="218">
        <v>84</v>
      </c>
      <c r="J13" s="218">
        <v>45</v>
      </c>
      <c r="K13" s="215" t="s">
        <v>288</v>
      </c>
      <c r="L13" s="219">
        <v>45981</v>
      </c>
      <c r="M13" s="218">
        <v>0</v>
      </c>
      <c r="N13" s="218">
        <v>5</v>
      </c>
      <c r="O13" s="218">
        <v>24</v>
      </c>
      <c r="P13" s="215" t="s">
        <v>166</v>
      </c>
      <c r="Q13" s="211"/>
      <c r="R13" s="211"/>
      <c r="S13" s="211"/>
      <c r="T13" s="211"/>
      <c r="U13" s="211"/>
      <c r="V13" s="211"/>
      <c r="W13" s="211"/>
      <c r="X13" s="211"/>
      <c r="Y13" s="211"/>
      <c r="Z13" s="218" t="s">
        <v>308</v>
      </c>
      <c r="AA13" s="218" t="s">
        <v>309</v>
      </c>
      <c r="AB13" s="211"/>
      <c r="AC13" s="218" t="s">
        <v>668</v>
      </c>
      <c r="AD13" s="218" t="s">
        <v>328</v>
      </c>
      <c r="AE13" s="211"/>
      <c r="AF13" s="218" t="s">
        <v>669</v>
      </c>
      <c r="AG13" s="218" t="s">
        <v>670</v>
      </c>
      <c r="AH13" s="211"/>
      <c r="AI13" s="211"/>
      <c r="AJ13" s="211"/>
    </row>
    <row r="14" spans="1:36" ht="21" x14ac:dyDescent="0.3">
      <c r="A14" s="220" t="s">
        <v>671</v>
      </c>
      <c r="B14" s="221"/>
      <c r="C14" s="220">
        <f>SUBTOTAL(103,JED_ATZ_LF_LEGACY[Flt])</f>
        <v>12</v>
      </c>
      <c r="D14" s="220"/>
      <c r="E14" s="220">
        <f>SUBTOTAL(103,JED_ATZ_LF_LEGACY[Brd-Off])</f>
        <v>12</v>
      </c>
      <c r="F14" s="220"/>
      <c r="G14" s="222">
        <f>SUBTOTAL(101,JED_ATZ_LF_LEGACY[LF%])</f>
        <v>0.66964999999999997</v>
      </c>
      <c r="H14" s="223">
        <f>SUBTOTAL(109,JED_ATZ_LF_LEGACY[CAP])</f>
        <v>2060</v>
      </c>
      <c r="I14" s="223">
        <f>SUBTOTAL(109,JED_ATZ_LF_LEGACY[BKG(Y)])</f>
        <v>1383</v>
      </c>
      <c r="J14" s="223">
        <f>SUBTOTAL(109,JED_ATZ_LF_LEGACY[GRP(Y)])</f>
        <v>1006</v>
      </c>
      <c r="K14" s="220"/>
      <c r="L14" s="221"/>
      <c r="M14" s="223">
        <f>SUBTOTAL(109,JED_ATZ_LF_LEGACY[TO-DAY])</f>
        <v>0</v>
      </c>
      <c r="N14" s="223">
        <f>SUBTOTAL(109,JED_ATZ_LF_LEGACY[Y-DAY])</f>
        <v>41</v>
      </c>
      <c r="O14" s="223">
        <f>SUBTOTAL(109,JED_ATZ_LF_LEGACY[WEEKLY])</f>
        <v>170</v>
      </c>
      <c r="P14" s="224"/>
      <c r="Q14" s="223">
        <f>SUBTOTAL(109,JED_ATZ_LF_LEGACY[Y])</f>
        <v>0</v>
      </c>
      <c r="R14" s="223">
        <f>SUBTOTAL(109,JED_ATZ_LF_LEGACY[B])</f>
        <v>0</v>
      </c>
      <c r="S14" s="223">
        <f>SUBTOTAL(109,JED_ATZ_LF_LEGACY[M])</f>
        <v>0</v>
      </c>
      <c r="T14" s="223">
        <f>SUBTOTAL(109,JED_ATZ_LF_LEGACY[H])</f>
        <v>0</v>
      </c>
      <c r="U14" s="223">
        <f>SUBTOTAL(109,JED_ATZ_LF_LEGACY[Q])</f>
        <v>0</v>
      </c>
      <c r="V14" s="223">
        <f>SUBTOTAL(109,JED_ATZ_LF_LEGACY[K])</f>
        <v>0</v>
      </c>
      <c r="W14" s="223">
        <f>SUBTOTAL(109,JED_ATZ_LF_LEGACY[V])</f>
        <v>0</v>
      </c>
      <c r="X14" s="223">
        <f>SUBTOTAL(109,JED_ATZ_LF_LEGACY[L])</f>
        <v>0</v>
      </c>
      <c r="Y14" s="223">
        <f>SUBTOTAL(109,JED_ATZ_LF_LEGACY[G])</f>
        <v>0</v>
      </c>
      <c r="Z14" s="223">
        <f>SUBTOTAL(109,JED_ATZ_LF_LEGACY[S])</f>
        <v>0</v>
      </c>
      <c r="AA14" s="223">
        <f>SUBTOTAL(109,JED_ATZ_LF_LEGACY[W])</f>
        <v>0</v>
      </c>
      <c r="AB14" s="223">
        <f>SUBTOTAL(109,JED_ATZ_LF_LEGACY[T])</f>
        <v>0</v>
      </c>
      <c r="AC14" s="223">
        <f>SUBTOTAL(109,JED_ATZ_LF_LEGACY[X])</f>
        <v>0</v>
      </c>
      <c r="AD14" s="223">
        <f>SUBTOTAL(109,JED_ATZ_LF_LEGACY[U])</f>
        <v>0</v>
      </c>
      <c r="AE14" s="223">
        <f>SUBTOTAL(109,JED_ATZ_LF_LEGACY[O])</f>
        <v>0</v>
      </c>
      <c r="AF14" s="223">
        <f>SUBTOTAL(109,JED_ATZ_LF_LEGACY[I])</f>
        <v>0</v>
      </c>
      <c r="AG14" s="223">
        <f>SUBTOTAL(109,JED_ATZ_LF_LEGACY[E])</f>
        <v>0</v>
      </c>
      <c r="AH14" s="223">
        <f>SUBTOTAL(109,JED_ATZ_LF_LEGACY[A])</f>
        <v>0</v>
      </c>
      <c r="AI14" s="223">
        <f>SUBTOTAL(109,JED_ATZ_LF_LEGACY[P])</f>
        <v>0</v>
      </c>
      <c r="AJ14" s="223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179" hidden="1" customWidth="1"/>
  </cols>
  <sheetData>
    <row r="1" spans="1:8" ht="18" x14ac:dyDescent="0.3">
      <c r="A1" s="134" t="s">
        <v>407</v>
      </c>
      <c r="B1" s="135" t="s">
        <v>8</v>
      </c>
      <c r="C1" s="135" t="s">
        <v>9</v>
      </c>
      <c r="D1" s="135" t="s">
        <v>408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42" t="s">
        <v>409</v>
      </c>
      <c r="B2" s="143" t="s">
        <v>55</v>
      </c>
      <c r="C2" s="144" t="s">
        <v>606</v>
      </c>
      <c r="D2" s="143" t="s">
        <v>605</v>
      </c>
      <c r="E2" s="143" t="s">
        <v>640</v>
      </c>
      <c r="F2" s="143" t="s">
        <v>57</v>
      </c>
      <c r="G2" s="145">
        <v>3</v>
      </c>
      <c r="H2" s="146">
        <v>781</v>
      </c>
    </row>
    <row r="3" spans="1:8" ht="19.8" customHeight="1" x14ac:dyDescent="0.3">
      <c r="A3" s="147">
        <v>45986</v>
      </c>
      <c r="B3" s="143" t="s">
        <v>55</v>
      </c>
      <c r="C3" s="144" t="s">
        <v>609</v>
      </c>
      <c r="D3" s="143" t="s">
        <v>605</v>
      </c>
      <c r="E3" s="148">
        <v>1.9513888888888891</v>
      </c>
      <c r="F3" s="143" t="s">
        <v>57</v>
      </c>
      <c r="G3" s="145">
        <v>4</v>
      </c>
      <c r="H3" s="146">
        <v>856</v>
      </c>
    </row>
    <row r="4" spans="1:8" ht="19.8" customHeight="1" x14ac:dyDescent="0.3">
      <c r="A4" s="149">
        <v>45986</v>
      </c>
      <c r="B4" s="138" t="s">
        <v>148</v>
      </c>
      <c r="C4" s="139" t="s">
        <v>612</v>
      </c>
      <c r="D4" s="138" t="s">
        <v>605</v>
      </c>
      <c r="E4" s="150">
        <v>1.322916666666667</v>
      </c>
      <c r="F4" s="138" t="s">
        <v>150</v>
      </c>
      <c r="G4" s="140">
        <v>4</v>
      </c>
      <c r="H4" s="141">
        <v>938</v>
      </c>
    </row>
    <row r="5" spans="1:8" ht="19.8" customHeight="1" x14ac:dyDescent="0.3">
      <c r="A5" s="180"/>
      <c r="B5" s="181"/>
      <c r="C5" s="181"/>
      <c r="D5" s="181"/>
      <c r="E5" s="181"/>
      <c r="F5" s="182" t="s">
        <v>604</v>
      </c>
      <c r="G5" s="181"/>
      <c r="H5" s="183"/>
    </row>
    <row r="6" spans="1:8" ht="19.8" customHeight="1" x14ac:dyDescent="0.3">
      <c r="A6" s="149">
        <v>45986</v>
      </c>
      <c r="B6" s="138" t="s">
        <v>26</v>
      </c>
      <c r="C6" s="139" t="s">
        <v>27</v>
      </c>
      <c r="D6" s="138" t="s">
        <v>1</v>
      </c>
      <c r="E6" s="150">
        <v>1.364583333333333</v>
      </c>
      <c r="F6" s="138" t="s">
        <v>28</v>
      </c>
      <c r="G6" s="140">
        <v>9</v>
      </c>
      <c r="H6" s="141">
        <v>401</v>
      </c>
    </row>
    <row r="7" spans="1:8" ht="19.8" customHeight="1" x14ac:dyDescent="0.3">
      <c r="A7" s="149">
        <v>45986</v>
      </c>
      <c r="B7" s="138" t="s">
        <v>26</v>
      </c>
      <c r="C7" s="139" t="s">
        <v>31</v>
      </c>
      <c r="D7" s="138" t="s">
        <v>1</v>
      </c>
      <c r="E7" s="150">
        <v>1.0451388888888891</v>
      </c>
      <c r="F7" s="138" t="s">
        <v>28</v>
      </c>
      <c r="G7" s="140">
        <v>9</v>
      </c>
      <c r="H7" s="141">
        <v>401</v>
      </c>
    </row>
    <row r="8" spans="1:8" ht="19.8" customHeight="1" x14ac:dyDescent="0.3">
      <c r="A8" s="149">
        <v>45986</v>
      </c>
      <c r="B8" s="138" t="s">
        <v>35</v>
      </c>
      <c r="C8" s="139" t="s">
        <v>36</v>
      </c>
      <c r="D8" s="138" t="s">
        <v>1</v>
      </c>
      <c r="E8" s="150">
        <v>1.302083333333333</v>
      </c>
      <c r="F8" s="138" t="s">
        <v>37</v>
      </c>
      <c r="G8" s="140">
        <v>2</v>
      </c>
      <c r="H8" s="141">
        <v>419</v>
      </c>
    </row>
    <row r="9" spans="1:8" ht="19.8" customHeight="1" x14ac:dyDescent="0.3">
      <c r="A9" s="149">
        <v>45986</v>
      </c>
      <c r="B9" s="138" t="s">
        <v>35</v>
      </c>
      <c r="C9" s="139" t="s">
        <v>45</v>
      </c>
      <c r="D9" s="138" t="s">
        <v>1</v>
      </c>
      <c r="E9" s="150">
        <v>1.788194444444444</v>
      </c>
      <c r="F9" s="138" t="s">
        <v>37</v>
      </c>
      <c r="G9" s="140">
        <v>2</v>
      </c>
      <c r="H9" s="141">
        <v>419</v>
      </c>
    </row>
    <row r="10" spans="1:8" ht="19.8" customHeight="1" x14ac:dyDescent="0.3">
      <c r="A10" s="149">
        <v>45986</v>
      </c>
      <c r="B10" s="138" t="s">
        <v>35</v>
      </c>
      <c r="C10" s="139" t="s">
        <v>47</v>
      </c>
      <c r="D10" s="138" t="s">
        <v>1</v>
      </c>
      <c r="E10" s="150">
        <v>1.8888888888888891</v>
      </c>
      <c r="F10" s="138" t="s">
        <v>37</v>
      </c>
      <c r="G10" s="140">
        <v>1</v>
      </c>
      <c r="H10" s="141">
        <v>419</v>
      </c>
    </row>
    <row r="11" spans="1:8" ht="19.8" customHeight="1" x14ac:dyDescent="0.3">
      <c r="A11" s="149">
        <v>45986</v>
      </c>
      <c r="B11" s="138" t="s">
        <v>55</v>
      </c>
      <c r="C11" s="139" t="s">
        <v>56</v>
      </c>
      <c r="D11" s="138" t="s">
        <v>1</v>
      </c>
      <c r="E11" s="150">
        <v>1.9340277777777779</v>
      </c>
      <c r="F11" s="138" t="s">
        <v>57</v>
      </c>
      <c r="G11" s="140">
        <v>9</v>
      </c>
      <c r="H11" s="141">
        <v>436</v>
      </c>
    </row>
    <row r="12" spans="1:8" ht="19.8" customHeight="1" x14ac:dyDescent="0.3">
      <c r="A12" s="149">
        <v>45986</v>
      </c>
      <c r="B12" s="138" t="s">
        <v>55</v>
      </c>
      <c r="C12" s="139" t="s">
        <v>62</v>
      </c>
      <c r="D12" s="138" t="s">
        <v>1</v>
      </c>
      <c r="E12" s="150">
        <v>1.229166666666667</v>
      </c>
      <c r="F12" s="138" t="s">
        <v>57</v>
      </c>
      <c r="G12" s="140">
        <v>9</v>
      </c>
      <c r="H12" s="141">
        <v>436</v>
      </c>
    </row>
    <row r="13" spans="1:8" ht="19.8" customHeight="1" x14ac:dyDescent="0.3">
      <c r="A13" s="149">
        <v>45986</v>
      </c>
      <c r="B13" s="138" t="s">
        <v>55</v>
      </c>
      <c r="C13" s="139" t="s">
        <v>65</v>
      </c>
      <c r="D13" s="138" t="s">
        <v>1</v>
      </c>
      <c r="E13" s="150">
        <v>1.96875</v>
      </c>
      <c r="F13" s="138" t="s">
        <v>57</v>
      </c>
      <c r="G13" s="140">
        <v>9</v>
      </c>
      <c r="H13" s="141">
        <v>436</v>
      </c>
    </row>
    <row r="14" spans="1:8" ht="19.8" customHeight="1" x14ac:dyDescent="0.3">
      <c r="A14" s="149">
        <v>45986</v>
      </c>
      <c r="B14" s="138" t="s">
        <v>55</v>
      </c>
      <c r="C14" s="139" t="s">
        <v>68</v>
      </c>
      <c r="D14" s="138" t="s">
        <v>1</v>
      </c>
      <c r="E14" s="150">
        <v>1.614583333333333</v>
      </c>
      <c r="F14" s="138" t="s">
        <v>57</v>
      </c>
      <c r="G14" s="140">
        <v>6</v>
      </c>
      <c r="H14" s="141">
        <v>436</v>
      </c>
    </row>
    <row r="15" spans="1:8" ht="19.8" customHeight="1" x14ac:dyDescent="0.3">
      <c r="A15" s="157">
        <v>45986</v>
      </c>
      <c r="B15" s="158" t="s">
        <v>83</v>
      </c>
      <c r="C15" s="159" t="s">
        <v>84</v>
      </c>
      <c r="D15" s="158" t="s">
        <v>1</v>
      </c>
      <c r="E15" s="160">
        <v>1.9027777777777779</v>
      </c>
      <c r="F15" s="158" t="s">
        <v>85</v>
      </c>
      <c r="G15" s="161">
        <v>2</v>
      </c>
      <c r="H15" s="184">
        <v>449</v>
      </c>
    </row>
    <row r="16" spans="1:8" ht="19.8" customHeight="1" x14ac:dyDescent="0.3">
      <c r="A16" s="149">
        <v>45987</v>
      </c>
      <c r="B16" s="138" t="s">
        <v>35</v>
      </c>
      <c r="C16" s="139" t="s">
        <v>614</v>
      </c>
      <c r="D16" s="138" t="s">
        <v>605</v>
      </c>
      <c r="E16" s="150">
        <v>1.2847222222222221</v>
      </c>
      <c r="F16" s="138" t="s">
        <v>495</v>
      </c>
      <c r="G16" s="140">
        <v>16</v>
      </c>
      <c r="H16" s="141">
        <v>299</v>
      </c>
    </row>
    <row r="17" spans="1:8" ht="19.8" customHeight="1" x14ac:dyDescent="0.3">
      <c r="A17" s="149">
        <v>45987</v>
      </c>
      <c r="B17" s="138" t="s">
        <v>35</v>
      </c>
      <c r="C17" s="139" t="s">
        <v>614</v>
      </c>
      <c r="D17" s="138" t="s">
        <v>605</v>
      </c>
      <c r="E17" s="150">
        <v>1.2847222222222221</v>
      </c>
      <c r="F17" s="138" t="s">
        <v>486</v>
      </c>
      <c r="G17" s="140">
        <v>16</v>
      </c>
      <c r="H17" s="141">
        <v>358</v>
      </c>
    </row>
    <row r="18" spans="1:8" ht="19.8" customHeight="1" x14ac:dyDescent="0.3">
      <c r="A18" s="149">
        <v>45987</v>
      </c>
      <c r="B18" s="138" t="s">
        <v>35</v>
      </c>
      <c r="C18" s="139" t="s">
        <v>614</v>
      </c>
      <c r="D18" s="138" t="s">
        <v>605</v>
      </c>
      <c r="E18" s="150">
        <v>1.2847222222222221</v>
      </c>
      <c r="F18" s="138" t="s">
        <v>488</v>
      </c>
      <c r="G18" s="140">
        <v>16</v>
      </c>
      <c r="H18" s="141">
        <v>382</v>
      </c>
    </row>
    <row r="19" spans="1:8" ht="19.8" customHeight="1" x14ac:dyDescent="0.3">
      <c r="A19" s="147">
        <v>45987</v>
      </c>
      <c r="B19" s="143" t="s">
        <v>55</v>
      </c>
      <c r="C19" s="144" t="s">
        <v>606</v>
      </c>
      <c r="D19" s="143" t="s">
        <v>605</v>
      </c>
      <c r="E19" s="148">
        <v>1.2673611111111109</v>
      </c>
      <c r="F19" s="143" t="s">
        <v>57</v>
      </c>
      <c r="G19" s="145">
        <v>9</v>
      </c>
      <c r="H19" s="146">
        <v>401</v>
      </c>
    </row>
    <row r="20" spans="1:8" ht="19.8" customHeight="1" x14ac:dyDescent="0.3">
      <c r="A20" s="147">
        <v>45987</v>
      </c>
      <c r="B20" s="143" t="s">
        <v>55</v>
      </c>
      <c r="C20" s="144" t="s">
        <v>621</v>
      </c>
      <c r="D20" s="143" t="s">
        <v>605</v>
      </c>
      <c r="E20" s="148">
        <v>1.333333333333333</v>
      </c>
      <c r="F20" s="143" t="s">
        <v>57</v>
      </c>
      <c r="G20" s="145">
        <v>9</v>
      </c>
      <c r="H20" s="146">
        <v>401</v>
      </c>
    </row>
    <row r="21" spans="1:8" ht="19.8" customHeight="1" x14ac:dyDescent="0.3">
      <c r="A21" s="149">
        <v>45987</v>
      </c>
      <c r="B21" s="138" t="s">
        <v>35</v>
      </c>
      <c r="C21" s="139" t="s">
        <v>614</v>
      </c>
      <c r="D21" s="138" t="s">
        <v>605</v>
      </c>
      <c r="E21" s="150">
        <v>1.2847222222222221</v>
      </c>
      <c r="F21" s="138" t="s">
        <v>499</v>
      </c>
      <c r="G21" s="140">
        <v>16</v>
      </c>
      <c r="H21" s="141">
        <v>549</v>
      </c>
    </row>
    <row r="22" spans="1:8" ht="19.8" customHeight="1" x14ac:dyDescent="0.3">
      <c r="A22" s="149">
        <v>45987</v>
      </c>
      <c r="B22" s="138" t="s">
        <v>148</v>
      </c>
      <c r="C22" s="139" t="s">
        <v>612</v>
      </c>
      <c r="D22" s="138" t="s">
        <v>605</v>
      </c>
      <c r="E22" s="150">
        <v>1.2673611111111109</v>
      </c>
      <c r="F22" s="138" t="s">
        <v>624</v>
      </c>
      <c r="G22" s="140">
        <v>4</v>
      </c>
      <c r="H22" s="141">
        <v>640</v>
      </c>
    </row>
    <row r="23" spans="1:8" ht="19.8" customHeight="1" x14ac:dyDescent="0.3">
      <c r="A23" s="180"/>
      <c r="B23" s="181"/>
      <c r="C23" s="181"/>
      <c r="D23" s="181"/>
      <c r="E23" s="181"/>
      <c r="F23" s="182" t="s">
        <v>604</v>
      </c>
      <c r="G23" s="181"/>
      <c r="H23" s="183"/>
    </row>
    <row r="24" spans="1:8" ht="19.8" customHeight="1" x14ac:dyDescent="0.3">
      <c r="A24" s="149">
        <v>45987</v>
      </c>
      <c r="B24" s="138" t="s">
        <v>35</v>
      </c>
      <c r="C24" s="139" t="s">
        <v>47</v>
      </c>
      <c r="D24" s="138" t="s">
        <v>1</v>
      </c>
      <c r="E24" s="150">
        <v>1.8888888888888891</v>
      </c>
      <c r="F24" s="138" t="s">
        <v>37</v>
      </c>
      <c r="G24" s="140">
        <v>2</v>
      </c>
      <c r="H24" s="141">
        <v>389</v>
      </c>
    </row>
    <row r="25" spans="1:8" ht="19.8" customHeight="1" x14ac:dyDescent="0.3">
      <c r="A25" s="149">
        <v>45987</v>
      </c>
      <c r="B25" s="138" t="s">
        <v>116</v>
      </c>
      <c r="C25" s="139" t="s">
        <v>117</v>
      </c>
      <c r="D25" s="138" t="s">
        <v>1</v>
      </c>
      <c r="E25" s="150">
        <v>1.270833333333333</v>
      </c>
      <c r="F25" s="138" t="s">
        <v>28</v>
      </c>
      <c r="G25" s="140">
        <v>1</v>
      </c>
      <c r="H25" s="141">
        <v>400</v>
      </c>
    </row>
    <row r="26" spans="1:8" ht="19.8" customHeight="1" x14ac:dyDescent="0.3">
      <c r="A26" s="149">
        <v>45987</v>
      </c>
      <c r="B26" s="138" t="s">
        <v>55</v>
      </c>
      <c r="C26" s="139" t="s">
        <v>73</v>
      </c>
      <c r="D26" s="138" t="s">
        <v>1</v>
      </c>
      <c r="E26" s="150">
        <v>1.520833333333333</v>
      </c>
      <c r="F26" s="138" t="s">
        <v>57</v>
      </c>
      <c r="G26" s="140">
        <v>9</v>
      </c>
      <c r="H26" s="141">
        <v>401</v>
      </c>
    </row>
    <row r="27" spans="1:8" ht="19.8" customHeight="1" x14ac:dyDescent="0.3">
      <c r="A27" s="149">
        <v>45987</v>
      </c>
      <c r="B27" s="138" t="s">
        <v>55</v>
      </c>
      <c r="C27" s="139" t="s">
        <v>65</v>
      </c>
      <c r="D27" s="138" t="s">
        <v>1</v>
      </c>
      <c r="E27" s="150">
        <v>1.5173611111111109</v>
      </c>
      <c r="F27" s="138" t="s">
        <v>57</v>
      </c>
      <c r="G27" s="140">
        <v>9</v>
      </c>
      <c r="H27" s="141">
        <v>401</v>
      </c>
    </row>
    <row r="28" spans="1:8" ht="19.8" customHeight="1" x14ac:dyDescent="0.3">
      <c r="A28" s="149">
        <v>45987</v>
      </c>
      <c r="B28" s="138" t="s">
        <v>26</v>
      </c>
      <c r="C28" s="139" t="s">
        <v>33</v>
      </c>
      <c r="D28" s="138" t="s">
        <v>1</v>
      </c>
      <c r="E28" s="150">
        <v>1.9375</v>
      </c>
      <c r="F28" s="138" t="s">
        <v>28</v>
      </c>
      <c r="G28" s="140">
        <v>3</v>
      </c>
      <c r="H28" s="141">
        <v>401</v>
      </c>
    </row>
    <row r="29" spans="1:8" ht="19.8" customHeight="1" x14ac:dyDescent="0.3">
      <c r="A29" s="149">
        <v>45987</v>
      </c>
      <c r="B29" s="138" t="s">
        <v>26</v>
      </c>
      <c r="C29" s="139" t="s">
        <v>27</v>
      </c>
      <c r="D29" s="138" t="s">
        <v>1</v>
      </c>
      <c r="E29" s="150">
        <v>1.3715277777777779</v>
      </c>
      <c r="F29" s="138" t="s">
        <v>28</v>
      </c>
      <c r="G29" s="140">
        <v>9</v>
      </c>
      <c r="H29" s="141">
        <v>401</v>
      </c>
    </row>
    <row r="30" spans="1:8" ht="19.8" customHeight="1" x14ac:dyDescent="0.3">
      <c r="A30" s="149">
        <v>45987</v>
      </c>
      <c r="B30" s="138" t="s">
        <v>35</v>
      </c>
      <c r="C30" s="139" t="s">
        <v>36</v>
      </c>
      <c r="D30" s="138" t="s">
        <v>1</v>
      </c>
      <c r="E30" s="150">
        <v>1.302083333333333</v>
      </c>
      <c r="F30" s="138" t="s">
        <v>37</v>
      </c>
      <c r="G30" s="140">
        <v>5</v>
      </c>
      <c r="H30" s="141">
        <v>419</v>
      </c>
    </row>
    <row r="31" spans="1:8" ht="19.8" customHeight="1" x14ac:dyDescent="0.3">
      <c r="A31" s="149">
        <v>45987</v>
      </c>
      <c r="B31" s="138" t="s">
        <v>35</v>
      </c>
      <c r="C31" s="139" t="s">
        <v>50</v>
      </c>
      <c r="D31" s="138" t="s">
        <v>1</v>
      </c>
      <c r="E31" s="150">
        <v>1.1284722222222221</v>
      </c>
      <c r="F31" s="138" t="s">
        <v>37</v>
      </c>
      <c r="G31" s="140">
        <v>2</v>
      </c>
      <c r="H31" s="141">
        <v>419</v>
      </c>
    </row>
    <row r="32" spans="1:8" ht="19.8" customHeight="1" x14ac:dyDescent="0.3">
      <c r="A32" s="149">
        <v>45987</v>
      </c>
      <c r="B32" s="138" t="s">
        <v>35</v>
      </c>
      <c r="C32" s="139" t="s">
        <v>45</v>
      </c>
      <c r="D32" s="138" t="s">
        <v>1</v>
      </c>
      <c r="E32" s="150">
        <v>1.788194444444444</v>
      </c>
      <c r="F32" s="138" t="s">
        <v>37</v>
      </c>
      <c r="G32" s="140">
        <v>7</v>
      </c>
      <c r="H32" s="141">
        <v>419</v>
      </c>
    </row>
    <row r="33" spans="1:8" ht="19.8" customHeight="1" x14ac:dyDescent="0.3">
      <c r="A33" s="157">
        <v>45987</v>
      </c>
      <c r="B33" s="158" t="s">
        <v>55</v>
      </c>
      <c r="C33" s="159" t="s">
        <v>68</v>
      </c>
      <c r="D33" s="158" t="s">
        <v>1</v>
      </c>
      <c r="E33" s="160">
        <v>1.614583333333333</v>
      </c>
      <c r="F33" s="158" t="s">
        <v>57</v>
      </c>
      <c r="G33" s="161">
        <v>9</v>
      </c>
      <c r="H33" s="184">
        <v>436</v>
      </c>
    </row>
    <row r="34" spans="1:8" ht="19.8" customHeight="1" x14ac:dyDescent="0.3">
      <c r="A34" s="147">
        <v>45988</v>
      </c>
      <c r="B34" s="143" t="s">
        <v>55</v>
      </c>
      <c r="C34" s="144" t="s">
        <v>626</v>
      </c>
      <c r="D34" s="143" t="s">
        <v>605</v>
      </c>
      <c r="E34" s="148">
        <v>1.083333333333333</v>
      </c>
      <c r="F34" s="143" t="s">
        <v>57</v>
      </c>
      <c r="G34" s="145">
        <v>9</v>
      </c>
      <c r="H34" s="146">
        <v>401</v>
      </c>
    </row>
    <row r="35" spans="1:8" ht="19.8" customHeight="1" x14ac:dyDescent="0.3">
      <c r="A35" s="147">
        <v>45988</v>
      </c>
      <c r="B35" s="143" t="s">
        <v>55</v>
      </c>
      <c r="C35" s="144" t="s">
        <v>606</v>
      </c>
      <c r="D35" s="143" t="s">
        <v>605</v>
      </c>
      <c r="E35" s="148">
        <v>1.489583333333333</v>
      </c>
      <c r="F35" s="143" t="s">
        <v>57</v>
      </c>
      <c r="G35" s="145">
        <v>9</v>
      </c>
      <c r="H35" s="146">
        <v>401</v>
      </c>
    </row>
    <row r="36" spans="1:8" ht="19.8" customHeight="1" x14ac:dyDescent="0.3">
      <c r="A36" s="147">
        <v>45988</v>
      </c>
      <c r="B36" s="143" t="s">
        <v>55</v>
      </c>
      <c r="C36" s="144" t="s">
        <v>609</v>
      </c>
      <c r="D36" s="143" t="s">
        <v>605</v>
      </c>
      <c r="E36" s="148">
        <v>1.708333333333333</v>
      </c>
      <c r="F36" s="143" t="s">
        <v>57</v>
      </c>
      <c r="G36" s="145">
        <v>9</v>
      </c>
      <c r="H36" s="146">
        <v>401</v>
      </c>
    </row>
    <row r="37" spans="1:8" ht="19.8" customHeight="1" x14ac:dyDescent="0.3">
      <c r="A37" s="149">
        <v>45988</v>
      </c>
      <c r="B37" s="138" t="s">
        <v>148</v>
      </c>
      <c r="C37" s="139" t="s">
        <v>612</v>
      </c>
      <c r="D37" s="138" t="s">
        <v>605</v>
      </c>
      <c r="E37" s="150">
        <v>1.489583333333333</v>
      </c>
      <c r="F37" s="138" t="s">
        <v>624</v>
      </c>
      <c r="G37" s="140">
        <v>4</v>
      </c>
      <c r="H37" s="141">
        <v>640</v>
      </c>
    </row>
    <row r="38" spans="1:8" ht="19.8" customHeight="1" x14ac:dyDescent="0.3">
      <c r="A38" s="180"/>
      <c r="B38" s="181"/>
      <c r="C38" s="181"/>
      <c r="D38" s="181"/>
      <c r="E38" s="181"/>
      <c r="F38" s="182" t="s">
        <v>604</v>
      </c>
      <c r="G38" s="181"/>
      <c r="H38" s="183"/>
    </row>
    <row r="39" spans="1:8" ht="19.8" customHeight="1" x14ac:dyDescent="0.3">
      <c r="A39" s="149">
        <v>45988</v>
      </c>
      <c r="B39" s="138" t="s">
        <v>35</v>
      </c>
      <c r="C39" s="139" t="s">
        <v>36</v>
      </c>
      <c r="D39" s="138" t="s">
        <v>1</v>
      </c>
      <c r="E39" s="150">
        <v>1.302083333333333</v>
      </c>
      <c r="F39" s="138" t="s">
        <v>37</v>
      </c>
      <c r="G39" s="140">
        <v>1</v>
      </c>
      <c r="H39" s="141">
        <v>359</v>
      </c>
    </row>
    <row r="40" spans="1:8" ht="19.8" customHeight="1" x14ac:dyDescent="0.3">
      <c r="A40" s="149">
        <v>45988</v>
      </c>
      <c r="B40" s="138" t="s">
        <v>35</v>
      </c>
      <c r="C40" s="139" t="s">
        <v>50</v>
      </c>
      <c r="D40" s="138" t="s">
        <v>1</v>
      </c>
      <c r="E40" s="150">
        <v>1.1284722222222221</v>
      </c>
      <c r="F40" s="138" t="s">
        <v>37</v>
      </c>
      <c r="G40" s="140">
        <v>4</v>
      </c>
      <c r="H40" s="141">
        <v>359</v>
      </c>
    </row>
    <row r="41" spans="1:8" ht="19.8" customHeight="1" x14ac:dyDescent="0.3">
      <c r="A41" s="149">
        <v>45988</v>
      </c>
      <c r="B41" s="138" t="s">
        <v>116</v>
      </c>
      <c r="C41" s="139" t="s">
        <v>117</v>
      </c>
      <c r="D41" s="138" t="s">
        <v>1</v>
      </c>
      <c r="E41" s="150">
        <v>1.291666666666667</v>
      </c>
      <c r="F41" s="138" t="s">
        <v>28</v>
      </c>
      <c r="G41" s="140">
        <v>9</v>
      </c>
      <c r="H41" s="141">
        <v>400</v>
      </c>
    </row>
    <row r="42" spans="1:8" ht="19.8" customHeight="1" x14ac:dyDescent="0.3">
      <c r="A42" s="149">
        <v>45988</v>
      </c>
      <c r="B42" s="138" t="s">
        <v>116</v>
      </c>
      <c r="C42" s="139" t="s">
        <v>119</v>
      </c>
      <c r="D42" s="138" t="s">
        <v>1</v>
      </c>
      <c r="E42" s="150">
        <v>1.59375</v>
      </c>
      <c r="F42" s="138" t="s">
        <v>28</v>
      </c>
      <c r="G42" s="140">
        <v>9</v>
      </c>
      <c r="H42" s="141">
        <v>400</v>
      </c>
    </row>
    <row r="43" spans="1:8" ht="19.8" customHeight="1" x14ac:dyDescent="0.3">
      <c r="A43" s="149">
        <v>45988</v>
      </c>
      <c r="B43" s="138" t="s">
        <v>55</v>
      </c>
      <c r="C43" s="139" t="s">
        <v>189</v>
      </c>
      <c r="D43" s="138" t="s">
        <v>1</v>
      </c>
      <c r="E43" s="150">
        <v>1.364583333333333</v>
      </c>
      <c r="F43" s="138" t="s">
        <v>57</v>
      </c>
      <c r="G43" s="140">
        <v>9</v>
      </c>
      <c r="H43" s="141">
        <v>401</v>
      </c>
    </row>
    <row r="44" spans="1:8" ht="19.8" customHeight="1" x14ac:dyDescent="0.3">
      <c r="A44" s="149">
        <v>45988</v>
      </c>
      <c r="B44" s="138" t="s">
        <v>55</v>
      </c>
      <c r="C44" s="139" t="s">
        <v>192</v>
      </c>
      <c r="D44" s="138" t="s">
        <v>1</v>
      </c>
      <c r="E44" s="150">
        <v>1.2534722222222221</v>
      </c>
      <c r="F44" s="138" t="s">
        <v>57</v>
      </c>
      <c r="G44" s="140">
        <v>9</v>
      </c>
      <c r="H44" s="141">
        <v>401</v>
      </c>
    </row>
    <row r="45" spans="1:8" ht="19.8" customHeight="1" x14ac:dyDescent="0.3">
      <c r="A45" s="149">
        <v>45988</v>
      </c>
      <c r="B45" s="138" t="s">
        <v>55</v>
      </c>
      <c r="C45" s="139" t="s">
        <v>68</v>
      </c>
      <c r="D45" s="138" t="s">
        <v>1</v>
      </c>
      <c r="E45" s="150">
        <v>1.583333333333333</v>
      </c>
      <c r="F45" s="138" t="s">
        <v>57</v>
      </c>
      <c r="G45" s="140">
        <v>9</v>
      </c>
      <c r="H45" s="141">
        <v>401</v>
      </c>
    </row>
    <row r="46" spans="1:8" ht="19.8" customHeight="1" x14ac:dyDescent="0.3">
      <c r="A46" s="149">
        <v>45988</v>
      </c>
      <c r="B46" s="138" t="s">
        <v>55</v>
      </c>
      <c r="C46" s="139" t="s">
        <v>196</v>
      </c>
      <c r="D46" s="138" t="s">
        <v>1</v>
      </c>
      <c r="E46" s="150">
        <v>1.739583333333333</v>
      </c>
      <c r="F46" s="138" t="s">
        <v>57</v>
      </c>
      <c r="G46" s="140">
        <v>9</v>
      </c>
      <c r="H46" s="141">
        <v>401</v>
      </c>
    </row>
    <row r="47" spans="1:8" ht="19.8" customHeight="1" x14ac:dyDescent="0.3">
      <c r="A47" s="149">
        <v>45988</v>
      </c>
      <c r="B47" s="138" t="s">
        <v>26</v>
      </c>
      <c r="C47" s="139" t="s">
        <v>33</v>
      </c>
      <c r="D47" s="138" t="s">
        <v>1</v>
      </c>
      <c r="E47" s="150">
        <v>1.666666666666667</v>
      </c>
      <c r="F47" s="138" t="s">
        <v>28</v>
      </c>
      <c r="G47" s="140">
        <v>1</v>
      </c>
      <c r="H47" s="141">
        <v>401</v>
      </c>
    </row>
    <row r="48" spans="1:8" ht="19.8" customHeight="1" x14ac:dyDescent="0.3">
      <c r="A48" s="157">
        <v>45988</v>
      </c>
      <c r="B48" s="158" t="s">
        <v>83</v>
      </c>
      <c r="C48" s="159" t="s">
        <v>101</v>
      </c>
      <c r="D48" s="158" t="s">
        <v>1</v>
      </c>
      <c r="E48" s="160">
        <v>1.5173611111111109</v>
      </c>
      <c r="F48" s="158" t="s">
        <v>85</v>
      </c>
      <c r="G48" s="161">
        <v>9</v>
      </c>
      <c r="H48" s="184">
        <v>409</v>
      </c>
    </row>
    <row r="49" spans="1:8" ht="19.8" customHeight="1" x14ac:dyDescent="0.3">
      <c r="A49" s="147">
        <v>45989</v>
      </c>
      <c r="B49" s="143" t="s">
        <v>55</v>
      </c>
      <c r="C49" s="144" t="s">
        <v>621</v>
      </c>
      <c r="D49" s="143" t="s">
        <v>605</v>
      </c>
      <c r="E49" s="148">
        <v>1.291666666666667</v>
      </c>
      <c r="F49" s="143" t="s">
        <v>57</v>
      </c>
      <c r="G49" s="145">
        <v>9</v>
      </c>
      <c r="H49" s="146">
        <v>401</v>
      </c>
    </row>
    <row r="50" spans="1:8" ht="19.8" customHeight="1" x14ac:dyDescent="0.3">
      <c r="A50" s="180"/>
      <c r="B50" s="181"/>
      <c r="C50" s="181"/>
      <c r="D50" s="181"/>
      <c r="E50" s="181"/>
      <c r="F50" s="182" t="s">
        <v>604</v>
      </c>
      <c r="G50" s="181"/>
      <c r="H50" s="183"/>
    </row>
    <row r="51" spans="1:8" ht="19.8" customHeight="1" x14ac:dyDescent="0.3">
      <c r="A51" s="149">
        <v>45989</v>
      </c>
      <c r="B51" s="138" t="s">
        <v>35</v>
      </c>
      <c r="C51" s="139" t="s">
        <v>50</v>
      </c>
      <c r="D51" s="138" t="s">
        <v>1</v>
      </c>
      <c r="E51" s="150">
        <v>1.1284722222222221</v>
      </c>
      <c r="F51" s="138" t="s">
        <v>37</v>
      </c>
      <c r="G51" s="140">
        <v>1</v>
      </c>
      <c r="H51" s="141">
        <v>359</v>
      </c>
    </row>
    <row r="52" spans="1:8" ht="19.8" customHeight="1" x14ac:dyDescent="0.3">
      <c r="A52" s="149">
        <v>45989</v>
      </c>
      <c r="B52" s="138" t="s">
        <v>35</v>
      </c>
      <c r="C52" s="139" t="s">
        <v>36</v>
      </c>
      <c r="D52" s="138" t="s">
        <v>1</v>
      </c>
      <c r="E52" s="150">
        <v>1.302083333333333</v>
      </c>
      <c r="F52" s="138" t="s">
        <v>37</v>
      </c>
      <c r="G52" s="140">
        <v>2</v>
      </c>
      <c r="H52" s="141">
        <v>389</v>
      </c>
    </row>
    <row r="53" spans="1:8" ht="19.8" customHeight="1" x14ac:dyDescent="0.3">
      <c r="A53" s="149">
        <v>45989</v>
      </c>
      <c r="B53" s="138" t="s">
        <v>55</v>
      </c>
      <c r="C53" s="139" t="s">
        <v>56</v>
      </c>
      <c r="D53" s="138" t="s">
        <v>1</v>
      </c>
      <c r="E53" s="150">
        <v>1.114583333333333</v>
      </c>
      <c r="F53" s="138" t="s">
        <v>57</v>
      </c>
      <c r="G53" s="140">
        <v>9</v>
      </c>
      <c r="H53" s="141">
        <v>401</v>
      </c>
    </row>
    <row r="54" spans="1:8" ht="19.8" customHeight="1" x14ac:dyDescent="0.3">
      <c r="A54" s="149">
        <v>45989</v>
      </c>
      <c r="B54" s="138" t="s">
        <v>55</v>
      </c>
      <c r="C54" s="139" t="s">
        <v>62</v>
      </c>
      <c r="D54" s="138" t="s">
        <v>1</v>
      </c>
      <c r="E54" s="150">
        <v>1.7361111111111109</v>
      </c>
      <c r="F54" s="138" t="s">
        <v>57</v>
      </c>
      <c r="G54" s="140">
        <v>9</v>
      </c>
      <c r="H54" s="141">
        <v>401</v>
      </c>
    </row>
    <row r="55" spans="1:8" ht="19.8" customHeight="1" x14ac:dyDescent="0.3">
      <c r="A55" s="149">
        <v>45989</v>
      </c>
      <c r="B55" s="138" t="s">
        <v>55</v>
      </c>
      <c r="C55" s="139" t="s">
        <v>65</v>
      </c>
      <c r="D55" s="138" t="s">
        <v>1</v>
      </c>
      <c r="E55" s="150">
        <v>1.319444444444444</v>
      </c>
      <c r="F55" s="138" t="s">
        <v>57</v>
      </c>
      <c r="G55" s="140">
        <v>9</v>
      </c>
      <c r="H55" s="141">
        <v>401</v>
      </c>
    </row>
    <row r="56" spans="1:8" ht="19.8" customHeight="1" x14ac:dyDescent="0.3">
      <c r="A56" s="149">
        <v>45989</v>
      </c>
      <c r="B56" s="138" t="s">
        <v>55</v>
      </c>
      <c r="C56" s="139" t="s">
        <v>68</v>
      </c>
      <c r="D56" s="138" t="s">
        <v>1</v>
      </c>
      <c r="E56" s="150">
        <v>1.458333333333333</v>
      </c>
      <c r="F56" s="138" t="s">
        <v>57</v>
      </c>
      <c r="G56" s="140">
        <v>9</v>
      </c>
      <c r="H56" s="141">
        <v>401</v>
      </c>
    </row>
    <row r="57" spans="1:8" ht="19.8" customHeight="1" x14ac:dyDescent="0.3">
      <c r="A57" s="149">
        <v>45989</v>
      </c>
      <c r="B57" s="138" t="s">
        <v>55</v>
      </c>
      <c r="C57" s="139" t="s">
        <v>196</v>
      </c>
      <c r="D57" s="138" t="s">
        <v>1</v>
      </c>
      <c r="E57" s="150">
        <v>1.614583333333333</v>
      </c>
      <c r="F57" s="138" t="s">
        <v>57</v>
      </c>
      <c r="G57" s="140">
        <v>9</v>
      </c>
      <c r="H57" s="141">
        <v>401</v>
      </c>
    </row>
    <row r="58" spans="1:8" ht="19.8" customHeight="1" x14ac:dyDescent="0.3">
      <c r="A58" s="149">
        <v>45989</v>
      </c>
      <c r="B58" s="138" t="s">
        <v>26</v>
      </c>
      <c r="C58" s="139" t="s">
        <v>33</v>
      </c>
      <c r="D58" s="138" t="s">
        <v>1</v>
      </c>
      <c r="E58" s="150">
        <v>1.666666666666667</v>
      </c>
      <c r="F58" s="138" t="s">
        <v>28</v>
      </c>
      <c r="G58" s="140">
        <v>2</v>
      </c>
      <c r="H58" s="141">
        <v>401</v>
      </c>
    </row>
    <row r="59" spans="1:8" ht="19.8" customHeight="1" x14ac:dyDescent="0.3">
      <c r="A59" s="149">
        <v>45989</v>
      </c>
      <c r="B59" s="138" t="s">
        <v>83</v>
      </c>
      <c r="C59" s="139" t="s">
        <v>102</v>
      </c>
      <c r="D59" s="138" t="s">
        <v>1</v>
      </c>
      <c r="E59" s="150">
        <v>1.854166666666667</v>
      </c>
      <c r="F59" s="138" t="s">
        <v>85</v>
      </c>
      <c r="G59" s="140">
        <v>2</v>
      </c>
      <c r="H59" s="141">
        <v>409</v>
      </c>
    </row>
    <row r="60" spans="1:8" ht="19.8" customHeight="1" x14ac:dyDescent="0.3">
      <c r="A60" s="157">
        <v>45989</v>
      </c>
      <c r="B60" s="158" t="s">
        <v>35</v>
      </c>
      <c r="C60" s="159" t="s">
        <v>45</v>
      </c>
      <c r="D60" s="158" t="s">
        <v>1</v>
      </c>
      <c r="E60" s="160">
        <v>1.788194444444444</v>
      </c>
      <c r="F60" s="158" t="s">
        <v>37</v>
      </c>
      <c r="G60" s="161">
        <v>8</v>
      </c>
      <c r="H60" s="184">
        <v>419</v>
      </c>
    </row>
    <row r="61" spans="1:8" ht="19.8" customHeight="1" x14ac:dyDescent="0.3">
      <c r="A61" s="147">
        <v>45990</v>
      </c>
      <c r="B61" s="143" t="s">
        <v>55</v>
      </c>
      <c r="C61" s="144" t="s">
        <v>621</v>
      </c>
      <c r="D61" s="143" t="s">
        <v>605</v>
      </c>
      <c r="E61" s="148">
        <v>1.302083333333333</v>
      </c>
      <c r="F61" s="143" t="s">
        <v>57</v>
      </c>
      <c r="G61" s="145">
        <v>9</v>
      </c>
      <c r="H61" s="146">
        <v>471</v>
      </c>
    </row>
    <row r="62" spans="1:8" ht="19.8" customHeight="1" x14ac:dyDescent="0.3">
      <c r="A62" s="147">
        <v>45990</v>
      </c>
      <c r="B62" s="143" t="s">
        <v>55</v>
      </c>
      <c r="C62" s="144" t="s">
        <v>609</v>
      </c>
      <c r="D62" s="143" t="s">
        <v>605</v>
      </c>
      <c r="E62" s="148">
        <v>1.6875</v>
      </c>
      <c r="F62" s="143" t="s">
        <v>57</v>
      </c>
      <c r="G62" s="145">
        <v>9</v>
      </c>
      <c r="H62" s="146">
        <v>526</v>
      </c>
    </row>
    <row r="63" spans="1:8" ht="19.8" customHeight="1" x14ac:dyDescent="0.3">
      <c r="A63" s="180"/>
      <c r="B63" s="181"/>
      <c r="C63" s="181"/>
      <c r="D63" s="181"/>
      <c r="E63" s="181"/>
      <c r="F63" s="182" t="s">
        <v>604</v>
      </c>
      <c r="G63" s="181"/>
      <c r="H63" s="183"/>
    </row>
    <row r="64" spans="1:8" ht="19.8" customHeight="1" x14ac:dyDescent="0.3">
      <c r="A64" s="149">
        <v>45990</v>
      </c>
      <c r="B64" s="138" t="s">
        <v>35</v>
      </c>
      <c r="C64" s="139" t="s">
        <v>50</v>
      </c>
      <c r="D64" s="138" t="s">
        <v>1</v>
      </c>
      <c r="E64" s="150">
        <v>1.1284722222222221</v>
      </c>
      <c r="F64" s="138" t="s">
        <v>37</v>
      </c>
      <c r="G64" s="140">
        <v>9</v>
      </c>
      <c r="H64" s="141">
        <v>389</v>
      </c>
    </row>
    <row r="65" spans="1:8" ht="19.8" customHeight="1" x14ac:dyDescent="0.3">
      <c r="A65" s="149">
        <v>45990</v>
      </c>
      <c r="B65" s="138" t="s">
        <v>55</v>
      </c>
      <c r="C65" s="139" t="s">
        <v>192</v>
      </c>
      <c r="D65" s="138" t="s">
        <v>1</v>
      </c>
      <c r="E65" s="150">
        <v>1.2361111111111109</v>
      </c>
      <c r="F65" s="138" t="s">
        <v>57</v>
      </c>
      <c r="G65" s="140">
        <v>8</v>
      </c>
      <c r="H65" s="141">
        <v>401</v>
      </c>
    </row>
    <row r="66" spans="1:8" ht="19.8" customHeight="1" x14ac:dyDescent="0.3">
      <c r="A66" s="149">
        <v>45990</v>
      </c>
      <c r="B66" s="138" t="s">
        <v>55</v>
      </c>
      <c r="C66" s="139" t="s">
        <v>65</v>
      </c>
      <c r="D66" s="138" t="s">
        <v>1</v>
      </c>
      <c r="E66" s="150">
        <v>1.333333333333333</v>
      </c>
      <c r="F66" s="138" t="s">
        <v>57</v>
      </c>
      <c r="G66" s="140">
        <v>9</v>
      </c>
      <c r="H66" s="141">
        <v>401</v>
      </c>
    </row>
    <row r="67" spans="1:8" ht="19.8" customHeight="1" x14ac:dyDescent="0.3">
      <c r="A67" s="149">
        <v>45990</v>
      </c>
      <c r="B67" s="138" t="s">
        <v>26</v>
      </c>
      <c r="C67" s="139" t="s">
        <v>27</v>
      </c>
      <c r="D67" s="138" t="s">
        <v>1</v>
      </c>
      <c r="E67" s="150">
        <v>1.21875</v>
      </c>
      <c r="F67" s="138" t="s">
        <v>28</v>
      </c>
      <c r="G67" s="140">
        <v>9</v>
      </c>
      <c r="H67" s="141">
        <v>401</v>
      </c>
    </row>
    <row r="68" spans="1:8" ht="19.8" customHeight="1" x14ac:dyDescent="0.3">
      <c r="A68" s="149">
        <v>45990</v>
      </c>
      <c r="B68" s="138" t="s">
        <v>35</v>
      </c>
      <c r="C68" s="139" t="s">
        <v>36</v>
      </c>
      <c r="D68" s="138" t="s">
        <v>1</v>
      </c>
      <c r="E68" s="150">
        <v>1.302083333333333</v>
      </c>
      <c r="F68" s="138" t="s">
        <v>37</v>
      </c>
      <c r="G68" s="140">
        <v>5</v>
      </c>
      <c r="H68" s="141">
        <v>419</v>
      </c>
    </row>
    <row r="69" spans="1:8" ht="19.8" customHeight="1" x14ac:dyDescent="0.3">
      <c r="A69" s="149">
        <v>45990</v>
      </c>
      <c r="B69" s="138" t="s">
        <v>110</v>
      </c>
      <c r="C69" s="139" t="s">
        <v>111</v>
      </c>
      <c r="D69" s="138" t="s">
        <v>1</v>
      </c>
      <c r="E69" s="150">
        <v>1.2152777777777779</v>
      </c>
      <c r="F69" s="138" t="s">
        <v>112</v>
      </c>
      <c r="G69" s="140">
        <v>9</v>
      </c>
      <c r="H69" s="141">
        <v>430</v>
      </c>
    </row>
    <row r="70" spans="1:8" ht="19.8" customHeight="1" x14ac:dyDescent="0.3">
      <c r="A70" s="149">
        <v>45990</v>
      </c>
      <c r="B70" s="138" t="s">
        <v>55</v>
      </c>
      <c r="C70" s="139" t="s">
        <v>68</v>
      </c>
      <c r="D70" s="138" t="s">
        <v>1</v>
      </c>
      <c r="E70" s="150">
        <v>1.680555555555556</v>
      </c>
      <c r="F70" s="138" t="s">
        <v>57</v>
      </c>
      <c r="G70" s="140">
        <v>9</v>
      </c>
      <c r="H70" s="141">
        <v>436</v>
      </c>
    </row>
    <row r="71" spans="1:8" ht="19.8" customHeight="1" x14ac:dyDescent="0.3">
      <c r="A71" s="149">
        <v>45990</v>
      </c>
      <c r="B71" s="138" t="s">
        <v>110</v>
      </c>
      <c r="C71" s="139" t="s">
        <v>173</v>
      </c>
      <c r="D71" s="138" t="s">
        <v>1</v>
      </c>
      <c r="E71" s="150">
        <v>1.3298611111111109</v>
      </c>
      <c r="F71" s="138" t="s">
        <v>112</v>
      </c>
      <c r="G71" s="140">
        <v>9</v>
      </c>
      <c r="H71" s="141">
        <v>437</v>
      </c>
    </row>
    <row r="72" spans="1:8" ht="19.8" customHeight="1" x14ac:dyDescent="0.3">
      <c r="A72" s="149">
        <v>45990</v>
      </c>
      <c r="B72" s="138" t="s">
        <v>83</v>
      </c>
      <c r="C72" s="139" t="s">
        <v>84</v>
      </c>
      <c r="D72" s="138" t="s">
        <v>1</v>
      </c>
      <c r="E72" s="150">
        <v>1.9027777777777779</v>
      </c>
      <c r="F72" s="138" t="s">
        <v>85</v>
      </c>
      <c r="G72" s="140">
        <v>9</v>
      </c>
      <c r="H72" s="141">
        <v>449</v>
      </c>
    </row>
    <row r="73" spans="1:8" ht="19.8" customHeight="1" x14ac:dyDescent="0.3">
      <c r="A73" s="157">
        <v>45990</v>
      </c>
      <c r="B73" s="158" t="s">
        <v>83</v>
      </c>
      <c r="C73" s="159" t="s">
        <v>100</v>
      </c>
      <c r="D73" s="158" t="s">
        <v>1</v>
      </c>
      <c r="E73" s="160">
        <v>1.6597222222222221</v>
      </c>
      <c r="F73" s="158" t="s">
        <v>85</v>
      </c>
      <c r="G73" s="161">
        <v>2</v>
      </c>
      <c r="H73" s="184">
        <v>449</v>
      </c>
    </row>
    <row r="74" spans="1:8" ht="19.8" customHeight="1" x14ac:dyDescent="0.3">
      <c r="A74" s="149">
        <v>45991</v>
      </c>
      <c r="B74" s="138" t="s">
        <v>35</v>
      </c>
      <c r="C74" s="139" t="s">
        <v>614</v>
      </c>
      <c r="D74" s="138" t="s">
        <v>605</v>
      </c>
      <c r="E74" s="150">
        <v>1.2847222222222221</v>
      </c>
      <c r="F74" s="138" t="s">
        <v>495</v>
      </c>
      <c r="G74" s="140">
        <v>3</v>
      </c>
      <c r="H74" s="141">
        <v>329</v>
      </c>
    </row>
    <row r="75" spans="1:8" ht="19.8" customHeight="1" x14ac:dyDescent="0.3">
      <c r="A75" s="149">
        <v>45991</v>
      </c>
      <c r="B75" s="138" t="s">
        <v>35</v>
      </c>
      <c r="C75" s="139" t="s">
        <v>614</v>
      </c>
      <c r="D75" s="138" t="s">
        <v>605</v>
      </c>
      <c r="E75" s="150">
        <v>1.2847222222222221</v>
      </c>
      <c r="F75" s="138" t="s">
        <v>486</v>
      </c>
      <c r="G75" s="140">
        <v>3</v>
      </c>
      <c r="H75" s="141">
        <v>388</v>
      </c>
    </row>
    <row r="76" spans="1:8" ht="19.8" customHeight="1" x14ac:dyDescent="0.3">
      <c r="A76" s="147">
        <v>45991</v>
      </c>
      <c r="B76" s="143" t="s">
        <v>55</v>
      </c>
      <c r="C76" s="144" t="s">
        <v>609</v>
      </c>
      <c r="D76" s="143" t="s">
        <v>605</v>
      </c>
      <c r="E76" s="148">
        <v>1.850694444444444</v>
      </c>
      <c r="F76" s="143" t="s">
        <v>57</v>
      </c>
      <c r="G76" s="145">
        <v>9</v>
      </c>
      <c r="H76" s="146">
        <v>401</v>
      </c>
    </row>
    <row r="77" spans="1:8" ht="19.8" customHeight="1" x14ac:dyDescent="0.3">
      <c r="A77" s="149">
        <v>45991</v>
      </c>
      <c r="B77" s="138" t="s">
        <v>35</v>
      </c>
      <c r="C77" s="139" t="s">
        <v>614</v>
      </c>
      <c r="D77" s="138" t="s">
        <v>605</v>
      </c>
      <c r="E77" s="150">
        <v>1.2847222222222221</v>
      </c>
      <c r="F77" s="138" t="s">
        <v>488</v>
      </c>
      <c r="G77" s="140">
        <v>3</v>
      </c>
      <c r="H77" s="141">
        <v>412</v>
      </c>
    </row>
    <row r="78" spans="1:8" ht="19.8" customHeight="1" x14ac:dyDescent="0.3">
      <c r="A78" s="147">
        <v>45991</v>
      </c>
      <c r="B78" s="143" t="s">
        <v>55</v>
      </c>
      <c r="C78" s="144" t="s">
        <v>621</v>
      </c>
      <c r="D78" s="143" t="s">
        <v>605</v>
      </c>
      <c r="E78" s="148">
        <v>1.7673611111111109</v>
      </c>
      <c r="F78" s="143" t="s">
        <v>57</v>
      </c>
      <c r="G78" s="145">
        <v>9</v>
      </c>
      <c r="H78" s="146">
        <v>436</v>
      </c>
    </row>
    <row r="79" spans="1:8" ht="19.8" customHeight="1" x14ac:dyDescent="0.3">
      <c r="A79" s="149">
        <v>45991</v>
      </c>
      <c r="B79" s="138" t="s">
        <v>35</v>
      </c>
      <c r="C79" s="139" t="s">
        <v>614</v>
      </c>
      <c r="D79" s="138" t="s">
        <v>605</v>
      </c>
      <c r="E79" s="150">
        <v>1.2847222222222221</v>
      </c>
      <c r="F79" s="138" t="s">
        <v>499</v>
      </c>
      <c r="G79" s="140">
        <v>3</v>
      </c>
      <c r="H79" s="141">
        <v>579</v>
      </c>
    </row>
    <row r="80" spans="1:8" ht="19.8" customHeight="1" x14ac:dyDescent="0.3">
      <c r="A80" s="180"/>
      <c r="B80" s="181"/>
      <c r="C80" s="181"/>
      <c r="D80" s="181"/>
      <c r="E80" s="181"/>
      <c r="F80" s="182" t="s">
        <v>604</v>
      </c>
      <c r="G80" s="181"/>
      <c r="H80" s="183"/>
    </row>
    <row r="81" spans="1:8" ht="19.8" customHeight="1" x14ac:dyDescent="0.3">
      <c r="A81" s="149">
        <v>45991</v>
      </c>
      <c r="B81" s="138" t="s">
        <v>116</v>
      </c>
      <c r="C81" s="139" t="s">
        <v>117</v>
      </c>
      <c r="D81" s="138" t="s">
        <v>1</v>
      </c>
      <c r="E81" s="150">
        <v>1.274305555555556</v>
      </c>
      <c r="F81" s="138" t="s">
        <v>28</v>
      </c>
      <c r="G81" s="140">
        <v>9</v>
      </c>
      <c r="H81" s="141">
        <v>400</v>
      </c>
    </row>
    <row r="82" spans="1:8" ht="19.8" customHeight="1" x14ac:dyDescent="0.3">
      <c r="A82" s="149">
        <v>45991</v>
      </c>
      <c r="B82" s="138" t="s">
        <v>55</v>
      </c>
      <c r="C82" s="139" t="s">
        <v>65</v>
      </c>
      <c r="D82" s="138" t="s">
        <v>1</v>
      </c>
      <c r="E82" s="150">
        <v>1.319444444444444</v>
      </c>
      <c r="F82" s="138" t="s">
        <v>57</v>
      </c>
      <c r="G82" s="140">
        <v>9</v>
      </c>
      <c r="H82" s="141">
        <v>401</v>
      </c>
    </row>
    <row r="83" spans="1:8" ht="19.8" customHeight="1" x14ac:dyDescent="0.3">
      <c r="A83" s="149">
        <v>45991</v>
      </c>
      <c r="B83" s="138" t="s">
        <v>26</v>
      </c>
      <c r="C83" s="139" t="s">
        <v>27</v>
      </c>
      <c r="D83" s="138" t="s">
        <v>1</v>
      </c>
      <c r="E83" s="150">
        <v>1.381944444444444</v>
      </c>
      <c r="F83" s="138" t="s">
        <v>28</v>
      </c>
      <c r="G83" s="140">
        <v>7</v>
      </c>
      <c r="H83" s="141">
        <v>401</v>
      </c>
    </row>
    <row r="84" spans="1:8" ht="19.8" customHeight="1" x14ac:dyDescent="0.3">
      <c r="A84" s="149">
        <v>45991</v>
      </c>
      <c r="B84" s="138" t="s">
        <v>83</v>
      </c>
      <c r="C84" s="139" t="s">
        <v>104</v>
      </c>
      <c r="D84" s="138" t="s">
        <v>1</v>
      </c>
      <c r="E84" s="150">
        <v>1.395833333333333</v>
      </c>
      <c r="F84" s="138" t="s">
        <v>85</v>
      </c>
      <c r="G84" s="140">
        <v>4</v>
      </c>
      <c r="H84" s="141">
        <v>409</v>
      </c>
    </row>
    <row r="85" spans="1:8" ht="19.8" customHeight="1" x14ac:dyDescent="0.3">
      <c r="A85" s="149">
        <v>45991</v>
      </c>
      <c r="B85" s="138" t="s">
        <v>83</v>
      </c>
      <c r="C85" s="139" t="s">
        <v>103</v>
      </c>
      <c r="D85" s="138" t="s">
        <v>1</v>
      </c>
      <c r="E85" s="150">
        <v>1.302083333333333</v>
      </c>
      <c r="F85" s="138" t="s">
        <v>85</v>
      </c>
      <c r="G85" s="140">
        <v>4</v>
      </c>
      <c r="H85" s="141">
        <v>409</v>
      </c>
    </row>
    <row r="86" spans="1:8" ht="19.8" customHeight="1" x14ac:dyDescent="0.3">
      <c r="A86" s="149">
        <v>45991</v>
      </c>
      <c r="B86" s="138" t="s">
        <v>110</v>
      </c>
      <c r="C86" s="139" t="s">
        <v>173</v>
      </c>
      <c r="D86" s="138" t="s">
        <v>1</v>
      </c>
      <c r="E86" s="150">
        <v>1.3888888888888891</v>
      </c>
      <c r="F86" s="138" t="s">
        <v>112</v>
      </c>
      <c r="G86" s="140">
        <v>9</v>
      </c>
      <c r="H86" s="141">
        <v>411</v>
      </c>
    </row>
    <row r="87" spans="1:8" ht="19.8" customHeight="1" x14ac:dyDescent="0.3">
      <c r="A87" s="149">
        <v>45991</v>
      </c>
      <c r="B87" s="138" t="s">
        <v>35</v>
      </c>
      <c r="C87" s="139" t="s">
        <v>50</v>
      </c>
      <c r="D87" s="138" t="s">
        <v>1</v>
      </c>
      <c r="E87" s="150">
        <v>1.1284722222222221</v>
      </c>
      <c r="F87" s="138" t="s">
        <v>37</v>
      </c>
      <c r="G87" s="140">
        <v>6</v>
      </c>
      <c r="H87" s="141">
        <v>419</v>
      </c>
    </row>
    <row r="88" spans="1:8" ht="19.8" customHeight="1" x14ac:dyDescent="0.3">
      <c r="A88" s="149">
        <v>45991</v>
      </c>
      <c r="B88" s="138" t="s">
        <v>35</v>
      </c>
      <c r="C88" s="139" t="s">
        <v>45</v>
      </c>
      <c r="D88" s="138" t="s">
        <v>1</v>
      </c>
      <c r="E88" s="150">
        <v>1.788194444444444</v>
      </c>
      <c r="F88" s="138" t="s">
        <v>37</v>
      </c>
      <c r="G88" s="140">
        <v>5</v>
      </c>
      <c r="H88" s="141">
        <v>419</v>
      </c>
    </row>
    <row r="89" spans="1:8" ht="19.8" customHeight="1" x14ac:dyDescent="0.3">
      <c r="A89" s="149">
        <v>45991</v>
      </c>
      <c r="B89" s="138" t="s">
        <v>55</v>
      </c>
      <c r="C89" s="139" t="s">
        <v>56</v>
      </c>
      <c r="D89" s="138" t="s">
        <v>1</v>
      </c>
      <c r="E89" s="150">
        <v>1.083333333333333</v>
      </c>
      <c r="F89" s="138" t="s">
        <v>57</v>
      </c>
      <c r="G89" s="140">
        <v>9</v>
      </c>
      <c r="H89" s="141">
        <v>436</v>
      </c>
    </row>
    <row r="90" spans="1:8" ht="19.8" customHeight="1" x14ac:dyDescent="0.3">
      <c r="A90" s="157">
        <v>45991</v>
      </c>
      <c r="B90" s="158" t="s">
        <v>55</v>
      </c>
      <c r="C90" s="159" t="s">
        <v>189</v>
      </c>
      <c r="D90" s="158" t="s">
        <v>1</v>
      </c>
      <c r="E90" s="160">
        <v>1.333333333333333</v>
      </c>
      <c r="F90" s="158" t="s">
        <v>57</v>
      </c>
      <c r="G90" s="161">
        <v>9</v>
      </c>
      <c r="H90" s="184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2025-11-21T01:24:36Z</dcterms:created>
  <dcterms:modified xsi:type="dcterms:W3CDTF">2025-11-21T01:25:07Z</dcterms:modified>
</cp:coreProperties>
</file>