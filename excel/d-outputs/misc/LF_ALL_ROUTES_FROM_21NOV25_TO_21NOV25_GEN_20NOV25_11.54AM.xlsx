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C87ACFAD-618C-4252-A537-094075744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E9" i="1"/>
  <c r="C9" i="1"/>
  <c r="AJ9" i="1"/>
</calcChain>
</file>

<file path=xl/sharedStrings.xml><?xml version="1.0" encoding="utf-8"?>
<sst xmlns="http://schemas.openxmlformats.org/spreadsheetml/2006/main" count="86" uniqueCount="62">
  <si>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</si>
  <si>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</si>
  <si>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</si>
  <si>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</si>
  <si>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</si>
  <si>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</si>
  <si>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</si>
  <si>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</si>
  <si>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</si>
  <si>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</si>
  <si>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</si>
  <si>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</si>
  <si>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</si>
  <si>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</si>
  <si>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</si>
  <si>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</si>
  <si>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</si>
  <si>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</si>
  <si>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</si>
  <si>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</si>
  <si>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</si>
  <si>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</si>
  <si>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</si>
  <si>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</si>
  <si>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</si>
  <si>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</si>
  <si>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</si>
  <si>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</si>
  <si>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</si>
  <si>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</si>
  <si>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</si>
  <si>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</si>
  <si>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</si>
  <si>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</si>
  <si>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</si>
  <si>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</si>
  <si>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</si>
  <si>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SM424</t>
  </si>
  <si>
    <t>02:45</t>
  </si>
  <si>
    <t>JED-CAI</t>
  </si>
  <si>
    <t>320</t>
  </si>
  <si>
    <t>UPCOMING</t>
  </si>
  <si>
    <t>S9</t>
  </si>
  <si>
    <t>SM452</t>
  </si>
  <si>
    <t>10:00</t>
  </si>
  <si>
    <t>JED-HBE</t>
  </si>
  <si>
    <t>H1</t>
  </si>
  <si>
    <t>SM460</t>
  </si>
  <si>
    <t>22:30</t>
  </si>
  <si>
    <t>CLOSED</t>
  </si>
  <si>
    <t>SM472</t>
  </si>
  <si>
    <t>17:40</t>
  </si>
  <si>
    <t>SM476</t>
  </si>
  <si>
    <t>07:40</t>
  </si>
  <si>
    <t>L9</t>
  </si>
  <si>
    <t>SM478</t>
  </si>
  <si>
    <t>11:00</t>
  </si>
  <si>
    <t>W1</t>
  </si>
  <si>
    <t>SM480</t>
  </si>
  <si>
    <t>14:45</t>
  </si>
  <si>
    <t>G9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</si>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</sst>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2691B-9C85-49E3-B356-B4F4B2607BA5}" name="LF_ALL_ROUTES" displayName="LF_ALL_ROUTES" ref="A1:AJ9" totalsRowCount="1" headerRowDxfId="37" totalsRowDxfId="0">
  <autoFilter ref="A1:AJ8" xr:uid="{1E92691B-9C85-49E3-B356-B4F4B2607BA5}"/>
  <tableColumns count="36">
    <tableColumn id="1" xr3:uid="{C88F05CD-B483-4D91-AEC5-E4C0A998ECB2}" name="Day" totalsRowLabel="TOTAL" totalsRowDxfId="36"/>
    <tableColumn id="2" xr3:uid="{211B6D7B-B53B-491A-9E0A-9A5155501E07}" name="Flt Dt" dataDxfId="39" totalsRowDxfId="35"/>
    <tableColumn id="3" xr3:uid="{EFCA0408-06E0-40A3-8A9C-AC8FE5C26FFD}" name="Flt" totalsRowFunction="count" totalsRowDxfId="34"/>
    <tableColumn id="4" xr3:uid="{B1C38233-0E6B-4B0E-9D8D-FDFF985A4E02}" name="DEP" totalsRowDxfId="33"/>
    <tableColumn id="5" xr3:uid="{ED963552-9BDB-4AE7-9C23-0292CBAC230E}" name="Brd-Off" totalsRowFunction="count" totalsRowDxfId="32"/>
    <tableColumn id="6" xr3:uid="{676D7E06-8BA1-4CE2-BCE6-6485FECC0F30}" name="Eqp" totalsRowDxfId="31"/>
    <tableColumn id="7" xr3:uid="{BBD85868-29E4-4971-BC00-93553AB7AC93}" name="LF%" totalsRowFunction="average" totalsRowDxfId="30"/>
    <tableColumn id="8" xr3:uid="{65A14FAE-0213-4131-BC57-4B0965B7DF74}" name="CAP" totalsRowDxfId="29"/>
    <tableColumn id="9" xr3:uid="{64691CED-D0E3-46AF-AC1D-2CB923EC30E0}" name="BKG(Y)" totalsRowDxfId="28"/>
    <tableColumn id="10" xr3:uid="{D33407BD-C4FC-46E5-AAC2-CC336DF54E76}" name="GRP(Y)" totalsRowDxfId="27"/>
    <tableColumn id="11" xr3:uid="{30FE4DD0-9F10-4038-94F0-C4B733F217F8}" name="FLT ST" totalsRowDxfId="26"/>
    <tableColumn id="12" xr3:uid="{34070147-2D75-43A6-A84F-3A6BF4E7FF2C}" name="LST-SOLD" dataDxfId="38" totalsRowDxfId="25"/>
    <tableColumn id="13" xr3:uid="{D808B55B-7BFE-4B01-A4F8-DF2FFBAE2448}" name="TO-DAY" totalsRowDxfId="24"/>
    <tableColumn id="14" xr3:uid="{925C4004-39A9-4CD7-91EF-DDF2263892D5}" name="Y-DAY" totalsRowDxfId="23"/>
    <tableColumn id="15" xr3:uid="{5946E58C-80A8-4717-863D-805C9C87C614}" name="WEEKLY" totalsRowDxfId="22"/>
    <tableColumn id="16" xr3:uid="{A444B0B4-D64F-456B-A0A6-03230F501E3E}" name="LOWEST AVAIL" totalsRowDxfId="21"/>
    <tableColumn id="17" xr3:uid="{BB96616B-D83F-4263-BCCB-1E676A860629}" name="Y" totalsRowDxfId="20"/>
    <tableColumn id="18" xr3:uid="{6BEB9CB6-0EC1-43E5-A02E-6556904C0AB6}" name="B" totalsRowDxfId="19"/>
    <tableColumn id="19" xr3:uid="{64E906D3-4E7A-4029-8338-EC05D22E924F}" name="M" totalsRowDxfId="18"/>
    <tableColumn id="20" xr3:uid="{7CC50A60-8379-41F5-9A15-A21B5417847C}" name="H" totalsRowDxfId="17"/>
    <tableColumn id="21" xr3:uid="{9F86C5A9-F101-4F93-A3FA-6040354C50C0}" name="Q" totalsRowDxfId="16"/>
    <tableColumn id="22" xr3:uid="{FF71AFFB-1004-4356-B59C-BB56767A24A8}" name="K" totalsRowDxfId="15"/>
    <tableColumn id="23" xr3:uid="{7476DCD4-1560-4B1C-9D47-4F775CCC8FE9}" name="V" totalsRowDxfId="14"/>
    <tableColumn id="24" xr3:uid="{39CB3C40-1E56-4F5A-AB85-88681C806441}" name="L" totalsRowDxfId="13"/>
    <tableColumn id="25" xr3:uid="{47C61798-601A-4E43-BB01-BCC3981E062C}" name="G" totalsRowDxfId="12"/>
    <tableColumn id="26" xr3:uid="{65DE6BA6-BDC5-4FEF-9BAE-F636836BF023}" name="S" totalsRowDxfId="11"/>
    <tableColumn id="27" xr3:uid="{6E40B233-F993-4C8E-86C0-4573E09E9EC7}" name="W" totalsRowDxfId="10"/>
    <tableColumn id="28" xr3:uid="{A169417B-80FA-41AB-93E5-F57240E0DB32}" name="T" totalsRowDxfId="9"/>
    <tableColumn id="29" xr3:uid="{39E95E1C-91A5-4ECE-8736-AB8A0503B93D}" name="X" totalsRowDxfId="8"/>
    <tableColumn id="30" xr3:uid="{873308A7-C7A1-44F7-80FD-998E2D7B3A5F}" name="U" totalsRowDxfId="7"/>
    <tableColumn id="31" xr3:uid="{29C0829F-1E0D-40C6-BAFB-5E5F073B0E4F}" name="O" totalsRowDxfId="6"/>
    <tableColumn id="32" xr3:uid="{CAC84EE6-7280-462A-993E-61003D2A7C32}" name="I" totalsRowDxfId="5"/>
    <tableColumn id="33" xr3:uid="{7529A489-53F9-4558-826E-5DE491BC214A}" name="E" totalsRowDxfId="4"/>
    <tableColumn id="34" xr3:uid="{78EE3993-E51A-42B5-BF70-BF3C3AB947F4}" name="A" totalsRowDxfId="3"/>
    <tableColumn id="35" xr3:uid="{A7EDCC0A-67ED-4724-BCC3-9666AB94E327}" name="P" totalsRowDxfId="2"/>
    <tableColumn id="36" xr3:uid="{9DDD2B21-F7E7-42DA-8745-E5EB75B7608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"/>
  <sheetViews>
    <sheetView tabSelected="1" workbookViewId="0"/>
  </sheetViews>
  <sheetFormatPr defaultRowHeight="14.4" outlineLevelCol="1" x14ac:dyDescent="0.3"/>
  <cols>
    <col min="1" max="1" width="8.664062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45982</v>
      </c>
      <c r="C2" t="s">
        <v>37</v>
      </c>
      <c r="D2" t="s">
        <v>38</v>
      </c>
      <c r="E2" t="s">
        <v>39</v>
      </c>
      <c r="F2" t="s">
        <v>40</v>
      </c>
      <c r="G2">
        <v>0.56979999999999997</v>
      </c>
      <c r="H2">
        <v>179</v>
      </c>
      <c r="I2">
        <v>102</v>
      </c>
      <c r="J2">
        <v>0</v>
      </c>
      <c r="K2" t="s">
        <v>41</v>
      </c>
      <c r="L2" s="2">
        <v>45981</v>
      </c>
      <c r="M2">
        <v>8</v>
      </c>
      <c r="N2">
        <v>4</v>
      </c>
      <c r="O2">
        <v>31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3</v>
      </c>
      <c r="W2">
        <v>30</v>
      </c>
      <c r="X2">
        <v>22</v>
      </c>
      <c r="Y2">
        <v>22</v>
      </c>
      <c r="Z2">
        <v>19</v>
      </c>
      <c r="AA2">
        <v>5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45982</v>
      </c>
      <c r="C3" t="s">
        <v>43</v>
      </c>
      <c r="D3" t="s">
        <v>44</v>
      </c>
      <c r="E3" t="s">
        <v>45</v>
      </c>
      <c r="F3" t="s">
        <v>40</v>
      </c>
      <c r="G3">
        <v>0.99439999999999995</v>
      </c>
      <c r="H3">
        <v>179</v>
      </c>
      <c r="I3">
        <v>178</v>
      </c>
      <c r="J3">
        <v>83</v>
      </c>
      <c r="K3" t="s">
        <v>41</v>
      </c>
      <c r="L3" s="2">
        <v>45980</v>
      </c>
      <c r="M3">
        <v>0</v>
      </c>
      <c r="N3">
        <v>1</v>
      </c>
      <c r="O3">
        <v>7</v>
      </c>
      <c r="P3" t="s">
        <v>46</v>
      </c>
      <c r="Q3">
        <v>0</v>
      </c>
      <c r="R3">
        <v>0</v>
      </c>
      <c r="S3">
        <v>0</v>
      </c>
      <c r="T3">
        <v>0</v>
      </c>
      <c r="U3">
        <v>5</v>
      </c>
      <c r="V3">
        <v>7</v>
      </c>
      <c r="W3">
        <v>0</v>
      </c>
      <c r="X3">
        <v>3</v>
      </c>
      <c r="Y3">
        <v>18</v>
      </c>
      <c r="Z3">
        <v>13</v>
      </c>
      <c r="AA3">
        <v>14</v>
      </c>
      <c r="AB3">
        <v>17</v>
      </c>
      <c r="AC3">
        <v>17</v>
      </c>
      <c r="AD3">
        <v>0</v>
      </c>
      <c r="AE3">
        <v>0</v>
      </c>
      <c r="AF3">
        <v>0</v>
      </c>
      <c r="AG3">
        <v>0</v>
      </c>
      <c r="AH3">
        <v>0</v>
      </c>
      <c r="AI3">
        <v>84</v>
      </c>
      <c r="AJ3">
        <v>0</v>
      </c>
    </row>
    <row r="4" spans="1:36" x14ac:dyDescent="0.3">
      <c r="A4" t="s">
        <v>36</v>
      </c>
      <c r="B4" s="2">
        <v>45982</v>
      </c>
      <c r="C4" t="s">
        <v>47</v>
      </c>
      <c r="D4" t="s">
        <v>48</v>
      </c>
      <c r="E4" t="s">
        <v>39</v>
      </c>
      <c r="F4" t="s">
        <v>40</v>
      </c>
      <c r="G4">
        <v>1.0115000000000001</v>
      </c>
      <c r="H4">
        <v>174</v>
      </c>
      <c r="I4">
        <v>176</v>
      </c>
      <c r="J4">
        <v>92</v>
      </c>
      <c r="K4" t="s">
        <v>41</v>
      </c>
      <c r="L4" s="2">
        <v>45979</v>
      </c>
      <c r="M4">
        <v>0</v>
      </c>
      <c r="N4">
        <v>0</v>
      </c>
      <c r="O4">
        <v>6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7</v>
      </c>
      <c r="X4">
        <v>0</v>
      </c>
      <c r="Y4">
        <v>1</v>
      </c>
      <c r="Z4">
        <v>16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0</v>
      </c>
      <c r="AH4">
        <v>0</v>
      </c>
      <c r="AI4">
        <v>92</v>
      </c>
      <c r="AJ4">
        <v>0</v>
      </c>
    </row>
    <row r="5" spans="1:36" x14ac:dyDescent="0.3">
      <c r="A5" t="s">
        <v>36</v>
      </c>
      <c r="B5" s="2">
        <v>45982</v>
      </c>
      <c r="C5" t="s">
        <v>50</v>
      </c>
      <c r="D5" t="s">
        <v>51</v>
      </c>
      <c r="E5" t="s">
        <v>39</v>
      </c>
      <c r="F5" t="s">
        <v>40</v>
      </c>
      <c r="G5">
        <v>0.55869999999999997</v>
      </c>
      <c r="H5">
        <v>179</v>
      </c>
      <c r="I5">
        <v>100</v>
      </c>
      <c r="J5">
        <v>0</v>
      </c>
      <c r="K5" t="s">
        <v>41</v>
      </c>
      <c r="L5" s="2">
        <v>45981</v>
      </c>
      <c r="M5">
        <v>3</v>
      </c>
      <c r="N5">
        <v>1</v>
      </c>
      <c r="O5">
        <v>17</v>
      </c>
      <c r="P5" t="s">
        <v>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21</v>
      </c>
      <c r="X5">
        <v>18</v>
      </c>
      <c r="Y5">
        <v>22</v>
      </c>
      <c r="Z5">
        <v>34</v>
      </c>
      <c r="AA5">
        <v>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45982</v>
      </c>
      <c r="C6" t="s">
        <v>52</v>
      </c>
      <c r="D6" t="s">
        <v>53</v>
      </c>
      <c r="E6" t="s">
        <v>39</v>
      </c>
      <c r="F6" t="s">
        <v>40</v>
      </c>
      <c r="G6">
        <v>0.5978</v>
      </c>
      <c r="H6">
        <v>179</v>
      </c>
      <c r="I6">
        <v>107</v>
      </c>
      <c r="J6">
        <v>1</v>
      </c>
      <c r="K6" t="s">
        <v>41</v>
      </c>
      <c r="L6" s="2">
        <v>45978</v>
      </c>
      <c r="M6">
        <v>0</v>
      </c>
      <c r="N6">
        <v>0</v>
      </c>
      <c r="O6">
        <v>12</v>
      </c>
      <c r="P6" t="s">
        <v>54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30</v>
      </c>
      <c r="X6">
        <v>15</v>
      </c>
      <c r="Y6">
        <v>17</v>
      </c>
      <c r="Z6">
        <v>11</v>
      </c>
      <c r="AA6">
        <v>5</v>
      </c>
      <c r="AB6">
        <v>2</v>
      </c>
      <c r="AC6">
        <v>5</v>
      </c>
      <c r="AD6">
        <v>6</v>
      </c>
      <c r="AE6">
        <v>4</v>
      </c>
      <c r="AF6">
        <v>5</v>
      </c>
      <c r="AG6">
        <v>0</v>
      </c>
      <c r="AH6">
        <v>0</v>
      </c>
      <c r="AI6">
        <v>1</v>
      </c>
      <c r="AJ6">
        <v>0</v>
      </c>
    </row>
    <row r="7" spans="1:36" x14ac:dyDescent="0.3">
      <c r="A7" t="s">
        <v>36</v>
      </c>
      <c r="B7" s="2">
        <v>45982</v>
      </c>
      <c r="C7" t="s">
        <v>55</v>
      </c>
      <c r="D7" t="s">
        <v>56</v>
      </c>
      <c r="E7" t="s">
        <v>39</v>
      </c>
      <c r="F7" t="s">
        <v>40</v>
      </c>
      <c r="G7">
        <v>0.64249999999999996</v>
      </c>
      <c r="H7">
        <v>179</v>
      </c>
      <c r="I7">
        <v>115</v>
      </c>
      <c r="J7">
        <v>0</v>
      </c>
      <c r="K7" t="s">
        <v>41</v>
      </c>
      <c r="L7" s="2">
        <v>45981</v>
      </c>
      <c r="M7">
        <v>9</v>
      </c>
      <c r="N7">
        <v>7</v>
      </c>
      <c r="O7">
        <v>21</v>
      </c>
      <c r="P7" t="s">
        <v>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23</v>
      </c>
      <c r="Y7">
        <v>24</v>
      </c>
      <c r="Z7">
        <v>34</v>
      </c>
      <c r="AA7">
        <v>14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45982</v>
      </c>
      <c r="C8" t="s">
        <v>58</v>
      </c>
      <c r="D8" t="s">
        <v>59</v>
      </c>
      <c r="E8" t="s">
        <v>39</v>
      </c>
      <c r="F8" t="s">
        <v>40</v>
      </c>
      <c r="G8">
        <v>0.5363</v>
      </c>
      <c r="H8">
        <v>179</v>
      </c>
      <c r="I8">
        <v>96</v>
      </c>
      <c r="J8">
        <v>0</v>
      </c>
      <c r="K8" t="s">
        <v>41</v>
      </c>
      <c r="L8" s="2">
        <v>45980</v>
      </c>
      <c r="M8">
        <v>0</v>
      </c>
      <c r="N8">
        <v>1</v>
      </c>
      <c r="O8">
        <v>20</v>
      </c>
      <c r="P8" t="s">
        <v>60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16</v>
      </c>
      <c r="X8">
        <v>45</v>
      </c>
      <c r="Y8">
        <v>17</v>
      </c>
      <c r="Z8">
        <v>13</v>
      </c>
      <c r="AA8">
        <v>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ht="18" x14ac:dyDescent="0.35">
      <c r="A9" s="3" t="s">
        <v>61</v>
      </c>
      <c r="B9" s="4"/>
      <c r="C9" s="3">
        <f>SUBTOTAL(103,LF_ALL_ROUTES[Flt])</f>
        <v>7</v>
      </c>
      <c r="D9" s="3"/>
      <c r="E9" s="3">
        <f>SUBTOTAL(103,LF_ALL_ROUTES[Brd-Off])</f>
        <v>7</v>
      </c>
      <c r="F9" s="3"/>
      <c r="G9" s="5">
        <f>SUBTOTAL(101,LF_ALL_ROUTES[LF%])</f>
        <v>0.70157142857142851</v>
      </c>
      <c r="H9" s="3"/>
      <c r="I9" s="3"/>
      <c r="J9" s="3"/>
      <c r="K9" s="3"/>
      <c r="L9" s="4"/>
      <c r="M9" s="3"/>
      <c r="N9" s="3"/>
      <c r="O9" s="3"/>
      <c r="P9" s="3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2025-11-20T08:54:26Z</dcterms:created>
  <dcterms:modified xsi:type="dcterms:W3CDTF">2025-11-20T08:54:26Z</dcterms:modified>
</cp:coreProperties>
</file>