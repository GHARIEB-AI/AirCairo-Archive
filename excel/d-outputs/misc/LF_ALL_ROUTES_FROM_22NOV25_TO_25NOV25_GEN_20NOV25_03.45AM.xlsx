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33938C6-AD74-4E2D-99A6-F0BC88B09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1" l="1"/>
  <c r="E36" i="1"/>
  <c r="C36" i="1"/>
  <c r="AJ36" i="1"/>
</calcChain>
</file>

<file path=xl/sharedStrings.xml><?xml version="1.0" encoding="utf-8"?>
<sst xmlns="http://schemas.openxmlformats.org/spreadsheetml/2006/main" count="275" uniqueCount="114">
  <si>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</si>
  <si>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</si>
  <si>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</si>
  <si>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</si>
  <si>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</si>
  <si>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</si>
  <si>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</si>
  <si>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</si>
  <si>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</si>
  <si>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</si>
  <si>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</si>
  <si>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</si>
  <si>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</si>
  <si>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</si>
  <si>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</si>
  <si>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</si>
  <si>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</si>
  <si>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</si>
  <si>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</si>
  <si>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</si>
  <si>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</si>
  <si>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</si>
  <si>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</si>
  <si>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</si>
  <si>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</si>
  <si>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</si>
  <si>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</si>
  <si>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</si>
  <si>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</si>
  <si>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</si>
  <si>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</si>
  <si>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</si>
  <si>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</si>
  <si>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</si>
  <si>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</si>
  <si>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</si>
  <si>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</si>
  <si>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</si>
  <si>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</si>
  <si>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</si>
  <si>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</si>
  <si>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UPCOMING</t>
  </si>
  <si>
    <t>CLOSED</t>
  </si>
  <si>
    <t>SM452</t>
  </si>
  <si>
    <t>19:00</t>
  </si>
  <si>
    <t>JED-HBE</t>
  </si>
  <si>
    <t>SM454</t>
  </si>
  <si>
    <t>11:05</t>
  </si>
  <si>
    <t>JED-ATZ</t>
  </si>
  <si>
    <t>X7</t>
  </si>
  <si>
    <t>SM456</t>
  </si>
  <si>
    <t>16:30</t>
  </si>
  <si>
    <t>X2</t>
  </si>
  <si>
    <t>SM458</t>
  </si>
  <si>
    <t>11:00</t>
  </si>
  <si>
    <t>SM476</t>
  </si>
  <si>
    <t>08:00</t>
  </si>
  <si>
    <t>SM478</t>
  </si>
  <si>
    <t>16:20</t>
  </si>
  <si>
    <t>K1</t>
  </si>
  <si>
    <t>SUNDAY</t>
  </si>
  <si>
    <t>SM424</t>
  </si>
  <si>
    <t>02:00</t>
  </si>
  <si>
    <t>S1</t>
  </si>
  <si>
    <t>SM432</t>
  </si>
  <si>
    <t>T1</t>
  </si>
  <si>
    <t>20:25</t>
  </si>
  <si>
    <t>O7</t>
  </si>
  <si>
    <t>11:45</t>
  </si>
  <si>
    <t>V2</t>
  </si>
  <si>
    <t>SM460</t>
  </si>
  <si>
    <t>12:15</t>
  </si>
  <si>
    <t>G5</t>
  </si>
  <si>
    <t>07:40</t>
  </si>
  <si>
    <t>S5</t>
  </si>
  <si>
    <t>15:10</t>
  </si>
  <si>
    <t>SM492</t>
  </si>
  <si>
    <t>18:25</t>
  </si>
  <si>
    <t>O2</t>
  </si>
  <si>
    <t>MONDAY</t>
  </si>
  <si>
    <t>SM422</t>
  </si>
  <si>
    <t>12:10</t>
  </si>
  <si>
    <t>O6</t>
  </si>
  <si>
    <t>15:30</t>
  </si>
  <si>
    <t>20:30</t>
  </si>
  <si>
    <t>I3</t>
  </si>
  <si>
    <t>08:05</t>
  </si>
  <si>
    <t>23:30</t>
  </si>
  <si>
    <t>T4</t>
  </si>
  <si>
    <t>10:10</t>
  </si>
  <si>
    <t>T2</t>
  </si>
  <si>
    <t>14:45</t>
  </si>
  <si>
    <t>W5</t>
  </si>
  <si>
    <t>SM480</t>
  </si>
  <si>
    <t>00:10</t>
  </si>
  <si>
    <t>06:05</t>
  </si>
  <si>
    <t>I7</t>
  </si>
  <si>
    <t>TUESDAY</t>
  </si>
  <si>
    <t>22:25</t>
  </si>
  <si>
    <t>X3</t>
  </si>
  <si>
    <t>17:00</t>
  </si>
  <si>
    <t>L1</t>
  </si>
  <si>
    <t>07:45</t>
  </si>
  <si>
    <t>G3</t>
  </si>
  <si>
    <t>22:50</t>
  </si>
  <si>
    <t>L4</t>
  </si>
  <si>
    <t>17:30</t>
  </si>
  <si>
    <t>SM472</t>
  </si>
  <si>
    <t>05:30</t>
  </si>
  <si>
    <t>U1</t>
  </si>
  <si>
    <t>23:15</t>
  </si>
  <si>
    <t>X4</t>
  </si>
  <si>
    <t>13:25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</si>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</sst>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1F15C-057D-4246-B2C0-654EC305A450}" name="LF_ALL_ROUTES" displayName="LF_ALL_ROUTES" ref="A1:AJ36" totalsRowCount="1" headerRowDxfId="37" totalsRowDxfId="0">
  <autoFilter ref="A1:AJ35" xr:uid="{5391F15C-057D-4246-B2C0-654EC305A450}"/>
  <tableColumns count="36">
    <tableColumn id="1" xr3:uid="{8BC0FB3A-C507-4FE6-988A-2481F5877941}" name="Day" totalsRowLabel="TOTAL" totalsRowDxfId="36"/>
    <tableColumn id="2" xr3:uid="{C5EBE894-24C9-452E-8EFC-4D89DA55CE8B}" name="Flt Dt" dataDxfId="39" totalsRowDxfId="35"/>
    <tableColumn id="3" xr3:uid="{6DFD07FF-A3CB-4A7D-9FAD-10B36F952CEB}" name="Flt" totalsRowFunction="count" totalsRowDxfId="34"/>
    <tableColumn id="4" xr3:uid="{EDECCD2D-AD38-4A59-BE0B-84639AF001A4}" name="DEP" totalsRowDxfId="33"/>
    <tableColumn id="5" xr3:uid="{8F28E831-5CB9-4312-BD0D-6513988B46EB}" name="Brd-Off" totalsRowFunction="count" totalsRowDxfId="32"/>
    <tableColumn id="6" xr3:uid="{DBF5FE9B-1AFF-499B-BA0E-07C8E4F9C7C9}" name="Eqp" totalsRowDxfId="31"/>
    <tableColumn id="7" xr3:uid="{3E252382-37ED-477D-9F42-0375024F0C72}" name="LF%" totalsRowFunction="average" totalsRowDxfId="30"/>
    <tableColumn id="8" xr3:uid="{847DC89B-5393-4970-B232-61C41A395027}" name="CAP" totalsRowDxfId="29"/>
    <tableColumn id="9" xr3:uid="{BF8AE94A-D2DE-4B43-9CC4-182211DC0412}" name="BKG(Y)" totalsRowDxfId="28"/>
    <tableColumn id="10" xr3:uid="{6A149011-E9D2-4C4A-8EF9-C8CA0BC451A2}" name="GRP(Y)" totalsRowDxfId="27"/>
    <tableColumn id="11" xr3:uid="{CC07A844-4AE0-4C2C-894C-4D69AFED2B56}" name="FLT ST" totalsRowDxfId="26"/>
    <tableColumn id="12" xr3:uid="{97F12F06-7976-41B7-BEC1-BFDEC557F38A}" name="LST-SOLD" dataDxfId="38" totalsRowDxfId="25"/>
    <tableColumn id="13" xr3:uid="{F0E11F77-6068-4D52-B0A8-47030B4C6C25}" name="TO-DAY" totalsRowDxfId="24"/>
    <tableColumn id="14" xr3:uid="{121F35E6-DE84-468B-BAA6-DE664B8498C8}" name="Y-DAY" totalsRowDxfId="23"/>
    <tableColumn id="15" xr3:uid="{CC2676A0-8CE1-4ED6-915B-65B66ADB028F}" name="WEEKLY" totalsRowDxfId="22"/>
    <tableColumn id="16" xr3:uid="{EC7B6317-94B1-4301-BEE7-7F58FE0BAB1C}" name="LOWEST AVAIL" totalsRowDxfId="21"/>
    <tableColumn id="17" xr3:uid="{64506F88-EF20-4937-8AB4-1315A4E4EC7C}" name="Y" totalsRowDxfId="20"/>
    <tableColumn id="18" xr3:uid="{B5B2BC5C-6EB6-433E-9792-FF420C373ADC}" name="B" totalsRowDxfId="19"/>
    <tableColumn id="19" xr3:uid="{52243297-E815-4525-9EFC-D85743665186}" name="M" totalsRowDxfId="18"/>
    <tableColumn id="20" xr3:uid="{916BE03E-88DC-49AE-B390-4DA509804E55}" name="H" totalsRowDxfId="17"/>
    <tableColumn id="21" xr3:uid="{B49C70B7-0150-481A-B576-3FF2A2D0E711}" name="Q" totalsRowDxfId="16"/>
    <tableColumn id="22" xr3:uid="{7A993C12-032E-4E03-B4EB-67EDB17056F2}" name="K" totalsRowDxfId="15"/>
    <tableColumn id="23" xr3:uid="{A9F56032-85C6-4AB1-A587-FCC584C0C70C}" name="V" totalsRowDxfId="14"/>
    <tableColumn id="24" xr3:uid="{9CF65980-5F84-4E2C-9513-11948EB08A8D}" name="L" totalsRowDxfId="13"/>
    <tableColumn id="25" xr3:uid="{44B97277-0AAE-4B9D-9933-9DEB4F1FECBB}" name="G" totalsRowDxfId="12"/>
    <tableColumn id="26" xr3:uid="{1F407498-7586-40CB-B6A5-2382E9DF3CEB}" name="S" totalsRowDxfId="11"/>
    <tableColumn id="27" xr3:uid="{6BB6B38B-6FAD-44A2-A056-45B2E0F5C339}" name="W" totalsRowDxfId="10"/>
    <tableColumn id="28" xr3:uid="{71A40453-5137-4AF0-A209-501B85F434E3}" name="T" totalsRowDxfId="9"/>
    <tableColumn id="29" xr3:uid="{62A40B36-E99F-43DD-9F47-C86E7ADF8AE5}" name="X" totalsRowDxfId="8"/>
    <tableColumn id="30" xr3:uid="{086452C5-66AF-4C5E-9B10-0DAAA468BA10}" name="U" totalsRowDxfId="7"/>
    <tableColumn id="31" xr3:uid="{736404C5-C8E5-496F-95CA-84C7AB824F6D}" name="O" totalsRowDxfId="6"/>
    <tableColumn id="32" xr3:uid="{A0966F09-4826-421D-BB2A-A0FA4FE6E31C}" name="I" totalsRowDxfId="5"/>
    <tableColumn id="33" xr3:uid="{36408B13-3DF4-4F5C-AAD4-426180144F50}" name="E" totalsRowDxfId="4"/>
    <tableColumn id="34" xr3:uid="{C45A95CE-704D-4F32-AD59-433BD08BAE5A}" name="A" totalsRowDxfId="3"/>
    <tableColumn id="35" xr3:uid="{9963733A-B532-4BD2-B2DE-89446A2C993E}" name="P" totalsRowDxfId="2"/>
    <tableColumn id="36" xr3:uid="{D665CF1C-4E90-40C7-A7B0-E2D0EAAD1A64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tabSelected="1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179</v>
      </c>
      <c r="I2">
        <v>179</v>
      </c>
      <c r="J2">
        <v>50</v>
      </c>
      <c r="K2" t="s">
        <v>41</v>
      </c>
      <c r="L2" s="2">
        <v>45971</v>
      </c>
      <c r="M2">
        <v>0</v>
      </c>
      <c r="N2">
        <v>0</v>
      </c>
      <c r="O2">
        <v>0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16</v>
      </c>
      <c r="Z2">
        <v>17</v>
      </c>
      <c r="AA2">
        <v>22</v>
      </c>
      <c r="AB2">
        <v>10</v>
      </c>
      <c r="AC2">
        <v>10</v>
      </c>
      <c r="AD2">
        <v>17</v>
      </c>
      <c r="AE2">
        <v>17</v>
      </c>
      <c r="AF2">
        <v>17</v>
      </c>
      <c r="AG2">
        <v>0</v>
      </c>
      <c r="AH2">
        <v>0</v>
      </c>
      <c r="AI2">
        <v>50</v>
      </c>
      <c r="AJ2">
        <v>0</v>
      </c>
    </row>
    <row r="3" spans="1:36" x14ac:dyDescent="0.3">
      <c r="A3" t="s">
        <v>36</v>
      </c>
      <c r="B3" s="2">
        <v>45983</v>
      </c>
      <c r="C3" t="s">
        <v>43</v>
      </c>
      <c r="D3" t="s">
        <v>44</v>
      </c>
      <c r="E3" t="s">
        <v>45</v>
      </c>
      <c r="F3" t="s">
        <v>40</v>
      </c>
      <c r="G3">
        <v>1</v>
      </c>
      <c r="H3">
        <v>179</v>
      </c>
      <c r="I3">
        <v>179</v>
      </c>
      <c r="J3">
        <v>136</v>
      </c>
      <c r="K3" t="s">
        <v>41</v>
      </c>
      <c r="L3" s="2">
        <v>45980</v>
      </c>
      <c r="M3">
        <v>0</v>
      </c>
      <c r="N3">
        <v>2</v>
      </c>
      <c r="O3">
        <v>8</v>
      </c>
      <c r="P3" t="s">
        <v>42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5</v>
      </c>
      <c r="X3">
        <v>14</v>
      </c>
      <c r="Y3">
        <v>0</v>
      </c>
      <c r="Z3">
        <v>7</v>
      </c>
      <c r="AA3">
        <v>0</v>
      </c>
      <c r="AB3">
        <v>0</v>
      </c>
      <c r="AC3">
        <v>14</v>
      </c>
      <c r="AD3">
        <v>0</v>
      </c>
      <c r="AE3">
        <v>0</v>
      </c>
      <c r="AF3">
        <v>0</v>
      </c>
      <c r="AG3">
        <v>0</v>
      </c>
      <c r="AH3">
        <v>0</v>
      </c>
      <c r="AI3">
        <v>136</v>
      </c>
      <c r="AJ3">
        <v>0</v>
      </c>
    </row>
    <row r="4" spans="1:36" x14ac:dyDescent="0.3">
      <c r="A4" t="s">
        <v>36</v>
      </c>
      <c r="B4" s="2">
        <v>45983</v>
      </c>
      <c r="C4" t="s">
        <v>46</v>
      </c>
      <c r="D4" t="s">
        <v>47</v>
      </c>
      <c r="E4" t="s">
        <v>48</v>
      </c>
      <c r="F4" t="s">
        <v>40</v>
      </c>
      <c r="G4">
        <v>0.77380000000000004</v>
      </c>
      <c r="H4">
        <v>168</v>
      </c>
      <c r="I4">
        <v>130</v>
      </c>
      <c r="J4">
        <v>34</v>
      </c>
      <c r="K4" t="s">
        <v>41</v>
      </c>
      <c r="L4" s="2">
        <v>45980</v>
      </c>
      <c r="M4">
        <v>0</v>
      </c>
      <c r="N4">
        <v>7</v>
      </c>
      <c r="O4">
        <v>53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1</v>
      </c>
      <c r="AB4">
        <v>0</v>
      </c>
      <c r="AC4">
        <v>13</v>
      </c>
      <c r="AD4">
        <v>20</v>
      </c>
      <c r="AE4">
        <v>40</v>
      </c>
      <c r="AF4">
        <v>20</v>
      </c>
      <c r="AG4">
        <v>0</v>
      </c>
      <c r="AH4">
        <v>0</v>
      </c>
      <c r="AI4">
        <v>34</v>
      </c>
      <c r="AJ4">
        <v>0</v>
      </c>
    </row>
    <row r="5" spans="1:36" x14ac:dyDescent="0.3">
      <c r="A5" t="s">
        <v>36</v>
      </c>
      <c r="B5" s="2">
        <v>45983</v>
      </c>
      <c r="C5" t="s">
        <v>50</v>
      </c>
      <c r="D5" t="s">
        <v>51</v>
      </c>
      <c r="E5" t="s">
        <v>48</v>
      </c>
      <c r="F5" t="s">
        <v>40</v>
      </c>
      <c r="G5">
        <v>0.70830000000000004</v>
      </c>
      <c r="H5">
        <v>168</v>
      </c>
      <c r="I5">
        <v>119</v>
      </c>
      <c r="J5">
        <v>89</v>
      </c>
      <c r="K5" t="s">
        <v>41</v>
      </c>
      <c r="L5" s="2">
        <v>45980</v>
      </c>
      <c r="M5">
        <v>0</v>
      </c>
      <c r="N5">
        <v>1</v>
      </c>
      <c r="O5">
        <v>8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2</v>
      </c>
      <c r="AA5">
        <v>0</v>
      </c>
      <c r="AB5">
        <v>0</v>
      </c>
      <c r="AC5">
        <v>6</v>
      </c>
      <c r="AD5">
        <v>19</v>
      </c>
      <c r="AE5">
        <v>0</v>
      </c>
      <c r="AF5">
        <v>0</v>
      </c>
      <c r="AG5">
        <v>0</v>
      </c>
      <c r="AH5">
        <v>0</v>
      </c>
      <c r="AI5">
        <v>91</v>
      </c>
      <c r="AJ5">
        <v>0</v>
      </c>
    </row>
    <row r="6" spans="1:36" x14ac:dyDescent="0.3">
      <c r="A6" t="s">
        <v>36</v>
      </c>
      <c r="B6" s="2">
        <v>45983</v>
      </c>
      <c r="C6" t="s">
        <v>53</v>
      </c>
      <c r="D6" t="s">
        <v>54</v>
      </c>
      <c r="E6" t="s">
        <v>45</v>
      </c>
      <c r="F6" t="s">
        <v>40</v>
      </c>
      <c r="G6">
        <v>1</v>
      </c>
      <c r="H6">
        <v>179</v>
      </c>
      <c r="I6">
        <v>179</v>
      </c>
      <c r="J6">
        <v>118</v>
      </c>
      <c r="K6" t="s">
        <v>41</v>
      </c>
      <c r="L6" s="2">
        <v>45980</v>
      </c>
      <c r="M6">
        <v>0</v>
      </c>
      <c r="N6">
        <v>2</v>
      </c>
      <c r="O6">
        <v>12</v>
      </c>
      <c r="P6" t="s">
        <v>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11</v>
      </c>
      <c r="Y6">
        <v>0</v>
      </c>
      <c r="Z6">
        <v>16</v>
      </c>
      <c r="AA6">
        <v>2</v>
      </c>
      <c r="AB6">
        <v>15</v>
      </c>
      <c r="AC6">
        <v>17</v>
      </c>
      <c r="AD6">
        <v>0</v>
      </c>
      <c r="AE6">
        <v>0</v>
      </c>
      <c r="AF6">
        <v>0</v>
      </c>
      <c r="AG6">
        <v>0</v>
      </c>
      <c r="AH6">
        <v>0</v>
      </c>
      <c r="AI6">
        <v>118</v>
      </c>
      <c r="AJ6">
        <v>0</v>
      </c>
    </row>
    <row r="7" spans="1:36" x14ac:dyDescent="0.3">
      <c r="A7" t="s">
        <v>36</v>
      </c>
      <c r="B7" s="2">
        <v>45983</v>
      </c>
      <c r="C7" t="s">
        <v>55</v>
      </c>
      <c r="D7" t="s">
        <v>56</v>
      </c>
      <c r="E7" t="s">
        <v>39</v>
      </c>
      <c r="F7" t="s">
        <v>40</v>
      </c>
      <c r="G7">
        <v>1</v>
      </c>
      <c r="H7">
        <v>179</v>
      </c>
      <c r="I7">
        <v>179</v>
      </c>
      <c r="J7">
        <v>134</v>
      </c>
      <c r="K7" t="s">
        <v>41</v>
      </c>
      <c r="L7" s="2">
        <v>45979</v>
      </c>
      <c r="M7">
        <v>0</v>
      </c>
      <c r="N7">
        <v>0</v>
      </c>
      <c r="O7">
        <v>4</v>
      </c>
      <c r="P7" t="s">
        <v>42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0</v>
      </c>
      <c r="X7">
        <v>6</v>
      </c>
      <c r="Y7">
        <v>0</v>
      </c>
      <c r="Z7">
        <v>24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135</v>
      </c>
      <c r="AJ7">
        <v>4</v>
      </c>
    </row>
    <row r="8" spans="1:36" x14ac:dyDescent="0.3">
      <c r="A8" t="s">
        <v>36</v>
      </c>
      <c r="B8" s="2">
        <v>45983</v>
      </c>
      <c r="C8" t="s">
        <v>57</v>
      </c>
      <c r="D8" t="s">
        <v>58</v>
      </c>
      <c r="E8" t="s">
        <v>39</v>
      </c>
      <c r="F8" t="s">
        <v>40</v>
      </c>
      <c r="G8">
        <v>0.99439999999999995</v>
      </c>
      <c r="H8">
        <v>179</v>
      </c>
      <c r="I8">
        <v>178</v>
      </c>
      <c r="J8">
        <v>127</v>
      </c>
      <c r="K8" t="s">
        <v>41</v>
      </c>
      <c r="L8" s="2">
        <v>45977</v>
      </c>
      <c r="M8">
        <v>0</v>
      </c>
      <c r="N8">
        <v>0</v>
      </c>
      <c r="O8">
        <v>3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1</v>
      </c>
      <c r="Y8">
        <v>3</v>
      </c>
      <c r="Z8">
        <v>3</v>
      </c>
      <c r="AA8">
        <v>4</v>
      </c>
      <c r="AB8">
        <v>10</v>
      </c>
      <c r="AC8">
        <v>12</v>
      </c>
      <c r="AD8">
        <v>5</v>
      </c>
      <c r="AE8">
        <v>6</v>
      </c>
      <c r="AF8">
        <v>4</v>
      </c>
      <c r="AG8">
        <v>45</v>
      </c>
      <c r="AH8">
        <v>0</v>
      </c>
      <c r="AI8">
        <v>82</v>
      </c>
      <c r="AJ8">
        <v>1</v>
      </c>
    </row>
    <row r="9" spans="1:36" x14ac:dyDescent="0.3">
      <c r="A9" t="s">
        <v>60</v>
      </c>
      <c r="B9" s="2">
        <v>45984</v>
      </c>
      <c r="C9" t="s">
        <v>61</v>
      </c>
      <c r="D9" t="s">
        <v>62</v>
      </c>
      <c r="E9" t="s">
        <v>39</v>
      </c>
      <c r="F9" t="s">
        <v>40</v>
      </c>
      <c r="G9">
        <v>0.62009999999999998</v>
      </c>
      <c r="H9">
        <v>179</v>
      </c>
      <c r="I9">
        <v>111</v>
      </c>
      <c r="J9">
        <v>28</v>
      </c>
      <c r="K9" t="s">
        <v>41</v>
      </c>
      <c r="L9" s="2">
        <v>45980</v>
      </c>
      <c r="M9">
        <v>0</v>
      </c>
      <c r="N9">
        <v>7</v>
      </c>
      <c r="O9">
        <v>50</v>
      </c>
      <c r="P9" t="s">
        <v>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14</v>
      </c>
      <c r="AA9">
        <v>17</v>
      </c>
      <c r="AB9">
        <v>33</v>
      </c>
      <c r="AC9">
        <v>4</v>
      </c>
      <c r="AD9">
        <v>5</v>
      </c>
      <c r="AE9">
        <v>4</v>
      </c>
      <c r="AF9">
        <v>4</v>
      </c>
      <c r="AG9">
        <v>0</v>
      </c>
      <c r="AH9">
        <v>0</v>
      </c>
      <c r="AI9">
        <v>28</v>
      </c>
      <c r="AJ9">
        <v>2</v>
      </c>
    </row>
    <row r="10" spans="1:36" x14ac:dyDescent="0.3">
      <c r="A10" t="s">
        <v>60</v>
      </c>
      <c r="B10" s="2">
        <v>45984</v>
      </c>
      <c r="C10" t="s">
        <v>64</v>
      </c>
      <c r="D10" t="s">
        <v>56</v>
      </c>
      <c r="E10" t="s">
        <v>39</v>
      </c>
      <c r="F10" t="s">
        <v>40</v>
      </c>
      <c r="G10">
        <v>0.875</v>
      </c>
      <c r="H10">
        <v>168</v>
      </c>
      <c r="I10">
        <v>147</v>
      </c>
      <c r="J10">
        <v>62</v>
      </c>
      <c r="K10" t="s">
        <v>41</v>
      </c>
      <c r="L10" s="2">
        <v>45980</v>
      </c>
      <c r="M10">
        <v>0</v>
      </c>
      <c r="N10">
        <v>6</v>
      </c>
      <c r="O10">
        <v>30</v>
      </c>
      <c r="P10" t="s">
        <v>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10</v>
      </c>
      <c r="AA10">
        <v>19</v>
      </c>
      <c r="AB10">
        <v>17</v>
      </c>
      <c r="AC10">
        <v>9</v>
      </c>
      <c r="AD10">
        <v>20</v>
      </c>
      <c r="AE10">
        <v>4</v>
      </c>
      <c r="AF10">
        <v>5</v>
      </c>
      <c r="AG10">
        <v>0</v>
      </c>
      <c r="AH10">
        <v>0</v>
      </c>
      <c r="AI10">
        <v>62</v>
      </c>
      <c r="AJ10">
        <v>0</v>
      </c>
    </row>
    <row r="11" spans="1:36" x14ac:dyDescent="0.3">
      <c r="A11" t="s">
        <v>60</v>
      </c>
      <c r="B11" s="2">
        <v>45984</v>
      </c>
      <c r="C11" t="s">
        <v>43</v>
      </c>
      <c r="D11" t="s">
        <v>51</v>
      </c>
      <c r="E11" t="s">
        <v>45</v>
      </c>
      <c r="F11" t="s">
        <v>40</v>
      </c>
      <c r="G11">
        <v>1</v>
      </c>
      <c r="H11">
        <v>179</v>
      </c>
      <c r="I11">
        <v>179</v>
      </c>
      <c r="J11">
        <v>136</v>
      </c>
      <c r="K11" t="s">
        <v>41</v>
      </c>
      <c r="L11" s="2">
        <v>45980</v>
      </c>
      <c r="M11">
        <v>0</v>
      </c>
      <c r="N11">
        <v>2</v>
      </c>
      <c r="O11">
        <v>15</v>
      </c>
      <c r="P11" t="s">
        <v>42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4</v>
      </c>
      <c r="X11">
        <v>3</v>
      </c>
      <c r="Y11">
        <v>5</v>
      </c>
      <c r="Z11">
        <v>10</v>
      </c>
      <c r="AA11">
        <v>12</v>
      </c>
      <c r="AB11">
        <v>3</v>
      </c>
      <c r="AC11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136</v>
      </c>
      <c r="AJ11">
        <v>0</v>
      </c>
    </row>
    <row r="12" spans="1:36" x14ac:dyDescent="0.3">
      <c r="A12" t="s">
        <v>60</v>
      </c>
      <c r="B12" s="2">
        <v>45984</v>
      </c>
      <c r="C12" t="s">
        <v>50</v>
      </c>
      <c r="D12" t="s">
        <v>66</v>
      </c>
      <c r="E12" t="s">
        <v>48</v>
      </c>
      <c r="F12" t="s">
        <v>40</v>
      </c>
      <c r="G12">
        <v>0.92259999999999998</v>
      </c>
      <c r="H12">
        <v>168</v>
      </c>
      <c r="I12">
        <v>155</v>
      </c>
      <c r="J12">
        <v>144</v>
      </c>
      <c r="K12" t="s">
        <v>41</v>
      </c>
      <c r="L12" s="2">
        <v>45980</v>
      </c>
      <c r="M12">
        <v>0</v>
      </c>
      <c r="N12">
        <v>1</v>
      </c>
      <c r="O12">
        <v>5</v>
      </c>
      <c r="P12" t="s">
        <v>67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</v>
      </c>
      <c r="AE12">
        <v>3</v>
      </c>
      <c r="AF12">
        <v>3</v>
      </c>
      <c r="AG12">
        <v>0</v>
      </c>
      <c r="AH12">
        <v>0</v>
      </c>
      <c r="AI12">
        <v>144</v>
      </c>
      <c r="AJ12">
        <v>0</v>
      </c>
    </row>
    <row r="13" spans="1:36" x14ac:dyDescent="0.3">
      <c r="A13" t="s">
        <v>60</v>
      </c>
      <c r="B13" s="2">
        <v>45984</v>
      </c>
      <c r="C13" t="s">
        <v>53</v>
      </c>
      <c r="D13" t="s">
        <v>68</v>
      </c>
      <c r="E13" t="s">
        <v>45</v>
      </c>
      <c r="F13" t="s">
        <v>40</v>
      </c>
      <c r="G13">
        <v>0.98880000000000001</v>
      </c>
      <c r="H13">
        <v>179</v>
      </c>
      <c r="I13">
        <v>177</v>
      </c>
      <c r="J13">
        <v>134</v>
      </c>
      <c r="K13" t="s">
        <v>41</v>
      </c>
      <c r="L13" s="2">
        <v>45980</v>
      </c>
      <c r="M13">
        <v>0</v>
      </c>
      <c r="N13">
        <v>7</v>
      </c>
      <c r="O13">
        <v>29</v>
      </c>
      <c r="P13" t="s">
        <v>69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18</v>
      </c>
      <c r="X13">
        <v>5</v>
      </c>
      <c r="Y13">
        <v>5</v>
      </c>
      <c r="Z13">
        <v>6</v>
      </c>
      <c r="AA13">
        <v>0</v>
      </c>
      <c r="AB13">
        <v>0</v>
      </c>
      <c r="AC13">
        <v>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134</v>
      </c>
      <c r="AJ13">
        <v>0</v>
      </c>
    </row>
    <row r="14" spans="1:36" x14ac:dyDescent="0.3">
      <c r="A14" t="s">
        <v>60</v>
      </c>
      <c r="B14" s="2">
        <v>45984</v>
      </c>
      <c r="C14" t="s">
        <v>70</v>
      </c>
      <c r="D14" t="s">
        <v>71</v>
      </c>
      <c r="E14" t="s">
        <v>39</v>
      </c>
      <c r="F14" t="s">
        <v>40</v>
      </c>
      <c r="G14">
        <v>0.92179999999999995</v>
      </c>
      <c r="H14">
        <v>179</v>
      </c>
      <c r="I14">
        <v>165</v>
      </c>
      <c r="J14">
        <v>128</v>
      </c>
      <c r="K14" t="s">
        <v>41</v>
      </c>
      <c r="L14" s="2">
        <v>45980</v>
      </c>
      <c r="M14">
        <v>0</v>
      </c>
      <c r="N14">
        <v>3</v>
      </c>
      <c r="O14">
        <v>8</v>
      </c>
      <c r="P14" t="s">
        <v>72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</v>
      </c>
      <c r="Y14">
        <v>3</v>
      </c>
      <c r="Z14">
        <v>13</v>
      </c>
      <c r="AA14">
        <v>0</v>
      </c>
      <c r="AB14">
        <v>0</v>
      </c>
      <c r="AC14">
        <v>0</v>
      </c>
      <c r="AD14">
        <v>3</v>
      </c>
      <c r="AE14">
        <v>5</v>
      </c>
      <c r="AF14">
        <v>7</v>
      </c>
      <c r="AG14">
        <v>0</v>
      </c>
      <c r="AH14">
        <v>0</v>
      </c>
      <c r="AI14">
        <v>128</v>
      </c>
      <c r="AJ14">
        <v>0</v>
      </c>
    </row>
    <row r="15" spans="1:36" x14ac:dyDescent="0.3">
      <c r="A15" t="s">
        <v>60</v>
      </c>
      <c r="B15" s="2">
        <v>45984</v>
      </c>
      <c r="C15" t="s">
        <v>55</v>
      </c>
      <c r="D15" t="s">
        <v>73</v>
      </c>
      <c r="E15" t="s">
        <v>39</v>
      </c>
      <c r="F15" t="s">
        <v>40</v>
      </c>
      <c r="G15">
        <v>0.54190000000000005</v>
      </c>
      <c r="H15">
        <v>179</v>
      </c>
      <c r="I15">
        <v>97</v>
      </c>
      <c r="J15">
        <v>0</v>
      </c>
      <c r="K15" t="s">
        <v>41</v>
      </c>
      <c r="L15" s="2">
        <v>45979</v>
      </c>
      <c r="M15">
        <v>0</v>
      </c>
      <c r="N15">
        <v>0</v>
      </c>
      <c r="O15">
        <v>34</v>
      </c>
      <c r="P15" t="s">
        <v>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32</v>
      </c>
      <c r="AA15">
        <v>20</v>
      </c>
      <c r="AB15">
        <v>16</v>
      </c>
      <c r="AC15">
        <v>9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60</v>
      </c>
      <c r="B16" s="2">
        <v>45984</v>
      </c>
      <c r="C16" t="s">
        <v>57</v>
      </c>
      <c r="D16" t="s">
        <v>75</v>
      </c>
      <c r="E16" t="s">
        <v>39</v>
      </c>
      <c r="F16" t="s">
        <v>40</v>
      </c>
      <c r="G16">
        <v>1.0112000000000001</v>
      </c>
      <c r="H16">
        <v>179</v>
      </c>
      <c r="I16">
        <v>181</v>
      </c>
      <c r="J16">
        <v>128</v>
      </c>
      <c r="K16" t="s">
        <v>41</v>
      </c>
      <c r="L16" s="2">
        <v>45980</v>
      </c>
      <c r="M16">
        <v>0</v>
      </c>
      <c r="N16">
        <v>3</v>
      </c>
      <c r="O16">
        <v>12</v>
      </c>
      <c r="P16" t="s">
        <v>42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4</v>
      </c>
      <c r="Z16">
        <v>11</v>
      </c>
      <c r="AA16">
        <v>0</v>
      </c>
      <c r="AB16">
        <v>7</v>
      </c>
      <c r="AC16">
        <v>12</v>
      </c>
      <c r="AD16">
        <v>5</v>
      </c>
      <c r="AE16">
        <v>5</v>
      </c>
      <c r="AF16">
        <v>7</v>
      </c>
      <c r="AG16">
        <v>0</v>
      </c>
      <c r="AH16">
        <v>0</v>
      </c>
      <c r="AI16">
        <v>129</v>
      </c>
      <c r="AJ16">
        <v>0</v>
      </c>
    </row>
    <row r="17" spans="1:36" x14ac:dyDescent="0.3">
      <c r="A17" t="s">
        <v>60</v>
      </c>
      <c r="B17" s="2">
        <v>45984</v>
      </c>
      <c r="C17" t="s">
        <v>76</v>
      </c>
      <c r="D17" t="s">
        <v>77</v>
      </c>
      <c r="E17" t="s">
        <v>48</v>
      </c>
      <c r="F17" t="s">
        <v>40</v>
      </c>
      <c r="G17">
        <v>0.67859999999999998</v>
      </c>
      <c r="H17">
        <v>168</v>
      </c>
      <c r="I17">
        <v>114</v>
      </c>
      <c r="J17">
        <v>81</v>
      </c>
      <c r="K17" t="s">
        <v>41</v>
      </c>
      <c r="L17" s="2">
        <v>45980</v>
      </c>
      <c r="M17">
        <v>0</v>
      </c>
      <c r="N17">
        <v>3</v>
      </c>
      <c r="O17">
        <v>24</v>
      </c>
      <c r="P17" t="s">
        <v>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10</v>
      </c>
      <c r="AF17">
        <v>14</v>
      </c>
      <c r="AG17">
        <v>80</v>
      </c>
      <c r="AH17">
        <v>0</v>
      </c>
      <c r="AI17">
        <v>1</v>
      </c>
      <c r="AJ17">
        <v>0</v>
      </c>
    </row>
    <row r="18" spans="1:36" x14ac:dyDescent="0.3">
      <c r="A18" t="s">
        <v>79</v>
      </c>
      <c r="B18" s="2">
        <v>45985</v>
      </c>
      <c r="C18" t="s">
        <v>80</v>
      </c>
      <c r="D18" t="s">
        <v>81</v>
      </c>
      <c r="E18" t="s">
        <v>48</v>
      </c>
      <c r="F18" t="s">
        <v>40</v>
      </c>
      <c r="G18">
        <v>0.51790000000000003</v>
      </c>
      <c r="H18">
        <v>168</v>
      </c>
      <c r="I18">
        <v>87</v>
      </c>
      <c r="J18">
        <v>38</v>
      </c>
      <c r="K18" t="s">
        <v>41</v>
      </c>
      <c r="L18" s="2">
        <v>45980</v>
      </c>
      <c r="M18">
        <v>0</v>
      </c>
      <c r="N18">
        <v>8</v>
      </c>
      <c r="O18">
        <v>76</v>
      </c>
      <c r="P18" t="s">
        <v>82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45</v>
      </c>
      <c r="AG18">
        <v>0</v>
      </c>
      <c r="AH18">
        <v>0</v>
      </c>
      <c r="AI18">
        <v>38</v>
      </c>
      <c r="AJ18">
        <v>0</v>
      </c>
    </row>
    <row r="19" spans="1:36" x14ac:dyDescent="0.3">
      <c r="A19" t="s">
        <v>79</v>
      </c>
      <c r="B19" s="2">
        <v>45985</v>
      </c>
      <c r="C19" t="s">
        <v>43</v>
      </c>
      <c r="D19" t="s">
        <v>83</v>
      </c>
      <c r="E19" t="s">
        <v>45</v>
      </c>
      <c r="F19" t="s">
        <v>40</v>
      </c>
      <c r="G19">
        <v>1</v>
      </c>
      <c r="H19">
        <v>168</v>
      </c>
      <c r="I19">
        <v>168</v>
      </c>
      <c r="J19">
        <v>134</v>
      </c>
      <c r="K19" t="s">
        <v>41</v>
      </c>
      <c r="L19" s="2">
        <v>45980</v>
      </c>
      <c r="M19">
        <v>0</v>
      </c>
      <c r="N19">
        <v>1</v>
      </c>
      <c r="O19">
        <v>12</v>
      </c>
      <c r="P19" t="s">
        <v>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22</v>
      </c>
      <c r="AA19">
        <v>1</v>
      </c>
      <c r="AB19">
        <v>0</v>
      </c>
      <c r="AC19">
        <v>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134</v>
      </c>
      <c r="AJ19">
        <v>0</v>
      </c>
    </row>
    <row r="20" spans="1:36" x14ac:dyDescent="0.3">
      <c r="A20" t="s">
        <v>79</v>
      </c>
      <c r="B20" s="2">
        <v>45985</v>
      </c>
      <c r="C20" t="s">
        <v>46</v>
      </c>
      <c r="D20" t="s">
        <v>84</v>
      </c>
      <c r="E20" t="s">
        <v>48</v>
      </c>
      <c r="F20" t="s">
        <v>40</v>
      </c>
      <c r="G20">
        <v>0.1905</v>
      </c>
      <c r="H20">
        <v>168</v>
      </c>
      <c r="I20">
        <v>32</v>
      </c>
      <c r="J20">
        <v>0</v>
      </c>
      <c r="K20" t="s">
        <v>41</v>
      </c>
      <c r="L20" s="2">
        <v>45980</v>
      </c>
      <c r="M20">
        <v>0</v>
      </c>
      <c r="N20">
        <v>5</v>
      </c>
      <c r="O20">
        <v>20</v>
      </c>
      <c r="P20" t="s">
        <v>85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2</v>
      </c>
      <c r="AF20">
        <v>27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79</v>
      </c>
      <c r="B21" s="2">
        <v>45985</v>
      </c>
      <c r="C21" t="s">
        <v>53</v>
      </c>
      <c r="D21" t="s">
        <v>86</v>
      </c>
      <c r="E21" t="s">
        <v>45</v>
      </c>
      <c r="F21" t="s">
        <v>40</v>
      </c>
      <c r="G21">
        <v>1</v>
      </c>
      <c r="H21">
        <v>168</v>
      </c>
      <c r="I21">
        <v>168</v>
      </c>
      <c r="J21">
        <v>124</v>
      </c>
      <c r="K21" t="s">
        <v>41</v>
      </c>
      <c r="L21" s="2">
        <v>45980</v>
      </c>
      <c r="M21">
        <v>0</v>
      </c>
      <c r="N21">
        <v>1</v>
      </c>
      <c r="O21">
        <v>4</v>
      </c>
      <c r="P21" t="s">
        <v>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10</v>
      </c>
      <c r="AD21">
        <v>18</v>
      </c>
      <c r="AE21">
        <v>7</v>
      </c>
      <c r="AF21">
        <v>7</v>
      </c>
      <c r="AG21">
        <v>0</v>
      </c>
      <c r="AH21">
        <v>0</v>
      </c>
      <c r="AI21">
        <v>124</v>
      </c>
      <c r="AJ21">
        <v>0</v>
      </c>
    </row>
    <row r="22" spans="1:36" x14ac:dyDescent="0.3">
      <c r="A22" t="s">
        <v>79</v>
      </c>
      <c r="B22" s="2">
        <v>45985</v>
      </c>
      <c r="C22" t="s">
        <v>70</v>
      </c>
      <c r="D22" t="s">
        <v>87</v>
      </c>
      <c r="E22" t="s">
        <v>39</v>
      </c>
      <c r="F22" t="s">
        <v>40</v>
      </c>
      <c r="G22">
        <v>0.91620000000000001</v>
      </c>
      <c r="H22">
        <v>179</v>
      </c>
      <c r="I22">
        <v>164</v>
      </c>
      <c r="J22">
        <v>108</v>
      </c>
      <c r="K22" t="s">
        <v>41</v>
      </c>
      <c r="L22" s="2">
        <v>45980</v>
      </c>
      <c r="M22">
        <v>0</v>
      </c>
      <c r="N22">
        <v>8</v>
      </c>
      <c r="O22">
        <v>23</v>
      </c>
      <c r="P22" t="s">
        <v>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3</v>
      </c>
      <c r="AC22">
        <v>17</v>
      </c>
      <c r="AD22">
        <v>10</v>
      </c>
      <c r="AE22">
        <v>10</v>
      </c>
      <c r="AF22">
        <v>15</v>
      </c>
      <c r="AG22">
        <v>0</v>
      </c>
      <c r="AH22">
        <v>0</v>
      </c>
      <c r="AI22">
        <v>108</v>
      </c>
      <c r="AJ22">
        <v>0</v>
      </c>
    </row>
    <row r="23" spans="1:36" x14ac:dyDescent="0.3">
      <c r="A23" t="s">
        <v>79</v>
      </c>
      <c r="B23" s="2">
        <v>45985</v>
      </c>
      <c r="C23" t="s">
        <v>55</v>
      </c>
      <c r="D23" t="s">
        <v>89</v>
      </c>
      <c r="E23" t="s">
        <v>39</v>
      </c>
      <c r="F23" t="s">
        <v>40</v>
      </c>
      <c r="G23">
        <v>0.86029999999999995</v>
      </c>
      <c r="H23">
        <v>179</v>
      </c>
      <c r="I23">
        <v>154</v>
      </c>
      <c r="J23">
        <v>84</v>
      </c>
      <c r="K23" t="s">
        <v>41</v>
      </c>
      <c r="L23" s="2">
        <v>45981</v>
      </c>
      <c r="M23">
        <v>1</v>
      </c>
      <c r="N23">
        <v>9</v>
      </c>
      <c r="O23">
        <v>33</v>
      </c>
      <c r="P23" t="s">
        <v>90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8</v>
      </c>
      <c r="AC23">
        <v>11</v>
      </c>
      <c r="AD23">
        <v>18</v>
      </c>
      <c r="AE23">
        <v>16</v>
      </c>
      <c r="AF23">
        <v>11</v>
      </c>
      <c r="AG23">
        <v>0</v>
      </c>
      <c r="AH23">
        <v>0</v>
      </c>
      <c r="AI23">
        <v>84</v>
      </c>
      <c r="AJ23">
        <v>4</v>
      </c>
    </row>
    <row r="24" spans="1:36" x14ac:dyDescent="0.3">
      <c r="A24" t="s">
        <v>79</v>
      </c>
      <c r="B24" s="2">
        <v>45985</v>
      </c>
      <c r="C24" t="s">
        <v>57</v>
      </c>
      <c r="D24" t="s">
        <v>91</v>
      </c>
      <c r="E24" t="s">
        <v>39</v>
      </c>
      <c r="F24" t="s">
        <v>40</v>
      </c>
      <c r="G24">
        <v>0.83799999999999997</v>
      </c>
      <c r="H24">
        <v>179</v>
      </c>
      <c r="I24">
        <v>150</v>
      </c>
      <c r="J24">
        <v>93</v>
      </c>
      <c r="K24" t="s">
        <v>41</v>
      </c>
      <c r="L24" s="2">
        <v>45980</v>
      </c>
      <c r="M24">
        <v>0</v>
      </c>
      <c r="N24">
        <v>9</v>
      </c>
      <c r="O24">
        <v>32</v>
      </c>
      <c r="P24" t="s">
        <v>92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  <c r="AA24">
        <v>0</v>
      </c>
      <c r="AB24">
        <v>5</v>
      </c>
      <c r="AC24">
        <v>22</v>
      </c>
      <c r="AD24">
        <v>10</v>
      </c>
      <c r="AE24">
        <v>10</v>
      </c>
      <c r="AF24">
        <v>5</v>
      </c>
      <c r="AG24">
        <v>0</v>
      </c>
      <c r="AH24">
        <v>0</v>
      </c>
      <c r="AI24">
        <v>93</v>
      </c>
      <c r="AJ24">
        <v>0</v>
      </c>
    </row>
    <row r="25" spans="1:36" x14ac:dyDescent="0.3">
      <c r="A25" t="s">
        <v>79</v>
      </c>
      <c r="B25" s="2">
        <v>45985</v>
      </c>
      <c r="C25" t="s">
        <v>93</v>
      </c>
      <c r="D25" t="s">
        <v>94</v>
      </c>
      <c r="E25" t="s">
        <v>39</v>
      </c>
      <c r="F25" t="s">
        <v>40</v>
      </c>
      <c r="G25">
        <v>0.3911</v>
      </c>
      <c r="H25">
        <v>179</v>
      </c>
      <c r="I25">
        <v>70</v>
      </c>
      <c r="J25">
        <v>0</v>
      </c>
      <c r="K25" t="s">
        <v>41</v>
      </c>
      <c r="L25" s="2">
        <v>45980</v>
      </c>
      <c r="M25">
        <v>0</v>
      </c>
      <c r="N25">
        <v>7</v>
      </c>
      <c r="O25">
        <v>43</v>
      </c>
      <c r="P25" t="s">
        <v>88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6</v>
      </c>
      <c r="AC25">
        <v>17</v>
      </c>
      <c r="AD25">
        <v>25</v>
      </c>
      <c r="AE25">
        <v>10</v>
      </c>
      <c r="AF25">
        <v>10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79</v>
      </c>
      <c r="B26" s="2">
        <v>45985</v>
      </c>
      <c r="C26" t="s">
        <v>76</v>
      </c>
      <c r="D26" t="s">
        <v>95</v>
      </c>
      <c r="E26" t="s">
        <v>48</v>
      </c>
      <c r="F26" t="s">
        <v>40</v>
      </c>
      <c r="G26">
        <v>0.42859999999999998</v>
      </c>
      <c r="H26">
        <v>168</v>
      </c>
      <c r="I26">
        <v>72</v>
      </c>
      <c r="J26">
        <v>48</v>
      </c>
      <c r="K26" t="s">
        <v>41</v>
      </c>
      <c r="L26" s="2">
        <v>45980</v>
      </c>
      <c r="M26">
        <v>0</v>
      </c>
      <c r="N26">
        <v>4</v>
      </c>
      <c r="O26">
        <v>16</v>
      </c>
      <c r="P26" t="s">
        <v>96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5</v>
      </c>
      <c r="AF26">
        <v>17</v>
      </c>
      <c r="AG26">
        <v>0</v>
      </c>
      <c r="AH26">
        <v>0</v>
      </c>
      <c r="AI26">
        <v>48</v>
      </c>
      <c r="AJ26">
        <v>0</v>
      </c>
    </row>
    <row r="27" spans="1:36" x14ac:dyDescent="0.3">
      <c r="A27" t="s">
        <v>97</v>
      </c>
      <c r="B27" s="2">
        <v>45986</v>
      </c>
      <c r="C27" t="s">
        <v>61</v>
      </c>
      <c r="D27" t="s">
        <v>98</v>
      </c>
      <c r="E27" t="s">
        <v>39</v>
      </c>
      <c r="F27" t="s">
        <v>40</v>
      </c>
      <c r="G27">
        <v>0.68159999999999998</v>
      </c>
      <c r="H27">
        <v>179</v>
      </c>
      <c r="I27">
        <v>122</v>
      </c>
      <c r="J27">
        <v>88</v>
      </c>
      <c r="K27" t="s">
        <v>41</v>
      </c>
      <c r="L27" s="2">
        <v>45980</v>
      </c>
      <c r="M27">
        <v>0</v>
      </c>
      <c r="N27">
        <v>2</v>
      </c>
      <c r="O27">
        <v>24</v>
      </c>
      <c r="P27" t="s">
        <v>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2</v>
      </c>
      <c r="AD27">
        <v>5</v>
      </c>
      <c r="AE27">
        <v>10</v>
      </c>
      <c r="AF27">
        <v>15</v>
      </c>
      <c r="AG27">
        <v>0</v>
      </c>
      <c r="AH27">
        <v>0</v>
      </c>
      <c r="AI27">
        <v>88</v>
      </c>
      <c r="AJ27">
        <v>0</v>
      </c>
    </row>
    <row r="28" spans="1:36" x14ac:dyDescent="0.3">
      <c r="A28" t="s">
        <v>97</v>
      </c>
      <c r="B28" s="2">
        <v>45986</v>
      </c>
      <c r="C28" t="s">
        <v>43</v>
      </c>
      <c r="D28" t="s">
        <v>100</v>
      </c>
      <c r="E28" t="s">
        <v>45</v>
      </c>
      <c r="F28" t="s">
        <v>40</v>
      </c>
      <c r="G28">
        <v>0.99439999999999995</v>
      </c>
      <c r="H28">
        <v>179</v>
      </c>
      <c r="I28">
        <v>178</v>
      </c>
      <c r="J28">
        <v>159</v>
      </c>
      <c r="K28" t="s">
        <v>41</v>
      </c>
      <c r="L28" s="2">
        <v>45980</v>
      </c>
      <c r="M28">
        <v>0</v>
      </c>
      <c r="N28">
        <v>5</v>
      </c>
      <c r="O28">
        <v>7</v>
      </c>
      <c r="P28" t="s">
        <v>101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</v>
      </c>
      <c r="Y28">
        <v>0</v>
      </c>
      <c r="Z28">
        <v>1</v>
      </c>
      <c r="AA28">
        <v>0</v>
      </c>
      <c r="AB28">
        <v>0</v>
      </c>
      <c r="AC28">
        <v>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159</v>
      </c>
      <c r="AJ28">
        <v>0</v>
      </c>
    </row>
    <row r="29" spans="1:36" x14ac:dyDescent="0.3">
      <c r="A29" t="s">
        <v>97</v>
      </c>
      <c r="B29" s="2">
        <v>45986</v>
      </c>
      <c r="C29" t="s">
        <v>46</v>
      </c>
      <c r="D29" t="s">
        <v>102</v>
      </c>
      <c r="E29" t="s">
        <v>48</v>
      </c>
      <c r="F29" t="s">
        <v>40</v>
      </c>
      <c r="G29">
        <v>0.93300000000000005</v>
      </c>
      <c r="H29">
        <v>179</v>
      </c>
      <c r="I29">
        <v>167</v>
      </c>
      <c r="J29">
        <v>155</v>
      </c>
      <c r="K29" t="s">
        <v>41</v>
      </c>
      <c r="L29" s="2">
        <v>45971</v>
      </c>
      <c r="M29">
        <v>0</v>
      </c>
      <c r="N29">
        <v>0</v>
      </c>
      <c r="O29">
        <v>0</v>
      </c>
      <c r="P29" t="s">
        <v>103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0</v>
      </c>
      <c r="AH29">
        <v>0</v>
      </c>
      <c r="AI29">
        <v>155</v>
      </c>
      <c r="AJ29">
        <v>0</v>
      </c>
    </row>
    <row r="30" spans="1:36" x14ac:dyDescent="0.3">
      <c r="A30" t="s">
        <v>97</v>
      </c>
      <c r="B30" s="2">
        <v>45986</v>
      </c>
      <c r="C30" t="s">
        <v>50</v>
      </c>
      <c r="D30" t="s">
        <v>104</v>
      </c>
      <c r="E30" t="s">
        <v>48</v>
      </c>
      <c r="F30" t="s">
        <v>40</v>
      </c>
      <c r="G30">
        <v>0.97770000000000001</v>
      </c>
      <c r="H30">
        <v>179</v>
      </c>
      <c r="I30">
        <v>175</v>
      </c>
      <c r="J30">
        <v>167</v>
      </c>
      <c r="K30" t="s">
        <v>41</v>
      </c>
      <c r="L30" s="2">
        <v>45973</v>
      </c>
      <c r="M30">
        <v>0</v>
      </c>
      <c r="N30">
        <v>0</v>
      </c>
      <c r="O30">
        <v>0</v>
      </c>
      <c r="P30" t="s">
        <v>105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3</v>
      </c>
      <c r="AG30">
        <v>0</v>
      </c>
      <c r="AH30">
        <v>0</v>
      </c>
      <c r="AI30">
        <v>167</v>
      </c>
      <c r="AJ30">
        <v>0</v>
      </c>
    </row>
    <row r="31" spans="1:36" x14ac:dyDescent="0.3">
      <c r="A31" t="s">
        <v>97</v>
      </c>
      <c r="B31" s="2">
        <v>45986</v>
      </c>
      <c r="C31" t="s">
        <v>70</v>
      </c>
      <c r="D31" t="s">
        <v>106</v>
      </c>
      <c r="E31" t="s">
        <v>39</v>
      </c>
      <c r="F31" t="s">
        <v>40</v>
      </c>
      <c r="G31">
        <v>0.92179999999999995</v>
      </c>
      <c r="H31">
        <v>179</v>
      </c>
      <c r="I31">
        <v>165</v>
      </c>
      <c r="J31">
        <v>117</v>
      </c>
      <c r="K31" t="s">
        <v>41</v>
      </c>
      <c r="L31" s="2">
        <v>45980</v>
      </c>
      <c r="M31">
        <v>0</v>
      </c>
      <c r="N31">
        <v>4</v>
      </c>
      <c r="O31">
        <v>24</v>
      </c>
      <c r="P31" t="s">
        <v>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2</v>
      </c>
      <c r="AB31">
        <v>0</v>
      </c>
      <c r="AC31">
        <v>4</v>
      </c>
      <c r="AD31">
        <v>17</v>
      </c>
      <c r="AE31">
        <v>15</v>
      </c>
      <c r="AF31">
        <v>9</v>
      </c>
      <c r="AG31">
        <v>0</v>
      </c>
      <c r="AH31">
        <v>0</v>
      </c>
      <c r="AI31">
        <v>117</v>
      </c>
      <c r="AJ31">
        <v>0</v>
      </c>
    </row>
    <row r="32" spans="1:36" x14ac:dyDescent="0.3">
      <c r="A32" t="s">
        <v>97</v>
      </c>
      <c r="B32" s="2">
        <v>45986</v>
      </c>
      <c r="C32" t="s">
        <v>107</v>
      </c>
      <c r="D32" t="s">
        <v>108</v>
      </c>
      <c r="E32" t="s">
        <v>39</v>
      </c>
      <c r="F32" t="s">
        <v>40</v>
      </c>
      <c r="G32">
        <v>0.3352</v>
      </c>
      <c r="H32">
        <v>179</v>
      </c>
      <c r="I32">
        <v>60</v>
      </c>
      <c r="J32">
        <v>0</v>
      </c>
      <c r="K32" t="s">
        <v>41</v>
      </c>
      <c r="L32" s="2">
        <v>45980</v>
      </c>
      <c r="M32">
        <v>0</v>
      </c>
      <c r="N32">
        <v>6</v>
      </c>
      <c r="O32">
        <v>43</v>
      </c>
      <c r="P32" t="s">
        <v>109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8</v>
      </c>
      <c r="AA32">
        <v>0</v>
      </c>
      <c r="AB32">
        <v>0</v>
      </c>
      <c r="AC32">
        <v>3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97</v>
      </c>
      <c r="B33" s="2">
        <v>45986</v>
      </c>
      <c r="C33" t="s">
        <v>55</v>
      </c>
      <c r="D33" t="s">
        <v>110</v>
      </c>
      <c r="E33" t="s">
        <v>39</v>
      </c>
      <c r="F33" t="s">
        <v>40</v>
      </c>
      <c r="G33">
        <v>0.55869999999999997</v>
      </c>
      <c r="H33">
        <v>179</v>
      </c>
      <c r="I33">
        <v>100</v>
      </c>
      <c r="J33">
        <v>46</v>
      </c>
      <c r="K33" t="s">
        <v>41</v>
      </c>
      <c r="L33" s="2">
        <v>45980</v>
      </c>
      <c r="M33">
        <v>0</v>
      </c>
      <c r="N33">
        <v>7</v>
      </c>
      <c r="O33">
        <v>31</v>
      </c>
      <c r="P33" t="s">
        <v>109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</v>
      </c>
      <c r="AE33">
        <v>15</v>
      </c>
      <c r="AF33">
        <v>30</v>
      </c>
      <c r="AG33">
        <v>0</v>
      </c>
      <c r="AH33">
        <v>0</v>
      </c>
      <c r="AI33">
        <v>46</v>
      </c>
      <c r="AJ33">
        <v>0</v>
      </c>
    </row>
    <row r="34" spans="1:36" x14ac:dyDescent="0.3">
      <c r="A34" t="s">
        <v>97</v>
      </c>
      <c r="B34" s="2">
        <v>45986</v>
      </c>
      <c r="C34" t="s">
        <v>57</v>
      </c>
      <c r="D34" t="s">
        <v>91</v>
      </c>
      <c r="E34" t="s">
        <v>39</v>
      </c>
      <c r="F34" t="s">
        <v>40</v>
      </c>
      <c r="G34">
        <v>0.75980000000000003</v>
      </c>
      <c r="H34">
        <v>179</v>
      </c>
      <c r="I34">
        <v>136</v>
      </c>
      <c r="J34">
        <v>82</v>
      </c>
      <c r="K34" t="s">
        <v>41</v>
      </c>
      <c r="L34" s="2">
        <v>45980</v>
      </c>
      <c r="M34">
        <v>0</v>
      </c>
      <c r="N34">
        <v>3</v>
      </c>
      <c r="O34">
        <v>25</v>
      </c>
      <c r="P34" t="s">
        <v>111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</v>
      </c>
      <c r="AA34">
        <v>0</v>
      </c>
      <c r="AB34">
        <v>0</v>
      </c>
      <c r="AC34">
        <v>6</v>
      </c>
      <c r="AD34">
        <v>13</v>
      </c>
      <c r="AE34">
        <v>15</v>
      </c>
      <c r="AF34">
        <v>15</v>
      </c>
      <c r="AG34">
        <v>0</v>
      </c>
      <c r="AH34">
        <v>0</v>
      </c>
      <c r="AI34">
        <v>82</v>
      </c>
      <c r="AJ34">
        <v>0</v>
      </c>
    </row>
    <row r="35" spans="1:36" x14ac:dyDescent="0.3">
      <c r="A35" t="s">
        <v>97</v>
      </c>
      <c r="B35" s="2">
        <v>45986</v>
      </c>
      <c r="C35" t="s">
        <v>93</v>
      </c>
      <c r="D35" t="s">
        <v>112</v>
      </c>
      <c r="E35" t="s">
        <v>39</v>
      </c>
      <c r="F35" t="s">
        <v>40</v>
      </c>
      <c r="G35">
        <v>0.9385</v>
      </c>
      <c r="H35">
        <v>179</v>
      </c>
      <c r="I35">
        <v>168</v>
      </c>
      <c r="J35">
        <v>117</v>
      </c>
      <c r="K35" t="s">
        <v>41</v>
      </c>
      <c r="L35" s="2">
        <v>45979</v>
      </c>
      <c r="M35">
        <v>0</v>
      </c>
      <c r="N35">
        <v>0</v>
      </c>
      <c r="O35">
        <v>27</v>
      </c>
      <c r="P35" t="s">
        <v>42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1</v>
      </c>
      <c r="AD35">
        <v>15</v>
      </c>
      <c r="AE35">
        <v>15</v>
      </c>
      <c r="AF35">
        <v>15</v>
      </c>
      <c r="AG35">
        <v>0</v>
      </c>
      <c r="AH35">
        <v>0</v>
      </c>
      <c r="AI35">
        <v>117</v>
      </c>
      <c r="AJ35">
        <v>3</v>
      </c>
    </row>
    <row r="36" spans="1:36" ht="18" x14ac:dyDescent="0.35">
      <c r="A36" s="3" t="s">
        <v>113</v>
      </c>
      <c r="B36" s="4"/>
      <c r="C36" s="3">
        <f>SUBTOTAL(103,LF_ALL_ROUTES[Flt])</f>
        <v>34</v>
      </c>
      <c r="D36" s="3"/>
      <c r="E36" s="3">
        <f>SUBTOTAL(103,LF_ALL_ROUTES[Brd-Off])</f>
        <v>34</v>
      </c>
      <c r="F36" s="3"/>
      <c r="G36" s="5">
        <f>SUBTOTAL(101,LF_ALL_ROUTES[LF%])</f>
        <v>0.8023470588235293</v>
      </c>
      <c r="H36" s="3"/>
      <c r="I36" s="3"/>
      <c r="J36" s="3"/>
      <c r="K36" s="3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>
        <f>SUBTOTAL(109,LF_ALL_ROUTES[N])</f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2025-11-20T00:45:24Z</dcterms:created>
  <dcterms:modified xsi:type="dcterms:W3CDTF">2025-11-20T00:45:24Z</dcterms:modified>
</cp:coreProperties>
</file>