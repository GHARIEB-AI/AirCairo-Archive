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comments3.xml" ContentType="application/vnd.openxmlformats-officedocument.spreadsheetml.comments+xml"/>
  <Override PartName="/xl/tables/table6.xml" ContentType="application/vnd.openxmlformats-officedocument.spreadsheetml.table+xml"/>
  <Override PartName="/xl/tables/table7.xml" ContentType="application/vnd.openxmlformats-officedocument.spreadsheetml.table+xml"/>
  <Override PartName="/xl/comments4.xml" ContentType="application/vnd.openxmlformats-officedocument.spreadsheetml.comments+xml"/>
  <Override PartName="/xl/tables/table8.xml" ContentType="application/vnd.openxmlformats-officedocument.spreadsheetml.table+xml"/>
  <Override PartName="/xl/tables/table9.xml" ContentType="application/vnd.openxmlformats-officedocument.spreadsheetml.table+xml"/>
  <Override PartName="/xl/comments5.xml" ContentType="application/vnd.openxmlformats-officedocument.spreadsheetml.comments+xml"/>
  <Override PartName="/xl/tables/table10.xml" ContentType="application/vnd.openxmlformats-officedocument.spreadsheetml.table+xml"/>
  <Override PartName="/xl/comments6.xml" ContentType="application/vnd.openxmlformats-officedocument.spreadsheetml.comments+xml"/>
  <Override PartName="/xl/tables/table11.xml" ContentType="application/vnd.openxmlformats-officedocument.spreadsheetml.table+xml"/>
  <Override PartName="/xl/tables/table12.xml" ContentType="application/vnd.openxmlformats-officedocument.spreadsheetml.table+xml"/>
  <Override PartName="/xl/comments7.xml" ContentType="application/vnd.openxmlformats-officedocument.spreadsheetml.comments+xml"/>
  <Override PartName="/xl/tables/table13.xml" ContentType="application/vnd.openxmlformats-officedocument.spreadsheetml.table+xml"/>
  <Override PartName="/xl/tables/table14.xml" ContentType="application/vnd.openxmlformats-officedocument.spreadsheetml.table+xml"/>
  <Override PartName="/xl/comments8.xml" ContentType="application/vnd.openxmlformats-officedocument.spreadsheetml.comments+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omments9.xml" ContentType="application/vnd.openxmlformats-officedocument.spreadsheetml.comments+xml"/>
  <Override PartName="/xl/tables/table18.xml" ContentType="application/vnd.openxmlformats-officedocument.spreadsheetml.table+xml"/>
  <Override PartName="/xl/comments10.xml" ContentType="application/vnd.openxmlformats-officedocument.spreadsheetml.comments+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comments11.xml" ContentType="application/vnd.openxmlformats-officedocument.spreadsheetml.comments+xml"/>
  <Override PartName="/xl/tables/table22.xml" ContentType="application/vnd.openxmlformats-officedocument.spreadsheetml.table+xml"/>
  <Override PartName="/xl/comments12.xml" ContentType="application/vnd.openxmlformats-officedocument.spreadsheetml.comments+xml"/>
  <Override PartName="/xl/tables/table23.xml" ContentType="application/vnd.openxmlformats-officedocument.spreadsheetml.table+xml"/>
  <Override PartName="/xl/tables/table24.xml" ContentType="application/vnd.openxmlformats-officedocument.spreadsheetml.table+xml"/>
  <Override PartName="/xl/comments13.xml" ContentType="application/vnd.openxmlformats-officedocument.spreadsheetml.comments+xml"/>
  <Override PartName="/xl/tables/table25.xml" ContentType="application/vnd.openxmlformats-officedocument.spreadsheetml.table+xml"/>
  <Override PartName="/xl/tables/table26.xml" ContentType="application/vnd.openxmlformats-officedocument.spreadsheetml.table+xml"/>
  <Override PartName="/xl/comments14.xml" ContentType="application/vnd.openxmlformats-officedocument.spreadsheetml.comments+xml"/>
  <Override PartName="/xl/tables/table27.xml" ContentType="application/vnd.openxmlformats-officedocument.spreadsheetml.table+xml"/>
  <Override PartName="/xl/comments15.xml" ContentType="application/vnd.openxmlformats-officedocument.spreadsheetml.comments+xml"/>
  <Override PartName="/xl/tables/table28.xml" ContentType="application/vnd.openxmlformats-officedocument.spreadsheetml.table+xml"/>
  <Override PartName="/xl/tables/table29.xml" ContentType="application/vnd.openxmlformats-officedocument.spreadsheetml.table+xml"/>
  <Override PartName="/xl/comments16.xml" ContentType="application/vnd.openxmlformats-officedocument.spreadsheetml.comments+xml"/>
  <Override PartName="/xl/tables/table30.xml" ContentType="application/vnd.openxmlformats-officedocument.spreadsheetml.table+xml"/>
  <Override PartName="/xl/tables/table31.xml" ContentType="application/vnd.openxmlformats-officedocument.spreadsheetml.table+xml"/>
  <Override PartName="/xl/comments17.xml" ContentType="application/vnd.openxmlformats-officedocument.spreadsheetml.comments+xml"/>
  <Override PartName="/xl/tables/table32.xml" ContentType="application/vnd.openxmlformats-officedocument.spreadsheetml.table+xml"/>
  <Override PartName="/xl/comments18.xml" ContentType="application/vnd.openxmlformats-officedocument.spreadsheetml.comments+xml"/>
  <Override PartName="/xl/tables/table33.xml" ContentType="application/vnd.openxmlformats-officedocument.spreadsheetml.table+xml"/>
  <Override PartName="/xl/tables/table34.xml" ContentType="application/vnd.openxmlformats-officedocument.spreadsheetml.table+xml"/>
  <Override PartName="/xl/comments19.xml" ContentType="application/vnd.openxmlformats-officedocument.spreadsheetml.comments+xml"/>
  <Override PartName="/xl/tables/table35.xml" ContentType="application/vnd.openxmlformats-officedocument.spreadsheetml.table+xml"/>
  <Override PartName="/xl/tables/table36.xml" ContentType="application/vnd.openxmlformats-officedocument.spreadsheetml.table+xml"/>
  <Override PartName="/xl/comments20.xml" ContentType="application/vnd.openxmlformats-officedocument.spreadsheetml.comments+xml"/>
  <Override PartName="/xl/tables/table37.xml" ContentType="application/vnd.openxmlformats-officedocument.spreadsheetml.table+xml"/>
  <Override PartName="/xl/comments21.xml" ContentType="application/vnd.openxmlformats-officedocument.spreadsheetml.comments+xml"/>
  <Override PartName="/xl/tables/table38.xml" ContentType="application/vnd.openxmlformats-officedocument.spreadsheetml.table+xml"/>
  <Override PartName="/xl/tables/table39.xml" ContentType="application/vnd.openxmlformats-officedocument.spreadsheetml.table+xml"/>
  <Override PartName="/xl/comments22.xml" ContentType="application/vnd.openxmlformats-officedocument.spreadsheetml.comments+xml"/>
  <Override PartName="/xl/tables/table40.xml" ContentType="application/vnd.openxmlformats-officedocument.spreadsheetml.table+xml"/>
  <Override PartName="/xl/comments23.xml" ContentType="application/vnd.openxmlformats-officedocument.spreadsheetml.comments+xml"/>
  <Override PartName="/xl/tables/table41.xml" ContentType="application/vnd.openxmlformats-officedocument.spreadsheetml.table+xml"/>
  <Override PartName="/xl/tables/table42.xml" ContentType="application/vnd.openxmlformats-officedocument.spreadsheetml.table+xml"/>
  <Override PartName="/xl/comments24.xml" ContentType="application/vnd.openxmlformats-officedocument.spreadsheetml.comments+xml"/>
  <Override PartName="/xl/tables/table43.xml" ContentType="application/vnd.openxmlformats-officedocument.spreadsheetml.table+xml"/>
  <Override PartName="/xl/tables/table44.xml" ContentType="application/vnd.openxmlformats-officedocument.spreadsheetml.table+xml"/>
  <Override PartName="/xl/comments25.xml" ContentType="application/vnd.openxmlformats-officedocument.spreadsheetml.comments+xml"/>
  <Override PartName="/xl/tables/table45.xml" ContentType="application/vnd.openxmlformats-officedocument.spreadsheetml.table+xml"/>
  <Override PartName="/xl/comments26.xml" ContentType="application/vnd.openxmlformats-officedocument.spreadsheetml.comments+xml"/>
  <Override PartName="/xl/tables/table46.xml" ContentType="application/vnd.openxmlformats-officedocument.spreadsheetml.table+xml"/>
  <Override PartName="/xl/tables/table47.xml" ContentType="application/vnd.openxmlformats-officedocument.spreadsheetml.table+xml"/>
  <Override PartName="/xl/comments27.xml" ContentType="application/vnd.openxmlformats-officedocument.spreadsheetml.comments+xml"/>
  <Override PartName="/xl/tables/table48.xml" ContentType="application/vnd.openxmlformats-officedocument.spreadsheetml.table+xml"/>
  <Override PartName="/xl/tables/table49.xml" ContentType="application/vnd.openxmlformats-officedocument.spreadsheetml.table+xml"/>
  <Override PartName="/xl/comments28.xml" ContentType="application/vnd.openxmlformats-officedocument.spreadsheetml.comments+xml"/>
  <Override PartName="/xl/tables/table50.xml" ContentType="application/vnd.openxmlformats-officedocument.spreadsheetml.table+xml"/>
  <Override PartName="/xl/comments29.xml" ContentType="application/vnd.openxmlformats-officedocument.spreadsheetml.comments+xml"/>
  <Override PartName="/xl/tables/table5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DERED\OUTPUTS\"/>
    </mc:Choice>
  </mc:AlternateContent>
  <xr:revisionPtr revIDLastSave="0" documentId="13_ncr:1_{048D6D7C-AEC7-43A0-9EDC-0970D19AA0FC}" xr6:coauthVersionLast="47" xr6:coauthVersionMax="47" xr10:uidLastSave="{00000000-0000-0000-0000-000000000000}"/>
  <bookViews>
    <workbookView xWindow="-108" yWindow="-108" windowWidth="23256" windowHeight="12456" xr2:uid="{00000000-000D-0000-FFFF-FFFF00000000}"/>
  </bookViews>
  <sheets>
    <sheet name="CAI-MED" sheetId="1" r:id="rId1"/>
    <sheet name="CAI-MED LF LEGACY" sheetId="2" r:id="rId2"/>
    <sheet name="CAI-MED - FOCUS MODE" sheetId="3" r:id="rId3"/>
    <sheet name="CAI-MED - OAL Threats Alert" sheetId="4" r:id="rId4"/>
    <sheet name="HBE-MED" sheetId="5" r:id="rId5"/>
    <sheet name="HBE-MED LF LEGACY" sheetId="6" r:id="rId6"/>
    <sheet name="HBE-MED - FOCUS MODE" sheetId="7" r:id="rId7"/>
    <sheet name="ATZ-MED" sheetId="8" r:id="rId8"/>
    <sheet name="ATZ-MED LF LEGACY" sheetId="9" r:id="rId9"/>
    <sheet name="ATZ-MED - FOCUS MODE" sheetId="10" r:id="rId10"/>
    <sheet name="CAI-JED" sheetId="11" r:id="rId11"/>
    <sheet name="CAI-JED LF LEGACY" sheetId="12" r:id="rId12"/>
    <sheet name="CAI-JED - FOCUS MODE" sheetId="13" r:id="rId13"/>
    <sheet name="CAI-JED - OAL Threats Alert" sheetId="14" r:id="rId14"/>
    <sheet name="HBE-JED" sheetId="15" r:id="rId15"/>
    <sheet name="HBE-JED LF LEGACY" sheetId="16" r:id="rId16"/>
    <sheet name="HBE-JED - FOCUS MODE" sheetId="17" r:id="rId17"/>
    <sheet name="ATZ-JED" sheetId="18" r:id="rId18"/>
    <sheet name="ATZ-JED LF LEGACY" sheetId="19" r:id="rId19"/>
    <sheet name="ATZ-JED - FOCUS MODE" sheetId="20" r:id="rId20"/>
    <sheet name="LXR-JED" sheetId="21" r:id="rId21"/>
    <sheet name="LXR-JED LF LEGACY" sheetId="22" r:id="rId22"/>
    <sheet name="LXR-JED - FOCUS MODE" sheetId="23" r:id="rId23"/>
    <sheet name="ASW-JED" sheetId="24" r:id="rId24"/>
    <sheet name="ASW-JED LF LEGACY" sheetId="25" r:id="rId25"/>
    <sheet name="ASW-JED - FOCUS MODE" sheetId="26" r:id="rId26"/>
    <sheet name="SSH-JED" sheetId="27" r:id="rId27"/>
    <sheet name="SSH-JED LF LEGACY" sheetId="28" r:id="rId28"/>
    <sheet name="SSH-JED - FOCUS MODE" sheetId="29" r:id="rId29"/>
    <sheet name="HRG-JED" sheetId="30" r:id="rId30"/>
    <sheet name="HRG-JED LF LEGACY" sheetId="31" r:id="rId31"/>
    <sheet name="HRG-JED - FOCUS MODE" sheetId="32" r:id="rId32"/>
    <sheet name="CAI-RUH" sheetId="33" r:id="rId33"/>
    <sheet name="CAI-RUH LF LEGACY" sheetId="34" r:id="rId34"/>
    <sheet name="CAI-RUH - FOCUS MODE" sheetId="35" r:id="rId35"/>
    <sheet name="CAI-RUH - OAL Threats Alert" sheetId="36" r:id="rId36"/>
    <sheet name="ATZ-RUH" sheetId="37" r:id="rId37"/>
    <sheet name="ATZ-RUH LF LEGACY" sheetId="38" r:id="rId38"/>
    <sheet name="ATZ-RUH - FOCUS MODE" sheetId="39" r:id="rId39"/>
    <sheet name="CAI-DMM" sheetId="40" r:id="rId40"/>
    <sheet name="CAI-DMM LF LEGACY" sheetId="41" r:id="rId41"/>
    <sheet name="CAI-DMM - FOCUS MODE" sheetId="42" r:id="rId42"/>
    <sheet name="CAI-DMM - OAL Threats Alert" sheetId="43" r:id="rId43"/>
    <sheet name="ATZ-DMM" sheetId="44" r:id="rId44"/>
    <sheet name="ATZ-DMM LF LEGACY" sheetId="45" r:id="rId45"/>
    <sheet name="ATZ-DMM - FOCUS MODE" sheetId="46" r:id="rId46"/>
    <sheet name="CAI-TUU" sheetId="47" r:id="rId47"/>
    <sheet name="CAI-TUU LF LEGACY" sheetId="48" r:id="rId48"/>
    <sheet name="CAI-TUU - FOCUS MODE" sheetId="49" r:id="rId49"/>
    <sheet name="CAI-TUU - OAL Threats Alert" sheetId="50" r:id="rId50"/>
    <sheet name="ATZ-TUU" sheetId="51" r:id="rId51"/>
    <sheet name="ATZ-TUU LF LEGACY" sheetId="52" r:id="rId52"/>
    <sheet name="ATZ-TUU - FOCUS MODE" sheetId="53" r:id="rId53"/>
    <sheet name="CAI-AJF" sheetId="54" r:id="rId54"/>
    <sheet name="CAI-AJF LF LEGACY" sheetId="55" r:id="rId55"/>
    <sheet name="CAI-AJF - FOCUS MODE" sheetId="56" r:id="rId56"/>
    <sheet name="CAI-AJF - OAL Threats Alert" sheetId="57" r:id="rId57"/>
    <sheet name="ATZ-AJF" sheetId="58" r:id="rId58"/>
    <sheet name="ATZ-AJF LF LEGACY" sheetId="59" r:id="rId59"/>
    <sheet name="ATZ-AJF - FOCUS MODE" sheetId="60" r:id="rId60"/>
    <sheet name="CAI-YNB" sheetId="61" r:id="rId61"/>
    <sheet name="CAI-YNB LF LEGACY" sheetId="62" r:id="rId62"/>
    <sheet name="CAI-YNB - FOCUS MODE" sheetId="63" r:id="rId63"/>
    <sheet name="CAI-YNB - OAL Threats Alert" sheetId="64" r:id="rId64"/>
    <sheet name="CAI-AHB" sheetId="65" r:id="rId65"/>
    <sheet name="CAI-AHB LF LEGACY" sheetId="66" r:id="rId66"/>
    <sheet name="CAI-AHB - FOCUS MODE" sheetId="67" r:id="rId67"/>
    <sheet name="CAI-AHB - OAL Threats Alert" sheetId="68" r:id="rId68"/>
    <sheet name="ATZ-AHB" sheetId="69" r:id="rId69"/>
    <sheet name="ATZ-AHB LF LEGACY" sheetId="70" r:id="rId70"/>
    <sheet name="ATZ-AHB - FOCUS MODE" sheetId="71" r:id="rId71"/>
    <sheet name="CAI-ELQ" sheetId="72" r:id="rId72"/>
    <sheet name="CAI-ELQ LF LEGACY" sheetId="73" r:id="rId73"/>
    <sheet name="CAI-ELQ - FOCUS MODE" sheetId="74" r:id="rId74"/>
    <sheet name="CAI-ELQ - OAL Threats Alert" sheetId="75" r:id="rId75"/>
    <sheet name="ATZ-ELQ" sheetId="76" r:id="rId76"/>
    <sheet name="ATZ-ELQ LF LEGACY" sheetId="77" r:id="rId77"/>
    <sheet name="ATZ-ELQ - FOCUS MODE" sheetId="78" r:id="rId78"/>
    <sheet name="CAI-GIZ" sheetId="79" r:id="rId79"/>
    <sheet name="CAI-GIZ LF LEGACY" sheetId="80" r:id="rId80"/>
    <sheet name="CAI-GIZ - FOCUS MODE" sheetId="81" r:id="rId81"/>
    <sheet name="CAI-GIZ - OAL Threats Alert" sheetId="82" r:id="rId82"/>
    <sheet name="EGY_TO_KSA_ALL_ROUTES" sheetId="83" r:id="rId8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 i="80" l="1"/>
  <c r="E4" i="80"/>
  <c r="G4" i="80"/>
  <c r="H4" i="80"/>
  <c r="I4" i="80"/>
  <c r="J4" i="80"/>
  <c r="M4" i="80"/>
  <c r="N4" i="80"/>
  <c r="O4" i="80"/>
  <c r="Q4" i="80"/>
  <c r="R4" i="80"/>
  <c r="S4" i="80"/>
  <c r="T4" i="80"/>
  <c r="U4" i="80"/>
  <c r="V4" i="80"/>
  <c r="W4" i="80"/>
  <c r="X4" i="80"/>
  <c r="Y4" i="80"/>
  <c r="Z4" i="80"/>
  <c r="AA4" i="80"/>
  <c r="AB4" i="80"/>
  <c r="AC4" i="80"/>
  <c r="AD4" i="80"/>
  <c r="AE4" i="80"/>
  <c r="AF4" i="80"/>
  <c r="AG4" i="80"/>
  <c r="AH4" i="80"/>
  <c r="AI4" i="80"/>
  <c r="AJ4" i="80"/>
  <c r="C3" i="77"/>
  <c r="E3" i="77"/>
  <c r="G3" i="77"/>
  <c r="H3" i="77"/>
  <c r="I3" i="77"/>
  <c r="J3" i="77"/>
  <c r="M3" i="77"/>
  <c r="N3" i="77"/>
  <c r="O3" i="77"/>
  <c r="Q3" i="77"/>
  <c r="R3" i="77"/>
  <c r="S3" i="77"/>
  <c r="T3" i="77"/>
  <c r="U3" i="77"/>
  <c r="V3" i="77"/>
  <c r="W3" i="77"/>
  <c r="X3" i="77"/>
  <c r="Y3" i="77"/>
  <c r="Z3" i="77"/>
  <c r="AA3" i="77"/>
  <c r="AB3" i="77"/>
  <c r="AC3" i="77"/>
  <c r="AD3" i="77"/>
  <c r="AE3" i="77"/>
  <c r="AF3" i="77"/>
  <c r="AG3" i="77"/>
  <c r="AH3" i="77"/>
  <c r="AI3" i="77"/>
  <c r="AJ3" i="77"/>
  <c r="C4" i="73"/>
  <c r="E4" i="73"/>
  <c r="G4" i="73"/>
  <c r="H4" i="73"/>
  <c r="I4" i="73"/>
  <c r="J4" i="73"/>
  <c r="M4" i="73"/>
  <c r="N4" i="73"/>
  <c r="O4" i="73"/>
  <c r="Q4" i="73"/>
  <c r="R4" i="73"/>
  <c r="S4" i="73"/>
  <c r="T4" i="73"/>
  <c r="U4" i="73"/>
  <c r="V4" i="73"/>
  <c r="W4" i="73"/>
  <c r="X4" i="73"/>
  <c r="Y4" i="73"/>
  <c r="Z4" i="73"/>
  <c r="AA4" i="73"/>
  <c r="AB4" i="73"/>
  <c r="AC4" i="73"/>
  <c r="AD4" i="73"/>
  <c r="AE4" i="73"/>
  <c r="AF4" i="73"/>
  <c r="AG4" i="73"/>
  <c r="AH4" i="73"/>
  <c r="AI4" i="73"/>
  <c r="AJ4" i="73"/>
  <c r="C3" i="70"/>
  <c r="E3" i="70"/>
  <c r="G3" i="70"/>
  <c r="H3" i="70"/>
  <c r="I3" i="70"/>
  <c r="J3" i="70"/>
  <c r="M3" i="70"/>
  <c r="N3" i="70"/>
  <c r="O3" i="70"/>
  <c r="Q3" i="70"/>
  <c r="R3" i="70"/>
  <c r="S3" i="70"/>
  <c r="T3" i="70"/>
  <c r="U3" i="70"/>
  <c r="V3" i="70"/>
  <c r="W3" i="70"/>
  <c r="X3" i="70"/>
  <c r="Y3" i="70"/>
  <c r="Z3" i="70"/>
  <c r="AA3" i="70"/>
  <c r="AB3" i="70"/>
  <c r="AC3" i="70"/>
  <c r="AD3" i="70"/>
  <c r="AE3" i="70"/>
  <c r="AF3" i="70"/>
  <c r="AG3" i="70"/>
  <c r="AH3" i="70"/>
  <c r="AI3" i="70"/>
  <c r="AJ3" i="70"/>
  <c r="C4" i="66"/>
  <c r="E4" i="66"/>
  <c r="G4" i="66"/>
  <c r="H4" i="66"/>
  <c r="I4" i="66"/>
  <c r="J4" i="66"/>
  <c r="M4" i="66"/>
  <c r="N4" i="66"/>
  <c r="O4" i="66"/>
  <c r="Q4" i="66"/>
  <c r="R4" i="66"/>
  <c r="S4" i="66"/>
  <c r="T4" i="66"/>
  <c r="U4" i="66"/>
  <c r="V4" i="66"/>
  <c r="W4" i="66"/>
  <c r="X4" i="66"/>
  <c r="Y4" i="66"/>
  <c r="Z4" i="66"/>
  <c r="AA4" i="66"/>
  <c r="AB4" i="66"/>
  <c r="AC4" i="66"/>
  <c r="AD4" i="66"/>
  <c r="AE4" i="66"/>
  <c r="AF4" i="66"/>
  <c r="AG4" i="66"/>
  <c r="AH4" i="66"/>
  <c r="AI4" i="66"/>
  <c r="AJ4" i="66"/>
  <c r="C5" i="62"/>
  <c r="E5" i="62"/>
  <c r="G5" i="62"/>
  <c r="H5" i="62"/>
  <c r="I5" i="62"/>
  <c r="J5" i="62"/>
  <c r="M5" i="62"/>
  <c r="N5" i="62"/>
  <c r="O5" i="62"/>
  <c r="Q5" i="62"/>
  <c r="R5" i="62"/>
  <c r="S5" i="62"/>
  <c r="T5" i="62"/>
  <c r="U5" i="62"/>
  <c r="V5" i="62"/>
  <c r="W5" i="62"/>
  <c r="X5" i="62"/>
  <c r="Y5" i="62"/>
  <c r="Z5" i="62"/>
  <c r="AA5" i="62"/>
  <c r="AB5" i="62"/>
  <c r="AC5" i="62"/>
  <c r="AD5" i="62"/>
  <c r="AE5" i="62"/>
  <c r="AF5" i="62"/>
  <c r="AG5" i="62"/>
  <c r="AH5" i="62"/>
  <c r="AI5" i="62"/>
  <c r="AJ5" i="62"/>
  <c r="C3" i="59"/>
  <c r="E3" i="59"/>
  <c r="G3" i="59"/>
  <c r="H3" i="59"/>
  <c r="I3" i="59"/>
  <c r="J3" i="59"/>
  <c r="M3" i="59"/>
  <c r="N3" i="59"/>
  <c r="O3" i="59"/>
  <c r="Q3" i="59"/>
  <c r="R3" i="59"/>
  <c r="S3" i="59"/>
  <c r="T3" i="59"/>
  <c r="U3" i="59"/>
  <c r="V3" i="59"/>
  <c r="W3" i="59"/>
  <c r="X3" i="59"/>
  <c r="Y3" i="59"/>
  <c r="Z3" i="59"/>
  <c r="AA3" i="59"/>
  <c r="AB3" i="59"/>
  <c r="AC3" i="59"/>
  <c r="AD3" i="59"/>
  <c r="AE3" i="59"/>
  <c r="AF3" i="59"/>
  <c r="AG3" i="59"/>
  <c r="AH3" i="59"/>
  <c r="AI3" i="59"/>
  <c r="AJ3" i="59"/>
  <c r="C4" i="55"/>
  <c r="E4" i="55"/>
  <c r="G4" i="55"/>
  <c r="H4" i="55"/>
  <c r="I4" i="55"/>
  <c r="J4" i="55"/>
  <c r="M4" i="55"/>
  <c r="N4" i="55"/>
  <c r="O4" i="55"/>
  <c r="Q4" i="55"/>
  <c r="R4" i="55"/>
  <c r="S4" i="55"/>
  <c r="T4" i="55"/>
  <c r="U4" i="55"/>
  <c r="V4" i="55"/>
  <c r="W4" i="55"/>
  <c r="X4" i="55"/>
  <c r="Y4" i="55"/>
  <c r="Z4" i="55"/>
  <c r="AA4" i="55"/>
  <c r="AB4" i="55"/>
  <c r="AC4" i="55"/>
  <c r="AD4" i="55"/>
  <c r="AE4" i="55"/>
  <c r="AF4" i="55"/>
  <c r="AG4" i="55"/>
  <c r="AH4" i="55"/>
  <c r="AI4" i="55"/>
  <c r="AJ4" i="55"/>
  <c r="C3" i="52"/>
  <c r="E3" i="52"/>
  <c r="G3" i="52"/>
  <c r="H3" i="52"/>
  <c r="I3" i="52"/>
  <c r="J3" i="52"/>
  <c r="M3" i="52"/>
  <c r="N3" i="52"/>
  <c r="O3" i="52"/>
  <c r="Q3" i="52"/>
  <c r="R3" i="52"/>
  <c r="S3" i="52"/>
  <c r="T3" i="52"/>
  <c r="U3" i="52"/>
  <c r="V3" i="52"/>
  <c r="W3" i="52"/>
  <c r="X3" i="52"/>
  <c r="Y3" i="52"/>
  <c r="Z3" i="52"/>
  <c r="AA3" i="52"/>
  <c r="AB3" i="52"/>
  <c r="AC3" i="52"/>
  <c r="AD3" i="52"/>
  <c r="AE3" i="52"/>
  <c r="AF3" i="52"/>
  <c r="AG3" i="52"/>
  <c r="AH3" i="52"/>
  <c r="AI3" i="52"/>
  <c r="AJ3" i="52"/>
  <c r="C4" i="48"/>
  <c r="E4" i="48"/>
  <c r="G4" i="48"/>
  <c r="H4" i="48"/>
  <c r="I4" i="48"/>
  <c r="J4" i="48"/>
  <c r="M4" i="48"/>
  <c r="N4" i="48"/>
  <c r="O4" i="48"/>
  <c r="Q4" i="48"/>
  <c r="R4" i="48"/>
  <c r="S4" i="48"/>
  <c r="T4" i="48"/>
  <c r="U4" i="48"/>
  <c r="V4" i="48"/>
  <c r="W4" i="48"/>
  <c r="X4" i="48"/>
  <c r="Y4" i="48"/>
  <c r="Z4" i="48"/>
  <c r="AA4" i="48"/>
  <c r="AB4" i="48"/>
  <c r="AC4" i="48"/>
  <c r="AD4" i="48"/>
  <c r="AE4" i="48"/>
  <c r="AF4" i="48"/>
  <c r="AG4" i="48"/>
  <c r="AH4" i="48"/>
  <c r="AI4" i="48"/>
  <c r="AJ4" i="48"/>
  <c r="C3" i="45"/>
  <c r="E3" i="45"/>
  <c r="G3" i="45"/>
  <c r="H3" i="45"/>
  <c r="I3" i="45"/>
  <c r="J3" i="45"/>
  <c r="M3" i="45"/>
  <c r="N3" i="45"/>
  <c r="O3" i="45"/>
  <c r="Q3" i="45"/>
  <c r="R3" i="45"/>
  <c r="S3" i="45"/>
  <c r="T3" i="45"/>
  <c r="U3" i="45"/>
  <c r="V3" i="45"/>
  <c r="W3" i="45"/>
  <c r="X3" i="45"/>
  <c r="Y3" i="45"/>
  <c r="Z3" i="45"/>
  <c r="AA3" i="45"/>
  <c r="AB3" i="45"/>
  <c r="AC3" i="45"/>
  <c r="AD3" i="45"/>
  <c r="AE3" i="45"/>
  <c r="AF3" i="45"/>
  <c r="AG3" i="45"/>
  <c r="AH3" i="45"/>
  <c r="AI3" i="45"/>
  <c r="AJ3" i="45"/>
  <c r="C5" i="41"/>
  <c r="E5" i="41"/>
  <c r="G5" i="41"/>
  <c r="H5" i="41"/>
  <c r="I5" i="41"/>
  <c r="J5" i="41"/>
  <c r="M5" i="41"/>
  <c r="N5" i="41"/>
  <c r="O5" i="41"/>
  <c r="Q5" i="41"/>
  <c r="R5" i="41"/>
  <c r="S5" i="41"/>
  <c r="T5" i="41"/>
  <c r="U5" i="41"/>
  <c r="V5" i="41"/>
  <c r="W5" i="41"/>
  <c r="X5" i="41"/>
  <c r="Y5" i="41"/>
  <c r="Z5" i="41"/>
  <c r="AA5" i="41"/>
  <c r="AB5" i="41"/>
  <c r="AC5" i="41"/>
  <c r="AD5" i="41"/>
  <c r="AE5" i="41"/>
  <c r="AF5" i="41"/>
  <c r="AG5" i="41"/>
  <c r="AH5" i="41"/>
  <c r="AI5" i="41"/>
  <c r="AJ5" i="41"/>
  <c r="C6" i="34"/>
  <c r="E6" i="34"/>
  <c r="G6" i="34"/>
  <c r="H6" i="34"/>
  <c r="I6" i="34"/>
  <c r="J6" i="34"/>
  <c r="M6" i="34"/>
  <c r="N6" i="34"/>
  <c r="O6" i="34"/>
  <c r="Q6" i="34"/>
  <c r="R6" i="34"/>
  <c r="S6" i="34"/>
  <c r="T6" i="34"/>
  <c r="U6" i="34"/>
  <c r="V6" i="34"/>
  <c r="W6" i="34"/>
  <c r="X6" i="34"/>
  <c r="Y6" i="34"/>
  <c r="Z6" i="34"/>
  <c r="AA6" i="34"/>
  <c r="AB6" i="34"/>
  <c r="AC6" i="34"/>
  <c r="AD6" i="34"/>
  <c r="AE6" i="34"/>
  <c r="AF6" i="34"/>
  <c r="AG6" i="34"/>
  <c r="AH6" i="34"/>
  <c r="AI6" i="34"/>
  <c r="AJ6" i="34"/>
  <c r="C7" i="19"/>
  <c r="E7" i="19"/>
  <c r="G7" i="19"/>
  <c r="H7" i="19"/>
  <c r="I7" i="19"/>
  <c r="J7" i="19"/>
  <c r="M7" i="19"/>
  <c r="N7" i="19"/>
  <c r="O7" i="19"/>
  <c r="Q7" i="19"/>
  <c r="R7" i="19"/>
  <c r="S7" i="19"/>
  <c r="T7" i="19"/>
  <c r="U7" i="19"/>
  <c r="V7" i="19"/>
  <c r="W7" i="19"/>
  <c r="X7" i="19"/>
  <c r="Y7" i="19"/>
  <c r="Z7" i="19"/>
  <c r="AA7" i="19"/>
  <c r="AB7" i="19"/>
  <c r="AC7" i="19"/>
  <c r="AD7" i="19"/>
  <c r="AE7" i="19"/>
  <c r="AF7" i="19"/>
  <c r="AG7" i="19"/>
  <c r="AH7" i="19"/>
  <c r="AI7" i="19"/>
  <c r="AJ7" i="19"/>
  <c r="C6" i="16"/>
  <c r="E6" i="16"/>
  <c r="G6" i="16"/>
  <c r="H6" i="16"/>
  <c r="I6" i="16"/>
  <c r="J6" i="16"/>
  <c r="M6" i="16"/>
  <c r="N6" i="16"/>
  <c r="O6" i="16"/>
  <c r="Q6" i="16"/>
  <c r="R6" i="16"/>
  <c r="S6" i="16"/>
  <c r="T6" i="16"/>
  <c r="U6" i="16"/>
  <c r="V6" i="16"/>
  <c r="W6" i="16"/>
  <c r="X6" i="16"/>
  <c r="Y6" i="16"/>
  <c r="Z6" i="16"/>
  <c r="AA6" i="16"/>
  <c r="AB6" i="16"/>
  <c r="AC6" i="16"/>
  <c r="AD6" i="16"/>
  <c r="AE6" i="16"/>
  <c r="AF6" i="16"/>
  <c r="AG6" i="16"/>
  <c r="AH6" i="16"/>
  <c r="AI6" i="16"/>
  <c r="AJ6" i="16"/>
  <c r="C17" i="12"/>
  <c r="E17" i="12"/>
  <c r="G17" i="12"/>
  <c r="H17" i="12"/>
  <c r="I17" i="12"/>
  <c r="J17" i="12"/>
  <c r="M17" i="12"/>
  <c r="N17" i="12"/>
  <c r="O17" i="12"/>
  <c r="Q17" i="12"/>
  <c r="R17" i="12"/>
  <c r="S17" i="12"/>
  <c r="T17" i="12"/>
  <c r="U17" i="12"/>
  <c r="V17" i="12"/>
  <c r="W17" i="12"/>
  <c r="X17" i="12"/>
  <c r="Y17" i="12"/>
  <c r="Z17" i="12"/>
  <c r="AA17" i="12"/>
  <c r="AB17" i="12"/>
  <c r="AC17" i="12"/>
  <c r="AD17" i="12"/>
  <c r="AE17" i="12"/>
  <c r="AF17" i="12"/>
  <c r="AG17" i="12"/>
  <c r="AH17" i="12"/>
  <c r="AI17" i="12"/>
  <c r="AJ17" i="12"/>
  <c r="C3" i="9"/>
  <c r="E3" i="9"/>
  <c r="G3" i="9"/>
  <c r="H3" i="9"/>
  <c r="I3" i="9"/>
  <c r="J3" i="9"/>
  <c r="M3" i="9"/>
  <c r="N3" i="9"/>
  <c r="O3" i="9"/>
  <c r="Q3" i="9"/>
  <c r="R3" i="9"/>
  <c r="S3" i="9"/>
  <c r="T3" i="9"/>
  <c r="U3" i="9"/>
  <c r="V3" i="9"/>
  <c r="W3" i="9"/>
  <c r="X3" i="9"/>
  <c r="Y3" i="9"/>
  <c r="Z3" i="9"/>
  <c r="AA3" i="9"/>
  <c r="AB3" i="9"/>
  <c r="AC3" i="9"/>
  <c r="AD3" i="9"/>
  <c r="AE3" i="9"/>
  <c r="AF3" i="9"/>
  <c r="AG3" i="9"/>
  <c r="AH3" i="9"/>
  <c r="AI3" i="9"/>
  <c r="AJ3" i="9"/>
  <c r="C3" i="6"/>
  <c r="E3" i="6"/>
  <c r="G3" i="6"/>
  <c r="H3" i="6"/>
  <c r="I3" i="6"/>
  <c r="J3" i="6"/>
  <c r="M3" i="6"/>
  <c r="N3" i="6"/>
  <c r="O3" i="6"/>
  <c r="Q3" i="6"/>
  <c r="R3" i="6"/>
  <c r="S3" i="6"/>
  <c r="T3" i="6"/>
  <c r="U3" i="6"/>
  <c r="V3" i="6"/>
  <c r="W3" i="6"/>
  <c r="X3" i="6"/>
  <c r="Y3" i="6"/>
  <c r="Z3" i="6"/>
  <c r="AA3" i="6"/>
  <c r="AB3" i="6"/>
  <c r="AC3" i="6"/>
  <c r="AD3" i="6"/>
  <c r="AE3" i="6"/>
  <c r="AF3" i="6"/>
  <c r="AG3" i="6"/>
  <c r="AH3" i="6"/>
  <c r="AI3" i="6"/>
  <c r="AJ3" i="6"/>
  <c r="C4" i="2"/>
  <c r="E4" i="2"/>
  <c r="G4" i="2"/>
  <c r="H4" i="2"/>
  <c r="I4" i="2"/>
  <c r="J4" i="2"/>
  <c r="M4" i="2"/>
  <c r="N4" i="2"/>
  <c r="O4" i="2"/>
  <c r="Q4" i="2"/>
  <c r="R4" i="2"/>
  <c r="S4" i="2"/>
  <c r="T4" i="2"/>
  <c r="U4" i="2"/>
  <c r="V4" i="2"/>
  <c r="W4" i="2"/>
  <c r="X4" i="2"/>
  <c r="Y4" i="2"/>
  <c r="Z4" i="2"/>
  <c r="AA4" i="2"/>
  <c r="AB4" i="2"/>
  <c r="AC4" i="2"/>
  <c r="AD4" i="2"/>
  <c r="AE4" i="2"/>
  <c r="AF4" i="2"/>
  <c r="AG4" i="2"/>
  <c r="AH4" i="2"/>
  <c r="AI4" i="2"/>
  <c r="AJ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0" authorId="0" shapeId="0" xr:uid="{AE6E577F-77A8-4C7E-B99E-3191D7BE0350}">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97.9%] - [</t>
        </r>
        <r>
          <rPr>
            <b/>
            <sz val="8.5"/>
            <color indexed="48"/>
            <rFont val="Calibri"/>
            <family val="2"/>
          </rPr>
          <t xml:space="preserve">SOLD </t>
        </r>
        <r>
          <rPr>
            <b/>
            <sz val="8.5"/>
            <color indexed="8"/>
            <rFont val="Calibri"/>
            <family val="2"/>
          </rPr>
          <t>» 184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V3 &amp; S2 &amp; X10 &amp; U11 &amp; O11 &amp; I10 &amp; P130 &amp; N7</t>
        </r>
      </text>
    </comment>
    <comment ref="F53" authorId="0" shapeId="0" xr:uid="{8E773321-12B0-46AB-A577-8F74AE00AA1B}">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46]_x000D_
_x000D_
[</t>
        </r>
        <r>
          <rPr>
            <b/>
            <sz val="8.5"/>
            <color indexed="48"/>
            <rFont val="Calibri"/>
            <family val="2"/>
          </rPr>
          <t>LOWESTAVAIL</t>
        </r>
        <r>
          <rPr>
            <b/>
            <sz val="8.5"/>
            <color indexed="8"/>
            <rFont val="Calibri"/>
            <family val="2"/>
          </rPr>
          <t xml:space="preserve"> » V2]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E45 &amp; P131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5EE1FB0C-02E0-4E32-A95A-49A4893E2AB7}">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97.9%] - [</t>
        </r>
        <r>
          <rPr>
            <b/>
            <sz val="8.5"/>
            <color indexed="48"/>
            <rFont val="Calibri"/>
            <family val="2"/>
          </rPr>
          <t xml:space="preserve">SOLD </t>
        </r>
        <r>
          <rPr>
            <b/>
            <sz val="8.5"/>
            <color indexed="8"/>
            <rFont val="Calibri"/>
            <family val="2"/>
          </rPr>
          <t>» 184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V3 &amp; S2 &amp; X10 &amp; U11 &amp; O11 &amp; I10 &amp; P130 &amp; N7</t>
        </r>
      </text>
    </comment>
    <comment ref="F19" authorId="0" shapeId="0" xr:uid="{53D2E34D-7304-4F5B-967E-A2180333B30D}">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46]_x000D_
_x000D_
[</t>
        </r>
        <r>
          <rPr>
            <b/>
            <sz val="8.5"/>
            <color indexed="48"/>
            <rFont val="Calibri"/>
            <family val="2"/>
          </rPr>
          <t>LOWESTAVAIL</t>
        </r>
        <r>
          <rPr>
            <b/>
            <sz val="8.5"/>
            <color indexed="8"/>
            <rFont val="Calibri"/>
            <family val="2"/>
          </rPr>
          <t xml:space="preserve"> » V2]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E45 &amp; P131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9008CA51-100F-4D62-B9EF-AC212739D04B}">
      <text>
        <r>
          <rPr>
            <b/>
            <sz val="8.5"/>
            <color indexed="8"/>
            <rFont val="Calibri"/>
            <family val="2"/>
          </rPr>
          <t xml:space="preserve">-{ </t>
        </r>
        <r>
          <rPr>
            <b/>
            <sz val="10"/>
            <color indexed="10"/>
            <rFont val="Calibri"/>
            <family val="2"/>
          </rPr>
          <t>SM485</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Q3 &amp; L3 &amp; S17 &amp; X2 &amp; O7 &amp; I10 &amp; E45 &amp; P90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4" authorId="0" shapeId="0" xr:uid="{C85884B2-90ED-4176-BD84-719D6FD22F25}">
      <text>
        <r>
          <rPr>
            <b/>
            <sz val="8.5"/>
            <color indexed="8"/>
            <rFont val="Calibri"/>
            <family val="2"/>
          </rPr>
          <t xml:space="preserve">-{ </t>
        </r>
        <r>
          <rPr>
            <b/>
            <sz val="10"/>
            <color indexed="10"/>
            <rFont val="Calibri"/>
            <family val="2"/>
          </rPr>
          <t>SM487</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S7 &amp; W1 &amp; T6 &amp; X15 &amp; U12 &amp; O9 &amp; I9 &amp; P105</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5" authorId="0" shapeId="0" xr:uid="{84B98DBA-EEED-4FB1-9425-B5150F242B45}">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S6 &amp; W12 &amp; T11 &amp; X11 &amp; U12 &amp; O11 &amp; I31 &amp; E34 &amp; P40</t>
        </r>
      </text>
    </comment>
    <comment ref="F26" authorId="0" shapeId="0" xr:uid="{A5026A5A-2B2B-426D-A904-AE0A30023A90}">
      <text>
        <r>
          <rPr>
            <b/>
            <sz val="8.5"/>
            <color indexed="8"/>
            <rFont val="Calibri"/>
            <family val="2"/>
          </rPr>
          <t xml:space="preserve">-{ </t>
        </r>
        <r>
          <rPr>
            <b/>
            <sz val="10"/>
            <color indexed="10"/>
            <rFont val="Calibri"/>
            <family val="2"/>
          </rPr>
          <t>SM431</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S4 &amp; W10 &amp; T10 &amp; X10 &amp; U10 &amp; O15 &amp; I10 &amp; P92 &amp; N2</t>
        </r>
      </text>
    </comment>
    <comment ref="F27" authorId="0" shapeId="0" xr:uid="{DE36C516-68BB-48F4-A686-937AB08712C4}">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S8 &amp; W12 &amp; T11 &amp; X11 &amp; U12 &amp; O11 &amp; I40 &amp; P46</t>
        </r>
      </text>
    </comment>
    <comment ref="F32" authorId="0" shapeId="0" xr:uid="{8A16C1B9-CB7B-4AC9-B5A7-121E629C7DF6}">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82.2%] - [</t>
        </r>
        <r>
          <rPr>
            <b/>
            <sz val="8.5"/>
            <color indexed="48"/>
            <rFont val="Calibri"/>
            <family val="2"/>
          </rPr>
          <t xml:space="preserve">SOLD </t>
        </r>
        <r>
          <rPr>
            <b/>
            <sz val="8.5"/>
            <color indexed="8"/>
            <rFont val="Calibri"/>
            <family val="2"/>
          </rPr>
          <t>» 148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S12 &amp; W11 &amp; T11 &amp; X11 &amp; U12 &amp; O11 &amp; I50 &amp; E29 &amp; N1</t>
        </r>
      </text>
    </comment>
    <comment ref="F61" authorId="0" shapeId="0" xr:uid="{AA35175D-14C7-4A1F-9EED-6F4218045152}">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182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_x000D_
{</t>
        </r>
        <r>
          <rPr>
            <b/>
            <sz val="8.5"/>
            <color indexed="10"/>
            <rFont val="Calibri"/>
            <family val="2"/>
          </rPr>
          <t>CLASSES</t>
        </r>
        <r>
          <rPr>
            <b/>
            <sz val="8.5"/>
            <color indexed="8"/>
            <rFont val="Calibri"/>
            <family val="2"/>
          </rPr>
          <t>}_x000D_
_x000D_
S11 &amp; X2 &amp; O4 &amp; I17 &amp; P142 &amp; N6</t>
        </r>
      </text>
    </comment>
    <comment ref="F62" authorId="0" shapeId="0" xr:uid="{BD525F91-5E28-4A78-B4B7-7D285087C5CC}">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S7 &amp; T4 &amp; X9 &amp; U10 &amp; O5 &amp; I5 &amp; P137</t>
        </r>
      </text>
    </comment>
    <comment ref="F65" authorId="0" shapeId="0" xr:uid="{9FE914BB-B09F-40B8-8506-B5D0B6E424AD}">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81.7%]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120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65]_x000D_
_x000D_
[</t>
        </r>
        <r>
          <rPr>
            <b/>
            <sz val="8.5"/>
            <color indexed="48"/>
            <rFont val="Calibri"/>
            <family val="2"/>
          </rPr>
          <t>LOWESTAVAIL</t>
        </r>
        <r>
          <rPr>
            <b/>
            <sz val="8.5"/>
            <color indexed="8"/>
            <rFont val="Calibri"/>
            <family val="2"/>
          </rPr>
          <t xml:space="preserve"> » W5]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W10 &amp; T25 &amp; X33 &amp; U12 &amp; O15 &amp; I10 &amp; P41</t>
        </r>
      </text>
    </comment>
    <comment ref="F66" authorId="0" shapeId="0" xr:uid="{90E6AEA7-6C42-4B53-B04E-B96B1A6881CB}">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62.8%]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59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W9 &amp; T31 &amp; X10 &amp; U12 &amp; O17 &amp; I29</t>
        </r>
      </text>
    </comment>
    <comment ref="F67" authorId="0" shapeId="0" xr:uid="{B085D955-1B95-4750-B345-96676F7F921E}">
      <text>
        <r>
          <rPr>
            <b/>
            <sz val="8.5"/>
            <color indexed="8"/>
            <rFont val="Calibri"/>
            <family val="2"/>
          </rPr>
          <t xml:space="preserve">-{ </t>
        </r>
        <r>
          <rPr>
            <b/>
            <sz val="10"/>
            <color indexed="10"/>
            <rFont val="Calibri"/>
            <family val="2"/>
          </rPr>
          <t>SM471</t>
        </r>
        <r>
          <rPr>
            <b/>
            <sz val="8.5"/>
            <color indexed="8"/>
            <rFont val="Calibri"/>
            <family val="2"/>
          </rPr>
          <t xml:space="preserve"> }-_x000D_
_x000D_
[</t>
        </r>
        <r>
          <rPr>
            <b/>
            <sz val="8.5"/>
            <color indexed="48"/>
            <rFont val="Calibri"/>
            <family val="2"/>
          </rPr>
          <t xml:space="preserve">LF </t>
        </r>
        <r>
          <rPr>
            <b/>
            <sz val="8.5"/>
            <color indexed="8"/>
            <rFont val="Calibri"/>
            <family val="2"/>
          </rPr>
          <t>» 60.6%]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T12 &amp; X26 &amp; U11 &amp; O20 &amp; I30</t>
        </r>
      </text>
    </comment>
    <comment ref="F68" authorId="0" shapeId="0" xr:uid="{21FE746C-C31D-4200-BBB4-641CD2A1A0B4}">
      <text>
        <r>
          <rPr>
            <b/>
            <sz val="8.5"/>
            <color indexed="8"/>
            <rFont val="Calibri"/>
            <family val="2"/>
          </rPr>
          <t xml:space="preserve">-{ </t>
        </r>
        <r>
          <rPr>
            <b/>
            <sz val="10"/>
            <color indexed="10"/>
            <rFont val="Calibri"/>
            <family val="2"/>
          </rPr>
          <t>SM459</t>
        </r>
        <r>
          <rPr>
            <b/>
            <sz val="8.5"/>
            <color indexed="8"/>
            <rFont val="Calibri"/>
            <family val="2"/>
          </rPr>
          <t xml:space="preserve"> }-_x000D_
_x000D_
[</t>
        </r>
        <r>
          <rPr>
            <b/>
            <sz val="8.5"/>
            <color indexed="48"/>
            <rFont val="Calibri"/>
            <family val="2"/>
          </rPr>
          <t xml:space="preserve">LF </t>
        </r>
        <r>
          <rPr>
            <b/>
            <sz val="8.5"/>
            <color indexed="8"/>
            <rFont val="Calibri"/>
            <family val="2"/>
          </rPr>
          <t>» 78.0%] - [</t>
        </r>
        <r>
          <rPr>
            <b/>
            <sz val="8.5"/>
            <color indexed="48"/>
            <rFont val="Calibri"/>
            <family val="2"/>
          </rPr>
          <t xml:space="preserve">SOLD </t>
        </r>
        <r>
          <rPr>
            <b/>
            <sz val="8.5"/>
            <color indexed="8"/>
            <rFont val="Calibri"/>
            <family val="2"/>
          </rPr>
          <t>» 138 PAX]_x000D_
_x000D_
[</t>
        </r>
        <r>
          <rPr>
            <b/>
            <sz val="8.5"/>
            <color indexed="21"/>
            <rFont val="Calibri"/>
            <family val="2"/>
          </rPr>
          <t xml:space="preserve">WEEKLY </t>
        </r>
        <r>
          <rPr>
            <b/>
            <sz val="8.5"/>
            <color indexed="8"/>
            <rFont val="Calibri"/>
            <family val="2"/>
          </rPr>
          <t>» 88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26]_x000D_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W14 &amp; T25 &amp; X37 &amp; U12 &amp; O17 &amp; I33</t>
        </r>
      </text>
    </comment>
    <comment ref="F69" authorId="0" shapeId="0" xr:uid="{D29AAAC7-551C-4077-8E48-3D6CA382AA84}">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65.6%]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43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W10 &amp; T10 &amp; X10 &amp; U10 &amp; O10 &amp; I15 &amp; P50</t>
        </r>
      </text>
    </comment>
    <comment ref="F97" authorId="0" shapeId="0" xr:uid="{0D5F7D2A-647B-4077-88EB-A82D75DC0B24}">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W8 &amp; T11 &amp; X11 &amp; U12 &amp; O11 &amp; I25 &amp; P94 &amp; N2</t>
        </r>
      </text>
    </comment>
    <comment ref="F103" authorId="0" shapeId="0" xr:uid="{33DC5249-5DA0-463C-8C22-36A78F34BBE0}">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86.1%]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105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W4]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W8 &amp; T34 &amp; X11 &amp; U11 &amp; O11 &amp; I33 &amp; P45 &amp; N1</t>
        </r>
      </text>
    </comment>
    <comment ref="F148" authorId="0" shapeId="0" xr:uid="{63E0EB3C-3A5B-4715-8101-80FF659B46D7}">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100.0%] - [</t>
        </r>
        <r>
          <rPr>
            <b/>
            <sz val="8.5"/>
            <color indexed="48"/>
            <rFont val="Calibri"/>
            <family val="2"/>
          </rPr>
          <t xml:space="preserve">SOLD </t>
        </r>
        <r>
          <rPr>
            <b/>
            <sz val="8.5"/>
            <color indexed="8"/>
            <rFont val="Calibri"/>
            <family val="2"/>
          </rPr>
          <t>» 180 PAX]_x000D_
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T8 &amp; X12 &amp; U12 &amp; O12 &amp; I22 &amp; E49 &amp; P64</t>
        </r>
      </text>
    </comment>
    <comment ref="F149" authorId="0" shapeId="0" xr:uid="{15E5D739-1748-4D6A-B6D8-095BD25A9CC2}">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G1 &amp; S1 &amp; X9 &amp; U12 &amp; O15 &amp; I15 &amp; P125 &amp; N1</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025AEBAC-EA12-42B3-8C8B-1C79E05357FE}">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S6 &amp; W12 &amp; T11 &amp; X11 &amp; U12 &amp; O11 &amp; I31 &amp; E34 &amp; P40</t>
        </r>
      </text>
    </comment>
    <comment ref="F3" authorId="0" shapeId="0" xr:uid="{AB0870A4-B75D-4C8A-9BF8-56EF38E2FF87}">
      <text>
        <r>
          <rPr>
            <b/>
            <sz val="8.5"/>
            <color indexed="8"/>
            <rFont val="Calibri"/>
            <family val="2"/>
          </rPr>
          <t xml:space="preserve">-{ </t>
        </r>
        <r>
          <rPr>
            <b/>
            <sz val="10"/>
            <color indexed="10"/>
            <rFont val="Calibri"/>
            <family val="2"/>
          </rPr>
          <t>SM431</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S4 &amp; W10 &amp; T10 &amp; X10 &amp; U10 &amp; O15 &amp; I10 &amp; P92 &amp; N2</t>
        </r>
      </text>
    </comment>
    <comment ref="F4" authorId="0" shapeId="0" xr:uid="{BBF37E50-4C7D-4405-8F67-7B83079C35E6}">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S8 &amp; W12 &amp; T11 &amp; X11 &amp; U12 &amp; O11 &amp; I40 &amp; P46</t>
        </r>
      </text>
    </comment>
    <comment ref="F5" authorId="0" shapeId="0" xr:uid="{1C0FFF71-F7E6-489B-84DC-7FFED41E424D}">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82.2%] - [</t>
        </r>
        <r>
          <rPr>
            <b/>
            <sz val="8.5"/>
            <color indexed="48"/>
            <rFont val="Calibri"/>
            <family val="2"/>
          </rPr>
          <t xml:space="preserve">SOLD </t>
        </r>
        <r>
          <rPr>
            <b/>
            <sz val="8.5"/>
            <color indexed="8"/>
            <rFont val="Calibri"/>
            <family val="2"/>
          </rPr>
          <t>» 148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S12 &amp; W11 &amp; T11 &amp; X11 &amp; U12 &amp; O11 &amp; I50 &amp; E29 &amp; N1</t>
        </r>
      </text>
    </comment>
    <comment ref="F7" authorId="0" shapeId="0" xr:uid="{3442A1F1-9632-4CEF-A20A-C0CDA1787585}">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182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_x000D_
{</t>
        </r>
        <r>
          <rPr>
            <b/>
            <sz val="8.5"/>
            <color indexed="10"/>
            <rFont val="Calibri"/>
            <family val="2"/>
          </rPr>
          <t>CLASSES</t>
        </r>
        <r>
          <rPr>
            <b/>
            <sz val="8.5"/>
            <color indexed="8"/>
            <rFont val="Calibri"/>
            <family val="2"/>
          </rPr>
          <t>}_x000D_
_x000D_
S11 &amp; X2 &amp; O4 &amp; I17 &amp; P142 &amp; N6</t>
        </r>
      </text>
    </comment>
    <comment ref="F8" authorId="0" shapeId="0" xr:uid="{C1478402-5142-4076-BE4D-29CCDBBE586C}">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S7 &amp; T4 &amp; X9 &amp; U10 &amp; O5 &amp; I5 &amp; P137</t>
        </r>
      </text>
    </comment>
    <comment ref="F9" authorId="0" shapeId="0" xr:uid="{B05FE868-BA52-4B81-9708-4D708923E7A5}">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81.7%]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120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65]_x000D_
_x000D_
[</t>
        </r>
        <r>
          <rPr>
            <b/>
            <sz val="8.5"/>
            <color indexed="48"/>
            <rFont val="Calibri"/>
            <family val="2"/>
          </rPr>
          <t>LOWESTAVAIL</t>
        </r>
        <r>
          <rPr>
            <b/>
            <sz val="8.5"/>
            <color indexed="8"/>
            <rFont val="Calibri"/>
            <family val="2"/>
          </rPr>
          <t xml:space="preserve"> » W5]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W10 &amp; T25 &amp; X33 &amp; U12 &amp; O15 &amp; I10 &amp; P41</t>
        </r>
      </text>
    </comment>
    <comment ref="F10" authorId="0" shapeId="0" xr:uid="{F448ED0D-9B46-4BF6-ABDB-56D459EB587F}">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62.8%]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59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W9 &amp; T31 &amp; X10 &amp; U12 &amp; O17 &amp; I29</t>
        </r>
      </text>
    </comment>
    <comment ref="F11" authorId="0" shapeId="0" xr:uid="{B1D83BB7-13D2-4CA0-882A-72C8FD33E513}">
      <text>
        <r>
          <rPr>
            <b/>
            <sz val="8.5"/>
            <color indexed="8"/>
            <rFont val="Calibri"/>
            <family val="2"/>
          </rPr>
          <t xml:space="preserve">-{ </t>
        </r>
        <r>
          <rPr>
            <b/>
            <sz val="10"/>
            <color indexed="10"/>
            <rFont val="Calibri"/>
            <family val="2"/>
          </rPr>
          <t>SM471</t>
        </r>
        <r>
          <rPr>
            <b/>
            <sz val="8.5"/>
            <color indexed="8"/>
            <rFont val="Calibri"/>
            <family val="2"/>
          </rPr>
          <t xml:space="preserve"> }-_x000D_
_x000D_
[</t>
        </r>
        <r>
          <rPr>
            <b/>
            <sz val="8.5"/>
            <color indexed="48"/>
            <rFont val="Calibri"/>
            <family val="2"/>
          </rPr>
          <t xml:space="preserve">LF </t>
        </r>
        <r>
          <rPr>
            <b/>
            <sz val="8.5"/>
            <color indexed="8"/>
            <rFont val="Calibri"/>
            <family val="2"/>
          </rPr>
          <t>» 60.6%]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T12 &amp; X26 &amp; U11 &amp; O20 &amp; I30</t>
        </r>
      </text>
    </comment>
    <comment ref="F12" authorId="0" shapeId="0" xr:uid="{1F15D047-C4FE-4F25-8F2A-A087566DE8A4}">
      <text>
        <r>
          <rPr>
            <b/>
            <sz val="8.5"/>
            <color indexed="8"/>
            <rFont val="Calibri"/>
            <family val="2"/>
          </rPr>
          <t xml:space="preserve">-{ </t>
        </r>
        <r>
          <rPr>
            <b/>
            <sz val="10"/>
            <color indexed="10"/>
            <rFont val="Calibri"/>
            <family val="2"/>
          </rPr>
          <t>SM459</t>
        </r>
        <r>
          <rPr>
            <b/>
            <sz val="8.5"/>
            <color indexed="8"/>
            <rFont val="Calibri"/>
            <family val="2"/>
          </rPr>
          <t xml:space="preserve"> }-_x000D_
_x000D_
[</t>
        </r>
        <r>
          <rPr>
            <b/>
            <sz val="8.5"/>
            <color indexed="48"/>
            <rFont val="Calibri"/>
            <family val="2"/>
          </rPr>
          <t xml:space="preserve">LF </t>
        </r>
        <r>
          <rPr>
            <b/>
            <sz val="8.5"/>
            <color indexed="8"/>
            <rFont val="Calibri"/>
            <family val="2"/>
          </rPr>
          <t>» 78.0%] - [</t>
        </r>
        <r>
          <rPr>
            <b/>
            <sz val="8.5"/>
            <color indexed="48"/>
            <rFont val="Calibri"/>
            <family val="2"/>
          </rPr>
          <t xml:space="preserve">SOLD </t>
        </r>
        <r>
          <rPr>
            <b/>
            <sz val="8.5"/>
            <color indexed="8"/>
            <rFont val="Calibri"/>
            <family val="2"/>
          </rPr>
          <t>» 138 PAX]_x000D_
_x000D_
[</t>
        </r>
        <r>
          <rPr>
            <b/>
            <sz val="8.5"/>
            <color indexed="21"/>
            <rFont val="Calibri"/>
            <family val="2"/>
          </rPr>
          <t xml:space="preserve">WEEKLY </t>
        </r>
        <r>
          <rPr>
            <b/>
            <sz val="8.5"/>
            <color indexed="8"/>
            <rFont val="Calibri"/>
            <family val="2"/>
          </rPr>
          <t>» 88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26]_x000D_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W14 &amp; T25 &amp; X37 &amp; U12 &amp; O17 &amp; I33</t>
        </r>
      </text>
    </comment>
    <comment ref="F13" authorId="0" shapeId="0" xr:uid="{59901456-3032-4416-A5DC-666DBBCA9AC9}">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65.6%]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43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W10 &amp; T10 &amp; X10 &amp; U10 &amp; O10 &amp; I15 &amp; P50</t>
        </r>
      </text>
    </comment>
    <comment ref="F14" authorId="0" shapeId="0" xr:uid="{F03BAFD4-5B1F-42CB-9D24-EE68EF4D6655}">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W8 &amp; T11 &amp; X11 &amp; U12 &amp; O11 &amp; I25 &amp; P94 &amp; N2</t>
        </r>
      </text>
    </comment>
    <comment ref="F19" authorId="0" shapeId="0" xr:uid="{D8566A7D-D3E5-413C-B41C-A3E59E9AA612}">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86.1%]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105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W4]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W8 &amp; T34 &amp; X11 &amp; U11 &amp; O11 &amp; I33 &amp; P45 &amp; N1</t>
        </r>
      </text>
    </comment>
    <comment ref="F21" authorId="0" shapeId="0" xr:uid="{4E696698-8D23-44AB-8914-7EA4BCD18106}">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100.0%] - [</t>
        </r>
        <r>
          <rPr>
            <b/>
            <sz val="8.5"/>
            <color indexed="48"/>
            <rFont val="Calibri"/>
            <family val="2"/>
          </rPr>
          <t xml:space="preserve">SOLD </t>
        </r>
        <r>
          <rPr>
            <b/>
            <sz val="8.5"/>
            <color indexed="8"/>
            <rFont val="Calibri"/>
            <family val="2"/>
          </rPr>
          <t>» 180 PAX]_x000D_
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T8 &amp; X12 &amp; U12 &amp; O12 &amp; I22 &amp; E49 &amp; P64</t>
        </r>
      </text>
    </comment>
    <comment ref="F22" authorId="0" shapeId="0" xr:uid="{5031507A-AFAF-4509-B173-E82871B2F243}">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G1 &amp; S1 &amp; X9 &amp; U12 &amp; O15 &amp; I15 &amp; P125 &amp; N1</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7" authorId="0" shapeId="0" xr:uid="{1DB2E5B8-ABA9-4720-B565-15E49AC2C32D}">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100.0%] - [</t>
        </r>
        <r>
          <rPr>
            <b/>
            <sz val="8.5"/>
            <color indexed="48"/>
            <rFont val="Calibri"/>
            <family val="2"/>
          </rPr>
          <t xml:space="preserve">SOLD </t>
        </r>
        <r>
          <rPr>
            <b/>
            <sz val="8.5"/>
            <color indexed="8"/>
            <rFont val="Calibri"/>
            <family val="2"/>
          </rPr>
          <t>» 180 PAX]_x000D_
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T12 &amp; X13 &amp; U3 &amp; O2 &amp; I17 &amp; P130</t>
        </r>
      </text>
    </comment>
    <comment ref="F21" authorId="0" shapeId="0" xr:uid="{961DF7F6-44D3-42CF-A668-F7ABCE2A22C8}">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75.0%] - [</t>
        </r>
        <r>
          <rPr>
            <b/>
            <sz val="8.5"/>
            <color indexed="48"/>
            <rFont val="Calibri"/>
            <family val="2"/>
          </rPr>
          <t xml:space="preserve">SOLD </t>
        </r>
        <r>
          <rPr>
            <b/>
            <sz val="8.5"/>
            <color indexed="8"/>
            <rFont val="Calibri"/>
            <family val="2"/>
          </rPr>
          <t>» 135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L2 &amp; G1 &amp; S18 &amp; W18 &amp; T9 &amp; X27 &amp; U5 &amp; O5 &amp; I5 &amp; P45</t>
        </r>
      </text>
    </comment>
    <comment ref="F39" authorId="0" shapeId="0" xr:uid="{108EE0C5-EA36-4B14-B32D-85865126FB50}">
      <text>
        <r>
          <rPr>
            <b/>
            <sz val="8.5"/>
            <color indexed="8"/>
            <rFont val="Calibri"/>
            <family val="2"/>
          </rPr>
          <t xml:space="preserve">-{ </t>
        </r>
        <r>
          <rPr>
            <b/>
            <sz val="10"/>
            <color indexed="10"/>
            <rFont val="Calibri"/>
            <family val="2"/>
          </rPr>
          <t>SM457</t>
        </r>
        <r>
          <rPr>
            <b/>
            <sz val="8.5"/>
            <color indexed="8"/>
            <rFont val="Calibri"/>
            <family val="2"/>
          </rPr>
          <t xml:space="preserve"> }-_x000D_
_x000D_
[</t>
        </r>
        <r>
          <rPr>
            <b/>
            <sz val="8.5"/>
            <color indexed="48"/>
            <rFont val="Calibri"/>
            <family val="2"/>
          </rPr>
          <t xml:space="preserve">LF </t>
        </r>
        <r>
          <rPr>
            <b/>
            <sz val="8.5"/>
            <color indexed="8"/>
            <rFont val="Calibri"/>
            <family val="2"/>
          </rPr>
          <t>» 95.6%]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S7 &amp; W3 &amp; T15 &amp; X15 &amp; U5 &amp; P127</t>
        </r>
      </text>
    </comment>
    <comment ref="F40" authorId="0" shapeId="0" xr:uid="{B57CE413-5B4D-4DD4-A5D3-C60B6D157EB9}">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87.8%] - [</t>
        </r>
        <r>
          <rPr>
            <b/>
            <sz val="8.5"/>
            <color indexed="48"/>
            <rFont val="Calibri"/>
            <family val="2"/>
          </rPr>
          <t xml:space="preserve">SOLD </t>
        </r>
        <r>
          <rPr>
            <b/>
            <sz val="8.5"/>
            <color indexed="8"/>
            <rFont val="Calibri"/>
            <family val="2"/>
          </rPr>
          <t>» 158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W5]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S8 &amp; W10 &amp; T15 &amp; X15 &amp; U10 &amp; O10 &amp; P90</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81F503C4-A46B-45D4-81A7-D98D06A1DA55}">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82.2%] - [</t>
        </r>
        <r>
          <rPr>
            <b/>
            <sz val="8.5"/>
            <color indexed="48"/>
            <rFont val="Calibri"/>
            <family val="2"/>
          </rPr>
          <t xml:space="preserve">SOLD </t>
        </r>
        <r>
          <rPr>
            <b/>
            <sz val="8.5"/>
            <color indexed="8"/>
            <rFont val="Calibri"/>
            <family val="2"/>
          </rPr>
          <t>» 148 PAX]_x000D_
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S7]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S23 &amp; W30 &amp; P95</t>
        </r>
      </text>
    </comment>
    <comment ref="F3" authorId="0" shapeId="0" xr:uid="{3FABDED0-F90C-4F47-B92B-D61DB8CF9078}">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92.8%]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S9 &amp; W24 &amp; X1 &amp; E47 &amp; P86</t>
        </r>
      </text>
    </comment>
    <comment ref="F16" authorId="0" shapeId="0" xr:uid="{8AB93FE3-6CB8-4063-9C62-EC46BC0A2D27}">
      <text>
        <r>
          <rPr>
            <b/>
            <sz val="8.5"/>
            <color indexed="8"/>
            <rFont val="Calibri"/>
            <family val="2"/>
          </rPr>
          <t xml:space="preserve">-{ </t>
        </r>
        <r>
          <rPr>
            <b/>
            <sz val="10"/>
            <color indexed="10"/>
            <rFont val="Calibri"/>
            <family val="2"/>
          </rPr>
          <t>SM491</t>
        </r>
        <r>
          <rPr>
            <b/>
            <sz val="8.5"/>
            <color indexed="8"/>
            <rFont val="Calibri"/>
            <family val="2"/>
          </rPr>
          <t xml:space="preserve"> }-_x000D_
_x000D_
[</t>
        </r>
        <r>
          <rPr>
            <b/>
            <sz val="8.5"/>
            <color indexed="48"/>
            <rFont val="Calibri"/>
            <family val="2"/>
          </rPr>
          <t xml:space="preserve">LF </t>
        </r>
        <r>
          <rPr>
            <b/>
            <sz val="8.5"/>
            <color indexed="8"/>
            <rFont val="Calibri"/>
            <family val="2"/>
          </rPr>
          <t>» 72.8%] - [</t>
        </r>
        <r>
          <rPr>
            <b/>
            <sz val="8.5"/>
            <color indexed="48"/>
            <rFont val="Calibri"/>
            <family val="2"/>
          </rPr>
          <t xml:space="preserve">SOLD </t>
        </r>
        <r>
          <rPr>
            <b/>
            <sz val="8.5"/>
            <color indexed="8"/>
            <rFont val="Calibri"/>
            <family val="2"/>
          </rPr>
          <t>» 131 PAX]_x000D_
_x000D_
[</t>
        </r>
        <r>
          <rPr>
            <b/>
            <sz val="8.5"/>
            <color indexed="21"/>
            <rFont val="Calibri"/>
            <family val="2"/>
          </rPr>
          <t xml:space="preserve">WEEKLY </t>
        </r>
        <r>
          <rPr>
            <b/>
            <sz val="8.5"/>
            <color indexed="8"/>
            <rFont val="Calibri"/>
            <family val="2"/>
          </rPr>
          <t>» 102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S18 &amp; W18 &amp; T18 &amp; X18 &amp; U18 &amp; O18 &amp; I18</t>
        </r>
      </text>
    </comment>
    <comment ref="F28" authorId="0" shapeId="0" xr:uid="{C14726C1-98CA-4714-9F76-6B8A32EDA7DF}">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87.8%] - [</t>
        </r>
        <r>
          <rPr>
            <b/>
            <sz val="8.5"/>
            <color indexed="48"/>
            <rFont val="Calibri"/>
            <family val="2"/>
          </rPr>
          <t xml:space="preserve">SOLD </t>
        </r>
        <r>
          <rPr>
            <b/>
            <sz val="8.5"/>
            <color indexed="8"/>
            <rFont val="Calibri"/>
            <family val="2"/>
          </rPr>
          <t>» 158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W12 &amp; T10 &amp; X10 &amp; U24 &amp; O5 &amp; I5 &amp; P90</t>
        </r>
      </text>
    </comment>
    <comment ref="F29" authorId="0" shapeId="0" xr:uid="{2A97BCE3-2925-41C8-AD5D-8A543EACE648}">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Y1 &amp; S5 &amp; W12 &amp; T11 &amp; X17 &amp; U31 &amp; I2 &amp; P100</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7" authorId="0" shapeId="0" xr:uid="{BE228449-4717-45CE-B611-4ED6BC8BCA08}">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57.5%]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T3 &amp; X31 &amp; U20 &amp; O15 &amp; I34</t>
        </r>
      </text>
    </comment>
    <comment ref="F72" authorId="0" shapeId="0" xr:uid="{E91F7158-B849-48F6-8323-4BBAE911434C}">
      <text>
        <r>
          <rPr>
            <b/>
            <sz val="8.5"/>
            <color indexed="8"/>
            <rFont val="Calibri"/>
            <family val="2"/>
          </rPr>
          <t xml:space="preserve">-{ </t>
        </r>
        <r>
          <rPr>
            <b/>
            <sz val="10"/>
            <color indexed="10"/>
            <rFont val="Calibri"/>
            <family val="2"/>
          </rPr>
          <t>SM469</t>
        </r>
        <r>
          <rPr>
            <b/>
            <sz val="8.5"/>
            <color indexed="8"/>
            <rFont val="Calibri"/>
            <family val="2"/>
          </rPr>
          <t xml:space="preserve"> }-_x000D_
_x000D_
[</t>
        </r>
        <r>
          <rPr>
            <b/>
            <sz val="8.5"/>
            <color indexed="48"/>
            <rFont val="Calibri"/>
            <family val="2"/>
          </rPr>
          <t xml:space="preserve">LF </t>
        </r>
        <r>
          <rPr>
            <b/>
            <sz val="8.5"/>
            <color indexed="8"/>
            <rFont val="Calibri"/>
            <family val="2"/>
          </rPr>
          <t>» 44.1%] - [</t>
        </r>
        <r>
          <rPr>
            <b/>
            <sz val="8.5"/>
            <color indexed="48"/>
            <rFont val="Calibri"/>
            <family val="2"/>
          </rPr>
          <t xml:space="preserve">SOLD </t>
        </r>
        <r>
          <rPr>
            <b/>
            <sz val="8.5"/>
            <color indexed="8"/>
            <rFont val="Calibri"/>
            <family val="2"/>
          </rPr>
          <t>» 79 PAX]_x000D_
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W4 &amp; T15 &amp; X10 &amp; U14 &amp; O10 &amp; I26</t>
        </r>
      </text>
    </comment>
    <comment ref="F73" authorId="0" shapeId="0" xr:uid="{66779336-E12A-44F8-B7DE-78DFCADCC66F}">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51.4%] - [</t>
        </r>
        <r>
          <rPr>
            <b/>
            <sz val="8.5"/>
            <color indexed="48"/>
            <rFont val="Calibri"/>
            <family val="2"/>
          </rPr>
          <t xml:space="preserve">SOLD </t>
        </r>
        <r>
          <rPr>
            <b/>
            <sz val="8.5"/>
            <color indexed="8"/>
            <rFont val="Calibri"/>
            <family val="2"/>
          </rPr>
          <t>» 92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W4 &amp; T11 &amp; X20 &amp; U10 &amp; O17 &amp; I28</t>
        </r>
      </text>
    </comment>
    <comment ref="F110" authorId="0" shapeId="0" xr:uid="{D1F483C9-F5CB-417D-9C82-A3CF42DB8E32}">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59.2%] - [</t>
        </r>
        <r>
          <rPr>
            <b/>
            <sz val="8.5"/>
            <color indexed="48"/>
            <rFont val="Calibri"/>
            <family val="2"/>
          </rPr>
          <t xml:space="preserve">SOLD </t>
        </r>
        <r>
          <rPr>
            <b/>
            <sz val="8.5"/>
            <color indexed="8"/>
            <rFont val="Calibri"/>
            <family val="2"/>
          </rPr>
          <t>» 106 PAX]_x000D_
_x000D_
[</t>
        </r>
        <r>
          <rPr>
            <b/>
            <sz val="8.5"/>
            <color indexed="21"/>
            <rFont val="Calibri"/>
            <family val="2"/>
          </rPr>
          <t xml:space="preserve">WEEKLY </t>
        </r>
        <r>
          <rPr>
            <b/>
            <sz val="8.5"/>
            <color indexed="8"/>
            <rFont val="Calibri"/>
            <family val="2"/>
          </rPr>
          <t>» 59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W6]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S4 &amp; W11 &amp; T19 &amp; X10 &amp; U17 &amp; O10 &amp; I35</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4E800C6F-2F5D-431D-8F4A-E6B3A4873A41}">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57.5%]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U9]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T3 &amp; X31 &amp; U20 &amp; O15 &amp; I34</t>
        </r>
      </text>
    </comment>
    <comment ref="F3" authorId="0" shapeId="0" xr:uid="{30BA222C-4E4B-43B3-B0E7-A0F5826DD791}">
      <text>
        <r>
          <rPr>
            <b/>
            <sz val="8.5"/>
            <color indexed="8"/>
            <rFont val="Calibri"/>
            <family val="2"/>
          </rPr>
          <t xml:space="preserve">-{ </t>
        </r>
        <r>
          <rPr>
            <b/>
            <sz val="10"/>
            <color indexed="10"/>
            <rFont val="Calibri"/>
            <family val="2"/>
          </rPr>
          <t>SM469</t>
        </r>
        <r>
          <rPr>
            <b/>
            <sz val="8.5"/>
            <color indexed="8"/>
            <rFont val="Calibri"/>
            <family val="2"/>
          </rPr>
          <t xml:space="preserve"> }-_x000D_
_x000D_
[</t>
        </r>
        <r>
          <rPr>
            <b/>
            <sz val="8.5"/>
            <color indexed="48"/>
            <rFont val="Calibri"/>
            <family val="2"/>
          </rPr>
          <t xml:space="preserve">LF </t>
        </r>
        <r>
          <rPr>
            <b/>
            <sz val="8.5"/>
            <color indexed="8"/>
            <rFont val="Calibri"/>
            <family val="2"/>
          </rPr>
          <t>» 44.1%] - [</t>
        </r>
        <r>
          <rPr>
            <b/>
            <sz val="8.5"/>
            <color indexed="48"/>
            <rFont val="Calibri"/>
            <family val="2"/>
          </rPr>
          <t xml:space="preserve">SOLD </t>
        </r>
        <r>
          <rPr>
            <b/>
            <sz val="8.5"/>
            <color indexed="8"/>
            <rFont val="Calibri"/>
            <family val="2"/>
          </rPr>
          <t>» 79 PAX]_x000D_
_x000D_
[</t>
        </r>
        <r>
          <rPr>
            <b/>
            <sz val="8.5"/>
            <color indexed="21"/>
            <rFont val="Calibri"/>
            <family val="2"/>
          </rPr>
          <t xml:space="preserve">WEEKLY </t>
        </r>
        <r>
          <rPr>
            <b/>
            <sz val="8.5"/>
            <color indexed="8"/>
            <rFont val="Calibri"/>
            <family val="2"/>
          </rPr>
          <t>» 28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W4 &amp; T15 &amp; X10 &amp; U14 &amp; O10 &amp; I26</t>
        </r>
      </text>
    </comment>
    <comment ref="F4" authorId="0" shapeId="0" xr:uid="{670F2B0E-B697-48DE-84C4-1F0C45314087}">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51.4%] - [</t>
        </r>
        <r>
          <rPr>
            <b/>
            <sz val="8.5"/>
            <color indexed="48"/>
            <rFont val="Calibri"/>
            <family val="2"/>
          </rPr>
          <t xml:space="preserve">SOLD </t>
        </r>
        <r>
          <rPr>
            <b/>
            <sz val="8.5"/>
            <color indexed="8"/>
            <rFont val="Calibri"/>
            <family val="2"/>
          </rPr>
          <t>» 92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W4 &amp; T11 &amp; X20 &amp; U10 &amp; O17 &amp; I28</t>
        </r>
      </text>
    </comment>
    <comment ref="F7" authorId="0" shapeId="0" xr:uid="{B8729ABD-8E1B-4323-9867-B7174A55F420}">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59.2%] - [</t>
        </r>
        <r>
          <rPr>
            <b/>
            <sz val="8.5"/>
            <color indexed="48"/>
            <rFont val="Calibri"/>
            <family val="2"/>
          </rPr>
          <t xml:space="preserve">SOLD </t>
        </r>
        <r>
          <rPr>
            <b/>
            <sz val="8.5"/>
            <color indexed="8"/>
            <rFont val="Calibri"/>
            <family val="2"/>
          </rPr>
          <t>» 106 PAX]_x000D_
_x000D_
[</t>
        </r>
        <r>
          <rPr>
            <b/>
            <sz val="8.5"/>
            <color indexed="21"/>
            <rFont val="Calibri"/>
            <family val="2"/>
          </rPr>
          <t xml:space="preserve">WEEKLY </t>
        </r>
        <r>
          <rPr>
            <b/>
            <sz val="8.5"/>
            <color indexed="8"/>
            <rFont val="Calibri"/>
            <family val="2"/>
          </rPr>
          <t>» 59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W6]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S4 &amp; W11 &amp; T19 &amp; X10 &amp; U17 &amp; O10 &amp; I35</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5" authorId="0" shapeId="0" xr:uid="{25FB38AD-E83F-4916-A543-46B3073A6E5A}">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47.9%] - [</t>
        </r>
        <r>
          <rPr>
            <b/>
            <sz val="8.5"/>
            <color indexed="48"/>
            <rFont val="Calibri"/>
            <family val="2"/>
          </rPr>
          <t xml:space="preserve">SOLD </t>
        </r>
        <r>
          <rPr>
            <b/>
            <sz val="8.5"/>
            <color indexed="8"/>
            <rFont val="Calibri"/>
            <family val="2"/>
          </rPr>
          <t>» 90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L2]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V2 &amp; L8 &amp; G10 &amp; S27 &amp; U36 &amp; O3 &amp; I4</t>
        </r>
      </text>
    </comment>
    <comment ref="F23" authorId="0" shapeId="0" xr:uid="{EEA5D22B-DA14-4485-A031-FA17D8A567A1}">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55.6%] - [</t>
        </r>
        <r>
          <rPr>
            <b/>
            <sz val="8.5"/>
            <color indexed="48"/>
            <rFont val="Calibri"/>
            <family val="2"/>
          </rPr>
          <t xml:space="preserve">SOLD </t>
        </r>
        <r>
          <rPr>
            <b/>
            <sz val="8.5"/>
            <color indexed="8"/>
            <rFont val="Calibri"/>
            <family val="2"/>
          </rPr>
          <t>» 100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5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L9 &amp; G10 &amp; S10 &amp; W10 &amp; T10 &amp; X20 &amp; O25 &amp; I5</t>
        </r>
      </text>
    </comment>
    <comment ref="F28" authorId="0" shapeId="0" xr:uid="{EDDC40FA-C72E-46A0-821A-EA32B6E73292}">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65.6%]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10 PAX]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V9 &amp; L14 &amp; G46 &amp; S3 &amp; W1 &amp; T6 &amp; X8 &amp; U22 &amp; O3 &amp; I6</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E15B5850-BC52-4739-A07A-52A099A5600C}">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47.9%] - [</t>
        </r>
        <r>
          <rPr>
            <b/>
            <sz val="8.5"/>
            <color indexed="48"/>
            <rFont val="Calibri"/>
            <family val="2"/>
          </rPr>
          <t xml:space="preserve">SOLD </t>
        </r>
        <r>
          <rPr>
            <b/>
            <sz val="8.5"/>
            <color indexed="8"/>
            <rFont val="Calibri"/>
            <family val="2"/>
          </rPr>
          <t>» 90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L2]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V2 &amp; L8 &amp; G10 &amp; S27 &amp; U36 &amp; O3 &amp; I4</t>
        </r>
      </text>
    </comment>
    <comment ref="F3" authorId="0" shapeId="0" xr:uid="{D2A4D4C9-3491-433B-8EE7-3345C33F6C45}">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55.6%] - [</t>
        </r>
        <r>
          <rPr>
            <b/>
            <sz val="8.5"/>
            <color indexed="48"/>
            <rFont val="Calibri"/>
            <family val="2"/>
          </rPr>
          <t xml:space="preserve">SOLD </t>
        </r>
        <r>
          <rPr>
            <b/>
            <sz val="8.5"/>
            <color indexed="8"/>
            <rFont val="Calibri"/>
            <family val="2"/>
          </rPr>
          <t>» 100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5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L9 &amp; G10 &amp; S10 &amp; W10 &amp; T10 &amp; X20 &amp; O25 &amp; I5</t>
        </r>
      </text>
    </comment>
    <comment ref="F4" authorId="0" shapeId="0" xr:uid="{2D9C85EC-8CCB-4EB4-8C32-FBC7F9489BAB}">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65.6%]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10 PAX]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V9 &amp; L14 &amp; G46 &amp; S3 &amp; W1 &amp; T6 &amp; X8 &amp; U22 &amp; O3 &amp; I6</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3" authorId="0" shapeId="0" xr:uid="{E78FCF72-A3F1-4846-86B5-A15FAF3AFEEF}">
      <text>
        <r>
          <rPr>
            <b/>
            <sz val="8.5"/>
            <color indexed="8"/>
            <rFont val="Calibri"/>
            <family val="2"/>
          </rPr>
          <t xml:space="preserve">-{ </t>
        </r>
        <r>
          <rPr>
            <b/>
            <sz val="10"/>
            <color indexed="10"/>
            <rFont val="Calibri"/>
            <family val="2"/>
          </rPr>
          <t>SM437</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Y1 &amp; V10 &amp; L11 &amp; G20 &amp; S20 &amp; W31 &amp; T16 &amp; X19 &amp; U30 &amp; O19</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5C6CC746-F83E-40B9-9913-C9EDAC43A2B2}">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35.8%] - [</t>
        </r>
        <r>
          <rPr>
            <b/>
            <sz val="8.5"/>
            <color indexed="48"/>
            <rFont val="Calibri"/>
            <family val="2"/>
          </rPr>
          <t xml:space="preserve">SOLD </t>
        </r>
        <r>
          <rPr>
            <b/>
            <sz val="8.5"/>
            <color indexed="8"/>
            <rFont val="Calibri"/>
            <family val="2"/>
          </rPr>
          <t>» 64 PAX]_x000D_
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U4 &amp; O3 &amp; I55</t>
        </r>
      </text>
    </comment>
    <comment ref="F10" authorId="0" shapeId="0" xr:uid="{1FABC162-F80A-473C-BDC5-A54893A81C0A}">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67.9%] - [</t>
        </r>
        <r>
          <rPr>
            <b/>
            <sz val="8.5"/>
            <color indexed="48"/>
            <rFont val="Calibri"/>
            <family val="2"/>
          </rPr>
          <t xml:space="preserve">SOLD </t>
        </r>
        <r>
          <rPr>
            <b/>
            <sz val="8.5"/>
            <color indexed="8"/>
            <rFont val="Calibri"/>
            <family val="2"/>
          </rPr>
          <t>» 74 PAX]_x000D_
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U4 &amp; O12 &amp; I55</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87BBFA9B-ABE3-4790-86F3-BCC3DD950D26}">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35.8%] - [</t>
        </r>
        <r>
          <rPr>
            <b/>
            <sz val="8.5"/>
            <color indexed="48"/>
            <rFont val="Calibri"/>
            <family val="2"/>
          </rPr>
          <t xml:space="preserve">SOLD </t>
        </r>
        <r>
          <rPr>
            <b/>
            <sz val="8.5"/>
            <color indexed="8"/>
            <rFont val="Calibri"/>
            <family val="2"/>
          </rPr>
          <t>» 64 PAX]_x000D_
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U4 &amp; O3 &amp; I55</t>
        </r>
      </text>
    </comment>
    <comment ref="F9" authorId="0" shapeId="0" xr:uid="{37ED757F-D4E8-43D8-8A32-7A73AA166298}">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67.9%] - [</t>
        </r>
        <r>
          <rPr>
            <b/>
            <sz val="8.5"/>
            <color indexed="48"/>
            <rFont val="Calibri"/>
            <family val="2"/>
          </rPr>
          <t xml:space="preserve">SOLD </t>
        </r>
        <r>
          <rPr>
            <b/>
            <sz val="8.5"/>
            <color indexed="8"/>
            <rFont val="Calibri"/>
            <family val="2"/>
          </rPr>
          <t>» 74 PAX]_x000D_
_x000D_
[</t>
        </r>
        <r>
          <rPr>
            <b/>
            <sz val="8.5"/>
            <color indexed="21"/>
            <rFont val="Calibri"/>
            <family val="2"/>
          </rPr>
          <t xml:space="preserve">WEEKLY </t>
        </r>
        <r>
          <rPr>
            <b/>
            <sz val="8.5"/>
            <color indexed="8"/>
            <rFont val="Calibri"/>
            <family val="2"/>
          </rPr>
          <t>» 41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S3 &amp; U4 &amp; O12 &amp; I55</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6" authorId="0" shapeId="0" xr:uid="{1C1051D8-0DD6-4D44-A084-BD12C71E3048}">
      <text>
        <r>
          <rPr>
            <b/>
            <sz val="8.5"/>
            <color indexed="8"/>
            <rFont val="Calibri"/>
            <family val="2"/>
          </rPr>
          <t xml:space="preserve">-{ </t>
        </r>
        <r>
          <rPr>
            <b/>
            <sz val="10"/>
            <color indexed="10"/>
            <rFont val="Calibri"/>
            <family val="2"/>
          </rPr>
          <t>SM327</t>
        </r>
        <r>
          <rPr>
            <b/>
            <sz val="8.5"/>
            <color indexed="8"/>
            <rFont val="Calibri"/>
            <family val="2"/>
          </rPr>
          <t xml:space="preserve"> }-_x000D_
_x000D_
[</t>
        </r>
        <r>
          <rPr>
            <b/>
            <sz val="8.5"/>
            <color indexed="48"/>
            <rFont val="Calibri"/>
            <family val="2"/>
          </rPr>
          <t xml:space="preserve">LF </t>
        </r>
        <r>
          <rPr>
            <b/>
            <sz val="8.5"/>
            <color indexed="8"/>
            <rFont val="Calibri"/>
            <family val="2"/>
          </rPr>
          <t>» 44.7%] - [</t>
        </r>
        <r>
          <rPr>
            <b/>
            <sz val="8.5"/>
            <color indexed="48"/>
            <rFont val="Calibri"/>
            <family val="2"/>
          </rPr>
          <t xml:space="preserve">SOLD </t>
        </r>
        <r>
          <rPr>
            <b/>
            <sz val="8.5"/>
            <color indexed="8"/>
            <rFont val="Calibri"/>
            <family val="2"/>
          </rPr>
          <t>» 80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5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I80</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61E3125D-1321-49B0-8040-8E2A833C804D}">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29.6%] - [</t>
        </r>
        <r>
          <rPr>
            <b/>
            <sz val="8.5"/>
            <color indexed="48"/>
            <rFont val="Calibri"/>
            <family val="2"/>
          </rPr>
          <t xml:space="preserve">SOLD </t>
        </r>
        <r>
          <rPr>
            <b/>
            <sz val="8.5"/>
            <color indexed="8"/>
            <rFont val="Calibri"/>
            <family val="2"/>
          </rPr>
          <t>» 53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S15 &amp; X23 &amp; U11 &amp; O3 &amp; I1</t>
        </r>
      </text>
    </comment>
    <comment ref="F4" authorId="0" shapeId="0" xr:uid="{2492E3D8-08E6-43C1-85C5-EA773D3D47B1}">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60.3%] - [</t>
        </r>
        <r>
          <rPr>
            <b/>
            <sz val="8.5"/>
            <color indexed="48"/>
            <rFont val="Calibri"/>
            <family val="2"/>
          </rPr>
          <t xml:space="preserve">SOLD </t>
        </r>
        <r>
          <rPr>
            <b/>
            <sz val="8.5"/>
            <color indexed="8"/>
            <rFont val="Calibri"/>
            <family val="2"/>
          </rPr>
          <t>» 108 PAX]_x000D_
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G8 &amp; S76 &amp; X7 &amp; I17</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F62F4DCF-E357-413A-B04C-61C297E433C2}">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29.6%] - [</t>
        </r>
        <r>
          <rPr>
            <b/>
            <sz val="8.5"/>
            <color indexed="48"/>
            <rFont val="Calibri"/>
            <family val="2"/>
          </rPr>
          <t xml:space="preserve">SOLD </t>
        </r>
        <r>
          <rPr>
            <b/>
            <sz val="8.5"/>
            <color indexed="8"/>
            <rFont val="Calibri"/>
            <family val="2"/>
          </rPr>
          <t>» 53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S15 &amp; X23 &amp; U11 &amp; O3 &amp; I1</t>
        </r>
      </text>
    </comment>
    <comment ref="F3" authorId="0" shapeId="0" xr:uid="{2E8387F4-447D-4401-BDC1-3DFE7E32650B}">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60.3%] - [</t>
        </r>
        <r>
          <rPr>
            <b/>
            <sz val="8.5"/>
            <color indexed="48"/>
            <rFont val="Calibri"/>
            <family val="2"/>
          </rPr>
          <t xml:space="preserve">SOLD </t>
        </r>
        <r>
          <rPr>
            <b/>
            <sz val="8.5"/>
            <color indexed="8"/>
            <rFont val="Calibri"/>
            <family val="2"/>
          </rPr>
          <t>» 108 PAX]_x000D_
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G8 &amp; S76 &amp; X7 &amp; I17</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5" authorId="0" shapeId="0" xr:uid="{A1EE7CFC-F798-4089-BE14-F3E3A7900330}">
      <text>
        <r>
          <rPr>
            <b/>
            <sz val="8.5"/>
            <color indexed="8"/>
            <rFont val="Calibri"/>
            <family val="2"/>
          </rPr>
          <t xml:space="preserve">-{ </t>
        </r>
        <r>
          <rPr>
            <b/>
            <sz val="10"/>
            <color indexed="10"/>
            <rFont val="Calibri"/>
            <family val="2"/>
          </rPr>
          <t>SM323</t>
        </r>
        <r>
          <rPr>
            <b/>
            <sz val="8.5"/>
            <color indexed="8"/>
            <rFont val="Calibri"/>
            <family val="2"/>
          </rPr>
          <t xml:space="preserve"> }-_x000D_
_x000D_
[</t>
        </r>
        <r>
          <rPr>
            <b/>
            <sz val="8.5"/>
            <color indexed="48"/>
            <rFont val="Calibri"/>
            <family val="2"/>
          </rPr>
          <t xml:space="preserve">LF </t>
        </r>
        <r>
          <rPr>
            <b/>
            <sz val="8.5"/>
            <color indexed="8"/>
            <rFont val="Calibri"/>
            <family val="2"/>
          </rPr>
          <t>» 52.0%] - [</t>
        </r>
        <r>
          <rPr>
            <b/>
            <sz val="8.5"/>
            <color indexed="48"/>
            <rFont val="Calibri"/>
            <family val="2"/>
          </rPr>
          <t xml:space="preserve">SOLD </t>
        </r>
        <r>
          <rPr>
            <b/>
            <sz val="8.5"/>
            <color indexed="8"/>
            <rFont val="Calibri"/>
            <family val="2"/>
          </rPr>
          <t>» 93 PAX]_x000D_
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U3]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X1 &amp; U11 &amp; O31 &amp; I50</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650B75E8-18DE-436D-96C3-AB36E32FBDC7}">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89.9%] - [</t>
        </r>
        <r>
          <rPr>
            <b/>
            <sz val="8.5"/>
            <color indexed="48"/>
            <rFont val="Calibri"/>
            <family val="2"/>
          </rPr>
          <t xml:space="preserve">SOLD </t>
        </r>
        <r>
          <rPr>
            <b/>
            <sz val="8.5"/>
            <color indexed="8"/>
            <rFont val="Calibri"/>
            <family val="2"/>
          </rPr>
          <t>» 161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G1 &amp; S7 &amp; W35 &amp; T6 &amp; X17 &amp; U4 &amp; P91</t>
        </r>
      </text>
    </comment>
    <comment ref="F4" authorId="0" shapeId="0" xr:uid="{0335FF36-11DE-4ADF-93B3-15421B6C8E3B}">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81.0%] - [</t>
        </r>
        <r>
          <rPr>
            <b/>
            <sz val="8.5"/>
            <color indexed="48"/>
            <rFont val="Calibri"/>
            <family val="2"/>
          </rPr>
          <t xml:space="preserve">SOLD </t>
        </r>
        <r>
          <rPr>
            <b/>
            <sz val="8.5"/>
            <color indexed="8"/>
            <rFont val="Calibri"/>
            <family val="2"/>
          </rPr>
          <t>» 145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 &amp; G14 &amp; S14 &amp; W15 &amp; T20 &amp; X21 &amp; U19 &amp; P41</t>
        </r>
      </text>
    </comment>
    <comment ref="F5" authorId="0" shapeId="0" xr:uid="{BDEA8337-68AD-42DA-9D65-C307C4211523}">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100.0%]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V6 &amp; S3 &amp; W3 &amp; T8 &amp; X12 &amp; P146 &amp; N1</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6258A33D-7318-4A92-B91A-5532CAED8AE6}">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89.9%] - [</t>
        </r>
        <r>
          <rPr>
            <b/>
            <sz val="8.5"/>
            <color indexed="48"/>
            <rFont val="Calibri"/>
            <family val="2"/>
          </rPr>
          <t xml:space="preserve">SOLD </t>
        </r>
        <r>
          <rPr>
            <b/>
            <sz val="8.5"/>
            <color indexed="8"/>
            <rFont val="Calibri"/>
            <family val="2"/>
          </rPr>
          <t>» 161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G1 &amp; S7 &amp; W35 &amp; T6 &amp; X17 &amp; U4 &amp; P91</t>
        </r>
      </text>
    </comment>
    <comment ref="F3" authorId="0" shapeId="0" xr:uid="{0B1221E5-2D1D-43B2-9F7F-73CF9E3FE209}">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81.0%] - [</t>
        </r>
        <r>
          <rPr>
            <b/>
            <sz val="8.5"/>
            <color indexed="48"/>
            <rFont val="Calibri"/>
            <family val="2"/>
          </rPr>
          <t xml:space="preserve">SOLD </t>
        </r>
        <r>
          <rPr>
            <b/>
            <sz val="8.5"/>
            <color indexed="8"/>
            <rFont val="Calibri"/>
            <family val="2"/>
          </rPr>
          <t>» 145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 &amp; G14 &amp; S14 &amp; W15 &amp; T20 &amp; X21 &amp; U19 &amp; P41</t>
        </r>
      </text>
    </comment>
    <comment ref="F4" authorId="0" shapeId="0" xr:uid="{5C325847-7759-4D2F-BD37-572A94B63444}">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100.0%]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V6 &amp; S3 &amp; W3 &amp; T8 &amp; X12 &amp; P146 &amp; N1</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D46EE4E3-F1F1-43B5-BE6D-60808DAAE315}">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B2 &amp; M8 &amp; H18 &amp; Q18 &amp; K18 &amp; V18 &amp; L23 &amp; G12 &amp; S8 &amp; W4 &amp; T16 &amp; X9 &amp; U9 &amp; O7 &amp; I2</t>
        </r>
      </text>
    </comment>
    <comment ref="F5" authorId="0" shapeId="0" xr:uid="{0AD43349-0527-4466-83DE-30F2A15FEF27}">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151 PAX]_x000D_
_x000D_
[</t>
        </r>
        <r>
          <rPr>
            <b/>
            <sz val="8.5"/>
            <color indexed="21"/>
            <rFont val="Calibri"/>
            <family val="2"/>
          </rPr>
          <t xml:space="preserve">WEEKLY </t>
        </r>
        <r>
          <rPr>
            <b/>
            <sz val="8.5"/>
            <color indexed="8"/>
            <rFont val="Calibri"/>
            <family val="2"/>
          </rPr>
          <t>» 55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M1 &amp; H15 &amp; Q15 &amp; K15 &amp; V15 &amp; L24 &amp; G13 &amp; S4 &amp; W2 &amp; T17 &amp; X8 &amp; U6 &amp; O11 &amp; I5</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5B9BEAFA-35B8-45DE-B691-CD6D362DC5A2}">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B2 &amp; M8 &amp; H18 &amp; Q18 &amp; K18 &amp; V18 &amp; L23 &amp; G12 &amp; S8 &amp; W4 &amp; T16 &amp; X9 &amp; U9 &amp; O7 &amp; I2</t>
        </r>
      </text>
    </comment>
    <comment ref="F3" authorId="0" shapeId="0" xr:uid="{7D82ECAE-05A4-45D6-B066-E4AE10D1C773}">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151 PAX]_x000D_
_x000D_
[</t>
        </r>
        <r>
          <rPr>
            <b/>
            <sz val="8.5"/>
            <color indexed="21"/>
            <rFont val="Calibri"/>
            <family val="2"/>
          </rPr>
          <t xml:space="preserve">WEEKLY </t>
        </r>
        <r>
          <rPr>
            <b/>
            <sz val="8.5"/>
            <color indexed="8"/>
            <rFont val="Calibri"/>
            <family val="2"/>
          </rPr>
          <t>» 55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M1 &amp; H15 &amp; Q15 &amp; K15 &amp; V15 &amp; L24 &amp; G13 &amp; S4 &amp; W2 &amp; T17 &amp; X8 &amp; U6 &amp; O11 &amp; I5</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5" authorId="0" shapeId="0" xr:uid="{63DF5BD3-C78C-436D-9C2C-CC11B4814229}">
      <text>
        <r>
          <rPr>
            <b/>
            <sz val="8.5"/>
            <color indexed="8"/>
            <rFont val="Calibri"/>
            <family val="2"/>
          </rPr>
          <t xml:space="preserve">-{ </t>
        </r>
        <r>
          <rPr>
            <b/>
            <sz val="10"/>
            <color indexed="10"/>
            <rFont val="Calibri"/>
            <family val="2"/>
          </rPr>
          <t>SM445</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5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L4 &amp; G18 &amp; S18 &amp; W49 &amp; T13 &amp; X17 &amp; U18 &amp; O28</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CBF89D2E-5890-4371-A6A8-F5323C6F6205}">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S10 &amp; W47 &amp; U1 &amp; O6 &amp; I34</t>
        </r>
      </text>
    </comment>
    <comment ref="F8" authorId="0" shapeId="0" xr:uid="{9067DE1C-DE38-44A3-8334-19FB8FE9B936}">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41.9%] - [</t>
        </r>
        <r>
          <rPr>
            <b/>
            <sz val="8.5"/>
            <color indexed="48"/>
            <rFont val="Calibri"/>
            <family val="2"/>
          </rPr>
          <t xml:space="preserve">SOLD </t>
        </r>
        <r>
          <rPr>
            <b/>
            <sz val="8.5"/>
            <color indexed="8"/>
            <rFont val="Calibri"/>
            <family val="2"/>
          </rPr>
          <t>» 75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G2 &amp; S11 &amp; W40 &amp; O5 &amp; I17</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BF0AA960-579F-4E7B-9EEC-977F91A2F8E5}">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S10 &amp; W47 &amp; U1 &amp; O6 &amp; I34</t>
        </r>
      </text>
    </comment>
    <comment ref="F5" authorId="0" shapeId="0" xr:uid="{A16B0B6A-0976-4B3B-92F3-88F68753E2DF}">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41.9%] - [</t>
        </r>
        <r>
          <rPr>
            <b/>
            <sz val="8.5"/>
            <color indexed="48"/>
            <rFont val="Calibri"/>
            <family val="2"/>
          </rPr>
          <t xml:space="preserve">SOLD </t>
        </r>
        <r>
          <rPr>
            <b/>
            <sz val="8.5"/>
            <color indexed="8"/>
            <rFont val="Calibri"/>
            <family val="2"/>
          </rPr>
          <t>» 75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G2 &amp; S11 &amp; W40 &amp; O5 &amp; I17</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14" authorId="0" shapeId="0" xr:uid="{AC1013F4-C3BB-451E-94D3-08AEB10B4471}">
      <text>
        <r>
          <rPr>
            <b/>
            <sz val="8.5"/>
            <color indexed="8"/>
            <rFont val="Calibri"/>
            <family val="2"/>
          </rPr>
          <t xml:space="preserve">-{ </t>
        </r>
        <r>
          <rPr>
            <b/>
            <sz val="10"/>
            <color indexed="10"/>
            <rFont val="Calibri"/>
            <family val="2"/>
          </rPr>
          <t>SM435</t>
        </r>
        <r>
          <rPr>
            <b/>
            <sz val="8.5"/>
            <color indexed="8"/>
            <rFont val="Calibri"/>
            <family val="2"/>
          </rPr>
          <t xml:space="preserve"> }-_x000D_
_x000D_
[</t>
        </r>
        <r>
          <rPr>
            <b/>
            <sz val="8.5"/>
            <color indexed="48"/>
            <rFont val="Calibri"/>
            <family val="2"/>
          </rPr>
          <t xml:space="preserve">LF </t>
        </r>
        <r>
          <rPr>
            <b/>
            <sz val="8.5"/>
            <color indexed="8"/>
            <rFont val="Calibri"/>
            <family val="2"/>
          </rPr>
          <t>» 51.4%] - [</t>
        </r>
        <r>
          <rPr>
            <b/>
            <sz val="8.5"/>
            <color indexed="48"/>
            <rFont val="Calibri"/>
            <family val="2"/>
          </rPr>
          <t xml:space="preserve">SOLD </t>
        </r>
        <r>
          <rPr>
            <b/>
            <sz val="8.5"/>
            <color indexed="8"/>
            <rFont val="Calibri"/>
            <family val="2"/>
          </rPr>
          <t>» 92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G22 &amp; S4 &amp; W3 &amp; T2 &amp; X20 &amp; U13 &amp; O12 &amp; I15</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3" authorId="0" shapeId="0" xr:uid="{C3043062-5FB3-49EC-A89B-C9FF1F9761F9}">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71.5%]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S8 &amp; W1 &amp; T1 &amp; X57 &amp; U38 &amp; O22 &amp; I1</t>
        </r>
      </text>
    </comment>
    <comment ref="F4" authorId="0" shapeId="0" xr:uid="{EB06107F-5FC6-4200-B886-85F2C8837CD3}">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65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W9 &amp; T8 &amp; X93 &amp; U11 &amp; O11 &amp; I5</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F2" authorId="0" shapeId="0" xr:uid="{B63CCD88-0A0C-4B39-87EC-8FA292D8DB9D}">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71.5%]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S8 &amp; W1 &amp; T1 &amp; X57 &amp; U38 &amp; O22 &amp; I1</t>
        </r>
      </text>
    </comment>
    <comment ref="F3" authorId="0" shapeId="0" xr:uid="{7FC4200E-C42D-4FD1-924B-E8ECFC4586A1}">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65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W9 &amp; T8 &amp; X93 &amp; U11 &amp; O11 &amp; I5</t>
        </r>
      </text>
    </comment>
  </commentList>
</comments>
</file>

<file path=xl/sharedStrings.xml><?xml version="1.0" encoding="utf-8"?>
<sst xmlns="http://schemas.openxmlformats.org/spreadsheetml/2006/main" count="10622" uniqueCount="933">
  <si>
    <t>COMPREHENSIVE REPORT</t>
  </si>
  <si>
    <t>CAI-MED</t>
  </si>
  <si>
    <t>FROM</t>
  </si>
  <si>
    <t>TO</t>
  </si>
  <si>
    <t>THIS REPORT GENERATED AT</t>
  </si>
  <si>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</si>
  <si>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</si>
  <si>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</si>
  <si>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</si>
  <si>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</si>
  <si>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</si>
  <si>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</si>
  <si>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</si>
  <si>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</si>
  <si>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</si>
  <si>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</si>
  <si>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</si>
  <si>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</si>
  <si>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</si>
  <si>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</si>
  <si>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</si>
  <si>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</si>
  <si>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</si>
  <si>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</si>
  <si>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</si>
  <si>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</si>
  <si>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flynas</t>
  </si>
  <si>
    <t>XY-794</t>
  </si>
  <si>
    <t>Cabin: 7 KG / Check-in: 20 KG</t>
  </si>
  <si>
    <r>
      <rPr>
        <b/>
        <i/>
        <sz val="13"/>
        <color rgb="FFBC0000"/>
        <rFont val="Calibri"/>
        <family val="2"/>
      </rPr>
      <t>9</t>
    </r>
    <r>
      <rPr>
        <b/>
        <i/>
        <sz val="10"/>
        <color rgb="FFBC0000"/>
        <rFont val="Calibri"/>
        <family val="2"/>
      </rPr>
      <t xml:space="preserve"> FOR SAME CLASS</t>
    </r>
  </si>
  <si>
    <t>6,902 EGP</t>
  </si>
  <si>
    <t>Cabin: 7 KG / Check-in: 30 KG</t>
  </si>
  <si>
    <r>
      <rPr>
        <i/>
        <sz val="13"/>
        <rFont val="Calibri"/>
        <family val="2"/>
      </rPr>
      <t>9</t>
    </r>
    <r>
      <rPr>
        <i/>
        <sz val="10"/>
        <rFont val="Calibri"/>
        <family val="2"/>
      </rPr>
      <t xml:space="preserve"> FOR SAME CLASS</t>
    </r>
  </si>
  <si>
    <t>8,182 EGP</t>
  </si>
  <si>
    <t>Cabin: 7 KG / Check-in: 2 x 40 KG</t>
  </si>
  <si>
    <t>9,335 EGP</t>
  </si>
  <si>
    <t>XY-575</t>
  </si>
  <si>
    <r>
      <rPr>
        <b/>
        <i/>
        <sz val="13"/>
        <rFont val="Calibri"/>
        <family val="2"/>
      </rPr>
      <t>1</t>
    </r>
    <r>
      <rPr>
        <b/>
        <i/>
        <sz val="10"/>
        <rFont val="Calibri"/>
        <family val="2"/>
      </rPr>
      <t xml:space="preserve"> FOR SAME CLASS</t>
    </r>
  </si>
  <si>
    <t>7,542 EGP</t>
  </si>
  <si>
    <r>
      <rPr>
        <i/>
        <sz val="13"/>
        <rFont val="Calibri"/>
        <family val="2"/>
      </rPr>
      <t>1</t>
    </r>
    <r>
      <rPr>
        <i/>
        <sz val="10"/>
        <rFont val="Calibri"/>
        <family val="2"/>
      </rPr>
      <t xml:space="preserve"> FOR SAME CLASS</t>
    </r>
  </si>
  <si>
    <t>8,823 EGP</t>
  </si>
  <si>
    <t>9,975 EGP</t>
  </si>
  <si>
    <t>flyadeal</t>
  </si>
  <si>
    <t>F3-770</t>
  </si>
  <si>
    <t>Check-in: 15 KG</t>
  </si>
  <si>
    <r>
      <rPr>
        <b/>
        <i/>
        <sz val="13"/>
        <color rgb="FFBC0000"/>
        <rFont val="Calibri"/>
        <family val="2"/>
      </rPr>
      <t>5</t>
    </r>
    <r>
      <rPr>
        <b/>
        <i/>
        <sz val="10"/>
        <color rgb="FFBC0000"/>
        <rFont val="Calibri"/>
        <family val="2"/>
      </rPr>
      <t xml:space="preserve"> FOR SAME CLASS</t>
    </r>
  </si>
  <si>
    <t>7,414 EGP</t>
  </si>
  <si>
    <t>Cabin: 10 KG / Check-in: 25 KG</t>
  </si>
  <si>
    <r>
      <rPr>
        <i/>
        <sz val="13"/>
        <rFont val="Calibri"/>
        <family val="2"/>
      </rPr>
      <t>5</t>
    </r>
    <r>
      <rPr>
        <i/>
        <sz val="10"/>
        <rFont val="Calibri"/>
        <family val="2"/>
      </rPr>
      <t xml:space="preserve"> FOR SAME CLASS</t>
    </r>
  </si>
  <si>
    <t>Cabin: 10 KG / Check-in: 2 x 40 KG</t>
  </si>
  <si>
    <t>10,872 EGP</t>
  </si>
  <si>
    <t>Saudia</t>
  </si>
  <si>
    <t>SV-390</t>
  </si>
  <si>
    <t>Cabin: 7 KG / Check-in: 23 KG</t>
  </si>
  <si>
    <r>
      <rPr>
        <b/>
        <i/>
        <sz val="13"/>
        <color rgb="FFBC0000"/>
        <rFont val="Calibri"/>
        <family val="2"/>
      </rPr>
      <t>+9</t>
    </r>
    <r>
      <rPr>
        <b/>
        <i/>
        <sz val="10"/>
        <color rgb="FFBC0000"/>
        <rFont val="Calibri"/>
        <family val="2"/>
      </rPr>
      <t xml:space="preserve"> FOR SAME CLASS</t>
    </r>
  </si>
  <si>
    <t>11,033 EGP</t>
  </si>
  <si>
    <t>Cabin: 7 KG / Check-in: 2 x 46 KG</t>
  </si>
  <si>
    <r>
      <rPr>
        <i/>
        <sz val="13"/>
        <rFont val="Calibri"/>
        <family val="2"/>
      </rPr>
      <t>+9</t>
    </r>
    <r>
      <rPr>
        <i/>
        <sz val="10"/>
        <rFont val="Calibri"/>
        <family val="2"/>
      </rPr>
      <t xml:space="preserve"> FOR SAME CLASS</t>
    </r>
  </si>
  <si>
    <t>11,686 EGP</t>
  </si>
  <si>
    <t>SV-318</t>
  </si>
  <si>
    <t>15,323 EGP</t>
  </si>
  <si>
    <t>SV-6904</t>
  </si>
  <si>
    <r>
      <rPr>
        <b/>
        <i/>
        <sz val="13"/>
        <rFont val="Calibri"/>
        <family val="2"/>
      </rPr>
      <t>4</t>
    </r>
    <r>
      <rPr>
        <b/>
        <i/>
        <sz val="10"/>
        <rFont val="Calibri"/>
        <family val="2"/>
      </rPr>
      <t xml:space="preserve"> FOR SAME CLASS</t>
    </r>
  </si>
  <si>
    <t>17,871 EGP</t>
  </si>
  <si>
    <t>SV-380</t>
  </si>
  <si>
    <r>
      <rPr>
        <b/>
        <i/>
        <sz val="13"/>
        <rFont val="Calibri"/>
        <family val="2"/>
      </rPr>
      <t>3</t>
    </r>
    <r>
      <rPr>
        <b/>
        <i/>
        <sz val="10"/>
        <rFont val="Calibri"/>
        <family val="2"/>
      </rPr>
      <t xml:space="preserve"> FOR SAME CLASS</t>
    </r>
  </si>
  <si>
    <t>22,532 EGP</t>
  </si>
  <si>
    <t>EgyptAir</t>
  </si>
  <si>
    <t>MS-693</t>
  </si>
  <si>
    <t>Cabin: 7 KG | Check-in: 2 PIECE</t>
  </si>
  <si>
    <t>13,427 EGP</t>
  </si>
  <si>
    <t>MS-675</t>
  </si>
  <si>
    <r>
      <rPr>
        <b/>
        <i/>
        <sz val="13"/>
        <rFont val="Calibri"/>
        <family val="2"/>
      </rPr>
      <t>+9</t>
    </r>
    <r>
      <rPr>
        <b/>
        <i/>
        <sz val="10"/>
        <rFont val="Calibri"/>
        <family val="2"/>
      </rPr>
      <t xml:space="preserve"> FOR SAME CLASS</t>
    </r>
  </si>
  <si>
    <t>14,964 EGP</t>
  </si>
  <si>
    <t>MS-695</t>
  </si>
  <si>
    <r>
      <rPr>
        <b/>
        <i/>
        <sz val="13"/>
        <rFont val="Calibri"/>
        <family val="2"/>
      </rPr>
      <t>2</t>
    </r>
    <r>
      <rPr>
        <b/>
        <i/>
        <sz val="10"/>
        <rFont val="Calibri"/>
        <family val="2"/>
      </rPr>
      <t xml:space="preserve"> FOR SAME CLASS</t>
    </r>
  </si>
  <si>
    <t>16,462 EGP</t>
  </si>
  <si>
    <t>MS-639</t>
  </si>
  <si>
    <t>Air Cairo</t>
  </si>
  <si>
    <t>SM493</t>
  </si>
  <si>
    <t>30KG + 7KG CABIN</t>
  </si>
  <si>
    <t>FULLY BOOKED</t>
  </si>
  <si>
    <t>CLOSED</t>
  </si>
  <si>
    <t>V3 &amp; S2 &amp; X10 &amp; U11 &amp; O11 &amp; I10 &amp; P130 &amp; N7</t>
  </si>
  <si>
    <r>
      <rPr>
        <b/>
        <i/>
        <sz val="13"/>
        <color rgb="FFBC0000"/>
        <rFont val="Calibri"/>
        <family val="2"/>
      </rPr>
      <t>1</t>
    </r>
    <r>
      <rPr>
        <b/>
        <i/>
        <sz val="10"/>
        <color rgb="FFBC0000"/>
        <rFont val="Calibri"/>
        <family val="2"/>
      </rPr>
      <t xml:space="preserve"> FOR SAME CLASS</t>
    </r>
  </si>
  <si>
    <t>9,893 EGP</t>
  </si>
  <si>
    <t>MS-677</t>
  </si>
  <si>
    <t>11,071 EGP</t>
  </si>
  <si>
    <r>
      <rPr>
        <b/>
        <i/>
        <sz val="13"/>
        <color rgb="FFBC0000"/>
        <rFont val="Calibri"/>
        <family val="2"/>
      </rPr>
      <t>20</t>
    </r>
    <r>
      <rPr>
        <b/>
        <i/>
        <sz val="10"/>
        <color rgb="FFBC0000"/>
        <rFont val="Calibri"/>
        <family val="2"/>
      </rPr>
      <t xml:space="preserve"> FOR SAME CLASS</t>
    </r>
  </si>
  <si>
    <t>6,774 EGP</t>
  </si>
  <si>
    <r>
      <rPr>
        <i/>
        <sz val="13"/>
        <rFont val="Calibri"/>
        <family val="2"/>
      </rPr>
      <t>20</t>
    </r>
    <r>
      <rPr>
        <i/>
        <sz val="10"/>
        <rFont val="Calibri"/>
        <family val="2"/>
      </rPr>
      <t xml:space="preserve"> FOR SAME CLASS</t>
    </r>
  </si>
  <si>
    <t>8,695 EGP</t>
  </si>
  <si>
    <r>
      <rPr>
        <b/>
        <i/>
        <sz val="13"/>
        <color rgb="FFBC0000"/>
        <rFont val="Calibri"/>
        <family val="2"/>
      </rPr>
      <t>3</t>
    </r>
    <r>
      <rPr>
        <b/>
        <i/>
        <sz val="10"/>
        <color rgb="FFBC0000"/>
        <rFont val="Calibri"/>
        <family val="2"/>
      </rPr>
      <t xml:space="preserve"> FOR SAME CLASS</t>
    </r>
  </si>
  <si>
    <r>
      <rPr>
        <i/>
        <sz val="13"/>
        <rFont val="Calibri"/>
        <family val="2"/>
      </rPr>
      <t>3</t>
    </r>
    <r>
      <rPr>
        <i/>
        <sz val="10"/>
        <rFont val="Calibri"/>
        <family val="2"/>
      </rPr>
      <t xml:space="preserve"> FOR SAME CLASS</t>
    </r>
  </si>
  <si>
    <r>
      <rPr>
        <b/>
        <i/>
        <sz val="13"/>
        <rFont val="Calibri"/>
        <family val="2"/>
      </rPr>
      <t>7</t>
    </r>
    <r>
      <rPr>
        <b/>
        <i/>
        <sz val="10"/>
        <rFont val="Calibri"/>
        <family val="2"/>
      </rPr>
      <t xml:space="preserve"> FOR SAME CLASS</t>
    </r>
  </si>
  <si>
    <r>
      <rPr>
        <i/>
        <sz val="13"/>
        <rFont val="Calibri"/>
        <family val="2"/>
      </rPr>
      <t>7</t>
    </r>
    <r>
      <rPr>
        <i/>
        <sz val="10"/>
        <rFont val="Calibri"/>
        <family val="2"/>
      </rPr>
      <t xml:space="preserve"> FOR SAME CLASS</t>
    </r>
  </si>
  <si>
    <t>12,249 EGP</t>
  </si>
  <si>
    <t>SM-493</t>
  </si>
  <si>
    <t>Cabin: 7 KG | Check-in: 30 KG</t>
  </si>
  <si>
    <r>
      <rPr>
        <b/>
        <i/>
        <sz val="13"/>
        <color rgb="FFBC0000"/>
        <rFont val="Calibri"/>
        <family val="2"/>
      </rPr>
      <t>2</t>
    </r>
    <r>
      <rPr>
        <b/>
        <i/>
        <sz val="10"/>
        <color rgb="FFBC0000"/>
        <rFont val="Calibri"/>
        <family val="2"/>
      </rPr>
      <t xml:space="preserve"> FOR SAME CLASS</t>
    </r>
  </si>
  <si>
    <t>12,339 EGP</t>
  </si>
  <si>
    <t>V2</t>
  </si>
  <si>
    <t>V1 &amp; E45 &amp; P131</t>
  </si>
  <si>
    <t>Day</t>
  </si>
  <si>
    <t>Flt Dt</t>
  </si>
  <si>
    <t>Flt</t>
  </si>
  <si>
    <t>Brd-Off</t>
  </si>
  <si>
    <t>Eqp</t>
  </si>
  <si>
    <t>CAP</t>
  </si>
  <si>
    <t>BKG(Y)</t>
  </si>
  <si>
    <t>GRP(Y)</t>
  </si>
  <si>
    <t>FLT ST</t>
  </si>
  <si>
    <t>Y</t>
  </si>
  <si>
    <t>B</t>
  </si>
  <si>
    <t>M</t>
  </si>
  <si>
    <t>H</t>
  </si>
  <si>
    <t>Q</t>
  </si>
  <si>
    <t>K</t>
  </si>
  <si>
    <t>V</t>
  </si>
  <si>
    <t>L</t>
  </si>
  <si>
    <t>G</t>
  </si>
  <si>
    <t>S</t>
  </si>
  <si>
    <t>W</t>
  </si>
  <si>
    <t>T</t>
  </si>
  <si>
    <t>X</t>
  </si>
  <si>
    <t>U</t>
  </si>
  <si>
    <t>O</t>
  </si>
  <si>
    <t>I</t>
  </si>
  <si>
    <t>E</t>
  </si>
  <si>
    <t>A</t>
  </si>
  <si>
    <t>P</t>
  </si>
  <si>
    <t>N</t>
  </si>
  <si>
    <t>THURSDAY</t>
  </si>
  <si>
    <t>09:10</t>
  </si>
  <si>
    <t>320</t>
  </si>
  <si>
    <t>UPCOMING</t>
  </si>
  <si>
    <t>V3</t>
  </si>
  <si>
    <t>S2</t>
  </si>
  <si>
    <t>X10</t>
  </si>
  <si>
    <t>U11</t>
  </si>
  <si>
    <t>O11</t>
  </si>
  <si>
    <t>I10</t>
  </si>
  <si>
    <t>P130</t>
  </si>
  <si>
    <t>N7</t>
  </si>
  <si>
    <t>SATURDAY</t>
  </si>
  <si>
    <t>05:40</t>
  </si>
  <si>
    <t>V1</t>
  </si>
  <si>
    <t>E45</t>
  </si>
  <si>
    <t>P131</t>
  </si>
  <si>
    <t>DATE</t>
  </si>
  <si>
    <t>ROUTE</t>
  </si>
  <si>
    <t>2025-11-20</t>
  </si>
  <si>
    <t>10:25</t>
  </si>
  <si>
    <t>05:30</t>
  </si>
  <si>
    <t>14:35</t>
  </si>
  <si>
    <t>04:25</t>
  </si>
  <si>
    <t>01:35</t>
  </si>
  <si>
    <t>22:35</t>
  </si>
  <si>
    <t>08:30</t>
  </si>
  <si>
    <t>06:55</t>
  </si>
  <si>
    <t>09:30</t>
  </si>
  <si>
    <t>21:30</t>
  </si>
  <si>
    <t>HBE-MED</t>
  </si>
  <si>
    <t>SM-485</t>
  </si>
  <si>
    <t>14,990 EGP</t>
  </si>
  <si>
    <t>SM485</t>
  </si>
  <si>
    <t>Q2</t>
  </si>
  <si>
    <t>Q3 &amp; L3 &amp; S17 &amp; X2 &amp; O7 &amp; I10 &amp; E45 &amp; P90</t>
  </si>
  <si>
    <t>Indirect competition route CAI – MED - diversion ratio &amp; passenger leakage</t>
  </si>
  <si>
    <t>9 FOR SAME CLASS</t>
  </si>
  <si>
    <t>5 FOR SAME CLASS</t>
  </si>
  <si>
    <t>1 FOR SAME CLASS</t>
  </si>
  <si>
    <t>+9 FOR SAME CLASS</t>
  </si>
  <si>
    <t>11:30</t>
  </si>
  <si>
    <t>Q3</t>
  </si>
  <si>
    <t>L3</t>
  </si>
  <si>
    <t>S17</t>
  </si>
  <si>
    <t>X2</t>
  </si>
  <si>
    <t>O7</t>
  </si>
  <si>
    <t>P90</t>
  </si>
  <si>
    <t>CAI-MED AS ALTERNATIVE ROUTE</t>
  </si>
  <si>
    <t>ATZ-MED</t>
  </si>
  <si>
    <t>SM-487</t>
  </si>
  <si>
    <t>8,228 EGP</t>
  </si>
  <si>
    <t>SM487</t>
  </si>
  <si>
    <t>T9</t>
  </si>
  <si>
    <t>S7 &amp; W1 &amp; T6 &amp; X15 &amp; U12 &amp; O9 &amp; I9 &amp; P105</t>
  </si>
  <si>
    <t>20 FOR SAME CLASS</t>
  </si>
  <si>
    <t>3 FOR SAME CLASS</t>
  </si>
  <si>
    <t>7 FOR SAME CLASS</t>
  </si>
  <si>
    <t>22:45</t>
  </si>
  <si>
    <t>08:05</t>
  </si>
  <si>
    <t>19:15</t>
  </si>
  <si>
    <t>S7</t>
  </si>
  <si>
    <t>W1</t>
  </si>
  <si>
    <t>T6</t>
  </si>
  <si>
    <t>X15</t>
  </si>
  <si>
    <t>U12</t>
  </si>
  <si>
    <t>O9</t>
  </si>
  <si>
    <t>I9</t>
  </si>
  <si>
    <t>P105</t>
  </si>
  <si>
    <t>2025-11-21</t>
  </si>
  <si>
    <t>16:45</t>
  </si>
  <si>
    <t>2025-11-22</t>
  </si>
  <si>
    <t>CAI-JED</t>
  </si>
  <si>
    <t>F3-756</t>
  </si>
  <si>
    <r>
      <rPr>
        <b/>
        <i/>
        <sz val="13"/>
        <color rgb="FFBC0000"/>
        <rFont val="Calibri"/>
        <family val="2"/>
      </rPr>
      <t>38</t>
    </r>
    <r>
      <rPr>
        <b/>
        <i/>
        <sz val="10"/>
        <color rgb="FFBC0000"/>
        <rFont val="Calibri"/>
        <family val="2"/>
      </rPr>
      <t xml:space="preserve"> FOR SAME CLASS</t>
    </r>
  </si>
  <si>
    <t>6,518 EGP</t>
  </si>
  <si>
    <r>
      <rPr>
        <i/>
        <sz val="13"/>
        <rFont val="Calibri"/>
        <family val="2"/>
      </rPr>
      <t>38</t>
    </r>
    <r>
      <rPr>
        <i/>
        <sz val="10"/>
        <rFont val="Calibri"/>
        <family val="2"/>
      </rPr>
      <t xml:space="preserve"> FOR SAME CLASS</t>
    </r>
  </si>
  <si>
    <t>8,439 EGP</t>
  </si>
  <si>
    <t>15,354 EGP</t>
  </si>
  <si>
    <t>F3-754</t>
  </si>
  <si>
    <r>
      <rPr>
        <b/>
        <i/>
        <sz val="13"/>
        <rFont val="Calibri"/>
        <family val="2"/>
      </rPr>
      <t>39</t>
    </r>
    <r>
      <rPr>
        <b/>
        <i/>
        <sz val="10"/>
        <rFont val="Calibri"/>
        <family val="2"/>
      </rPr>
      <t xml:space="preserve"> FOR SAME CLASS</t>
    </r>
  </si>
  <si>
    <r>
      <rPr>
        <i/>
        <sz val="13"/>
        <rFont val="Calibri"/>
        <family val="2"/>
      </rPr>
      <t>39</t>
    </r>
    <r>
      <rPr>
        <i/>
        <sz val="10"/>
        <rFont val="Calibri"/>
        <family val="2"/>
      </rPr>
      <t xml:space="preserve"> FOR SAME CLASS</t>
    </r>
  </si>
  <si>
    <t>F3-764</t>
  </si>
  <si>
    <r>
      <rPr>
        <b/>
        <i/>
        <sz val="13"/>
        <rFont val="Calibri"/>
        <family val="2"/>
      </rPr>
      <t>20</t>
    </r>
    <r>
      <rPr>
        <b/>
        <i/>
        <sz val="10"/>
        <rFont val="Calibri"/>
        <family val="2"/>
      </rPr>
      <t xml:space="preserve"> FOR SAME CLASS</t>
    </r>
  </si>
  <si>
    <t>F3-762</t>
  </si>
  <si>
    <r>
      <rPr>
        <b/>
        <i/>
        <sz val="13"/>
        <rFont val="Calibri"/>
        <family val="2"/>
      </rPr>
      <t>15</t>
    </r>
    <r>
      <rPr>
        <b/>
        <i/>
        <sz val="10"/>
        <rFont val="Calibri"/>
        <family val="2"/>
      </rPr>
      <t xml:space="preserve"> FOR SAME CLASS</t>
    </r>
  </si>
  <si>
    <r>
      <rPr>
        <i/>
        <sz val="13"/>
        <rFont val="Calibri"/>
        <family val="2"/>
      </rPr>
      <t>15</t>
    </r>
    <r>
      <rPr>
        <i/>
        <sz val="10"/>
        <rFont val="Calibri"/>
        <family val="2"/>
      </rPr>
      <t xml:space="preserve"> FOR SAME CLASS</t>
    </r>
  </si>
  <si>
    <t>XY-574</t>
  </si>
  <si>
    <t>8,054 EGP</t>
  </si>
  <si>
    <t>9,207 EGP</t>
  </si>
  <si>
    <t>XY-568</t>
  </si>
  <si>
    <r>
      <rPr>
        <b/>
        <i/>
        <sz val="13"/>
        <rFont val="Calibri"/>
        <family val="2"/>
      </rPr>
      <t>9</t>
    </r>
    <r>
      <rPr>
        <b/>
        <i/>
        <sz val="10"/>
        <rFont val="Calibri"/>
        <family val="2"/>
      </rPr>
      <t xml:space="preserve"> FOR SAME CLASS</t>
    </r>
  </si>
  <si>
    <t>XY-584</t>
  </si>
  <si>
    <r>
      <rPr>
        <b/>
        <i/>
        <sz val="13"/>
        <rFont val="Calibri"/>
        <family val="2"/>
      </rPr>
      <t>6</t>
    </r>
    <r>
      <rPr>
        <b/>
        <i/>
        <sz val="10"/>
        <rFont val="Calibri"/>
        <family val="2"/>
      </rPr>
      <t xml:space="preserve"> FOR SAME CLASS</t>
    </r>
  </si>
  <si>
    <r>
      <rPr>
        <i/>
        <sz val="13"/>
        <rFont val="Calibri"/>
        <family val="2"/>
      </rPr>
      <t>6</t>
    </r>
    <r>
      <rPr>
        <i/>
        <sz val="10"/>
        <rFont val="Calibri"/>
        <family val="2"/>
      </rPr>
      <t xml:space="preserve"> FOR SAME CLASS</t>
    </r>
  </si>
  <si>
    <t>9,847 EGP</t>
  </si>
  <si>
    <t>XY-572</t>
  </si>
  <si>
    <t>XY-590</t>
  </si>
  <si>
    <r>
      <rPr>
        <b/>
        <i/>
        <sz val="13"/>
        <rFont val="Calibri"/>
        <family val="2"/>
      </rPr>
      <t>5</t>
    </r>
    <r>
      <rPr>
        <b/>
        <i/>
        <sz val="10"/>
        <rFont val="Calibri"/>
        <family val="2"/>
      </rPr>
      <t xml:space="preserve"> FOR SAME CLASS</t>
    </r>
  </si>
  <si>
    <t>XY-566</t>
  </si>
  <si>
    <t>XY-570</t>
  </si>
  <si>
    <t>10,487 EGP</t>
  </si>
  <si>
    <t>XY-578</t>
  </si>
  <si>
    <t>Nile Air</t>
  </si>
  <si>
    <t>NP-127</t>
  </si>
  <si>
    <t>8,080 EGP</t>
  </si>
  <si>
    <t>SM-449</t>
  </si>
  <si>
    <t>8,989 EGP</t>
  </si>
  <si>
    <t>SM449</t>
  </si>
  <si>
    <t>S5</t>
  </si>
  <si>
    <t>S6 &amp; W12 &amp; T11 &amp; X11 &amp; U12 &amp; O11 &amp; I31 &amp; E34 &amp; P40</t>
  </si>
  <si>
    <t>SM-431</t>
  </si>
  <si>
    <t>SM431</t>
  </si>
  <si>
    <t>S6</t>
  </si>
  <si>
    <t>L1 &amp; S4 &amp; W10 &amp; T10 &amp; X10 &amp; U10 &amp; O15 &amp; I10 &amp; P92 &amp; N2</t>
  </si>
  <si>
    <t>SM-475</t>
  </si>
  <si>
    <t>SM475</t>
  </si>
  <si>
    <t>S3</t>
  </si>
  <si>
    <t>G1 &amp; S8 &amp; W12 &amp; T11 &amp; X11 &amp; U12 &amp; O11 &amp; I40 &amp; P46</t>
  </si>
  <si>
    <t>SM-423</t>
  </si>
  <si>
    <t>9,770 EGP</t>
  </si>
  <si>
    <t>SM423</t>
  </si>
  <si>
    <t>G9</t>
  </si>
  <si>
    <t>S12 &amp; W11 &amp; T11 &amp; X11 &amp; U12 &amp; O11 &amp; I50 &amp; E29 &amp; N1</t>
  </si>
  <si>
    <t>SM477</t>
  </si>
  <si>
    <t>S11 &amp; X2 &amp; O4 &amp; I17 &amp; P142 &amp; N6</t>
  </si>
  <si>
    <t>SM479</t>
  </si>
  <si>
    <t>S7 &amp; T4 &amp; X9 &amp; U10 &amp; O5 &amp; I5 &amp; P137</t>
  </si>
  <si>
    <t>Air Arabia Egypt</t>
  </si>
  <si>
    <t>E5-327</t>
  </si>
  <si>
    <t>Cabin: 10 KG / Check-in: 30 KG</t>
  </si>
  <si>
    <t>9,848 EGP</t>
  </si>
  <si>
    <t>11,485 EGP</t>
  </si>
  <si>
    <t>SV-388</t>
  </si>
  <si>
    <t>14,176 EGP</t>
  </si>
  <si>
    <t>SV-6665</t>
  </si>
  <si>
    <t>14,662 EGP</t>
  </si>
  <si>
    <t>SV-6896</t>
  </si>
  <si>
    <t>SV-6892</t>
  </si>
  <si>
    <t>SV-6894</t>
  </si>
  <si>
    <t>SV-308</t>
  </si>
  <si>
    <t>20,578 EGP</t>
  </si>
  <si>
    <t>SV-382</t>
  </si>
  <si>
    <t>SV-302</t>
  </si>
  <si>
    <t>SV-330</t>
  </si>
  <si>
    <t>SV-304</t>
  </si>
  <si>
    <t>23,844 EGP</t>
  </si>
  <si>
    <t>MS-669</t>
  </si>
  <si>
    <t>14,419 EGP</t>
  </si>
  <si>
    <t>MS-671</t>
  </si>
  <si>
    <t>20,860 EGP</t>
  </si>
  <si>
    <t>MS-665</t>
  </si>
  <si>
    <t>MS-663</t>
  </si>
  <si>
    <r>
      <rPr>
        <b/>
        <i/>
        <sz val="13"/>
        <rFont val="Calibri"/>
        <family val="2"/>
      </rPr>
      <t>8</t>
    </r>
    <r>
      <rPr>
        <b/>
        <i/>
        <sz val="10"/>
        <rFont val="Calibri"/>
        <family val="2"/>
      </rPr>
      <t xml:space="preserve"> FOR SAME CLASS</t>
    </r>
  </si>
  <si>
    <t>MS-673</t>
  </si>
  <si>
    <t>20,911 EGP</t>
  </si>
  <si>
    <t>MS-643</t>
  </si>
  <si>
    <t>NP-227</t>
  </si>
  <si>
    <t>SM-477</t>
  </si>
  <si>
    <t>8,208 EGP</t>
  </si>
  <si>
    <t>W5</t>
  </si>
  <si>
    <t>S1 &amp; W10 &amp; T25 &amp; X33 &amp; U12 &amp; O15 &amp; I10 &amp; P41</t>
  </si>
  <si>
    <t>W3</t>
  </si>
  <si>
    <t>S5 &amp; W9 &amp; T31 &amp; X10 &amp; U12 &amp; O17 &amp; I29</t>
  </si>
  <si>
    <t>SM-471</t>
  </si>
  <si>
    <t>SM471</t>
  </si>
  <si>
    <t>W10 &amp; T12 &amp; X26 &amp; U11 &amp; O20 &amp; I30</t>
  </si>
  <si>
    <t>SM-459</t>
  </si>
  <si>
    <t>SM459</t>
  </si>
  <si>
    <t>W9</t>
  </si>
  <si>
    <t>W14 &amp; T25 &amp; X37 &amp; U12 &amp; O17 &amp; I33</t>
  </si>
  <si>
    <t>SM-479</t>
  </si>
  <si>
    <t>S3 &amp; W10 &amp; T10 &amp; X10 &amp; U10 &amp; O10 &amp; I15 &amp; P50</t>
  </si>
  <si>
    <t>10,884 EGP</t>
  </si>
  <si>
    <t>10,936 EGP</t>
  </si>
  <si>
    <t>11,960 EGP</t>
  </si>
  <si>
    <t>MS-661</t>
  </si>
  <si>
    <t>SV-386</t>
  </si>
  <si>
    <t>SV-300</t>
  </si>
  <si>
    <t>7,030 EGP</t>
  </si>
  <si>
    <t>8,951 EGP</t>
  </si>
  <si>
    <r>
      <rPr>
        <b/>
        <i/>
        <sz val="13"/>
        <rFont val="Calibri"/>
        <family val="2"/>
      </rPr>
      <t>13</t>
    </r>
    <r>
      <rPr>
        <b/>
        <i/>
        <sz val="10"/>
        <rFont val="Calibri"/>
        <family val="2"/>
      </rPr>
      <t xml:space="preserve"> FOR SAME CLASS</t>
    </r>
  </si>
  <si>
    <r>
      <rPr>
        <i/>
        <sz val="13"/>
        <rFont val="Calibri"/>
        <family val="2"/>
      </rPr>
      <t>13</t>
    </r>
    <r>
      <rPr>
        <i/>
        <sz val="10"/>
        <rFont val="Calibri"/>
        <family val="2"/>
      </rPr>
      <t xml:space="preserve"> FOR SAME CLASS</t>
    </r>
  </si>
  <si>
    <r>
      <rPr>
        <b/>
        <i/>
        <sz val="13"/>
        <rFont val="Calibri"/>
        <family val="2"/>
      </rPr>
      <t>11</t>
    </r>
    <r>
      <rPr>
        <b/>
        <i/>
        <sz val="10"/>
        <rFont val="Calibri"/>
        <family val="2"/>
      </rPr>
      <t xml:space="preserve"> FOR SAME CLASS</t>
    </r>
  </si>
  <si>
    <r>
      <rPr>
        <i/>
        <sz val="13"/>
        <rFont val="Calibri"/>
        <family val="2"/>
      </rPr>
      <t>11</t>
    </r>
    <r>
      <rPr>
        <i/>
        <sz val="10"/>
        <rFont val="Calibri"/>
        <family val="2"/>
      </rPr>
      <t xml:space="preserve"> FOR SAME CLASS</t>
    </r>
  </si>
  <si>
    <r>
      <rPr>
        <i/>
        <sz val="13"/>
        <rFont val="Calibri"/>
        <family val="2"/>
      </rPr>
      <t>8</t>
    </r>
    <r>
      <rPr>
        <i/>
        <sz val="10"/>
        <rFont val="Calibri"/>
        <family val="2"/>
      </rPr>
      <t xml:space="preserve"> FOR SAME CLASS</t>
    </r>
  </si>
  <si>
    <r>
      <rPr>
        <i/>
        <sz val="13"/>
        <rFont val="Calibri"/>
        <family val="2"/>
      </rPr>
      <t>4</t>
    </r>
    <r>
      <rPr>
        <i/>
        <sz val="10"/>
        <rFont val="Calibri"/>
        <family val="2"/>
      </rPr>
      <t xml:space="preserve"> FOR SAME CLASS</t>
    </r>
  </si>
  <si>
    <t>9,079 EGP</t>
  </si>
  <si>
    <t>10,359 EGP</t>
  </si>
  <si>
    <t>11,512 EGP</t>
  </si>
  <si>
    <t>W2</t>
  </si>
  <si>
    <t>S1 &amp; W8 &amp; T11 &amp; X11 &amp; U12 &amp; O11 &amp; I25 &amp; P94 &amp; N2</t>
  </si>
  <si>
    <t>W4</t>
  </si>
  <si>
    <t>S1 &amp; W8 &amp; T34 &amp; X11 &amp; U11 &amp; O11 &amp; I33 &amp; P45 &amp; N1</t>
  </si>
  <si>
    <t>S1 &amp; T8 &amp; X12 &amp; U12 &amp; O12 &amp; I22 &amp; E49 &amp; P64</t>
  </si>
  <si>
    <t>G1 &amp; S1 &amp; X9 &amp; U12 &amp; O15 &amp; I15 &amp; P125 &amp; N1</t>
  </si>
  <si>
    <t>Nesma Airlines</t>
  </si>
  <si>
    <t>NE-170</t>
  </si>
  <si>
    <t>8,554 EGP</t>
  </si>
  <si>
    <t>9,002 EGP</t>
  </si>
  <si>
    <r>
      <rPr>
        <b/>
        <i/>
        <sz val="13"/>
        <color rgb="FFBC0000"/>
        <rFont val="Calibri"/>
        <family val="2"/>
      </rPr>
      <t>4</t>
    </r>
    <r>
      <rPr>
        <b/>
        <i/>
        <sz val="10"/>
        <color rgb="FFBC0000"/>
        <rFont val="Calibri"/>
        <family val="2"/>
      </rPr>
      <t xml:space="preserve"> FOR SAME CLASS</t>
    </r>
  </si>
  <si>
    <t>9,202 EGP</t>
  </si>
  <si>
    <t>12,203 EGP</t>
  </si>
  <si>
    <t>E5-361</t>
  </si>
  <si>
    <t>MS-667</t>
  </si>
  <si>
    <t>17,313 EGP</t>
  </si>
  <si>
    <t>15,853 EGP</t>
  </si>
  <si>
    <t>W12</t>
  </si>
  <si>
    <t>T11</t>
  </si>
  <si>
    <t>X11</t>
  </si>
  <si>
    <t>I31</t>
  </si>
  <si>
    <t>E34</t>
  </si>
  <si>
    <t>P40</t>
  </si>
  <si>
    <t>03:45</t>
  </si>
  <si>
    <t>G1</t>
  </si>
  <si>
    <t>S8</t>
  </si>
  <si>
    <t>I40</t>
  </si>
  <si>
    <t>P46</t>
  </si>
  <si>
    <t>04:30</t>
  </si>
  <si>
    <t>L1</t>
  </si>
  <si>
    <t>S4</t>
  </si>
  <si>
    <t>W10</t>
  </si>
  <si>
    <t>T10</t>
  </si>
  <si>
    <t>U10</t>
  </si>
  <si>
    <t>O15</t>
  </si>
  <si>
    <t>P92</t>
  </si>
  <si>
    <t>N2</t>
  </si>
  <si>
    <t>09:45</t>
  </si>
  <si>
    <t>S11</t>
  </si>
  <si>
    <t>O4</t>
  </si>
  <si>
    <t>I17</t>
  </si>
  <si>
    <t>P142</t>
  </si>
  <si>
    <t>N6</t>
  </si>
  <si>
    <t>13:30</t>
  </si>
  <si>
    <t>T4</t>
  </si>
  <si>
    <t>X9</t>
  </si>
  <si>
    <t>O5</t>
  </si>
  <si>
    <t>I5</t>
  </si>
  <si>
    <t>P137</t>
  </si>
  <si>
    <t>22:30</t>
  </si>
  <si>
    <t>S12</t>
  </si>
  <si>
    <t>W11</t>
  </si>
  <si>
    <t>I50</t>
  </si>
  <si>
    <t>E29</t>
  </si>
  <si>
    <t>N1</t>
  </si>
  <si>
    <t>FRIDAY</t>
  </si>
  <si>
    <t>03:25</t>
  </si>
  <si>
    <t>T31</t>
  </si>
  <si>
    <t>O17</t>
  </si>
  <si>
    <t>I29</t>
  </si>
  <si>
    <t>06:45</t>
  </si>
  <si>
    <t>S1</t>
  </si>
  <si>
    <t>T25</t>
  </si>
  <si>
    <t>X33</t>
  </si>
  <si>
    <t>P41</t>
  </si>
  <si>
    <t>10:30</t>
  </si>
  <si>
    <t>O10</t>
  </si>
  <si>
    <t>I15</t>
  </si>
  <si>
    <t>P50</t>
  </si>
  <si>
    <t>13:25</t>
  </si>
  <si>
    <t>T12</t>
  </si>
  <si>
    <t>X26</t>
  </si>
  <si>
    <t>O20</t>
  </si>
  <si>
    <t>I30</t>
  </si>
  <si>
    <t>18:15</t>
  </si>
  <si>
    <t>W14</t>
  </si>
  <si>
    <t>X37</t>
  </si>
  <si>
    <t>I33</t>
  </si>
  <si>
    <t>01:10</t>
  </si>
  <si>
    <t>T8</t>
  </si>
  <si>
    <t>X12</t>
  </si>
  <si>
    <t>O12</t>
  </si>
  <si>
    <t>I22</t>
  </si>
  <si>
    <t>E49</t>
  </si>
  <si>
    <t>P64</t>
  </si>
  <si>
    <t>W8</t>
  </si>
  <si>
    <t>I25</t>
  </si>
  <si>
    <t>P94</t>
  </si>
  <si>
    <t>12:05</t>
  </si>
  <si>
    <t>P125</t>
  </si>
  <si>
    <t>21:45</t>
  </si>
  <si>
    <t>T34</t>
  </si>
  <si>
    <t>P45</t>
  </si>
  <si>
    <t>11:45</t>
  </si>
  <si>
    <t>09:35</t>
  </si>
  <si>
    <t>23:45</t>
  </si>
  <si>
    <t>21:20</t>
  </si>
  <si>
    <t>22:40</t>
  </si>
  <si>
    <t>23:50</t>
  </si>
  <si>
    <t>09:25</t>
  </si>
  <si>
    <t>20:05</t>
  </si>
  <si>
    <t>08:20</t>
  </si>
  <si>
    <t>18:00</t>
  </si>
  <si>
    <t>11:40</t>
  </si>
  <si>
    <t>11:50</t>
  </si>
  <si>
    <t>HBE-JED</t>
  </si>
  <si>
    <t>E5-325</t>
  </si>
  <si>
    <t>Cabin: 10 KG</t>
  </si>
  <si>
    <t>10,075 EGP</t>
  </si>
  <si>
    <t>Cabin: 10 KG / Check-in: 20 KG</t>
  </si>
  <si>
    <t>11,167 EGP</t>
  </si>
  <si>
    <t>11,856 EGP</t>
  </si>
  <si>
    <t>SV-332</t>
  </si>
  <si>
    <r>
      <rPr>
        <b/>
        <i/>
        <sz val="13"/>
        <color rgb="FFBC0000"/>
        <rFont val="Calibri"/>
        <family val="2"/>
      </rPr>
      <t>6</t>
    </r>
    <r>
      <rPr>
        <b/>
        <i/>
        <sz val="10"/>
        <color rgb="FFBC0000"/>
        <rFont val="Calibri"/>
        <family val="2"/>
      </rPr>
      <t xml:space="preserve"> FOR SAME CLASS</t>
    </r>
  </si>
  <si>
    <t>19,183 EGP</t>
  </si>
  <si>
    <t>SV-410</t>
  </si>
  <si>
    <t>SM451</t>
  </si>
  <si>
    <t>S3 &amp; T12 &amp; X13 &amp; U3 &amp; O2 &amp; I17 &amp; P130</t>
  </si>
  <si>
    <t>Indirect competition route CAI – JED - diversion ratio &amp; passenger leakage</t>
  </si>
  <si>
    <t>38 FOR SAME CLASS</t>
  </si>
  <si>
    <t>39 FOR SAME CLASS</t>
  </si>
  <si>
    <t>15 FOR SAME CLASS</t>
  </si>
  <si>
    <t>6 FOR SAME CLASS</t>
  </si>
  <si>
    <t>E5-391</t>
  </si>
  <si>
    <t>7,816 EGP</t>
  </si>
  <si>
    <t>8,630 EGP</t>
  </si>
  <si>
    <t>10,817 EGP</t>
  </si>
  <si>
    <t>SM-451</t>
  </si>
  <si>
    <r>
      <rPr>
        <b/>
        <i/>
        <sz val="13"/>
        <color rgb="FFBC0000"/>
        <rFont val="Calibri"/>
        <family val="2"/>
      </rPr>
      <t>8</t>
    </r>
    <r>
      <rPr>
        <b/>
        <i/>
        <sz val="10"/>
        <color rgb="FFBC0000"/>
        <rFont val="Calibri"/>
        <family val="2"/>
      </rPr>
      <t xml:space="preserve"> FOR SAME CLASS</t>
    </r>
  </si>
  <si>
    <t>G8</t>
  </si>
  <si>
    <t>L2 &amp; G1 &amp; S18 &amp; W18 &amp; T9 &amp; X27 &amp; U5 &amp; O5 &amp; I5 &amp; P45</t>
  </si>
  <si>
    <r>
      <rPr>
        <b/>
        <i/>
        <sz val="13"/>
        <color rgb="FFBC0000"/>
        <rFont val="Calibri"/>
        <family val="2"/>
      </rPr>
      <t>7</t>
    </r>
    <r>
      <rPr>
        <b/>
        <i/>
        <sz val="10"/>
        <color rgb="FFBC0000"/>
        <rFont val="Calibri"/>
        <family val="2"/>
      </rPr>
      <t xml:space="preserve"> FOR SAME CLASS</t>
    </r>
  </si>
  <si>
    <t>05:45</t>
  </si>
  <si>
    <t>2 FOR SAME CLASS</t>
  </si>
  <si>
    <t>13:00</t>
  </si>
  <si>
    <t>4 FOR SAME CLASS</t>
  </si>
  <si>
    <t>02:30</t>
  </si>
  <si>
    <t>19:00</t>
  </si>
  <si>
    <t>F3-774</t>
  </si>
  <si>
    <t>Hand baggage only</t>
  </si>
  <si>
    <t>6,133 EGP</t>
  </si>
  <si>
    <r>
      <rPr>
        <i/>
        <sz val="13"/>
        <rFont val="Calibri"/>
        <family val="2"/>
      </rPr>
      <t>2</t>
    </r>
    <r>
      <rPr>
        <i/>
        <sz val="10"/>
        <rFont val="Calibri"/>
        <family val="2"/>
      </rPr>
      <t xml:space="preserve"> FOR SAME CLASS</t>
    </r>
  </si>
  <si>
    <t>6,889 EGP</t>
  </si>
  <si>
    <t>7,196 EGP</t>
  </si>
  <si>
    <t>Cabin: 10 KG / Check-in: 32 KG</t>
  </si>
  <si>
    <t>8,191 EGP</t>
  </si>
  <si>
    <t>9,005 EGP</t>
  </si>
  <si>
    <t>11,192 EGP</t>
  </si>
  <si>
    <t>SM-457</t>
  </si>
  <si>
    <t>SM457</t>
  </si>
  <si>
    <t>W7</t>
  </si>
  <si>
    <t>S7 &amp; W3 &amp; T15 &amp; X15 &amp; U5 &amp; P127</t>
  </si>
  <si>
    <t>S8 &amp; W10 &amp; T15 &amp; X15 &amp; U10 &amp; O10 &amp; P90</t>
  </si>
  <si>
    <t>8,938 EGP</t>
  </si>
  <si>
    <t>10,744 EGP</t>
  </si>
  <si>
    <t>12,165 EGP</t>
  </si>
  <si>
    <t>MS-655</t>
  </si>
  <si>
    <t>13,382 EGP</t>
  </si>
  <si>
    <t>13 FOR SAME CLASS</t>
  </si>
  <si>
    <t>11 FOR SAME CLASS</t>
  </si>
  <si>
    <t>8 FOR SAME CLASS</t>
  </si>
  <si>
    <t>02:05</t>
  </si>
  <si>
    <t>X13</t>
  </si>
  <si>
    <t>U3</t>
  </si>
  <si>
    <t>O2</t>
  </si>
  <si>
    <t>L2</t>
  </si>
  <si>
    <t>S18</t>
  </si>
  <si>
    <t>W18</t>
  </si>
  <si>
    <t>X27</t>
  </si>
  <si>
    <t>U5</t>
  </si>
  <si>
    <t>06:30</t>
  </si>
  <si>
    <t>T15</t>
  </si>
  <si>
    <t>P127</t>
  </si>
  <si>
    <t>14:30</t>
  </si>
  <si>
    <t>08:40</t>
  </si>
  <si>
    <t>10:50</t>
  </si>
  <si>
    <t>19:40</t>
  </si>
  <si>
    <t>CAI-JED AS ALTERNATIVE ROUTE</t>
  </si>
  <si>
    <t>ATZ-JED</t>
  </si>
  <si>
    <t>SM-455</t>
  </si>
  <si>
    <t>7,657 EGP</t>
  </si>
  <si>
    <t>SM455</t>
  </si>
  <si>
    <t>S23 &amp; W30 &amp; P95</t>
  </si>
  <si>
    <t>SM-453</t>
  </si>
  <si>
    <t>SM453</t>
  </si>
  <si>
    <t>S9 &amp; W24 &amp; X1 &amp; E47 &amp; P86</t>
  </si>
  <si>
    <t>MS-8223</t>
  </si>
  <si>
    <t>10,692 EGP</t>
  </si>
  <si>
    <t>SM491</t>
  </si>
  <si>
    <t>SEATS AVAILABLE</t>
  </si>
  <si>
    <t>G5 &amp; S18 &amp; W18 &amp; T18 &amp; X18 &amp; U18 &amp; O18 &amp; I18</t>
  </si>
  <si>
    <t>HIGH DEMAND</t>
  </si>
  <si>
    <t>S2 &amp; W12 &amp; T10 &amp; X10 &amp; U24 &amp; O5 &amp; I5 &amp; P90</t>
  </si>
  <si>
    <t>Y1 &amp; S5 &amp; W12 &amp; T11 &amp; X17 &amp; U31 &amp; I2 &amp; P100</t>
  </si>
  <si>
    <t>07:55</t>
  </si>
  <si>
    <t>S9</t>
  </si>
  <si>
    <t>W24</t>
  </si>
  <si>
    <t>X1</t>
  </si>
  <si>
    <t>E47</t>
  </si>
  <si>
    <t>P86</t>
  </si>
  <si>
    <t>13:10</t>
  </si>
  <si>
    <t>S23</t>
  </si>
  <si>
    <t>W30</t>
  </si>
  <si>
    <t>P95</t>
  </si>
  <si>
    <t>03:15</t>
  </si>
  <si>
    <t>G5</t>
  </si>
  <si>
    <t>T18</t>
  </si>
  <si>
    <t>X18</t>
  </si>
  <si>
    <t>U18</t>
  </si>
  <si>
    <t>O18</t>
  </si>
  <si>
    <t>I18</t>
  </si>
  <si>
    <t>07:15</t>
  </si>
  <si>
    <t>U24</t>
  </si>
  <si>
    <t>12:40</t>
  </si>
  <si>
    <t>Y1</t>
  </si>
  <si>
    <t>X17</t>
  </si>
  <si>
    <t>U31</t>
  </si>
  <si>
    <t>I2</t>
  </si>
  <si>
    <t>P100</t>
  </si>
  <si>
    <t>SM-491</t>
  </si>
  <si>
    <t>LXR-JED</t>
  </si>
  <si>
    <t>ASW-JED</t>
  </si>
  <si>
    <t>SSH-JED</t>
  </si>
  <si>
    <t>SV-326</t>
  </si>
  <si>
    <t>11,602 EGP</t>
  </si>
  <si>
    <t>17,057 EGP</t>
  </si>
  <si>
    <t>16:35</t>
  </si>
  <si>
    <t>HRG-JED</t>
  </si>
  <si>
    <t>CAI-RUH</t>
  </si>
  <si>
    <t>XY-266</t>
  </si>
  <si>
    <t>3,956 EGP</t>
  </si>
  <si>
    <t>5,237 EGP</t>
  </si>
  <si>
    <t>6,390 EGP</t>
  </si>
  <si>
    <t>XY-276</t>
  </si>
  <si>
    <t>4,469 EGP</t>
  </si>
  <si>
    <t>5,749 EGP</t>
  </si>
  <si>
    <t>XY-268</t>
  </si>
  <si>
    <t>XY-272</t>
  </si>
  <si>
    <t>XY-270</t>
  </si>
  <si>
    <t>XY-264</t>
  </si>
  <si>
    <t>4,981 EGP</t>
  </si>
  <si>
    <t>6,262 EGP</t>
  </si>
  <si>
    <t>XY-274</t>
  </si>
  <si>
    <t>F3-612</t>
  </si>
  <si>
    <r>
      <rPr>
        <b/>
        <i/>
        <sz val="13"/>
        <color rgb="FFBC0000"/>
        <rFont val="Calibri"/>
        <family val="2"/>
      </rPr>
      <t>82</t>
    </r>
    <r>
      <rPr>
        <b/>
        <i/>
        <sz val="10"/>
        <color rgb="FFBC0000"/>
        <rFont val="Calibri"/>
        <family val="2"/>
      </rPr>
      <t xml:space="preserve"> FOR SAME CLASS</t>
    </r>
  </si>
  <si>
    <t>4,213 EGP</t>
  </si>
  <si>
    <r>
      <rPr>
        <i/>
        <sz val="13"/>
        <rFont val="Calibri"/>
        <family val="2"/>
      </rPr>
      <t>82</t>
    </r>
    <r>
      <rPr>
        <i/>
        <sz val="10"/>
        <rFont val="Calibri"/>
        <family val="2"/>
      </rPr>
      <t xml:space="preserve"> FOR SAME CLASS</t>
    </r>
  </si>
  <si>
    <t>12,152 EGP</t>
  </si>
  <si>
    <t>F3-608</t>
  </si>
  <si>
    <r>
      <rPr>
        <b/>
        <i/>
        <sz val="13"/>
        <rFont val="Calibri"/>
        <family val="2"/>
      </rPr>
      <t>68</t>
    </r>
    <r>
      <rPr>
        <b/>
        <i/>
        <sz val="10"/>
        <rFont val="Calibri"/>
        <family val="2"/>
      </rPr>
      <t xml:space="preserve"> FOR SAME CLASS</t>
    </r>
  </si>
  <si>
    <r>
      <rPr>
        <i/>
        <sz val="13"/>
        <rFont val="Calibri"/>
        <family val="2"/>
      </rPr>
      <t>68</t>
    </r>
    <r>
      <rPr>
        <i/>
        <sz val="10"/>
        <rFont val="Calibri"/>
        <family val="2"/>
      </rPr>
      <t xml:space="preserve"> FOR SAME CLASS</t>
    </r>
  </si>
  <si>
    <t>F3-606</t>
  </si>
  <si>
    <r>
      <rPr>
        <b/>
        <i/>
        <sz val="13"/>
        <rFont val="Calibri"/>
        <family val="2"/>
      </rPr>
      <t>58</t>
    </r>
    <r>
      <rPr>
        <b/>
        <i/>
        <sz val="10"/>
        <rFont val="Calibri"/>
        <family val="2"/>
      </rPr>
      <t xml:space="preserve"> FOR SAME CLASS</t>
    </r>
  </si>
  <si>
    <r>
      <rPr>
        <i/>
        <sz val="13"/>
        <rFont val="Calibri"/>
        <family val="2"/>
      </rPr>
      <t>58</t>
    </r>
    <r>
      <rPr>
        <i/>
        <sz val="10"/>
        <rFont val="Calibri"/>
        <family val="2"/>
      </rPr>
      <t xml:space="preserve"> FOR SAME CLASS</t>
    </r>
  </si>
  <si>
    <t>F3-616</t>
  </si>
  <si>
    <r>
      <rPr>
        <b/>
        <i/>
        <sz val="13"/>
        <rFont val="Calibri"/>
        <family val="2"/>
      </rPr>
      <t>79</t>
    </r>
    <r>
      <rPr>
        <b/>
        <i/>
        <sz val="10"/>
        <rFont val="Calibri"/>
        <family val="2"/>
      </rPr>
      <t xml:space="preserve"> FOR SAME CLASS</t>
    </r>
  </si>
  <si>
    <r>
      <rPr>
        <i/>
        <sz val="13"/>
        <rFont val="Calibri"/>
        <family val="2"/>
      </rPr>
      <t>79</t>
    </r>
    <r>
      <rPr>
        <i/>
        <sz val="10"/>
        <rFont val="Calibri"/>
        <family val="2"/>
      </rPr>
      <t xml:space="preserve"> FOR SAME CLASS</t>
    </r>
  </si>
  <si>
    <t>NP-351</t>
  </si>
  <si>
    <t>4,622 EGP</t>
  </si>
  <si>
    <t>NP-151</t>
  </si>
  <si>
    <t>NP-251</t>
  </si>
  <si>
    <t>5,685 EGP</t>
  </si>
  <si>
    <t>NE-160</t>
  </si>
  <si>
    <t>4,661 EGP</t>
  </si>
  <si>
    <t>NE-164</t>
  </si>
  <si>
    <t>5,698 EGP</t>
  </si>
  <si>
    <t>SM-461</t>
  </si>
  <si>
    <t>5,468 EGP</t>
  </si>
  <si>
    <t>SM461</t>
  </si>
  <si>
    <t>U9</t>
  </si>
  <si>
    <t>T3 &amp; X31 &amp; U20 &amp; O15 &amp; I34</t>
  </si>
  <si>
    <t>E5-410</t>
  </si>
  <si>
    <t>7,524 EGP</t>
  </si>
  <si>
    <t>9,161 EGP</t>
  </si>
  <si>
    <t>MS-649</t>
  </si>
  <si>
    <t>7,837 EGP</t>
  </si>
  <si>
    <t>MS-651</t>
  </si>
  <si>
    <t>MS-647</t>
  </si>
  <si>
    <t>18,696 EGP</t>
  </si>
  <si>
    <t>SV-320</t>
  </si>
  <si>
    <t>8,887 EGP</t>
  </si>
  <si>
    <t>10,641 EGP</t>
  </si>
  <si>
    <t>SV-6632</t>
  </si>
  <si>
    <t>13,497 EGP</t>
  </si>
  <si>
    <t>SV-6905</t>
  </si>
  <si>
    <t>SV-6693</t>
  </si>
  <si>
    <t>SV-310</t>
  </si>
  <si>
    <t>13,650 EGP</t>
  </si>
  <si>
    <t>SV-312</t>
  </si>
  <si>
    <t>SV-418</t>
  </si>
  <si>
    <r>
      <rPr>
        <b/>
        <i/>
        <sz val="13"/>
        <color rgb="FFBC0000"/>
        <rFont val="Calibri"/>
        <family val="2"/>
      </rPr>
      <t>41</t>
    </r>
    <r>
      <rPr>
        <b/>
        <i/>
        <sz val="10"/>
        <color rgb="FFBC0000"/>
        <rFont val="Calibri"/>
        <family val="2"/>
      </rPr>
      <t xml:space="preserve"> FOR SAME CLASS</t>
    </r>
  </si>
  <si>
    <r>
      <rPr>
        <i/>
        <sz val="13"/>
        <rFont val="Calibri"/>
        <family val="2"/>
      </rPr>
      <t>41</t>
    </r>
    <r>
      <rPr>
        <i/>
        <sz val="10"/>
        <rFont val="Calibri"/>
        <family val="2"/>
      </rPr>
      <t xml:space="preserve"> FOR SAME CLASS</t>
    </r>
  </si>
  <si>
    <r>
      <rPr>
        <b/>
        <i/>
        <sz val="13"/>
        <rFont val="Calibri"/>
        <family val="2"/>
      </rPr>
      <t>25</t>
    </r>
    <r>
      <rPr>
        <b/>
        <i/>
        <sz val="10"/>
        <rFont val="Calibri"/>
        <family val="2"/>
      </rPr>
      <t xml:space="preserve"> FOR SAME CLASS</t>
    </r>
  </si>
  <si>
    <r>
      <rPr>
        <i/>
        <sz val="13"/>
        <rFont val="Calibri"/>
        <family val="2"/>
      </rPr>
      <t>25</t>
    </r>
    <r>
      <rPr>
        <i/>
        <sz val="10"/>
        <rFont val="Calibri"/>
        <family val="2"/>
      </rPr>
      <t xml:space="preserve"> FOR SAME CLASS</t>
    </r>
  </si>
  <si>
    <r>
      <rPr>
        <b/>
        <i/>
        <sz val="13"/>
        <rFont val="Calibri"/>
        <family val="2"/>
      </rPr>
      <t>35</t>
    </r>
    <r>
      <rPr>
        <b/>
        <i/>
        <sz val="10"/>
        <rFont val="Calibri"/>
        <family val="2"/>
      </rPr>
      <t xml:space="preserve"> FOR SAME CLASS</t>
    </r>
  </si>
  <si>
    <t>4,597 EGP</t>
  </si>
  <si>
    <r>
      <rPr>
        <i/>
        <sz val="13"/>
        <rFont val="Calibri"/>
        <family val="2"/>
      </rPr>
      <t>35</t>
    </r>
    <r>
      <rPr>
        <i/>
        <sz val="10"/>
        <rFont val="Calibri"/>
        <family val="2"/>
      </rPr>
      <t xml:space="preserve"> FOR SAME CLASS</t>
    </r>
  </si>
  <si>
    <r>
      <rPr>
        <b/>
        <i/>
        <sz val="13"/>
        <rFont val="Calibri"/>
        <family val="2"/>
      </rPr>
      <t>54</t>
    </r>
    <r>
      <rPr>
        <b/>
        <i/>
        <sz val="10"/>
        <rFont val="Calibri"/>
        <family val="2"/>
      </rPr>
      <t xml:space="preserve"> FOR SAME CLASS</t>
    </r>
  </si>
  <si>
    <r>
      <rPr>
        <i/>
        <sz val="13"/>
        <rFont val="Calibri"/>
        <family val="2"/>
      </rPr>
      <t>54</t>
    </r>
    <r>
      <rPr>
        <i/>
        <sz val="10"/>
        <rFont val="Calibri"/>
        <family val="2"/>
      </rPr>
      <t xml:space="preserve"> FOR SAME CLASS</t>
    </r>
  </si>
  <si>
    <t>SM-469</t>
  </si>
  <si>
    <t>SM469</t>
  </si>
  <si>
    <t>W4 &amp; T15 &amp; X10 &amp; U14 &amp; O10 &amp; I26</t>
  </si>
  <si>
    <t>S2 &amp; W4 &amp; T11 &amp; X20 &amp; U10 &amp; O17 &amp; I28</t>
  </si>
  <si>
    <t>20,425 EGP</t>
  </si>
  <si>
    <t>13,983 EGP</t>
  </si>
  <si>
    <t>18,645 EGP</t>
  </si>
  <si>
    <t>5,621 EGP</t>
  </si>
  <si>
    <t>8,310 EGP</t>
  </si>
  <si>
    <t>9,463 EGP</t>
  </si>
  <si>
    <t>7,798 EGP</t>
  </si>
  <si>
    <t>10,231 EGP</t>
  </si>
  <si>
    <r>
      <rPr>
        <b/>
        <i/>
        <sz val="13"/>
        <color rgb="FFBC0000"/>
        <rFont val="Calibri"/>
        <family val="2"/>
      </rPr>
      <t>17</t>
    </r>
    <r>
      <rPr>
        <b/>
        <i/>
        <sz val="10"/>
        <color rgb="FFBC0000"/>
        <rFont val="Calibri"/>
        <family val="2"/>
      </rPr>
      <t xml:space="preserve"> FOR SAME CLASS</t>
    </r>
  </si>
  <si>
    <t>5,877 EGP</t>
  </si>
  <si>
    <r>
      <rPr>
        <i/>
        <sz val="13"/>
        <rFont val="Calibri"/>
        <family val="2"/>
      </rPr>
      <t>17</t>
    </r>
    <r>
      <rPr>
        <i/>
        <sz val="10"/>
        <rFont val="Calibri"/>
        <family val="2"/>
      </rPr>
      <t xml:space="preserve"> FOR SAME CLASS</t>
    </r>
  </si>
  <si>
    <t>18,299 EGP</t>
  </si>
  <si>
    <t>6,646 EGP</t>
  </si>
  <si>
    <t>8,567 EGP</t>
  </si>
  <si>
    <t>6,338 EGP</t>
  </si>
  <si>
    <t>W6</t>
  </si>
  <si>
    <t>S4 &amp; W11 &amp; T19 &amp; X10 &amp; U17 &amp; O10 &amp; I35</t>
  </si>
  <si>
    <t>NP-353</t>
  </si>
  <si>
    <t>7,388 EGP</t>
  </si>
  <si>
    <t>10,808 EGP</t>
  </si>
  <si>
    <t>12,562 EGP</t>
  </si>
  <si>
    <t>11,678 EGP</t>
  </si>
  <si>
    <t>14,752 EGP</t>
  </si>
  <si>
    <t>15,379 EGP</t>
  </si>
  <si>
    <t>16,045 EGP</t>
  </si>
  <si>
    <t>20,092 EGP</t>
  </si>
  <si>
    <t>10,756 EGP</t>
  </si>
  <si>
    <t>09:55</t>
  </si>
  <si>
    <t>T3</t>
  </si>
  <si>
    <t>X31</t>
  </si>
  <si>
    <t>U20</t>
  </si>
  <si>
    <t>I34</t>
  </si>
  <si>
    <t>X20</t>
  </si>
  <si>
    <t>I28</t>
  </si>
  <si>
    <t>17:25</t>
  </si>
  <si>
    <t>U14</t>
  </si>
  <si>
    <t>I26</t>
  </si>
  <si>
    <t>T19</t>
  </si>
  <si>
    <t>U17</t>
  </si>
  <si>
    <t>I35</t>
  </si>
  <si>
    <t>23:00</t>
  </si>
  <si>
    <t>15:05</t>
  </si>
  <si>
    <t>13:50</t>
  </si>
  <si>
    <t>15:10</t>
  </si>
  <si>
    <t>04:05</t>
  </si>
  <si>
    <t>02:10</t>
  </si>
  <si>
    <t>12:10</t>
  </si>
  <si>
    <t>ATZ-RUH</t>
  </si>
  <si>
    <t>XY-284</t>
  </si>
  <si>
    <t>Cabin: 7 KG</t>
  </si>
  <si>
    <t>9,604 EGP</t>
  </si>
  <si>
    <t>10,731 EGP</t>
  </si>
  <si>
    <t>11,794 EGP</t>
  </si>
  <si>
    <t>Indirect competition route CAI – RUH - diversion ratio &amp; passenger leakage</t>
  </si>
  <si>
    <t>82 FOR SAME CLASS</t>
  </si>
  <si>
    <t>68 FOR SAME CLASS</t>
  </si>
  <si>
    <t>58 FOR SAME CLASS</t>
  </si>
  <si>
    <t>79 FOR SAME CLASS</t>
  </si>
  <si>
    <t>12,011 EGP</t>
  </si>
  <si>
    <t>13,074 EGP</t>
  </si>
  <si>
    <t>17 FOR SAME CLASS</t>
  </si>
  <si>
    <t>CAI-RUH AS ALTERNATIVE ROUTE</t>
  </si>
  <si>
    <t>CAI-DMM</t>
  </si>
  <si>
    <t>F3-912</t>
  </si>
  <si>
    <t>5,109 EGP</t>
  </si>
  <si>
    <t>12,792 EGP</t>
  </si>
  <si>
    <t>XY-895</t>
  </si>
  <si>
    <t>5,493 EGP</t>
  </si>
  <si>
    <t>7,926 EGP</t>
  </si>
  <si>
    <t>XY-855</t>
  </si>
  <si>
    <t>NE-154</t>
  </si>
  <si>
    <t>6,543 EGP</t>
  </si>
  <si>
    <t>NE-152</t>
  </si>
  <si>
    <t>NP-331</t>
  </si>
  <si>
    <t>7,132 EGP</t>
  </si>
  <si>
    <t>NP-131</t>
  </si>
  <si>
    <t>7,747 EGP</t>
  </si>
  <si>
    <t>MS-681</t>
  </si>
  <si>
    <t>7,504 EGP</t>
  </si>
  <si>
    <t>MS-683</t>
  </si>
  <si>
    <t>10,103 EGP</t>
  </si>
  <si>
    <t>MS-687</t>
  </si>
  <si>
    <t>14,163 EGP</t>
  </si>
  <si>
    <t>SM-433</t>
  </si>
  <si>
    <t>SM433</t>
  </si>
  <si>
    <t>V2 &amp; L8 &amp; G10 &amp; S27 &amp; U36 &amp; O3 &amp; I4</t>
  </si>
  <si>
    <t>SV-6447</t>
  </si>
  <si>
    <t>NE-150</t>
  </si>
  <si>
    <t>7,158 EGP</t>
  </si>
  <si>
    <t>NP-231</t>
  </si>
  <si>
    <t>8,131 EGP</t>
  </si>
  <si>
    <t>V1 &amp; L9 &amp; G10 &amp; S10 &amp; W10 &amp; T10 &amp; X20 &amp; O25 &amp; I5</t>
  </si>
  <si>
    <t>19,810 EGP</t>
  </si>
  <si>
    <t>V9 &amp; L14 &amp; G46 &amp; S3 &amp; W1 &amp; T6 &amp; X8 &amp; U22 &amp; O3 &amp; I6</t>
  </si>
  <si>
    <t>9,591 EGP</t>
  </si>
  <si>
    <t>16,890 EGP</t>
  </si>
  <si>
    <t>17,492 EGP</t>
  </si>
  <si>
    <t>17:20</t>
  </si>
  <si>
    <t>L8</t>
  </si>
  <si>
    <t>G10</t>
  </si>
  <si>
    <t>S27</t>
  </si>
  <si>
    <t>U36</t>
  </si>
  <si>
    <t>O3</t>
  </si>
  <si>
    <t>I4</t>
  </si>
  <si>
    <t>L9</t>
  </si>
  <si>
    <t>S10</t>
  </si>
  <si>
    <t>O25</t>
  </si>
  <si>
    <t>V9</t>
  </si>
  <si>
    <t>L14</t>
  </si>
  <si>
    <t>G46</t>
  </si>
  <si>
    <t>X8</t>
  </si>
  <si>
    <t>U22</t>
  </si>
  <si>
    <t>I6</t>
  </si>
  <si>
    <t>10:45</t>
  </si>
  <si>
    <t>23:20</t>
  </si>
  <si>
    <t>16:20</t>
  </si>
  <si>
    <t>01:50</t>
  </si>
  <si>
    <t>18:10</t>
  </si>
  <si>
    <t>ATZ-DMM</t>
  </si>
  <si>
    <t>SM437</t>
  </si>
  <si>
    <t>Y1 &amp; V10 &amp; L11 &amp; G20 &amp; S20 &amp; W31 &amp; T16 &amp; X19 &amp; U30 &amp; O19</t>
  </si>
  <si>
    <t>Indirect competition route CAI – DMM - diversion ratio &amp; passenger leakage</t>
  </si>
  <si>
    <t>00:10</t>
  </si>
  <si>
    <t>23:10</t>
  </si>
  <si>
    <t>19:20</t>
  </si>
  <si>
    <t>23:30</t>
  </si>
  <si>
    <t>16:10</t>
  </si>
  <si>
    <t>01:45</t>
  </si>
  <si>
    <t>V10</t>
  </si>
  <si>
    <t>L11</t>
  </si>
  <si>
    <t>G20</t>
  </si>
  <si>
    <t>S20</t>
  </si>
  <si>
    <t>W31</t>
  </si>
  <si>
    <t>T16</t>
  </si>
  <si>
    <t>X19</t>
  </si>
  <si>
    <t>U30</t>
  </si>
  <si>
    <t>O19</t>
  </si>
  <si>
    <t>CAI-DMM AS ALTERNATIVE ROUTE</t>
  </si>
  <si>
    <t>SM-437</t>
  </si>
  <si>
    <t>CAI-TUU</t>
  </si>
  <si>
    <t>NP-107</t>
  </si>
  <si>
    <t>6,633 EGP</t>
  </si>
  <si>
    <t>SM-325</t>
  </si>
  <si>
    <t>SM325</t>
  </si>
  <si>
    <t>S2 &amp; U4 &amp; O3 &amp; I55</t>
  </si>
  <si>
    <t>MS-811</t>
  </si>
  <si>
    <t>6,966 EGP</t>
  </si>
  <si>
    <t>E5-599</t>
  </si>
  <si>
    <t>6,527 EGP</t>
  </si>
  <si>
    <t>9,528 EGP</t>
  </si>
  <si>
    <t>NE-120</t>
  </si>
  <si>
    <t>NP-117</t>
  </si>
  <si>
    <t>7,670 EGP</t>
  </si>
  <si>
    <t>7,094 EGP</t>
  </si>
  <si>
    <t>S3 &amp; U4 &amp; O12 &amp; I55</t>
  </si>
  <si>
    <t>17:05</t>
  </si>
  <si>
    <t>U4</t>
  </si>
  <si>
    <t>I55</t>
  </si>
  <si>
    <t>E90</t>
  </si>
  <si>
    <t>ATZ-TUU</t>
  </si>
  <si>
    <t>SM-327</t>
  </si>
  <si>
    <t>7,248 EGP</t>
  </si>
  <si>
    <t>SM327</t>
  </si>
  <si>
    <t>I80</t>
  </si>
  <si>
    <t>Indirect competition route CAI – TUU - diversion ratio &amp; passenger leakage</t>
  </si>
  <si>
    <t>11:55</t>
  </si>
  <si>
    <t>23:40</t>
  </si>
  <si>
    <t>23:35</t>
  </si>
  <si>
    <t>09:05</t>
  </si>
  <si>
    <t>CAI-TUU AS ALTERNATIVE ROUTE</t>
  </si>
  <si>
    <t>CAI-AJF</t>
  </si>
  <si>
    <t>NP-119</t>
  </si>
  <si>
    <t>6,095 EGP</t>
  </si>
  <si>
    <t>SM-321</t>
  </si>
  <si>
    <t>6,454 EGP</t>
  </si>
  <si>
    <t>SM321</t>
  </si>
  <si>
    <t>S15 &amp; X23 &amp; U11 &amp; O3 &amp; I1</t>
  </si>
  <si>
    <t>7,491 EGP</t>
  </si>
  <si>
    <t>G8 &amp; S76 &amp; X7 &amp; I17</t>
  </si>
  <si>
    <t>18:25</t>
  </si>
  <si>
    <t>S15</t>
  </si>
  <si>
    <t>X23</t>
  </si>
  <si>
    <t>I1</t>
  </si>
  <si>
    <t>17:15</t>
  </si>
  <si>
    <t>S76</t>
  </si>
  <si>
    <t>X7</t>
  </si>
  <si>
    <t>16:50</t>
  </si>
  <si>
    <t>ATZ-AJF</t>
  </si>
  <si>
    <t>SM-323</t>
  </si>
  <si>
    <t>6,492 EGP</t>
  </si>
  <si>
    <t>SM323</t>
  </si>
  <si>
    <t>X1 &amp; U11 &amp; O31 &amp; I50</t>
  </si>
  <si>
    <t>O31</t>
  </si>
  <si>
    <t>CAI-AJF AS ALTERNATIVE ROUTE</t>
  </si>
  <si>
    <t>CAI-YNB</t>
  </si>
  <si>
    <t>SM-441</t>
  </si>
  <si>
    <t>8,784 EGP</t>
  </si>
  <si>
    <t>SM441</t>
  </si>
  <si>
    <t>G1 &amp; S7 &amp; W35 &amp; T6 &amp; X17 &amp; U4 &amp; P91</t>
  </si>
  <si>
    <t>NP-103</t>
  </si>
  <si>
    <t>15,392 EGP</t>
  </si>
  <si>
    <t>9,950 EGP</t>
  </si>
  <si>
    <t>L1 &amp; G14 &amp; S14 &amp; W15 &amp; T20 &amp; X21 &amp; U19 &amp; P41</t>
  </si>
  <si>
    <t>V6 &amp; S3 &amp; W3 &amp; T8 &amp; X12 &amp; P146 &amp; N1</t>
  </si>
  <si>
    <t>W35</t>
  </si>
  <si>
    <t>P91</t>
  </si>
  <si>
    <t>04:00</t>
  </si>
  <si>
    <t>G14</t>
  </si>
  <si>
    <t>S14</t>
  </si>
  <si>
    <t>W15</t>
  </si>
  <si>
    <t>T20</t>
  </si>
  <si>
    <t>X21</t>
  </si>
  <si>
    <t>U19</t>
  </si>
  <si>
    <t>03:00</t>
  </si>
  <si>
    <t>V6</t>
  </si>
  <si>
    <t>P146</t>
  </si>
  <si>
    <t>CAI-AHB</t>
  </si>
  <si>
    <t>NP-143</t>
  </si>
  <si>
    <t>13,932 EGP</t>
  </si>
  <si>
    <t>SM-443</t>
  </si>
  <si>
    <t>14,380 EGP</t>
  </si>
  <si>
    <t>SM443</t>
  </si>
  <si>
    <t>M1</t>
  </si>
  <si>
    <t>B2 &amp; M8 &amp; H18 &amp; Q18 &amp; K18 &amp; V18 &amp; L23 &amp; G12 &amp; S8 &amp; W4 &amp; T16 &amp; X9 &amp; U9 &amp; O7 &amp; I2</t>
  </si>
  <si>
    <t>NP-243</t>
  </si>
  <si>
    <t>M9</t>
  </si>
  <si>
    <t>M1 &amp; H15 &amp; Q15 &amp; K15 &amp; V15 &amp; L24 &amp; G13 &amp; S4 &amp; W2 &amp; T17 &amp; X8 &amp; U6 &amp; O11 &amp; I5</t>
  </si>
  <si>
    <t>B2</t>
  </si>
  <si>
    <t>M8</t>
  </si>
  <si>
    <t>H18</t>
  </si>
  <si>
    <t>Q18</t>
  </si>
  <si>
    <t>K18</t>
  </si>
  <si>
    <t>V18</t>
  </si>
  <si>
    <t>L23</t>
  </si>
  <si>
    <t>G12</t>
  </si>
  <si>
    <t>H15</t>
  </si>
  <si>
    <t>Q15</t>
  </si>
  <si>
    <t>K15</t>
  </si>
  <si>
    <t>V15</t>
  </si>
  <si>
    <t>L24</t>
  </si>
  <si>
    <t>G13</t>
  </si>
  <si>
    <t>T17</t>
  </si>
  <si>
    <t>U6</t>
  </si>
  <si>
    <t>22:00</t>
  </si>
  <si>
    <t>ATZ-AHB</t>
  </si>
  <si>
    <t>SM445</t>
  </si>
  <si>
    <t>L4 &amp; G18 &amp; S18 &amp; W49 &amp; T13 &amp; X17 &amp; U18 &amp; O28</t>
  </si>
  <si>
    <t>14:00</t>
  </si>
  <si>
    <t>L4</t>
  </si>
  <si>
    <t>G18</t>
  </si>
  <si>
    <t>W49</t>
  </si>
  <si>
    <t>T13</t>
  </si>
  <si>
    <t>O28</t>
  </si>
  <si>
    <t>CAI-AHB AS ALTERNATIVE ROUTE</t>
  </si>
  <si>
    <t>SM-445</t>
  </si>
  <si>
    <t>CAI-ELQ</t>
  </si>
  <si>
    <t>NP-105</t>
  </si>
  <si>
    <t>SM-427</t>
  </si>
  <si>
    <t>SM427</t>
  </si>
  <si>
    <t>G6 &amp; S10 &amp; W47 &amp; U1 &amp; O6 &amp; I34</t>
  </si>
  <si>
    <t>NE-140</t>
  </si>
  <si>
    <t>6,659 EGP</t>
  </si>
  <si>
    <t>E5-591</t>
  </si>
  <si>
    <t>7,345 EGP</t>
  </si>
  <si>
    <t>8,982 EGP</t>
  </si>
  <si>
    <t>MS-633</t>
  </si>
  <si>
    <t>8,170 EGP</t>
  </si>
  <si>
    <t>G2 &amp; S11 &amp; W40 &amp; O5 &amp; I17</t>
  </si>
  <si>
    <t>7,081 EGP</t>
  </si>
  <si>
    <t>7,978 EGP</t>
  </si>
  <si>
    <t>8,861 EGP</t>
  </si>
  <si>
    <t>NP-115</t>
  </si>
  <si>
    <t>9,540 EGP</t>
  </si>
  <si>
    <t>G6</t>
  </si>
  <si>
    <t>W47</t>
  </si>
  <si>
    <t>U1</t>
  </si>
  <si>
    <t>O6</t>
  </si>
  <si>
    <t>19:55</t>
  </si>
  <si>
    <t>G2</t>
  </si>
  <si>
    <t>W40</t>
  </si>
  <si>
    <t>ATZ-ELQ</t>
  </si>
  <si>
    <t>SM435</t>
  </si>
  <si>
    <t>L1 &amp; G22 &amp; S4 &amp; W3 &amp; T2 &amp; X20 &amp; U13 &amp; O12 &amp; I15</t>
  </si>
  <si>
    <t>Indirect competition route CAI – ELQ - diversion ratio &amp; passenger leakage</t>
  </si>
  <si>
    <t>19:30</t>
  </si>
  <si>
    <t>20:55</t>
  </si>
  <si>
    <t>G22</t>
  </si>
  <si>
    <t>T2</t>
  </si>
  <si>
    <t>U13</t>
  </si>
  <si>
    <t>CAI-ELQ AS ALTERNATIVE ROUTE</t>
  </si>
  <si>
    <t>10:55</t>
  </si>
  <si>
    <t>20:50</t>
  </si>
  <si>
    <t>SM-435</t>
  </si>
  <si>
    <t>CAI-GIZ</t>
  </si>
  <si>
    <t>NP-141</t>
  </si>
  <si>
    <t>7,683 EGP</t>
  </si>
  <si>
    <t>SM-329</t>
  </si>
  <si>
    <t>8,605 EGP</t>
  </si>
  <si>
    <t>SM329</t>
  </si>
  <si>
    <t>S8 &amp; W1 &amp; T1 &amp; X57 &amp; U38 &amp; O22 &amp; I1</t>
  </si>
  <si>
    <t>W9 &amp; T8 &amp; X93 &amp; U11 &amp; O11 &amp; I5</t>
  </si>
  <si>
    <t>8,631 EGP</t>
  </si>
  <si>
    <t>T1</t>
  </si>
  <si>
    <t>X57</t>
  </si>
  <si>
    <t>U38</t>
  </si>
  <si>
    <t>O22</t>
  </si>
  <si>
    <t>X93</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</si>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</sst>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5" formatCode="[$-F800]dddd\,\ mmmm\ dd\,\ yyyy"/>
    <numFmt numFmtId="166" formatCode="yyyy\-mm\-dd\ h:mm:ss"/>
    <numFmt numFmtId="167" formatCode="dddd\,\ mmmm\ dd\,\ yyyy"/>
    <numFmt numFmtId="168" formatCode="h:mm;@"/>
    <numFmt numFmtId="169" formatCode="0.0%"/>
    <numFmt numFmtId="170" formatCode="[$-409]dddd"/>
    <numFmt numFmtId="171" formatCode="dd\-mmm\-yy"/>
    <numFmt numFmtId="172" formatCode="hh:mm"/>
  </numFmts>
  <fonts count="38" x14ac:knownFonts="1">
    <font>
      <sz val="11"/>
      <color theme="1"/>
      <name val="Calibri"/>
      <family val="2"/>
      <scheme val="minor"/>
    </font>
    <font>
      <b/>
      <i/>
      <sz val="22"/>
      <color rgb="FFFFFFFF"/>
      <name val="Calibri"/>
      <family val="2"/>
    </font>
    <font>
      <b/>
      <i/>
      <sz val="16"/>
      <color rgb="FFED7D31"/>
      <name val="Calibri"/>
      <family val="2"/>
    </font>
    <font>
      <b/>
      <i/>
      <u/>
      <sz val="18"/>
      <name val="Calibri"/>
      <family val="2"/>
    </font>
    <font>
      <i/>
      <sz val="13"/>
      <name val="Calibri"/>
      <family val="2"/>
    </font>
    <font>
      <b/>
      <i/>
      <sz val="20"/>
      <color rgb="FFFFFFFF"/>
      <name val="Calibri"/>
      <family val="2"/>
    </font>
    <font>
      <b/>
      <i/>
      <sz val="20"/>
      <name val="Calibri"/>
      <family val="2"/>
    </font>
    <font>
      <b/>
      <i/>
      <sz val="18"/>
      <color rgb="FFFFFFFF"/>
      <name val="Calibri"/>
      <family val="2"/>
    </font>
    <font>
      <b/>
      <i/>
      <sz val="14"/>
      <color rgb="FF000000"/>
      <name val="Calibri"/>
      <family val="2"/>
    </font>
    <font>
      <b/>
      <i/>
      <sz val="16"/>
      <color rgb="FF000000"/>
      <name val="Calibri"/>
      <family val="2"/>
    </font>
    <font>
      <b/>
      <i/>
      <sz val="12"/>
      <color rgb="FFBC0000"/>
      <name val="Calibri"/>
      <family val="2"/>
    </font>
    <font>
      <i/>
      <sz val="18"/>
      <color rgb="FFFF0000"/>
      <name val="Calibri"/>
      <family val="2"/>
    </font>
    <font>
      <b/>
      <sz val="13"/>
      <color theme="1"/>
      <name val="Calibri"/>
      <family val="2"/>
    </font>
    <font>
      <b/>
      <sz val="14"/>
      <color theme="1"/>
      <name val="Calibri"/>
      <family val="2"/>
    </font>
    <font>
      <i/>
      <sz val="12"/>
      <name val="Calibri"/>
      <family val="2"/>
    </font>
    <font>
      <b/>
      <i/>
      <sz val="12"/>
      <name val="Calibri"/>
      <family val="2"/>
    </font>
    <font>
      <b/>
      <i/>
      <sz val="13"/>
      <name val="Calibri"/>
      <family val="2"/>
    </font>
    <font>
      <b/>
      <i/>
      <sz val="13"/>
      <color rgb="FF006100"/>
      <name val="Calibri"/>
      <family val="2"/>
    </font>
    <font>
      <b/>
      <i/>
      <sz val="14"/>
      <name val="Calibri"/>
      <family val="2"/>
    </font>
    <font>
      <sz val="12"/>
      <color theme="1"/>
      <name val="Calibri"/>
      <family val="2"/>
    </font>
    <font>
      <b/>
      <i/>
      <sz val="18"/>
      <name val="Calibri"/>
      <family val="2"/>
    </font>
    <font>
      <b/>
      <sz val="14"/>
      <color rgb="FFFFFFFF"/>
      <name val="Calibri"/>
      <family val="2"/>
    </font>
    <font>
      <i/>
      <sz val="12"/>
      <color rgb="FF494529"/>
      <name val="Calibri"/>
      <family val="2"/>
    </font>
    <font>
      <b/>
      <sz val="12"/>
      <color rgb="FF000000"/>
      <name val="Calibri"/>
      <family val="2"/>
    </font>
    <font>
      <b/>
      <i/>
      <sz val="12"/>
      <color rgb="FF0070C0"/>
      <name val="Calibri"/>
      <family val="2"/>
    </font>
    <font>
      <i/>
      <sz val="11"/>
      <name val="Calibri"/>
      <family val="2"/>
    </font>
    <font>
      <b/>
      <i/>
      <sz val="13"/>
      <color rgb="FF9C0006"/>
      <name val="Calibri"/>
      <family val="2"/>
    </font>
    <font>
      <b/>
      <i/>
      <sz val="13"/>
      <color rgb="FFBC0000"/>
      <name val="Calibri"/>
      <family val="2"/>
    </font>
    <font>
      <b/>
      <i/>
      <sz val="10"/>
      <color rgb="FFBC0000"/>
      <name val="Calibri"/>
      <family val="2"/>
    </font>
    <font>
      <i/>
      <sz val="10"/>
      <name val="Calibri"/>
      <family val="2"/>
    </font>
    <font>
      <b/>
      <i/>
      <sz val="10"/>
      <name val="Calibri"/>
      <family val="2"/>
    </font>
    <font>
      <b/>
      <i/>
      <sz val="12"/>
      <color theme="1"/>
      <name val="Calibri"/>
      <family val="2"/>
      <scheme val="minor"/>
    </font>
    <font>
      <b/>
      <i/>
      <sz val="16"/>
      <color rgb="FFFFFFFF"/>
      <name val="Calibri"/>
      <family val="2"/>
      <scheme val="minor"/>
    </font>
    <font>
      <b/>
      <sz val="8.5"/>
      <color indexed="8"/>
      <name val="Calibri"/>
      <family val="2"/>
    </font>
    <font>
      <b/>
      <sz val="8.5"/>
      <color indexed="48"/>
      <name val="Calibri"/>
      <family val="2"/>
    </font>
    <font>
      <b/>
      <sz val="8.5"/>
      <color indexed="21"/>
      <name val="Calibri"/>
      <family val="2"/>
    </font>
    <font>
      <b/>
      <sz val="8.5"/>
      <color indexed="10"/>
      <name val="Calibri"/>
      <family val="2"/>
    </font>
    <font>
      <b/>
      <sz val="10"/>
      <color indexed="10"/>
      <name val="Calibri"/>
      <family val="2"/>
    </font>
  </fonts>
  <fills count="19">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F2CA93"/>
      </patternFill>
    </fill>
    <fill>
      <patternFill patternType="solid">
        <fgColor rgb="FFCCCCCC"/>
        <bgColor rgb="FFCCCCCC"/>
      </patternFill>
    </fill>
    <fill>
      <patternFill patternType="solid">
        <fgColor rgb="FFFFFFCC"/>
      </patternFill>
    </fill>
    <fill>
      <patternFill patternType="solid">
        <fgColor rgb="FF366092"/>
      </patternFill>
    </fill>
    <fill>
      <patternFill patternType="solid">
        <fgColor rgb="FFC7FFFF"/>
      </patternFill>
    </fill>
    <fill>
      <patternFill patternType="solid">
        <fgColor rgb="FFC5D9F1"/>
      </patternFill>
    </fill>
    <fill>
      <patternFill patternType="solid">
        <fgColor rgb="FFE6D5E6"/>
      </patternFill>
    </fill>
    <fill>
      <patternFill patternType="solid">
        <fgColor rgb="FFB5E7D3"/>
      </patternFill>
    </fill>
    <fill>
      <patternFill patternType="solid">
        <fgColor rgb="FFFFE4B5"/>
      </patternFill>
    </fill>
    <fill>
      <patternFill patternType="solid">
        <fgColor rgb="FFD8E4BC"/>
      </patternFill>
    </fill>
    <fill>
      <patternFill patternType="solid">
        <fgColor rgb="FF365492"/>
        <bgColor indexed="64"/>
      </patternFill>
    </fill>
  </fills>
  <borders count="3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FFFFFF"/>
      </left>
      <right style="thick">
        <color rgb="FFFFFFFF"/>
      </right>
      <top style="thick">
        <color rgb="FFFFFFFF"/>
      </top>
      <bottom style="thick">
        <color rgb="FFFFFFFF"/>
      </bottom>
      <diagonal/>
    </border>
    <border>
      <left style="medium">
        <color rgb="FF000000"/>
      </left>
      <right style="medium">
        <color rgb="FF000000"/>
      </right>
      <top style="medium">
        <color rgb="FF000000"/>
      </top>
      <bottom style="thin">
        <color rgb="FF000000"/>
      </bottom>
      <diagonal/>
    </border>
    <border>
      <left style="thick">
        <color rgb="FFD040E3"/>
      </left>
      <right style="thick">
        <color rgb="FFD040E3"/>
      </right>
      <top style="thick">
        <color rgb="FFD040E3"/>
      </top>
      <bottom style="thick">
        <color rgb="FFD040E3"/>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thin">
        <color rgb="FF000000"/>
      </bottom>
      <diagonal/>
    </border>
    <border>
      <left style="thick">
        <color rgb="FFD040E3"/>
      </left>
      <right style="thick">
        <color rgb="FFD040E3"/>
      </right>
      <top/>
      <bottom/>
      <diagonal/>
    </border>
    <border>
      <left style="medium">
        <color rgb="FF000000"/>
      </left>
      <right style="medium">
        <color rgb="FF000000"/>
      </right>
      <top/>
      <bottom style="medium">
        <color rgb="FF000000"/>
      </bottom>
      <diagonal/>
    </border>
    <border>
      <left style="thick">
        <color rgb="FFD040E3"/>
      </left>
      <right style="thick">
        <color rgb="FFD040E3"/>
      </right>
      <top/>
      <bottom style="thick">
        <color rgb="FFD040E3"/>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ck">
        <color rgb="FFFF0000"/>
      </left>
      <right style="thick">
        <color rgb="FFFFFFFF"/>
      </right>
      <top style="thick">
        <color rgb="FFFF0000"/>
      </top>
      <bottom style="thick">
        <color rgb="FFFFFFFF"/>
      </bottom>
      <diagonal/>
    </border>
    <border>
      <left style="thick">
        <color rgb="FFFFFFFF"/>
      </left>
      <right style="thick">
        <color rgb="FFFFFFFF"/>
      </right>
      <top style="thick">
        <color rgb="FFFF0000"/>
      </top>
      <bottom style="thick">
        <color rgb="FFFFFFFF"/>
      </bottom>
      <diagonal/>
    </border>
    <border>
      <left style="thick">
        <color rgb="FFFFFFFF"/>
      </left>
      <right style="thick">
        <color rgb="FFFF0000"/>
      </right>
      <top style="thick">
        <color rgb="FFFF0000"/>
      </top>
      <bottom style="thick">
        <color rgb="FFFFFFFF"/>
      </bottom>
      <diagonal/>
    </border>
    <border>
      <left style="thick">
        <color rgb="FFFF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rgb="FFFF0000"/>
      </right>
      <top style="thin">
        <color auto="1"/>
      </top>
      <bottom style="thin">
        <color auto="1"/>
      </bottom>
      <diagonal/>
    </border>
    <border>
      <left style="thick">
        <color rgb="FFFF0000"/>
      </left>
      <right style="thin">
        <color auto="1"/>
      </right>
      <top style="thin">
        <color auto="1"/>
      </top>
      <bottom style="thick">
        <color rgb="FFFF0000"/>
      </bottom>
      <diagonal/>
    </border>
    <border>
      <left style="thin">
        <color auto="1"/>
      </left>
      <right style="thin">
        <color auto="1"/>
      </right>
      <top style="thin">
        <color auto="1"/>
      </top>
      <bottom style="thick">
        <color rgb="FFFF0000"/>
      </bottom>
      <diagonal/>
    </border>
    <border>
      <left style="thin">
        <color auto="1"/>
      </left>
      <right style="thick">
        <color rgb="FFFF0000"/>
      </right>
      <top style="thin">
        <color auto="1"/>
      </top>
      <bottom style="thick">
        <color rgb="FFFF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ck">
        <color rgb="FFA0A0A0"/>
      </left>
      <right/>
      <top/>
      <bottom style="thick">
        <color rgb="FFA0A0A0"/>
      </bottom>
      <diagonal/>
    </border>
    <border>
      <left/>
      <right/>
      <top/>
      <bottom style="thick">
        <color rgb="FFA0A0A0"/>
      </bottom>
      <diagonal/>
    </border>
    <border>
      <left/>
      <right style="thick">
        <color rgb="FFA0A0A0"/>
      </right>
      <top/>
      <bottom style="thick">
        <color rgb="FFA0A0A0"/>
      </bottom>
      <diagonal/>
    </border>
  </borders>
  <cellStyleXfs count="1">
    <xf numFmtId="0" fontId="0" fillId="0" borderId="0"/>
  </cellStyleXfs>
  <cellXfs count="288">
    <xf numFmtId="0" fontId="0" fillId="0" borderId="0" xfId="0"/>
    <xf numFmtId="0" fontId="1" fillId="2" borderId="0" xfId="0" applyFont="1" applyFill="1" applyAlignment="1">
      <alignment horizontal="center" vertical="center"/>
    </xf>
    <xf numFmtId="0" fontId="1" fillId="2" borderId="0" xfId="0" applyFont="1" applyFill="1" applyAlignment="1">
      <alignment horizontal="right" vertical="center"/>
    </xf>
    <xf numFmtId="0" fontId="0" fillId="0" borderId="1" xfId="0" applyBorder="1"/>
    <xf numFmtId="167" fontId="6" fillId="5" borderId="2" xfId="0" applyNumberFormat="1" applyFont="1" applyFill="1" applyBorder="1" applyAlignment="1">
      <alignment horizontal="center" vertical="center"/>
    </xf>
    <xf numFmtId="0" fontId="8" fillId="6"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7" borderId="5" xfId="0" applyFont="1" applyFill="1" applyBorder="1" applyAlignment="1">
      <alignment horizontal="center" vertical="center"/>
    </xf>
    <xf numFmtId="49" fontId="10" fillId="0" borderId="6" xfId="0" applyNumberFormat="1" applyFont="1" applyBorder="1" applyAlignment="1">
      <alignment horizontal="center" vertical="center"/>
    </xf>
    <xf numFmtId="168" fontId="10" fillId="0" borderId="6" xfId="0" applyNumberFormat="1" applyFont="1" applyBorder="1" applyAlignment="1">
      <alignment horizontal="center" vertical="center"/>
    </xf>
    <xf numFmtId="0" fontId="12" fillId="0" borderId="8" xfId="0" applyFont="1" applyBorder="1" applyAlignment="1">
      <alignment horizontal="center" vertical="center"/>
    </xf>
    <xf numFmtId="0" fontId="12" fillId="0" borderId="9" xfId="0" applyFont="1" applyBorder="1" applyAlignment="1">
      <alignment horizontal="center" vertical="center"/>
    </xf>
    <xf numFmtId="0" fontId="13" fillId="0" borderId="9" xfId="0" applyFont="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49" fontId="14" fillId="0" borderId="11" xfId="0" applyNumberFormat="1" applyFont="1" applyBorder="1" applyAlignment="1">
      <alignment horizontal="center" vertical="center"/>
    </xf>
    <xf numFmtId="168" fontId="14" fillId="0" borderId="11" xfId="0" applyNumberFormat="1" applyFont="1" applyBorder="1" applyAlignment="1">
      <alignment horizontal="center" vertical="center"/>
    </xf>
    <xf numFmtId="49" fontId="15" fillId="0" borderId="11" xfId="0" applyNumberFormat="1" applyFont="1" applyBorder="1" applyAlignment="1">
      <alignment horizontal="center" vertical="center"/>
    </xf>
    <xf numFmtId="168" fontId="15" fillId="0" borderId="11" xfId="0" applyNumberFormat="1" applyFont="1" applyBorder="1" applyAlignment="1">
      <alignment horizontal="center" vertical="center"/>
    </xf>
    <xf numFmtId="49" fontId="10" fillId="0" borderId="11" xfId="0" applyNumberFormat="1" applyFont="1" applyBorder="1" applyAlignment="1">
      <alignment horizontal="center" vertical="center"/>
    </xf>
    <xf numFmtId="168" fontId="10" fillId="0" borderId="11" xfId="0" applyNumberFormat="1" applyFont="1" applyBorder="1" applyAlignment="1">
      <alignment horizontal="center" vertical="center"/>
    </xf>
    <xf numFmtId="49" fontId="10" fillId="8" borderId="13" xfId="0" applyNumberFormat="1" applyFont="1" applyFill="1" applyBorder="1" applyAlignment="1">
      <alignment horizontal="center" vertical="center"/>
    </xf>
    <xf numFmtId="168" fontId="10" fillId="8" borderId="13" xfId="0" applyNumberFormat="1" applyFont="1" applyFill="1" applyBorder="1" applyAlignment="1">
      <alignment horizontal="center" vertical="center"/>
    </xf>
    <xf numFmtId="0" fontId="10" fillId="8" borderId="13" xfId="0" applyFont="1" applyFill="1" applyBorder="1" applyAlignment="1">
      <alignment horizontal="center" vertical="center"/>
    </xf>
    <xf numFmtId="49" fontId="16" fillId="8" borderId="15" xfId="0" applyNumberFormat="1" applyFont="1" applyFill="1" applyBorder="1" applyAlignment="1">
      <alignment horizontal="center" vertical="center"/>
    </xf>
    <xf numFmtId="169" fontId="17" fillId="8" borderId="16" xfId="0" applyNumberFormat="1" applyFont="1" applyFill="1" applyBorder="1" applyAlignment="1">
      <alignment horizontal="center" vertical="center"/>
    </xf>
    <xf numFmtId="1" fontId="16" fillId="8" borderId="16" xfId="0" applyNumberFormat="1" applyFont="1" applyFill="1" applyBorder="1" applyAlignment="1">
      <alignment horizontal="center" vertical="center"/>
    </xf>
    <xf numFmtId="16" fontId="16" fillId="8" borderId="16" xfId="0" applyNumberFormat="1" applyFont="1" applyFill="1" applyBorder="1" applyAlignment="1">
      <alignment horizontal="center" vertical="center"/>
    </xf>
    <xf numFmtId="49" fontId="18" fillId="8" borderId="16" xfId="0" applyNumberFormat="1" applyFont="1" applyFill="1" applyBorder="1" applyAlignment="1">
      <alignment horizontal="center" vertical="center"/>
    </xf>
    <xf numFmtId="168" fontId="16" fillId="8" borderId="16" xfId="0" applyNumberFormat="1" applyFont="1" applyFill="1" applyBorder="1" applyAlignment="1">
      <alignment horizontal="center" vertical="center"/>
    </xf>
    <xf numFmtId="49" fontId="16" fillId="8" borderId="17" xfId="0" applyNumberFormat="1" applyFont="1" applyFill="1" applyBorder="1" applyAlignment="1">
      <alignment horizontal="center" vertical="center"/>
    </xf>
    <xf numFmtId="167" fontId="20" fillId="5" borderId="2" xfId="0" applyNumberFormat="1" applyFont="1" applyFill="1" applyBorder="1" applyAlignment="1">
      <alignment horizontal="center" vertical="center"/>
    </xf>
    <xf numFmtId="49" fontId="8" fillId="6" borderId="2" xfId="0" applyNumberFormat="1" applyFont="1" applyFill="1" applyBorder="1" applyAlignment="1">
      <alignment horizontal="center" vertical="center"/>
    </xf>
    <xf numFmtId="168" fontId="8" fillId="6" borderId="2" xfId="0" applyNumberFormat="1" applyFont="1" applyFill="1" applyBorder="1" applyAlignment="1">
      <alignment horizontal="center" vertical="center"/>
    </xf>
    <xf numFmtId="49" fontId="9" fillId="6" borderId="2" xfId="0" applyNumberFormat="1" applyFont="1" applyFill="1" applyBorder="1" applyAlignment="1">
      <alignment horizontal="center" vertical="center"/>
    </xf>
    <xf numFmtId="49" fontId="9" fillId="7" borderId="5" xfId="0" applyNumberFormat="1" applyFont="1" applyFill="1" applyBorder="1" applyAlignment="1">
      <alignment horizontal="center" vertical="center"/>
    </xf>
    <xf numFmtId="169" fontId="8" fillId="6" borderId="2" xfId="0" applyNumberFormat="1" applyFont="1" applyFill="1" applyBorder="1" applyAlignment="1">
      <alignment horizontal="center" vertical="center"/>
    </xf>
    <xf numFmtId="1" fontId="8" fillId="6" borderId="2" xfId="0" applyNumberFormat="1" applyFont="1" applyFill="1" applyBorder="1" applyAlignment="1">
      <alignment horizontal="center" vertical="center"/>
    </xf>
    <xf numFmtId="16" fontId="8" fillId="6" borderId="2" xfId="0" applyNumberFormat="1" applyFont="1" applyFill="1" applyBorder="1" applyAlignment="1">
      <alignment horizontal="center" vertical="center"/>
    </xf>
    <xf numFmtId="49" fontId="15" fillId="0" borderId="13" xfId="0" applyNumberFormat="1" applyFont="1" applyBorder="1" applyAlignment="1">
      <alignment horizontal="center" vertical="center"/>
    </xf>
    <xf numFmtId="168" fontId="15" fillId="0" borderId="13" xfId="0" applyNumberFormat="1" applyFont="1" applyBorder="1" applyAlignment="1">
      <alignment horizontal="center" vertical="center"/>
    </xf>
    <xf numFmtId="0" fontId="12" fillId="0" borderId="18" xfId="0" applyFont="1" applyBorder="1" applyAlignment="1">
      <alignment horizontal="center" vertical="center"/>
    </xf>
    <xf numFmtId="0" fontId="12" fillId="0" borderId="19" xfId="0" applyFont="1" applyBorder="1" applyAlignment="1">
      <alignment horizontal="center" vertical="center"/>
    </xf>
    <xf numFmtId="0" fontId="13" fillId="0" borderId="19" xfId="0" applyFont="1"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49" fontId="10" fillId="10" borderId="13" xfId="0" applyNumberFormat="1" applyFont="1" applyFill="1" applyBorder="1" applyAlignment="1">
      <alignment horizontal="center" vertical="center"/>
    </xf>
    <xf numFmtId="168" fontId="10" fillId="10" borderId="13" xfId="0" applyNumberFormat="1" applyFont="1" applyFill="1" applyBorder="1" applyAlignment="1">
      <alignment horizontal="center" vertical="center"/>
    </xf>
    <xf numFmtId="49" fontId="16" fillId="10" borderId="15" xfId="0" applyNumberFormat="1" applyFont="1" applyFill="1" applyBorder="1" applyAlignment="1">
      <alignment horizontal="center" vertical="center"/>
    </xf>
    <xf numFmtId="169" fontId="17" fillId="10" borderId="16" xfId="0" applyNumberFormat="1" applyFont="1" applyFill="1" applyBorder="1" applyAlignment="1">
      <alignment horizontal="center" vertical="center"/>
    </xf>
    <xf numFmtId="1" fontId="16" fillId="10" borderId="16" xfId="0" applyNumberFormat="1" applyFont="1" applyFill="1" applyBorder="1" applyAlignment="1">
      <alignment horizontal="center" vertical="center"/>
    </xf>
    <xf numFmtId="16" fontId="16" fillId="10" borderId="16" xfId="0" applyNumberFormat="1" applyFont="1" applyFill="1" applyBorder="1" applyAlignment="1">
      <alignment horizontal="center" vertical="center"/>
    </xf>
    <xf numFmtId="49" fontId="18" fillId="10" borderId="16" xfId="0" applyNumberFormat="1" applyFont="1" applyFill="1" applyBorder="1" applyAlignment="1">
      <alignment horizontal="center" vertical="center"/>
    </xf>
    <xf numFmtId="168" fontId="16" fillId="10" borderId="16" xfId="0" applyNumberFormat="1" applyFont="1" applyFill="1" applyBorder="1" applyAlignment="1">
      <alignment horizontal="center" vertical="center"/>
    </xf>
    <xf numFmtId="49" fontId="16" fillId="10" borderId="17" xfId="0" applyNumberFormat="1" applyFont="1" applyFill="1" applyBorder="1" applyAlignment="1">
      <alignment horizontal="center" vertical="center"/>
    </xf>
    <xf numFmtId="0" fontId="0" fillId="0" borderId="0" xfId="0" applyAlignment="1">
      <alignment horizontal="center" vertical="center"/>
    </xf>
    <xf numFmtId="0" fontId="21" fillId="11" borderId="21" xfId="0" applyFont="1" applyFill="1" applyBorder="1" applyAlignment="1">
      <alignment horizontal="center" vertical="center"/>
    </xf>
    <xf numFmtId="0" fontId="21" fillId="11" borderId="22" xfId="0" applyFont="1" applyFill="1" applyBorder="1" applyAlignment="1">
      <alignment horizontal="center" vertical="center"/>
    </xf>
    <xf numFmtId="0" fontId="21" fillId="11" borderId="23" xfId="0" applyFont="1" applyFill="1" applyBorder="1" applyAlignment="1">
      <alignment horizontal="center" vertical="center"/>
    </xf>
    <xf numFmtId="0" fontId="22" fillId="0" borderId="24" xfId="0" applyFont="1" applyBorder="1" applyAlignment="1">
      <alignment horizontal="center" vertical="center"/>
    </xf>
    <xf numFmtId="0" fontId="22" fillId="0" borderId="25" xfId="0" applyFont="1" applyBorder="1" applyAlignment="1">
      <alignment horizontal="center" vertical="center"/>
    </xf>
    <xf numFmtId="49" fontId="22" fillId="0" borderId="25" xfId="0" applyNumberFormat="1" applyFont="1" applyBorder="1" applyAlignment="1">
      <alignment horizontal="center" vertical="center"/>
    </xf>
    <xf numFmtId="1" fontId="22" fillId="0" borderId="25" xfId="0" applyNumberFormat="1" applyFont="1" applyBorder="1" applyAlignment="1">
      <alignment horizontal="center" vertical="center"/>
    </xf>
    <xf numFmtId="0" fontId="22" fillId="0" borderId="26" xfId="0" applyFont="1" applyBorder="1" applyAlignment="1">
      <alignment horizontal="center" vertical="center"/>
    </xf>
    <xf numFmtId="0" fontId="23" fillId="0" borderId="27" xfId="0" applyFont="1" applyBorder="1" applyAlignment="1">
      <alignment horizontal="center" vertical="center"/>
    </xf>
    <xf numFmtId="0" fontId="23" fillId="0" borderId="28" xfId="0" applyFont="1" applyBorder="1" applyAlignment="1">
      <alignment horizontal="center" vertical="center"/>
    </xf>
    <xf numFmtId="49" fontId="23" fillId="0" borderId="28" xfId="0" applyNumberFormat="1" applyFont="1" applyBorder="1" applyAlignment="1">
      <alignment horizontal="center" vertical="center"/>
    </xf>
    <xf numFmtId="0" fontId="23" fillId="0" borderId="29" xfId="0" applyFont="1" applyBorder="1" applyAlignment="1">
      <alignment horizontal="center" vertical="center"/>
    </xf>
    <xf numFmtId="171" fontId="22" fillId="0" borderId="24" xfId="0" applyNumberFormat="1" applyFont="1" applyBorder="1" applyAlignment="1">
      <alignment horizontal="center" vertical="center"/>
    </xf>
    <xf numFmtId="172" fontId="22" fillId="0" borderId="25" xfId="0" applyNumberFormat="1" applyFont="1" applyBorder="1" applyAlignment="1">
      <alignment horizontal="center" vertical="center"/>
    </xf>
    <xf numFmtId="171" fontId="22" fillId="0" borderId="27" xfId="0" applyNumberFormat="1" applyFont="1" applyBorder="1" applyAlignment="1">
      <alignment horizontal="center" vertical="center"/>
    </xf>
    <xf numFmtId="0" fontId="22" fillId="0" borderId="28" xfId="0" applyFont="1" applyBorder="1" applyAlignment="1">
      <alignment horizontal="center" vertical="center"/>
    </xf>
    <xf numFmtId="49" fontId="22" fillId="0" borderId="28" xfId="0" applyNumberFormat="1" applyFont="1" applyBorder="1" applyAlignment="1">
      <alignment horizontal="center" vertical="center"/>
    </xf>
    <xf numFmtId="172" fontId="22" fillId="0" borderId="28" xfId="0" applyNumberFormat="1" applyFont="1" applyBorder="1" applyAlignment="1">
      <alignment horizontal="center" vertical="center"/>
    </xf>
    <xf numFmtId="1" fontId="22" fillId="0" borderId="28" xfId="0" applyNumberFormat="1" applyFont="1" applyBorder="1" applyAlignment="1">
      <alignment horizontal="center" vertical="center"/>
    </xf>
    <xf numFmtId="0" fontId="22" fillId="0" borderId="29" xfId="0" applyFont="1" applyBorder="1" applyAlignment="1">
      <alignment horizontal="center" vertical="center"/>
    </xf>
    <xf numFmtId="171" fontId="23" fillId="0" borderId="24" xfId="0" applyNumberFormat="1" applyFont="1" applyBorder="1" applyAlignment="1">
      <alignment horizontal="center" vertical="center"/>
    </xf>
    <xf numFmtId="0" fontId="23" fillId="0" borderId="25" xfId="0" applyFont="1" applyBorder="1" applyAlignment="1">
      <alignment horizontal="center" vertical="center"/>
    </xf>
    <xf numFmtId="49" fontId="23" fillId="0" borderId="25" xfId="0" applyNumberFormat="1" applyFont="1" applyBorder="1" applyAlignment="1">
      <alignment horizontal="center" vertical="center"/>
    </xf>
    <xf numFmtId="172" fontId="23" fillId="0" borderId="25" xfId="0" applyNumberFormat="1" applyFont="1" applyBorder="1" applyAlignment="1">
      <alignment horizontal="center" vertical="center"/>
    </xf>
    <xf numFmtId="1" fontId="23" fillId="0" borderId="25" xfId="0" applyNumberFormat="1" applyFont="1" applyBorder="1" applyAlignment="1">
      <alignment horizontal="center" vertical="center"/>
    </xf>
    <xf numFmtId="0" fontId="23" fillId="0" borderId="26" xfId="0" applyFont="1" applyBorder="1" applyAlignment="1">
      <alignment horizontal="center" vertical="center"/>
    </xf>
    <xf numFmtId="171" fontId="23" fillId="0" borderId="27" xfId="0" applyNumberFormat="1" applyFont="1" applyBorder="1" applyAlignment="1">
      <alignment horizontal="center" vertical="center"/>
    </xf>
    <xf numFmtId="172" fontId="23" fillId="0" borderId="28" xfId="0" applyNumberFormat="1" applyFont="1" applyBorder="1" applyAlignment="1">
      <alignment horizontal="center" vertical="center"/>
    </xf>
    <xf numFmtId="1" fontId="23" fillId="0" borderId="28" xfId="0" applyNumberFormat="1" applyFont="1" applyBorder="1" applyAlignment="1">
      <alignment horizontal="center" vertical="center"/>
    </xf>
    <xf numFmtId="49" fontId="10" fillId="12" borderId="2" xfId="0" applyNumberFormat="1" applyFont="1" applyFill="1" applyBorder="1" applyAlignment="1">
      <alignment horizontal="center" vertical="center"/>
    </xf>
    <xf numFmtId="168" fontId="10" fillId="12" borderId="2" xfId="0" applyNumberFormat="1" applyFont="1" applyFill="1" applyBorder="1" applyAlignment="1">
      <alignment horizontal="center" vertical="center"/>
    </xf>
    <xf numFmtId="49" fontId="16" fillId="12" borderId="30" xfId="0" applyNumberFormat="1" applyFont="1" applyFill="1" applyBorder="1" applyAlignment="1">
      <alignment horizontal="center" vertical="center"/>
    </xf>
    <xf numFmtId="169" fontId="17" fillId="12" borderId="31" xfId="0" applyNumberFormat="1" applyFont="1" applyFill="1" applyBorder="1" applyAlignment="1">
      <alignment horizontal="center" vertical="center"/>
    </xf>
    <xf numFmtId="1" fontId="16" fillId="12" borderId="31" xfId="0" applyNumberFormat="1" applyFont="1" applyFill="1" applyBorder="1" applyAlignment="1">
      <alignment horizontal="center" vertical="center"/>
    </xf>
    <xf numFmtId="16" fontId="16" fillId="12" borderId="31" xfId="0" applyNumberFormat="1" applyFont="1" applyFill="1" applyBorder="1" applyAlignment="1">
      <alignment horizontal="center" vertical="center"/>
    </xf>
    <xf numFmtId="49" fontId="18" fillId="12" borderId="31" xfId="0" applyNumberFormat="1" applyFont="1" applyFill="1" applyBorder="1" applyAlignment="1">
      <alignment horizontal="center" vertical="center"/>
    </xf>
    <xf numFmtId="168" fontId="16" fillId="12" borderId="31" xfId="0" applyNumberFormat="1" applyFont="1" applyFill="1" applyBorder="1" applyAlignment="1">
      <alignment horizontal="center" vertical="center"/>
    </xf>
    <xf numFmtId="49" fontId="16" fillId="12" borderId="32" xfId="0" applyNumberFormat="1" applyFont="1" applyFill="1" applyBorder="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12" fillId="0" borderId="16" xfId="0" applyFont="1" applyBorder="1" applyAlignment="1">
      <alignment horizontal="center" vertical="center"/>
    </xf>
    <xf numFmtId="0" fontId="13" fillId="0" borderId="16" xfId="0" applyFont="1" applyBorder="1" applyAlignment="1">
      <alignment horizontal="center" vertical="center"/>
    </xf>
    <xf numFmtId="0" fontId="0" fillId="0" borderId="16" xfId="0" applyBorder="1" applyAlignment="1">
      <alignment horizontal="center" vertical="center"/>
    </xf>
    <xf numFmtId="0" fontId="23" fillId="0" borderId="24" xfId="0" applyFont="1" applyBorder="1" applyAlignment="1">
      <alignment horizontal="center" vertical="center"/>
    </xf>
    <xf numFmtId="0" fontId="0" fillId="0" borderId="24" xfId="0" applyBorder="1"/>
    <xf numFmtId="0" fontId="0" fillId="0" borderId="25" xfId="0" applyBorder="1"/>
    <xf numFmtId="0" fontId="24" fillId="0" borderId="25" xfId="0" applyFont="1" applyBorder="1" applyAlignment="1">
      <alignment horizontal="center" vertical="center"/>
    </xf>
    <xf numFmtId="0" fontId="0" fillId="0" borderId="26" xfId="0" applyBorder="1"/>
    <xf numFmtId="49" fontId="10" fillId="8" borderId="2" xfId="0" applyNumberFormat="1" applyFont="1" applyFill="1" applyBorder="1" applyAlignment="1">
      <alignment horizontal="center" vertical="center"/>
    </xf>
    <xf numFmtId="168" fontId="10" fillId="8" borderId="2" xfId="0" applyNumberFormat="1" applyFont="1" applyFill="1" applyBorder="1" applyAlignment="1">
      <alignment horizontal="center" vertical="center"/>
    </xf>
    <xf numFmtId="49" fontId="16" fillId="8" borderId="30" xfId="0" applyNumberFormat="1" applyFont="1" applyFill="1" applyBorder="1" applyAlignment="1">
      <alignment horizontal="center" vertical="center"/>
    </xf>
    <xf numFmtId="169" fontId="17" fillId="8" borderId="31" xfId="0" applyNumberFormat="1" applyFont="1" applyFill="1" applyBorder="1" applyAlignment="1">
      <alignment horizontal="center" vertical="center"/>
    </xf>
    <xf numFmtId="1" fontId="16" fillId="8" borderId="31" xfId="0" applyNumberFormat="1" applyFont="1" applyFill="1" applyBorder="1" applyAlignment="1">
      <alignment horizontal="center" vertical="center"/>
    </xf>
    <xf numFmtId="16" fontId="16" fillId="8" borderId="31" xfId="0" applyNumberFormat="1" applyFont="1" applyFill="1" applyBorder="1" applyAlignment="1">
      <alignment horizontal="center" vertical="center"/>
    </xf>
    <xf numFmtId="49" fontId="18" fillId="8" borderId="31" xfId="0" applyNumberFormat="1" applyFont="1" applyFill="1" applyBorder="1" applyAlignment="1">
      <alignment horizontal="center" vertical="center"/>
    </xf>
    <xf numFmtId="168" fontId="16" fillId="8" borderId="31" xfId="0" applyNumberFormat="1" applyFont="1" applyFill="1" applyBorder="1" applyAlignment="1">
      <alignment horizontal="center" vertical="center"/>
    </xf>
    <xf numFmtId="49" fontId="16" fillId="8" borderId="32" xfId="0" applyNumberFormat="1" applyFont="1" applyFill="1" applyBorder="1" applyAlignment="1">
      <alignment horizontal="center" vertical="center"/>
    </xf>
    <xf numFmtId="0" fontId="22" fillId="0" borderId="27" xfId="0" applyFont="1" applyBorder="1" applyAlignment="1">
      <alignment horizontal="center" vertical="center"/>
    </xf>
    <xf numFmtId="49" fontId="15" fillId="8" borderId="2" xfId="0" applyNumberFormat="1" applyFont="1" applyFill="1" applyBorder="1" applyAlignment="1">
      <alignment horizontal="center" vertical="center"/>
    </xf>
    <xf numFmtId="168" fontId="15" fillId="8" borderId="2" xfId="0" applyNumberFormat="1" applyFont="1" applyFill="1" applyBorder="1" applyAlignment="1">
      <alignment horizontal="center" vertical="center"/>
    </xf>
    <xf numFmtId="49" fontId="15" fillId="13" borderId="2" xfId="0" applyNumberFormat="1" applyFont="1" applyFill="1" applyBorder="1" applyAlignment="1">
      <alignment horizontal="center" vertical="center"/>
    </xf>
    <xf numFmtId="168" fontId="15" fillId="13" borderId="2" xfId="0" applyNumberFormat="1" applyFont="1" applyFill="1" applyBorder="1" applyAlignment="1">
      <alignment horizontal="center" vertical="center"/>
    </xf>
    <xf numFmtId="49" fontId="16" fillId="13" borderId="30" xfId="0" applyNumberFormat="1" applyFont="1" applyFill="1" applyBorder="1" applyAlignment="1">
      <alignment horizontal="center" vertical="center"/>
    </xf>
    <xf numFmtId="169" fontId="16" fillId="13" borderId="31" xfId="0" applyNumberFormat="1" applyFont="1" applyFill="1" applyBorder="1" applyAlignment="1">
      <alignment horizontal="center" vertical="center"/>
    </xf>
    <xf numFmtId="1" fontId="16" fillId="13" borderId="31" xfId="0" applyNumberFormat="1" applyFont="1" applyFill="1" applyBorder="1" applyAlignment="1">
      <alignment horizontal="center" vertical="center"/>
    </xf>
    <xf numFmtId="16" fontId="16" fillId="13" borderId="31" xfId="0" applyNumberFormat="1" applyFont="1" applyFill="1" applyBorder="1" applyAlignment="1">
      <alignment horizontal="center" vertical="center"/>
    </xf>
    <xf numFmtId="49" fontId="18" fillId="13" borderId="31" xfId="0" applyNumberFormat="1" applyFont="1" applyFill="1" applyBorder="1" applyAlignment="1">
      <alignment horizontal="center" vertical="center"/>
    </xf>
    <xf numFmtId="168" fontId="16" fillId="13" borderId="31" xfId="0" applyNumberFormat="1" applyFont="1" applyFill="1" applyBorder="1" applyAlignment="1">
      <alignment horizontal="center" vertical="center"/>
    </xf>
    <xf numFmtId="49" fontId="16" fillId="13" borderId="32" xfId="0" applyNumberFormat="1" applyFont="1" applyFill="1" applyBorder="1" applyAlignment="1">
      <alignment horizontal="center" vertical="center"/>
    </xf>
    <xf numFmtId="169" fontId="16" fillId="8" borderId="31" xfId="0" applyNumberFormat="1" applyFont="1" applyFill="1" applyBorder="1" applyAlignment="1">
      <alignment horizontal="center" vertical="center"/>
    </xf>
    <xf numFmtId="49" fontId="15" fillId="14" borderId="2" xfId="0" applyNumberFormat="1" applyFont="1" applyFill="1" applyBorder="1" applyAlignment="1">
      <alignment horizontal="center" vertical="center"/>
    </xf>
    <xf numFmtId="168" fontId="15" fillId="14" borderId="2" xfId="0" applyNumberFormat="1" applyFont="1" applyFill="1" applyBorder="1" applyAlignment="1">
      <alignment horizontal="center" vertical="center"/>
    </xf>
    <xf numFmtId="0" fontId="15" fillId="14" borderId="2" xfId="0" applyFont="1" applyFill="1" applyBorder="1" applyAlignment="1">
      <alignment horizontal="center" vertical="center"/>
    </xf>
    <xf numFmtId="49" fontId="16" fillId="14" borderId="30" xfId="0" applyNumberFormat="1" applyFont="1" applyFill="1" applyBorder="1" applyAlignment="1">
      <alignment horizontal="center" vertical="center"/>
    </xf>
    <xf numFmtId="169" fontId="17" fillId="14" borderId="31" xfId="0" applyNumberFormat="1" applyFont="1" applyFill="1" applyBorder="1" applyAlignment="1">
      <alignment horizontal="center" vertical="center"/>
    </xf>
    <xf numFmtId="1" fontId="16" fillId="14" borderId="31" xfId="0" applyNumberFormat="1" applyFont="1" applyFill="1" applyBorder="1" applyAlignment="1">
      <alignment horizontal="center" vertical="center"/>
    </xf>
    <xf numFmtId="16" fontId="16" fillId="14" borderId="31" xfId="0" applyNumberFormat="1" applyFont="1" applyFill="1" applyBorder="1" applyAlignment="1">
      <alignment horizontal="center" vertical="center"/>
    </xf>
    <xf numFmtId="49" fontId="18" fillId="14" borderId="31" xfId="0" applyNumberFormat="1" applyFont="1" applyFill="1" applyBorder="1" applyAlignment="1">
      <alignment horizontal="center" vertical="center"/>
    </xf>
    <xf numFmtId="168" fontId="16" fillId="14" borderId="31" xfId="0" applyNumberFormat="1" applyFont="1" applyFill="1" applyBorder="1" applyAlignment="1">
      <alignment horizontal="center" vertical="center"/>
    </xf>
    <xf numFmtId="49" fontId="16" fillId="14" borderId="32" xfId="0" applyNumberFormat="1" applyFont="1" applyFill="1" applyBorder="1" applyAlignment="1">
      <alignment horizontal="center" vertical="center"/>
    </xf>
    <xf numFmtId="49" fontId="15" fillId="10" borderId="2" xfId="0" applyNumberFormat="1" applyFont="1" applyFill="1" applyBorder="1" applyAlignment="1">
      <alignment horizontal="center" vertical="center"/>
    </xf>
    <xf numFmtId="168" fontId="15" fillId="10" borderId="2" xfId="0" applyNumberFormat="1" applyFont="1" applyFill="1" applyBorder="1" applyAlignment="1">
      <alignment horizontal="center" vertical="center"/>
    </xf>
    <xf numFmtId="0" fontId="15" fillId="10" borderId="2" xfId="0" applyFont="1" applyFill="1" applyBorder="1" applyAlignment="1">
      <alignment horizontal="center" vertical="center"/>
    </xf>
    <xf numFmtId="49" fontId="16" fillId="10" borderId="30" xfId="0" applyNumberFormat="1" applyFont="1" applyFill="1" applyBorder="1" applyAlignment="1">
      <alignment horizontal="center" vertical="center"/>
    </xf>
    <xf numFmtId="169" fontId="17" fillId="10" borderId="31" xfId="0" applyNumberFormat="1" applyFont="1" applyFill="1" applyBorder="1" applyAlignment="1">
      <alignment horizontal="center" vertical="center"/>
    </xf>
    <xf numFmtId="1" fontId="16" fillId="10" borderId="31" xfId="0" applyNumberFormat="1" applyFont="1" applyFill="1" applyBorder="1" applyAlignment="1">
      <alignment horizontal="center" vertical="center"/>
    </xf>
    <xf numFmtId="16" fontId="16" fillId="10" borderId="31" xfId="0" applyNumberFormat="1" applyFont="1" applyFill="1" applyBorder="1" applyAlignment="1">
      <alignment horizontal="center" vertical="center"/>
    </xf>
    <xf numFmtId="49" fontId="18" fillId="10" borderId="31" xfId="0" applyNumberFormat="1" applyFont="1" applyFill="1" applyBorder="1" applyAlignment="1">
      <alignment horizontal="center" vertical="center"/>
    </xf>
    <xf numFmtId="168" fontId="16" fillId="10" borderId="31" xfId="0" applyNumberFormat="1" applyFont="1" applyFill="1" applyBorder="1" applyAlignment="1">
      <alignment horizontal="center" vertical="center"/>
    </xf>
    <xf numFmtId="49" fontId="16" fillId="10" borderId="32" xfId="0" applyNumberFormat="1" applyFont="1" applyFill="1" applyBorder="1" applyAlignment="1">
      <alignment horizontal="center" vertical="center"/>
    </xf>
    <xf numFmtId="49" fontId="15" fillId="15" borderId="2" xfId="0" applyNumberFormat="1" applyFont="1" applyFill="1" applyBorder="1" applyAlignment="1">
      <alignment horizontal="center" vertical="center"/>
    </xf>
    <xf numFmtId="168" fontId="15" fillId="15" borderId="2" xfId="0" applyNumberFormat="1" applyFont="1" applyFill="1" applyBorder="1" applyAlignment="1">
      <alignment horizontal="center" vertical="center"/>
    </xf>
    <xf numFmtId="49" fontId="16" fillId="15" borderId="30" xfId="0" applyNumberFormat="1" applyFont="1" applyFill="1" applyBorder="1" applyAlignment="1">
      <alignment horizontal="center" vertical="center"/>
    </xf>
    <xf numFmtId="169" fontId="16" fillId="15" borderId="31" xfId="0" applyNumberFormat="1" applyFont="1" applyFill="1" applyBorder="1" applyAlignment="1">
      <alignment horizontal="center" vertical="center"/>
    </xf>
    <xf numFmtId="1" fontId="16" fillId="15" borderId="31" xfId="0" applyNumberFormat="1" applyFont="1" applyFill="1" applyBorder="1" applyAlignment="1">
      <alignment horizontal="center" vertical="center"/>
    </xf>
    <xf numFmtId="16" fontId="16" fillId="15" borderId="31" xfId="0" applyNumberFormat="1" applyFont="1" applyFill="1" applyBorder="1" applyAlignment="1">
      <alignment horizontal="center" vertical="center"/>
    </xf>
    <xf numFmtId="49" fontId="18" fillId="15" borderId="31" xfId="0" applyNumberFormat="1" applyFont="1" applyFill="1" applyBorder="1" applyAlignment="1">
      <alignment horizontal="center" vertical="center"/>
    </xf>
    <xf numFmtId="168" fontId="16" fillId="15" borderId="31" xfId="0" applyNumberFormat="1" applyFont="1" applyFill="1" applyBorder="1" applyAlignment="1">
      <alignment horizontal="center" vertical="center"/>
    </xf>
    <xf numFmtId="49" fontId="16" fillId="15" borderId="32" xfId="0" applyNumberFormat="1" applyFont="1" applyFill="1" applyBorder="1" applyAlignment="1">
      <alignment horizontal="center" vertical="center"/>
    </xf>
    <xf numFmtId="169" fontId="16" fillId="14" borderId="31" xfId="0" applyNumberFormat="1" applyFont="1" applyFill="1" applyBorder="1" applyAlignment="1">
      <alignment horizontal="center" vertical="center"/>
    </xf>
    <xf numFmtId="49" fontId="15" fillId="16" borderId="2" xfId="0" applyNumberFormat="1" applyFont="1" applyFill="1" applyBorder="1" applyAlignment="1">
      <alignment horizontal="center" vertical="center"/>
    </xf>
    <xf numFmtId="168" fontId="15" fillId="16" borderId="2" xfId="0" applyNumberFormat="1" applyFont="1" applyFill="1" applyBorder="1" applyAlignment="1">
      <alignment horizontal="center" vertical="center"/>
    </xf>
    <xf numFmtId="49" fontId="16" fillId="16" borderId="30" xfId="0" applyNumberFormat="1" applyFont="1" applyFill="1" applyBorder="1" applyAlignment="1">
      <alignment horizontal="center" vertical="center"/>
    </xf>
    <xf numFmtId="169" fontId="16" fillId="16" borderId="31" xfId="0" applyNumberFormat="1" applyFont="1" applyFill="1" applyBorder="1" applyAlignment="1">
      <alignment horizontal="center" vertical="center"/>
    </xf>
    <xf numFmtId="1" fontId="16" fillId="16" borderId="31" xfId="0" applyNumberFormat="1" applyFont="1" applyFill="1" applyBorder="1" applyAlignment="1">
      <alignment horizontal="center" vertical="center"/>
    </xf>
    <xf numFmtId="16" fontId="16" fillId="16" borderId="31" xfId="0" applyNumberFormat="1" applyFont="1" applyFill="1" applyBorder="1" applyAlignment="1">
      <alignment horizontal="center" vertical="center"/>
    </xf>
    <xf numFmtId="49" fontId="18" fillId="16" borderId="31" xfId="0" applyNumberFormat="1" applyFont="1" applyFill="1" applyBorder="1" applyAlignment="1">
      <alignment horizontal="center" vertical="center"/>
    </xf>
    <xf numFmtId="168" fontId="16" fillId="16" borderId="31" xfId="0" applyNumberFormat="1" applyFont="1" applyFill="1" applyBorder="1" applyAlignment="1">
      <alignment horizontal="center" vertical="center"/>
    </xf>
    <xf numFmtId="49" fontId="16" fillId="16" borderId="32" xfId="0" applyNumberFormat="1" applyFont="1" applyFill="1" applyBorder="1" applyAlignment="1">
      <alignment horizontal="center" vertical="center"/>
    </xf>
    <xf numFmtId="49" fontId="10" fillId="10" borderId="2" xfId="0" applyNumberFormat="1" applyFont="1" applyFill="1" applyBorder="1" applyAlignment="1">
      <alignment horizontal="center" vertical="center"/>
    </xf>
    <xf numFmtId="168" fontId="10" fillId="10" borderId="2" xfId="0" applyNumberFormat="1" applyFont="1" applyFill="1" applyBorder="1" applyAlignment="1">
      <alignment horizontal="center" vertical="center"/>
    </xf>
    <xf numFmtId="169" fontId="17" fillId="16" borderId="31" xfId="0" applyNumberFormat="1" applyFont="1" applyFill="1" applyBorder="1" applyAlignment="1">
      <alignment horizontal="center" vertical="center"/>
    </xf>
    <xf numFmtId="49" fontId="15" fillId="12" borderId="2" xfId="0" applyNumberFormat="1" applyFont="1" applyFill="1" applyBorder="1" applyAlignment="1">
      <alignment horizontal="center" vertical="center"/>
    </xf>
    <xf numFmtId="168" fontId="15" fillId="12" borderId="2" xfId="0" applyNumberFormat="1" applyFont="1" applyFill="1" applyBorder="1" applyAlignment="1">
      <alignment horizontal="center" vertical="center"/>
    </xf>
    <xf numFmtId="0" fontId="15" fillId="12" borderId="2" xfId="0" applyFont="1" applyFill="1" applyBorder="1" applyAlignment="1">
      <alignment horizontal="center" vertical="center"/>
    </xf>
    <xf numFmtId="0" fontId="10" fillId="12" borderId="2" xfId="0" applyFont="1" applyFill="1" applyBorder="1" applyAlignment="1">
      <alignment horizontal="center" vertical="center"/>
    </xf>
    <xf numFmtId="49" fontId="10" fillId="13" borderId="2" xfId="0" applyNumberFormat="1" applyFont="1" applyFill="1" applyBorder="1" applyAlignment="1">
      <alignment horizontal="center" vertical="center"/>
    </xf>
    <xf numFmtId="168" fontId="10" fillId="13" borderId="2" xfId="0" applyNumberFormat="1" applyFont="1" applyFill="1" applyBorder="1" applyAlignment="1">
      <alignment horizontal="center" vertical="center"/>
    </xf>
    <xf numFmtId="49" fontId="10" fillId="16" borderId="2" xfId="0" applyNumberFormat="1" applyFont="1" applyFill="1" applyBorder="1" applyAlignment="1">
      <alignment horizontal="center" vertical="center"/>
    </xf>
    <xf numFmtId="168" fontId="10" fillId="16" borderId="2" xfId="0" applyNumberFormat="1" applyFont="1" applyFill="1" applyBorder="1" applyAlignment="1">
      <alignment horizontal="center" vertical="center"/>
    </xf>
    <xf numFmtId="169" fontId="16" fillId="12" borderId="31" xfId="0" applyNumberFormat="1" applyFont="1" applyFill="1" applyBorder="1" applyAlignment="1">
      <alignment horizontal="center" vertical="center"/>
    </xf>
    <xf numFmtId="49" fontId="10" fillId="17" borderId="2" xfId="0" applyNumberFormat="1" applyFont="1" applyFill="1" applyBorder="1" applyAlignment="1">
      <alignment horizontal="center" vertical="center"/>
    </xf>
    <xf numFmtId="168" fontId="10" fillId="17" borderId="2" xfId="0" applyNumberFormat="1" applyFont="1" applyFill="1" applyBorder="1" applyAlignment="1">
      <alignment horizontal="center" vertical="center"/>
    </xf>
    <xf numFmtId="0" fontId="10" fillId="17" borderId="2" xfId="0" applyFont="1" applyFill="1" applyBorder="1" applyAlignment="1">
      <alignment horizontal="center" vertical="center"/>
    </xf>
    <xf numFmtId="49" fontId="16" fillId="17" borderId="30" xfId="0" applyNumberFormat="1" applyFont="1" applyFill="1" applyBorder="1" applyAlignment="1">
      <alignment horizontal="center" vertical="center"/>
    </xf>
    <xf numFmtId="169" fontId="16" fillId="17" borderId="31" xfId="0" applyNumberFormat="1" applyFont="1" applyFill="1" applyBorder="1" applyAlignment="1">
      <alignment horizontal="center" vertical="center"/>
    </xf>
    <xf numFmtId="1" fontId="16" fillId="17" borderId="31" xfId="0" applyNumberFormat="1" applyFont="1" applyFill="1" applyBorder="1" applyAlignment="1">
      <alignment horizontal="center" vertical="center"/>
    </xf>
    <xf numFmtId="16" fontId="16" fillId="17" borderId="31" xfId="0" applyNumberFormat="1" applyFont="1" applyFill="1" applyBorder="1" applyAlignment="1">
      <alignment horizontal="center" vertical="center"/>
    </xf>
    <xf numFmtId="49" fontId="18" fillId="17" borderId="31" xfId="0" applyNumberFormat="1" applyFont="1" applyFill="1" applyBorder="1" applyAlignment="1">
      <alignment horizontal="center" vertical="center"/>
    </xf>
    <xf numFmtId="168" fontId="16" fillId="17" borderId="31" xfId="0" applyNumberFormat="1" applyFont="1" applyFill="1" applyBorder="1" applyAlignment="1">
      <alignment horizontal="center" vertical="center"/>
    </xf>
    <xf numFmtId="49" fontId="16" fillId="17" borderId="32" xfId="0" applyNumberFormat="1" applyFont="1" applyFill="1" applyBorder="1" applyAlignment="1">
      <alignment horizontal="center" vertical="center"/>
    </xf>
    <xf numFmtId="0" fontId="10" fillId="13" borderId="2" xfId="0" applyFont="1" applyFill="1" applyBorder="1" applyAlignment="1">
      <alignment horizontal="center" vertical="center"/>
    </xf>
    <xf numFmtId="169" fontId="17" fillId="13" borderId="31" xfId="0" applyNumberFormat="1" applyFont="1" applyFill="1" applyBorder="1" applyAlignment="1">
      <alignment horizontal="center" vertical="center"/>
    </xf>
    <xf numFmtId="49" fontId="15" fillId="17" borderId="2" xfId="0" applyNumberFormat="1" applyFont="1" applyFill="1" applyBorder="1" applyAlignment="1">
      <alignment horizontal="center" vertical="center"/>
    </xf>
    <xf numFmtId="168" fontId="15" fillId="17" borderId="2" xfId="0" applyNumberFormat="1" applyFont="1" applyFill="1" applyBorder="1" applyAlignment="1">
      <alignment horizontal="center" vertical="center"/>
    </xf>
    <xf numFmtId="0" fontId="15" fillId="17" borderId="2" xfId="0" applyFont="1" applyFill="1" applyBorder="1" applyAlignment="1">
      <alignment horizontal="center" vertical="center"/>
    </xf>
    <xf numFmtId="169" fontId="17" fillId="17" borderId="31" xfId="0" applyNumberFormat="1" applyFont="1" applyFill="1" applyBorder="1" applyAlignment="1">
      <alignment horizontal="center" vertical="center"/>
    </xf>
    <xf numFmtId="0" fontId="6" fillId="0" borderId="0" xfId="0" applyFont="1"/>
    <xf numFmtId="0" fontId="20" fillId="0" borderId="0" xfId="0" applyFont="1"/>
    <xf numFmtId="0" fontId="25" fillId="0" borderId="0" xfId="0" applyFont="1"/>
    <xf numFmtId="0" fontId="21" fillId="11" borderId="5" xfId="0" applyFont="1" applyFill="1" applyBorder="1" applyAlignment="1">
      <alignment horizontal="center" vertical="center"/>
    </xf>
    <xf numFmtId="49" fontId="14" fillId="0" borderId="13" xfId="0" applyNumberFormat="1" applyFont="1" applyBorder="1" applyAlignment="1">
      <alignment horizontal="center" vertical="center"/>
    </xf>
    <xf numFmtId="168" fontId="14" fillId="0" borderId="13" xfId="0" applyNumberFormat="1" applyFont="1" applyBorder="1" applyAlignment="1">
      <alignment horizontal="center" vertical="center"/>
    </xf>
    <xf numFmtId="49" fontId="10" fillId="0" borderId="2" xfId="0" applyNumberFormat="1" applyFont="1" applyBorder="1" applyAlignment="1">
      <alignment horizontal="center" vertical="center"/>
    </xf>
    <xf numFmtId="168" fontId="10" fillId="0" borderId="2" xfId="0" applyNumberFormat="1" applyFont="1" applyBorder="1" applyAlignment="1">
      <alignment horizontal="center" vertical="center"/>
    </xf>
    <xf numFmtId="169" fontId="26" fillId="8" borderId="31" xfId="0" applyNumberFormat="1" applyFont="1" applyFill="1" applyBorder="1" applyAlignment="1">
      <alignment horizontal="center" vertical="center"/>
    </xf>
    <xf numFmtId="169" fontId="26" fillId="10" borderId="31" xfId="0" applyNumberFormat="1" applyFont="1" applyFill="1" applyBorder="1" applyAlignment="1">
      <alignment horizontal="center" vertical="center"/>
    </xf>
    <xf numFmtId="49" fontId="10" fillId="14" borderId="2" xfId="0" applyNumberFormat="1" applyFont="1" applyFill="1" applyBorder="1" applyAlignment="1">
      <alignment horizontal="center" vertical="center"/>
    </xf>
    <xf numFmtId="168" fontId="10" fillId="14" borderId="2" xfId="0" applyNumberFormat="1" applyFont="1" applyFill="1" applyBorder="1" applyAlignment="1">
      <alignment horizontal="center" vertical="center"/>
    </xf>
    <xf numFmtId="169" fontId="26" fillId="14" borderId="31" xfId="0" applyNumberFormat="1" applyFont="1" applyFill="1" applyBorder="1" applyAlignment="1">
      <alignment horizontal="center" vertical="center"/>
    </xf>
    <xf numFmtId="49" fontId="10" fillId="0" borderId="13" xfId="0" applyNumberFormat="1" applyFont="1" applyBorder="1" applyAlignment="1">
      <alignment horizontal="center" vertical="center"/>
    </xf>
    <xf numFmtId="168" fontId="10" fillId="0" borderId="13" xfId="0" applyNumberFormat="1" applyFont="1" applyBorder="1" applyAlignment="1">
      <alignment horizontal="center" vertical="center"/>
    </xf>
    <xf numFmtId="49" fontId="10" fillId="15" borderId="2" xfId="0" applyNumberFormat="1" applyFont="1" applyFill="1" applyBorder="1" applyAlignment="1">
      <alignment horizontal="center" vertical="center"/>
    </xf>
    <xf numFmtId="168" fontId="10" fillId="15" borderId="2" xfId="0" applyNumberFormat="1" applyFont="1" applyFill="1" applyBorder="1" applyAlignment="1">
      <alignment horizontal="center" vertical="center"/>
    </xf>
    <xf numFmtId="0" fontId="10" fillId="14" borderId="2" xfId="0" applyFont="1" applyFill="1" applyBorder="1" applyAlignment="1">
      <alignment horizontal="center" vertical="center"/>
    </xf>
    <xf numFmtId="169" fontId="26" fillId="13" borderId="31" xfId="0" applyNumberFormat="1" applyFont="1" applyFill="1" applyBorder="1" applyAlignment="1">
      <alignment horizontal="center" vertical="center"/>
    </xf>
    <xf numFmtId="49" fontId="10" fillId="17" borderId="13" xfId="0" applyNumberFormat="1" applyFont="1" applyFill="1" applyBorder="1" applyAlignment="1">
      <alignment horizontal="center" vertical="center"/>
    </xf>
    <xf numFmtId="168" fontId="10" fillId="17" borderId="13" xfId="0" applyNumberFormat="1" applyFont="1" applyFill="1" applyBorder="1" applyAlignment="1">
      <alignment horizontal="center" vertical="center"/>
    </xf>
    <xf numFmtId="49" fontId="16" fillId="17" borderId="15" xfId="0" applyNumberFormat="1" applyFont="1" applyFill="1" applyBorder="1" applyAlignment="1">
      <alignment horizontal="center" vertical="center"/>
    </xf>
    <xf numFmtId="169" fontId="26" fillId="17" borderId="16" xfId="0" applyNumberFormat="1" applyFont="1" applyFill="1" applyBorder="1" applyAlignment="1">
      <alignment horizontal="center" vertical="center"/>
    </xf>
    <xf numFmtId="1" fontId="16" fillId="17" borderId="16" xfId="0" applyNumberFormat="1" applyFont="1" applyFill="1" applyBorder="1" applyAlignment="1">
      <alignment horizontal="center" vertical="center"/>
    </xf>
    <xf numFmtId="16" fontId="16" fillId="17" borderId="16" xfId="0" applyNumberFormat="1" applyFont="1" applyFill="1" applyBorder="1" applyAlignment="1">
      <alignment horizontal="center" vertical="center"/>
    </xf>
    <xf numFmtId="49" fontId="18" fillId="17" borderId="16" xfId="0" applyNumberFormat="1" applyFont="1" applyFill="1" applyBorder="1" applyAlignment="1">
      <alignment horizontal="center" vertical="center"/>
    </xf>
    <xf numFmtId="168" fontId="16" fillId="17" borderId="16" xfId="0" applyNumberFormat="1" applyFont="1" applyFill="1" applyBorder="1" applyAlignment="1">
      <alignment horizontal="center" vertical="center"/>
    </xf>
    <xf numFmtId="49" fontId="16" fillId="17" borderId="17" xfId="0" applyNumberFormat="1" applyFont="1" applyFill="1" applyBorder="1" applyAlignment="1">
      <alignment horizontal="center" vertical="center"/>
    </xf>
    <xf numFmtId="49" fontId="16" fillId="15" borderId="15" xfId="0" applyNumberFormat="1" applyFont="1" applyFill="1" applyBorder="1" applyAlignment="1">
      <alignment horizontal="center" vertical="center"/>
    </xf>
    <xf numFmtId="169" fontId="16" fillId="15" borderId="16" xfId="0" applyNumberFormat="1" applyFont="1" applyFill="1" applyBorder="1" applyAlignment="1">
      <alignment horizontal="center" vertical="center"/>
    </xf>
    <xf numFmtId="1" fontId="16" fillId="15" borderId="16" xfId="0" applyNumberFormat="1" applyFont="1" applyFill="1" applyBorder="1" applyAlignment="1">
      <alignment horizontal="center" vertical="center"/>
    </xf>
    <xf numFmtId="16" fontId="16" fillId="15" borderId="16" xfId="0" applyNumberFormat="1" applyFont="1" applyFill="1" applyBorder="1" applyAlignment="1">
      <alignment horizontal="center" vertical="center"/>
    </xf>
    <xf numFmtId="49" fontId="18" fillId="15" borderId="16" xfId="0" applyNumberFormat="1" applyFont="1" applyFill="1" applyBorder="1" applyAlignment="1">
      <alignment horizontal="center" vertical="center"/>
    </xf>
    <xf numFmtId="168" fontId="16" fillId="15" borderId="16" xfId="0" applyNumberFormat="1" applyFont="1" applyFill="1" applyBorder="1" applyAlignment="1">
      <alignment horizontal="center" vertical="center"/>
    </xf>
    <xf numFmtId="49" fontId="16" fillId="15" borderId="17" xfId="0" applyNumberFormat="1" applyFont="1" applyFill="1" applyBorder="1" applyAlignment="1">
      <alignment horizontal="center" vertical="center"/>
    </xf>
    <xf numFmtId="49" fontId="16" fillId="14" borderId="15" xfId="0" applyNumberFormat="1" applyFont="1" applyFill="1" applyBorder="1" applyAlignment="1">
      <alignment horizontal="center" vertical="center"/>
    </xf>
    <xf numFmtId="169" fontId="17" fillId="14" borderId="16" xfId="0" applyNumberFormat="1" applyFont="1" applyFill="1" applyBorder="1" applyAlignment="1">
      <alignment horizontal="center" vertical="center"/>
    </xf>
    <xf numFmtId="1" fontId="16" fillId="14" borderId="16" xfId="0" applyNumberFormat="1" applyFont="1" applyFill="1" applyBorder="1" applyAlignment="1">
      <alignment horizontal="center" vertical="center"/>
    </xf>
    <xf numFmtId="16" fontId="16" fillId="14" borderId="16" xfId="0" applyNumberFormat="1" applyFont="1" applyFill="1" applyBorder="1" applyAlignment="1">
      <alignment horizontal="center" vertical="center"/>
    </xf>
    <xf numFmtId="49" fontId="18" fillId="14" borderId="16" xfId="0" applyNumberFormat="1" applyFont="1" applyFill="1" applyBorder="1" applyAlignment="1">
      <alignment horizontal="center" vertical="center"/>
    </xf>
    <xf numFmtId="168" fontId="16" fillId="14" borderId="16" xfId="0" applyNumberFormat="1" applyFont="1" applyFill="1" applyBorder="1" applyAlignment="1">
      <alignment horizontal="center" vertical="center"/>
    </xf>
    <xf numFmtId="49" fontId="16" fillId="14" borderId="17" xfId="0" applyNumberFormat="1" applyFont="1" applyFill="1" applyBorder="1" applyAlignment="1">
      <alignment horizontal="center" vertical="center"/>
    </xf>
    <xf numFmtId="49" fontId="10" fillId="12" borderId="13" xfId="0" applyNumberFormat="1" applyFont="1" applyFill="1" applyBorder="1" applyAlignment="1">
      <alignment horizontal="center" vertical="center"/>
    </xf>
    <xf numFmtId="168" fontId="10" fillId="12" borderId="13" xfId="0" applyNumberFormat="1" applyFont="1" applyFill="1" applyBorder="1" applyAlignment="1">
      <alignment horizontal="center" vertical="center"/>
    </xf>
    <xf numFmtId="49" fontId="16" fillId="12" borderId="15" xfId="0" applyNumberFormat="1" applyFont="1" applyFill="1" applyBorder="1" applyAlignment="1">
      <alignment horizontal="center" vertical="center"/>
    </xf>
    <xf numFmtId="169" fontId="16" fillId="12" borderId="16" xfId="0" applyNumberFormat="1" applyFont="1" applyFill="1" applyBorder="1" applyAlignment="1">
      <alignment horizontal="center" vertical="center"/>
    </xf>
    <xf numFmtId="1" fontId="16" fillId="12" borderId="16" xfId="0" applyNumberFormat="1" applyFont="1" applyFill="1" applyBorder="1" applyAlignment="1">
      <alignment horizontal="center" vertical="center"/>
    </xf>
    <xf numFmtId="16" fontId="16" fillId="12" borderId="16" xfId="0" applyNumberFormat="1" applyFont="1" applyFill="1" applyBorder="1" applyAlignment="1">
      <alignment horizontal="center" vertical="center"/>
    </xf>
    <xf numFmtId="49" fontId="18" fillId="12" borderId="16" xfId="0" applyNumberFormat="1" applyFont="1" applyFill="1" applyBorder="1" applyAlignment="1">
      <alignment horizontal="center" vertical="center"/>
    </xf>
    <xf numFmtId="168" fontId="16" fillId="12" borderId="16" xfId="0" applyNumberFormat="1" applyFont="1" applyFill="1" applyBorder="1" applyAlignment="1">
      <alignment horizontal="center" vertical="center"/>
    </xf>
    <xf numFmtId="49" fontId="16" fillId="12" borderId="17" xfId="0" applyNumberFormat="1" applyFont="1" applyFill="1" applyBorder="1" applyAlignment="1">
      <alignment horizontal="center" vertical="center"/>
    </xf>
    <xf numFmtId="0" fontId="10" fillId="15" borderId="2" xfId="0" applyFont="1" applyFill="1" applyBorder="1" applyAlignment="1">
      <alignment horizontal="center" vertical="center"/>
    </xf>
    <xf numFmtId="169" fontId="17" fillId="15" borderId="16" xfId="0" applyNumberFormat="1" applyFont="1" applyFill="1" applyBorder="1" applyAlignment="1">
      <alignment horizontal="center" vertical="center"/>
    </xf>
    <xf numFmtId="169" fontId="26" fillId="15" borderId="31" xfId="0" applyNumberFormat="1" applyFont="1" applyFill="1" applyBorder="1" applyAlignment="1">
      <alignment horizontal="center" vertical="center"/>
    </xf>
    <xf numFmtId="49" fontId="10" fillId="15" borderId="13" xfId="0" applyNumberFormat="1" applyFont="1" applyFill="1" applyBorder="1" applyAlignment="1">
      <alignment horizontal="center" vertical="center"/>
    </xf>
    <xf numFmtId="168" fontId="10" fillId="15" borderId="13" xfId="0" applyNumberFormat="1" applyFont="1" applyFill="1" applyBorder="1" applyAlignment="1">
      <alignment horizontal="center" vertical="center"/>
    </xf>
    <xf numFmtId="166" fontId="0" fillId="0" borderId="0" xfId="0" applyNumberFormat="1"/>
    <xf numFmtId="0" fontId="3" fillId="3" borderId="0" xfId="0" applyFont="1" applyFill="1" applyAlignment="1">
      <alignment horizontal="right" vertical="center"/>
    </xf>
    <xf numFmtId="0" fontId="0" fillId="0" borderId="0" xfId="0"/>
    <xf numFmtId="0" fontId="4" fillId="0" borderId="0" xfId="0" applyFont="1" applyAlignment="1">
      <alignment horizontal="right" vertical="center" readingOrder="2"/>
    </xf>
    <xf numFmtId="49" fontId="7" fillId="4" borderId="2" xfId="0" applyNumberFormat="1" applyFont="1" applyFill="1" applyBorder="1" applyAlignment="1">
      <alignment horizontal="center" vertical="center"/>
    </xf>
    <xf numFmtId="0" fontId="0" fillId="0" borderId="3" xfId="0" applyBorder="1"/>
    <xf numFmtId="0" fontId="0" fillId="0" borderId="4" xfId="0" applyBorder="1"/>
    <xf numFmtId="0" fontId="11" fillId="0" borderId="7" xfId="0" applyFont="1" applyBorder="1"/>
    <xf numFmtId="0" fontId="0" fillId="0" borderId="12" xfId="0" applyBorder="1"/>
    <xf numFmtId="0" fontId="0" fillId="0" borderId="14" xfId="0" applyBorder="1"/>
    <xf numFmtId="49" fontId="5" fillId="4" borderId="2" xfId="0" applyNumberFormat="1" applyFont="1" applyFill="1" applyBorder="1" applyAlignment="1">
      <alignment horizontal="center" vertical="center"/>
    </xf>
    <xf numFmtId="165" fontId="2" fillId="2" borderId="0" xfId="0" applyNumberFormat="1" applyFont="1" applyFill="1" applyAlignment="1">
      <alignment horizontal="center" vertical="center"/>
    </xf>
    <xf numFmtId="0" fontId="1" fillId="2" borderId="0" xfId="0" applyFont="1" applyFill="1" applyAlignment="1">
      <alignment horizontal="center" vertical="center"/>
    </xf>
    <xf numFmtId="167" fontId="3" fillId="3" borderId="0" xfId="0" applyNumberFormat="1" applyFont="1" applyFill="1" applyAlignment="1">
      <alignment horizontal="left" vertical="center"/>
    </xf>
    <xf numFmtId="18" fontId="3" fillId="3" borderId="0" xfId="0" applyNumberFormat="1" applyFont="1" applyFill="1" applyAlignment="1">
      <alignment horizontal="left" vertical="center"/>
    </xf>
    <xf numFmtId="0" fontId="5" fillId="4" borderId="2" xfId="0" applyFont="1" applyFill="1" applyBorder="1" applyAlignment="1">
      <alignment horizontal="center" vertical="center"/>
    </xf>
    <xf numFmtId="0" fontId="7" fillId="4" borderId="2" xfId="0" applyFont="1" applyFill="1" applyBorder="1" applyAlignment="1">
      <alignment horizontal="center" vertical="center"/>
    </xf>
    <xf numFmtId="165" fontId="2" fillId="2" borderId="0" xfId="0" applyNumberFormat="1" applyFont="1" applyFill="1" applyAlignment="1">
      <alignment horizontal="left" vertical="center"/>
    </xf>
    <xf numFmtId="49" fontId="24" fillId="0" borderId="33" xfId="0" applyNumberFormat="1" applyFont="1" applyBorder="1" applyAlignment="1">
      <alignment horizontal="center" vertical="center"/>
    </xf>
    <xf numFmtId="0" fontId="0" fillId="0" borderId="34" xfId="0" applyBorder="1"/>
    <xf numFmtId="0" fontId="0" fillId="0" borderId="35" xfId="0" applyBorder="1"/>
    <xf numFmtId="0" fontId="0" fillId="0" borderId="7" xfId="0" applyBorder="1"/>
    <xf numFmtId="0" fontId="31" fillId="0" borderId="0" xfId="0" applyFont="1" applyAlignment="1">
      <alignment horizontal="center" vertical="center"/>
    </xf>
    <xf numFmtId="0" fontId="31" fillId="0" borderId="0" xfId="0" applyFont="1"/>
    <xf numFmtId="170" fontId="31" fillId="0" borderId="0" xfId="0" applyNumberFormat="1" applyFont="1" applyAlignment="1">
      <alignment horizontal="center" vertical="center"/>
    </xf>
    <xf numFmtId="15" fontId="31" fillId="0" borderId="0" xfId="0" applyNumberFormat="1" applyFont="1" applyAlignment="1">
      <alignment horizontal="center" vertical="center"/>
    </xf>
    <xf numFmtId="49" fontId="31" fillId="0" borderId="0" xfId="0" applyNumberFormat="1" applyFont="1" applyAlignment="1">
      <alignment horizontal="center" vertical="center"/>
    </xf>
    <xf numFmtId="168" fontId="31" fillId="0" borderId="0" xfId="0" applyNumberFormat="1" applyFont="1" applyAlignment="1">
      <alignment horizontal="center" vertical="center"/>
    </xf>
    <xf numFmtId="169" fontId="31" fillId="0" borderId="0" xfId="0" applyNumberFormat="1" applyFont="1" applyAlignment="1">
      <alignment horizontal="center" vertical="center"/>
    </xf>
    <xf numFmtId="1" fontId="31" fillId="0" borderId="0" xfId="0" applyNumberFormat="1" applyFont="1" applyAlignment="1">
      <alignment horizontal="center" vertical="center"/>
    </xf>
    <xf numFmtId="16" fontId="31" fillId="0" borderId="0" xfId="0" applyNumberFormat="1" applyFont="1" applyAlignment="1">
      <alignment horizontal="center" vertical="center"/>
    </xf>
    <xf numFmtId="0" fontId="32" fillId="18" borderId="0" xfId="0" applyFont="1" applyFill="1" applyAlignment="1">
      <alignment horizontal="center" vertical="center"/>
    </xf>
    <xf numFmtId="15" fontId="32" fillId="18" borderId="0" xfId="0" applyNumberFormat="1" applyFont="1" applyFill="1" applyAlignment="1">
      <alignment horizontal="center" vertical="center"/>
    </xf>
    <xf numFmtId="169" fontId="32" fillId="18" borderId="0" xfId="0" applyNumberFormat="1" applyFont="1" applyFill="1" applyAlignment="1">
      <alignment horizontal="center" vertical="center"/>
    </xf>
    <xf numFmtId="1" fontId="32" fillId="18" borderId="0" xfId="0" applyNumberFormat="1" applyFont="1" applyFill="1" applyAlignment="1">
      <alignment horizontal="center" vertical="center"/>
    </xf>
    <xf numFmtId="0" fontId="32" fillId="18" borderId="0" xfId="0" applyNumberFormat="1" applyFont="1" applyFill="1" applyAlignment="1">
      <alignment horizontal="center" vertical="center"/>
    </xf>
    <xf numFmtId="0" fontId="19" fillId="9" borderId="36" xfId="0" applyFont="1" applyFill="1" applyBorder="1" applyAlignment="1">
      <alignment horizontal="center" vertical="center"/>
    </xf>
    <xf numFmtId="0" fontId="19" fillId="9" borderId="37" xfId="0" applyFont="1" applyFill="1" applyBorder="1" applyAlignment="1">
      <alignment horizontal="center" vertical="center"/>
    </xf>
    <xf numFmtId="0" fontId="19" fillId="9" borderId="38" xfId="0" applyFont="1" applyFill="1" applyBorder="1" applyAlignment="1">
      <alignment horizontal="center" vertical="center"/>
    </xf>
  </cellXfs>
  <cellStyles count="1">
    <cellStyle name="Normal" xfId="0" builtinId="0"/>
  </cellStyles>
  <dxfs count="1425">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alcChain" Target="calcChain.xml"/><Relationship Id="rId61" Type="http://schemas.openxmlformats.org/officeDocument/2006/relationships/worksheet" Target="worksheets/sheet61.xml"/><Relationship Id="rId82" Type="http://schemas.openxmlformats.org/officeDocument/2006/relationships/worksheet" Target="worksheets/sheet8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I_MED_LF_LEGACY" displayName="CAI_MED_LF_LEGACY" ref="A1:AJ4" totalsRowCount="1" headerRowDxfId="1424" dataDxfId="1387" totalsRowDxfId="1350">
  <tableColumns count="36">
    <tableColumn id="1" xr3:uid="{00000000-0010-0000-0000-000001000000}" name="Day" totalsRowLabel="TOTAL" dataDxfId="1423" totalsRowDxfId="1386"/>
    <tableColumn id="2" xr3:uid="{00000000-0010-0000-0000-000002000000}" name="Flt Dt" dataDxfId="1422" totalsRowDxfId="1385"/>
    <tableColumn id="3" xr3:uid="{00000000-0010-0000-0000-000003000000}" name="Flt" totalsRowFunction="count" dataDxfId="1421" totalsRowDxfId="1384"/>
    <tableColumn id="4" xr3:uid="{00000000-0010-0000-0000-000004000000}" name="DEP" dataDxfId="1420" totalsRowDxfId="1383"/>
    <tableColumn id="5" xr3:uid="{00000000-0010-0000-0000-000005000000}" name="Brd-Off" totalsRowFunction="count" dataDxfId="1419" totalsRowDxfId="1382"/>
    <tableColumn id="6" xr3:uid="{00000000-0010-0000-0000-000006000000}" name="Eqp" dataDxfId="1418" totalsRowDxfId="1381"/>
    <tableColumn id="7" xr3:uid="{00000000-0010-0000-0000-000007000000}" name="LF%" totalsRowFunction="average" dataDxfId="1417" totalsRowDxfId="1380"/>
    <tableColumn id="8" xr3:uid="{00000000-0010-0000-0000-000008000000}" name="CAP" totalsRowFunction="sum" dataDxfId="1416" totalsRowDxfId="1379"/>
    <tableColumn id="9" xr3:uid="{00000000-0010-0000-0000-000009000000}" name="BKG(Y)" totalsRowFunction="sum" dataDxfId="1415" totalsRowDxfId="1378"/>
    <tableColumn id="10" xr3:uid="{00000000-0010-0000-0000-00000A000000}" name="GRP(Y)" totalsRowFunction="sum" dataDxfId="1414" totalsRowDxfId="1377"/>
    <tableColumn id="11" xr3:uid="{00000000-0010-0000-0000-00000B000000}" name="FLT ST" dataDxfId="1413" totalsRowDxfId="1376"/>
    <tableColumn id="12" xr3:uid="{00000000-0010-0000-0000-00000C000000}" name="LST-SOLD" dataDxfId="1412" totalsRowDxfId="1375"/>
    <tableColumn id="13" xr3:uid="{00000000-0010-0000-0000-00000D000000}" name="TO-DAY" totalsRowFunction="sum" dataDxfId="1411" totalsRowDxfId="1374"/>
    <tableColumn id="14" xr3:uid="{00000000-0010-0000-0000-00000E000000}" name="Y-DAY" totalsRowFunction="sum" dataDxfId="1410" totalsRowDxfId="1373"/>
    <tableColumn id="15" xr3:uid="{00000000-0010-0000-0000-00000F000000}" name="WEEKLY" totalsRowFunction="sum" dataDxfId="1409" totalsRowDxfId="1372"/>
    <tableColumn id="16" xr3:uid="{00000000-0010-0000-0000-000010000000}" name="LOWEST AVAIL" dataDxfId="1408" totalsRowDxfId="1371"/>
    <tableColumn id="17" xr3:uid="{00000000-0010-0000-0000-000011000000}" name="Y" totalsRowFunction="sum" dataDxfId="1407" totalsRowDxfId="1370"/>
    <tableColumn id="18" xr3:uid="{00000000-0010-0000-0000-000012000000}" name="B" totalsRowFunction="sum" dataDxfId="1406" totalsRowDxfId="1369"/>
    <tableColumn id="19" xr3:uid="{00000000-0010-0000-0000-000013000000}" name="M" totalsRowFunction="sum" dataDxfId="1405" totalsRowDxfId="1368"/>
    <tableColumn id="20" xr3:uid="{00000000-0010-0000-0000-000014000000}" name="H" totalsRowFunction="sum" dataDxfId="1404" totalsRowDxfId="1367"/>
    <tableColumn id="21" xr3:uid="{00000000-0010-0000-0000-000015000000}" name="Q" totalsRowFunction="sum" dataDxfId="1403" totalsRowDxfId="1366"/>
    <tableColumn id="22" xr3:uid="{00000000-0010-0000-0000-000016000000}" name="K" totalsRowFunction="sum" dataDxfId="1402" totalsRowDxfId="1365"/>
    <tableColumn id="23" xr3:uid="{00000000-0010-0000-0000-000017000000}" name="V" totalsRowFunction="sum" dataDxfId="1401" totalsRowDxfId="1364"/>
    <tableColumn id="24" xr3:uid="{00000000-0010-0000-0000-000018000000}" name="L" totalsRowFunction="sum" dataDxfId="1400" totalsRowDxfId="1363"/>
    <tableColumn id="25" xr3:uid="{00000000-0010-0000-0000-000019000000}" name="G" totalsRowFunction="sum" dataDxfId="1399" totalsRowDxfId="1362"/>
    <tableColumn id="26" xr3:uid="{00000000-0010-0000-0000-00001A000000}" name="S" totalsRowFunction="sum" dataDxfId="1398" totalsRowDxfId="1361"/>
    <tableColumn id="27" xr3:uid="{00000000-0010-0000-0000-00001B000000}" name="W" totalsRowFunction="sum" dataDxfId="1397" totalsRowDxfId="1360"/>
    <tableColumn id="28" xr3:uid="{00000000-0010-0000-0000-00001C000000}" name="T" totalsRowFunction="sum" dataDxfId="1396" totalsRowDxfId="1359"/>
    <tableColumn id="29" xr3:uid="{00000000-0010-0000-0000-00001D000000}" name="X" totalsRowFunction="sum" dataDxfId="1395" totalsRowDxfId="1358"/>
    <tableColumn id="30" xr3:uid="{00000000-0010-0000-0000-00001E000000}" name="U" totalsRowFunction="sum" dataDxfId="1394" totalsRowDxfId="1357"/>
    <tableColumn id="31" xr3:uid="{00000000-0010-0000-0000-00001F000000}" name="O" totalsRowFunction="sum" dataDxfId="1393" totalsRowDxfId="1356"/>
    <tableColumn id="32" xr3:uid="{00000000-0010-0000-0000-000020000000}" name="I" totalsRowFunction="sum" dataDxfId="1392" totalsRowDxfId="1355"/>
    <tableColumn id="33" xr3:uid="{00000000-0010-0000-0000-000021000000}" name="E" totalsRowFunction="sum" dataDxfId="1391" totalsRowDxfId="1354"/>
    <tableColumn id="34" xr3:uid="{00000000-0010-0000-0000-000022000000}" name="A" totalsRowFunction="sum" dataDxfId="1390" totalsRowDxfId="1353"/>
    <tableColumn id="35" xr3:uid="{00000000-0010-0000-0000-000023000000}" name="P" totalsRowFunction="sum" dataDxfId="1389" totalsRowDxfId="1352"/>
    <tableColumn id="36" xr3:uid="{00000000-0010-0000-0000-000024000000}" name="N" totalsRowFunction="count" dataDxfId="1388" totalsRowDxfId="135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CAI_MED" displayName="FocusMode_CAI_MED" ref="A1:H56" totalsRowShown="0">
  <autoFilter ref="A1:H56"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hreatsAlert_CAI_MED" displayName="ThreatsAlert_CAI_MED" ref="A1:H19" totalsRowShown="0">
  <autoFilter ref="A1:H19"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HBE_MED_LF_LEGACY" displayName="HBE_MED_LF_LEGACY" ref="A1:AJ3" totalsRowCount="1" headerRowDxfId="1349" dataDxfId="1312" totalsRowDxfId="1275">
  <tableColumns count="36">
    <tableColumn id="1" xr3:uid="{00000000-0010-0000-0300-000001000000}" name="Day" totalsRowLabel="TOTAL" dataDxfId="1348" totalsRowDxfId="1311"/>
    <tableColumn id="2" xr3:uid="{00000000-0010-0000-0300-000002000000}" name="Flt Dt" dataDxfId="1347" totalsRowDxfId="1310"/>
    <tableColumn id="3" xr3:uid="{00000000-0010-0000-0300-000003000000}" name="Flt" totalsRowFunction="count" dataDxfId="1346" totalsRowDxfId="1309"/>
    <tableColumn id="4" xr3:uid="{00000000-0010-0000-0300-000004000000}" name="DEP" dataDxfId="1345" totalsRowDxfId="1308"/>
    <tableColumn id="5" xr3:uid="{00000000-0010-0000-0300-000005000000}" name="Brd-Off" totalsRowFunction="count" dataDxfId="1344" totalsRowDxfId="1307"/>
    <tableColumn id="6" xr3:uid="{00000000-0010-0000-0300-000006000000}" name="Eqp" dataDxfId="1343" totalsRowDxfId="1306"/>
    <tableColumn id="7" xr3:uid="{00000000-0010-0000-0300-000007000000}" name="LF%" totalsRowFunction="average" dataDxfId="1342" totalsRowDxfId="1305"/>
    <tableColumn id="8" xr3:uid="{00000000-0010-0000-0300-000008000000}" name="CAP" totalsRowFunction="sum" dataDxfId="1341" totalsRowDxfId="1304"/>
    <tableColumn id="9" xr3:uid="{00000000-0010-0000-0300-000009000000}" name="BKG(Y)" totalsRowFunction="sum" dataDxfId="1340" totalsRowDxfId="1303"/>
    <tableColumn id="10" xr3:uid="{00000000-0010-0000-0300-00000A000000}" name="GRP(Y)" totalsRowFunction="sum" dataDxfId="1339" totalsRowDxfId="1302"/>
    <tableColumn id="11" xr3:uid="{00000000-0010-0000-0300-00000B000000}" name="FLT ST" dataDxfId="1338" totalsRowDxfId="1301"/>
    <tableColumn id="12" xr3:uid="{00000000-0010-0000-0300-00000C000000}" name="LST-SOLD" dataDxfId="1337" totalsRowDxfId="1300"/>
    <tableColumn id="13" xr3:uid="{00000000-0010-0000-0300-00000D000000}" name="TO-DAY" totalsRowFunction="sum" dataDxfId="1336" totalsRowDxfId="1299"/>
    <tableColumn id="14" xr3:uid="{00000000-0010-0000-0300-00000E000000}" name="Y-DAY" totalsRowFunction="sum" dataDxfId="1335" totalsRowDxfId="1298"/>
    <tableColumn id="15" xr3:uid="{00000000-0010-0000-0300-00000F000000}" name="WEEKLY" totalsRowFunction="sum" dataDxfId="1334" totalsRowDxfId="1297"/>
    <tableColumn id="16" xr3:uid="{00000000-0010-0000-0300-000010000000}" name="LOWEST AVAIL" dataDxfId="1333" totalsRowDxfId="1296"/>
    <tableColumn id="17" xr3:uid="{00000000-0010-0000-0300-000011000000}" name="Y" totalsRowFunction="sum" dataDxfId="1332" totalsRowDxfId="1295"/>
    <tableColumn id="18" xr3:uid="{00000000-0010-0000-0300-000012000000}" name="B" totalsRowFunction="sum" dataDxfId="1331" totalsRowDxfId="1294"/>
    <tableColumn id="19" xr3:uid="{00000000-0010-0000-0300-000013000000}" name="M" totalsRowFunction="sum" dataDxfId="1330" totalsRowDxfId="1293"/>
    <tableColumn id="20" xr3:uid="{00000000-0010-0000-0300-000014000000}" name="H" totalsRowFunction="sum" dataDxfId="1329" totalsRowDxfId="1292"/>
    <tableColumn id="21" xr3:uid="{00000000-0010-0000-0300-000015000000}" name="Q" totalsRowFunction="sum" dataDxfId="1328" totalsRowDxfId="1291"/>
    <tableColumn id="22" xr3:uid="{00000000-0010-0000-0300-000016000000}" name="K" totalsRowFunction="sum" dataDxfId="1327" totalsRowDxfId="1290"/>
    <tableColumn id="23" xr3:uid="{00000000-0010-0000-0300-000017000000}" name="V" totalsRowFunction="sum" dataDxfId="1326" totalsRowDxfId="1289"/>
    <tableColumn id="24" xr3:uid="{00000000-0010-0000-0300-000018000000}" name="L" totalsRowFunction="sum" dataDxfId="1325" totalsRowDxfId="1288"/>
    <tableColumn id="25" xr3:uid="{00000000-0010-0000-0300-000019000000}" name="G" totalsRowFunction="sum" dataDxfId="1324" totalsRowDxfId="1287"/>
    <tableColumn id="26" xr3:uid="{00000000-0010-0000-0300-00001A000000}" name="S" totalsRowFunction="sum" dataDxfId="1323" totalsRowDxfId="1286"/>
    <tableColumn id="27" xr3:uid="{00000000-0010-0000-0300-00001B000000}" name="W" totalsRowFunction="sum" dataDxfId="1322" totalsRowDxfId="1285"/>
    <tableColumn id="28" xr3:uid="{00000000-0010-0000-0300-00001C000000}" name="T" totalsRowFunction="sum" dataDxfId="1321" totalsRowDxfId="1284"/>
    <tableColumn id="29" xr3:uid="{00000000-0010-0000-0300-00001D000000}" name="X" totalsRowFunction="sum" dataDxfId="1320" totalsRowDxfId="1283"/>
    <tableColumn id="30" xr3:uid="{00000000-0010-0000-0300-00001E000000}" name="U" totalsRowFunction="sum" dataDxfId="1319" totalsRowDxfId="1282"/>
    <tableColumn id="31" xr3:uid="{00000000-0010-0000-0300-00001F000000}" name="O" totalsRowFunction="sum" dataDxfId="1318" totalsRowDxfId="1281"/>
    <tableColumn id="32" xr3:uid="{00000000-0010-0000-0300-000020000000}" name="I" totalsRowFunction="sum" dataDxfId="1317" totalsRowDxfId="1280"/>
    <tableColumn id="33" xr3:uid="{00000000-0010-0000-0300-000021000000}" name="E" totalsRowFunction="sum" dataDxfId="1316" totalsRowDxfId="1279"/>
    <tableColumn id="34" xr3:uid="{00000000-0010-0000-0300-000022000000}" name="A" totalsRowFunction="sum" dataDxfId="1315" totalsRowDxfId="1278"/>
    <tableColumn id="35" xr3:uid="{00000000-0010-0000-0300-000023000000}" name="P" totalsRowFunction="sum" dataDxfId="1314" totalsRowDxfId="1277"/>
    <tableColumn id="36" xr3:uid="{00000000-0010-0000-0300-000024000000}" name="N" totalsRowFunction="count" dataDxfId="1313" totalsRowDxfId="127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cusMode_HBE_MED" displayName="FocusMode_HBE_MED" ref="A1:H35" totalsRowShown="0">
  <autoFilter ref="A1:H35" xr:uid="{00000000-0009-0000-0100-000005000000}"/>
  <tableColumns count="8">
    <tableColumn id="1" xr3:uid="{00000000-0010-0000-0400-000001000000}" name="DATE"/>
    <tableColumn id="2" xr3:uid="{00000000-0010-0000-0400-000002000000}" name="AIRLINE"/>
    <tableColumn id="3" xr3:uid="{00000000-0010-0000-0400-000003000000}" name="FLIGHT NUM"/>
    <tableColumn id="4" xr3:uid="{00000000-0010-0000-0400-000004000000}" name="ROUTE"/>
    <tableColumn id="5" xr3:uid="{00000000-0010-0000-0400-000005000000}" name="DEPARTURE"/>
    <tableColumn id="6" xr3:uid="{00000000-0010-0000-0400-000006000000}" name="BAGGAGE"/>
    <tableColumn id="7" xr3:uid="{00000000-0010-0000-0400-000007000000}" name="AVAILABILITY"/>
    <tableColumn id="8" xr3:uid="{00000000-0010-0000-0400-000008000000}" name="PUBLISHED FA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ATZ_MED_LF_LEGACY" displayName="ATZ_MED_LF_LEGACY" ref="A1:AJ3" totalsRowCount="1" headerRowDxfId="1274" dataDxfId="1237" totalsRowDxfId="1200">
  <tableColumns count="36">
    <tableColumn id="1" xr3:uid="{00000000-0010-0000-0500-000001000000}" name="Day" totalsRowLabel="TOTAL" dataDxfId="1273" totalsRowDxfId="1236"/>
    <tableColumn id="2" xr3:uid="{00000000-0010-0000-0500-000002000000}" name="Flt Dt" dataDxfId="1272" totalsRowDxfId="1235"/>
    <tableColumn id="3" xr3:uid="{00000000-0010-0000-0500-000003000000}" name="Flt" totalsRowFunction="count" dataDxfId="1271" totalsRowDxfId="1234"/>
    <tableColumn id="4" xr3:uid="{00000000-0010-0000-0500-000004000000}" name="DEP" dataDxfId="1270" totalsRowDxfId="1233"/>
    <tableColumn id="5" xr3:uid="{00000000-0010-0000-0500-000005000000}" name="Brd-Off" totalsRowFunction="count" dataDxfId="1269" totalsRowDxfId="1232"/>
    <tableColumn id="6" xr3:uid="{00000000-0010-0000-0500-000006000000}" name="Eqp" dataDxfId="1268" totalsRowDxfId="1231"/>
    <tableColumn id="7" xr3:uid="{00000000-0010-0000-0500-000007000000}" name="LF%" totalsRowFunction="average" dataDxfId="1267" totalsRowDxfId="1230"/>
    <tableColumn id="8" xr3:uid="{00000000-0010-0000-0500-000008000000}" name="CAP" totalsRowFunction="sum" dataDxfId="1266" totalsRowDxfId="1229"/>
    <tableColumn id="9" xr3:uid="{00000000-0010-0000-0500-000009000000}" name="BKG(Y)" totalsRowFunction="sum" dataDxfId="1265" totalsRowDxfId="1228"/>
    <tableColumn id="10" xr3:uid="{00000000-0010-0000-0500-00000A000000}" name="GRP(Y)" totalsRowFunction="sum" dataDxfId="1264" totalsRowDxfId="1227"/>
    <tableColumn id="11" xr3:uid="{00000000-0010-0000-0500-00000B000000}" name="FLT ST" dataDxfId="1263" totalsRowDxfId="1226"/>
    <tableColumn id="12" xr3:uid="{00000000-0010-0000-0500-00000C000000}" name="LST-SOLD" dataDxfId="1262" totalsRowDxfId="1225"/>
    <tableColumn id="13" xr3:uid="{00000000-0010-0000-0500-00000D000000}" name="TO-DAY" totalsRowFunction="sum" dataDxfId="1261" totalsRowDxfId="1224"/>
    <tableColumn id="14" xr3:uid="{00000000-0010-0000-0500-00000E000000}" name="Y-DAY" totalsRowFunction="sum" dataDxfId="1260" totalsRowDxfId="1223"/>
    <tableColumn id="15" xr3:uid="{00000000-0010-0000-0500-00000F000000}" name="WEEKLY" totalsRowFunction="sum" dataDxfId="1259" totalsRowDxfId="1222"/>
    <tableColumn id="16" xr3:uid="{00000000-0010-0000-0500-000010000000}" name="LOWEST AVAIL" dataDxfId="1258" totalsRowDxfId="1221"/>
    <tableColumn id="17" xr3:uid="{00000000-0010-0000-0500-000011000000}" name="Y" totalsRowFunction="sum" dataDxfId="1257" totalsRowDxfId="1220"/>
    <tableColumn id="18" xr3:uid="{00000000-0010-0000-0500-000012000000}" name="B" totalsRowFunction="sum" dataDxfId="1256" totalsRowDxfId="1219"/>
    <tableColumn id="19" xr3:uid="{00000000-0010-0000-0500-000013000000}" name="M" totalsRowFunction="sum" dataDxfId="1255" totalsRowDxfId="1218"/>
    <tableColumn id="20" xr3:uid="{00000000-0010-0000-0500-000014000000}" name="H" totalsRowFunction="sum" dataDxfId="1254" totalsRowDxfId="1217"/>
    <tableColumn id="21" xr3:uid="{00000000-0010-0000-0500-000015000000}" name="Q" totalsRowFunction="sum" dataDxfId="1253" totalsRowDxfId="1216"/>
    <tableColumn id="22" xr3:uid="{00000000-0010-0000-0500-000016000000}" name="K" totalsRowFunction="sum" dataDxfId="1252" totalsRowDxfId="1215"/>
    <tableColumn id="23" xr3:uid="{00000000-0010-0000-0500-000017000000}" name="V" totalsRowFunction="sum" dataDxfId="1251" totalsRowDxfId="1214"/>
    <tableColumn id="24" xr3:uid="{00000000-0010-0000-0500-000018000000}" name="L" totalsRowFunction="sum" dataDxfId="1250" totalsRowDxfId="1213"/>
    <tableColumn id="25" xr3:uid="{00000000-0010-0000-0500-000019000000}" name="G" totalsRowFunction="sum" dataDxfId="1249" totalsRowDxfId="1212"/>
    <tableColumn id="26" xr3:uid="{00000000-0010-0000-0500-00001A000000}" name="S" totalsRowFunction="sum" dataDxfId="1248" totalsRowDxfId="1211"/>
    <tableColumn id="27" xr3:uid="{00000000-0010-0000-0500-00001B000000}" name="W" totalsRowFunction="sum" dataDxfId="1247" totalsRowDxfId="1210"/>
    <tableColumn id="28" xr3:uid="{00000000-0010-0000-0500-00001C000000}" name="T" totalsRowFunction="sum" dataDxfId="1246" totalsRowDxfId="1209"/>
    <tableColumn id="29" xr3:uid="{00000000-0010-0000-0500-00001D000000}" name="X" totalsRowFunction="sum" dataDxfId="1245" totalsRowDxfId="1208"/>
    <tableColumn id="30" xr3:uid="{00000000-0010-0000-0500-00001E000000}" name="U" totalsRowFunction="sum" dataDxfId="1244" totalsRowDxfId="1207"/>
    <tableColumn id="31" xr3:uid="{00000000-0010-0000-0500-00001F000000}" name="O" totalsRowFunction="sum" dataDxfId="1243" totalsRowDxfId="1206"/>
    <tableColumn id="32" xr3:uid="{00000000-0010-0000-0500-000020000000}" name="I" totalsRowFunction="sum" dataDxfId="1242" totalsRowDxfId="1205"/>
    <tableColumn id="33" xr3:uid="{00000000-0010-0000-0500-000021000000}" name="E" totalsRowFunction="sum" dataDxfId="1241" totalsRowDxfId="1204"/>
    <tableColumn id="34" xr3:uid="{00000000-0010-0000-0500-000022000000}" name="A" totalsRowFunction="sum" dataDxfId="1240" totalsRowDxfId="1203"/>
    <tableColumn id="35" xr3:uid="{00000000-0010-0000-0500-000023000000}" name="P" totalsRowFunction="sum" dataDxfId="1239" totalsRowDxfId="1202"/>
    <tableColumn id="36" xr3:uid="{00000000-0010-0000-0500-000024000000}" name="N" totalsRowFunction="count" dataDxfId="1238" totalsRowDxfId="120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FocusMode_ATZ_MED" displayName="FocusMode_ATZ_MED" ref="A1:H35" totalsRowShown="0">
  <autoFilter ref="A1:H35" xr:uid="{00000000-0009-0000-0100-000007000000}"/>
  <tableColumns count="8">
    <tableColumn id="1" xr3:uid="{00000000-0010-0000-0600-000001000000}" name="DATE"/>
    <tableColumn id="2" xr3:uid="{00000000-0010-0000-0600-000002000000}" name="AIRLINE"/>
    <tableColumn id="3" xr3:uid="{00000000-0010-0000-0600-000003000000}" name="FLIGHT NUM"/>
    <tableColumn id="4" xr3:uid="{00000000-0010-0000-0600-000004000000}" name="ROUTE"/>
    <tableColumn id="5" xr3:uid="{00000000-0010-0000-0600-000005000000}" name="DEPARTURE"/>
    <tableColumn id="6" xr3:uid="{00000000-0010-0000-0600-000006000000}" name="BAGGAGE"/>
    <tableColumn id="7" xr3:uid="{00000000-0010-0000-0600-000007000000}" name="AVAILABILITY"/>
    <tableColumn id="8" xr3:uid="{00000000-0010-0000-0600-000008000000}" name="PUBLISHED FAR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CAI_JED_LF_LEGACY" displayName="CAI_JED_LF_LEGACY" ref="A1:AJ17" totalsRowCount="1" headerRowDxfId="1199" dataDxfId="1162" totalsRowDxfId="1125">
  <tableColumns count="36">
    <tableColumn id="1" xr3:uid="{00000000-0010-0000-0700-000001000000}" name="Day" totalsRowLabel="TOTAL" dataDxfId="1198" totalsRowDxfId="1161"/>
    <tableColumn id="2" xr3:uid="{00000000-0010-0000-0700-000002000000}" name="Flt Dt" dataDxfId="1197" totalsRowDxfId="1160"/>
    <tableColumn id="3" xr3:uid="{00000000-0010-0000-0700-000003000000}" name="Flt" totalsRowFunction="count" dataDxfId="1196" totalsRowDxfId="1159"/>
    <tableColumn id="4" xr3:uid="{00000000-0010-0000-0700-000004000000}" name="DEP" dataDxfId="1195" totalsRowDxfId="1158"/>
    <tableColumn id="5" xr3:uid="{00000000-0010-0000-0700-000005000000}" name="Brd-Off" totalsRowFunction="count" dataDxfId="1194" totalsRowDxfId="1157"/>
    <tableColumn id="6" xr3:uid="{00000000-0010-0000-0700-000006000000}" name="Eqp" dataDxfId="1193" totalsRowDxfId="1156"/>
    <tableColumn id="7" xr3:uid="{00000000-0010-0000-0700-000007000000}" name="LF%" totalsRowFunction="average" dataDxfId="1192" totalsRowDxfId="1155"/>
    <tableColumn id="8" xr3:uid="{00000000-0010-0000-0700-000008000000}" name="CAP" totalsRowFunction="sum" dataDxfId="1191" totalsRowDxfId="1154"/>
    <tableColumn id="9" xr3:uid="{00000000-0010-0000-0700-000009000000}" name="BKG(Y)" totalsRowFunction="sum" dataDxfId="1190" totalsRowDxfId="1153"/>
    <tableColumn id="10" xr3:uid="{00000000-0010-0000-0700-00000A000000}" name="GRP(Y)" totalsRowFunction="sum" dataDxfId="1189" totalsRowDxfId="1152"/>
    <tableColumn id="11" xr3:uid="{00000000-0010-0000-0700-00000B000000}" name="FLT ST" dataDxfId="1188" totalsRowDxfId="1151"/>
    <tableColumn id="12" xr3:uid="{00000000-0010-0000-0700-00000C000000}" name="LST-SOLD" dataDxfId="1187" totalsRowDxfId="1150"/>
    <tableColumn id="13" xr3:uid="{00000000-0010-0000-0700-00000D000000}" name="TO-DAY" totalsRowFunction="sum" dataDxfId="1186" totalsRowDxfId="1149"/>
    <tableColumn id="14" xr3:uid="{00000000-0010-0000-0700-00000E000000}" name="Y-DAY" totalsRowFunction="sum" dataDxfId="1185" totalsRowDxfId="1148"/>
    <tableColumn id="15" xr3:uid="{00000000-0010-0000-0700-00000F000000}" name="WEEKLY" totalsRowFunction="sum" dataDxfId="1184" totalsRowDxfId="1147"/>
    <tableColumn id="16" xr3:uid="{00000000-0010-0000-0700-000010000000}" name="LOWEST AVAIL" dataDxfId="1183" totalsRowDxfId="1146"/>
    <tableColumn id="17" xr3:uid="{00000000-0010-0000-0700-000011000000}" name="Y" totalsRowFunction="sum" dataDxfId="1182" totalsRowDxfId="1145"/>
    <tableColumn id="18" xr3:uid="{00000000-0010-0000-0700-000012000000}" name="B" totalsRowFunction="sum" dataDxfId="1181" totalsRowDxfId="1144"/>
    <tableColumn id="19" xr3:uid="{00000000-0010-0000-0700-000013000000}" name="M" totalsRowFunction="sum" dataDxfId="1180" totalsRowDxfId="1143"/>
    <tableColumn id="20" xr3:uid="{00000000-0010-0000-0700-000014000000}" name="H" totalsRowFunction="sum" dataDxfId="1179" totalsRowDxfId="1142"/>
    <tableColumn id="21" xr3:uid="{00000000-0010-0000-0700-000015000000}" name="Q" totalsRowFunction="sum" dataDxfId="1178" totalsRowDxfId="1141"/>
    <tableColumn id="22" xr3:uid="{00000000-0010-0000-0700-000016000000}" name="K" totalsRowFunction="sum" dataDxfId="1177" totalsRowDxfId="1140"/>
    <tableColumn id="23" xr3:uid="{00000000-0010-0000-0700-000017000000}" name="V" totalsRowFunction="sum" dataDxfId="1176" totalsRowDxfId="1139"/>
    <tableColumn id="24" xr3:uid="{00000000-0010-0000-0700-000018000000}" name="L" totalsRowFunction="sum" dataDxfId="1175" totalsRowDxfId="1138"/>
    <tableColumn id="25" xr3:uid="{00000000-0010-0000-0700-000019000000}" name="G" totalsRowFunction="sum" dataDxfId="1174" totalsRowDxfId="1137"/>
    <tableColumn id="26" xr3:uid="{00000000-0010-0000-0700-00001A000000}" name="S" totalsRowFunction="sum" dataDxfId="1173" totalsRowDxfId="1136"/>
    <tableColumn id="27" xr3:uid="{00000000-0010-0000-0700-00001B000000}" name="W" totalsRowFunction="sum" dataDxfId="1172" totalsRowDxfId="1135"/>
    <tableColumn id="28" xr3:uid="{00000000-0010-0000-0700-00001C000000}" name="T" totalsRowFunction="sum" dataDxfId="1171" totalsRowDxfId="1134"/>
    <tableColumn id="29" xr3:uid="{00000000-0010-0000-0700-00001D000000}" name="X" totalsRowFunction="sum" dataDxfId="1170" totalsRowDxfId="1133"/>
    <tableColumn id="30" xr3:uid="{00000000-0010-0000-0700-00001E000000}" name="U" totalsRowFunction="sum" dataDxfId="1169" totalsRowDxfId="1132"/>
    <tableColumn id="31" xr3:uid="{00000000-0010-0000-0700-00001F000000}" name="O" totalsRowFunction="sum" dataDxfId="1168" totalsRowDxfId="1131"/>
    <tableColumn id="32" xr3:uid="{00000000-0010-0000-0700-000020000000}" name="I" totalsRowFunction="sum" dataDxfId="1167" totalsRowDxfId="1130"/>
    <tableColumn id="33" xr3:uid="{00000000-0010-0000-0700-000021000000}" name="E" totalsRowFunction="sum" dataDxfId="1166" totalsRowDxfId="1129"/>
    <tableColumn id="34" xr3:uid="{00000000-0010-0000-0700-000022000000}" name="A" totalsRowFunction="sum" dataDxfId="1165" totalsRowDxfId="1128"/>
    <tableColumn id="35" xr3:uid="{00000000-0010-0000-0700-000023000000}" name="P" totalsRowFunction="sum" dataDxfId="1164" totalsRowDxfId="1127"/>
    <tableColumn id="36" xr3:uid="{00000000-0010-0000-0700-000024000000}" name="N" totalsRowFunction="count" dataDxfId="1163" totalsRowDxfId="1126"/>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ocusMode_CAI_JED" displayName="FocusMode_CAI_JED" ref="A1:H149" totalsRowShown="0">
  <autoFilter ref="A1:H149" xr:uid="{00000000-0009-0000-0100-000009000000}"/>
  <tableColumns count="8">
    <tableColumn id="1" xr3:uid="{00000000-0010-0000-0800-000001000000}" name="DATE"/>
    <tableColumn id="2" xr3:uid="{00000000-0010-0000-0800-000002000000}" name="AIRLINE"/>
    <tableColumn id="3" xr3:uid="{00000000-0010-0000-0800-000003000000}" name="FLIGHT NUM"/>
    <tableColumn id="4" xr3:uid="{00000000-0010-0000-0800-000004000000}" name="ROUTE"/>
    <tableColumn id="5" xr3:uid="{00000000-0010-0000-0800-000005000000}" name="DEPARTURE"/>
    <tableColumn id="6" xr3:uid="{00000000-0010-0000-0800-000006000000}" name="BAGGAGE"/>
    <tableColumn id="7" xr3:uid="{00000000-0010-0000-0800-000007000000}" name="AVAILABILITY"/>
    <tableColumn id="8" xr3:uid="{00000000-0010-0000-0800-000008000000}" name="PUBLISHED FA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hreatsAlert_CAI_JED" displayName="ThreatsAlert_CAI_JED" ref="A1:H22" totalsRowShown="0">
  <autoFilter ref="A1:H22" xr:uid="{00000000-0009-0000-0100-00000A000000}"/>
  <tableColumns count="8">
    <tableColumn id="1" xr3:uid="{00000000-0010-0000-0900-000001000000}" name="DATE"/>
    <tableColumn id="2" xr3:uid="{00000000-0010-0000-0900-000002000000}" name="AIRLINE"/>
    <tableColumn id="3" xr3:uid="{00000000-0010-0000-0900-000003000000}" name="FLIGHT NUM"/>
    <tableColumn id="4" xr3:uid="{00000000-0010-0000-0900-000004000000}" name="ROUTE"/>
    <tableColumn id="5" xr3:uid="{00000000-0010-0000-0900-000005000000}" name="DEPARTURE"/>
    <tableColumn id="6" xr3:uid="{00000000-0010-0000-0900-000006000000}" name="BAGGAGE"/>
    <tableColumn id="7" xr3:uid="{00000000-0010-0000-0900-000007000000}" name="AVAILABILITY"/>
    <tableColumn id="8" xr3:uid="{00000000-0010-0000-0900-000008000000}" name="PUBLISHED FAR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HBE_JED_LF_LEGACY" displayName="HBE_JED_LF_LEGACY" ref="A1:AJ6" totalsRowCount="1" headerRowDxfId="1124" dataDxfId="1087" totalsRowDxfId="1050">
  <tableColumns count="36">
    <tableColumn id="1" xr3:uid="{00000000-0010-0000-0A00-000001000000}" name="Day" totalsRowLabel="TOTAL" dataDxfId="1123" totalsRowDxfId="1086"/>
    <tableColumn id="2" xr3:uid="{00000000-0010-0000-0A00-000002000000}" name="Flt Dt" dataDxfId="1122" totalsRowDxfId="1085"/>
    <tableColumn id="3" xr3:uid="{00000000-0010-0000-0A00-000003000000}" name="Flt" totalsRowFunction="count" dataDxfId="1121" totalsRowDxfId="1084"/>
    <tableColumn id="4" xr3:uid="{00000000-0010-0000-0A00-000004000000}" name="DEP" dataDxfId="1120" totalsRowDxfId="1083"/>
    <tableColumn id="5" xr3:uid="{00000000-0010-0000-0A00-000005000000}" name="Brd-Off" totalsRowFunction="count" dataDxfId="1119" totalsRowDxfId="1082"/>
    <tableColumn id="6" xr3:uid="{00000000-0010-0000-0A00-000006000000}" name="Eqp" dataDxfId="1118" totalsRowDxfId="1081"/>
    <tableColumn id="7" xr3:uid="{00000000-0010-0000-0A00-000007000000}" name="LF%" totalsRowFunction="average" dataDxfId="1117" totalsRowDxfId="1080"/>
    <tableColumn id="8" xr3:uid="{00000000-0010-0000-0A00-000008000000}" name="CAP" totalsRowFunction="sum" dataDxfId="1116" totalsRowDxfId="1079"/>
    <tableColumn id="9" xr3:uid="{00000000-0010-0000-0A00-000009000000}" name="BKG(Y)" totalsRowFunction="sum" dataDxfId="1115" totalsRowDxfId="1078"/>
    <tableColumn id="10" xr3:uid="{00000000-0010-0000-0A00-00000A000000}" name="GRP(Y)" totalsRowFunction="sum" dataDxfId="1114" totalsRowDxfId="1077"/>
    <tableColumn id="11" xr3:uid="{00000000-0010-0000-0A00-00000B000000}" name="FLT ST" dataDxfId="1113" totalsRowDxfId="1076"/>
    <tableColumn id="12" xr3:uid="{00000000-0010-0000-0A00-00000C000000}" name="LST-SOLD" dataDxfId="1112" totalsRowDxfId="1075"/>
    <tableColumn id="13" xr3:uid="{00000000-0010-0000-0A00-00000D000000}" name="TO-DAY" totalsRowFunction="sum" dataDxfId="1111" totalsRowDxfId="1074"/>
    <tableColumn id="14" xr3:uid="{00000000-0010-0000-0A00-00000E000000}" name="Y-DAY" totalsRowFunction="sum" dataDxfId="1110" totalsRowDxfId="1073"/>
    <tableColumn id="15" xr3:uid="{00000000-0010-0000-0A00-00000F000000}" name="WEEKLY" totalsRowFunction="sum" dataDxfId="1109" totalsRowDxfId="1072"/>
    <tableColumn id="16" xr3:uid="{00000000-0010-0000-0A00-000010000000}" name="LOWEST AVAIL" dataDxfId="1108" totalsRowDxfId="1071"/>
    <tableColumn id="17" xr3:uid="{00000000-0010-0000-0A00-000011000000}" name="Y" totalsRowFunction="sum" dataDxfId="1107" totalsRowDxfId="1070"/>
    <tableColumn id="18" xr3:uid="{00000000-0010-0000-0A00-000012000000}" name="B" totalsRowFunction="sum" dataDxfId="1106" totalsRowDxfId="1069"/>
    <tableColumn id="19" xr3:uid="{00000000-0010-0000-0A00-000013000000}" name="M" totalsRowFunction="sum" dataDxfId="1105" totalsRowDxfId="1068"/>
    <tableColumn id="20" xr3:uid="{00000000-0010-0000-0A00-000014000000}" name="H" totalsRowFunction="sum" dataDxfId="1104" totalsRowDxfId="1067"/>
    <tableColumn id="21" xr3:uid="{00000000-0010-0000-0A00-000015000000}" name="Q" totalsRowFunction="sum" dataDxfId="1103" totalsRowDxfId="1066"/>
    <tableColumn id="22" xr3:uid="{00000000-0010-0000-0A00-000016000000}" name="K" totalsRowFunction="sum" dataDxfId="1102" totalsRowDxfId="1065"/>
    <tableColumn id="23" xr3:uid="{00000000-0010-0000-0A00-000017000000}" name="V" totalsRowFunction="sum" dataDxfId="1101" totalsRowDxfId="1064"/>
    <tableColumn id="24" xr3:uid="{00000000-0010-0000-0A00-000018000000}" name="L" totalsRowFunction="sum" dataDxfId="1100" totalsRowDxfId="1063"/>
    <tableColumn id="25" xr3:uid="{00000000-0010-0000-0A00-000019000000}" name="G" totalsRowFunction="sum" dataDxfId="1099" totalsRowDxfId="1062"/>
    <tableColumn id="26" xr3:uid="{00000000-0010-0000-0A00-00001A000000}" name="S" totalsRowFunction="sum" dataDxfId="1098" totalsRowDxfId="1061"/>
    <tableColumn id="27" xr3:uid="{00000000-0010-0000-0A00-00001B000000}" name="W" totalsRowFunction="sum" dataDxfId="1097" totalsRowDxfId="1060"/>
    <tableColumn id="28" xr3:uid="{00000000-0010-0000-0A00-00001C000000}" name="T" totalsRowFunction="sum" dataDxfId="1096" totalsRowDxfId="1059"/>
    <tableColumn id="29" xr3:uid="{00000000-0010-0000-0A00-00001D000000}" name="X" totalsRowFunction="sum" dataDxfId="1095" totalsRowDxfId="1058"/>
    <tableColumn id="30" xr3:uid="{00000000-0010-0000-0A00-00001E000000}" name="U" totalsRowFunction="sum" dataDxfId="1094" totalsRowDxfId="1057"/>
    <tableColumn id="31" xr3:uid="{00000000-0010-0000-0A00-00001F000000}" name="O" totalsRowFunction="sum" dataDxfId="1093" totalsRowDxfId="1056"/>
    <tableColumn id="32" xr3:uid="{00000000-0010-0000-0A00-000020000000}" name="I" totalsRowFunction="sum" dataDxfId="1092" totalsRowDxfId="1055"/>
    <tableColumn id="33" xr3:uid="{00000000-0010-0000-0A00-000021000000}" name="E" totalsRowFunction="sum" dataDxfId="1091" totalsRowDxfId="1054"/>
    <tableColumn id="34" xr3:uid="{00000000-0010-0000-0A00-000022000000}" name="A" totalsRowFunction="sum" dataDxfId="1090" totalsRowDxfId="1053"/>
    <tableColumn id="35" xr3:uid="{00000000-0010-0000-0A00-000023000000}" name="P" totalsRowFunction="sum" dataDxfId="1089" totalsRowDxfId="1052"/>
    <tableColumn id="36" xr3:uid="{00000000-0010-0000-0A00-000024000000}" name="N" totalsRowFunction="count" dataDxfId="1088" totalsRowDxfId="1051"/>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FocusMode_HBE_JED" displayName="FocusMode_HBE_JED" ref="A1:H58" totalsRowShown="0">
  <autoFilter ref="A1:H58" xr:uid="{00000000-0009-0000-0100-00000C000000}"/>
  <tableColumns count="8">
    <tableColumn id="1" xr3:uid="{00000000-0010-0000-0B00-000001000000}" name="DATE"/>
    <tableColumn id="2" xr3:uid="{00000000-0010-0000-0B00-000002000000}" name="AIRLINE"/>
    <tableColumn id="3" xr3:uid="{00000000-0010-0000-0B00-000003000000}" name="FLIGHT NUM"/>
    <tableColumn id="4" xr3:uid="{00000000-0010-0000-0B00-000004000000}" name="ROUTE"/>
    <tableColumn id="5" xr3:uid="{00000000-0010-0000-0B00-000005000000}" name="DEPARTURE"/>
    <tableColumn id="6" xr3:uid="{00000000-0010-0000-0B00-000006000000}" name="BAGGAGE"/>
    <tableColumn id="7" xr3:uid="{00000000-0010-0000-0B00-000007000000}" name="AVAILABILITY"/>
    <tableColumn id="8" xr3:uid="{00000000-0010-0000-0B00-000008000000}" name="PUBLISHED FAR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ATZ_JED_LF_LEGACY" displayName="ATZ_JED_LF_LEGACY" ref="A1:AJ7" totalsRowCount="1" headerRowDxfId="1049" dataDxfId="1012" totalsRowDxfId="975">
  <tableColumns count="36">
    <tableColumn id="1" xr3:uid="{00000000-0010-0000-0C00-000001000000}" name="Day" totalsRowLabel="TOTAL" dataDxfId="1048" totalsRowDxfId="1011"/>
    <tableColumn id="2" xr3:uid="{00000000-0010-0000-0C00-000002000000}" name="Flt Dt" dataDxfId="1047" totalsRowDxfId="1010"/>
    <tableColumn id="3" xr3:uid="{00000000-0010-0000-0C00-000003000000}" name="Flt" totalsRowFunction="count" dataDxfId="1046" totalsRowDxfId="1009"/>
    <tableColumn id="4" xr3:uid="{00000000-0010-0000-0C00-000004000000}" name="DEP" dataDxfId="1045" totalsRowDxfId="1008"/>
    <tableColumn id="5" xr3:uid="{00000000-0010-0000-0C00-000005000000}" name="Brd-Off" totalsRowFunction="count" dataDxfId="1044" totalsRowDxfId="1007"/>
    <tableColumn id="6" xr3:uid="{00000000-0010-0000-0C00-000006000000}" name="Eqp" dataDxfId="1043" totalsRowDxfId="1006"/>
    <tableColumn id="7" xr3:uid="{00000000-0010-0000-0C00-000007000000}" name="LF%" totalsRowFunction="average" dataDxfId="1042" totalsRowDxfId="1005"/>
    <tableColumn id="8" xr3:uid="{00000000-0010-0000-0C00-000008000000}" name="CAP" totalsRowFunction="sum" dataDxfId="1041" totalsRowDxfId="1004"/>
    <tableColumn id="9" xr3:uid="{00000000-0010-0000-0C00-000009000000}" name="BKG(Y)" totalsRowFunction="sum" dataDxfId="1040" totalsRowDxfId="1003"/>
    <tableColumn id="10" xr3:uid="{00000000-0010-0000-0C00-00000A000000}" name="GRP(Y)" totalsRowFunction="sum" dataDxfId="1039" totalsRowDxfId="1002"/>
    <tableColumn id="11" xr3:uid="{00000000-0010-0000-0C00-00000B000000}" name="FLT ST" dataDxfId="1038" totalsRowDxfId="1001"/>
    <tableColumn id="12" xr3:uid="{00000000-0010-0000-0C00-00000C000000}" name="LST-SOLD" dataDxfId="1037" totalsRowDxfId="1000"/>
    <tableColumn id="13" xr3:uid="{00000000-0010-0000-0C00-00000D000000}" name="TO-DAY" totalsRowFunction="sum" dataDxfId="1036" totalsRowDxfId="999"/>
    <tableColumn id="14" xr3:uid="{00000000-0010-0000-0C00-00000E000000}" name="Y-DAY" totalsRowFunction="sum" dataDxfId="1035" totalsRowDxfId="998"/>
    <tableColumn id="15" xr3:uid="{00000000-0010-0000-0C00-00000F000000}" name="WEEKLY" totalsRowFunction="sum" dataDxfId="1034" totalsRowDxfId="997"/>
    <tableColumn id="16" xr3:uid="{00000000-0010-0000-0C00-000010000000}" name="LOWEST AVAIL" dataDxfId="1033" totalsRowDxfId="996"/>
    <tableColumn id="17" xr3:uid="{00000000-0010-0000-0C00-000011000000}" name="Y" totalsRowFunction="sum" dataDxfId="1032" totalsRowDxfId="995"/>
    <tableColumn id="18" xr3:uid="{00000000-0010-0000-0C00-000012000000}" name="B" totalsRowFunction="sum" dataDxfId="1031" totalsRowDxfId="994"/>
    <tableColumn id="19" xr3:uid="{00000000-0010-0000-0C00-000013000000}" name="M" totalsRowFunction="sum" dataDxfId="1030" totalsRowDxfId="993"/>
    <tableColumn id="20" xr3:uid="{00000000-0010-0000-0C00-000014000000}" name="H" totalsRowFunction="sum" dataDxfId="1029" totalsRowDxfId="992"/>
    <tableColumn id="21" xr3:uid="{00000000-0010-0000-0C00-000015000000}" name="Q" totalsRowFunction="sum" dataDxfId="1028" totalsRowDxfId="991"/>
    <tableColumn id="22" xr3:uid="{00000000-0010-0000-0C00-000016000000}" name="K" totalsRowFunction="sum" dataDxfId="1027" totalsRowDxfId="990"/>
    <tableColumn id="23" xr3:uid="{00000000-0010-0000-0C00-000017000000}" name="V" totalsRowFunction="sum" dataDxfId="1026" totalsRowDxfId="989"/>
    <tableColumn id="24" xr3:uid="{00000000-0010-0000-0C00-000018000000}" name="L" totalsRowFunction="sum" dataDxfId="1025" totalsRowDxfId="988"/>
    <tableColumn id="25" xr3:uid="{00000000-0010-0000-0C00-000019000000}" name="G" totalsRowFunction="sum" dataDxfId="1024" totalsRowDxfId="987"/>
    <tableColumn id="26" xr3:uid="{00000000-0010-0000-0C00-00001A000000}" name="S" totalsRowFunction="sum" dataDxfId="1023" totalsRowDxfId="986"/>
    <tableColumn id="27" xr3:uid="{00000000-0010-0000-0C00-00001B000000}" name="W" totalsRowFunction="sum" dataDxfId="1022" totalsRowDxfId="985"/>
    <tableColumn id="28" xr3:uid="{00000000-0010-0000-0C00-00001C000000}" name="T" totalsRowFunction="sum" dataDxfId="1021" totalsRowDxfId="984"/>
    <tableColumn id="29" xr3:uid="{00000000-0010-0000-0C00-00001D000000}" name="X" totalsRowFunction="sum" dataDxfId="1020" totalsRowDxfId="983"/>
    <tableColumn id="30" xr3:uid="{00000000-0010-0000-0C00-00001E000000}" name="U" totalsRowFunction="sum" dataDxfId="1019" totalsRowDxfId="982"/>
    <tableColumn id="31" xr3:uid="{00000000-0010-0000-0C00-00001F000000}" name="O" totalsRowFunction="sum" dataDxfId="1018" totalsRowDxfId="981"/>
    <tableColumn id="32" xr3:uid="{00000000-0010-0000-0C00-000020000000}" name="I" totalsRowFunction="sum" dataDxfId="1017" totalsRowDxfId="980"/>
    <tableColumn id="33" xr3:uid="{00000000-0010-0000-0C00-000021000000}" name="E" totalsRowFunction="sum" dataDxfId="1016" totalsRowDxfId="979"/>
    <tableColumn id="34" xr3:uid="{00000000-0010-0000-0C00-000022000000}" name="A" totalsRowFunction="sum" dataDxfId="1015" totalsRowDxfId="978"/>
    <tableColumn id="35" xr3:uid="{00000000-0010-0000-0C00-000023000000}" name="P" totalsRowFunction="sum" dataDxfId="1014" totalsRowDxfId="977"/>
    <tableColumn id="36" xr3:uid="{00000000-0010-0000-0C00-000024000000}" name="N" totalsRowFunction="count" dataDxfId="1013" totalsRowDxfId="976"/>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FocusMode_ATZ_JED" displayName="FocusMode_ATZ_JED" ref="A1:H40" totalsRowShown="0">
  <autoFilter ref="A1:H40" xr:uid="{00000000-0009-0000-0100-00000E000000}"/>
  <tableColumns count="8">
    <tableColumn id="1" xr3:uid="{00000000-0010-0000-0D00-000001000000}" name="DATE"/>
    <tableColumn id="2" xr3:uid="{00000000-0010-0000-0D00-000002000000}" name="AIRLINE"/>
    <tableColumn id="3" xr3:uid="{00000000-0010-0000-0D00-000003000000}" name="FLIGHT NUM"/>
    <tableColumn id="4" xr3:uid="{00000000-0010-0000-0D00-000004000000}" name="ROUTE"/>
    <tableColumn id="5" xr3:uid="{00000000-0010-0000-0D00-000005000000}" name="DEPARTURE"/>
    <tableColumn id="6" xr3:uid="{00000000-0010-0000-0D00-000006000000}" name="BAGGAGE"/>
    <tableColumn id="7" xr3:uid="{00000000-0010-0000-0D00-000007000000}" name="AVAILABILITY"/>
    <tableColumn id="8" xr3:uid="{00000000-0010-0000-0D00-000008000000}" name="PUBLISHED FAR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FocusMode_SSH_JED" displayName="FocusMode_SSH_JED" ref="A1:H4" totalsRowShown="0">
  <autoFilter ref="A1:H4" xr:uid="{00000000-0009-0000-0100-00000F000000}"/>
  <tableColumns count="8">
    <tableColumn id="1" xr3:uid="{00000000-0010-0000-0E00-000001000000}" name="DATE"/>
    <tableColumn id="2" xr3:uid="{00000000-0010-0000-0E00-000002000000}" name="AIRLINE"/>
    <tableColumn id="3" xr3:uid="{00000000-0010-0000-0E00-000003000000}" name="FLIGHT NUM"/>
    <tableColumn id="4" xr3:uid="{00000000-0010-0000-0E00-000004000000}" name="ROUTE"/>
    <tableColumn id="5" xr3:uid="{00000000-0010-0000-0E00-000005000000}" name="DEPARTURE"/>
    <tableColumn id="6" xr3:uid="{00000000-0010-0000-0E00-000006000000}" name="BAGGAGE"/>
    <tableColumn id="7" xr3:uid="{00000000-0010-0000-0E00-000007000000}" name="AVAILABILITY"/>
    <tableColumn id="8" xr3:uid="{00000000-0010-0000-0E00-000008000000}" name="PUBLISHED FAR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CAI_RUH_LF_LEGACY" displayName="CAI_RUH_LF_LEGACY" ref="A1:AJ6" totalsRowCount="1" headerRowDxfId="974" dataDxfId="937" totalsRowDxfId="900">
  <tableColumns count="36">
    <tableColumn id="1" xr3:uid="{00000000-0010-0000-0F00-000001000000}" name="Day" totalsRowLabel="TOTAL" dataDxfId="973" totalsRowDxfId="936"/>
    <tableColumn id="2" xr3:uid="{00000000-0010-0000-0F00-000002000000}" name="Flt Dt" dataDxfId="972" totalsRowDxfId="935"/>
    <tableColumn id="3" xr3:uid="{00000000-0010-0000-0F00-000003000000}" name="Flt" totalsRowFunction="count" dataDxfId="971" totalsRowDxfId="934"/>
    <tableColumn id="4" xr3:uid="{00000000-0010-0000-0F00-000004000000}" name="DEP" dataDxfId="970" totalsRowDxfId="933"/>
    <tableColumn id="5" xr3:uid="{00000000-0010-0000-0F00-000005000000}" name="Brd-Off" totalsRowFunction="count" dataDxfId="969" totalsRowDxfId="932"/>
    <tableColumn id="6" xr3:uid="{00000000-0010-0000-0F00-000006000000}" name="Eqp" dataDxfId="968" totalsRowDxfId="931"/>
    <tableColumn id="7" xr3:uid="{00000000-0010-0000-0F00-000007000000}" name="LF%" totalsRowFunction="average" dataDxfId="967" totalsRowDxfId="930"/>
    <tableColumn id="8" xr3:uid="{00000000-0010-0000-0F00-000008000000}" name="CAP" totalsRowFunction="sum" dataDxfId="966" totalsRowDxfId="929"/>
    <tableColumn id="9" xr3:uid="{00000000-0010-0000-0F00-000009000000}" name="BKG(Y)" totalsRowFunction="sum" dataDxfId="965" totalsRowDxfId="928"/>
    <tableColumn id="10" xr3:uid="{00000000-0010-0000-0F00-00000A000000}" name="GRP(Y)" totalsRowFunction="sum" dataDxfId="964" totalsRowDxfId="927"/>
    <tableColumn id="11" xr3:uid="{00000000-0010-0000-0F00-00000B000000}" name="FLT ST" dataDxfId="963" totalsRowDxfId="926"/>
    <tableColumn id="12" xr3:uid="{00000000-0010-0000-0F00-00000C000000}" name="LST-SOLD" dataDxfId="962" totalsRowDxfId="925"/>
    <tableColumn id="13" xr3:uid="{00000000-0010-0000-0F00-00000D000000}" name="TO-DAY" totalsRowFunction="sum" dataDxfId="961" totalsRowDxfId="924"/>
    <tableColumn id="14" xr3:uid="{00000000-0010-0000-0F00-00000E000000}" name="Y-DAY" totalsRowFunction="sum" dataDxfId="960" totalsRowDxfId="923"/>
    <tableColumn id="15" xr3:uid="{00000000-0010-0000-0F00-00000F000000}" name="WEEKLY" totalsRowFunction="sum" dataDxfId="959" totalsRowDxfId="922"/>
    <tableColumn id="16" xr3:uid="{00000000-0010-0000-0F00-000010000000}" name="LOWEST AVAIL" dataDxfId="958" totalsRowDxfId="921"/>
    <tableColumn id="17" xr3:uid="{00000000-0010-0000-0F00-000011000000}" name="Y" totalsRowFunction="sum" dataDxfId="957" totalsRowDxfId="920"/>
    <tableColumn id="18" xr3:uid="{00000000-0010-0000-0F00-000012000000}" name="B" totalsRowFunction="sum" dataDxfId="956" totalsRowDxfId="919"/>
    <tableColumn id="19" xr3:uid="{00000000-0010-0000-0F00-000013000000}" name="M" totalsRowFunction="sum" dataDxfId="955" totalsRowDxfId="918"/>
    <tableColumn id="20" xr3:uid="{00000000-0010-0000-0F00-000014000000}" name="H" totalsRowFunction="sum" dataDxfId="954" totalsRowDxfId="917"/>
    <tableColumn id="21" xr3:uid="{00000000-0010-0000-0F00-000015000000}" name="Q" totalsRowFunction="sum" dataDxfId="953" totalsRowDxfId="916"/>
    <tableColumn id="22" xr3:uid="{00000000-0010-0000-0F00-000016000000}" name="K" totalsRowFunction="sum" dataDxfId="952" totalsRowDxfId="915"/>
    <tableColumn id="23" xr3:uid="{00000000-0010-0000-0F00-000017000000}" name="V" totalsRowFunction="sum" dataDxfId="951" totalsRowDxfId="914"/>
    <tableColumn id="24" xr3:uid="{00000000-0010-0000-0F00-000018000000}" name="L" totalsRowFunction="sum" dataDxfId="950" totalsRowDxfId="913"/>
    <tableColumn id="25" xr3:uid="{00000000-0010-0000-0F00-000019000000}" name="G" totalsRowFunction="sum" dataDxfId="949" totalsRowDxfId="912"/>
    <tableColumn id="26" xr3:uid="{00000000-0010-0000-0F00-00001A000000}" name="S" totalsRowFunction="sum" dataDxfId="948" totalsRowDxfId="911"/>
    <tableColumn id="27" xr3:uid="{00000000-0010-0000-0F00-00001B000000}" name="W" totalsRowFunction="sum" dataDxfId="947" totalsRowDxfId="910"/>
    <tableColumn id="28" xr3:uid="{00000000-0010-0000-0F00-00001C000000}" name="T" totalsRowFunction="sum" dataDxfId="946" totalsRowDxfId="909"/>
    <tableColumn id="29" xr3:uid="{00000000-0010-0000-0F00-00001D000000}" name="X" totalsRowFunction="sum" dataDxfId="945" totalsRowDxfId="908"/>
    <tableColumn id="30" xr3:uid="{00000000-0010-0000-0F00-00001E000000}" name="U" totalsRowFunction="sum" dataDxfId="944" totalsRowDxfId="907"/>
    <tableColumn id="31" xr3:uid="{00000000-0010-0000-0F00-00001F000000}" name="O" totalsRowFunction="sum" dataDxfId="943" totalsRowDxfId="906"/>
    <tableColumn id="32" xr3:uid="{00000000-0010-0000-0F00-000020000000}" name="I" totalsRowFunction="sum" dataDxfId="942" totalsRowDxfId="905"/>
    <tableColumn id="33" xr3:uid="{00000000-0010-0000-0F00-000021000000}" name="E" totalsRowFunction="sum" dataDxfId="941" totalsRowDxfId="904"/>
    <tableColumn id="34" xr3:uid="{00000000-0010-0000-0F00-000022000000}" name="A" totalsRowFunction="sum" dataDxfId="940" totalsRowDxfId="903"/>
    <tableColumn id="35" xr3:uid="{00000000-0010-0000-0F00-000023000000}" name="P" totalsRowFunction="sum" dataDxfId="939" totalsRowDxfId="902"/>
    <tableColumn id="36" xr3:uid="{00000000-0010-0000-0F00-000024000000}" name="N" totalsRowFunction="count" dataDxfId="938" totalsRowDxfId="9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FocusMode_CAI_RUH" displayName="FocusMode_CAI_RUH" ref="A1:H148" totalsRowShown="0">
  <autoFilter ref="A1:H148" xr:uid="{00000000-0009-0000-0100-000011000000}"/>
  <tableColumns count="8">
    <tableColumn id="1" xr3:uid="{00000000-0010-0000-1000-000001000000}" name="DATE"/>
    <tableColumn id="2" xr3:uid="{00000000-0010-0000-1000-000002000000}" name="AIRLINE"/>
    <tableColumn id="3" xr3:uid="{00000000-0010-0000-1000-000003000000}" name="FLIGHT NUM"/>
    <tableColumn id="4" xr3:uid="{00000000-0010-0000-1000-000004000000}" name="ROUTE"/>
    <tableColumn id="5" xr3:uid="{00000000-0010-0000-1000-000005000000}" name="DEPARTURE"/>
    <tableColumn id="6" xr3:uid="{00000000-0010-0000-1000-000006000000}" name="BAGGAGE"/>
    <tableColumn id="7" xr3:uid="{00000000-0010-0000-1000-000007000000}" name="AVAILABILITY"/>
    <tableColumn id="8" xr3:uid="{00000000-0010-0000-1000-000008000000}" name="PUBLISHED FARE"/>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hreatsAlert_CAI_RUH" displayName="ThreatsAlert_CAI_RUH" ref="A1:H7" totalsRowShown="0">
  <autoFilter ref="A1:H7" xr:uid="{00000000-0009-0000-0100-000012000000}"/>
  <tableColumns count="8">
    <tableColumn id="1" xr3:uid="{00000000-0010-0000-1100-000001000000}" name="DATE"/>
    <tableColumn id="2" xr3:uid="{00000000-0010-0000-1100-000002000000}" name="AIRLINE"/>
    <tableColumn id="3" xr3:uid="{00000000-0010-0000-1100-000003000000}" name="FLIGHT NUM"/>
    <tableColumn id="4" xr3:uid="{00000000-0010-0000-1100-000004000000}" name="ROUTE"/>
    <tableColumn id="5" xr3:uid="{00000000-0010-0000-1100-000005000000}" name="DEPARTURE"/>
    <tableColumn id="6" xr3:uid="{00000000-0010-0000-1100-000006000000}" name="BAGGAGE"/>
    <tableColumn id="7" xr3:uid="{00000000-0010-0000-1100-000007000000}" name="AVAILABILITY"/>
    <tableColumn id="8" xr3:uid="{00000000-0010-0000-1100-000008000000}" name="PUBLISHED FARE"/>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FocusMode_ATZ_RUH" displayName="FocusMode_ATZ_RUH" ref="A1:H40" totalsRowShown="0">
  <autoFilter ref="A1:H40" xr:uid="{00000000-0009-0000-0100-000013000000}"/>
  <tableColumns count="8">
    <tableColumn id="1" xr3:uid="{00000000-0010-0000-1200-000001000000}" name="DATE"/>
    <tableColumn id="2" xr3:uid="{00000000-0010-0000-1200-000002000000}" name="AIRLINE"/>
    <tableColumn id="3" xr3:uid="{00000000-0010-0000-1200-000003000000}" name="FLIGHT NUM"/>
    <tableColumn id="4" xr3:uid="{00000000-0010-0000-1200-000004000000}" name="ROUTE"/>
    <tableColumn id="5" xr3:uid="{00000000-0010-0000-1200-000005000000}" name="DEPARTURE"/>
    <tableColumn id="6" xr3:uid="{00000000-0010-0000-1200-000006000000}" name="BAGGAGE"/>
    <tableColumn id="7" xr3:uid="{00000000-0010-0000-1200-000007000000}" name="AVAILABILITY"/>
    <tableColumn id="8" xr3:uid="{00000000-0010-0000-1200-000008000000}" name="PUBLISHED FARE"/>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CAI_DMM_LF_LEGACY" displayName="CAI_DMM_LF_LEGACY" ref="A1:AJ5" totalsRowCount="1" headerRowDxfId="899" dataDxfId="862" totalsRowDxfId="825">
  <tableColumns count="36">
    <tableColumn id="1" xr3:uid="{00000000-0010-0000-1300-000001000000}" name="Day" totalsRowLabel="TOTAL" dataDxfId="898" totalsRowDxfId="861"/>
    <tableColumn id="2" xr3:uid="{00000000-0010-0000-1300-000002000000}" name="Flt Dt" dataDxfId="897" totalsRowDxfId="860"/>
    <tableColumn id="3" xr3:uid="{00000000-0010-0000-1300-000003000000}" name="Flt" totalsRowFunction="count" dataDxfId="896" totalsRowDxfId="859"/>
    <tableColumn id="4" xr3:uid="{00000000-0010-0000-1300-000004000000}" name="DEP" dataDxfId="895" totalsRowDxfId="858"/>
    <tableColumn id="5" xr3:uid="{00000000-0010-0000-1300-000005000000}" name="Brd-Off" totalsRowFunction="count" dataDxfId="894" totalsRowDxfId="857"/>
    <tableColumn id="6" xr3:uid="{00000000-0010-0000-1300-000006000000}" name="Eqp" dataDxfId="893" totalsRowDxfId="856"/>
    <tableColumn id="7" xr3:uid="{00000000-0010-0000-1300-000007000000}" name="LF%" totalsRowFunction="average" dataDxfId="892" totalsRowDxfId="855"/>
    <tableColumn id="8" xr3:uid="{00000000-0010-0000-1300-000008000000}" name="CAP" totalsRowFunction="sum" dataDxfId="891" totalsRowDxfId="854"/>
    <tableColumn id="9" xr3:uid="{00000000-0010-0000-1300-000009000000}" name="BKG(Y)" totalsRowFunction="sum" dataDxfId="890" totalsRowDxfId="853"/>
    <tableColumn id="10" xr3:uid="{00000000-0010-0000-1300-00000A000000}" name="GRP(Y)" totalsRowFunction="sum" dataDxfId="889" totalsRowDxfId="852"/>
    <tableColumn id="11" xr3:uid="{00000000-0010-0000-1300-00000B000000}" name="FLT ST" dataDxfId="888" totalsRowDxfId="851"/>
    <tableColumn id="12" xr3:uid="{00000000-0010-0000-1300-00000C000000}" name="LST-SOLD" dataDxfId="887" totalsRowDxfId="850"/>
    <tableColumn id="13" xr3:uid="{00000000-0010-0000-1300-00000D000000}" name="TO-DAY" totalsRowFunction="sum" dataDxfId="886" totalsRowDxfId="849"/>
    <tableColumn id="14" xr3:uid="{00000000-0010-0000-1300-00000E000000}" name="Y-DAY" totalsRowFunction="sum" dataDxfId="885" totalsRowDxfId="848"/>
    <tableColumn id="15" xr3:uid="{00000000-0010-0000-1300-00000F000000}" name="WEEKLY" totalsRowFunction="sum" dataDxfId="884" totalsRowDxfId="847"/>
    <tableColumn id="16" xr3:uid="{00000000-0010-0000-1300-000010000000}" name="LOWEST AVAIL" dataDxfId="883" totalsRowDxfId="846"/>
    <tableColumn id="17" xr3:uid="{00000000-0010-0000-1300-000011000000}" name="Y" totalsRowFunction="sum" dataDxfId="882" totalsRowDxfId="845"/>
    <tableColumn id="18" xr3:uid="{00000000-0010-0000-1300-000012000000}" name="B" totalsRowFunction="sum" dataDxfId="881" totalsRowDxfId="844"/>
    <tableColumn id="19" xr3:uid="{00000000-0010-0000-1300-000013000000}" name="M" totalsRowFunction="sum" dataDxfId="880" totalsRowDxfId="843"/>
    <tableColumn id="20" xr3:uid="{00000000-0010-0000-1300-000014000000}" name="H" totalsRowFunction="sum" dataDxfId="879" totalsRowDxfId="842"/>
    <tableColumn id="21" xr3:uid="{00000000-0010-0000-1300-000015000000}" name="Q" totalsRowFunction="sum" dataDxfId="878" totalsRowDxfId="841"/>
    <tableColumn id="22" xr3:uid="{00000000-0010-0000-1300-000016000000}" name="K" totalsRowFunction="sum" dataDxfId="877" totalsRowDxfId="840"/>
    <tableColumn id="23" xr3:uid="{00000000-0010-0000-1300-000017000000}" name="V" totalsRowFunction="sum" dataDxfId="876" totalsRowDxfId="839"/>
    <tableColumn id="24" xr3:uid="{00000000-0010-0000-1300-000018000000}" name="L" totalsRowFunction="sum" dataDxfId="875" totalsRowDxfId="838"/>
    <tableColumn id="25" xr3:uid="{00000000-0010-0000-1300-000019000000}" name="G" totalsRowFunction="sum" dataDxfId="874" totalsRowDxfId="837"/>
    <tableColumn id="26" xr3:uid="{00000000-0010-0000-1300-00001A000000}" name="S" totalsRowFunction="sum" dataDxfId="873" totalsRowDxfId="836"/>
    <tableColumn id="27" xr3:uid="{00000000-0010-0000-1300-00001B000000}" name="W" totalsRowFunction="sum" dataDxfId="872" totalsRowDxfId="835"/>
    <tableColumn id="28" xr3:uid="{00000000-0010-0000-1300-00001C000000}" name="T" totalsRowFunction="sum" dataDxfId="871" totalsRowDxfId="834"/>
    <tableColumn id="29" xr3:uid="{00000000-0010-0000-1300-00001D000000}" name="X" totalsRowFunction="sum" dataDxfId="870" totalsRowDxfId="833"/>
    <tableColumn id="30" xr3:uid="{00000000-0010-0000-1300-00001E000000}" name="U" totalsRowFunction="sum" dataDxfId="869" totalsRowDxfId="832"/>
    <tableColumn id="31" xr3:uid="{00000000-0010-0000-1300-00001F000000}" name="O" totalsRowFunction="sum" dataDxfId="868" totalsRowDxfId="831"/>
    <tableColumn id="32" xr3:uid="{00000000-0010-0000-1300-000020000000}" name="I" totalsRowFunction="sum" dataDxfId="867" totalsRowDxfId="830"/>
    <tableColumn id="33" xr3:uid="{00000000-0010-0000-1300-000021000000}" name="E" totalsRowFunction="sum" dataDxfId="866" totalsRowDxfId="829"/>
    <tableColumn id="34" xr3:uid="{00000000-0010-0000-1300-000022000000}" name="A" totalsRowFunction="sum" dataDxfId="865" totalsRowDxfId="828"/>
    <tableColumn id="35" xr3:uid="{00000000-0010-0000-1300-000023000000}" name="P" totalsRowFunction="sum" dataDxfId="864" totalsRowDxfId="827"/>
    <tableColumn id="36" xr3:uid="{00000000-0010-0000-1300-000024000000}" name="N" totalsRowFunction="count" dataDxfId="863" totalsRowDxfId="826"/>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FocusMode_CAI_DMM" displayName="FocusMode_CAI_DMM" ref="A1:H31" totalsRowShown="0">
  <autoFilter ref="A1:H31" xr:uid="{00000000-0009-0000-0100-000015000000}"/>
  <tableColumns count="8">
    <tableColumn id="1" xr3:uid="{00000000-0010-0000-1400-000001000000}" name="DATE"/>
    <tableColumn id="2" xr3:uid="{00000000-0010-0000-1400-000002000000}" name="AIRLINE"/>
    <tableColumn id="3" xr3:uid="{00000000-0010-0000-1400-000003000000}" name="FLIGHT NUM"/>
    <tableColumn id="4" xr3:uid="{00000000-0010-0000-1400-000004000000}" name="ROUTE"/>
    <tableColumn id="5" xr3:uid="{00000000-0010-0000-1400-000005000000}" name="DEPARTURE"/>
    <tableColumn id="6" xr3:uid="{00000000-0010-0000-1400-000006000000}" name="BAGGAGE"/>
    <tableColumn id="7" xr3:uid="{00000000-0010-0000-1400-000007000000}" name="AVAILABILITY"/>
    <tableColumn id="8" xr3:uid="{00000000-0010-0000-1400-000008000000}" name="PUBLISHED FARE"/>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hreatsAlert_CAI_DMM" displayName="ThreatsAlert_CAI_DMM" ref="A1:H4" totalsRowShown="0">
  <autoFilter ref="A1:H4" xr:uid="{00000000-0009-0000-0100-000016000000}"/>
  <tableColumns count="8">
    <tableColumn id="1" xr3:uid="{00000000-0010-0000-1500-000001000000}" name="DATE"/>
    <tableColumn id="2" xr3:uid="{00000000-0010-0000-1500-000002000000}" name="AIRLINE"/>
    <tableColumn id="3" xr3:uid="{00000000-0010-0000-1500-000003000000}" name="FLIGHT NUM"/>
    <tableColumn id="4" xr3:uid="{00000000-0010-0000-1500-000004000000}" name="ROUTE"/>
    <tableColumn id="5" xr3:uid="{00000000-0010-0000-1500-000005000000}" name="DEPARTURE"/>
    <tableColumn id="6" xr3:uid="{00000000-0010-0000-1500-000006000000}" name="BAGGAGE"/>
    <tableColumn id="7" xr3:uid="{00000000-0010-0000-1500-000007000000}" name="AVAILABILITY"/>
    <tableColumn id="8" xr3:uid="{00000000-0010-0000-1500-000008000000}" name="PUBLISHED FARE"/>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ATZ_DMM_LF_LEGACY" displayName="ATZ_DMM_LF_LEGACY" ref="A1:AJ3" totalsRowCount="1" headerRowDxfId="824" dataDxfId="787" totalsRowDxfId="750">
  <tableColumns count="36">
    <tableColumn id="1" xr3:uid="{00000000-0010-0000-1600-000001000000}" name="Day" totalsRowLabel="TOTAL" dataDxfId="823" totalsRowDxfId="786"/>
    <tableColumn id="2" xr3:uid="{00000000-0010-0000-1600-000002000000}" name="Flt Dt" dataDxfId="822" totalsRowDxfId="785"/>
    <tableColumn id="3" xr3:uid="{00000000-0010-0000-1600-000003000000}" name="Flt" totalsRowFunction="count" dataDxfId="821" totalsRowDxfId="784"/>
    <tableColumn id="4" xr3:uid="{00000000-0010-0000-1600-000004000000}" name="DEP" dataDxfId="820" totalsRowDxfId="783"/>
    <tableColumn id="5" xr3:uid="{00000000-0010-0000-1600-000005000000}" name="Brd-Off" totalsRowFunction="count" dataDxfId="819" totalsRowDxfId="782"/>
    <tableColumn id="6" xr3:uid="{00000000-0010-0000-1600-000006000000}" name="Eqp" dataDxfId="818" totalsRowDxfId="781"/>
    <tableColumn id="7" xr3:uid="{00000000-0010-0000-1600-000007000000}" name="LF%" totalsRowFunction="average" dataDxfId="817" totalsRowDxfId="780"/>
    <tableColumn id="8" xr3:uid="{00000000-0010-0000-1600-000008000000}" name="CAP" totalsRowFunction="sum" dataDxfId="816" totalsRowDxfId="779"/>
    <tableColumn id="9" xr3:uid="{00000000-0010-0000-1600-000009000000}" name="BKG(Y)" totalsRowFunction="sum" dataDxfId="815" totalsRowDxfId="778"/>
    <tableColumn id="10" xr3:uid="{00000000-0010-0000-1600-00000A000000}" name="GRP(Y)" totalsRowFunction="sum" dataDxfId="814" totalsRowDxfId="777"/>
    <tableColumn id="11" xr3:uid="{00000000-0010-0000-1600-00000B000000}" name="FLT ST" dataDxfId="813" totalsRowDxfId="776"/>
    <tableColumn id="12" xr3:uid="{00000000-0010-0000-1600-00000C000000}" name="LST-SOLD" dataDxfId="812" totalsRowDxfId="775"/>
    <tableColumn id="13" xr3:uid="{00000000-0010-0000-1600-00000D000000}" name="TO-DAY" totalsRowFunction="sum" dataDxfId="811" totalsRowDxfId="774"/>
    <tableColumn id="14" xr3:uid="{00000000-0010-0000-1600-00000E000000}" name="Y-DAY" totalsRowFunction="sum" dataDxfId="810" totalsRowDxfId="773"/>
    <tableColumn id="15" xr3:uid="{00000000-0010-0000-1600-00000F000000}" name="WEEKLY" totalsRowFunction="sum" dataDxfId="809" totalsRowDxfId="772"/>
    <tableColumn id="16" xr3:uid="{00000000-0010-0000-1600-000010000000}" name="LOWEST AVAIL" dataDxfId="808" totalsRowDxfId="771"/>
    <tableColumn id="17" xr3:uid="{00000000-0010-0000-1600-000011000000}" name="Y" totalsRowFunction="sum" dataDxfId="807" totalsRowDxfId="770"/>
    <tableColumn id="18" xr3:uid="{00000000-0010-0000-1600-000012000000}" name="B" totalsRowFunction="sum" dataDxfId="806" totalsRowDxfId="769"/>
    <tableColumn id="19" xr3:uid="{00000000-0010-0000-1600-000013000000}" name="M" totalsRowFunction="sum" dataDxfId="805" totalsRowDxfId="768"/>
    <tableColumn id="20" xr3:uid="{00000000-0010-0000-1600-000014000000}" name="H" totalsRowFunction="sum" dataDxfId="804" totalsRowDxfId="767"/>
    <tableColumn id="21" xr3:uid="{00000000-0010-0000-1600-000015000000}" name="Q" totalsRowFunction="sum" dataDxfId="803" totalsRowDxfId="766"/>
    <tableColumn id="22" xr3:uid="{00000000-0010-0000-1600-000016000000}" name="K" totalsRowFunction="sum" dataDxfId="802" totalsRowDxfId="765"/>
    <tableColumn id="23" xr3:uid="{00000000-0010-0000-1600-000017000000}" name="V" totalsRowFunction="sum" dataDxfId="801" totalsRowDxfId="764"/>
    <tableColumn id="24" xr3:uid="{00000000-0010-0000-1600-000018000000}" name="L" totalsRowFunction="sum" dataDxfId="800" totalsRowDxfId="763"/>
    <tableColumn id="25" xr3:uid="{00000000-0010-0000-1600-000019000000}" name="G" totalsRowFunction="sum" dataDxfId="799" totalsRowDxfId="762"/>
    <tableColumn id="26" xr3:uid="{00000000-0010-0000-1600-00001A000000}" name="S" totalsRowFunction="sum" dataDxfId="798" totalsRowDxfId="761"/>
    <tableColumn id="27" xr3:uid="{00000000-0010-0000-1600-00001B000000}" name="W" totalsRowFunction="sum" dataDxfId="797" totalsRowDxfId="760"/>
    <tableColumn id="28" xr3:uid="{00000000-0010-0000-1600-00001C000000}" name="T" totalsRowFunction="sum" dataDxfId="796" totalsRowDxfId="759"/>
    <tableColumn id="29" xr3:uid="{00000000-0010-0000-1600-00001D000000}" name="X" totalsRowFunction="sum" dataDxfId="795" totalsRowDxfId="758"/>
    <tableColumn id="30" xr3:uid="{00000000-0010-0000-1600-00001E000000}" name="U" totalsRowFunction="sum" dataDxfId="794" totalsRowDxfId="757"/>
    <tableColumn id="31" xr3:uid="{00000000-0010-0000-1600-00001F000000}" name="O" totalsRowFunction="sum" dataDxfId="793" totalsRowDxfId="756"/>
    <tableColumn id="32" xr3:uid="{00000000-0010-0000-1600-000020000000}" name="I" totalsRowFunction="sum" dataDxfId="792" totalsRowDxfId="755"/>
    <tableColumn id="33" xr3:uid="{00000000-0010-0000-1600-000021000000}" name="E" totalsRowFunction="sum" dataDxfId="791" totalsRowDxfId="754"/>
    <tableColumn id="34" xr3:uid="{00000000-0010-0000-1600-000022000000}" name="A" totalsRowFunction="sum" dataDxfId="790" totalsRowDxfId="753"/>
    <tableColumn id="35" xr3:uid="{00000000-0010-0000-1600-000023000000}" name="P" totalsRowFunction="sum" dataDxfId="789" totalsRowDxfId="752"/>
    <tableColumn id="36" xr3:uid="{00000000-0010-0000-1600-000024000000}" name="N" totalsRowFunction="count" dataDxfId="788" totalsRowDxfId="751"/>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FocusMode_ATZ_DMM" displayName="FocusMode_ATZ_DMM" ref="A1:H27" totalsRowShown="0">
  <autoFilter ref="A1:H27" xr:uid="{00000000-0009-0000-0100-000018000000}"/>
  <tableColumns count="8">
    <tableColumn id="1" xr3:uid="{00000000-0010-0000-1700-000001000000}" name="DATE"/>
    <tableColumn id="2" xr3:uid="{00000000-0010-0000-1700-000002000000}" name="AIRLINE"/>
    <tableColumn id="3" xr3:uid="{00000000-0010-0000-1700-000003000000}" name="FLIGHT NUM"/>
    <tableColumn id="4" xr3:uid="{00000000-0010-0000-1700-000004000000}" name="ROUTE"/>
    <tableColumn id="5" xr3:uid="{00000000-0010-0000-1700-000005000000}" name="DEPARTURE"/>
    <tableColumn id="6" xr3:uid="{00000000-0010-0000-1700-000006000000}" name="BAGGAGE"/>
    <tableColumn id="7" xr3:uid="{00000000-0010-0000-1700-000007000000}" name="AVAILABILITY"/>
    <tableColumn id="8" xr3:uid="{00000000-0010-0000-1700-000008000000}" name="PUBLISHED FARE"/>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CAI_TUU_LF_LEGACY" displayName="CAI_TUU_LF_LEGACY" ref="A1:AJ4" totalsRowCount="1" headerRowDxfId="749" dataDxfId="712" totalsRowDxfId="675">
  <tableColumns count="36">
    <tableColumn id="1" xr3:uid="{00000000-0010-0000-1800-000001000000}" name="Day" totalsRowLabel="TOTAL" dataDxfId="748" totalsRowDxfId="711"/>
    <tableColumn id="2" xr3:uid="{00000000-0010-0000-1800-000002000000}" name="Flt Dt" dataDxfId="747" totalsRowDxfId="710"/>
    <tableColumn id="3" xr3:uid="{00000000-0010-0000-1800-000003000000}" name="Flt" totalsRowFunction="count" dataDxfId="746" totalsRowDxfId="709"/>
    <tableColumn id="4" xr3:uid="{00000000-0010-0000-1800-000004000000}" name="DEP" dataDxfId="745" totalsRowDxfId="708"/>
    <tableColumn id="5" xr3:uid="{00000000-0010-0000-1800-000005000000}" name="Brd-Off" totalsRowFunction="count" dataDxfId="744" totalsRowDxfId="707"/>
    <tableColumn id="6" xr3:uid="{00000000-0010-0000-1800-000006000000}" name="Eqp" dataDxfId="743" totalsRowDxfId="706"/>
    <tableColumn id="7" xr3:uid="{00000000-0010-0000-1800-000007000000}" name="LF%" totalsRowFunction="average" dataDxfId="742" totalsRowDxfId="705"/>
    <tableColumn id="8" xr3:uid="{00000000-0010-0000-1800-000008000000}" name="CAP" totalsRowFunction="sum" dataDxfId="741" totalsRowDxfId="704"/>
    <tableColumn id="9" xr3:uid="{00000000-0010-0000-1800-000009000000}" name="BKG(Y)" totalsRowFunction="sum" dataDxfId="740" totalsRowDxfId="703"/>
    <tableColumn id="10" xr3:uid="{00000000-0010-0000-1800-00000A000000}" name="GRP(Y)" totalsRowFunction="sum" dataDxfId="739" totalsRowDxfId="702"/>
    <tableColumn id="11" xr3:uid="{00000000-0010-0000-1800-00000B000000}" name="FLT ST" dataDxfId="738" totalsRowDxfId="701"/>
    <tableColumn id="12" xr3:uid="{00000000-0010-0000-1800-00000C000000}" name="LST-SOLD" dataDxfId="737" totalsRowDxfId="700"/>
    <tableColumn id="13" xr3:uid="{00000000-0010-0000-1800-00000D000000}" name="TO-DAY" totalsRowFunction="sum" dataDxfId="736" totalsRowDxfId="699"/>
    <tableColumn id="14" xr3:uid="{00000000-0010-0000-1800-00000E000000}" name="Y-DAY" totalsRowFunction="sum" dataDxfId="735" totalsRowDxfId="698"/>
    <tableColumn id="15" xr3:uid="{00000000-0010-0000-1800-00000F000000}" name="WEEKLY" totalsRowFunction="sum" dataDxfId="734" totalsRowDxfId="697"/>
    <tableColumn id="16" xr3:uid="{00000000-0010-0000-1800-000010000000}" name="LOWEST AVAIL" dataDxfId="733" totalsRowDxfId="696"/>
    <tableColumn id="17" xr3:uid="{00000000-0010-0000-1800-000011000000}" name="Y" totalsRowFunction="sum" dataDxfId="732" totalsRowDxfId="695"/>
    <tableColumn id="18" xr3:uid="{00000000-0010-0000-1800-000012000000}" name="B" totalsRowFunction="sum" dataDxfId="731" totalsRowDxfId="694"/>
    <tableColumn id="19" xr3:uid="{00000000-0010-0000-1800-000013000000}" name="M" totalsRowFunction="sum" dataDxfId="730" totalsRowDxfId="693"/>
    <tableColumn id="20" xr3:uid="{00000000-0010-0000-1800-000014000000}" name="H" totalsRowFunction="sum" dataDxfId="729" totalsRowDxfId="692"/>
    <tableColumn id="21" xr3:uid="{00000000-0010-0000-1800-000015000000}" name="Q" totalsRowFunction="sum" dataDxfId="728" totalsRowDxfId="691"/>
    <tableColumn id="22" xr3:uid="{00000000-0010-0000-1800-000016000000}" name="K" totalsRowFunction="sum" dataDxfId="727" totalsRowDxfId="690"/>
    <tableColumn id="23" xr3:uid="{00000000-0010-0000-1800-000017000000}" name="V" totalsRowFunction="sum" dataDxfId="726" totalsRowDxfId="689"/>
    <tableColumn id="24" xr3:uid="{00000000-0010-0000-1800-000018000000}" name="L" totalsRowFunction="sum" dataDxfId="725" totalsRowDxfId="688"/>
    <tableColumn id="25" xr3:uid="{00000000-0010-0000-1800-000019000000}" name="G" totalsRowFunction="sum" dataDxfId="724" totalsRowDxfId="687"/>
    <tableColumn id="26" xr3:uid="{00000000-0010-0000-1800-00001A000000}" name="S" totalsRowFunction="sum" dataDxfId="723" totalsRowDxfId="686"/>
    <tableColumn id="27" xr3:uid="{00000000-0010-0000-1800-00001B000000}" name="W" totalsRowFunction="sum" dataDxfId="722" totalsRowDxfId="685"/>
    <tableColumn id="28" xr3:uid="{00000000-0010-0000-1800-00001C000000}" name="T" totalsRowFunction="sum" dataDxfId="721" totalsRowDxfId="684"/>
    <tableColumn id="29" xr3:uid="{00000000-0010-0000-1800-00001D000000}" name="X" totalsRowFunction="sum" dataDxfId="720" totalsRowDxfId="683"/>
    <tableColumn id="30" xr3:uid="{00000000-0010-0000-1800-00001E000000}" name="U" totalsRowFunction="sum" dataDxfId="719" totalsRowDxfId="682"/>
    <tableColumn id="31" xr3:uid="{00000000-0010-0000-1800-00001F000000}" name="O" totalsRowFunction="sum" dataDxfId="718" totalsRowDxfId="681"/>
    <tableColumn id="32" xr3:uid="{00000000-0010-0000-1800-000020000000}" name="I" totalsRowFunction="sum" dataDxfId="717" totalsRowDxfId="680"/>
    <tableColumn id="33" xr3:uid="{00000000-0010-0000-1800-000021000000}" name="E" totalsRowFunction="sum" dataDxfId="716" totalsRowDxfId="679"/>
    <tableColumn id="34" xr3:uid="{00000000-0010-0000-1800-000022000000}" name="A" totalsRowFunction="sum" dataDxfId="715" totalsRowDxfId="678"/>
    <tableColumn id="35" xr3:uid="{00000000-0010-0000-1800-000023000000}" name="P" totalsRowFunction="sum" dataDxfId="714" totalsRowDxfId="677"/>
    <tableColumn id="36" xr3:uid="{00000000-0010-0000-1800-000024000000}" name="N" totalsRowFunction="count" dataDxfId="713" totalsRowDxfId="676"/>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FocusMode_CAI_TUU" displayName="FocusMode_CAI_TUU" ref="A1:H11" totalsRowShown="0">
  <autoFilter ref="A1:H11" xr:uid="{00000000-0009-0000-0100-00001A000000}"/>
  <tableColumns count="8">
    <tableColumn id="1" xr3:uid="{00000000-0010-0000-1900-000001000000}" name="DATE"/>
    <tableColumn id="2" xr3:uid="{00000000-0010-0000-1900-000002000000}" name="AIRLINE"/>
    <tableColumn id="3" xr3:uid="{00000000-0010-0000-1900-000003000000}" name="FLIGHT NUM"/>
    <tableColumn id="4" xr3:uid="{00000000-0010-0000-1900-000004000000}" name="ROUTE"/>
    <tableColumn id="5" xr3:uid="{00000000-0010-0000-1900-000005000000}" name="DEPARTURE"/>
    <tableColumn id="6" xr3:uid="{00000000-0010-0000-1900-000006000000}" name="BAGGAGE"/>
    <tableColumn id="7" xr3:uid="{00000000-0010-0000-1900-000007000000}" name="AVAILABILITY"/>
    <tableColumn id="8" xr3:uid="{00000000-0010-0000-1900-000008000000}" name="PUBLISHED FARE"/>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hreatsAlert_CAI_TUU" displayName="ThreatsAlert_CAI_TUU" ref="A1:H9" totalsRowShown="0">
  <autoFilter ref="A1:H9" xr:uid="{00000000-0009-0000-0100-00001B000000}"/>
  <tableColumns count="8">
    <tableColumn id="1" xr3:uid="{00000000-0010-0000-1A00-000001000000}" name="DATE"/>
    <tableColumn id="2" xr3:uid="{00000000-0010-0000-1A00-000002000000}" name="AIRLINE"/>
    <tableColumn id="3" xr3:uid="{00000000-0010-0000-1A00-000003000000}" name="FLIGHT NUM"/>
    <tableColumn id="4" xr3:uid="{00000000-0010-0000-1A00-000004000000}" name="ROUTE"/>
    <tableColumn id="5" xr3:uid="{00000000-0010-0000-1A00-000005000000}" name="DEPARTURE"/>
    <tableColumn id="6" xr3:uid="{00000000-0010-0000-1A00-000006000000}" name="BAGGAGE"/>
    <tableColumn id="7" xr3:uid="{00000000-0010-0000-1A00-000007000000}" name="AVAILABILITY"/>
    <tableColumn id="8" xr3:uid="{00000000-0010-0000-1A00-000008000000}" name="PUBLISHED FARE"/>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ATZ_TUU_LF_LEGACY" displayName="ATZ_TUU_LF_LEGACY" ref="A1:AJ3" totalsRowCount="1" headerRowDxfId="674" dataDxfId="637" totalsRowDxfId="600">
  <tableColumns count="36">
    <tableColumn id="1" xr3:uid="{00000000-0010-0000-1B00-000001000000}" name="Day" totalsRowLabel="TOTAL" dataDxfId="673" totalsRowDxfId="636"/>
    <tableColumn id="2" xr3:uid="{00000000-0010-0000-1B00-000002000000}" name="Flt Dt" dataDxfId="672" totalsRowDxfId="635"/>
    <tableColumn id="3" xr3:uid="{00000000-0010-0000-1B00-000003000000}" name="Flt" totalsRowFunction="count" dataDxfId="671" totalsRowDxfId="634"/>
    <tableColumn id="4" xr3:uid="{00000000-0010-0000-1B00-000004000000}" name="DEP" dataDxfId="670" totalsRowDxfId="633"/>
    <tableColumn id="5" xr3:uid="{00000000-0010-0000-1B00-000005000000}" name="Brd-Off" totalsRowFunction="count" dataDxfId="669" totalsRowDxfId="632"/>
    <tableColumn id="6" xr3:uid="{00000000-0010-0000-1B00-000006000000}" name="Eqp" dataDxfId="668" totalsRowDxfId="631"/>
    <tableColumn id="7" xr3:uid="{00000000-0010-0000-1B00-000007000000}" name="LF%" totalsRowFunction="average" dataDxfId="667" totalsRowDxfId="630"/>
    <tableColumn id="8" xr3:uid="{00000000-0010-0000-1B00-000008000000}" name="CAP" totalsRowFunction="sum" dataDxfId="666" totalsRowDxfId="629"/>
    <tableColumn id="9" xr3:uid="{00000000-0010-0000-1B00-000009000000}" name="BKG(Y)" totalsRowFunction="sum" dataDxfId="665" totalsRowDxfId="628"/>
    <tableColumn id="10" xr3:uid="{00000000-0010-0000-1B00-00000A000000}" name="GRP(Y)" totalsRowFunction="sum" dataDxfId="664" totalsRowDxfId="627"/>
    <tableColumn id="11" xr3:uid="{00000000-0010-0000-1B00-00000B000000}" name="FLT ST" dataDxfId="663" totalsRowDxfId="626"/>
    <tableColumn id="12" xr3:uid="{00000000-0010-0000-1B00-00000C000000}" name="LST-SOLD" dataDxfId="662" totalsRowDxfId="625"/>
    <tableColumn id="13" xr3:uid="{00000000-0010-0000-1B00-00000D000000}" name="TO-DAY" totalsRowFunction="sum" dataDxfId="661" totalsRowDxfId="624"/>
    <tableColumn id="14" xr3:uid="{00000000-0010-0000-1B00-00000E000000}" name="Y-DAY" totalsRowFunction="sum" dataDxfId="660" totalsRowDxfId="623"/>
    <tableColumn id="15" xr3:uid="{00000000-0010-0000-1B00-00000F000000}" name="WEEKLY" totalsRowFunction="sum" dataDxfId="659" totalsRowDxfId="622"/>
    <tableColumn id="16" xr3:uid="{00000000-0010-0000-1B00-000010000000}" name="LOWEST AVAIL" dataDxfId="658" totalsRowDxfId="621"/>
    <tableColumn id="17" xr3:uid="{00000000-0010-0000-1B00-000011000000}" name="Y" totalsRowFunction="sum" dataDxfId="657" totalsRowDxfId="620"/>
    <tableColumn id="18" xr3:uid="{00000000-0010-0000-1B00-000012000000}" name="B" totalsRowFunction="sum" dataDxfId="656" totalsRowDxfId="619"/>
    <tableColumn id="19" xr3:uid="{00000000-0010-0000-1B00-000013000000}" name="M" totalsRowFunction="sum" dataDxfId="655" totalsRowDxfId="618"/>
    <tableColumn id="20" xr3:uid="{00000000-0010-0000-1B00-000014000000}" name="H" totalsRowFunction="sum" dataDxfId="654" totalsRowDxfId="617"/>
    <tableColumn id="21" xr3:uid="{00000000-0010-0000-1B00-000015000000}" name="Q" totalsRowFunction="sum" dataDxfId="653" totalsRowDxfId="616"/>
    <tableColumn id="22" xr3:uid="{00000000-0010-0000-1B00-000016000000}" name="K" totalsRowFunction="sum" dataDxfId="652" totalsRowDxfId="615"/>
    <tableColumn id="23" xr3:uid="{00000000-0010-0000-1B00-000017000000}" name="V" totalsRowFunction="sum" dataDxfId="651" totalsRowDxfId="614"/>
    <tableColumn id="24" xr3:uid="{00000000-0010-0000-1B00-000018000000}" name="L" totalsRowFunction="sum" dataDxfId="650" totalsRowDxfId="613"/>
    <tableColumn id="25" xr3:uid="{00000000-0010-0000-1B00-000019000000}" name="G" totalsRowFunction="sum" dataDxfId="649" totalsRowDxfId="612"/>
    <tableColumn id="26" xr3:uid="{00000000-0010-0000-1B00-00001A000000}" name="S" totalsRowFunction="sum" dataDxfId="648" totalsRowDxfId="611"/>
    <tableColumn id="27" xr3:uid="{00000000-0010-0000-1B00-00001B000000}" name="W" totalsRowFunction="sum" dataDxfId="647" totalsRowDxfId="610"/>
    <tableColumn id="28" xr3:uid="{00000000-0010-0000-1B00-00001C000000}" name="T" totalsRowFunction="sum" dataDxfId="646" totalsRowDxfId="609"/>
    <tableColumn id="29" xr3:uid="{00000000-0010-0000-1B00-00001D000000}" name="X" totalsRowFunction="sum" dataDxfId="645" totalsRowDxfId="608"/>
    <tableColumn id="30" xr3:uid="{00000000-0010-0000-1B00-00001E000000}" name="U" totalsRowFunction="sum" dataDxfId="644" totalsRowDxfId="607"/>
    <tableColumn id="31" xr3:uid="{00000000-0010-0000-1B00-00001F000000}" name="O" totalsRowFunction="sum" dataDxfId="643" totalsRowDxfId="606"/>
    <tableColumn id="32" xr3:uid="{00000000-0010-0000-1B00-000020000000}" name="I" totalsRowFunction="sum" dataDxfId="642" totalsRowDxfId="605"/>
    <tableColumn id="33" xr3:uid="{00000000-0010-0000-1B00-000021000000}" name="E" totalsRowFunction="sum" dataDxfId="641" totalsRowDxfId="604"/>
    <tableColumn id="34" xr3:uid="{00000000-0010-0000-1B00-000022000000}" name="A" totalsRowFunction="sum" dataDxfId="640" totalsRowDxfId="603"/>
    <tableColumn id="35" xr3:uid="{00000000-0010-0000-1B00-000023000000}" name="P" totalsRowFunction="sum" dataDxfId="639" totalsRowDxfId="602"/>
    <tableColumn id="36" xr3:uid="{00000000-0010-0000-1B00-000024000000}" name="N" totalsRowFunction="count" dataDxfId="638" totalsRowDxfId="601"/>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FocusMode_ATZ_TUU" displayName="FocusMode_ATZ_TUU" ref="A1:H15" totalsRowShown="0">
  <autoFilter ref="A1:H15" xr:uid="{00000000-0009-0000-0100-00001D000000}"/>
  <tableColumns count="8">
    <tableColumn id="1" xr3:uid="{00000000-0010-0000-1C00-000001000000}" name="DATE"/>
    <tableColumn id="2" xr3:uid="{00000000-0010-0000-1C00-000002000000}" name="AIRLINE"/>
    <tableColumn id="3" xr3:uid="{00000000-0010-0000-1C00-000003000000}" name="FLIGHT NUM"/>
    <tableColumn id="4" xr3:uid="{00000000-0010-0000-1C00-000004000000}" name="ROUTE"/>
    <tableColumn id="5" xr3:uid="{00000000-0010-0000-1C00-000005000000}" name="DEPARTURE"/>
    <tableColumn id="6" xr3:uid="{00000000-0010-0000-1C00-000006000000}" name="BAGGAGE"/>
    <tableColumn id="7" xr3:uid="{00000000-0010-0000-1C00-000007000000}" name="AVAILABILITY"/>
    <tableColumn id="8" xr3:uid="{00000000-0010-0000-1C00-000008000000}" name="PUBLISHED FARE"/>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CAI_AJF_LF_LEGACY" displayName="CAI_AJF_LF_LEGACY" ref="A1:AJ4" totalsRowCount="1" headerRowDxfId="599" dataDxfId="562" totalsRowDxfId="525">
  <tableColumns count="36">
    <tableColumn id="1" xr3:uid="{00000000-0010-0000-1D00-000001000000}" name="Day" totalsRowLabel="TOTAL" dataDxfId="598" totalsRowDxfId="561"/>
    <tableColumn id="2" xr3:uid="{00000000-0010-0000-1D00-000002000000}" name="Flt Dt" dataDxfId="597" totalsRowDxfId="560"/>
    <tableColumn id="3" xr3:uid="{00000000-0010-0000-1D00-000003000000}" name="Flt" totalsRowFunction="count" dataDxfId="596" totalsRowDxfId="559"/>
    <tableColumn id="4" xr3:uid="{00000000-0010-0000-1D00-000004000000}" name="DEP" dataDxfId="595" totalsRowDxfId="558"/>
    <tableColumn id="5" xr3:uid="{00000000-0010-0000-1D00-000005000000}" name="Brd-Off" totalsRowFunction="count" dataDxfId="594" totalsRowDxfId="557"/>
    <tableColumn id="6" xr3:uid="{00000000-0010-0000-1D00-000006000000}" name="Eqp" dataDxfId="593" totalsRowDxfId="556"/>
    <tableColumn id="7" xr3:uid="{00000000-0010-0000-1D00-000007000000}" name="LF%" totalsRowFunction="average" dataDxfId="592" totalsRowDxfId="555"/>
    <tableColumn id="8" xr3:uid="{00000000-0010-0000-1D00-000008000000}" name="CAP" totalsRowFunction="sum" dataDxfId="591" totalsRowDxfId="554"/>
    <tableColumn id="9" xr3:uid="{00000000-0010-0000-1D00-000009000000}" name="BKG(Y)" totalsRowFunction="sum" dataDxfId="590" totalsRowDxfId="553"/>
    <tableColumn id="10" xr3:uid="{00000000-0010-0000-1D00-00000A000000}" name="GRP(Y)" totalsRowFunction="sum" dataDxfId="589" totalsRowDxfId="552"/>
    <tableColumn id="11" xr3:uid="{00000000-0010-0000-1D00-00000B000000}" name="FLT ST" dataDxfId="588" totalsRowDxfId="551"/>
    <tableColumn id="12" xr3:uid="{00000000-0010-0000-1D00-00000C000000}" name="LST-SOLD" dataDxfId="587" totalsRowDxfId="550"/>
    <tableColumn id="13" xr3:uid="{00000000-0010-0000-1D00-00000D000000}" name="TO-DAY" totalsRowFunction="sum" dataDxfId="586" totalsRowDxfId="549"/>
    <tableColumn id="14" xr3:uid="{00000000-0010-0000-1D00-00000E000000}" name="Y-DAY" totalsRowFunction="sum" dataDxfId="585" totalsRowDxfId="548"/>
    <tableColumn id="15" xr3:uid="{00000000-0010-0000-1D00-00000F000000}" name="WEEKLY" totalsRowFunction="sum" dataDxfId="584" totalsRowDxfId="547"/>
    <tableColumn id="16" xr3:uid="{00000000-0010-0000-1D00-000010000000}" name="LOWEST AVAIL" dataDxfId="583" totalsRowDxfId="546"/>
    <tableColumn id="17" xr3:uid="{00000000-0010-0000-1D00-000011000000}" name="Y" totalsRowFunction="sum" dataDxfId="582" totalsRowDxfId="545"/>
    <tableColumn id="18" xr3:uid="{00000000-0010-0000-1D00-000012000000}" name="B" totalsRowFunction="sum" dataDxfId="581" totalsRowDxfId="544"/>
    <tableColumn id="19" xr3:uid="{00000000-0010-0000-1D00-000013000000}" name="M" totalsRowFunction="sum" dataDxfId="580" totalsRowDxfId="543"/>
    <tableColumn id="20" xr3:uid="{00000000-0010-0000-1D00-000014000000}" name="H" totalsRowFunction="sum" dataDxfId="579" totalsRowDxfId="542"/>
    <tableColumn id="21" xr3:uid="{00000000-0010-0000-1D00-000015000000}" name="Q" totalsRowFunction="sum" dataDxfId="578" totalsRowDxfId="541"/>
    <tableColumn id="22" xr3:uid="{00000000-0010-0000-1D00-000016000000}" name="K" totalsRowFunction="sum" dataDxfId="577" totalsRowDxfId="540"/>
    <tableColumn id="23" xr3:uid="{00000000-0010-0000-1D00-000017000000}" name="V" totalsRowFunction="sum" dataDxfId="576" totalsRowDxfId="539"/>
    <tableColumn id="24" xr3:uid="{00000000-0010-0000-1D00-000018000000}" name="L" totalsRowFunction="sum" dataDxfId="575" totalsRowDxfId="538"/>
    <tableColumn id="25" xr3:uid="{00000000-0010-0000-1D00-000019000000}" name="G" totalsRowFunction="sum" dataDxfId="574" totalsRowDxfId="537"/>
    <tableColumn id="26" xr3:uid="{00000000-0010-0000-1D00-00001A000000}" name="S" totalsRowFunction="sum" dataDxfId="573" totalsRowDxfId="536"/>
    <tableColumn id="27" xr3:uid="{00000000-0010-0000-1D00-00001B000000}" name="W" totalsRowFunction="sum" dataDxfId="572" totalsRowDxfId="535"/>
    <tableColumn id="28" xr3:uid="{00000000-0010-0000-1D00-00001C000000}" name="T" totalsRowFunction="sum" dataDxfId="571" totalsRowDxfId="534"/>
    <tableColumn id="29" xr3:uid="{00000000-0010-0000-1D00-00001D000000}" name="X" totalsRowFunction="sum" dataDxfId="570" totalsRowDxfId="533"/>
    <tableColumn id="30" xr3:uid="{00000000-0010-0000-1D00-00001E000000}" name="U" totalsRowFunction="sum" dataDxfId="569" totalsRowDxfId="532"/>
    <tableColumn id="31" xr3:uid="{00000000-0010-0000-1D00-00001F000000}" name="O" totalsRowFunction="sum" dataDxfId="568" totalsRowDxfId="531"/>
    <tableColumn id="32" xr3:uid="{00000000-0010-0000-1D00-000020000000}" name="I" totalsRowFunction="sum" dataDxfId="567" totalsRowDxfId="530"/>
    <tableColumn id="33" xr3:uid="{00000000-0010-0000-1D00-000021000000}" name="E" totalsRowFunction="sum" dataDxfId="566" totalsRowDxfId="529"/>
    <tableColumn id="34" xr3:uid="{00000000-0010-0000-1D00-000022000000}" name="A" totalsRowFunction="sum" dataDxfId="565" totalsRowDxfId="528"/>
    <tableColumn id="35" xr3:uid="{00000000-0010-0000-1D00-000023000000}" name="P" totalsRowFunction="sum" dataDxfId="564" totalsRowDxfId="527"/>
    <tableColumn id="36" xr3:uid="{00000000-0010-0000-1D00-000024000000}" name="N" totalsRowFunction="count" dataDxfId="563" totalsRowDxfId="526"/>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FocusMode_CAI_AJF" displayName="FocusMode_CAI_AJF" ref="A1:H4" totalsRowShown="0">
  <autoFilter ref="A1:H4" xr:uid="{00000000-0009-0000-0100-00001F000000}"/>
  <tableColumns count="8">
    <tableColumn id="1" xr3:uid="{00000000-0010-0000-1E00-000001000000}" name="DATE"/>
    <tableColumn id="2" xr3:uid="{00000000-0010-0000-1E00-000002000000}" name="AIRLINE"/>
    <tableColumn id="3" xr3:uid="{00000000-0010-0000-1E00-000003000000}" name="FLIGHT NUM"/>
    <tableColumn id="4" xr3:uid="{00000000-0010-0000-1E00-000004000000}" name="ROUTE"/>
    <tableColumn id="5" xr3:uid="{00000000-0010-0000-1E00-000005000000}" name="DEPARTURE"/>
    <tableColumn id="6" xr3:uid="{00000000-0010-0000-1E00-000006000000}" name="BAGGAGE"/>
    <tableColumn id="7" xr3:uid="{00000000-0010-0000-1E00-000007000000}" name="AVAILABILITY"/>
    <tableColumn id="8" xr3:uid="{00000000-0010-0000-1E00-000008000000}" name="PUBLISHED FARE"/>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hreatsAlert_CAI_AJF" displayName="ThreatsAlert_CAI_AJF" ref="A1:H3" totalsRowShown="0">
  <autoFilter ref="A1:H3" xr:uid="{00000000-0009-0000-0100-000020000000}"/>
  <tableColumns count="8">
    <tableColumn id="1" xr3:uid="{00000000-0010-0000-1F00-000001000000}" name="DATE"/>
    <tableColumn id="2" xr3:uid="{00000000-0010-0000-1F00-000002000000}" name="AIRLINE"/>
    <tableColumn id="3" xr3:uid="{00000000-0010-0000-1F00-000003000000}" name="FLIGHT NUM"/>
    <tableColumn id="4" xr3:uid="{00000000-0010-0000-1F00-000004000000}" name="ROUTE"/>
    <tableColumn id="5" xr3:uid="{00000000-0010-0000-1F00-000005000000}" name="DEPARTURE"/>
    <tableColumn id="6" xr3:uid="{00000000-0010-0000-1F00-000006000000}" name="BAGGAGE"/>
    <tableColumn id="7" xr3:uid="{00000000-0010-0000-1F00-000007000000}" name="AVAILABILITY"/>
    <tableColumn id="8" xr3:uid="{00000000-0010-0000-1F00-000008000000}" name="PUBLISHED FARE"/>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ATZ_AJF_LF_LEGACY" displayName="ATZ_AJF_LF_LEGACY" ref="A1:AJ3" totalsRowCount="1" headerRowDxfId="524" dataDxfId="487" totalsRowDxfId="450">
  <tableColumns count="36">
    <tableColumn id="1" xr3:uid="{00000000-0010-0000-2000-000001000000}" name="Day" totalsRowLabel="TOTAL" dataDxfId="523" totalsRowDxfId="486"/>
    <tableColumn id="2" xr3:uid="{00000000-0010-0000-2000-000002000000}" name="Flt Dt" dataDxfId="522" totalsRowDxfId="485"/>
    <tableColumn id="3" xr3:uid="{00000000-0010-0000-2000-000003000000}" name="Flt" totalsRowFunction="count" dataDxfId="521" totalsRowDxfId="484"/>
    <tableColumn id="4" xr3:uid="{00000000-0010-0000-2000-000004000000}" name="DEP" dataDxfId="520" totalsRowDxfId="483"/>
    <tableColumn id="5" xr3:uid="{00000000-0010-0000-2000-000005000000}" name="Brd-Off" totalsRowFunction="count" dataDxfId="519" totalsRowDxfId="482"/>
    <tableColumn id="6" xr3:uid="{00000000-0010-0000-2000-000006000000}" name="Eqp" dataDxfId="518" totalsRowDxfId="481"/>
    <tableColumn id="7" xr3:uid="{00000000-0010-0000-2000-000007000000}" name="LF%" totalsRowFunction="average" dataDxfId="517" totalsRowDxfId="480"/>
    <tableColumn id="8" xr3:uid="{00000000-0010-0000-2000-000008000000}" name="CAP" totalsRowFunction="sum" dataDxfId="516" totalsRowDxfId="479"/>
    <tableColumn id="9" xr3:uid="{00000000-0010-0000-2000-000009000000}" name="BKG(Y)" totalsRowFunction="sum" dataDxfId="515" totalsRowDxfId="478"/>
    <tableColumn id="10" xr3:uid="{00000000-0010-0000-2000-00000A000000}" name="GRP(Y)" totalsRowFunction="sum" dataDxfId="514" totalsRowDxfId="477"/>
    <tableColumn id="11" xr3:uid="{00000000-0010-0000-2000-00000B000000}" name="FLT ST" dataDxfId="513" totalsRowDxfId="476"/>
    <tableColumn id="12" xr3:uid="{00000000-0010-0000-2000-00000C000000}" name="LST-SOLD" dataDxfId="512" totalsRowDxfId="475"/>
    <tableColumn id="13" xr3:uid="{00000000-0010-0000-2000-00000D000000}" name="TO-DAY" totalsRowFunction="sum" dataDxfId="511" totalsRowDxfId="474"/>
    <tableColumn id="14" xr3:uid="{00000000-0010-0000-2000-00000E000000}" name="Y-DAY" totalsRowFunction="sum" dataDxfId="510" totalsRowDxfId="473"/>
    <tableColumn id="15" xr3:uid="{00000000-0010-0000-2000-00000F000000}" name="WEEKLY" totalsRowFunction="sum" dataDxfId="509" totalsRowDxfId="472"/>
    <tableColumn id="16" xr3:uid="{00000000-0010-0000-2000-000010000000}" name="LOWEST AVAIL" dataDxfId="508" totalsRowDxfId="471"/>
    <tableColumn id="17" xr3:uid="{00000000-0010-0000-2000-000011000000}" name="Y" totalsRowFunction="sum" dataDxfId="507" totalsRowDxfId="470"/>
    <tableColumn id="18" xr3:uid="{00000000-0010-0000-2000-000012000000}" name="B" totalsRowFunction="sum" dataDxfId="506" totalsRowDxfId="469"/>
    <tableColumn id="19" xr3:uid="{00000000-0010-0000-2000-000013000000}" name="M" totalsRowFunction="sum" dataDxfId="505" totalsRowDxfId="468"/>
    <tableColumn id="20" xr3:uid="{00000000-0010-0000-2000-000014000000}" name="H" totalsRowFunction="sum" dataDxfId="504" totalsRowDxfId="467"/>
    <tableColumn id="21" xr3:uid="{00000000-0010-0000-2000-000015000000}" name="Q" totalsRowFunction="sum" dataDxfId="503" totalsRowDxfId="466"/>
    <tableColumn id="22" xr3:uid="{00000000-0010-0000-2000-000016000000}" name="K" totalsRowFunction="sum" dataDxfId="502" totalsRowDxfId="465"/>
    <tableColumn id="23" xr3:uid="{00000000-0010-0000-2000-000017000000}" name="V" totalsRowFunction="sum" dataDxfId="501" totalsRowDxfId="464"/>
    <tableColumn id="24" xr3:uid="{00000000-0010-0000-2000-000018000000}" name="L" totalsRowFunction="sum" dataDxfId="500" totalsRowDxfId="463"/>
    <tableColumn id="25" xr3:uid="{00000000-0010-0000-2000-000019000000}" name="G" totalsRowFunction="sum" dataDxfId="499" totalsRowDxfId="462"/>
    <tableColumn id="26" xr3:uid="{00000000-0010-0000-2000-00001A000000}" name="S" totalsRowFunction="sum" dataDxfId="498" totalsRowDxfId="461"/>
    <tableColumn id="27" xr3:uid="{00000000-0010-0000-2000-00001B000000}" name="W" totalsRowFunction="sum" dataDxfId="497" totalsRowDxfId="460"/>
    <tableColumn id="28" xr3:uid="{00000000-0010-0000-2000-00001C000000}" name="T" totalsRowFunction="sum" dataDxfId="496" totalsRowDxfId="459"/>
    <tableColumn id="29" xr3:uid="{00000000-0010-0000-2000-00001D000000}" name="X" totalsRowFunction="sum" dataDxfId="495" totalsRowDxfId="458"/>
    <tableColumn id="30" xr3:uid="{00000000-0010-0000-2000-00001E000000}" name="U" totalsRowFunction="sum" dataDxfId="494" totalsRowDxfId="457"/>
    <tableColumn id="31" xr3:uid="{00000000-0010-0000-2000-00001F000000}" name="O" totalsRowFunction="sum" dataDxfId="493" totalsRowDxfId="456"/>
    <tableColumn id="32" xr3:uid="{00000000-0010-0000-2000-000020000000}" name="I" totalsRowFunction="sum" dataDxfId="492" totalsRowDxfId="455"/>
    <tableColumn id="33" xr3:uid="{00000000-0010-0000-2000-000021000000}" name="E" totalsRowFunction="sum" dataDxfId="491" totalsRowDxfId="454"/>
    <tableColumn id="34" xr3:uid="{00000000-0010-0000-2000-000022000000}" name="A" totalsRowFunction="sum" dataDxfId="490" totalsRowDxfId="453"/>
    <tableColumn id="35" xr3:uid="{00000000-0010-0000-2000-000023000000}" name="P" totalsRowFunction="sum" dataDxfId="489" totalsRowDxfId="452"/>
    <tableColumn id="36" xr3:uid="{00000000-0010-0000-2000-000024000000}" name="N" totalsRowFunction="count" dataDxfId="488" totalsRowDxfId="451"/>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FocusMode_ATZ_AJF" displayName="FocusMode_ATZ_AJF" ref="A1:H7" totalsRowShown="0">
  <autoFilter ref="A1:H7" xr:uid="{00000000-0009-0000-0100-000022000000}"/>
  <tableColumns count="8">
    <tableColumn id="1" xr3:uid="{00000000-0010-0000-2100-000001000000}" name="DATE"/>
    <tableColumn id="2" xr3:uid="{00000000-0010-0000-2100-000002000000}" name="AIRLINE"/>
    <tableColumn id="3" xr3:uid="{00000000-0010-0000-2100-000003000000}" name="FLIGHT NUM"/>
    <tableColumn id="4" xr3:uid="{00000000-0010-0000-2100-000004000000}" name="ROUTE"/>
    <tableColumn id="5" xr3:uid="{00000000-0010-0000-2100-000005000000}" name="DEPARTURE"/>
    <tableColumn id="6" xr3:uid="{00000000-0010-0000-2100-000006000000}" name="BAGGAGE"/>
    <tableColumn id="7" xr3:uid="{00000000-0010-0000-2100-000007000000}" name="AVAILABILITY"/>
    <tableColumn id="8" xr3:uid="{00000000-0010-0000-2100-000008000000}" name="PUBLISHED FARE"/>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CAI_YNB_LF_LEGACY" displayName="CAI_YNB_LF_LEGACY" ref="A1:AJ5" totalsRowCount="1" headerRowDxfId="449" dataDxfId="412" totalsRowDxfId="375">
  <tableColumns count="36">
    <tableColumn id="1" xr3:uid="{00000000-0010-0000-2200-000001000000}" name="Day" totalsRowLabel="TOTAL" dataDxfId="448" totalsRowDxfId="411"/>
    <tableColumn id="2" xr3:uid="{00000000-0010-0000-2200-000002000000}" name="Flt Dt" dataDxfId="447" totalsRowDxfId="410"/>
    <tableColumn id="3" xr3:uid="{00000000-0010-0000-2200-000003000000}" name="Flt" totalsRowFunction="count" dataDxfId="446" totalsRowDxfId="409"/>
    <tableColumn id="4" xr3:uid="{00000000-0010-0000-2200-000004000000}" name="DEP" dataDxfId="445" totalsRowDxfId="408"/>
    <tableColumn id="5" xr3:uid="{00000000-0010-0000-2200-000005000000}" name="Brd-Off" totalsRowFunction="count" dataDxfId="444" totalsRowDxfId="407"/>
    <tableColumn id="6" xr3:uid="{00000000-0010-0000-2200-000006000000}" name="Eqp" dataDxfId="443" totalsRowDxfId="406"/>
    <tableColumn id="7" xr3:uid="{00000000-0010-0000-2200-000007000000}" name="LF%" totalsRowFunction="average" dataDxfId="442" totalsRowDxfId="405"/>
    <tableColumn id="8" xr3:uid="{00000000-0010-0000-2200-000008000000}" name="CAP" totalsRowFunction="sum" dataDxfId="441" totalsRowDxfId="404"/>
    <tableColumn id="9" xr3:uid="{00000000-0010-0000-2200-000009000000}" name="BKG(Y)" totalsRowFunction="sum" dataDxfId="440" totalsRowDxfId="403"/>
    <tableColumn id="10" xr3:uid="{00000000-0010-0000-2200-00000A000000}" name="GRP(Y)" totalsRowFunction="sum" dataDxfId="439" totalsRowDxfId="402"/>
    <tableColumn id="11" xr3:uid="{00000000-0010-0000-2200-00000B000000}" name="FLT ST" dataDxfId="438" totalsRowDxfId="401"/>
    <tableColumn id="12" xr3:uid="{00000000-0010-0000-2200-00000C000000}" name="LST-SOLD" dataDxfId="437" totalsRowDxfId="400"/>
    <tableColumn id="13" xr3:uid="{00000000-0010-0000-2200-00000D000000}" name="TO-DAY" totalsRowFunction="sum" dataDxfId="436" totalsRowDxfId="399"/>
    <tableColumn id="14" xr3:uid="{00000000-0010-0000-2200-00000E000000}" name="Y-DAY" totalsRowFunction="sum" dataDxfId="435" totalsRowDxfId="398"/>
    <tableColumn id="15" xr3:uid="{00000000-0010-0000-2200-00000F000000}" name="WEEKLY" totalsRowFunction="sum" dataDxfId="434" totalsRowDxfId="397"/>
    <tableColumn id="16" xr3:uid="{00000000-0010-0000-2200-000010000000}" name="LOWEST AVAIL" dataDxfId="433" totalsRowDxfId="396"/>
    <tableColumn id="17" xr3:uid="{00000000-0010-0000-2200-000011000000}" name="Y" totalsRowFunction="sum" dataDxfId="432" totalsRowDxfId="395"/>
    <tableColumn id="18" xr3:uid="{00000000-0010-0000-2200-000012000000}" name="B" totalsRowFunction="sum" dataDxfId="431" totalsRowDxfId="394"/>
    <tableColumn id="19" xr3:uid="{00000000-0010-0000-2200-000013000000}" name="M" totalsRowFunction="sum" dataDxfId="430" totalsRowDxfId="393"/>
    <tableColumn id="20" xr3:uid="{00000000-0010-0000-2200-000014000000}" name="H" totalsRowFunction="sum" dataDxfId="429" totalsRowDxfId="392"/>
    <tableColumn id="21" xr3:uid="{00000000-0010-0000-2200-000015000000}" name="Q" totalsRowFunction="sum" dataDxfId="428" totalsRowDxfId="391"/>
    <tableColumn id="22" xr3:uid="{00000000-0010-0000-2200-000016000000}" name="K" totalsRowFunction="sum" dataDxfId="427" totalsRowDxfId="390"/>
    <tableColumn id="23" xr3:uid="{00000000-0010-0000-2200-000017000000}" name="V" totalsRowFunction="sum" dataDxfId="426" totalsRowDxfId="389"/>
    <tableColumn id="24" xr3:uid="{00000000-0010-0000-2200-000018000000}" name="L" totalsRowFunction="sum" dataDxfId="425" totalsRowDxfId="388"/>
    <tableColumn id="25" xr3:uid="{00000000-0010-0000-2200-000019000000}" name="G" totalsRowFunction="sum" dataDxfId="424" totalsRowDxfId="387"/>
    <tableColumn id="26" xr3:uid="{00000000-0010-0000-2200-00001A000000}" name="S" totalsRowFunction="sum" dataDxfId="423" totalsRowDxfId="386"/>
    <tableColumn id="27" xr3:uid="{00000000-0010-0000-2200-00001B000000}" name="W" totalsRowFunction="sum" dataDxfId="422" totalsRowDxfId="385"/>
    <tableColumn id="28" xr3:uid="{00000000-0010-0000-2200-00001C000000}" name="T" totalsRowFunction="sum" dataDxfId="421" totalsRowDxfId="384"/>
    <tableColumn id="29" xr3:uid="{00000000-0010-0000-2200-00001D000000}" name="X" totalsRowFunction="sum" dataDxfId="420" totalsRowDxfId="383"/>
    <tableColumn id="30" xr3:uid="{00000000-0010-0000-2200-00001E000000}" name="U" totalsRowFunction="sum" dataDxfId="419" totalsRowDxfId="382"/>
    <tableColumn id="31" xr3:uid="{00000000-0010-0000-2200-00001F000000}" name="O" totalsRowFunction="sum" dataDxfId="418" totalsRowDxfId="381"/>
    <tableColumn id="32" xr3:uid="{00000000-0010-0000-2200-000020000000}" name="I" totalsRowFunction="sum" dataDxfId="417" totalsRowDxfId="380"/>
    <tableColumn id="33" xr3:uid="{00000000-0010-0000-2200-000021000000}" name="E" totalsRowFunction="sum" dataDxfId="416" totalsRowDxfId="379"/>
    <tableColumn id="34" xr3:uid="{00000000-0010-0000-2200-000022000000}" name="A" totalsRowFunction="sum" dataDxfId="415" totalsRowDxfId="378"/>
    <tableColumn id="35" xr3:uid="{00000000-0010-0000-2200-000023000000}" name="P" totalsRowFunction="sum" dataDxfId="414" totalsRowDxfId="377"/>
    <tableColumn id="36" xr3:uid="{00000000-0010-0000-2200-000024000000}" name="N" totalsRowFunction="count" dataDxfId="413" totalsRowDxfId="376"/>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FocusMode_CAI_YNB" displayName="FocusMode_CAI_YNB" ref="A1:H5" totalsRowShown="0">
  <autoFilter ref="A1:H5" xr:uid="{00000000-0009-0000-0100-000024000000}"/>
  <tableColumns count="8">
    <tableColumn id="1" xr3:uid="{00000000-0010-0000-2300-000001000000}" name="DATE"/>
    <tableColumn id="2" xr3:uid="{00000000-0010-0000-2300-000002000000}" name="AIRLINE"/>
    <tableColumn id="3" xr3:uid="{00000000-0010-0000-2300-000003000000}" name="FLIGHT NUM"/>
    <tableColumn id="4" xr3:uid="{00000000-0010-0000-2300-000004000000}" name="ROUTE"/>
    <tableColumn id="5" xr3:uid="{00000000-0010-0000-2300-000005000000}" name="DEPARTURE"/>
    <tableColumn id="6" xr3:uid="{00000000-0010-0000-2300-000006000000}" name="BAGGAGE"/>
    <tableColumn id="7" xr3:uid="{00000000-0010-0000-2300-000007000000}" name="AVAILABILITY"/>
    <tableColumn id="8" xr3:uid="{00000000-0010-0000-2300-000008000000}" name="PUBLISHED FARE"/>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hreatsAlert_CAI_YNB" displayName="ThreatsAlert_CAI_YNB" ref="A1:H4" totalsRowShown="0">
  <autoFilter ref="A1:H4" xr:uid="{00000000-0009-0000-0100-000025000000}"/>
  <tableColumns count="8">
    <tableColumn id="1" xr3:uid="{00000000-0010-0000-2400-000001000000}" name="DATE"/>
    <tableColumn id="2" xr3:uid="{00000000-0010-0000-2400-000002000000}" name="AIRLINE"/>
    <tableColumn id="3" xr3:uid="{00000000-0010-0000-2400-000003000000}" name="FLIGHT NUM"/>
    <tableColumn id="4" xr3:uid="{00000000-0010-0000-2400-000004000000}" name="ROUTE"/>
    <tableColumn id="5" xr3:uid="{00000000-0010-0000-2400-000005000000}" name="DEPARTURE"/>
    <tableColumn id="6" xr3:uid="{00000000-0010-0000-2400-000006000000}" name="BAGGAGE"/>
    <tableColumn id="7" xr3:uid="{00000000-0010-0000-2400-000007000000}" name="AVAILABILITY"/>
    <tableColumn id="8" xr3:uid="{00000000-0010-0000-2400-000008000000}" name="PUBLISHED FARE"/>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CAI_AHB_LF_LEGACY" displayName="CAI_AHB_LF_LEGACY" ref="A1:AJ4" totalsRowCount="1" headerRowDxfId="374" dataDxfId="337" totalsRowDxfId="300">
  <tableColumns count="36">
    <tableColumn id="1" xr3:uid="{00000000-0010-0000-2500-000001000000}" name="Day" totalsRowLabel="TOTAL" dataDxfId="373" totalsRowDxfId="336"/>
    <tableColumn id="2" xr3:uid="{00000000-0010-0000-2500-000002000000}" name="Flt Dt" dataDxfId="372" totalsRowDxfId="335"/>
    <tableColumn id="3" xr3:uid="{00000000-0010-0000-2500-000003000000}" name="Flt" totalsRowFunction="count" dataDxfId="371" totalsRowDxfId="334"/>
    <tableColumn id="4" xr3:uid="{00000000-0010-0000-2500-000004000000}" name="DEP" dataDxfId="370" totalsRowDxfId="333"/>
    <tableColumn id="5" xr3:uid="{00000000-0010-0000-2500-000005000000}" name="Brd-Off" totalsRowFunction="count" dataDxfId="369" totalsRowDxfId="332"/>
    <tableColumn id="6" xr3:uid="{00000000-0010-0000-2500-000006000000}" name="Eqp" dataDxfId="368" totalsRowDxfId="331"/>
    <tableColumn id="7" xr3:uid="{00000000-0010-0000-2500-000007000000}" name="LF%" totalsRowFunction="average" dataDxfId="367" totalsRowDxfId="330"/>
    <tableColumn id="8" xr3:uid="{00000000-0010-0000-2500-000008000000}" name="CAP" totalsRowFunction="sum" dataDxfId="366" totalsRowDxfId="329"/>
    <tableColumn id="9" xr3:uid="{00000000-0010-0000-2500-000009000000}" name="BKG(Y)" totalsRowFunction="sum" dataDxfId="365" totalsRowDxfId="328"/>
    <tableColumn id="10" xr3:uid="{00000000-0010-0000-2500-00000A000000}" name="GRP(Y)" totalsRowFunction="sum" dataDxfId="364" totalsRowDxfId="327"/>
    <tableColumn id="11" xr3:uid="{00000000-0010-0000-2500-00000B000000}" name="FLT ST" dataDxfId="363" totalsRowDxfId="326"/>
    <tableColumn id="12" xr3:uid="{00000000-0010-0000-2500-00000C000000}" name="LST-SOLD" dataDxfId="362" totalsRowDxfId="325"/>
    <tableColumn id="13" xr3:uid="{00000000-0010-0000-2500-00000D000000}" name="TO-DAY" totalsRowFunction="sum" dataDxfId="361" totalsRowDxfId="324"/>
    <tableColumn id="14" xr3:uid="{00000000-0010-0000-2500-00000E000000}" name="Y-DAY" totalsRowFunction="sum" dataDxfId="360" totalsRowDxfId="323"/>
    <tableColumn id="15" xr3:uid="{00000000-0010-0000-2500-00000F000000}" name="WEEKLY" totalsRowFunction="sum" dataDxfId="359" totalsRowDxfId="322"/>
    <tableColumn id="16" xr3:uid="{00000000-0010-0000-2500-000010000000}" name="LOWEST AVAIL" dataDxfId="358" totalsRowDxfId="321"/>
    <tableColumn id="17" xr3:uid="{00000000-0010-0000-2500-000011000000}" name="Y" totalsRowFunction="sum" dataDxfId="357" totalsRowDxfId="320"/>
    <tableColumn id="18" xr3:uid="{00000000-0010-0000-2500-000012000000}" name="B" totalsRowFunction="sum" dataDxfId="356" totalsRowDxfId="319"/>
    <tableColumn id="19" xr3:uid="{00000000-0010-0000-2500-000013000000}" name="M" totalsRowFunction="sum" dataDxfId="355" totalsRowDxfId="318"/>
    <tableColumn id="20" xr3:uid="{00000000-0010-0000-2500-000014000000}" name="H" totalsRowFunction="sum" dataDxfId="354" totalsRowDxfId="317"/>
    <tableColumn id="21" xr3:uid="{00000000-0010-0000-2500-000015000000}" name="Q" totalsRowFunction="sum" dataDxfId="353" totalsRowDxfId="316"/>
    <tableColumn id="22" xr3:uid="{00000000-0010-0000-2500-000016000000}" name="K" totalsRowFunction="sum" dataDxfId="352" totalsRowDxfId="315"/>
    <tableColumn id="23" xr3:uid="{00000000-0010-0000-2500-000017000000}" name="V" totalsRowFunction="sum" dataDxfId="351" totalsRowDxfId="314"/>
    <tableColumn id="24" xr3:uid="{00000000-0010-0000-2500-000018000000}" name="L" totalsRowFunction="sum" dataDxfId="350" totalsRowDxfId="313"/>
    <tableColumn id="25" xr3:uid="{00000000-0010-0000-2500-000019000000}" name="G" totalsRowFunction="sum" dataDxfId="349" totalsRowDxfId="312"/>
    <tableColumn id="26" xr3:uid="{00000000-0010-0000-2500-00001A000000}" name="S" totalsRowFunction="sum" dataDxfId="348" totalsRowDxfId="311"/>
    <tableColumn id="27" xr3:uid="{00000000-0010-0000-2500-00001B000000}" name="W" totalsRowFunction="sum" dataDxfId="347" totalsRowDxfId="310"/>
    <tableColumn id="28" xr3:uid="{00000000-0010-0000-2500-00001C000000}" name="T" totalsRowFunction="sum" dataDxfId="346" totalsRowDxfId="309"/>
    <tableColumn id="29" xr3:uid="{00000000-0010-0000-2500-00001D000000}" name="X" totalsRowFunction="sum" dataDxfId="345" totalsRowDxfId="308"/>
    <tableColumn id="30" xr3:uid="{00000000-0010-0000-2500-00001E000000}" name="U" totalsRowFunction="sum" dataDxfId="344" totalsRowDxfId="307"/>
    <tableColumn id="31" xr3:uid="{00000000-0010-0000-2500-00001F000000}" name="O" totalsRowFunction="sum" dataDxfId="343" totalsRowDxfId="306"/>
    <tableColumn id="32" xr3:uid="{00000000-0010-0000-2500-000020000000}" name="I" totalsRowFunction="sum" dataDxfId="342" totalsRowDxfId="305"/>
    <tableColumn id="33" xr3:uid="{00000000-0010-0000-2500-000021000000}" name="E" totalsRowFunction="sum" dataDxfId="341" totalsRowDxfId="304"/>
    <tableColumn id="34" xr3:uid="{00000000-0010-0000-2500-000022000000}" name="A" totalsRowFunction="sum" dataDxfId="340" totalsRowDxfId="303"/>
    <tableColumn id="35" xr3:uid="{00000000-0010-0000-2500-000023000000}" name="P" totalsRowFunction="sum" dataDxfId="339" totalsRowDxfId="302"/>
    <tableColumn id="36" xr3:uid="{00000000-0010-0000-2500-000024000000}" name="N" totalsRowFunction="count" dataDxfId="338" totalsRowDxfId="301"/>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FocusMode_CAI_AHB" displayName="FocusMode_CAI_AHB" ref="A1:H5" totalsRowShown="0">
  <autoFilter ref="A1:H5" xr:uid="{00000000-0009-0000-0100-000027000000}"/>
  <tableColumns count="8">
    <tableColumn id="1" xr3:uid="{00000000-0010-0000-2600-000001000000}" name="DATE"/>
    <tableColumn id="2" xr3:uid="{00000000-0010-0000-2600-000002000000}" name="AIRLINE"/>
    <tableColumn id="3" xr3:uid="{00000000-0010-0000-2600-000003000000}" name="FLIGHT NUM"/>
    <tableColumn id="4" xr3:uid="{00000000-0010-0000-2600-000004000000}" name="ROUTE"/>
    <tableColumn id="5" xr3:uid="{00000000-0010-0000-2600-000005000000}" name="DEPARTURE"/>
    <tableColumn id="6" xr3:uid="{00000000-0010-0000-2600-000006000000}" name="BAGGAGE"/>
    <tableColumn id="7" xr3:uid="{00000000-0010-0000-2600-000007000000}" name="AVAILABILITY"/>
    <tableColumn id="8" xr3:uid="{00000000-0010-0000-2600-000008000000}" name="PUBLISHED FARE"/>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hreatsAlert_CAI_AHB" displayName="ThreatsAlert_CAI_AHB" ref="A1:H3" totalsRowShown="0">
  <autoFilter ref="A1:H3" xr:uid="{00000000-0009-0000-0100-000028000000}"/>
  <tableColumns count="8">
    <tableColumn id="1" xr3:uid="{00000000-0010-0000-2700-000001000000}" name="DATE"/>
    <tableColumn id="2" xr3:uid="{00000000-0010-0000-2700-000002000000}" name="AIRLINE"/>
    <tableColumn id="3" xr3:uid="{00000000-0010-0000-2700-000003000000}" name="FLIGHT NUM"/>
    <tableColumn id="4" xr3:uid="{00000000-0010-0000-2700-000004000000}" name="ROUTE"/>
    <tableColumn id="5" xr3:uid="{00000000-0010-0000-2700-000005000000}" name="DEPARTURE"/>
    <tableColumn id="6" xr3:uid="{00000000-0010-0000-2700-000006000000}" name="BAGGAGE"/>
    <tableColumn id="7" xr3:uid="{00000000-0010-0000-2700-000007000000}" name="AVAILABILITY"/>
    <tableColumn id="8" xr3:uid="{00000000-0010-0000-2700-000008000000}" name="PUBLISHED FARE"/>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ATZ_AHB_LF_LEGACY" displayName="ATZ_AHB_LF_LEGACY" ref="A1:AJ3" totalsRowCount="1" headerRowDxfId="299" dataDxfId="262" totalsRowDxfId="225">
  <tableColumns count="36">
    <tableColumn id="1" xr3:uid="{00000000-0010-0000-2800-000001000000}" name="Day" totalsRowLabel="TOTAL" dataDxfId="298" totalsRowDxfId="261"/>
    <tableColumn id="2" xr3:uid="{00000000-0010-0000-2800-000002000000}" name="Flt Dt" dataDxfId="297" totalsRowDxfId="260"/>
    <tableColumn id="3" xr3:uid="{00000000-0010-0000-2800-000003000000}" name="Flt" totalsRowFunction="count" dataDxfId="296" totalsRowDxfId="259"/>
    <tableColumn id="4" xr3:uid="{00000000-0010-0000-2800-000004000000}" name="DEP" dataDxfId="295" totalsRowDxfId="258"/>
    <tableColumn id="5" xr3:uid="{00000000-0010-0000-2800-000005000000}" name="Brd-Off" totalsRowFunction="count" dataDxfId="294" totalsRowDxfId="257"/>
    <tableColumn id="6" xr3:uid="{00000000-0010-0000-2800-000006000000}" name="Eqp" dataDxfId="293" totalsRowDxfId="256"/>
    <tableColumn id="7" xr3:uid="{00000000-0010-0000-2800-000007000000}" name="LF%" totalsRowFunction="average" dataDxfId="292" totalsRowDxfId="255"/>
    <tableColumn id="8" xr3:uid="{00000000-0010-0000-2800-000008000000}" name="CAP" totalsRowFunction="sum" dataDxfId="291" totalsRowDxfId="254"/>
    <tableColumn id="9" xr3:uid="{00000000-0010-0000-2800-000009000000}" name="BKG(Y)" totalsRowFunction="sum" dataDxfId="290" totalsRowDxfId="253"/>
    <tableColumn id="10" xr3:uid="{00000000-0010-0000-2800-00000A000000}" name="GRP(Y)" totalsRowFunction="sum" dataDxfId="289" totalsRowDxfId="252"/>
    <tableColumn id="11" xr3:uid="{00000000-0010-0000-2800-00000B000000}" name="FLT ST" dataDxfId="288" totalsRowDxfId="251"/>
    <tableColumn id="12" xr3:uid="{00000000-0010-0000-2800-00000C000000}" name="LST-SOLD" dataDxfId="287" totalsRowDxfId="250"/>
    <tableColumn id="13" xr3:uid="{00000000-0010-0000-2800-00000D000000}" name="TO-DAY" totalsRowFunction="sum" dataDxfId="286" totalsRowDxfId="249"/>
    <tableColumn id="14" xr3:uid="{00000000-0010-0000-2800-00000E000000}" name="Y-DAY" totalsRowFunction="sum" dataDxfId="285" totalsRowDxfId="248"/>
    <tableColumn id="15" xr3:uid="{00000000-0010-0000-2800-00000F000000}" name="WEEKLY" totalsRowFunction="sum" dataDxfId="284" totalsRowDxfId="247"/>
    <tableColumn id="16" xr3:uid="{00000000-0010-0000-2800-000010000000}" name="LOWEST AVAIL" dataDxfId="283" totalsRowDxfId="246"/>
    <tableColumn id="17" xr3:uid="{00000000-0010-0000-2800-000011000000}" name="Y" totalsRowFunction="sum" dataDxfId="282" totalsRowDxfId="245"/>
    <tableColumn id="18" xr3:uid="{00000000-0010-0000-2800-000012000000}" name="B" totalsRowFunction="sum" dataDxfId="281" totalsRowDxfId="244"/>
    <tableColumn id="19" xr3:uid="{00000000-0010-0000-2800-000013000000}" name="M" totalsRowFunction="sum" dataDxfId="280" totalsRowDxfId="243"/>
    <tableColumn id="20" xr3:uid="{00000000-0010-0000-2800-000014000000}" name="H" totalsRowFunction="sum" dataDxfId="279" totalsRowDxfId="242"/>
    <tableColumn id="21" xr3:uid="{00000000-0010-0000-2800-000015000000}" name="Q" totalsRowFunction="sum" dataDxfId="278" totalsRowDxfId="241"/>
    <tableColumn id="22" xr3:uid="{00000000-0010-0000-2800-000016000000}" name="K" totalsRowFunction="sum" dataDxfId="277" totalsRowDxfId="240"/>
    <tableColumn id="23" xr3:uid="{00000000-0010-0000-2800-000017000000}" name="V" totalsRowFunction="sum" dataDxfId="276" totalsRowDxfId="239"/>
    <tableColumn id="24" xr3:uid="{00000000-0010-0000-2800-000018000000}" name="L" totalsRowFunction="sum" dataDxfId="275" totalsRowDxfId="238"/>
    <tableColumn id="25" xr3:uid="{00000000-0010-0000-2800-000019000000}" name="G" totalsRowFunction="sum" dataDxfId="274" totalsRowDxfId="237"/>
    <tableColumn id="26" xr3:uid="{00000000-0010-0000-2800-00001A000000}" name="S" totalsRowFunction="sum" dataDxfId="273" totalsRowDxfId="236"/>
    <tableColumn id="27" xr3:uid="{00000000-0010-0000-2800-00001B000000}" name="W" totalsRowFunction="sum" dataDxfId="272" totalsRowDxfId="235"/>
    <tableColumn id="28" xr3:uid="{00000000-0010-0000-2800-00001C000000}" name="T" totalsRowFunction="sum" dataDxfId="271" totalsRowDxfId="234"/>
    <tableColumn id="29" xr3:uid="{00000000-0010-0000-2800-00001D000000}" name="X" totalsRowFunction="sum" dataDxfId="270" totalsRowDxfId="233"/>
    <tableColumn id="30" xr3:uid="{00000000-0010-0000-2800-00001E000000}" name="U" totalsRowFunction="sum" dataDxfId="269" totalsRowDxfId="232"/>
    <tableColumn id="31" xr3:uid="{00000000-0010-0000-2800-00001F000000}" name="O" totalsRowFunction="sum" dataDxfId="268" totalsRowDxfId="231"/>
    <tableColumn id="32" xr3:uid="{00000000-0010-0000-2800-000020000000}" name="I" totalsRowFunction="sum" dataDxfId="267" totalsRowDxfId="230"/>
    <tableColumn id="33" xr3:uid="{00000000-0010-0000-2800-000021000000}" name="E" totalsRowFunction="sum" dataDxfId="266" totalsRowDxfId="229"/>
    <tableColumn id="34" xr3:uid="{00000000-0010-0000-2800-000022000000}" name="A" totalsRowFunction="sum" dataDxfId="265" totalsRowDxfId="228"/>
    <tableColumn id="35" xr3:uid="{00000000-0010-0000-2800-000023000000}" name="P" totalsRowFunction="sum" dataDxfId="264" totalsRowDxfId="227"/>
    <tableColumn id="36" xr3:uid="{00000000-0010-0000-2800-000024000000}" name="N" totalsRowFunction="count" dataDxfId="263" totalsRowDxfId="226"/>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FocusMode_ATZ_AHB" displayName="FocusMode_ATZ_AHB" ref="A1:H8" totalsRowShown="0">
  <autoFilter ref="A1:H8" xr:uid="{00000000-0009-0000-0100-00002A000000}"/>
  <tableColumns count="8">
    <tableColumn id="1" xr3:uid="{00000000-0010-0000-2900-000001000000}" name="DATE"/>
    <tableColumn id="2" xr3:uid="{00000000-0010-0000-2900-000002000000}" name="AIRLINE"/>
    <tableColumn id="3" xr3:uid="{00000000-0010-0000-2900-000003000000}" name="FLIGHT NUM"/>
    <tableColumn id="4" xr3:uid="{00000000-0010-0000-2900-000004000000}" name="ROUTE"/>
    <tableColumn id="5" xr3:uid="{00000000-0010-0000-2900-000005000000}" name="DEPARTURE"/>
    <tableColumn id="6" xr3:uid="{00000000-0010-0000-2900-000006000000}" name="BAGGAGE"/>
    <tableColumn id="7" xr3:uid="{00000000-0010-0000-2900-000007000000}" name="AVAILABILITY"/>
    <tableColumn id="8" xr3:uid="{00000000-0010-0000-2900-000008000000}" name="PUBLISHED FARE"/>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CAI_ELQ_LF_LEGACY" displayName="CAI_ELQ_LF_LEGACY" ref="A1:AJ4" totalsRowCount="1" headerRowDxfId="224" dataDxfId="187" totalsRowDxfId="150">
  <tableColumns count="36">
    <tableColumn id="1" xr3:uid="{00000000-0010-0000-2A00-000001000000}" name="Day" totalsRowLabel="TOTAL" dataDxfId="223" totalsRowDxfId="186"/>
    <tableColumn id="2" xr3:uid="{00000000-0010-0000-2A00-000002000000}" name="Flt Dt" dataDxfId="222" totalsRowDxfId="185"/>
    <tableColumn id="3" xr3:uid="{00000000-0010-0000-2A00-000003000000}" name="Flt" totalsRowFunction="count" dataDxfId="221" totalsRowDxfId="184"/>
    <tableColumn id="4" xr3:uid="{00000000-0010-0000-2A00-000004000000}" name="DEP" dataDxfId="220" totalsRowDxfId="183"/>
    <tableColumn id="5" xr3:uid="{00000000-0010-0000-2A00-000005000000}" name="Brd-Off" totalsRowFunction="count" dataDxfId="219" totalsRowDxfId="182"/>
    <tableColumn id="6" xr3:uid="{00000000-0010-0000-2A00-000006000000}" name="Eqp" dataDxfId="218" totalsRowDxfId="181"/>
    <tableColumn id="7" xr3:uid="{00000000-0010-0000-2A00-000007000000}" name="LF%" totalsRowFunction="average" dataDxfId="217" totalsRowDxfId="180"/>
    <tableColumn id="8" xr3:uid="{00000000-0010-0000-2A00-000008000000}" name="CAP" totalsRowFunction="sum" dataDxfId="216" totalsRowDxfId="179"/>
    <tableColumn id="9" xr3:uid="{00000000-0010-0000-2A00-000009000000}" name="BKG(Y)" totalsRowFunction="sum" dataDxfId="215" totalsRowDxfId="178"/>
    <tableColumn id="10" xr3:uid="{00000000-0010-0000-2A00-00000A000000}" name="GRP(Y)" totalsRowFunction="sum" dataDxfId="214" totalsRowDxfId="177"/>
    <tableColumn id="11" xr3:uid="{00000000-0010-0000-2A00-00000B000000}" name="FLT ST" dataDxfId="213" totalsRowDxfId="176"/>
    <tableColumn id="12" xr3:uid="{00000000-0010-0000-2A00-00000C000000}" name="LST-SOLD" dataDxfId="212" totalsRowDxfId="175"/>
    <tableColumn id="13" xr3:uid="{00000000-0010-0000-2A00-00000D000000}" name="TO-DAY" totalsRowFunction="sum" dataDxfId="211" totalsRowDxfId="174"/>
    <tableColumn id="14" xr3:uid="{00000000-0010-0000-2A00-00000E000000}" name="Y-DAY" totalsRowFunction="sum" dataDxfId="210" totalsRowDxfId="173"/>
    <tableColumn id="15" xr3:uid="{00000000-0010-0000-2A00-00000F000000}" name="WEEKLY" totalsRowFunction="sum" dataDxfId="209" totalsRowDxfId="172"/>
    <tableColumn id="16" xr3:uid="{00000000-0010-0000-2A00-000010000000}" name="LOWEST AVAIL" dataDxfId="208" totalsRowDxfId="171"/>
    <tableColumn id="17" xr3:uid="{00000000-0010-0000-2A00-000011000000}" name="Y" totalsRowFunction="sum" dataDxfId="207" totalsRowDxfId="170"/>
    <tableColumn id="18" xr3:uid="{00000000-0010-0000-2A00-000012000000}" name="B" totalsRowFunction="sum" dataDxfId="206" totalsRowDxfId="169"/>
    <tableColumn id="19" xr3:uid="{00000000-0010-0000-2A00-000013000000}" name="M" totalsRowFunction="sum" dataDxfId="205" totalsRowDxfId="168"/>
    <tableColumn id="20" xr3:uid="{00000000-0010-0000-2A00-000014000000}" name="H" totalsRowFunction="sum" dataDxfId="204" totalsRowDxfId="167"/>
    <tableColumn id="21" xr3:uid="{00000000-0010-0000-2A00-000015000000}" name="Q" totalsRowFunction="sum" dataDxfId="203" totalsRowDxfId="166"/>
    <tableColumn id="22" xr3:uid="{00000000-0010-0000-2A00-000016000000}" name="K" totalsRowFunction="sum" dataDxfId="202" totalsRowDxfId="165"/>
    <tableColumn id="23" xr3:uid="{00000000-0010-0000-2A00-000017000000}" name="V" totalsRowFunction="sum" dataDxfId="201" totalsRowDxfId="164"/>
    <tableColumn id="24" xr3:uid="{00000000-0010-0000-2A00-000018000000}" name="L" totalsRowFunction="sum" dataDxfId="200" totalsRowDxfId="163"/>
    <tableColumn id="25" xr3:uid="{00000000-0010-0000-2A00-000019000000}" name="G" totalsRowFunction="sum" dataDxfId="199" totalsRowDxfId="162"/>
    <tableColumn id="26" xr3:uid="{00000000-0010-0000-2A00-00001A000000}" name="S" totalsRowFunction="sum" dataDxfId="198" totalsRowDxfId="161"/>
    <tableColumn id="27" xr3:uid="{00000000-0010-0000-2A00-00001B000000}" name="W" totalsRowFunction="sum" dataDxfId="197" totalsRowDxfId="160"/>
    <tableColumn id="28" xr3:uid="{00000000-0010-0000-2A00-00001C000000}" name="T" totalsRowFunction="sum" dataDxfId="196" totalsRowDxfId="159"/>
    <tableColumn id="29" xr3:uid="{00000000-0010-0000-2A00-00001D000000}" name="X" totalsRowFunction="sum" dataDxfId="195" totalsRowDxfId="158"/>
    <tableColumn id="30" xr3:uid="{00000000-0010-0000-2A00-00001E000000}" name="U" totalsRowFunction="sum" dataDxfId="194" totalsRowDxfId="157"/>
    <tableColumn id="31" xr3:uid="{00000000-0010-0000-2A00-00001F000000}" name="O" totalsRowFunction="sum" dataDxfId="193" totalsRowDxfId="156"/>
    <tableColumn id="32" xr3:uid="{00000000-0010-0000-2A00-000020000000}" name="I" totalsRowFunction="sum" dataDxfId="192" totalsRowDxfId="155"/>
    <tableColumn id="33" xr3:uid="{00000000-0010-0000-2A00-000021000000}" name="E" totalsRowFunction="sum" dataDxfId="191" totalsRowDxfId="154"/>
    <tableColumn id="34" xr3:uid="{00000000-0010-0000-2A00-000022000000}" name="A" totalsRowFunction="sum" dataDxfId="190" totalsRowDxfId="153"/>
    <tableColumn id="35" xr3:uid="{00000000-0010-0000-2A00-000023000000}" name="P" totalsRowFunction="sum" dataDxfId="189" totalsRowDxfId="152"/>
    <tableColumn id="36" xr3:uid="{00000000-0010-0000-2A00-000024000000}" name="N" totalsRowFunction="count" dataDxfId="188" totalsRowDxfId="151"/>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FocusMode_CAI_ELQ" displayName="FocusMode_CAI_ELQ" ref="A1:H14" totalsRowShown="0">
  <autoFilter ref="A1:H14" xr:uid="{00000000-0009-0000-0100-00002C000000}"/>
  <tableColumns count="8">
    <tableColumn id="1" xr3:uid="{00000000-0010-0000-2B00-000001000000}" name="DATE"/>
    <tableColumn id="2" xr3:uid="{00000000-0010-0000-2B00-000002000000}" name="AIRLINE"/>
    <tableColumn id="3" xr3:uid="{00000000-0010-0000-2B00-000003000000}" name="FLIGHT NUM"/>
    <tableColumn id="4" xr3:uid="{00000000-0010-0000-2B00-000004000000}" name="ROUTE"/>
    <tableColumn id="5" xr3:uid="{00000000-0010-0000-2B00-000005000000}" name="DEPARTURE"/>
    <tableColumn id="6" xr3:uid="{00000000-0010-0000-2B00-000006000000}" name="BAGGAGE"/>
    <tableColumn id="7" xr3:uid="{00000000-0010-0000-2B00-000007000000}" name="AVAILABILITY"/>
    <tableColumn id="8" xr3:uid="{00000000-0010-0000-2B00-000008000000}" name="PUBLISHED FARE"/>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hreatsAlert_CAI_ELQ" displayName="ThreatsAlert_CAI_ELQ" ref="A1:H8" totalsRowShown="0">
  <autoFilter ref="A1:H8" xr:uid="{00000000-0009-0000-0100-00002D000000}"/>
  <tableColumns count="8">
    <tableColumn id="1" xr3:uid="{00000000-0010-0000-2C00-000001000000}" name="DATE"/>
    <tableColumn id="2" xr3:uid="{00000000-0010-0000-2C00-000002000000}" name="AIRLINE"/>
    <tableColumn id="3" xr3:uid="{00000000-0010-0000-2C00-000003000000}" name="FLIGHT NUM"/>
    <tableColumn id="4" xr3:uid="{00000000-0010-0000-2C00-000004000000}" name="ROUTE"/>
    <tableColumn id="5" xr3:uid="{00000000-0010-0000-2C00-000005000000}" name="DEPARTURE"/>
    <tableColumn id="6" xr3:uid="{00000000-0010-0000-2C00-000006000000}" name="BAGGAGE"/>
    <tableColumn id="7" xr3:uid="{00000000-0010-0000-2C00-000007000000}" name="AVAILABILITY"/>
    <tableColumn id="8" xr3:uid="{00000000-0010-0000-2C00-000008000000}" name="PUBLISHED FARE"/>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ATZ_ELQ_LF_LEGACY" displayName="ATZ_ELQ_LF_LEGACY" ref="A1:AJ3" totalsRowCount="1" headerRowDxfId="149" dataDxfId="112" totalsRowDxfId="75">
  <tableColumns count="36">
    <tableColumn id="1" xr3:uid="{00000000-0010-0000-2D00-000001000000}" name="Day" totalsRowLabel="TOTAL" dataDxfId="148" totalsRowDxfId="111"/>
    <tableColumn id="2" xr3:uid="{00000000-0010-0000-2D00-000002000000}" name="Flt Dt" dataDxfId="147" totalsRowDxfId="110"/>
    <tableColumn id="3" xr3:uid="{00000000-0010-0000-2D00-000003000000}" name="Flt" totalsRowFunction="count" dataDxfId="146" totalsRowDxfId="109"/>
    <tableColumn id="4" xr3:uid="{00000000-0010-0000-2D00-000004000000}" name="DEP" dataDxfId="145" totalsRowDxfId="108"/>
    <tableColumn id="5" xr3:uid="{00000000-0010-0000-2D00-000005000000}" name="Brd-Off" totalsRowFunction="count" dataDxfId="144" totalsRowDxfId="107"/>
    <tableColumn id="6" xr3:uid="{00000000-0010-0000-2D00-000006000000}" name="Eqp" dataDxfId="143" totalsRowDxfId="106"/>
    <tableColumn id="7" xr3:uid="{00000000-0010-0000-2D00-000007000000}" name="LF%" totalsRowFunction="average" dataDxfId="142" totalsRowDxfId="105"/>
    <tableColumn id="8" xr3:uid="{00000000-0010-0000-2D00-000008000000}" name="CAP" totalsRowFunction="sum" dataDxfId="141" totalsRowDxfId="104"/>
    <tableColumn id="9" xr3:uid="{00000000-0010-0000-2D00-000009000000}" name="BKG(Y)" totalsRowFunction="sum" dataDxfId="140" totalsRowDxfId="103"/>
    <tableColumn id="10" xr3:uid="{00000000-0010-0000-2D00-00000A000000}" name="GRP(Y)" totalsRowFunction="sum" dataDxfId="139" totalsRowDxfId="102"/>
    <tableColumn id="11" xr3:uid="{00000000-0010-0000-2D00-00000B000000}" name="FLT ST" dataDxfId="138" totalsRowDxfId="101"/>
    <tableColumn id="12" xr3:uid="{00000000-0010-0000-2D00-00000C000000}" name="LST-SOLD" dataDxfId="137" totalsRowDxfId="100"/>
    <tableColumn id="13" xr3:uid="{00000000-0010-0000-2D00-00000D000000}" name="TO-DAY" totalsRowFunction="sum" dataDxfId="136" totalsRowDxfId="99"/>
    <tableColumn id="14" xr3:uid="{00000000-0010-0000-2D00-00000E000000}" name="Y-DAY" totalsRowFunction="sum" dataDxfId="135" totalsRowDxfId="98"/>
    <tableColumn id="15" xr3:uid="{00000000-0010-0000-2D00-00000F000000}" name="WEEKLY" totalsRowFunction="sum" dataDxfId="134" totalsRowDxfId="97"/>
    <tableColumn id="16" xr3:uid="{00000000-0010-0000-2D00-000010000000}" name="LOWEST AVAIL" dataDxfId="133" totalsRowDxfId="96"/>
    <tableColumn id="17" xr3:uid="{00000000-0010-0000-2D00-000011000000}" name="Y" totalsRowFunction="sum" dataDxfId="132" totalsRowDxfId="95"/>
    <tableColumn id="18" xr3:uid="{00000000-0010-0000-2D00-000012000000}" name="B" totalsRowFunction="sum" dataDxfId="131" totalsRowDxfId="94"/>
    <tableColumn id="19" xr3:uid="{00000000-0010-0000-2D00-000013000000}" name="M" totalsRowFunction="sum" dataDxfId="130" totalsRowDxfId="93"/>
    <tableColumn id="20" xr3:uid="{00000000-0010-0000-2D00-000014000000}" name="H" totalsRowFunction="sum" dataDxfId="129" totalsRowDxfId="92"/>
    <tableColumn id="21" xr3:uid="{00000000-0010-0000-2D00-000015000000}" name="Q" totalsRowFunction="sum" dataDxfId="128" totalsRowDxfId="91"/>
    <tableColumn id="22" xr3:uid="{00000000-0010-0000-2D00-000016000000}" name="K" totalsRowFunction="sum" dataDxfId="127" totalsRowDxfId="90"/>
    <tableColumn id="23" xr3:uid="{00000000-0010-0000-2D00-000017000000}" name="V" totalsRowFunction="sum" dataDxfId="126" totalsRowDxfId="89"/>
    <tableColumn id="24" xr3:uid="{00000000-0010-0000-2D00-000018000000}" name="L" totalsRowFunction="sum" dataDxfId="125" totalsRowDxfId="88"/>
    <tableColumn id="25" xr3:uid="{00000000-0010-0000-2D00-000019000000}" name="G" totalsRowFunction="sum" dataDxfId="124" totalsRowDxfId="87"/>
    <tableColumn id="26" xr3:uid="{00000000-0010-0000-2D00-00001A000000}" name="S" totalsRowFunction="sum" dataDxfId="123" totalsRowDxfId="86"/>
    <tableColumn id="27" xr3:uid="{00000000-0010-0000-2D00-00001B000000}" name="W" totalsRowFunction="sum" dataDxfId="122" totalsRowDxfId="85"/>
    <tableColumn id="28" xr3:uid="{00000000-0010-0000-2D00-00001C000000}" name="T" totalsRowFunction="sum" dataDxfId="121" totalsRowDxfId="84"/>
    <tableColumn id="29" xr3:uid="{00000000-0010-0000-2D00-00001D000000}" name="X" totalsRowFunction="sum" dataDxfId="120" totalsRowDxfId="83"/>
    <tableColumn id="30" xr3:uid="{00000000-0010-0000-2D00-00001E000000}" name="U" totalsRowFunction="sum" dataDxfId="119" totalsRowDxfId="82"/>
    <tableColumn id="31" xr3:uid="{00000000-0010-0000-2D00-00001F000000}" name="O" totalsRowFunction="sum" dataDxfId="118" totalsRowDxfId="81"/>
    <tableColumn id="32" xr3:uid="{00000000-0010-0000-2D00-000020000000}" name="I" totalsRowFunction="sum" dataDxfId="117" totalsRowDxfId="80"/>
    <tableColumn id="33" xr3:uid="{00000000-0010-0000-2D00-000021000000}" name="E" totalsRowFunction="sum" dataDxfId="116" totalsRowDxfId="79"/>
    <tableColumn id="34" xr3:uid="{00000000-0010-0000-2D00-000022000000}" name="A" totalsRowFunction="sum" dataDxfId="115" totalsRowDxfId="78"/>
    <tableColumn id="35" xr3:uid="{00000000-0010-0000-2D00-000023000000}" name="P" totalsRowFunction="sum" dataDxfId="114" totalsRowDxfId="77"/>
    <tableColumn id="36" xr3:uid="{00000000-0010-0000-2D00-000024000000}" name="N" totalsRowFunction="count" dataDxfId="113" totalsRowDxfId="76"/>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FocusMode_ATZ_ELQ" displayName="FocusMode_ATZ_ELQ" ref="A1:H18" totalsRowShown="0">
  <autoFilter ref="A1:H18" xr:uid="{00000000-0009-0000-0100-00002F000000}"/>
  <tableColumns count="8">
    <tableColumn id="1" xr3:uid="{00000000-0010-0000-2E00-000001000000}" name="DATE"/>
    <tableColumn id="2" xr3:uid="{00000000-0010-0000-2E00-000002000000}" name="AIRLINE"/>
    <tableColumn id="3" xr3:uid="{00000000-0010-0000-2E00-000003000000}" name="FLIGHT NUM"/>
    <tableColumn id="4" xr3:uid="{00000000-0010-0000-2E00-000004000000}" name="ROUTE"/>
    <tableColumn id="5" xr3:uid="{00000000-0010-0000-2E00-000005000000}" name="DEPARTURE"/>
    <tableColumn id="6" xr3:uid="{00000000-0010-0000-2E00-000006000000}" name="BAGGAGE"/>
    <tableColumn id="7" xr3:uid="{00000000-0010-0000-2E00-000007000000}" name="AVAILABILITY"/>
    <tableColumn id="8" xr3:uid="{00000000-0010-0000-2E00-000008000000}" name="PUBLISHED FARE"/>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CAI_GIZ_LF_LEGACY" displayName="CAI_GIZ_LF_LEGACY" ref="A1:AJ4" totalsRowCount="1" headerRowDxfId="74" dataDxfId="37" totalsRowDxfId="0">
  <tableColumns count="36">
    <tableColumn id="1" xr3:uid="{00000000-0010-0000-2F00-000001000000}" name="Day" totalsRowLabel="TOTAL" dataDxfId="73" totalsRowDxfId="36"/>
    <tableColumn id="2" xr3:uid="{00000000-0010-0000-2F00-000002000000}" name="Flt Dt" dataDxfId="72" totalsRowDxfId="35"/>
    <tableColumn id="3" xr3:uid="{00000000-0010-0000-2F00-000003000000}" name="Flt" totalsRowFunction="count" dataDxfId="71" totalsRowDxfId="34"/>
    <tableColumn id="4" xr3:uid="{00000000-0010-0000-2F00-000004000000}" name="DEP" dataDxfId="70" totalsRowDxfId="33"/>
    <tableColumn id="5" xr3:uid="{00000000-0010-0000-2F00-000005000000}" name="Brd-Off" totalsRowFunction="count" dataDxfId="69" totalsRowDxfId="32"/>
    <tableColumn id="6" xr3:uid="{00000000-0010-0000-2F00-000006000000}" name="Eqp" dataDxfId="68" totalsRowDxfId="31"/>
    <tableColumn id="7" xr3:uid="{00000000-0010-0000-2F00-000007000000}" name="LF%" totalsRowFunction="average" dataDxfId="67" totalsRowDxfId="30"/>
    <tableColumn id="8" xr3:uid="{00000000-0010-0000-2F00-000008000000}" name="CAP" totalsRowFunction="sum" dataDxfId="66" totalsRowDxfId="29"/>
    <tableColumn id="9" xr3:uid="{00000000-0010-0000-2F00-000009000000}" name="BKG(Y)" totalsRowFunction="sum" dataDxfId="65" totalsRowDxfId="28"/>
    <tableColumn id="10" xr3:uid="{00000000-0010-0000-2F00-00000A000000}" name="GRP(Y)" totalsRowFunction="sum" dataDxfId="64" totalsRowDxfId="27"/>
    <tableColumn id="11" xr3:uid="{00000000-0010-0000-2F00-00000B000000}" name="FLT ST" dataDxfId="63" totalsRowDxfId="26"/>
    <tableColumn id="12" xr3:uid="{00000000-0010-0000-2F00-00000C000000}" name="LST-SOLD" dataDxfId="62" totalsRowDxfId="25"/>
    <tableColumn id="13" xr3:uid="{00000000-0010-0000-2F00-00000D000000}" name="TO-DAY" totalsRowFunction="sum" dataDxfId="61" totalsRowDxfId="24"/>
    <tableColumn id="14" xr3:uid="{00000000-0010-0000-2F00-00000E000000}" name="Y-DAY" totalsRowFunction="sum" dataDxfId="60" totalsRowDxfId="23"/>
    <tableColumn id="15" xr3:uid="{00000000-0010-0000-2F00-00000F000000}" name="WEEKLY" totalsRowFunction="sum" dataDxfId="59" totalsRowDxfId="22"/>
    <tableColumn id="16" xr3:uid="{00000000-0010-0000-2F00-000010000000}" name="LOWEST AVAIL" dataDxfId="58" totalsRowDxfId="21"/>
    <tableColumn id="17" xr3:uid="{00000000-0010-0000-2F00-000011000000}" name="Y" totalsRowFunction="sum" dataDxfId="57" totalsRowDxfId="20"/>
    <tableColumn id="18" xr3:uid="{00000000-0010-0000-2F00-000012000000}" name="B" totalsRowFunction="sum" dataDxfId="56" totalsRowDxfId="19"/>
    <tableColumn id="19" xr3:uid="{00000000-0010-0000-2F00-000013000000}" name="M" totalsRowFunction="sum" dataDxfId="55" totalsRowDxfId="18"/>
    <tableColumn id="20" xr3:uid="{00000000-0010-0000-2F00-000014000000}" name="H" totalsRowFunction="sum" dataDxfId="54" totalsRowDxfId="17"/>
    <tableColumn id="21" xr3:uid="{00000000-0010-0000-2F00-000015000000}" name="Q" totalsRowFunction="sum" dataDxfId="53" totalsRowDxfId="16"/>
    <tableColumn id="22" xr3:uid="{00000000-0010-0000-2F00-000016000000}" name="K" totalsRowFunction="sum" dataDxfId="52" totalsRowDxfId="15"/>
    <tableColumn id="23" xr3:uid="{00000000-0010-0000-2F00-000017000000}" name="V" totalsRowFunction="sum" dataDxfId="51" totalsRowDxfId="14"/>
    <tableColumn id="24" xr3:uid="{00000000-0010-0000-2F00-000018000000}" name="L" totalsRowFunction="sum" dataDxfId="50" totalsRowDxfId="13"/>
    <tableColumn id="25" xr3:uid="{00000000-0010-0000-2F00-000019000000}" name="G" totalsRowFunction="sum" dataDxfId="49" totalsRowDxfId="12"/>
    <tableColumn id="26" xr3:uid="{00000000-0010-0000-2F00-00001A000000}" name="S" totalsRowFunction="sum" dataDxfId="48" totalsRowDxfId="11"/>
    <tableColumn id="27" xr3:uid="{00000000-0010-0000-2F00-00001B000000}" name="W" totalsRowFunction="sum" dataDxfId="47" totalsRowDxfId="10"/>
    <tableColumn id="28" xr3:uid="{00000000-0010-0000-2F00-00001C000000}" name="T" totalsRowFunction="sum" dataDxfId="46" totalsRowDxfId="9"/>
    <tableColumn id="29" xr3:uid="{00000000-0010-0000-2F00-00001D000000}" name="X" totalsRowFunction="sum" dataDxfId="45" totalsRowDxfId="8"/>
    <tableColumn id="30" xr3:uid="{00000000-0010-0000-2F00-00001E000000}" name="U" totalsRowFunction="sum" dataDxfId="44" totalsRowDxfId="7"/>
    <tableColumn id="31" xr3:uid="{00000000-0010-0000-2F00-00001F000000}" name="O" totalsRowFunction="sum" dataDxfId="43" totalsRowDxfId="6"/>
    <tableColumn id="32" xr3:uid="{00000000-0010-0000-2F00-000020000000}" name="I" totalsRowFunction="sum" dataDxfId="42" totalsRowDxfId="5"/>
    <tableColumn id="33" xr3:uid="{00000000-0010-0000-2F00-000021000000}" name="E" totalsRowFunction="sum" dataDxfId="41" totalsRowDxfId="4"/>
    <tableColumn id="34" xr3:uid="{00000000-0010-0000-2F00-000022000000}" name="A" totalsRowFunction="sum" dataDxfId="40" totalsRowDxfId="3"/>
    <tableColumn id="35" xr3:uid="{00000000-0010-0000-2F00-000023000000}" name="P" totalsRowFunction="sum" dataDxfId="39" totalsRowDxfId="2"/>
    <tableColumn id="36" xr3:uid="{00000000-0010-0000-2F00-000024000000}" name="N" totalsRowFunction="count" dataDxfId="38" totalsRowDxfId="1"/>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FocusMode_CAI_GIZ" displayName="FocusMode_CAI_GIZ" ref="A1:H5" totalsRowShown="0">
  <autoFilter ref="A1:H5" xr:uid="{00000000-0009-0000-0100-000031000000}"/>
  <tableColumns count="8">
    <tableColumn id="1" xr3:uid="{00000000-0010-0000-3000-000001000000}" name="DATE"/>
    <tableColumn id="2" xr3:uid="{00000000-0010-0000-3000-000002000000}" name="AIRLINE"/>
    <tableColumn id="3" xr3:uid="{00000000-0010-0000-3000-000003000000}" name="FLIGHT NUM"/>
    <tableColumn id="4" xr3:uid="{00000000-0010-0000-3000-000004000000}" name="ROUTE"/>
    <tableColumn id="5" xr3:uid="{00000000-0010-0000-3000-000005000000}" name="DEPARTURE"/>
    <tableColumn id="6" xr3:uid="{00000000-0010-0000-3000-000006000000}" name="BAGGAGE"/>
    <tableColumn id="7" xr3:uid="{00000000-0010-0000-3000-000007000000}" name="AVAILABILITY"/>
    <tableColumn id="8" xr3:uid="{00000000-0010-0000-3000-000008000000}" name="PUBLISHED FARE"/>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ThreatsAlert_CAI_GIZ" displayName="ThreatsAlert_CAI_GIZ" ref="A1:H4" totalsRowShown="0">
  <autoFilter ref="A1:H4" xr:uid="{00000000-0009-0000-0100-000032000000}"/>
  <tableColumns count="8">
    <tableColumn id="1" xr3:uid="{00000000-0010-0000-3100-000001000000}" name="DATE"/>
    <tableColumn id="2" xr3:uid="{00000000-0010-0000-3100-000002000000}" name="AIRLINE"/>
    <tableColumn id="3" xr3:uid="{00000000-0010-0000-3100-000003000000}" name="FLIGHT NUM"/>
    <tableColumn id="4" xr3:uid="{00000000-0010-0000-3100-000004000000}" name="ROUTE"/>
    <tableColumn id="5" xr3:uid="{00000000-0010-0000-3100-000005000000}" name="DEPARTURE"/>
    <tableColumn id="6" xr3:uid="{00000000-0010-0000-3100-000006000000}" name="BAGGAGE"/>
    <tableColumn id="7" xr3:uid="{00000000-0010-0000-3100-000007000000}" name="AVAILABILITY"/>
    <tableColumn id="8" xr3:uid="{00000000-0010-0000-3100-000008000000}" name="PUBLISHED FARE"/>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EGY_TO_KSA_ALL_ROUTES" displayName="EGY_TO_KSA_ALL_ROUTES" ref="A1:AJ54" totalsRowShown="0">
  <tableColumns count="36">
    <tableColumn id="1" xr3:uid="{00000000-0010-0000-3200-000001000000}" name="Day" totalsRowLabel="TOTAL"/>
    <tableColumn id="2" xr3:uid="{00000000-0010-0000-3200-000002000000}" name="Flt Dt"/>
    <tableColumn id="3" xr3:uid="{00000000-0010-0000-3200-000003000000}" name="Flt" totalsRowFunction="count"/>
    <tableColumn id="4" xr3:uid="{00000000-0010-0000-3200-000004000000}" name="DEP"/>
    <tableColumn id="5" xr3:uid="{00000000-0010-0000-3200-000005000000}" name="Brd-Off" totalsRowFunction="count"/>
    <tableColumn id="6" xr3:uid="{00000000-0010-0000-3200-000006000000}" name="Eqp"/>
    <tableColumn id="7" xr3:uid="{00000000-0010-0000-3200-000007000000}" name="LF%" totalsRowFunction="average"/>
    <tableColumn id="8" xr3:uid="{00000000-0010-0000-3200-000008000000}" name="CAP" totalsRowFunction="sum"/>
    <tableColumn id="9" xr3:uid="{00000000-0010-0000-3200-000009000000}" name="BKG(Y)" totalsRowFunction="sum"/>
    <tableColumn id="10" xr3:uid="{00000000-0010-0000-3200-00000A000000}" name="GRP(Y)" totalsRowFunction="sum"/>
    <tableColumn id="11" xr3:uid="{00000000-0010-0000-3200-00000B000000}" name="FLT ST"/>
    <tableColumn id="12" xr3:uid="{00000000-0010-0000-3200-00000C000000}" name="LST-SOLD"/>
    <tableColumn id="13" xr3:uid="{00000000-0010-0000-3200-00000D000000}" name="TO-DAY" totalsRowFunction="sum"/>
    <tableColumn id="14" xr3:uid="{00000000-0010-0000-3200-00000E000000}" name="Y-DAY" totalsRowFunction="sum"/>
    <tableColumn id="15" xr3:uid="{00000000-0010-0000-3200-00000F000000}" name="WEEKLY" totalsRowFunction="sum"/>
    <tableColumn id="16" xr3:uid="{00000000-0010-0000-3200-000010000000}" name="LOWEST AVAIL" totalsRowFunction="sum"/>
    <tableColumn id="17" xr3:uid="{00000000-0010-0000-3200-000011000000}" name="Y" totalsRowFunction="sum"/>
    <tableColumn id="18" xr3:uid="{00000000-0010-0000-3200-000012000000}" name="B" totalsRowFunction="sum"/>
    <tableColumn id="19" xr3:uid="{00000000-0010-0000-3200-000013000000}" name="M" totalsRowFunction="sum"/>
    <tableColumn id="20" xr3:uid="{00000000-0010-0000-3200-000014000000}" name="H" totalsRowFunction="sum"/>
    <tableColumn id="21" xr3:uid="{00000000-0010-0000-3200-000015000000}" name="Q" totalsRowFunction="sum"/>
    <tableColumn id="22" xr3:uid="{00000000-0010-0000-3200-000016000000}" name="K" totalsRowFunction="sum"/>
    <tableColumn id="23" xr3:uid="{00000000-0010-0000-3200-000017000000}" name="V" totalsRowFunction="sum"/>
    <tableColumn id="24" xr3:uid="{00000000-0010-0000-3200-000018000000}" name="L" totalsRowFunction="sum"/>
    <tableColumn id="25" xr3:uid="{00000000-0010-0000-3200-000019000000}" name="G" totalsRowFunction="sum"/>
    <tableColumn id="26" xr3:uid="{00000000-0010-0000-3200-00001A000000}" name="S" totalsRowFunction="sum"/>
    <tableColumn id="27" xr3:uid="{00000000-0010-0000-3200-00001B000000}" name="W" totalsRowFunction="sum"/>
    <tableColumn id="28" xr3:uid="{00000000-0010-0000-3200-00001C000000}" name="T" totalsRowFunction="sum"/>
    <tableColumn id="29" xr3:uid="{00000000-0010-0000-3200-00001D000000}" name="X" totalsRowFunction="sum"/>
    <tableColumn id="30" xr3:uid="{00000000-0010-0000-3200-00001E000000}" name="U" totalsRowFunction="sum"/>
    <tableColumn id="31" xr3:uid="{00000000-0010-0000-3200-00001F000000}" name="O" totalsRowFunction="sum"/>
    <tableColumn id="32" xr3:uid="{00000000-0010-0000-3200-000020000000}" name="I" totalsRowFunction="sum"/>
    <tableColumn id="33" xr3:uid="{00000000-0010-0000-3200-000021000000}" name="E" totalsRowFunction="sum"/>
    <tableColumn id="34" xr3:uid="{00000000-0010-0000-3200-000022000000}" name="A" totalsRowFunction="sum"/>
    <tableColumn id="35" xr3:uid="{00000000-0010-0000-3200-000023000000}" name="P" totalsRowFunction="sum"/>
    <tableColumn id="36" xr3:uid="{00000000-0010-0000-3200-000024000000}" name="N"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5.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7.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9.xml"/><Relationship Id="rId1"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10.xml"/><Relationship Id="rId1"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12.xml"/><Relationship Id="rId1" Type="http://schemas.openxmlformats.org/officeDocument/2006/relationships/vmlDrawing" Target="../drawings/vmlDrawing7.v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14.xml"/><Relationship Id="rId1" Type="http://schemas.openxmlformats.org/officeDocument/2006/relationships/vmlDrawing" Target="../drawings/vmlDrawing8.vml"/></Relationships>
</file>

<file path=xl/worksheets/_rels/sheet29.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3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table" Target="../tables/table17.xml"/><Relationship Id="rId1" Type="http://schemas.openxmlformats.org/officeDocument/2006/relationships/vmlDrawing" Target="../drawings/vmlDrawing9.vml"/></Relationships>
</file>

<file path=xl/worksheets/_rels/sheet3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table" Target="../tables/table18.xml"/><Relationship Id="rId1" Type="http://schemas.openxmlformats.org/officeDocument/2006/relationships/vmlDrawing" Target="../drawings/vmlDrawing10.vml"/></Relationships>
</file>

<file path=xl/worksheets/_rels/sheet3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4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table" Target="../tables/table21.xml"/><Relationship Id="rId1" Type="http://schemas.openxmlformats.org/officeDocument/2006/relationships/vmlDrawing" Target="../drawings/vmlDrawing11.vml"/></Relationships>
</file>

<file path=xl/worksheets/_rels/sheet4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table" Target="../tables/table22.xml"/><Relationship Id="rId1" Type="http://schemas.openxmlformats.org/officeDocument/2006/relationships/vmlDrawing" Target="../drawings/vmlDrawing12.vml"/></Relationships>
</file>

<file path=xl/worksheets/_rels/sheet45.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4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table" Target="../tables/table24.xml"/><Relationship Id="rId1" Type="http://schemas.openxmlformats.org/officeDocument/2006/relationships/vmlDrawing" Target="../drawings/vmlDrawing13.vml"/></Relationships>
</file>

<file path=xl/worksheets/_rels/sheet48.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49.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table" Target="../tables/table26.xml"/><Relationship Id="rId1" Type="http://schemas.openxmlformats.org/officeDocument/2006/relationships/vmlDrawing" Target="../drawings/vmlDrawing14.vml"/></Relationships>
</file>

<file path=xl/worksheets/_rels/sheet50.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table" Target="../tables/table27.xml"/><Relationship Id="rId1" Type="http://schemas.openxmlformats.org/officeDocument/2006/relationships/vmlDrawing" Target="../drawings/vmlDrawing15.vml"/></Relationships>
</file>

<file path=xl/worksheets/_rels/sheet52.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53.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table" Target="../tables/table29.xml"/><Relationship Id="rId1" Type="http://schemas.openxmlformats.org/officeDocument/2006/relationships/vmlDrawing" Target="../drawings/vmlDrawing16.vml"/></Relationships>
</file>

<file path=xl/worksheets/_rels/sheet55.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56.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table" Target="../tables/table31.xml"/><Relationship Id="rId1" Type="http://schemas.openxmlformats.org/officeDocument/2006/relationships/vmlDrawing" Target="../drawings/vmlDrawing17.vml"/></Relationships>
</file>

<file path=xl/worksheets/_rels/sheet57.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table" Target="../tables/table32.xml"/><Relationship Id="rId1" Type="http://schemas.openxmlformats.org/officeDocument/2006/relationships/vmlDrawing" Target="../drawings/vmlDrawing18.vml"/></Relationships>
</file>

<file path=xl/worksheets/_rels/sheet59.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60.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table" Target="../tables/table34.xml"/><Relationship Id="rId1" Type="http://schemas.openxmlformats.org/officeDocument/2006/relationships/vmlDrawing" Target="../drawings/vmlDrawing19.vml"/></Relationships>
</file>

<file path=xl/worksheets/_rels/sheet62.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63.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table" Target="../tables/table36.xml"/><Relationship Id="rId1" Type="http://schemas.openxmlformats.org/officeDocument/2006/relationships/vmlDrawing" Target="../drawings/vmlDrawing20.vml"/></Relationships>
</file>

<file path=xl/worksheets/_rels/sheet64.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table" Target="../tables/table37.xml"/><Relationship Id="rId1" Type="http://schemas.openxmlformats.org/officeDocument/2006/relationships/vmlDrawing" Target="../drawings/vmlDrawing21.vml"/></Relationships>
</file>

<file path=xl/worksheets/_rels/sheet66.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67.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table" Target="../tables/table39.xml"/><Relationship Id="rId1" Type="http://schemas.openxmlformats.org/officeDocument/2006/relationships/vmlDrawing" Target="../drawings/vmlDrawing22.vml"/></Relationships>
</file>

<file path=xl/worksheets/_rels/sheet68.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table" Target="../tables/table40.xml"/><Relationship Id="rId1" Type="http://schemas.openxmlformats.org/officeDocument/2006/relationships/vmlDrawing" Target="../drawings/vmlDrawing23.vml"/></Relationships>
</file>

<file path=xl/worksheets/_rels/sheet70.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71.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table" Target="../tables/table42.xml"/><Relationship Id="rId1" Type="http://schemas.openxmlformats.org/officeDocument/2006/relationships/vmlDrawing" Target="../drawings/vmlDrawing24.vml"/></Relationships>
</file>

<file path=xl/worksheets/_rels/sheet73.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74.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table" Target="../tables/table44.xml"/><Relationship Id="rId1" Type="http://schemas.openxmlformats.org/officeDocument/2006/relationships/vmlDrawing" Target="../drawings/vmlDrawing25.vml"/></Relationships>
</file>

<file path=xl/worksheets/_rels/sheet75.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table" Target="../tables/table45.xml"/><Relationship Id="rId1" Type="http://schemas.openxmlformats.org/officeDocument/2006/relationships/vmlDrawing" Target="../drawings/vmlDrawing26.vml"/></Relationships>
</file>

<file path=xl/worksheets/_rels/sheet77.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78.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table" Target="../tables/table47.xml"/><Relationship Id="rId1" Type="http://schemas.openxmlformats.org/officeDocument/2006/relationships/vmlDrawing" Target="../drawings/vmlDrawing27.vml"/></Relationships>
</file>

<file path=xl/worksheets/_rels/sheet80.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81.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table" Target="../tables/table49.xml"/><Relationship Id="rId1" Type="http://schemas.openxmlformats.org/officeDocument/2006/relationships/vmlDrawing" Target="../drawings/vmlDrawing28.vml"/></Relationships>
</file>

<file path=xl/worksheets/_rels/sheet82.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table" Target="../tables/table50.xml"/><Relationship Id="rId1" Type="http://schemas.openxmlformats.org/officeDocument/2006/relationships/vmlDrawing" Target="../drawings/vmlDrawing29.vml"/></Relationships>
</file>

<file path=xl/worksheets/_rels/sheet83.xml.rels><?xml version="1.0" encoding="UTF-8" standalone="yes"?>
<Relationships xmlns="http://schemas.openxmlformats.org/package/2006/relationships"><Relationship Id="rId1" Type="http://schemas.openxmlformats.org/officeDocument/2006/relationships/table" Target="../tables/table5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66"/>
  <sheetViews>
    <sheetView tabSelected="1" workbookViewId="0">
      <selection sqref="A1:E1"/>
    </sheetView>
  </sheetViews>
  <sheetFormatPr defaultRowHeight="14.4" x14ac:dyDescent="0.3"/>
  <cols>
    <col min="1" max="1" width="10.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6.21875" bestFit="1" customWidth="1"/>
    <col min="17" max="17" width="12.21875" bestFit="1" customWidth="1"/>
    <col min="18" max="18" width="51" bestFit="1" customWidth="1"/>
  </cols>
  <sheetData>
    <row r="1" spans="1:92" ht="28.8" customHeight="1" x14ac:dyDescent="0.3">
      <c r="A1" s="261" t="s">
        <v>0</v>
      </c>
      <c r="B1" s="251"/>
      <c r="C1" s="251"/>
      <c r="D1" s="251"/>
      <c r="E1" s="251"/>
      <c r="F1" s="1" t="s">
        <v>1</v>
      </c>
      <c r="G1" s="2" t="s">
        <v>2</v>
      </c>
      <c r="H1" s="260">
        <v>45981</v>
      </c>
      <c r="I1" s="251"/>
      <c r="J1" s="251"/>
      <c r="K1" s="251"/>
      <c r="L1" s="251"/>
      <c r="M1" s="1" t="s">
        <v>3</v>
      </c>
      <c r="N1" s="266">
        <v>45983</v>
      </c>
      <c r="O1" s="251"/>
      <c r="P1" s="251"/>
      <c r="Q1" s="251"/>
      <c r="R1" s="251"/>
      <c r="CA1" s="3"/>
      <c r="CB1" s="3"/>
      <c r="CC1" s="3"/>
      <c r="CD1" s="3"/>
      <c r="CE1" s="3"/>
      <c r="CF1" s="3"/>
      <c r="CG1" s="3"/>
      <c r="CH1" s="3"/>
      <c r="CI1" s="3"/>
      <c r="CJ1" s="3"/>
      <c r="CK1" s="3"/>
      <c r="CL1" s="3"/>
      <c r="CM1" s="3"/>
      <c r="CN1" s="3"/>
    </row>
    <row r="2" spans="1:92" ht="23.4" customHeight="1" x14ac:dyDescent="0.3">
      <c r="A2" s="250" t="s">
        <v>4</v>
      </c>
      <c r="B2" s="251"/>
      <c r="C2" s="251"/>
      <c r="D2" s="251"/>
      <c r="E2" s="251"/>
      <c r="F2" s="251"/>
      <c r="G2" s="262">
        <v>45980.493021381873</v>
      </c>
      <c r="H2" s="251"/>
      <c r="I2" s="251"/>
      <c r="J2" s="251"/>
      <c r="K2" s="263">
        <v>45980.493021382194</v>
      </c>
      <c r="L2" s="251"/>
      <c r="M2" s="251"/>
      <c r="N2" s="251"/>
      <c r="O2" s="251"/>
      <c r="P2" s="251"/>
      <c r="Q2" s="251"/>
      <c r="R2" s="251"/>
      <c r="CA2" s="3"/>
      <c r="CB2" s="3"/>
      <c r="CC2" s="3"/>
      <c r="CD2" s="3"/>
      <c r="CE2" s="3"/>
      <c r="CF2" s="3"/>
      <c r="CG2" s="3"/>
      <c r="CH2" s="3"/>
      <c r="CI2" s="3"/>
      <c r="CJ2" s="3"/>
      <c r="CK2" s="3"/>
      <c r="CL2" s="3"/>
      <c r="CM2" s="3"/>
      <c r="CN2" s="3"/>
    </row>
    <row r="3" spans="1:92" ht="24" customHeight="1" x14ac:dyDescent="0.3">
      <c r="A3" s="252" t="s">
        <v>5</v>
      </c>
      <c r="B3" s="251"/>
      <c r="C3" s="251"/>
      <c r="D3" s="251"/>
      <c r="E3" s="251"/>
      <c r="F3" s="251"/>
      <c r="G3" s="251"/>
      <c r="H3" s="251"/>
      <c r="I3" s="251"/>
      <c r="J3" s="251"/>
      <c r="K3" s="251"/>
      <c r="L3" s="251"/>
      <c r="M3" s="251"/>
      <c r="N3" s="251"/>
      <c r="O3" s="251"/>
      <c r="P3" s="251"/>
      <c r="Q3" s="251"/>
      <c r="R3" s="251"/>
      <c r="CA3" s="3"/>
      <c r="CB3" s="3"/>
      <c r="CC3" s="3"/>
      <c r="CD3" s="3"/>
      <c r="CE3" s="3"/>
      <c r="CF3" s="3"/>
      <c r="CG3" s="3"/>
      <c r="CH3" s="3"/>
      <c r="CI3" s="3"/>
      <c r="CJ3" s="3"/>
      <c r="CK3" s="3"/>
      <c r="CL3" s="3"/>
      <c r="CM3" s="3"/>
      <c r="CN3" s="3"/>
    </row>
    <row r="4" spans="1:92" ht="22.05" customHeight="1" x14ac:dyDescent="0.3">
      <c r="A4" s="264" t="s">
        <v>6</v>
      </c>
      <c r="B4" s="254"/>
      <c r="C4" s="254"/>
      <c r="D4" s="254"/>
      <c r="E4" s="254"/>
      <c r="F4" s="255"/>
      <c r="G4" s="4">
        <v>45981</v>
      </c>
      <c r="H4" s="265" t="s">
        <v>7</v>
      </c>
      <c r="I4" s="254"/>
      <c r="J4" s="254"/>
      <c r="K4" s="254"/>
      <c r="L4" s="254"/>
      <c r="M4" s="254"/>
      <c r="N4" s="254"/>
      <c r="O4" s="254"/>
      <c r="P4" s="254"/>
      <c r="Q4" s="254"/>
      <c r="R4" s="25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27</v>
      </c>
      <c r="C6" s="9">
        <v>0.43402777777777768</v>
      </c>
      <c r="D6" s="8" t="s">
        <v>28</v>
      </c>
      <c r="E6" s="8" t="s">
        <v>29</v>
      </c>
      <c r="F6" s="8" t="s">
        <v>30</v>
      </c>
      <c r="G6" s="256"/>
      <c r="H6" s="10"/>
      <c r="I6" s="11"/>
      <c r="J6" s="11"/>
      <c r="K6" s="11"/>
      <c r="L6" s="11"/>
      <c r="M6" s="11"/>
      <c r="N6" s="11"/>
      <c r="O6" s="12"/>
      <c r="P6" s="11"/>
      <c r="Q6" s="13"/>
      <c r="R6" s="14"/>
    </row>
    <row r="7" spans="1:92" ht="15" customHeight="1" x14ac:dyDescent="0.3">
      <c r="A7" s="15" t="s">
        <v>26</v>
      </c>
      <c r="B7" s="15" t="s">
        <v>27</v>
      </c>
      <c r="C7" s="16">
        <v>0.43402777777777768</v>
      </c>
      <c r="D7" s="15" t="s">
        <v>31</v>
      </c>
      <c r="E7" s="15" t="s">
        <v>32</v>
      </c>
      <c r="F7" s="15" t="s">
        <v>33</v>
      </c>
      <c r="G7" s="257"/>
      <c r="H7" s="10"/>
      <c r="I7" s="11"/>
      <c r="J7" s="11"/>
      <c r="K7" s="11"/>
      <c r="L7" s="11"/>
      <c r="M7" s="11"/>
      <c r="N7" s="11"/>
      <c r="O7" s="12"/>
      <c r="P7" s="11"/>
      <c r="Q7" s="13"/>
      <c r="R7" s="14"/>
    </row>
    <row r="8" spans="1:92" ht="15" customHeight="1" x14ac:dyDescent="0.3">
      <c r="A8" s="15" t="s">
        <v>26</v>
      </c>
      <c r="B8" s="15" t="s">
        <v>27</v>
      </c>
      <c r="C8" s="16">
        <v>0.43402777777777768</v>
      </c>
      <c r="D8" s="15" t="s">
        <v>34</v>
      </c>
      <c r="E8" s="15" t="s">
        <v>32</v>
      </c>
      <c r="F8" s="15" t="s">
        <v>35</v>
      </c>
      <c r="G8" s="257"/>
      <c r="H8" s="10"/>
      <c r="I8" s="11"/>
      <c r="J8" s="11"/>
      <c r="K8" s="11"/>
      <c r="L8" s="11"/>
      <c r="M8" s="11"/>
      <c r="N8" s="11"/>
      <c r="O8" s="12"/>
      <c r="P8" s="11"/>
      <c r="Q8" s="13"/>
      <c r="R8" s="14"/>
    </row>
    <row r="9" spans="1:92" ht="15" customHeight="1" x14ac:dyDescent="0.3">
      <c r="A9" s="17" t="s">
        <v>26</v>
      </c>
      <c r="B9" s="17" t="s">
        <v>36</v>
      </c>
      <c r="C9" s="18">
        <v>0.60763888888888895</v>
      </c>
      <c r="D9" s="17" t="s">
        <v>28</v>
      </c>
      <c r="E9" s="17" t="s">
        <v>37</v>
      </c>
      <c r="F9" s="17" t="s">
        <v>38</v>
      </c>
      <c r="G9" s="257"/>
      <c r="H9" s="10"/>
      <c r="I9" s="11"/>
      <c r="J9" s="11"/>
      <c r="K9" s="11"/>
      <c r="L9" s="11"/>
      <c r="M9" s="11"/>
      <c r="N9" s="11"/>
      <c r="O9" s="12"/>
      <c r="P9" s="11"/>
      <c r="Q9" s="13"/>
      <c r="R9" s="14"/>
    </row>
    <row r="10" spans="1:92" ht="15" customHeight="1" x14ac:dyDescent="0.3">
      <c r="A10" s="15" t="s">
        <v>26</v>
      </c>
      <c r="B10" s="15" t="s">
        <v>36</v>
      </c>
      <c r="C10" s="16">
        <v>0.60763888888888895</v>
      </c>
      <c r="D10" s="15" t="s">
        <v>31</v>
      </c>
      <c r="E10" s="15" t="s">
        <v>39</v>
      </c>
      <c r="F10" s="15" t="s">
        <v>40</v>
      </c>
      <c r="G10" s="257"/>
      <c r="H10" s="10"/>
      <c r="I10" s="11"/>
      <c r="J10" s="11"/>
      <c r="K10" s="11"/>
      <c r="L10" s="11"/>
      <c r="M10" s="11"/>
      <c r="N10" s="11"/>
      <c r="O10" s="12"/>
      <c r="P10" s="11"/>
      <c r="Q10" s="13"/>
      <c r="R10" s="14"/>
    </row>
    <row r="11" spans="1:92" ht="15" customHeight="1" x14ac:dyDescent="0.3">
      <c r="A11" s="15" t="s">
        <v>26</v>
      </c>
      <c r="B11" s="15" t="s">
        <v>36</v>
      </c>
      <c r="C11" s="16">
        <v>0.60763888888888895</v>
      </c>
      <c r="D11" s="15" t="s">
        <v>34</v>
      </c>
      <c r="E11" s="15" t="s">
        <v>39</v>
      </c>
      <c r="F11" s="15" t="s">
        <v>41</v>
      </c>
      <c r="G11" s="257"/>
      <c r="H11" s="10"/>
      <c r="I11" s="11"/>
      <c r="J11" s="11"/>
      <c r="K11" s="11"/>
      <c r="L11" s="11"/>
      <c r="M11" s="11"/>
      <c r="N11" s="11"/>
      <c r="O11" s="12"/>
      <c r="P11" s="11"/>
      <c r="Q11" s="13"/>
      <c r="R11" s="14"/>
    </row>
    <row r="12" spans="1:92" ht="15" customHeight="1" x14ac:dyDescent="0.3">
      <c r="A12" s="19" t="s">
        <v>42</v>
      </c>
      <c r="B12" s="19" t="s">
        <v>43</v>
      </c>
      <c r="C12" s="20">
        <v>0.22916666666666671</v>
      </c>
      <c r="D12" s="19" t="s">
        <v>44</v>
      </c>
      <c r="E12" s="19" t="s">
        <v>45</v>
      </c>
      <c r="F12" s="19" t="s">
        <v>46</v>
      </c>
      <c r="G12" s="257"/>
      <c r="H12" s="10"/>
      <c r="I12" s="11"/>
      <c r="J12" s="11"/>
      <c r="K12" s="11"/>
      <c r="L12" s="11"/>
      <c r="M12" s="11"/>
      <c r="N12" s="11"/>
      <c r="O12" s="12"/>
      <c r="P12" s="11"/>
      <c r="Q12" s="13"/>
      <c r="R12" s="14"/>
    </row>
    <row r="13" spans="1:92" ht="15" customHeight="1" x14ac:dyDescent="0.3">
      <c r="A13" s="15" t="s">
        <v>42</v>
      </c>
      <c r="B13" s="15" t="s">
        <v>43</v>
      </c>
      <c r="C13" s="16">
        <v>0.22916666666666671</v>
      </c>
      <c r="D13" s="15" t="s">
        <v>47</v>
      </c>
      <c r="E13" s="15" t="s">
        <v>48</v>
      </c>
      <c r="F13" s="15" t="s">
        <v>35</v>
      </c>
      <c r="G13" s="257"/>
      <c r="H13" s="10"/>
      <c r="I13" s="11"/>
      <c r="J13" s="11"/>
      <c r="K13" s="11"/>
      <c r="L13" s="11"/>
      <c r="M13" s="11"/>
      <c r="N13" s="11"/>
      <c r="O13" s="12"/>
      <c r="P13" s="11"/>
      <c r="Q13" s="13"/>
      <c r="R13" s="14"/>
    </row>
    <row r="14" spans="1:92" ht="15" customHeight="1" x14ac:dyDescent="0.3">
      <c r="A14" s="15" t="s">
        <v>42</v>
      </c>
      <c r="B14" s="15" t="s">
        <v>43</v>
      </c>
      <c r="C14" s="16">
        <v>0.22916666666666671</v>
      </c>
      <c r="D14" s="15" t="s">
        <v>49</v>
      </c>
      <c r="E14" s="15" t="s">
        <v>48</v>
      </c>
      <c r="F14" s="15" t="s">
        <v>50</v>
      </c>
      <c r="G14" s="257"/>
      <c r="H14" s="10"/>
      <c r="I14" s="11"/>
      <c r="J14" s="11"/>
      <c r="K14" s="11"/>
      <c r="L14" s="11"/>
      <c r="M14" s="11"/>
      <c r="N14" s="11"/>
      <c r="O14" s="12"/>
      <c r="P14" s="11"/>
      <c r="Q14" s="13"/>
      <c r="R14" s="14"/>
    </row>
    <row r="15" spans="1:92" ht="15" customHeight="1" x14ac:dyDescent="0.3">
      <c r="A15" s="19" t="s">
        <v>51</v>
      </c>
      <c r="B15" s="19" t="s">
        <v>52</v>
      </c>
      <c r="C15" s="20">
        <v>0.18402777777777779</v>
      </c>
      <c r="D15" s="19" t="s">
        <v>53</v>
      </c>
      <c r="E15" s="19" t="s">
        <v>54</v>
      </c>
      <c r="F15" s="19" t="s">
        <v>55</v>
      </c>
      <c r="G15" s="257"/>
      <c r="H15" s="10"/>
      <c r="I15" s="11"/>
      <c r="J15" s="11"/>
      <c r="K15" s="11"/>
      <c r="L15" s="11"/>
      <c r="M15" s="11"/>
      <c r="N15" s="11"/>
      <c r="O15" s="12"/>
      <c r="P15" s="11"/>
      <c r="Q15" s="13"/>
      <c r="R15" s="14"/>
    </row>
    <row r="16" spans="1:92" ht="15" customHeight="1" x14ac:dyDescent="0.3">
      <c r="A16" s="15" t="s">
        <v>51</v>
      </c>
      <c r="B16" s="15" t="s">
        <v>52</v>
      </c>
      <c r="C16" s="16">
        <v>0.18402777777777779</v>
      </c>
      <c r="D16" s="15" t="s">
        <v>56</v>
      </c>
      <c r="E16" s="15" t="s">
        <v>57</v>
      </c>
      <c r="F16" s="15" t="s">
        <v>58</v>
      </c>
      <c r="G16" s="257"/>
      <c r="H16" s="10"/>
      <c r="I16" s="11"/>
      <c r="J16" s="11"/>
      <c r="K16" s="11"/>
      <c r="L16" s="11"/>
      <c r="M16" s="11"/>
      <c r="N16" s="11"/>
      <c r="O16" s="12"/>
      <c r="P16" s="11"/>
      <c r="Q16" s="13"/>
      <c r="R16" s="14"/>
    </row>
    <row r="17" spans="1:18" ht="15" customHeight="1" x14ac:dyDescent="0.3">
      <c r="A17" s="17" t="s">
        <v>51</v>
      </c>
      <c r="B17" s="17" t="s">
        <v>59</v>
      </c>
      <c r="C17" s="18">
        <v>0.35416666666666669</v>
      </c>
      <c r="D17" s="17" t="s">
        <v>56</v>
      </c>
      <c r="E17" s="17" t="s">
        <v>37</v>
      </c>
      <c r="F17" s="17" t="s">
        <v>60</v>
      </c>
      <c r="G17" s="257"/>
      <c r="H17" s="10"/>
      <c r="I17" s="11"/>
      <c r="J17" s="11"/>
      <c r="K17" s="11"/>
      <c r="L17" s="11"/>
      <c r="M17" s="11"/>
      <c r="N17" s="11"/>
      <c r="O17" s="12"/>
      <c r="P17" s="11"/>
      <c r="Q17" s="13"/>
      <c r="R17" s="14"/>
    </row>
    <row r="18" spans="1:18" ht="15" customHeight="1" x14ac:dyDescent="0.3">
      <c r="A18" s="17" t="s">
        <v>51</v>
      </c>
      <c r="B18" s="17" t="s">
        <v>61</v>
      </c>
      <c r="C18" s="18">
        <v>0.22916666666666671</v>
      </c>
      <c r="D18" s="17" t="s">
        <v>56</v>
      </c>
      <c r="E18" s="17" t="s">
        <v>62</v>
      </c>
      <c r="F18" s="17" t="s">
        <v>63</v>
      </c>
      <c r="G18" s="257"/>
      <c r="H18" s="10"/>
      <c r="I18" s="11"/>
      <c r="J18" s="11"/>
      <c r="K18" s="11"/>
      <c r="L18" s="11"/>
      <c r="M18" s="11"/>
      <c r="N18" s="11"/>
      <c r="O18" s="12"/>
      <c r="P18" s="11"/>
      <c r="Q18" s="13"/>
      <c r="R18" s="14"/>
    </row>
    <row r="19" spans="1:18" ht="15" customHeight="1" x14ac:dyDescent="0.3">
      <c r="A19" s="17" t="s">
        <v>51</v>
      </c>
      <c r="B19" s="17" t="s">
        <v>64</v>
      </c>
      <c r="C19" s="18">
        <v>0.89583333333333337</v>
      </c>
      <c r="D19" s="17" t="s">
        <v>56</v>
      </c>
      <c r="E19" s="17" t="s">
        <v>65</v>
      </c>
      <c r="F19" s="17" t="s">
        <v>66</v>
      </c>
      <c r="G19" s="257"/>
      <c r="H19" s="10"/>
      <c r="I19" s="11"/>
      <c r="J19" s="11"/>
      <c r="K19" s="11"/>
      <c r="L19" s="11"/>
      <c r="M19" s="11"/>
      <c r="N19" s="11"/>
      <c r="O19" s="12"/>
      <c r="P19" s="11"/>
      <c r="Q19" s="13"/>
      <c r="R19" s="14"/>
    </row>
    <row r="20" spans="1:18" ht="15" customHeight="1" x14ac:dyDescent="0.3">
      <c r="A20" s="19" t="s">
        <v>67</v>
      </c>
      <c r="B20" s="19" t="s">
        <v>68</v>
      </c>
      <c r="C20" s="20">
        <v>6.5972222222222224E-2</v>
      </c>
      <c r="D20" s="19" t="s">
        <v>69</v>
      </c>
      <c r="E20" s="19" t="s">
        <v>54</v>
      </c>
      <c r="F20" s="19" t="s">
        <v>70</v>
      </c>
      <c r="G20" s="257"/>
      <c r="H20" s="10"/>
      <c r="I20" s="11"/>
      <c r="J20" s="11"/>
      <c r="K20" s="11"/>
      <c r="L20" s="11"/>
      <c r="M20" s="11"/>
      <c r="N20" s="11"/>
      <c r="O20" s="12"/>
      <c r="P20" s="11"/>
      <c r="Q20" s="13"/>
      <c r="R20" s="14"/>
    </row>
    <row r="21" spans="1:18" ht="15" customHeight="1" x14ac:dyDescent="0.3">
      <c r="A21" s="17" t="s">
        <v>67</v>
      </c>
      <c r="B21" s="17" t="s">
        <v>71</v>
      </c>
      <c r="C21" s="18">
        <v>0.94097222222222221</v>
      </c>
      <c r="D21" s="17" t="s">
        <v>69</v>
      </c>
      <c r="E21" s="17" t="s">
        <v>72</v>
      </c>
      <c r="F21" s="17" t="s">
        <v>73</v>
      </c>
      <c r="G21" s="257"/>
      <c r="H21" s="10"/>
      <c r="I21" s="11"/>
      <c r="J21" s="11"/>
      <c r="K21" s="11"/>
      <c r="L21" s="11"/>
      <c r="M21" s="11"/>
      <c r="N21" s="11"/>
      <c r="O21" s="12"/>
      <c r="P21" s="11"/>
      <c r="Q21" s="13"/>
      <c r="R21" s="14"/>
    </row>
    <row r="22" spans="1:18" ht="15" customHeight="1" x14ac:dyDescent="0.3">
      <c r="A22" s="17" t="s">
        <v>67</v>
      </c>
      <c r="B22" s="17" t="s">
        <v>74</v>
      </c>
      <c r="C22" s="18">
        <v>0.28819444444444448</v>
      </c>
      <c r="D22" s="17" t="s">
        <v>69</v>
      </c>
      <c r="E22" s="17" t="s">
        <v>75</v>
      </c>
      <c r="F22" s="17" t="s">
        <v>76</v>
      </c>
      <c r="G22" s="257"/>
      <c r="H22" s="10"/>
      <c r="I22" s="11"/>
      <c r="J22" s="11"/>
      <c r="K22" s="11"/>
      <c r="L22" s="11"/>
      <c r="M22" s="11"/>
      <c r="N22" s="11"/>
      <c r="O22" s="12"/>
      <c r="P22" s="11"/>
      <c r="Q22" s="13"/>
      <c r="R22" s="14"/>
    </row>
    <row r="23" spans="1:18" ht="15" customHeight="1" x14ac:dyDescent="0.3">
      <c r="A23" s="17" t="s">
        <v>67</v>
      </c>
      <c r="B23" s="17" t="s">
        <v>77</v>
      </c>
      <c r="C23" s="18">
        <v>0.39583333333333331</v>
      </c>
      <c r="D23" s="17" t="s">
        <v>69</v>
      </c>
      <c r="E23" s="17" t="s">
        <v>72</v>
      </c>
      <c r="F23" s="17" t="s">
        <v>76</v>
      </c>
      <c r="G23" s="257"/>
      <c r="H23" s="10"/>
      <c r="I23" s="11"/>
      <c r="J23" s="11"/>
      <c r="K23" s="11"/>
      <c r="L23" s="11"/>
      <c r="M23" s="11"/>
      <c r="N23" s="11"/>
      <c r="O23" s="12"/>
      <c r="P23" s="11"/>
      <c r="Q23" s="13"/>
      <c r="R23" s="14"/>
    </row>
    <row r="24" spans="1:18" ht="15" customHeight="1" thickBot="1" x14ac:dyDescent="0.35">
      <c r="A24" s="21" t="s">
        <v>78</v>
      </c>
      <c r="B24" s="21" t="s">
        <v>79</v>
      </c>
      <c r="C24" s="22">
        <v>0.38194444444444442</v>
      </c>
      <c r="D24" s="21" t="s">
        <v>80</v>
      </c>
      <c r="E24" s="23"/>
      <c r="F24" s="21" t="s">
        <v>81</v>
      </c>
      <c r="G24" s="258"/>
      <c r="H24" s="24" t="s">
        <v>79</v>
      </c>
      <c r="I24" s="25">
        <v>0.97870000000000001</v>
      </c>
      <c r="J24" s="26">
        <v>184</v>
      </c>
      <c r="K24" s="27">
        <v>45978</v>
      </c>
      <c r="L24" s="26">
        <v>39</v>
      </c>
      <c r="M24" s="26">
        <v>0</v>
      </c>
      <c r="N24" s="26">
        <v>0</v>
      </c>
      <c r="O24" s="28" t="s">
        <v>82</v>
      </c>
      <c r="P24" s="29">
        <v>0.38194444444444442</v>
      </c>
      <c r="Q24" s="26">
        <v>188</v>
      </c>
      <c r="R24" s="30" t="s">
        <v>83</v>
      </c>
    </row>
    <row r="25" spans="1:18" ht="17.399999999999999" customHeight="1" thickBot="1" x14ac:dyDescent="0.35">
      <c r="A25" s="285"/>
      <c r="B25" s="286"/>
      <c r="C25" s="286"/>
      <c r="D25" s="286"/>
      <c r="E25" s="286"/>
      <c r="F25" s="286"/>
      <c r="G25" s="286"/>
      <c r="H25" s="286"/>
      <c r="I25" s="286"/>
      <c r="J25" s="286"/>
      <c r="K25" s="286"/>
      <c r="L25" s="286"/>
      <c r="M25" s="286"/>
      <c r="N25" s="286"/>
      <c r="O25" s="286"/>
      <c r="P25" s="286"/>
      <c r="Q25" s="286"/>
      <c r="R25" s="287"/>
    </row>
    <row r="26" spans="1:18" ht="22.05" customHeight="1" thickTop="1" thickBot="1" x14ac:dyDescent="0.35">
      <c r="A26" s="259" t="s">
        <v>6</v>
      </c>
      <c r="B26" s="254"/>
      <c r="C26" s="254"/>
      <c r="D26" s="254"/>
      <c r="E26" s="254"/>
      <c r="F26" s="255"/>
      <c r="G26" s="31">
        <v>45982</v>
      </c>
      <c r="H26" s="253" t="s">
        <v>7</v>
      </c>
      <c r="I26" s="254"/>
      <c r="J26" s="254"/>
      <c r="K26" s="254"/>
      <c r="L26" s="254"/>
      <c r="M26" s="254"/>
      <c r="N26" s="254"/>
      <c r="O26" s="254"/>
      <c r="P26" s="254"/>
      <c r="Q26" s="254"/>
      <c r="R26" s="255"/>
    </row>
    <row r="27" spans="1:18" ht="24" customHeight="1" x14ac:dyDescent="0.3">
      <c r="A27" s="32" t="s">
        <v>8</v>
      </c>
      <c r="B27" s="32" t="s">
        <v>9</v>
      </c>
      <c r="C27" s="33" t="s">
        <v>10</v>
      </c>
      <c r="D27" s="32" t="s">
        <v>11</v>
      </c>
      <c r="E27" s="32" t="s">
        <v>12</v>
      </c>
      <c r="F27" s="34" t="s">
        <v>13</v>
      </c>
      <c r="G27" s="35" t="s">
        <v>14</v>
      </c>
      <c r="H27" s="32" t="s">
        <v>15</v>
      </c>
      <c r="I27" s="36" t="s">
        <v>16</v>
      </c>
      <c r="J27" s="37" t="s">
        <v>17</v>
      </c>
      <c r="K27" s="38" t="s">
        <v>18</v>
      </c>
      <c r="L27" s="37" t="s">
        <v>19</v>
      </c>
      <c r="M27" s="37" t="s">
        <v>20</v>
      </c>
      <c r="N27" s="37" t="s">
        <v>21</v>
      </c>
      <c r="O27" s="32" t="s">
        <v>22</v>
      </c>
      <c r="P27" s="33" t="s">
        <v>23</v>
      </c>
      <c r="Q27" s="37" t="s">
        <v>24</v>
      </c>
      <c r="R27" s="32" t="s">
        <v>25</v>
      </c>
    </row>
    <row r="28" spans="1:18" ht="15" customHeight="1" x14ac:dyDescent="0.3">
      <c r="A28" s="8" t="s">
        <v>42</v>
      </c>
      <c r="B28" s="8" t="s">
        <v>43</v>
      </c>
      <c r="C28" s="9">
        <v>0.22916666666666671</v>
      </c>
      <c r="D28" s="8" t="s">
        <v>44</v>
      </c>
      <c r="E28" s="8" t="s">
        <v>45</v>
      </c>
      <c r="F28" s="8" t="s">
        <v>46</v>
      </c>
      <c r="G28" s="256"/>
      <c r="H28" s="10"/>
      <c r="I28" s="11"/>
      <c r="J28" s="11"/>
      <c r="K28" s="11"/>
      <c r="L28" s="11"/>
      <c r="M28" s="11"/>
      <c r="N28" s="11"/>
      <c r="O28" s="12"/>
      <c r="P28" s="11"/>
      <c r="Q28" s="13"/>
      <c r="R28" s="14"/>
    </row>
    <row r="29" spans="1:18" ht="15" customHeight="1" x14ac:dyDescent="0.3">
      <c r="A29" s="15" t="s">
        <v>42</v>
      </c>
      <c r="B29" s="15" t="s">
        <v>43</v>
      </c>
      <c r="C29" s="16">
        <v>0.22916666666666671</v>
      </c>
      <c r="D29" s="15" t="s">
        <v>47</v>
      </c>
      <c r="E29" s="15" t="s">
        <v>48</v>
      </c>
      <c r="F29" s="15" t="s">
        <v>35</v>
      </c>
      <c r="G29" s="257"/>
      <c r="H29" s="10"/>
      <c r="I29" s="11"/>
      <c r="J29" s="11"/>
      <c r="K29" s="11"/>
      <c r="L29" s="11"/>
      <c r="M29" s="11"/>
      <c r="N29" s="11"/>
      <c r="O29" s="12"/>
      <c r="P29" s="11"/>
      <c r="Q29" s="13"/>
      <c r="R29" s="14"/>
    </row>
    <row r="30" spans="1:18" ht="15" customHeight="1" x14ac:dyDescent="0.3">
      <c r="A30" s="15" t="s">
        <v>42</v>
      </c>
      <c r="B30" s="15" t="s">
        <v>43</v>
      </c>
      <c r="C30" s="16">
        <v>0.22916666666666671</v>
      </c>
      <c r="D30" s="15" t="s">
        <v>49</v>
      </c>
      <c r="E30" s="15" t="s">
        <v>48</v>
      </c>
      <c r="F30" s="15" t="s">
        <v>50</v>
      </c>
      <c r="G30" s="257"/>
      <c r="H30" s="10"/>
      <c r="I30" s="11"/>
      <c r="J30" s="11"/>
      <c r="K30" s="11"/>
      <c r="L30" s="11"/>
      <c r="M30" s="11"/>
      <c r="N30" s="11"/>
      <c r="O30" s="12"/>
      <c r="P30" s="11"/>
      <c r="Q30" s="13"/>
      <c r="R30" s="14"/>
    </row>
    <row r="31" spans="1:18" ht="15" customHeight="1" x14ac:dyDescent="0.3">
      <c r="A31" s="19" t="s">
        <v>26</v>
      </c>
      <c r="B31" s="19" t="s">
        <v>36</v>
      </c>
      <c r="C31" s="20">
        <v>0.60763888888888895</v>
      </c>
      <c r="D31" s="19" t="s">
        <v>28</v>
      </c>
      <c r="E31" s="19" t="s">
        <v>84</v>
      </c>
      <c r="F31" s="19" t="s">
        <v>38</v>
      </c>
      <c r="G31" s="257"/>
      <c r="H31" s="10"/>
      <c r="I31" s="11"/>
      <c r="J31" s="11"/>
      <c r="K31" s="11"/>
      <c r="L31" s="11"/>
      <c r="M31" s="11"/>
      <c r="N31" s="11"/>
      <c r="O31" s="12"/>
      <c r="P31" s="11"/>
      <c r="Q31" s="13"/>
      <c r="R31" s="14"/>
    </row>
    <row r="32" spans="1:18" ht="15" customHeight="1" x14ac:dyDescent="0.3">
      <c r="A32" s="15" t="s">
        <v>26</v>
      </c>
      <c r="B32" s="15" t="s">
        <v>36</v>
      </c>
      <c r="C32" s="16">
        <v>0.60763888888888895</v>
      </c>
      <c r="D32" s="15" t="s">
        <v>31</v>
      </c>
      <c r="E32" s="15" t="s">
        <v>39</v>
      </c>
      <c r="F32" s="15" t="s">
        <v>40</v>
      </c>
      <c r="G32" s="257"/>
      <c r="H32" s="10"/>
      <c r="I32" s="11"/>
      <c r="J32" s="11"/>
      <c r="K32" s="11"/>
      <c r="L32" s="11"/>
      <c r="M32" s="11"/>
      <c r="N32" s="11"/>
      <c r="O32" s="12"/>
      <c r="P32" s="11"/>
      <c r="Q32" s="13"/>
      <c r="R32" s="14"/>
    </row>
    <row r="33" spans="1:18" ht="15" customHeight="1" x14ac:dyDescent="0.3">
      <c r="A33" s="15" t="s">
        <v>26</v>
      </c>
      <c r="B33" s="15" t="s">
        <v>36</v>
      </c>
      <c r="C33" s="16">
        <v>0.60763888888888895</v>
      </c>
      <c r="D33" s="15" t="s">
        <v>34</v>
      </c>
      <c r="E33" s="15" t="s">
        <v>39</v>
      </c>
      <c r="F33" s="15" t="s">
        <v>41</v>
      </c>
      <c r="G33" s="257"/>
      <c r="H33" s="10"/>
      <c r="I33" s="11"/>
      <c r="J33" s="11"/>
      <c r="K33" s="11"/>
      <c r="L33" s="11"/>
      <c r="M33" s="11"/>
      <c r="N33" s="11"/>
      <c r="O33" s="12"/>
      <c r="P33" s="11"/>
      <c r="Q33" s="13"/>
      <c r="R33" s="14"/>
    </row>
    <row r="34" spans="1:18" ht="15" customHeight="1" x14ac:dyDescent="0.3">
      <c r="A34" s="19" t="s">
        <v>67</v>
      </c>
      <c r="B34" s="19" t="s">
        <v>71</v>
      </c>
      <c r="C34" s="20">
        <v>0.94097222222222221</v>
      </c>
      <c r="D34" s="19" t="s">
        <v>69</v>
      </c>
      <c r="E34" s="19" t="s">
        <v>54</v>
      </c>
      <c r="F34" s="19" t="s">
        <v>85</v>
      </c>
      <c r="G34" s="257"/>
      <c r="H34" s="10"/>
      <c r="I34" s="11"/>
      <c r="J34" s="11"/>
      <c r="K34" s="11"/>
      <c r="L34" s="11"/>
      <c r="M34" s="11"/>
      <c r="N34" s="11"/>
      <c r="O34" s="12"/>
      <c r="P34" s="11"/>
      <c r="Q34" s="13"/>
      <c r="R34" s="14"/>
    </row>
    <row r="35" spans="1:18" ht="15" customHeight="1" x14ac:dyDescent="0.3">
      <c r="A35" s="17" t="s">
        <v>67</v>
      </c>
      <c r="B35" s="17" t="s">
        <v>86</v>
      </c>
      <c r="C35" s="18">
        <v>0.69791666666666663</v>
      </c>
      <c r="D35" s="17" t="s">
        <v>69</v>
      </c>
      <c r="E35" s="17" t="s">
        <v>72</v>
      </c>
      <c r="F35" s="17" t="s">
        <v>87</v>
      </c>
      <c r="G35" s="257"/>
      <c r="H35" s="10"/>
      <c r="I35" s="11"/>
      <c r="J35" s="11"/>
      <c r="K35" s="11"/>
      <c r="L35" s="11"/>
      <c r="M35" s="11"/>
      <c r="N35" s="11"/>
      <c r="O35" s="12"/>
      <c r="P35" s="11"/>
      <c r="Q35" s="13"/>
      <c r="R35" s="14"/>
    </row>
    <row r="36" spans="1:18" ht="15" customHeight="1" x14ac:dyDescent="0.3">
      <c r="A36" s="17" t="s">
        <v>67</v>
      </c>
      <c r="B36" s="17" t="s">
        <v>74</v>
      </c>
      <c r="C36" s="18">
        <v>0.28819444444444448</v>
      </c>
      <c r="D36" s="17" t="s">
        <v>69</v>
      </c>
      <c r="E36" s="17" t="s">
        <v>72</v>
      </c>
      <c r="F36" s="17" t="s">
        <v>70</v>
      </c>
      <c r="G36" s="257"/>
      <c r="H36" s="10"/>
      <c r="I36" s="11"/>
      <c r="J36" s="11"/>
      <c r="K36" s="11"/>
      <c r="L36" s="11"/>
      <c r="M36" s="11"/>
      <c r="N36" s="11"/>
      <c r="O36" s="12"/>
      <c r="P36" s="11"/>
      <c r="Q36" s="13"/>
      <c r="R36" s="14"/>
    </row>
    <row r="37" spans="1:18" ht="15" customHeight="1" x14ac:dyDescent="0.3">
      <c r="A37" s="17" t="s">
        <v>67</v>
      </c>
      <c r="B37" s="17" t="s">
        <v>68</v>
      </c>
      <c r="C37" s="18">
        <v>6.5972222222222224E-2</v>
      </c>
      <c r="D37" s="17" t="s">
        <v>69</v>
      </c>
      <c r="E37" s="17" t="s">
        <v>72</v>
      </c>
      <c r="F37" s="17" t="s">
        <v>73</v>
      </c>
      <c r="G37" s="257"/>
      <c r="H37" s="10"/>
      <c r="I37" s="11"/>
      <c r="J37" s="11"/>
      <c r="K37" s="11"/>
      <c r="L37" s="11"/>
      <c r="M37" s="11"/>
      <c r="N37" s="11"/>
      <c r="O37" s="12"/>
      <c r="P37" s="11"/>
      <c r="Q37" s="13"/>
      <c r="R37" s="14"/>
    </row>
    <row r="38" spans="1:18" ht="15" customHeight="1" x14ac:dyDescent="0.3">
      <c r="A38" s="17" t="s">
        <v>67</v>
      </c>
      <c r="B38" s="17" t="s">
        <v>77</v>
      </c>
      <c r="C38" s="18">
        <v>0.33680555555555558</v>
      </c>
      <c r="D38" s="17" t="s">
        <v>69</v>
      </c>
      <c r="E38" s="17" t="s">
        <v>72</v>
      </c>
      <c r="F38" s="17" t="s">
        <v>73</v>
      </c>
      <c r="G38" s="257"/>
      <c r="H38" s="10"/>
      <c r="I38" s="11"/>
      <c r="J38" s="11"/>
      <c r="K38" s="11"/>
      <c r="L38" s="11"/>
      <c r="M38" s="11"/>
      <c r="N38" s="11"/>
      <c r="O38" s="12"/>
      <c r="P38" s="11"/>
      <c r="Q38" s="13"/>
      <c r="R38" s="14"/>
    </row>
    <row r="39" spans="1:18" ht="15" customHeight="1" x14ac:dyDescent="0.3">
      <c r="A39" s="19" t="s">
        <v>51</v>
      </c>
      <c r="B39" s="19" t="s">
        <v>64</v>
      </c>
      <c r="C39" s="20">
        <v>0.89583333333333337</v>
      </c>
      <c r="D39" s="19" t="s">
        <v>53</v>
      </c>
      <c r="E39" s="19" t="s">
        <v>54</v>
      </c>
      <c r="F39" s="19" t="s">
        <v>55</v>
      </c>
      <c r="G39" s="257"/>
      <c r="H39" s="10"/>
      <c r="I39" s="11"/>
      <c r="J39" s="11"/>
      <c r="K39" s="11"/>
      <c r="L39" s="11"/>
      <c r="M39" s="11"/>
      <c r="N39" s="11"/>
      <c r="O39" s="12"/>
      <c r="P39" s="11"/>
      <c r="Q39" s="13"/>
      <c r="R39" s="14"/>
    </row>
    <row r="40" spans="1:18" ht="15" customHeight="1" x14ac:dyDescent="0.3">
      <c r="A40" s="15" t="s">
        <v>51</v>
      </c>
      <c r="B40" s="15" t="s">
        <v>64</v>
      </c>
      <c r="C40" s="16">
        <v>0.89583333333333337</v>
      </c>
      <c r="D40" s="15" t="s">
        <v>56</v>
      </c>
      <c r="E40" s="15" t="s">
        <v>57</v>
      </c>
      <c r="F40" s="15" t="s">
        <v>58</v>
      </c>
      <c r="G40" s="257"/>
      <c r="H40" s="10"/>
      <c r="I40" s="11"/>
      <c r="J40" s="11"/>
      <c r="K40" s="11"/>
      <c r="L40" s="11"/>
      <c r="M40" s="11"/>
      <c r="N40" s="11"/>
      <c r="O40" s="12"/>
      <c r="P40" s="11"/>
      <c r="Q40" s="13"/>
      <c r="R40" s="14"/>
    </row>
    <row r="41" spans="1:18" ht="15" customHeight="1" x14ac:dyDescent="0.3">
      <c r="A41" s="17" t="s">
        <v>51</v>
      </c>
      <c r="B41" s="17" t="s">
        <v>52</v>
      </c>
      <c r="C41" s="18">
        <v>0.18402777777777779</v>
      </c>
      <c r="D41" s="17" t="s">
        <v>56</v>
      </c>
      <c r="E41" s="17" t="s">
        <v>72</v>
      </c>
      <c r="F41" s="17" t="s">
        <v>60</v>
      </c>
      <c r="G41" s="257"/>
      <c r="H41" s="10"/>
      <c r="I41" s="11"/>
      <c r="J41" s="11"/>
      <c r="K41" s="11"/>
      <c r="L41" s="11"/>
      <c r="M41" s="11"/>
      <c r="N41" s="11"/>
      <c r="O41" s="12"/>
      <c r="P41" s="11"/>
      <c r="Q41" s="13"/>
      <c r="R41" s="14"/>
    </row>
    <row r="42" spans="1:18" ht="15" customHeight="1" x14ac:dyDescent="0.3">
      <c r="A42" s="17" t="s">
        <v>51</v>
      </c>
      <c r="B42" s="17" t="s">
        <v>59</v>
      </c>
      <c r="C42" s="18">
        <v>0.35069444444444442</v>
      </c>
      <c r="D42" s="17" t="s">
        <v>56</v>
      </c>
      <c r="E42" s="17" t="s">
        <v>72</v>
      </c>
      <c r="F42" s="17" t="s">
        <v>60</v>
      </c>
      <c r="G42" s="257"/>
      <c r="H42" s="10"/>
      <c r="I42" s="11"/>
      <c r="J42" s="11"/>
      <c r="K42" s="11"/>
      <c r="L42" s="11"/>
      <c r="M42" s="11"/>
      <c r="N42" s="11"/>
      <c r="O42" s="12"/>
      <c r="P42" s="11"/>
      <c r="Q42" s="13"/>
      <c r="R42" s="14"/>
    </row>
    <row r="43" spans="1:18" ht="15" customHeight="1" thickBot="1" x14ac:dyDescent="0.35">
      <c r="A43" s="39" t="s">
        <v>51</v>
      </c>
      <c r="B43" s="39" t="s">
        <v>61</v>
      </c>
      <c r="C43" s="40">
        <v>0.22916666666666671</v>
      </c>
      <c r="D43" s="39" t="s">
        <v>56</v>
      </c>
      <c r="E43" s="39" t="s">
        <v>62</v>
      </c>
      <c r="F43" s="39" t="s">
        <v>63</v>
      </c>
      <c r="G43" s="258"/>
      <c r="H43" s="41"/>
      <c r="I43" s="42"/>
      <c r="J43" s="42"/>
      <c r="K43" s="42"/>
      <c r="L43" s="42"/>
      <c r="M43" s="42"/>
      <c r="N43" s="42"/>
      <c r="O43" s="43"/>
      <c r="P43" s="42"/>
      <c r="Q43" s="44"/>
      <c r="R43" s="45"/>
    </row>
    <row r="44" spans="1:18" ht="17.399999999999999" customHeight="1" thickBot="1" x14ac:dyDescent="0.35">
      <c r="A44" s="285"/>
      <c r="B44" s="286"/>
      <c r="C44" s="286"/>
      <c r="D44" s="286"/>
      <c r="E44" s="286"/>
      <c r="F44" s="286"/>
      <c r="G44" s="286"/>
      <c r="H44" s="286"/>
      <c r="I44" s="286"/>
      <c r="J44" s="286"/>
      <c r="K44" s="286"/>
      <c r="L44" s="286"/>
      <c r="M44" s="286"/>
      <c r="N44" s="286"/>
      <c r="O44" s="286"/>
      <c r="P44" s="286"/>
      <c r="Q44" s="286"/>
      <c r="R44" s="287"/>
    </row>
    <row r="45" spans="1:18" ht="22.05" customHeight="1" thickTop="1" thickBot="1" x14ac:dyDescent="0.35">
      <c r="A45" s="259" t="s">
        <v>6</v>
      </c>
      <c r="B45" s="254"/>
      <c r="C45" s="254"/>
      <c r="D45" s="254"/>
      <c r="E45" s="254"/>
      <c r="F45" s="255"/>
      <c r="G45" s="31">
        <v>45983</v>
      </c>
      <c r="H45" s="253" t="s">
        <v>7</v>
      </c>
      <c r="I45" s="254"/>
      <c r="J45" s="254"/>
      <c r="K45" s="254"/>
      <c r="L45" s="254"/>
      <c r="M45" s="254"/>
      <c r="N45" s="254"/>
      <c r="O45" s="254"/>
      <c r="P45" s="254"/>
      <c r="Q45" s="254"/>
      <c r="R45" s="255"/>
    </row>
    <row r="46" spans="1:18" ht="24" customHeight="1" x14ac:dyDescent="0.3">
      <c r="A46" s="32" t="s">
        <v>8</v>
      </c>
      <c r="B46" s="32" t="s">
        <v>9</v>
      </c>
      <c r="C46" s="33" t="s">
        <v>10</v>
      </c>
      <c r="D46" s="32" t="s">
        <v>11</v>
      </c>
      <c r="E46" s="32" t="s">
        <v>12</v>
      </c>
      <c r="F46" s="34" t="s">
        <v>13</v>
      </c>
      <c r="G46" s="35" t="s">
        <v>14</v>
      </c>
      <c r="H46" s="32" t="s">
        <v>15</v>
      </c>
      <c r="I46" s="36" t="s">
        <v>16</v>
      </c>
      <c r="J46" s="37" t="s">
        <v>17</v>
      </c>
      <c r="K46" s="38" t="s">
        <v>18</v>
      </c>
      <c r="L46" s="37" t="s">
        <v>19</v>
      </c>
      <c r="M46" s="37" t="s">
        <v>20</v>
      </c>
      <c r="N46" s="37" t="s">
        <v>21</v>
      </c>
      <c r="O46" s="32" t="s">
        <v>22</v>
      </c>
      <c r="P46" s="33" t="s">
        <v>23</v>
      </c>
      <c r="Q46" s="37" t="s">
        <v>24</v>
      </c>
      <c r="R46" s="32" t="s">
        <v>25</v>
      </c>
    </row>
    <row r="47" spans="1:18" ht="15" customHeight="1" x14ac:dyDescent="0.3">
      <c r="A47" s="8" t="s">
        <v>42</v>
      </c>
      <c r="B47" s="8" t="s">
        <v>43</v>
      </c>
      <c r="C47" s="9">
        <v>0.22916666666666671</v>
      </c>
      <c r="D47" s="8" t="s">
        <v>44</v>
      </c>
      <c r="E47" s="8" t="s">
        <v>88</v>
      </c>
      <c r="F47" s="8" t="s">
        <v>89</v>
      </c>
      <c r="G47" s="256"/>
      <c r="H47" s="10"/>
      <c r="I47" s="11"/>
      <c r="J47" s="11"/>
      <c r="K47" s="11"/>
      <c r="L47" s="11"/>
      <c r="M47" s="11"/>
      <c r="N47" s="11"/>
      <c r="O47" s="12"/>
      <c r="P47" s="11"/>
      <c r="Q47" s="13"/>
      <c r="R47" s="14"/>
    </row>
    <row r="48" spans="1:18" ht="15" customHeight="1" x14ac:dyDescent="0.3">
      <c r="A48" s="15" t="s">
        <v>42</v>
      </c>
      <c r="B48" s="15" t="s">
        <v>43</v>
      </c>
      <c r="C48" s="16">
        <v>0.22916666666666671</v>
      </c>
      <c r="D48" s="15" t="s">
        <v>47</v>
      </c>
      <c r="E48" s="15" t="s">
        <v>90</v>
      </c>
      <c r="F48" s="15" t="s">
        <v>91</v>
      </c>
      <c r="G48" s="257"/>
      <c r="H48" s="10"/>
      <c r="I48" s="11"/>
      <c r="J48" s="11"/>
      <c r="K48" s="11"/>
      <c r="L48" s="11"/>
      <c r="M48" s="11"/>
      <c r="N48" s="11"/>
      <c r="O48" s="12"/>
      <c r="P48" s="11"/>
      <c r="Q48" s="13"/>
      <c r="R48" s="14"/>
    </row>
    <row r="49" spans="1:18" ht="15" customHeight="1" x14ac:dyDescent="0.3">
      <c r="A49" s="15" t="s">
        <v>42</v>
      </c>
      <c r="B49" s="15" t="s">
        <v>43</v>
      </c>
      <c r="C49" s="16">
        <v>0.22916666666666671</v>
      </c>
      <c r="D49" s="15" t="s">
        <v>49</v>
      </c>
      <c r="E49" s="15" t="s">
        <v>90</v>
      </c>
      <c r="F49" s="15" t="s">
        <v>50</v>
      </c>
      <c r="G49" s="257"/>
      <c r="H49" s="10"/>
      <c r="I49" s="11"/>
      <c r="J49" s="11"/>
      <c r="K49" s="11"/>
      <c r="L49" s="11"/>
      <c r="M49" s="11"/>
      <c r="N49" s="11"/>
      <c r="O49" s="12"/>
      <c r="P49" s="11"/>
      <c r="Q49" s="13"/>
      <c r="R49" s="14"/>
    </row>
    <row r="50" spans="1:18" ht="15" customHeight="1" x14ac:dyDescent="0.3">
      <c r="A50" s="19" t="s">
        <v>26</v>
      </c>
      <c r="B50" s="19" t="s">
        <v>27</v>
      </c>
      <c r="C50" s="20">
        <v>0.43402777777777768</v>
      </c>
      <c r="D50" s="19" t="s">
        <v>28</v>
      </c>
      <c r="E50" s="19" t="s">
        <v>92</v>
      </c>
      <c r="F50" s="19" t="s">
        <v>38</v>
      </c>
      <c r="G50" s="257"/>
      <c r="H50" s="10"/>
      <c r="I50" s="11"/>
      <c r="J50" s="11"/>
      <c r="K50" s="11"/>
      <c r="L50" s="11"/>
      <c r="M50" s="11"/>
      <c r="N50" s="11"/>
      <c r="O50" s="12"/>
      <c r="P50" s="11"/>
      <c r="Q50" s="13"/>
      <c r="R50" s="14"/>
    </row>
    <row r="51" spans="1:18" ht="15" customHeight="1" x14ac:dyDescent="0.3">
      <c r="A51" s="15" t="s">
        <v>26</v>
      </c>
      <c r="B51" s="15" t="s">
        <v>27</v>
      </c>
      <c r="C51" s="16">
        <v>0.43402777777777768</v>
      </c>
      <c r="D51" s="15" t="s">
        <v>31</v>
      </c>
      <c r="E51" s="15" t="s">
        <v>93</v>
      </c>
      <c r="F51" s="15" t="s">
        <v>40</v>
      </c>
      <c r="G51" s="257"/>
      <c r="H51" s="10"/>
      <c r="I51" s="11"/>
      <c r="J51" s="11"/>
      <c r="K51" s="11"/>
      <c r="L51" s="11"/>
      <c r="M51" s="11"/>
      <c r="N51" s="11"/>
      <c r="O51" s="12"/>
      <c r="P51" s="11"/>
      <c r="Q51" s="13"/>
      <c r="R51" s="14"/>
    </row>
    <row r="52" spans="1:18" ht="15" customHeight="1" x14ac:dyDescent="0.3">
      <c r="A52" s="15" t="s">
        <v>26</v>
      </c>
      <c r="B52" s="15" t="s">
        <v>27</v>
      </c>
      <c r="C52" s="16">
        <v>0.43402777777777768</v>
      </c>
      <c r="D52" s="15" t="s">
        <v>34</v>
      </c>
      <c r="E52" s="15" t="s">
        <v>93</v>
      </c>
      <c r="F52" s="15" t="s">
        <v>41</v>
      </c>
      <c r="G52" s="257"/>
      <c r="H52" s="10"/>
      <c r="I52" s="11"/>
      <c r="J52" s="11"/>
      <c r="K52" s="11"/>
      <c r="L52" s="11"/>
      <c r="M52" s="11"/>
      <c r="N52" s="11"/>
      <c r="O52" s="12"/>
      <c r="P52" s="11"/>
      <c r="Q52" s="13"/>
      <c r="R52" s="14"/>
    </row>
    <row r="53" spans="1:18" ht="15" customHeight="1" x14ac:dyDescent="0.3">
      <c r="A53" s="17" t="s">
        <v>26</v>
      </c>
      <c r="B53" s="17" t="s">
        <v>36</v>
      </c>
      <c r="C53" s="18">
        <v>0.60763888888888895</v>
      </c>
      <c r="D53" s="17" t="s">
        <v>28</v>
      </c>
      <c r="E53" s="17" t="s">
        <v>94</v>
      </c>
      <c r="F53" s="17" t="s">
        <v>38</v>
      </c>
      <c r="G53" s="257"/>
      <c r="H53" s="10"/>
      <c r="I53" s="11"/>
      <c r="J53" s="11"/>
      <c r="K53" s="11"/>
      <c r="L53" s="11"/>
      <c r="M53" s="11"/>
      <c r="N53" s="11"/>
      <c r="O53" s="12"/>
      <c r="P53" s="11"/>
      <c r="Q53" s="13"/>
      <c r="R53" s="14"/>
    </row>
    <row r="54" spans="1:18" ht="15" customHeight="1" x14ac:dyDescent="0.3">
      <c r="A54" s="15" t="s">
        <v>26</v>
      </c>
      <c r="B54" s="15" t="s">
        <v>36</v>
      </c>
      <c r="C54" s="16">
        <v>0.60763888888888895</v>
      </c>
      <c r="D54" s="15" t="s">
        <v>31</v>
      </c>
      <c r="E54" s="15" t="s">
        <v>95</v>
      </c>
      <c r="F54" s="15" t="s">
        <v>40</v>
      </c>
      <c r="G54" s="257"/>
      <c r="H54" s="10"/>
      <c r="I54" s="11"/>
      <c r="J54" s="11"/>
      <c r="K54" s="11"/>
      <c r="L54" s="11"/>
      <c r="M54" s="11"/>
      <c r="N54" s="11"/>
      <c r="O54" s="12"/>
      <c r="P54" s="11"/>
      <c r="Q54" s="13"/>
      <c r="R54" s="14"/>
    </row>
    <row r="55" spans="1:18" ht="15" customHeight="1" x14ac:dyDescent="0.3">
      <c r="A55" s="15" t="s">
        <v>26</v>
      </c>
      <c r="B55" s="15" t="s">
        <v>36</v>
      </c>
      <c r="C55" s="16">
        <v>0.60763888888888895</v>
      </c>
      <c r="D55" s="15" t="s">
        <v>34</v>
      </c>
      <c r="E55" s="15" t="s">
        <v>95</v>
      </c>
      <c r="F55" s="15" t="s">
        <v>41</v>
      </c>
      <c r="G55" s="257"/>
      <c r="H55" s="10"/>
      <c r="I55" s="11"/>
      <c r="J55" s="11"/>
      <c r="K55" s="11"/>
      <c r="L55" s="11"/>
      <c r="M55" s="11"/>
      <c r="N55" s="11"/>
      <c r="O55" s="12"/>
      <c r="P55" s="11"/>
      <c r="Q55" s="13"/>
      <c r="R55" s="14"/>
    </row>
    <row r="56" spans="1:18" ht="15" customHeight="1" x14ac:dyDescent="0.3">
      <c r="A56" s="19" t="s">
        <v>67</v>
      </c>
      <c r="B56" s="19" t="s">
        <v>71</v>
      </c>
      <c r="C56" s="20">
        <v>0.94791666666666663</v>
      </c>
      <c r="D56" s="19" t="s">
        <v>69</v>
      </c>
      <c r="E56" s="19" t="s">
        <v>54</v>
      </c>
      <c r="F56" s="19" t="s">
        <v>85</v>
      </c>
      <c r="G56" s="257"/>
      <c r="H56" s="10"/>
      <c r="I56" s="11"/>
      <c r="J56" s="11"/>
      <c r="K56" s="11"/>
      <c r="L56" s="11"/>
      <c r="M56" s="11"/>
      <c r="N56" s="11"/>
      <c r="O56" s="12"/>
      <c r="P56" s="11"/>
      <c r="Q56" s="13"/>
      <c r="R56" s="14"/>
    </row>
    <row r="57" spans="1:18" ht="15" customHeight="1" x14ac:dyDescent="0.3">
      <c r="A57" s="17" t="s">
        <v>67</v>
      </c>
      <c r="B57" s="17" t="s">
        <v>68</v>
      </c>
      <c r="C57" s="18">
        <v>6.5972222222222224E-2</v>
      </c>
      <c r="D57" s="17" t="s">
        <v>69</v>
      </c>
      <c r="E57" s="17" t="s">
        <v>72</v>
      </c>
      <c r="F57" s="17" t="s">
        <v>85</v>
      </c>
      <c r="G57" s="257"/>
      <c r="H57" s="10"/>
      <c r="I57" s="11"/>
      <c r="J57" s="11"/>
      <c r="K57" s="11"/>
      <c r="L57" s="11"/>
      <c r="M57" s="11"/>
      <c r="N57" s="11"/>
      <c r="O57" s="12"/>
      <c r="P57" s="11"/>
      <c r="Q57" s="13"/>
      <c r="R57" s="14"/>
    </row>
    <row r="58" spans="1:18" ht="15" customHeight="1" x14ac:dyDescent="0.3">
      <c r="A58" s="17" t="s">
        <v>67</v>
      </c>
      <c r="B58" s="17" t="s">
        <v>77</v>
      </c>
      <c r="C58" s="18">
        <v>0.33680555555555558</v>
      </c>
      <c r="D58" s="17" t="s">
        <v>69</v>
      </c>
      <c r="E58" s="17" t="s">
        <v>72</v>
      </c>
      <c r="F58" s="17" t="s">
        <v>85</v>
      </c>
      <c r="G58" s="257"/>
      <c r="H58" s="10"/>
      <c r="I58" s="11"/>
      <c r="J58" s="11"/>
      <c r="K58" s="11"/>
      <c r="L58" s="11"/>
      <c r="M58" s="11"/>
      <c r="N58" s="11"/>
      <c r="O58" s="12"/>
      <c r="P58" s="11"/>
      <c r="Q58" s="13"/>
      <c r="R58" s="14"/>
    </row>
    <row r="59" spans="1:18" ht="15" customHeight="1" x14ac:dyDescent="0.3">
      <c r="A59" s="17" t="s">
        <v>67</v>
      </c>
      <c r="B59" s="17" t="s">
        <v>86</v>
      </c>
      <c r="C59" s="18">
        <v>0.6875</v>
      </c>
      <c r="D59" s="17" t="s">
        <v>69</v>
      </c>
      <c r="E59" s="17" t="s">
        <v>72</v>
      </c>
      <c r="F59" s="17" t="s">
        <v>87</v>
      </c>
      <c r="G59" s="257"/>
      <c r="H59" s="10"/>
      <c r="I59" s="11"/>
      <c r="J59" s="11"/>
      <c r="K59" s="11"/>
      <c r="L59" s="11"/>
      <c r="M59" s="11"/>
      <c r="N59" s="11"/>
      <c r="O59" s="12"/>
      <c r="P59" s="11"/>
      <c r="Q59" s="13"/>
      <c r="R59" s="14"/>
    </row>
    <row r="60" spans="1:18" ht="15" customHeight="1" x14ac:dyDescent="0.3">
      <c r="A60" s="17" t="s">
        <v>67</v>
      </c>
      <c r="B60" s="17" t="s">
        <v>74</v>
      </c>
      <c r="C60" s="18">
        <v>0.28819444444444448</v>
      </c>
      <c r="D60" s="17" t="s">
        <v>69</v>
      </c>
      <c r="E60" s="17" t="s">
        <v>72</v>
      </c>
      <c r="F60" s="17" t="s">
        <v>96</v>
      </c>
      <c r="G60" s="257"/>
      <c r="H60" s="10"/>
      <c r="I60" s="11"/>
      <c r="J60" s="11"/>
      <c r="K60" s="11"/>
      <c r="L60" s="11"/>
      <c r="M60" s="11"/>
      <c r="N60" s="11"/>
      <c r="O60" s="12"/>
      <c r="P60" s="11"/>
      <c r="Q60" s="13"/>
      <c r="R60" s="14"/>
    </row>
    <row r="61" spans="1:18" ht="15" customHeight="1" x14ac:dyDescent="0.3">
      <c r="A61" s="19" t="s">
        <v>51</v>
      </c>
      <c r="B61" s="19" t="s">
        <v>52</v>
      </c>
      <c r="C61" s="20">
        <v>0.18402777777777779</v>
      </c>
      <c r="D61" s="19" t="s">
        <v>53</v>
      </c>
      <c r="E61" s="19" t="s">
        <v>54</v>
      </c>
      <c r="F61" s="19" t="s">
        <v>55</v>
      </c>
      <c r="G61" s="257"/>
      <c r="H61" s="10"/>
      <c r="I61" s="11"/>
      <c r="J61" s="11"/>
      <c r="K61" s="11"/>
      <c r="L61" s="11"/>
      <c r="M61" s="11"/>
      <c r="N61" s="11"/>
      <c r="O61" s="12"/>
      <c r="P61" s="11"/>
      <c r="Q61" s="13"/>
      <c r="R61" s="14"/>
    </row>
    <row r="62" spans="1:18" ht="15" customHeight="1" x14ac:dyDescent="0.3">
      <c r="A62" s="15" t="s">
        <v>51</v>
      </c>
      <c r="B62" s="15" t="s">
        <v>52</v>
      </c>
      <c r="C62" s="16">
        <v>0.18402777777777779</v>
      </c>
      <c r="D62" s="15" t="s">
        <v>56</v>
      </c>
      <c r="E62" s="15" t="s">
        <v>57</v>
      </c>
      <c r="F62" s="15" t="s">
        <v>58</v>
      </c>
      <c r="G62" s="257"/>
      <c r="H62" s="10"/>
      <c r="I62" s="11"/>
      <c r="J62" s="11"/>
      <c r="K62" s="11"/>
      <c r="L62" s="11"/>
      <c r="M62" s="11"/>
      <c r="N62" s="11"/>
      <c r="O62" s="12"/>
      <c r="P62" s="11"/>
      <c r="Q62" s="13"/>
      <c r="R62" s="14"/>
    </row>
    <row r="63" spans="1:18" ht="15" customHeight="1" x14ac:dyDescent="0.3">
      <c r="A63" s="17" t="s">
        <v>51</v>
      </c>
      <c r="B63" s="17" t="s">
        <v>64</v>
      </c>
      <c r="C63" s="18">
        <v>0.89583333333333337</v>
      </c>
      <c r="D63" s="17" t="s">
        <v>56</v>
      </c>
      <c r="E63" s="17" t="s">
        <v>72</v>
      </c>
      <c r="F63" s="17" t="s">
        <v>60</v>
      </c>
      <c r="G63" s="257"/>
      <c r="H63" s="10"/>
      <c r="I63" s="11"/>
      <c r="J63" s="11"/>
      <c r="K63" s="11"/>
      <c r="L63" s="11"/>
      <c r="M63" s="11"/>
      <c r="N63" s="11"/>
      <c r="O63" s="12"/>
      <c r="P63" s="11"/>
      <c r="Q63" s="13"/>
      <c r="R63" s="14"/>
    </row>
    <row r="64" spans="1:18" ht="15" customHeight="1" x14ac:dyDescent="0.3">
      <c r="A64" s="17" t="s">
        <v>51</v>
      </c>
      <c r="B64" s="17" t="s">
        <v>59</v>
      </c>
      <c r="C64" s="18">
        <v>0.35416666666666669</v>
      </c>
      <c r="D64" s="17" t="s">
        <v>56</v>
      </c>
      <c r="E64" s="17" t="s">
        <v>72</v>
      </c>
      <c r="F64" s="17" t="s">
        <v>60</v>
      </c>
      <c r="G64" s="257"/>
      <c r="H64" s="10"/>
      <c r="I64" s="11"/>
      <c r="J64" s="11"/>
      <c r="K64" s="11"/>
      <c r="L64" s="11"/>
      <c r="M64" s="11"/>
      <c r="N64" s="11"/>
      <c r="O64" s="12"/>
      <c r="P64" s="11"/>
      <c r="Q64" s="13"/>
      <c r="R64" s="14"/>
    </row>
    <row r="65" spans="1:18" ht="15" customHeight="1" x14ac:dyDescent="0.3">
      <c r="A65" s="17" t="s">
        <v>51</v>
      </c>
      <c r="B65" s="17" t="s">
        <v>61</v>
      </c>
      <c r="C65" s="18">
        <v>0.22916666666666671</v>
      </c>
      <c r="D65" s="17" t="s">
        <v>56</v>
      </c>
      <c r="E65" s="17" t="s">
        <v>62</v>
      </c>
      <c r="F65" s="17" t="s">
        <v>63</v>
      </c>
      <c r="G65" s="257"/>
      <c r="H65" s="10"/>
      <c r="I65" s="11"/>
      <c r="J65" s="11"/>
      <c r="K65" s="11"/>
      <c r="L65" s="11"/>
      <c r="M65" s="11"/>
      <c r="N65" s="11"/>
      <c r="O65" s="12"/>
      <c r="P65" s="11"/>
      <c r="Q65" s="13"/>
      <c r="R65" s="14"/>
    </row>
    <row r="66" spans="1:18" ht="15" customHeight="1" x14ac:dyDescent="0.3">
      <c r="A66" s="46" t="s">
        <v>78</v>
      </c>
      <c r="B66" s="46" t="s">
        <v>97</v>
      </c>
      <c r="C66" s="47">
        <v>0.2361111111111111</v>
      </c>
      <c r="D66" s="46" t="s">
        <v>98</v>
      </c>
      <c r="E66" s="46" t="s">
        <v>99</v>
      </c>
      <c r="F66" s="46" t="s">
        <v>100</v>
      </c>
      <c r="G66" s="258"/>
      <c r="H66" s="48" t="s">
        <v>79</v>
      </c>
      <c r="I66" s="49">
        <v>0.98329999999999995</v>
      </c>
      <c r="J66" s="50">
        <v>177</v>
      </c>
      <c r="K66" s="51">
        <v>45980</v>
      </c>
      <c r="L66" s="50">
        <v>48</v>
      </c>
      <c r="M66" s="50">
        <v>2</v>
      </c>
      <c r="N66" s="50">
        <v>46</v>
      </c>
      <c r="O66" s="52" t="s">
        <v>101</v>
      </c>
      <c r="P66" s="53">
        <v>0.2361111111111111</v>
      </c>
      <c r="Q66" s="50">
        <v>180</v>
      </c>
      <c r="R66" s="54" t="s">
        <v>102</v>
      </c>
    </row>
  </sheetData>
  <mergeCells count="18">
    <mergeCell ref="A45:F45"/>
    <mergeCell ref="G47:G66"/>
    <mergeCell ref="H45:R45"/>
    <mergeCell ref="H1:L1"/>
    <mergeCell ref="A1:E1"/>
    <mergeCell ref="G2:J2"/>
    <mergeCell ref="K2:R2"/>
    <mergeCell ref="A4:F4"/>
    <mergeCell ref="G6:G24"/>
    <mergeCell ref="A26:F26"/>
    <mergeCell ref="A44:R44"/>
    <mergeCell ref="H4:R4"/>
    <mergeCell ref="N1:R1"/>
    <mergeCell ref="A2:F2"/>
    <mergeCell ref="A3:R3"/>
    <mergeCell ref="H26:R26"/>
    <mergeCell ref="G28:G43"/>
    <mergeCell ref="A25:R2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4"/>
  <sheetViews>
    <sheetView workbookViewId="0"/>
  </sheetViews>
  <sheetFormatPr defaultRowHeight="15.6" outlineLevelCol="1" x14ac:dyDescent="0.3"/>
  <cols>
    <col min="1" max="1" width="9.88671875" style="272" bestFit="1" customWidth="1"/>
    <col min="2" max="2" width="10.44140625" style="272" bestFit="1" customWidth="1"/>
    <col min="3" max="3" width="6.77734375" style="272" bestFit="1" customWidth="1"/>
    <col min="4" max="4" width="5.5546875" style="272" bestFit="1" customWidth="1"/>
    <col min="5" max="5" width="8.5546875" style="272" bestFit="1" customWidth="1"/>
    <col min="6" max="6" width="4.21875" style="272" bestFit="1" customWidth="1"/>
    <col min="7" max="7" width="10" style="272" bestFit="1" customWidth="1"/>
    <col min="8" max="10" width="7" style="272" bestFit="1" customWidth="1"/>
    <col min="11" max="11" width="10.5546875" style="272" bestFit="1" customWidth="1"/>
    <col min="12" max="12" width="9.10937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28" width="3.88671875" style="272" bestFit="1" customWidth="1"/>
    <col min="29" max="29" width="4.21875" style="272" bestFit="1" customWidth="1"/>
    <col min="30" max="31" width="4.5546875" style="272" bestFit="1" customWidth="1"/>
    <col min="32" max="32" width="3.88671875" style="272" bestFit="1" customWidth="1"/>
    <col min="33" max="33" width="4.21875" style="272" bestFit="1" customWidth="1"/>
    <col min="34" max="34" width="3.88671875" style="272" bestFit="1" customWidth="1"/>
    <col min="35" max="35" width="5.21875" style="272" bestFit="1" customWidth="1"/>
    <col min="36" max="36" width="3.88671875" style="272" bestFit="1" customWidth="1"/>
    <col min="37" max="16384" width="8.88671875" style="272"/>
  </cols>
  <sheetData>
    <row r="1" spans="1:36" x14ac:dyDescent="0.3">
      <c r="A1" s="271" t="s">
        <v>103</v>
      </c>
      <c r="B1" s="271" t="s">
        <v>104</v>
      </c>
      <c r="C1" s="271" t="s">
        <v>105</v>
      </c>
      <c r="D1" s="271" t="s">
        <v>23</v>
      </c>
      <c r="E1" s="271" t="s">
        <v>106</v>
      </c>
      <c r="F1" s="271" t="s">
        <v>107</v>
      </c>
      <c r="G1" s="271" t="s">
        <v>16</v>
      </c>
      <c r="H1" s="271" t="s">
        <v>108</v>
      </c>
      <c r="I1" s="271" t="s">
        <v>109</v>
      </c>
      <c r="J1" s="271" t="s">
        <v>110</v>
      </c>
      <c r="K1" s="271" t="s">
        <v>111</v>
      </c>
      <c r="L1" s="271" t="s">
        <v>18</v>
      </c>
      <c r="M1" s="271" t="s">
        <v>20</v>
      </c>
      <c r="N1" s="271" t="s">
        <v>21</v>
      </c>
      <c r="O1" s="271" t="s">
        <v>19</v>
      </c>
      <c r="P1" s="271" t="s">
        <v>22</v>
      </c>
      <c r="Q1" s="271" t="s">
        <v>112</v>
      </c>
      <c r="R1" s="271" t="s">
        <v>113</v>
      </c>
      <c r="S1" s="271" t="s">
        <v>114</v>
      </c>
      <c r="T1" s="271" t="s">
        <v>115</v>
      </c>
      <c r="U1" s="271" t="s">
        <v>116</v>
      </c>
      <c r="V1" s="271" t="s">
        <v>117</v>
      </c>
      <c r="W1" s="271" t="s">
        <v>118</v>
      </c>
      <c r="X1" s="271" t="s">
        <v>119</v>
      </c>
      <c r="Y1" s="271" t="s">
        <v>120</v>
      </c>
      <c r="Z1" s="271" t="s">
        <v>121</v>
      </c>
      <c r="AA1" s="271" t="s">
        <v>122</v>
      </c>
      <c r="AB1" s="271" t="s">
        <v>123</v>
      </c>
      <c r="AC1" s="271" t="s">
        <v>124</v>
      </c>
      <c r="AD1" s="271" t="s">
        <v>125</v>
      </c>
      <c r="AE1" s="271" t="s">
        <v>126</v>
      </c>
      <c r="AF1" s="271" t="s">
        <v>127</v>
      </c>
      <c r="AG1" s="271" t="s">
        <v>128</v>
      </c>
      <c r="AH1" s="271" t="s">
        <v>129</v>
      </c>
      <c r="AI1" s="271" t="s">
        <v>130</v>
      </c>
      <c r="AJ1" s="271" t="s">
        <v>131</v>
      </c>
    </row>
    <row r="2" spans="1:36" x14ac:dyDescent="0.3">
      <c r="A2" s="273" t="s">
        <v>132</v>
      </c>
      <c r="B2" s="274">
        <v>45981</v>
      </c>
      <c r="C2" s="275" t="s">
        <v>79</v>
      </c>
      <c r="D2" s="276" t="s">
        <v>133</v>
      </c>
      <c r="E2" s="275" t="s">
        <v>1</v>
      </c>
      <c r="F2" s="275" t="s">
        <v>134</v>
      </c>
      <c r="G2" s="277">
        <v>0.97870000000000001</v>
      </c>
      <c r="H2" s="278">
        <v>188</v>
      </c>
      <c r="I2" s="278">
        <v>184</v>
      </c>
      <c r="J2" s="278">
        <v>135</v>
      </c>
      <c r="K2" s="275" t="s">
        <v>135</v>
      </c>
      <c r="L2" s="279">
        <v>45978</v>
      </c>
      <c r="M2" s="278">
        <v>0</v>
      </c>
      <c r="N2" s="278">
        <v>0</v>
      </c>
      <c r="O2" s="278">
        <v>39</v>
      </c>
      <c r="P2" s="275" t="s">
        <v>82</v>
      </c>
      <c r="Q2" s="271"/>
      <c r="R2" s="271"/>
      <c r="S2" s="271"/>
      <c r="T2" s="271"/>
      <c r="U2" s="271"/>
      <c r="V2" s="271"/>
      <c r="W2" s="278" t="s">
        <v>136</v>
      </c>
      <c r="X2" s="271"/>
      <c r="Y2" s="271"/>
      <c r="Z2" s="278" t="s">
        <v>137</v>
      </c>
      <c r="AA2" s="271"/>
      <c r="AB2" s="271"/>
      <c r="AC2" s="278" t="s">
        <v>138</v>
      </c>
      <c r="AD2" s="278" t="s">
        <v>139</v>
      </c>
      <c r="AE2" s="278" t="s">
        <v>140</v>
      </c>
      <c r="AF2" s="278" t="s">
        <v>141</v>
      </c>
      <c r="AG2" s="271"/>
      <c r="AH2" s="271"/>
      <c r="AI2" s="278" t="s">
        <v>142</v>
      </c>
      <c r="AJ2" s="278" t="s">
        <v>143</v>
      </c>
    </row>
    <row r="3" spans="1:36" x14ac:dyDescent="0.3">
      <c r="A3" s="273" t="s">
        <v>144</v>
      </c>
      <c r="B3" s="274">
        <v>45983</v>
      </c>
      <c r="C3" s="275" t="s">
        <v>79</v>
      </c>
      <c r="D3" s="276" t="s">
        <v>145</v>
      </c>
      <c r="E3" s="275" t="s">
        <v>1</v>
      </c>
      <c r="F3" s="275" t="s">
        <v>134</v>
      </c>
      <c r="G3" s="277">
        <v>0.98329999999999995</v>
      </c>
      <c r="H3" s="278">
        <v>180</v>
      </c>
      <c r="I3" s="278">
        <v>177</v>
      </c>
      <c r="J3" s="278">
        <v>176</v>
      </c>
      <c r="K3" s="275" t="s">
        <v>135</v>
      </c>
      <c r="L3" s="279">
        <v>45980</v>
      </c>
      <c r="M3" s="278">
        <v>2</v>
      </c>
      <c r="N3" s="278">
        <v>46</v>
      </c>
      <c r="O3" s="278">
        <v>48</v>
      </c>
      <c r="P3" s="275" t="s">
        <v>101</v>
      </c>
      <c r="Q3" s="271"/>
      <c r="R3" s="271"/>
      <c r="S3" s="271"/>
      <c r="T3" s="271"/>
      <c r="U3" s="271"/>
      <c r="V3" s="271"/>
      <c r="W3" s="278" t="s">
        <v>146</v>
      </c>
      <c r="X3" s="271"/>
      <c r="Y3" s="271"/>
      <c r="Z3" s="271"/>
      <c r="AA3" s="271"/>
      <c r="AB3" s="271"/>
      <c r="AC3" s="271"/>
      <c r="AD3" s="271"/>
      <c r="AE3" s="271"/>
      <c r="AF3" s="271"/>
      <c r="AG3" s="278" t="s">
        <v>147</v>
      </c>
      <c r="AH3" s="271"/>
      <c r="AI3" s="278" t="s">
        <v>148</v>
      </c>
      <c r="AJ3" s="271"/>
    </row>
    <row r="4" spans="1:36" ht="21" x14ac:dyDescent="0.3">
      <c r="A4" s="280" t="s">
        <v>932</v>
      </c>
      <c r="B4" s="281"/>
      <c r="C4" s="280">
        <f>SUBTOTAL(103,CAI_MED_LF_LEGACY[Flt])</f>
        <v>2</v>
      </c>
      <c r="D4" s="280"/>
      <c r="E4" s="280">
        <f>SUBTOTAL(103,CAI_MED_LF_LEGACY[Brd-Off])</f>
        <v>2</v>
      </c>
      <c r="F4" s="280"/>
      <c r="G4" s="282">
        <f>SUBTOTAL(101,CAI_MED_LF_LEGACY[LF%])</f>
        <v>0.98099999999999998</v>
      </c>
      <c r="H4" s="283">
        <f>SUBTOTAL(109,CAI_MED_LF_LEGACY[CAP])</f>
        <v>368</v>
      </c>
      <c r="I4" s="283">
        <f>SUBTOTAL(109,CAI_MED_LF_LEGACY[BKG(Y)])</f>
        <v>361</v>
      </c>
      <c r="J4" s="283">
        <f>SUBTOTAL(109,CAI_MED_LF_LEGACY[GRP(Y)])</f>
        <v>311</v>
      </c>
      <c r="K4" s="280"/>
      <c r="L4" s="281"/>
      <c r="M4" s="283">
        <f>SUBTOTAL(109,CAI_MED_LF_LEGACY[TO-DAY])</f>
        <v>2</v>
      </c>
      <c r="N4" s="283">
        <f>SUBTOTAL(109,CAI_MED_LF_LEGACY[Y-DAY])</f>
        <v>46</v>
      </c>
      <c r="O4" s="283">
        <f>SUBTOTAL(109,CAI_MED_LF_LEGACY[WEEKLY])</f>
        <v>87</v>
      </c>
      <c r="P4" s="284"/>
      <c r="Q4" s="283">
        <f>SUBTOTAL(109,CAI_MED_LF_LEGACY[Y])</f>
        <v>0</v>
      </c>
      <c r="R4" s="283">
        <f>SUBTOTAL(109,CAI_MED_LF_LEGACY[B])</f>
        <v>0</v>
      </c>
      <c r="S4" s="283">
        <f>SUBTOTAL(109,CAI_MED_LF_LEGACY[M])</f>
        <v>0</v>
      </c>
      <c r="T4" s="283">
        <f>SUBTOTAL(109,CAI_MED_LF_LEGACY[H])</f>
        <v>0</v>
      </c>
      <c r="U4" s="283">
        <f>SUBTOTAL(109,CAI_MED_LF_LEGACY[Q])</f>
        <v>0</v>
      </c>
      <c r="V4" s="283">
        <f>SUBTOTAL(109,CAI_MED_LF_LEGACY[K])</f>
        <v>0</v>
      </c>
      <c r="W4" s="283">
        <f>SUBTOTAL(109,CAI_MED_LF_LEGACY[V])</f>
        <v>0</v>
      </c>
      <c r="X4" s="283">
        <f>SUBTOTAL(109,CAI_MED_LF_LEGACY[L])</f>
        <v>0</v>
      </c>
      <c r="Y4" s="283">
        <f>SUBTOTAL(109,CAI_MED_LF_LEGACY[G])</f>
        <v>0</v>
      </c>
      <c r="Z4" s="283">
        <f>SUBTOTAL(109,CAI_MED_LF_LEGACY[S])</f>
        <v>0</v>
      </c>
      <c r="AA4" s="283">
        <f>SUBTOTAL(109,CAI_MED_LF_LEGACY[W])</f>
        <v>0</v>
      </c>
      <c r="AB4" s="283">
        <f>SUBTOTAL(109,CAI_MED_LF_LEGACY[T])</f>
        <v>0</v>
      </c>
      <c r="AC4" s="283">
        <f>SUBTOTAL(109,CAI_MED_LF_LEGACY[X])</f>
        <v>0</v>
      </c>
      <c r="AD4" s="283">
        <f>SUBTOTAL(109,CAI_MED_LF_LEGACY[U])</f>
        <v>0</v>
      </c>
      <c r="AE4" s="283">
        <f>SUBTOTAL(109,CAI_MED_LF_LEGACY[O])</f>
        <v>0</v>
      </c>
      <c r="AF4" s="283">
        <f>SUBTOTAL(109,CAI_MED_LF_LEGACY[I])</f>
        <v>0</v>
      </c>
      <c r="AG4" s="283">
        <f>SUBTOTAL(109,CAI_MED_LF_LEGACY[E])</f>
        <v>0</v>
      </c>
      <c r="AH4" s="283">
        <f>SUBTOTAL(109,CAI_MED_LF_LEGACY[A])</f>
        <v>0</v>
      </c>
      <c r="AI4" s="283">
        <f>SUBTOTAL(109,CAI_MED_LF_LEGACY[P])</f>
        <v>0</v>
      </c>
      <c r="AJ4" s="283">
        <f>SUBTOTAL(103,CAI_MED_LF_LEGACY[N])</f>
        <v>1</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6"/>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1.109375" hidden="1" customWidth="1"/>
  </cols>
  <sheetData>
    <row r="1" spans="1:8" ht="18" x14ac:dyDescent="0.3">
      <c r="A1" s="56" t="s">
        <v>149</v>
      </c>
      <c r="B1" s="57" t="s">
        <v>8</v>
      </c>
      <c r="C1" s="57" t="s">
        <v>9</v>
      </c>
      <c r="D1" s="57" t="s">
        <v>150</v>
      </c>
      <c r="E1" s="57" t="s">
        <v>10</v>
      </c>
      <c r="F1" s="57" t="s">
        <v>11</v>
      </c>
      <c r="G1" s="57" t="s">
        <v>12</v>
      </c>
      <c r="H1" s="58" t="s">
        <v>13</v>
      </c>
    </row>
    <row r="2" spans="1:8" ht="19.8" customHeight="1" x14ac:dyDescent="0.3">
      <c r="A2" s="59" t="s">
        <v>151</v>
      </c>
      <c r="B2" s="60" t="s">
        <v>26</v>
      </c>
      <c r="C2" s="61" t="s">
        <v>27</v>
      </c>
      <c r="D2" s="60" t="s">
        <v>1</v>
      </c>
      <c r="E2" s="60" t="s">
        <v>152</v>
      </c>
      <c r="F2" s="60" t="s">
        <v>28</v>
      </c>
      <c r="G2" s="62">
        <v>9</v>
      </c>
      <c r="H2" s="63" t="s">
        <v>30</v>
      </c>
    </row>
    <row r="3" spans="1:8" ht="19.8" customHeight="1" x14ac:dyDescent="0.3">
      <c r="A3" s="59" t="s">
        <v>151</v>
      </c>
      <c r="B3" s="60" t="s">
        <v>42</v>
      </c>
      <c r="C3" s="61" t="s">
        <v>43</v>
      </c>
      <c r="D3" s="60" t="s">
        <v>1</v>
      </c>
      <c r="E3" s="60" t="s">
        <v>153</v>
      </c>
      <c r="F3" s="60" t="s">
        <v>44</v>
      </c>
      <c r="G3" s="62">
        <v>5</v>
      </c>
      <c r="H3" s="63" t="s">
        <v>46</v>
      </c>
    </row>
    <row r="4" spans="1:8" ht="19.8" customHeight="1" x14ac:dyDescent="0.3">
      <c r="A4" s="59" t="s">
        <v>151</v>
      </c>
      <c r="B4" s="60" t="s">
        <v>26</v>
      </c>
      <c r="C4" s="61" t="s">
        <v>36</v>
      </c>
      <c r="D4" s="60" t="s">
        <v>1</v>
      </c>
      <c r="E4" s="60" t="s">
        <v>154</v>
      </c>
      <c r="F4" s="60" t="s">
        <v>28</v>
      </c>
      <c r="G4" s="62">
        <v>1</v>
      </c>
      <c r="H4" s="63" t="s">
        <v>38</v>
      </c>
    </row>
    <row r="5" spans="1:8" ht="19.8" customHeight="1" x14ac:dyDescent="0.3">
      <c r="A5" s="59" t="s">
        <v>151</v>
      </c>
      <c r="B5" s="60" t="s">
        <v>26</v>
      </c>
      <c r="C5" s="61" t="s">
        <v>27</v>
      </c>
      <c r="D5" s="60" t="s">
        <v>1</v>
      </c>
      <c r="E5" s="60" t="s">
        <v>152</v>
      </c>
      <c r="F5" s="60" t="s">
        <v>31</v>
      </c>
      <c r="G5" s="62">
        <v>9</v>
      </c>
      <c r="H5" s="63" t="s">
        <v>33</v>
      </c>
    </row>
    <row r="6" spans="1:8" ht="19.8" customHeight="1" x14ac:dyDescent="0.3">
      <c r="A6" s="59" t="s">
        <v>151</v>
      </c>
      <c r="B6" s="60" t="s">
        <v>26</v>
      </c>
      <c r="C6" s="61" t="s">
        <v>36</v>
      </c>
      <c r="D6" s="60" t="s">
        <v>1</v>
      </c>
      <c r="E6" s="60" t="s">
        <v>154</v>
      </c>
      <c r="F6" s="60" t="s">
        <v>31</v>
      </c>
      <c r="G6" s="62">
        <v>1</v>
      </c>
      <c r="H6" s="63" t="s">
        <v>40</v>
      </c>
    </row>
    <row r="7" spans="1:8" ht="19.8" customHeight="1" x14ac:dyDescent="0.3">
      <c r="A7" s="59" t="s">
        <v>151</v>
      </c>
      <c r="B7" s="60" t="s">
        <v>42</v>
      </c>
      <c r="C7" s="61" t="s">
        <v>43</v>
      </c>
      <c r="D7" s="60" t="s">
        <v>1</v>
      </c>
      <c r="E7" s="60" t="s">
        <v>153</v>
      </c>
      <c r="F7" s="60" t="s">
        <v>47</v>
      </c>
      <c r="G7" s="62">
        <v>5</v>
      </c>
      <c r="H7" s="63" t="s">
        <v>35</v>
      </c>
    </row>
    <row r="8" spans="1:8" ht="19.8" customHeight="1" x14ac:dyDescent="0.3">
      <c r="A8" s="59" t="s">
        <v>151</v>
      </c>
      <c r="B8" s="60" t="s">
        <v>26</v>
      </c>
      <c r="C8" s="61" t="s">
        <v>27</v>
      </c>
      <c r="D8" s="60" t="s">
        <v>1</v>
      </c>
      <c r="E8" s="60" t="s">
        <v>152</v>
      </c>
      <c r="F8" s="60" t="s">
        <v>34</v>
      </c>
      <c r="G8" s="62">
        <v>9</v>
      </c>
      <c r="H8" s="63" t="s">
        <v>35</v>
      </c>
    </row>
    <row r="9" spans="1:8" ht="19.8" customHeight="1" x14ac:dyDescent="0.3">
      <c r="A9" s="59" t="s">
        <v>151</v>
      </c>
      <c r="B9" s="60" t="s">
        <v>26</v>
      </c>
      <c r="C9" s="61" t="s">
        <v>36</v>
      </c>
      <c r="D9" s="60" t="s">
        <v>1</v>
      </c>
      <c r="E9" s="60" t="s">
        <v>154</v>
      </c>
      <c r="F9" s="60" t="s">
        <v>34</v>
      </c>
      <c r="G9" s="62">
        <v>1</v>
      </c>
      <c r="H9" s="63" t="s">
        <v>41</v>
      </c>
    </row>
    <row r="10" spans="1:8" ht="19.8" customHeight="1" x14ac:dyDescent="0.3">
      <c r="A10" s="59" t="s">
        <v>151</v>
      </c>
      <c r="B10" s="60" t="s">
        <v>42</v>
      </c>
      <c r="C10" s="61" t="s">
        <v>43</v>
      </c>
      <c r="D10" s="60" t="s">
        <v>1</v>
      </c>
      <c r="E10" s="60" t="s">
        <v>153</v>
      </c>
      <c r="F10" s="60" t="s">
        <v>49</v>
      </c>
      <c r="G10" s="62">
        <v>5</v>
      </c>
      <c r="H10" s="63" t="s">
        <v>50</v>
      </c>
    </row>
    <row r="11" spans="1:8" ht="19.8" customHeight="1" x14ac:dyDescent="0.3">
      <c r="A11" s="59" t="s">
        <v>151</v>
      </c>
      <c r="B11" s="60" t="s">
        <v>51</v>
      </c>
      <c r="C11" s="61" t="s">
        <v>52</v>
      </c>
      <c r="D11" s="60" t="s">
        <v>1</v>
      </c>
      <c r="E11" s="60" t="s">
        <v>155</v>
      </c>
      <c r="F11" s="60" t="s">
        <v>53</v>
      </c>
      <c r="G11" s="62">
        <v>9</v>
      </c>
      <c r="H11" s="63" t="s">
        <v>55</v>
      </c>
    </row>
    <row r="12" spans="1:8" ht="19.8" customHeight="1" x14ac:dyDescent="0.3">
      <c r="A12" s="59" t="s">
        <v>151</v>
      </c>
      <c r="B12" s="60" t="s">
        <v>51</v>
      </c>
      <c r="C12" s="61" t="s">
        <v>52</v>
      </c>
      <c r="D12" s="60" t="s">
        <v>1</v>
      </c>
      <c r="E12" s="60" t="s">
        <v>155</v>
      </c>
      <c r="F12" s="60" t="s">
        <v>56</v>
      </c>
      <c r="G12" s="62">
        <v>9</v>
      </c>
      <c r="H12" s="63" t="s">
        <v>58</v>
      </c>
    </row>
    <row r="13" spans="1:8" ht="19.8" customHeight="1" x14ac:dyDescent="0.3">
      <c r="A13" s="59" t="s">
        <v>151</v>
      </c>
      <c r="B13" s="60" t="s">
        <v>67</v>
      </c>
      <c r="C13" s="61" t="s">
        <v>68</v>
      </c>
      <c r="D13" s="60" t="s">
        <v>1</v>
      </c>
      <c r="E13" s="60" t="s">
        <v>156</v>
      </c>
      <c r="F13" s="60" t="s">
        <v>69</v>
      </c>
      <c r="G13" s="62">
        <v>9</v>
      </c>
      <c r="H13" s="63" t="s">
        <v>70</v>
      </c>
    </row>
    <row r="14" spans="1:8" ht="19.8" customHeight="1" x14ac:dyDescent="0.3">
      <c r="A14" s="59" t="s">
        <v>151</v>
      </c>
      <c r="B14" s="60" t="s">
        <v>67</v>
      </c>
      <c r="C14" s="61" t="s">
        <v>71</v>
      </c>
      <c r="D14" s="60" t="s">
        <v>1</v>
      </c>
      <c r="E14" s="60" t="s">
        <v>157</v>
      </c>
      <c r="F14" s="60" t="s">
        <v>69</v>
      </c>
      <c r="G14" s="62">
        <v>9</v>
      </c>
      <c r="H14" s="63" t="s">
        <v>73</v>
      </c>
    </row>
    <row r="15" spans="1:8" ht="19.8" customHeight="1" x14ac:dyDescent="0.3">
      <c r="A15" s="59" t="s">
        <v>151</v>
      </c>
      <c r="B15" s="60" t="s">
        <v>51</v>
      </c>
      <c r="C15" s="61" t="s">
        <v>59</v>
      </c>
      <c r="D15" s="60" t="s">
        <v>1</v>
      </c>
      <c r="E15" s="60" t="s">
        <v>158</v>
      </c>
      <c r="F15" s="60" t="s">
        <v>56</v>
      </c>
      <c r="G15" s="62">
        <v>1</v>
      </c>
      <c r="H15" s="63" t="s">
        <v>60</v>
      </c>
    </row>
    <row r="16" spans="1:8" ht="19.8" customHeight="1" x14ac:dyDescent="0.3">
      <c r="A16" s="59" t="s">
        <v>151</v>
      </c>
      <c r="B16" s="60" t="s">
        <v>67</v>
      </c>
      <c r="C16" s="61" t="s">
        <v>74</v>
      </c>
      <c r="D16" s="60" t="s">
        <v>1</v>
      </c>
      <c r="E16" s="60" t="s">
        <v>159</v>
      </c>
      <c r="F16" s="60" t="s">
        <v>69</v>
      </c>
      <c r="G16" s="62">
        <v>2</v>
      </c>
      <c r="H16" s="63" t="s">
        <v>76</v>
      </c>
    </row>
    <row r="17" spans="1:8" ht="19.8" customHeight="1" x14ac:dyDescent="0.3">
      <c r="A17" s="59" t="s">
        <v>151</v>
      </c>
      <c r="B17" s="60" t="s">
        <v>67</v>
      </c>
      <c r="C17" s="61" t="s">
        <v>77</v>
      </c>
      <c r="D17" s="60" t="s">
        <v>1</v>
      </c>
      <c r="E17" s="60" t="s">
        <v>160</v>
      </c>
      <c r="F17" s="60" t="s">
        <v>69</v>
      </c>
      <c r="G17" s="62">
        <v>9</v>
      </c>
      <c r="H17" s="63" t="s">
        <v>76</v>
      </c>
    </row>
    <row r="18" spans="1:8" ht="19.8" customHeight="1" x14ac:dyDescent="0.3">
      <c r="A18" s="59" t="s">
        <v>151</v>
      </c>
      <c r="B18" s="60" t="s">
        <v>51</v>
      </c>
      <c r="C18" s="61" t="s">
        <v>61</v>
      </c>
      <c r="D18" s="60" t="s">
        <v>1</v>
      </c>
      <c r="E18" s="60" t="s">
        <v>153</v>
      </c>
      <c r="F18" s="60" t="s">
        <v>56</v>
      </c>
      <c r="G18" s="62">
        <v>4</v>
      </c>
      <c r="H18" s="63" t="s">
        <v>63</v>
      </c>
    </row>
    <row r="19" spans="1:8" ht="19.8" customHeight="1" x14ac:dyDescent="0.3">
      <c r="A19" s="59" t="s">
        <v>151</v>
      </c>
      <c r="B19" s="60" t="s">
        <v>51</v>
      </c>
      <c r="C19" s="61" t="s">
        <v>64</v>
      </c>
      <c r="D19" s="60" t="s">
        <v>1</v>
      </c>
      <c r="E19" s="60" t="s">
        <v>161</v>
      </c>
      <c r="F19" s="60" t="s">
        <v>56</v>
      </c>
      <c r="G19" s="62">
        <v>3</v>
      </c>
      <c r="H19" s="63" t="s">
        <v>66</v>
      </c>
    </row>
    <row r="20" spans="1:8" ht="19.8" customHeight="1" x14ac:dyDescent="0.3">
      <c r="A20" s="64" t="s">
        <v>151</v>
      </c>
      <c r="B20" s="65" t="s">
        <v>78</v>
      </c>
      <c r="C20" s="66" t="s">
        <v>79</v>
      </c>
      <c r="D20" s="65" t="s">
        <v>1</v>
      </c>
      <c r="E20" s="65" t="s">
        <v>133</v>
      </c>
      <c r="F20" s="65" t="s">
        <v>80</v>
      </c>
      <c r="G20" s="65"/>
      <c r="H20" s="67" t="s">
        <v>81</v>
      </c>
    </row>
    <row r="21" spans="1:8" ht="19.8" customHeight="1" x14ac:dyDescent="0.3">
      <c r="A21" s="68">
        <v>45982</v>
      </c>
      <c r="B21" s="60" t="s">
        <v>42</v>
      </c>
      <c r="C21" s="61" t="s">
        <v>43</v>
      </c>
      <c r="D21" s="60" t="s">
        <v>1</v>
      </c>
      <c r="E21" s="69">
        <v>1.229166666666667</v>
      </c>
      <c r="F21" s="60" t="s">
        <v>44</v>
      </c>
      <c r="G21" s="62">
        <v>5</v>
      </c>
      <c r="H21" s="63" t="s">
        <v>46</v>
      </c>
    </row>
    <row r="22" spans="1:8" ht="19.8" customHeight="1" x14ac:dyDescent="0.3">
      <c r="A22" s="68">
        <v>45982</v>
      </c>
      <c r="B22" s="60" t="s">
        <v>26</v>
      </c>
      <c r="C22" s="61" t="s">
        <v>36</v>
      </c>
      <c r="D22" s="60" t="s">
        <v>1</v>
      </c>
      <c r="E22" s="69">
        <v>1.6076388888888891</v>
      </c>
      <c r="F22" s="60" t="s">
        <v>28</v>
      </c>
      <c r="G22" s="62">
        <v>1</v>
      </c>
      <c r="H22" s="63" t="s">
        <v>38</v>
      </c>
    </row>
    <row r="23" spans="1:8" ht="19.8" customHeight="1" x14ac:dyDescent="0.3">
      <c r="A23" s="68">
        <v>45982</v>
      </c>
      <c r="B23" s="60" t="s">
        <v>26</v>
      </c>
      <c r="C23" s="61" t="s">
        <v>36</v>
      </c>
      <c r="D23" s="60" t="s">
        <v>1</v>
      </c>
      <c r="E23" s="69">
        <v>1.6076388888888891</v>
      </c>
      <c r="F23" s="60" t="s">
        <v>31</v>
      </c>
      <c r="G23" s="62">
        <v>1</v>
      </c>
      <c r="H23" s="63" t="s">
        <v>40</v>
      </c>
    </row>
    <row r="24" spans="1:8" ht="19.8" customHeight="1" x14ac:dyDescent="0.3">
      <c r="A24" s="68">
        <v>45982</v>
      </c>
      <c r="B24" s="60" t="s">
        <v>42</v>
      </c>
      <c r="C24" s="61" t="s">
        <v>43</v>
      </c>
      <c r="D24" s="60" t="s">
        <v>1</v>
      </c>
      <c r="E24" s="69">
        <v>1.229166666666667</v>
      </c>
      <c r="F24" s="60" t="s">
        <v>47</v>
      </c>
      <c r="G24" s="62">
        <v>5</v>
      </c>
      <c r="H24" s="63" t="s">
        <v>35</v>
      </c>
    </row>
    <row r="25" spans="1:8" ht="19.8" customHeight="1" x14ac:dyDescent="0.3">
      <c r="A25" s="68">
        <v>45982</v>
      </c>
      <c r="B25" s="60" t="s">
        <v>67</v>
      </c>
      <c r="C25" s="61" t="s">
        <v>71</v>
      </c>
      <c r="D25" s="60" t="s">
        <v>1</v>
      </c>
      <c r="E25" s="69">
        <v>1.9409722222222221</v>
      </c>
      <c r="F25" s="60" t="s">
        <v>69</v>
      </c>
      <c r="G25" s="62">
        <v>9</v>
      </c>
      <c r="H25" s="63" t="s">
        <v>85</v>
      </c>
    </row>
    <row r="26" spans="1:8" ht="19.8" customHeight="1" x14ac:dyDescent="0.3">
      <c r="A26" s="68">
        <v>45982</v>
      </c>
      <c r="B26" s="60" t="s">
        <v>26</v>
      </c>
      <c r="C26" s="61" t="s">
        <v>36</v>
      </c>
      <c r="D26" s="60" t="s">
        <v>1</v>
      </c>
      <c r="E26" s="69">
        <v>1.6076388888888891</v>
      </c>
      <c r="F26" s="60" t="s">
        <v>34</v>
      </c>
      <c r="G26" s="62">
        <v>1</v>
      </c>
      <c r="H26" s="63" t="s">
        <v>41</v>
      </c>
    </row>
    <row r="27" spans="1:8" ht="19.8" customHeight="1" x14ac:dyDescent="0.3">
      <c r="A27" s="68">
        <v>45982</v>
      </c>
      <c r="B27" s="60" t="s">
        <v>42</v>
      </c>
      <c r="C27" s="61" t="s">
        <v>43</v>
      </c>
      <c r="D27" s="60" t="s">
        <v>1</v>
      </c>
      <c r="E27" s="69">
        <v>1.229166666666667</v>
      </c>
      <c r="F27" s="60" t="s">
        <v>49</v>
      </c>
      <c r="G27" s="62">
        <v>5</v>
      </c>
      <c r="H27" s="63" t="s">
        <v>50</v>
      </c>
    </row>
    <row r="28" spans="1:8" ht="19.8" customHeight="1" x14ac:dyDescent="0.3">
      <c r="A28" s="68">
        <v>45982</v>
      </c>
      <c r="B28" s="60" t="s">
        <v>51</v>
      </c>
      <c r="C28" s="61" t="s">
        <v>64</v>
      </c>
      <c r="D28" s="60" t="s">
        <v>1</v>
      </c>
      <c r="E28" s="69">
        <v>1.895833333333333</v>
      </c>
      <c r="F28" s="60" t="s">
        <v>53</v>
      </c>
      <c r="G28" s="62">
        <v>9</v>
      </c>
      <c r="H28" s="63" t="s">
        <v>55</v>
      </c>
    </row>
    <row r="29" spans="1:8" ht="19.8" customHeight="1" x14ac:dyDescent="0.3">
      <c r="A29" s="68">
        <v>45982</v>
      </c>
      <c r="B29" s="60" t="s">
        <v>67</v>
      </c>
      <c r="C29" s="61" t="s">
        <v>86</v>
      </c>
      <c r="D29" s="60" t="s">
        <v>1</v>
      </c>
      <c r="E29" s="69">
        <v>1.697916666666667</v>
      </c>
      <c r="F29" s="60" t="s">
        <v>69</v>
      </c>
      <c r="G29" s="62">
        <v>9</v>
      </c>
      <c r="H29" s="63" t="s">
        <v>87</v>
      </c>
    </row>
    <row r="30" spans="1:8" ht="19.8" customHeight="1" x14ac:dyDescent="0.3">
      <c r="A30" s="68">
        <v>45982</v>
      </c>
      <c r="B30" s="60" t="s">
        <v>51</v>
      </c>
      <c r="C30" s="61" t="s">
        <v>64</v>
      </c>
      <c r="D30" s="60" t="s">
        <v>1</v>
      </c>
      <c r="E30" s="69">
        <v>1.895833333333333</v>
      </c>
      <c r="F30" s="60" t="s">
        <v>56</v>
      </c>
      <c r="G30" s="62">
        <v>9</v>
      </c>
      <c r="H30" s="63" t="s">
        <v>58</v>
      </c>
    </row>
    <row r="31" spans="1:8" ht="19.8" customHeight="1" x14ac:dyDescent="0.3">
      <c r="A31" s="68">
        <v>45982</v>
      </c>
      <c r="B31" s="60" t="s">
        <v>67</v>
      </c>
      <c r="C31" s="61" t="s">
        <v>74</v>
      </c>
      <c r="D31" s="60" t="s">
        <v>1</v>
      </c>
      <c r="E31" s="69">
        <v>1.288194444444444</v>
      </c>
      <c r="F31" s="60" t="s">
        <v>69</v>
      </c>
      <c r="G31" s="62">
        <v>9</v>
      </c>
      <c r="H31" s="63" t="s">
        <v>70</v>
      </c>
    </row>
    <row r="32" spans="1:8" ht="19.8" customHeight="1" x14ac:dyDescent="0.3">
      <c r="A32" s="68">
        <v>45982</v>
      </c>
      <c r="B32" s="60" t="s">
        <v>67</v>
      </c>
      <c r="C32" s="61" t="s">
        <v>68</v>
      </c>
      <c r="D32" s="60" t="s">
        <v>1</v>
      </c>
      <c r="E32" s="69">
        <v>1.0659722222222221</v>
      </c>
      <c r="F32" s="60" t="s">
        <v>69</v>
      </c>
      <c r="G32" s="62">
        <v>9</v>
      </c>
      <c r="H32" s="63" t="s">
        <v>73</v>
      </c>
    </row>
    <row r="33" spans="1:8" ht="19.8" customHeight="1" x14ac:dyDescent="0.3">
      <c r="A33" s="68">
        <v>45982</v>
      </c>
      <c r="B33" s="60" t="s">
        <v>67</v>
      </c>
      <c r="C33" s="61" t="s">
        <v>77</v>
      </c>
      <c r="D33" s="60" t="s">
        <v>1</v>
      </c>
      <c r="E33" s="69">
        <v>1.336805555555556</v>
      </c>
      <c r="F33" s="60" t="s">
        <v>69</v>
      </c>
      <c r="G33" s="62">
        <v>9</v>
      </c>
      <c r="H33" s="63" t="s">
        <v>73</v>
      </c>
    </row>
    <row r="34" spans="1:8" ht="19.8" customHeight="1" x14ac:dyDescent="0.3">
      <c r="A34" s="68">
        <v>45982</v>
      </c>
      <c r="B34" s="60" t="s">
        <v>51</v>
      </c>
      <c r="C34" s="61" t="s">
        <v>52</v>
      </c>
      <c r="D34" s="60" t="s">
        <v>1</v>
      </c>
      <c r="E34" s="69">
        <v>1.1840277777777779</v>
      </c>
      <c r="F34" s="60" t="s">
        <v>56</v>
      </c>
      <c r="G34" s="62">
        <v>9</v>
      </c>
      <c r="H34" s="63" t="s">
        <v>60</v>
      </c>
    </row>
    <row r="35" spans="1:8" ht="19.8" customHeight="1" x14ac:dyDescent="0.3">
      <c r="A35" s="68">
        <v>45982</v>
      </c>
      <c r="B35" s="60" t="s">
        <v>51</v>
      </c>
      <c r="C35" s="61" t="s">
        <v>59</v>
      </c>
      <c r="D35" s="60" t="s">
        <v>1</v>
      </c>
      <c r="E35" s="69">
        <v>1.350694444444444</v>
      </c>
      <c r="F35" s="60" t="s">
        <v>56</v>
      </c>
      <c r="G35" s="62">
        <v>9</v>
      </c>
      <c r="H35" s="63" t="s">
        <v>60</v>
      </c>
    </row>
    <row r="36" spans="1:8" ht="19.8" customHeight="1" x14ac:dyDescent="0.3">
      <c r="A36" s="70">
        <v>45982</v>
      </c>
      <c r="B36" s="71" t="s">
        <v>51</v>
      </c>
      <c r="C36" s="72" t="s">
        <v>61</v>
      </c>
      <c r="D36" s="71" t="s">
        <v>1</v>
      </c>
      <c r="E36" s="73">
        <v>1.229166666666667</v>
      </c>
      <c r="F36" s="71" t="s">
        <v>56</v>
      </c>
      <c r="G36" s="74">
        <v>4</v>
      </c>
      <c r="H36" s="75" t="s">
        <v>63</v>
      </c>
    </row>
    <row r="37" spans="1:8" ht="19.8" customHeight="1" x14ac:dyDescent="0.3">
      <c r="A37" s="68">
        <v>45983</v>
      </c>
      <c r="B37" s="60" t="s">
        <v>42</v>
      </c>
      <c r="C37" s="61" t="s">
        <v>43</v>
      </c>
      <c r="D37" s="60" t="s">
        <v>1</v>
      </c>
      <c r="E37" s="69">
        <v>1.229166666666667</v>
      </c>
      <c r="F37" s="60" t="s">
        <v>44</v>
      </c>
      <c r="G37" s="62">
        <v>20</v>
      </c>
      <c r="H37" s="63" t="s">
        <v>89</v>
      </c>
    </row>
    <row r="38" spans="1:8" ht="19.8" customHeight="1" x14ac:dyDescent="0.3">
      <c r="A38" s="68">
        <v>45983</v>
      </c>
      <c r="B38" s="60" t="s">
        <v>26</v>
      </c>
      <c r="C38" s="61" t="s">
        <v>27</v>
      </c>
      <c r="D38" s="60" t="s">
        <v>1</v>
      </c>
      <c r="E38" s="69">
        <v>1.4340277777777779</v>
      </c>
      <c r="F38" s="60" t="s">
        <v>28</v>
      </c>
      <c r="G38" s="62">
        <v>3</v>
      </c>
      <c r="H38" s="63" t="s">
        <v>38</v>
      </c>
    </row>
    <row r="39" spans="1:8" ht="19.8" customHeight="1" x14ac:dyDescent="0.3">
      <c r="A39" s="68">
        <v>45983</v>
      </c>
      <c r="B39" s="60" t="s">
        <v>26</v>
      </c>
      <c r="C39" s="61" t="s">
        <v>36</v>
      </c>
      <c r="D39" s="60" t="s">
        <v>1</v>
      </c>
      <c r="E39" s="69">
        <v>1.6076388888888891</v>
      </c>
      <c r="F39" s="60" t="s">
        <v>28</v>
      </c>
      <c r="G39" s="62">
        <v>7</v>
      </c>
      <c r="H39" s="63" t="s">
        <v>38</v>
      </c>
    </row>
    <row r="40" spans="1:8" ht="19.8" customHeight="1" x14ac:dyDescent="0.3">
      <c r="A40" s="68">
        <v>45983</v>
      </c>
      <c r="B40" s="60" t="s">
        <v>42</v>
      </c>
      <c r="C40" s="61" t="s">
        <v>43</v>
      </c>
      <c r="D40" s="60" t="s">
        <v>1</v>
      </c>
      <c r="E40" s="69">
        <v>1.229166666666667</v>
      </c>
      <c r="F40" s="60" t="s">
        <v>47</v>
      </c>
      <c r="G40" s="62">
        <v>20</v>
      </c>
      <c r="H40" s="63" t="s">
        <v>91</v>
      </c>
    </row>
    <row r="41" spans="1:8" ht="19.8" customHeight="1" x14ac:dyDescent="0.3">
      <c r="A41" s="68">
        <v>45983</v>
      </c>
      <c r="B41" s="60" t="s">
        <v>26</v>
      </c>
      <c r="C41" s="61" t="s">
        <v>27</v>
      </c>
      <c r="D41" s="60" t="s">
        <v>1</v>
      </c>
      <c r="E41" s="69">
        <v>1.4340277777777779</v>
      </c>
      <c r="F41" s="60" t="s">
        <v>31</v>
      </c>
      <c r="G41" s="62">
        <v>3</v>
      </c>
      <c r="H41" s="63" t="s">
        <v>40</v>
      </c>
    </row>
    <row r="42" spans="1:8" ht="19.8" customHeight="1" x14ac:dyDescent="0.3">
      <c r="A42" s="68">
        <v>45983</v>
      </c>
      <c r="B42" s="60" t="s">
        <v>26</v>
      </c>
      <c r="C42" s="61" t="s">
        <v>36</v>
      </c>
      <c r="D42" s="60" t="s">
        <v>1</v>
      </c>
      <c r="E42" s="69">
        <v>1.6076388888888891</v>
      </c>
      <c r="F42" s="60" t="s">
        <v>31</v>
      </c>
      <c r="G42" s="62">
        <v>7</v>
      </c>
      <c r="H42" s="63" t="s">
        <v>40</v>
      </c>
    </row>
    <row r="43" spans="1:8" ht="19.8" customHeight="1" x14ac:dyDescent="0.3">
      <c r="A43" s="68">
        <v>45983</v>
      </c>
      <c r="B43" s="60" t="s">
        <v>67</v>
      </c>
      <c r="C43" s="61" t="s">
        <v>71</v>
      </c>
      <c r="D43" s="60" t="s">
        <v>1</v>
      </c>
      <c r="E43" s="69">
        <v>1.947916666666667</v>
      </c>
      <c r="F43" s="60" t="s">
        <v>69</v>
      </c>
      <c r="G43" s="62">
        <v>9</v>
      </c>
      <c r="H43" s="63" t="s">
        <v>85</v>
      </c>
    </row>
    <row r="44" spans="1:8" ht="19.8" customHeight="1" x14ac:dyDescent="0.3">
      <c r="A44" s="68">
        <v>45983</v>
      </c>
      <c r="B44" s="60" t="s">
        <v>67</v>
      </c>
      <c r="C44" s="61" t="s">
        <v>68</v>
      </c>
      <c r="D44" s="60" t="s">
        <v>1</v>
      </c>
      <c r="E44" s="69">
        <v>1.0659722222222221</v>
      </c>
      <c r="F44" s="60" t="s">
        <v>69</v>
      </c>
      <c r="G44" s="62">
        <v>9</v>
      </c>
      <c r="H44" s="63" t="s">
        <v>85</v>
      </c>
    </row>
    <row r="45" spans="1:8" ht="19.8" customHeight="1" x14ac:dyDescent="0.3">
      <c r="A45" s="68">
        <v>45983</v>
      </c>
      <c r="B45" s="60" t="s">
        <v>67</v>
      </c>
      <c r="C45" s="61" t="s">
        <v>77</v>
      </c>
      <c r="D45" s="60" t="s">
        <v>1</v>
      </c>
      <c r="E45" s="69">
        <v>1.336805555555556</v>
      </c>
      <c r="F45" s="60" t="s">
        <v>69</v>
      </c>
      <c r="G45" s="62">
        <v>9</v>
      </c>
      <c r="H45" s="63" t="s">
        <v>85</v>
      </c>
    </row>
    <row r="46" spans="1:8" ht="19.8" customHeight="1" x14ac:dyDescent="0.3">
      <c r="A46" s="68">
        <v>45983</v>
      </c>
      <c r="B46" s="60" t="s">
        <v>26</v>
      </c>
      <c r="C46" s="61" t="s">
        <v>27</v>
      </c>
      <c r="D46" s="60" t="s">
        <v>1</v>
      </c>
      <c r="E46" s="69">
        <v>1.4340277777777779</v>
      </c>
      <c r="F46" s="60" t="s">
        <v>34</v>
      </c>
      <c r="G46" s="62">
        <v>3</v>
      </c>
      <c r="H46" s="63" t="s">
        <v>41</v>
      </c>
    </row>
    <row r="47" spans="1:8" ht="19.8" customHeight="1" x14ac:dyDescent="0.3">
      <c r="A47" s="68">
        <v>45983</v>
      </c>
      <c r="B47" s="60" t="s">
        <v>26</v>
      </c>
      <c r="C47" s="61" t="s">
        <v>36</v>
      </c>
      <c r="D47" s="60" t="s">
        <v>1</v>
      </c>
      <c r="E47" s="69">
        <v>1.6076388888888891</v>
      </c>
      <c r="F47" s="60" t="s">
        <v>34</v>
      </c>
      <c r="G47" s="62">
        <v>7</v>
      </c>
      <c r="H47" s="63" t="s">
        <v>41</v>
      </c>
    </row>
    <row r="48" spans="1:8" ht="19.8" customHeight="1" x14ac:dyDescent="0.3">
      <c r="A48" s="68">
        <v>45983</v>
      </c>
      <c r="B48" s="60" t="s">
        <v>42</v>
      </c>
      <c r="C48" s="61" t="s">
        <v>43</v>
      </c>
      <c r="D48" s="60" t="s">
        <v>1</v>
      </c>
      <c r="E48" s="69">
        <v>1.229166666666667</v>
      </c>
      <c r="F48" s="60" t="s">
        <v>49</v>
      </c>
      <c r="G48" s="62">
        <v>20</v>
      </c>
      <c r="H48" s="63" t="s">
        <v>50</v>
      </c>
    </row>
    <row r="49" spans="1:8" ht="19.8" customHeight="1" x14ac:dyDescent="0.3">
      <c r="A49" s="68">
        <v>45983</v>
      </c>
      <c r="B49" s="60" t="s">
        <v>51</v>
      </c>
      <c r="C49" s="61" t="s">
        <v>52</v>
      </c>
      <c r="D49" s="60" t="s">
        <v>1</v>
      </c>
      <c r="E49" s="69">
        <v>1.1840277777777779</v>
      </c>
      <c r="F49" s="60" t="s">
        <v>53</v>
      </c>
      <c r="G49" s="62">
        <v>9</v>
      </c>
      <c r="H49" s="63" t="s">
        <v>55</v>
      </c>
    </row>
    <row r="50" spans="1:8" ht="19.8" customHeight="1" x14ac:dyDescent="0.3">
      <c r="A50" s="68">
        <v>45983</v>
      </c>
      <c r="B50" s="60" t="s">
        <v>67</v>
      </c>
      <c r="C50" s="61" t="s">
        <v>86</v>
      </c>
      <c r="D50" s="60" t="s">
        <v>1</v>
      </c>
      <c r="E50" s="69">
        <v>1.6875</v>
      </c>
      <c r="F50" s="60" t="s">
        <v>69</v>
      </c>
      <c r="G50" s="62">
        <v>9</v>
      </c>
      <c r="H50" s="63" t="s">
        <v>87</v>
      </c>
    </row>
    <row r="51" spans="1:8" ht="19.8" customHeight="1" x14ac:dyDescent="0.3">
      <c r="A51" s="68">
        <v>45983</v>
      </c>
      <c r="B51" s="60" t="s">
        <v>51</v>
      </c>
      <c r="C51" s="61" t="s">
        <v>52</v>
      </c>
      <c r="D51" s="60" t="s">
        <v>1</v>
      </c>
      <c r="E51" s="69">
        <v>1.1840277777777779</v>
      </c>
      <c r="F51" s="60" t="s">
        <v>56</v>
      </c>
      <c r="G51" s="62">
        <v>9</v>
      </c>
      <c r="H51" s="63" t="s">
        <v>58</v>
      </c>
    </row>
    <row r="52" spans="1:8" ht="19.8" customHeight="1" x14ac:dyDescent="0.3">
      <c r="A52" s="68">
        <v>45983</v>
      </c>
      <c r="B52" s="60" t="s">
        <v>67</v>
      </c>
      <c r="C52" s="61" t="s">
        <v>74</v>
      </c>
      <c r="D52" s="60" t="s">
        <v>1</v>
      </c>
      <c r="E52" s="69">
        <v>1.288194444444444</v>
      </c>
      <c r="F52" s="60" t="s">
        <v>69</v>
      </c>
      <c r="G52" s="62">
        <v>9</v>
      </c>
      <c r="H52" s="63" t="s">
        <v>96</v>
      </c>
    </row>
    <row r="53" spans="1:8" ht="19.8" customHeight="1" x14ac:dyDescent="0.3">
      <c r="A53" s="76">
        <v>45983</v>
      </c>
      <c r="B53" s="77" t="s">
        <v>78</v>
      </c>
      <c r="C53" s="78" t="s">
        <v>97</v>
      </c>
      <c r="D53" s="77" t="s">
        <v>1</v>
      </c>
      <c r="E53" s="79">
        <v>1.2361111111111109</v>
      </c>
      <c r="F53" s="77" t="s">
        <v>98</v>
      </c>
      <c r="G53" s="80">
        <v>2</v>
      </c>
      <c r="H53" s="81" t="s">
        <v>100</v>
      </c>
    </row>
    <row r="54" spans="1:8" ht="19.8" customHeight="1" x14ac:dyDescent="0.3">
      <c r="A54" s="68">
        <v>45983</v>
      </c>
      <c r="B54" s="60" t="s">
        <v>51</v>
      </c>
      <c r="C54" s="61" t="s">
        <v>64</v>
      </c>
      <c r="D54" s="60" t="s">
        <v>1</v>
      </c>
      <c r="E54" s="69">
        <v>1.895833333333333</v>
      </c>
      <c r="F54" s="60" t="s">
        <v>56</v>
      </c>
      <c r="G54" s="62">
        <v>9</v>
      </c>
      <c r="H54" s="63" t="s">
        <v>60</v>
      </c>
    </row>
    <row r="55" spans="1:8" ht="19.8" customHeight="1" x14ac:dyDescent="0.3">
      <c r="A55" s="68">
        <v>45983</v>
      </c>
      <c r="B55" s="60" t="s">
        <v>51</v>
      </c>
      <c r="C55" s="61" t="s">
        <v>59</v>
      </c>
      <c r="D55" s="60" t="s">
        <v>1</v>
      </c>
      <c r="E55" s="69">
        <v>1.354166666666667</v>
      </c>
      <c r="F55" s="60" t="s">
        <v>56</v>
      </c>
      <c r="G55" s="62">
        <v>9</v>
      </c>
      <c r="H55" s="63" t="s">
        <v>60</v>
      </c>
    </row>
    <row r="56" spans="1:8" ht="19.8" customHeight="1" x14ac:dyDescent="0.3">
      <c r="A56" s="70">
        <v>45983</v>
      </c>
      <c r="B56" s="71" t="s">
        <v>51</v>
      </c>
      <c r="C56" s="72" t="s">
        <v>61</v>
      </c>
      <c r="D56" s="71" t="s">
        <v>1</v>
      </c>
      <c r="E56" s="73">
        <v>1.229166666666667</v>
      </c>
      <c r="F56" s="71" t="s">
        <v>56</v>
      </c>
      <c r="G56" s="74">
        <v>4</v>
      </c>
      <c r="H56" s="75" t="s">
        <v>63</v>
      </c>
    </row>
  </sheetData>
  <pageMargins left="0.75" right="0.75" top="1" bottom="1" header="0.5" footer="0.5"/>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9"/>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1.109375" hidden="1" customWidth="1"/>
  </cols>
  <sheetData>
    <row r="1" spans="1:8" ht="18" x14ac:dyDescent="0.3">
      <c r="A1" s="56" t="s">
        <v>149</v>
      </c>
      <c r="B1" s="57" t="s">
        <v>8</v>
      </c>
      <c r="C1" s="57" t="s">
        <v>9</v>
      </c>
      <c r="D1" s="57" t="s">
        <v>150</v>
      </c>
      <c r="E1" s="57" t="s">
        <v>10</v>
      </c>
      <c r="F1" s="57" t="s">
        <v>11</v>
      </c>
      <c r="G1" s="57" t="s">
        <v>12</v>
      </c>
      <c r="H1" s="58" t="s">
        <v>13</v>
      </c>
    </row>
    <row r="2" spans="1:8" ht="19.8" customHeight="1" x14ac:dyDescent="0.3">
      <c r="A2" s="64" t="s">
        <v>151</v>
      </c>
      <c r="B2" s="65" t="s">
        <v>78</v>
      </c>
      <c r="C2" s="66" t="s">
        <v>79</v>
      </c>
      <c r="D2" s="65" t="s">
        <v>1</v>
      </c>
      <c r="E2" s="65" t="s">
        <v>133</v>
      </c>
      <c r="F2" s="65" t="s">
        <v>80</v>
      </c>
      <c r="G2" s="65"/>
      <c r="H2" s="67" t="s">
        <v>81</v>
      </c>
    </row>
    <row r="3" spans="1:8" ht="19.8" customHeight="1" x14ac:dyDescent="0.3">
      <c r="A3" s="68">
        <v>45982</v>
      </c>
      <c r="B3" s="60" t="s">
        <v>42</v>
      </c>
      <c r="C3" s="61" t="s">
        <v>43</v>
      </c>
      <c r="D3" s="60" t="s">
        <v>1</v>
      </c>
      <c r="E3" s="69">
        <v>1.229166666666667</v>
      </c>
      <c r="F3" s="60" t="s">
        <v>44</v>
      </c>
      <c r="G3" s="62">
        <v>5</v>
      </c>
      <c r="H3" s="63" t="s">
        <v>46</v>
      </c>
    </row>
    <row r="4" spans="1:8" ht="19.8" customHeight="1" x14ac:dyDescent="0.3">
      <c r="A4" s="68">
        <v>45982</v>
      </c>
      <c r="B4" s="60" t="s">
        <v>26</v>
      </c>
      <c r="C4" s="61" t="s">
        <v>36</v>
      </c>
      <c r="D4" s="60" t="s">
        <v>1</v>
      </c>
      <c r="E4" s="69">
        <v>1.6076388888888891</v>
      </c>
      <c r="F4" s="60" t="s">
        <v>28</v>
      </c>
      <c r="G4" s="62">
        <v>1</v>
      </c>
      <c r="H4" s="63" t="s">
        <v>38</v>
      </c>
    </row>
    <row r="5" spans="1:8" ht="19.8" customHeight="1" x14ac:dyDescent="0.3">
      <c r="A5" s="68">
        <v>45982</v>
      </c>
      <c r="B5" s="60" t="s">
        <v>26</v>
      </c>
      <c r="C5" s="61" t="s">
        <v>36</v>
      </c>
      <c r="D5" s="60" t="s">
        <v>1</v>
      </c>
      <c r="E5" s="69">
        <v>1.6076388888888891</v>
      </c>
      <c r="F5" s="60" t="s">
        <v>31</v>
      </c>
      <c r="G5" s="62">
        <v>1</v>
      </c>
      <c r="H5" s="63" t="s">
        <v>40</v>
      </c>
    </row>
    <row r="6" spans="1:8" ht="19.8" customHeight="1" x14ac:dyDescent="0.3">
      <c r="A6" s="68">
        <v>45982</v>
      </c>
      <c r="B6" s="60" t="s">
        <v>42</v>
      </c>
      <c r="C6" s="61" t="s">
        <v>43</v>
      </c>
      <c r="D6" s="60" t="s">
        <v>1</v>
      </c>
      <c r="E6" s="69">
        <v>1.229166666666667</v>
      </c>
      <c r="F6" s="60" t="s">
        <v>47</v>
      </c>
      <c r="G6" s="62">
        <v>5</v>
      </c>
      <c r="H6" s="63" t="s">
        <v>35</v>
      </c>
    </row>
    <row r="7" spans="1:8" ht="19.8" customHeight="1" x14ac:dyDescent="0.3">
      <c r="A7" s="68">
        <v>45982</v>
      </c>
      <c r="B7" s="60" t="s">
        <v>67</v>
      </c>
      <c r="C7" s="61" t="s">
        <v>71</v>
      </c>
      <c r="D7" s="60" t="s">
        <v>1</v>
      </c>
      <c r="E7" s="69">
        <v>1.9409722222222221</v>
      </c>
      <c r="F7" s="60" t="s">
        <v>69</v>
      </c>
      <c r="G7" s="62">
        <v>9</v>
      </c>
      <c r="H7" s="63" t="s">
        <v>85</v>
      </c>
    </row>
    <row r="8" spans="1:8" ht="19.8" customHeight="1" x14ac:dyDescent="0.3">
      <c r="A8" s="68">
        <v>45982</v>
      </c>
      <c r="B8" s="60" t="s">
        <v>26</v>
      </c>
      <c r="C8" s="61" t="s">
        <v>36</v>
      </c>
      <c r="D8" s="60" t="s">
        <v>1</v>
      </c>
      <c r="E8" s="69">
        <v>1.6076388888888891</v>
      </c>
      <c r="F8" s="60" t="s">
        <v>34</v>
      </c>
      <c r="G8" s="62">
        <v>1</v>
      </c>
      <c r="H8" s="63" t="s">
        <v>41</v>
      </c>
    </row>
    <row r="9" spans="1:8" ht="19.8" customHeight="1" x14ac:dyDescent="0.3">
      <c r="A9" s="68">
        <v>45982</v>
      </c>
      <c r="B9" s="60" t="s">
        <v>42</v>
      </c>
      <c r="C9" s="61" t="s">
        <v>43</v>
      </c>
      <c r="D9" s="60" t="s">
        <v>1</v>
      </c>
      <c r="E9" s="69">
        <v>1.229166666666667</v>
      </c>
      <c r="F9" s="60" t="s">
        <v>49</v>
      </c>
      <c r="G9" s="62">
        <v>5</v>
      </c>
      <c r="H9" s="63" t="s">
        <v>50</v>
      </c>
    </row>
    <row r="10" spans="1:8" ht="19.8" customHeight="1" x14ac:dyDescent="0.3">
      <c r="A10" s="68">
        <v>45982</v>
      </c>
      <c r="B10" s="60" t="s">
        <v>51</v>
      </c>
      <c r="C10" s="61" t="s">
        <v>64</v>
      </c>
      <c r="D10" s="60" t="s">
        <v>1</v>
      </c>
      <c r="E10" s="69">
        <v>1.895833333333333</v>
      </c>
      <c r="F10" s="60" t="s">
        <v>53</v>
      </c>
      <c r="G10" s="62">
        <v>9</v>
      </c>
      <c r="H10" s="63" t="s">
        <v>55</v>
      </c>
    </row>
    <row r="11" spans="1:8" ht="19.8" customHeight="1" x14ac:dyDescent="0.3">
      <c r="A11" s="68">
        <v>45982</v>
      </c>
      <c r="B11" s="60" t="s">
        <v>67</v>
      </c>
      <c r="C11" s="61" t="s">
        <v>86</v>
      </c>
      <c r="D11" s="60" t="s">
        <v>1</v>
      </c>
      <c r="E11" s="69">
        <v>1.697916666666667</v>
      </c>
      <c r="F11" s="60" t="s">
        <v>69</v>
      </c>
      <c r="G11" s="62">
        <v>9</v>
      </c>
      <c r="H11" s="63" t="s">
        <v>87</v>
      </c>
    </row>
    <row r="12" spans="1:8" ht="19.8" customHeight="1" x14ac:dyDescent="0.3">
      <c r="A12" s="68">
        <v>45982</v>
      </c>
      <c r="B12" s="60" t="s">
        <v>51</v>
      </c>
      <c r="C12" s="61" t="s">
        <v>64</v>
      </c>
      <c r="D12" s="60" t="s">
        <v>1</v>
      </c>
      <c r="E12" s="69">
        <v>1.895833333333333</v>
      </c>
      <c r="F12" s="60" t="s">
        <v>56</v>
      </c>
      <c r="G12" s="62">
        <v>9</v>
      </c>
      <c r="H12" s="63" t="s">
        <v>58</v>
      </c>
    </row>
    <row r="13" spans="1:8" ht="19.8" customHeight="1" x14ac:dyDescent="0.3">
      <c r="A13" s="68">
        <v>45982</v>
      </c>
      <c r="B13" s="60" t="s">
        <v>67</v>
      </c>
      <c r="C13" s="61" t="s">
        <v>74</v>
      </c>
      <c r="D13" s="60" t="s">
        <v>1</v>
      </c>
      <c r="E13" s="69">
        <v>1.288194444444444</v>
      </c>
      <c r="F13" s="60" t="s">
        <v>69</v>
      </c>
      <c r="G13" s="62">
        <v>9</v>
      </c>
      <c r="H13" s="63" t="s">
        <v>70</v>
      </c>
    </row>
    <row r="14" spans="1:8" ht="19.8" customHeight="1" x14ac:dyDescent="0.3">
      <c r="A14" s="68">
        <v>45982</v>
      </c>
      <c r="B14" s="60" t="s">
        <v>67</v>
      </c>
      <c r="C14" s="61" t="s">
        <v>68</v>
      </c>
      <c r="D14" s="60" t="s">
        <v>1</v>
      </c>
      <c r="E14" s="69">
        <v>1.0659722222222221</v>
      </c>
      <c r="F14" s="60" t="s">
        <v>69</v>
      </c>
      <c r="G14" s="62">
        <v>9</v>
      </c>
      <c r="H14" s="63" t="s">
        <v>73</v>
      </c>
    </row>
    <row r="15" spans="1:8" ht="19.8" customHeight="1" x14ac:dyDescent="0.3">
      <c r="A15" s="68">
        <v>45982</v>
      </c>
      <c r="B15" s="60" t="s">
        <v>67</v>
      </c>
      <c r="C15" s="61" t="s">
        <v>77</v>
      </c>
      <c r="D15" s="60" t="s">
        <v>1</v>
      </c>
      <c r="E15" s="69">
        <v>1.336805555555556</v>
      </c>
      <c r="F15" s="60" t="s">
        <v>69</v>
      </c>
      <c r="G15" s="62">
        <v>9</v>
      </c>
      <c r="H15" s="63" t="s">
        <v>73</v>
      </c>
    </row>
    <row r="16" spans="1:8" ht="19.8" customHeight="1" x14ac:dyDescent="0.3">
      <c r="A16" s="68">
        <v>45982</v>
      </c>
      <c r="B16" s="60" t="s">
        <v>51</v>
      </c>
      <c r="C16" s="61" t="s">
        <v>52</v>
      </c>
      <c r="D16" s="60" t="s">
        <v>1</v>
      </c>
      <c r="E16" s="69">
        <v>1.1840277777777779</v>
      </c>
      <c r="F16" s="60" t="s">
        <v>56</v>
      </c>
      <c r="G16" s="62">
        <v>9</v>
      </c>
      <c r="H16" s="63" t="s">
        <v>60</v>
      </c>
    </row>
    <row r="17" spans="1:8" ht="19.8" customHeight="1" x14ac:dyDescent="0.3">
      <c r="A17" s="68">
        <v>45982</v>
      </c>
      <c r="B17" s="60" t="s">
        <v>51</v>
      </c>
      <c r="C17" s="61" t="s">
        <v>59</v>
      </c>
      <c r="D17" s="60" t="s">
        <v>1</v>
      </c>
      <c r="E17" s="69">
        <v>1.350694444444444</v>
      </c>
      <c r="F17" s="60" t="s">
        <v>56</v>
      </c>
      <c r="G17" s="62">
        <v>9</v>
      </c>
      <c r="H17" s="63" t="s">
        <v>60</v>
      </c>
    </row>
    <row r="18" spans="1:8" ht="19.8" customHeight="1" x14ac:dyDescent="0.3">
      <c r="A18" s="70">
        <v>45982</v>
      </c>
      <c r="B18" s="71" t="s">
        <v>51</v>
      </c>
      <c r="C18" s="72" t="s">
        <v>61</v>
      </c>
      <c r="D18" s="71" t="s">
        <v>1</v>
      </c>
      <c r="E18" s="73">
        <v>1.229166666666667</v>
      </c>
      <c r="F18" s="71" t="s">
        <v>56</v>
      </c>
      <c r="G18" s="74">
        <v>4</v>
      </c>
      <c r="H18" s="75" t="s">
        <v>63</v>
      </c>
    </row>
    <row r="19" spans="1:8" ht="19.8" customHeight="1" x14ac:dyDescent="0.3">
      <c r="A19" s="82">
        <v>45983</v>
      </c>
      <c r="B19" s="65" t="s">
        <v>78</v>
      </c>
      <c r="C19" s="66" t="s">
        <v>97</v>
      </c>
      <c r="D19" s="65" t="s">
        <v>1</v>
      </c>
      <c r="E19" s="83">
        <v>1.2361111111111109</v>
      </c>
      <c r="F19" s="65" t="s">
        <v>98</v>
      </c>
      <c r="G19" s="84">
        <v>2</v>
      </c>
      <c r="H19" s="67" t="s">
        <v>100</v>
      </c>
    </row>
  </sheetData>
  <pageMargins left="0.75" right="0.75" top="1" bottom="1" header="0.5" footer="0.5"/>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N19"/>
  <sheetViews>
    <sheetView workbookViewId="0"/>
  </sheetViews>
  <sheetFormatPr defaultRowHeight="14.4" x14ac:dyDescent="0.3"/>
  <cols>
    <col min="1" max="1" width="10.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47.77734375" bestFit="1" customWidth="1"/>
  </cols>
  <sheetData>
    <row r="1" spans="1:92" ht="28.8" customHeight="1" x14ac:dyDescent="0.3">
      <c r="A1" s="261" t="s">
        <v>0</v>
      </c>
      <c r="B1" s="251"/>
      <c r="C1" s="251"/>
      <c r="D1" s="251"/>
      <c r="E1" s="251"/>
      <c r="F1" s="1" t="s">
        <v>162</v>
      </c>
      <c r="G1" s="2" t="s">
        <v>2</v>
      </c>
      <c r="H1" s="260">
        <v>45981</v>
      </c>
      <c r="I1" s="251"/>
      <c r="J1" s="251"/>
      <c r="K1" s="251"/>
      <c r="L1" s="251"/>
      <c r="M1" s="1" t="s">
        <v>3</v>
      </c>
      <c r="N1" s="266">
        <v>45983</v>
      </c>
      <c r="O1" s="251"/>
      <c r="P1" s="251"/>
      <c r="Q1" s="251"/>
      <c r="R1" s="251"/>
      <c r="CA1" s="3"/>
      <c r="CB1" s="3"/>
      <c r="CC1" s="3"/>
      <c r="CD1" s="3"/>
      <c r="CE1" s="3"/>
      <c r="CF1" s="3"/>
      <c r="CG1" s="3"/>
      <c r="CH1" s="3"/>
      <c r="CI1" s="3"/>
      <c r="CJ1" s="3"/>
      <c r="CK1" s="3"/>
      <c r="CL1" s="3"/>
      <c r="CM1" s="3"/>
      <c r="CN1" s="3"/>
    </row>
    <row r="2" spans="1:92" ht="23.4" customHeight="1" x14ac:dyDescent="0.3">
      <c r="A2" s="250" t="s">
        <v>4</v>
      </c>
      <c r="B2" s="251"/>
      <c r="C2" s="251"/>
      <c r="D2" s="251"/>
      <c r="E2" s="251"/>
      <c r="F2" s="251"/>
      <c r="G2" s="262">
        <v>45980.493029398487</v>
      </c>
      <c r="H2" s="251"/>
      <c r="I2" s="251"/>
      <c r="J2" s="251"/>
      <c r="K2" s="263">
        <v>45980.493029398793</v>
      </c>
      <c r="L2" s="251"/>
      <c r="M2" s="251"/>
      <c r="N2" s="251"/>
      <c r="O2" s="251"/>
      <c r="P2" s="251"/>
      <c r="Q2" s="251"/>
      <c r="R2" s="251"/>
      <c r="CA2" s="3"/>
      <c r="CB2" s="3"/>
      <c r="CC2" s="3"/>
      <c r="CD2" s="3"/>
      <c r="CE2" s="3"/>
      <c r="CF2" s="3"/>
      <c r="CG2" s="3"/>
      <c r="CH2" s="3"/>
      <c r="CI2" s="3"/>
      <c r="CJ2" s="3"/>
      <c r="CK2" s="3"/>
      <c r="CL2" s="3"/>
      <c r="CM2" s="3"/>
      <c r="CN2" s="3"/>
    </row>
    <row r="3" spans="1:92" ht="24" customHeight="1" x14ac:dyDescent="0.3">
      <c r="A3" s="252" t="s">
        <v>5</v>
      </c>
      <c r="B3" s="251"/>
      <c r="C3" s="251"/>
      <c r="D3" s="251"/>
      <c r="E3" s="251"/>
      <c r="F3" s="251"/>
      <c r="G3" s="251"/>
      <c r="H3" s="251"/>
      <c r="I3" s="251"/>
      <c r="J3" s="251"/>
      <c r="K3" s="251"/>
      <c r="L3" s="251"/>
      <c r="M3" s="251"/>
      <c r="N3" s="251"/>
      <c r="O3" s="251"/>
      <c r="P3" s="251"/>
      <c r="Q3" s="251"/>
      <c r="R3" s="251"/>
      <c r="CA3" s="3"/>
      <c r="CB3" s="3"/>
      <c r="CC3" s="3"/>
      <c r="CD3" s="3"/>
      <c r="CE3" s="3"/>
      <c r="CF3" s="3"/>
      <c r="CG3" s="3"/>
      <c r="CH3" s="3"/>
      <c r="CI3" s="3"/>
      <c r="CJ3" s="3"/>
      <c r="CK3" s="3"/>
      <c r="CL3" s="3"/>
      <c r="CM3" s="3"/>
      <c r="CN3" s="3"/>
    </row>
    <row r="4" spans="1:92" ht="22.05" customHeight="1" x14ac:dyDescent="0.3">
      <c r="A4" s="264" t="s">
        <v>6</v>
      </c>
      <c r="B4" s="254"/>
      <c r="C4" s="254"/>
      <c r="D4" s="254"/>
      <c r="E4" s="254"/>
      <c r="F4" s="255"/>
      <c r="G4" s="4">
        <v>45981</v>
      </c>
      <c r="H4" s="265" t="s">
        <v>7</v>
      </c>
      <c r="I4" s="254"/>
      <c r="J4" s="254"/>
      <c r="K4" s="254"/>
      <c r="L4" s="254"/>
      <c r="M4" s="254"/>
      <c r="N4" s="254"/>
      <c r="O4" s="254"/>
      <c r="P4" s="254"/>
      <c r="Q4" s="254"/>
      <c r="R4" s="25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5" t="s">
        <v>78</v>
      </c>
      <c r="B6" s="85" t="s">
        <v>163</v>
      </c>
      <c r="C6" s="86">
        <v>0.47916666666666669</v>
      </c>
      <c r="D6" s="85" t="s">
        <v>98</v>
      </c>
      <c r="E6" s="85" t="s">
        <v>99</v>
      </c>
      <c r="F6" s="85" t="s">
        <v>164</v>
      </c>
      <c r="G6" s="256"/>
      <c r="H6" s="87" t="s">
        <v>165</v>
      </c>
      <c r="I6" s="88">
        <v>0.98329999999999995</v>
      </c>
      <c r="J6" s="89">
        <v>177</v>
      </c>
      <c r="K6" s="90">
        <v>45974</v>
      </c>
      <c r="L6" s="89">
        <v>50</v>
      </c>
      <c r="M6" s="89">
        <v>0</v>
      </c>
      <c r="N6" s="89">
        <v>0</v>
      </c>
      <c r="O6" s="91" t="s">
        <v>166</v>
      </c>
      <c r="P6" s="92">
        <v>0.47916666666666669</v>
      </c>
      <c r="Q6" s="89">
        <v>180</v>
      </c>
      <c r="R6" s="93" t="s">
        <v>167</v>
      </c>
    </row>
    <row r="7" spans="1:92" ht="18" x14ac:dyDescent="0.3">
      <c r="A7" s="267" t="s">
        <v>168</v>
      </c>
      <c r="B7" s="268"/>
      <c r="C7" s="268"/>
      <c r="D7" s="268"/>
      <c r="E7" s="268"/>
      <c r="F7" s="269"/>
      <c r="G7" s="257"/>
      <c r="H7" s="94"/>
      <c r="I7" s="94"/>
      <c r="J7" s="94"/>
      <c r="K7" s="94"/>
      <c r="L7" s="94"/>
      <c r="M7" s="94"/>
      <c r="N7" s="94"/>
      <c r="O7" s="95"/>
      <c r="P7" s="94"/>
      <c r="Q7" s="55"/>
      <c r="R7" s="55"/>
    </row>
    <row r="8" spans="1:92" ht="15" customHeight="1" x14ac:dyDescent="0.3">
      <c r="A8" s="17" t="s">
        <v>26</v>
      </c>
      <c r="B8" s="17" t="s">
        <v>27</v>
      </c>
      <c r="C8" s="18" t="s">
        <v>152</v>
      </c>
      <c r="D8" s="17" t="s">
        <v>28</v>
      </c>
      <c r="E8" s="17" t="s">
        <v>169</v>
      </c>
      <c r="F8" s="17" t="s">
        <v>30</v>
      </c>
      <c r="G8" s="257"/>
      <c r="H8" s="94"/>
      <c r="I8" s="94"/>
      <c r="J8" s="94"/>
      <c r="K8" s="94"/>
      <c r="L8" s="94"/>
      <c r="M8" s="94"/>
      <c r="N8" s="94"/>
      <c r="O8" s="95"/>
      <c r="P8" s="94"/>
      <c r="Q8" s="55"/>
      <c r="R8" s="55"/>
    </row>
    <row r="9" spans="1:92" ht="15" customHeight="1" x14ac:dyDescent="0.3">
      <c r="A9" s="17" t="s">
        <v>42</v>
      </c>
      <c r="B9" s="17" t="s">
        <v>43</v>
      </c>
      <c r="C9" s="18" t="s">
        <v>153</v>
      </c>
      <c r="D9" s="17" t="s">
        <v>44</v>
      </c>
      <c r="E9" s="17" t="s">
        <v>170</v>
      </c>
      <c r="F9" s="17" t="s">
        <v>46</v>
      </c>
      <c r="G9" s="257"/>
      <c r="H9" s="94"/>
      <c r="I9" s="94"/>
      <c r="J9" s="94"/>
      <c r="K9" s="94"/>
      <c r="L9" s="94"/>
      <c r="M9" s="94"/>
      <c r="N9" s="94"/>
      <c r="O9" s="95"/>
      <c r="P9" s="94"/>
      <c r="Q9" s="55"/>
      <c r="R9" s="55"/>
    </row>
    <row r="10" spans="1:92" ht="15" customHeight="1" x14ac:dyDescent="0.3">
      <c r="A10" s="17" t="s">
        <v>26</v>
      </c>
      <c r="B10" s="17" t="s">
        <v>36</v>
      </c>
      <c r="C10" s="18" t="s">
        <v>154</v>
      </c>
      <c r="D10" s="17" t="s">
        <v>28</v>
      </c>
      <c r="E10" s="17" t="s">
        <v>171</v>
      </c>
      <c r="F10" s="17" t="s">
        <v>38</v>
      </c>
      <c r="G10" s="257"/>
      <c r="H10" s="94"/>
      <c r="I10" s="94"/>
      <c r="J10" s="94"/>
      <c r="K10" s="94"/>
      <c r="L10" s="94"/>
      <c r="M10" s="94"/>
      <c r="N10" s="94"/>
      <c r="O10" s="95"/>
      <c r="P10" s="94"/>
      <c r="Q10" s="55"/>
      <c r="R10" s="55"/>
    </row>
    <row r="11" spans="1:92" ht="15" customHeight="1" x14ac:dyDescent="0.3">
      <c r="A11" s="17" t="s">
        <v>26</v>
      </c>
      <c r="B11" s="17" t="s">
        <v>27</v>
      </c>
      <c r="C11" s="18" t="s">
        <v>152</v>
      </c>
      <c r="D11" s="17" t="s">
        <v>31</v>
      </c>
      <c r="E11" s="17" t="s">
        <v>169</v>
      </c>
      <c r="F11" s="17" t="s">
        <v>33</v>
      </c>
      <c r="G11" s="257"/>
      <c r="H11" s="94"/>
      <c r="I11" s="94"/>
      <c r="J11" s="94"/>
      <c r="K11" s="94"/>
      <c r="L11" s="94"/>
      <c r="M11" s="94"/>
      <c r="N11" s="94"/>
      <c r="O11" s="95"/>
      <c r="P11" s="94"/>
      <c r="Q11" s="55"/>
      <c r="R11" s="55"/>
    </row>
    <row r="12" spans="1:92" ht="15" customHeight="1" x14ac:dyDescent="0.3">
      <c r="A12" s="17" t="s">
        <v>26</v>
      </c>
      <c r="B12" s="17" t="s">
        <v>36</v>
      </c>
      <c r="C12" s="18" t="s">
        <v>154</v>
      </c>
      <c r="D12" s="17" t="s">
        <v>31</v>
      </c>
      <c r="E12" s="17" t="s">
        <v>171</v>
      </c>
      <c r="F12" s="17" t="s">
        <v>40</v>
      </c>
      <c r="G12" s="257"/>
      <c r="H12" s="94"/>
      <c r="I12" s="94"/>
      <c r="J12" s="94"/>
      <c r="K12" s="94"/>
      <c r="L12" s="94"/>
      <c r="M12" s="94"/>
      <c r="N12" s="94"/>
      <c r="O12" s="95"/>
      <c r="P12" s="94"/>
      <c r="Q12" s="55"/>
      <c r="R12" s="55"/>
    </row>
    <row r="13" spans="1:92" ht="15" customHeight="1" x14ac:dyDescent="0.3">
      <c r="A13" s="17" t="s">
        <v>42</v>
      </c>
      <c r="B13" s="17" t="s">
        <v>43</v>
      </c>
      <c r="C13" s="18" t="s">
        <v>153</v>
      </c>
      <c r="D13" s="17" t="s">
        <v>47</v>
      </c>
      <c r="E13" s="17" t="s">
        <v>170</v>
      </c>
      <c r="F13" s="17" t="s">
        <v>35</v>
      </c>
      <c r="G13" s="257"/>
      <c r="H13" s="94"/>
      <c r="I13" s="94"/>
      <c r="J13" s="94"/>
      <c r="K13" s="94"/>
      <c r="L13" s="94"/>
      <c r="M13" s="94"/>
      <c r="N13" s="94"/>
      <c r="O13" s="95"/>
      <c r="P13" s="94"/>
      <c r="Q13" s="55"/>
      <c r="R13" s="55"/>
    </row>
    <row r="14" spans="1:92" ht="15" customHeight="1" x14ac:dyDescent="0.3">
      <c r="A14" s="17" t="s">
        <v>26</v>
      </c>
      <c r="B14" s="17" t="s">
        <v>27</v>
      </c>
      <c r="C14" s="18" t="s">
        <v>152</v>
      </c>
      <c r="D14" s="17" t="s">
        <v>34</v>
      </c>
      <c r="E14" s="17" t="s">
        <v>169</v>
      </c>
      <c r="F14" s="17" t="s">
        <v>35</v>
      </c>
      <c r="G14" s="257"/>
      <c r="H14" s="94"/>
      <c r="I14" s="94"/>
      <c r="J14" s="94"/>
      <c r="K14" s="94"/>
      <c r="L14" s="94"/>
      <c r="M14" s="94"/>
      <c r="N14" s="94"/>
      <c r="O14" s="95"/>
      <c r="P14" s="94"/>
      <c r="Q14" s="55"/>
      <c r="R14" s="55"/>
    </row>
    <row r="15" spans="1:92" ht="15" customHeight="1" x14ac:dyDescent="0.3">
      <c r="A15" s="17" t="s">
        <v>26</v>
      </c>
      <c r="B15" s="17" t="s">
        <v>36</v>
      </c>
      <c r="C15" s="18" t="s">
        <v>154</v>
      </c>
      <c r="D15" s="17" t="s">
        <v>34</v>
      </c>
      <c r="E15" s="17" t="s">
        <v>171</v>
      </c>
      <c r="F15" s="17" t="s">
        <v>41</v>
      </c>
      <c r="G15" s="257"/>
      <c r="H15" s="94"/>
      <c r="I15" s="94"/>
      <c r="J15" s="94"/>
      <c r="K15" s="94"/>
      <c r="L15" s="94"/>
      <c r="M15" s="94"/>
      <c r="N15" s="94"/>
      <c r="O15" s="95"/>
      <c r="P15" s="94"/>
      <c r="Q15" s="55"/>
      <c r="R15" s="55"/>
    </row>
    <row r="16" spans="1:92" ht="15" customHeight="1" x14ac:dyDescent="0.3">
      <c r="A16" s="17" t="s">
        <v>42</v>
      </c>
      <c r="B16" s="17" t="s">
        <v>43</v>
      </c>
      <c r="C16" s="18" t="s">
        <v>153</v>
      </c>
      <c r="D16" s="17" t="s">
        <v>49</v>
      </c>
      <c r="E16" s="17" t="s">
        <v>170</v>
      </c>
      <c r="F16" s="17" t="s">
        <v>50</v>
      </c>
      <c r="G16" s="257"/>
      <c r="H16" s="94"/>
      <c r="I16" s="94"/>
      <c r="J16" s="94"/>
      <c r="K16" s="94"/>
      <c r="L16" s="94"/>
      <c r="M16" s="94"/>
      <c r="N16" s="94"/>
      <c r="O16" s="95"/>
      <c r="P16" s="94"/>
      <c r="Q16" s="55"/>
      <c r="R16" s="55"/>
    </row>
    <row r="17" spans="1:18" ht="15" customHeight="1" thickBot="1" x14ac:dyDescent="0.35">
      <c r="A17" s="39" t="s">
        <v>51</v>
      </c>
      <c r="B17" s="39" t="s">
        <v>52</v>
      </c>
      <c r="C17" s="40" t="s">
        <v>155</v>
      </c>
      <c r="D17" s="39" t="s">
        <v>53</v>
      </c>
      <c r="E17" s="39" t="s">
        <v>172</v>
      </c>
      <c r="F17" s="39" t="s">
        <v>55</v>
      </c>
      <c r="G17" s="258"/>
      <c r="H17" s="96"/>
      <c r="I17" s="96"/>
      <c r="J17" s="96"/>
      <c r="K17" s="96"/>
      <c r="L17" s="96"/>
      <c r="M17" s="96"/>
      <c r="N17" s="96"/>
      <c r="O17" s="97"/>
      <c r="P17" s="96"/>
      <c r="Q17" s="98"/>
      <c r="R17" s="98"/>
    </row>
    <row r="18" spans="1:18" ht="17.399999999999999" customHeight="1" thickBot="1" x14ac:dyDescent="0.35">
      <c r="A18" s="285"/>
      <c r="B18" s="286"/>
      <c r="C18" s="286"/>
      <c r="D18" s="286"/>
      <c r="E18" s="286"/>
      <c r="F18" s="286"/>
      <c r="G18" s="286"/>
      <c r="H18" s="286"/>
      <c r="I18" s="286"/>
      <c r="J18" s="286"/>
      <c r="K18" s="286"/>
      <c r="L18" s="286"/>
      <c r="M18" s="286"/>
      <c r="N18" s="286"/>
      <c r="O18" s="286"/>
      <c r="P18" s="286"/>
      <c r="Q18" s="286"/>
      <c r="R18" s="287"/>
    </row>
    <row r="19" spans="1:18" ht="15" thickTop="1" x14ac:dyDescent="0.3"/>
  </sheetData>
  <mergeCells count="12">
    <mergeCell ref="A18:R18"/>
    <mergeCell ref="N1:R1"/>
    <mergeCell ref="A2:F2"/>
    <mergeCell ref="A3:R3"/>
    <mergeCell ref="G6:G17"/>
    <mergeCell ref="H1:L1"/>
    <mergeCell ref="A1:E1"/>
    <mergeCell ref="G2:J2"/>
    <mergeCell ref="K2:R2"/>
    <mergeCell ref="A4:F4"/>
    <mergeCell ref="H4:R4"/>
    <mergeCell ref="A7:F7"/>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3"/>
  <sheetViews>
    <sheetView workbookViewId="0"/>
  </sheetViews>
  <sheetFormatPr defaultRowHeight="15.6" outlineLevelCol="1" x14ac:dyDescent="0.3"/>
  <cols>
    <col min="1" max="1" width="9.88671875" style="272" bestFit="1" customWidth="1"/>
    <col min="2" max="2" width="10.44140625" style="272" bestFit="1" customWidth="1"/>
    <col min="3" max="3" width="6.77734375" style="272" bestFit="1" customWidth="1"/>
    <col min="4" max="4" width="5.5546875" style="272" bestFit="1" customWidth="1"/>
    <col min="5" max="5" width="9.109375" style="272" bestFit="1" customWidth="1"/>
    <col min="6" max="6" width="4.21875" style="272" bestFit="1" customWidth="1"/>
    <col min="7" max="7" width="10" style="272" bestFit="1" customWidth="1"/>
    <col min="8" max="10" width="7" style="272" bestFit="1" customWidth="1"/>
    <col min="11" max="11" width="10.5546875" style="272" bestFit="1" customWidth="1"/>
    <col min="12" max="12" width="9.10937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25" width="3.88671875" style="272" bestFit="1" customWidth="1"/>
    <col min="26" max="26" width="4.109375" style="272" bestFit="1" customWidth="1"/>
    <col min="27" max="32" width="3.88671875" style="272" bestFit="1" customWidth="1"/>
    <col min="33" max="33" width="4.21875" style="272" bestFit="1" customWidth="1"/>
    <col min="34" max="34" width="3.88671875" style="272" bestFit="1" customWidth="1"/>
    <col min="35" max="35" width="4.21875" style="272" bestFit="1" customWidth="1"/>
    <col min="36" max="36" width="3.88671875" style="272" bestFit="1" customWidth="1"/>
    <col min="37" max="16384" width="8.88671875" style="272"/>
  </cols>
  <sheetData>
    <row r="1" spans="1:36" x14ac:dyDescent="0.3">
      <c r="A1" s="271" t="s">
        <v>103</v>
      </c>
      <c r="B1" s="271" t="s">
        <v>104</v>
      </c>
      <c r="C1" s="271" t="s">
        <v>105</v>
      </c>
      <c r="D1" s="271" t="s">
        <v>23</v>
      </c>
      <c r="E1" s="271" t="s">
        <v>106</v>
      </c>
      <c r="F1" s="271" t="s">
        <v>107</v>
      </c>
      <c r="G1" s="271" t="s">
        <v>16</v>
      </c>
      <c r="H1" s="271" t="s">
        <v>108</v>
      </c>
      <c r="I1" s="271" t="s">
        <v>109</v>
      </c>
      <c r="J1" s="271" t="s">
        <v>110</v>
      </c>
      <c r="K1" s="271" t="s">
        <v>111</v>
      </c>
      <c r="L1" s="271" t="s">
        <v>18</v>
      </c>
      <c r="M1" s="271" t="s">
        <v>20</v>
      </c>
      <c r="N1" s="271" t="s">
        <v>21</v>
      </c>
      <c r="O1" s="271" t="s">
        <v>19</v>
      </c>
      <c r="P1" s="271" t="s">
        <v>22</v>
      </c>
      <c r="Q1" s="271" t="s">
        <v>112</v>
      </c>
      <c r="R1" s="271" t="s">
        <v>113</v>
      </c>
      <c r="S1" s="271" t="s">
        <v>114</v>
      </c>
      <c r="T1" s="271" t="s">
        <v>115</v>
      </c>
      <c r="U1" s="271" t="s">
        <v>116</v>
      </c>
      <c r="V1" s="271" t="s">
        <v>117</v>
      </c>
      <c r="W1" s="271" t="s">
        <v>118</v>
      </c>
      <c r="X1" s="271" t="s">
        <v>119</v>
      </c>
      <c r="Y1" s="271" t="s">
        <v>120</v>
      </c>
      <c r="Z1" s="271" t="s">
        <v>121</v>
      </c>
      <c r="AA1" s="271" t="s">
        <v>122</v>
      </c>
      <c r="AB1" s="271" t="s">
        <v>123</v>
      </c>
      <c r="AC1" s="271" t="s">
        <v>124</v>
      </c>
      <c r="AD1" s="271" t="s">
        <v>125</v>
      </c>
      <c r="AE1" s="271" t="s">
        <v>126</v>
      </c>
      <c r="AF1" s="271" t="s">
        <v>127</v>
      </c>
      <c r="AG1" s="271" t="s">
        <v>128</v>
      </c>
      <c r="AH1" s="271" t="s">
        <v>129</v>
      </c>
      <c r="AI1" s="271" t="s">
        <v>130</v>
      </c>
      <c r="AJ1" s="271" t="s">
        <v>131</v>
      </c>
    </row>
    <row r="2" spans="1:36" x14ac:dyDescent="0.3">
      <c r="A2" s="273" t="s">
        <v>132</v>
      </c>
      <c r="B2" s="274">
        <v>45981</v>
      </c>
      <c r="C2" s="275" t="s">
        <v>165</v>
      </c>
      <c r="D2" s="276" t="s">
        <v>173</v>
      </c>
      <c r="E2" s="275" t="s">
        <v>162</v>
      </c>
      <c r="F2" s="275" t="s">
        <v>134</v>
      </c>
      <c r="G2" s="277">
        <v>0.98329999999999995</v>
      </c>
      <c r="H2" s="278">
        <v>180</v>
      </c>
      <c r="I2" s="278">
        <v>177</v>
      </c>
      <c r="J2" s="278">
        <v>135</v>
      </c>
      <c r="K2" s="275" t="s">
        <v>135</v>
      </c>
      <c r="L2" s="279">
        <v>45974</v>
      </c>
      <c r="M2" s="278">
        <v>0</v>
      </c>
      <c r="N2" s="278">
        <v>0</v>
      </c>
      <c r="O2" s="278">
        <v>50</v>
      </c>
      <c r="P2" s="275" t="s">
        <v>166</v>
      </c>
      <c r="Q2" s="271"/>
      <c r="R2" s="271"/>
      <c r="S2" s="271"/>
      <c r="T2" s="271"/>
      <c r="U2" s="278" t="s">
        <v>174</v>
      </c>
      <c r="V2" s="271"/>
      <c r="W2" s="271"/>
      <c r="X2" s="278" t="s">
        <v>175</v>
      </c>
      <c r="Y2" s="271"/>
      <c r="Z2" s="278" t="s">
        <v>176</v>
      </c>
      <c r="AA2" s="271"/>
      <c r="AB2" s="271"/>
      <c r="AC2" s="278" t="s">
        <v>177</v>
      </c>
      <c r="AD2" s="271"/>
      <c r="AE2" s="278" t="s">
        <v>178</v>
      </c>
      <c r="AF2" s="278" t="s">
        <v>141</v>
      </c>
      <c r="AG2" s="278" t="s">
        <v>147</v>
      </c>
      <c r="AH2" s="271"/>
      <c r="AI2" s="278" t="s">
        <v>179</v>
      </c>
      <c r="AJ2" s="271"/>
    </row>
    <row r="3" spans="1:36" ht="21" x14ac:dyDescent="0.3">
      <c r="A3" s="280" t="s">
        <v>932</v>
      </c>
      <c r="B3" s="281"/>
      <c r="C3" s="280">
        <f>SUBTOTAL(103,HBE_MED_LF_LEGACY[Flt])</f>
        <v>1</v>
      </c>
      <c r="D3" s="280"/>
      <c r="E3" s="280">
        <f>SUBTOTAL(103,HBE_MED_LF_LEGACY[Brd-Off])</f>
        <v>1</v>
      </c>
      <c r="F3" s="280"/>
      <c r="G3" s="282">
        <f>SUBTOTAL(101,HBE_MED_LF_LEGACY[LF%])</f>
        <v>0.98329999999999995</v>
      </c>
      <c r="H3" s="283">
        <f>SUBTOTAL(109,HBE_MED_LF_LEGACY[CAP])</f>
        <v>180</v>
      </c>
      <c r="I3" s="283">
        <f>SUBTOTAL(109,HBE_MED_LF_LEGACY[BKG(Y)])</f>
        <v>177</v>
      </c>
      <c r="J3" s="283">
        <f>SUBTOTAL(109,HBE_MED_LF_LEGACY[GRP(Y)])</f>
        <v>135</v>
      </c>
      <c r="K3" s="280"/>
      <c r="L3" s="281"/>
      <c r="M3" s="283">
        <f>SUBTOTAL(109,HBE_MED_LF_LEGACY[TO-DAY])</f>
        <v>0</v>
      </c>
      <c r="N3" s="283">
        <f>SUBTOTAL(109,HBE_MED_LF_LEGACY[Y-DAY])</f>
        <v>0</v>
      </c>
      <c r="O3" s="283">
        <f>SUBTOTAL(109,HBE_MED_LF_LEGACY[WEEKLY])</f>
        <v>50</v>
      </c>
      <c r="P3" s="284"/>
      <c r="Q3" s="283">
        <f>SUBTOTAL(109,HBE_MED_LF_LEGACY[Y])</f>
        <v>0</v>
      </c>
      <c r="R3" s="283">
        <f>SUBTOTAL(109,HBE_MED_LF_LEGACY[B])</f>
        <v>0</v>
      </c>
      <c r="S3" s="283">
        <f>SUBTOTAL(109,HBE_MED_LF_LEGACY[M])</f>
        <v>0</v>
      </c>
      <c r="T3" s="283">
        <f>SUBTOTAL(109,HBE_MED_LF_LEGACY[H])</f>
        <v>0</v>
      </c>
      <c r="U3" s="283">
        <f>SUBTOTAL(109,HBE_MED_LF_LEGACY[Q])</f>
        <v>0</v>
      </c>
      <c r="V3" s="283">
        <f>SUBTOTAL(109,HBE_MED_LF_LEGACY[K])</f>
        <v>0</v>
      </c>
      <c r="W3" s="283">
        <f>SUBTOTAL(109,HBE_MED_LF_LEGACY[V])</f>
        <v>0</v>
      </c>
      <c r="X3" s="283">
        <f>SUBTOTAL(109,HBE_MED_LF_LEGACY[L])</f>
        <v>0</v>
      </c>
      <c r="Y3" s="283">
        <f>SUBTOTAL(109,HBE_MED_LF_LEGACY[G])</f>
        <v>0</v>
      </c>
      <c r="Z3" s="283">
        <f>SUBTOTAL(109,HBE_MED_LF_LEGACY[S])</f>
        <v>0</v>
      </c>
      <c r="AA3" s="283">
        <f>SUBTOTAL(109,HBE_MED_LF_LEGACY[W])</f>
        <v>0</v>
      </c>
      <c r="AB3" s="283">
        <f>SUBTOTAL(109,HBE_MED_LF_LEGACY[T])</f>
        <v>0</v>
      </c>
      <c r="AC3" s="283">
        <f>SUBTOTAL(109,HBE_MED_LF_LEGACY[X])</f>
        <v>0</v>
      </c>
      <c r="AD3" s="283">
        <f>SUBTOTAL(109,HBE_MED_LF_LEGACY[U])</f>
        <v>0</v>
      </c>
      <c r="AE3" s="283">
        <f>SUBTOTAL(109,HBE_MED_LF_LEGACY[O])</f>
        <v>0</v>
      </c>
      <c r="AF3" s="283">
        <f>SUBTOTAL(109,HBE_MED_LF_LEGACY[I])</f>
        <v>0</v>
      </c>
      <c r="AG3" s="283">
        <f>SUBTOTAL(109,HBE_MED_LF_LEGACY[E])</f>
        <v>0</v>
      </c>
      <c r="AH3" s="283">
        <f>SUBTOTAL(109,HBE_MED_LF_LEGACY[A])</f>
        <v>0</v>
      </c>
      <c r="AI3" s="283">
        <f>SUBTOTAL(109,HBE_MED_LF_LEGACY[P])</f>
        <v>0</v>
      </c>
      <c r="AJ3" s="283">
        <f>SUBTOTAL(103,HBE_MED_LF_LEGACY[N])</f>
        <v>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5"/>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33.21875" bestFit="1" customWidth="1"/>
    <col min="7" max="7" width="20" bestFit="1" customWidth="1"/>
    <col min="8" max="8" width="23.6640625" bestFit="1" customWidth="1"/>
    <col min="9" max="9" width="184.21875" hidden="1" customWidth="1"/>
  </cols>
  <sheetData>
    <row r="1" spans="1:8" ht="18" x14ac:dyDescent="0.3">
      <c r="A1" s="56" t="s">
        <v>149</v>
      </c>
      <c r="B1" s="57" t="s">
        <v>8</v>
      </c>
      <c r="C1" s="57" t="s">
        <v>9</v>
      </c>
      <c r="D1" s="57" t="s">
        <v>150</v>
      </c>
      <c r="E1" s="57" t="s">
        <v>10</v>
      </c>
      <c r="F1" s="57" t="s">
        <v>11</v>
      </c>
      <c r="G1" s="57" t="s">
        <v>12</v>
      </c>
      <c r="H1" s="58" t="s">
        <v>13</v>
      </c>
    </row>
    <row r="2" spans="1:8" ht="19.8" customHeight="1" x14ac:dyDescent="0.3">
      <c r="A2" s="99" t="s">
        <v>151</v>
      </c>
      <c r="B2" s="77" t="s">
        <v>78</v>
      </c>
      <c r="C2" s="78" t="s">
        <v>163</v>
      </c>
      <c r="D2" s="77" t="s">
        <v>162</v>
      </c>
      <c r="E2" s="77" t="s">
        <v>173</v>
      </c>
      <c r="F2" s="77" t="s">
        <v>98</v>
      </c>
      <c r="G2" s="80">
        <v>2</v>
      </c>
      <c r="H2" s="81" t="s">
        <v>164</v>
      </c>
    </row>
    <row r="3" spans="1:8" ht="19.8" customHeight="1" x14ac:dyDescent="0.3">
      <c r="A3" s="100"/>
      <c r="B3" s="101"/>
      <c r="C3" s="101"/>
      <c r="D3" s="101"/>
      <c r="E3" s="101"/>
      <c r="F3" s="102" t="s">
        <v>180</v>
      </c>
      <c r="G3" s="101"/>
      <c r="H3" s="103"/>
    </row>
    <row r="4" spans="1:8" ht="19.8" customHeight="1" x14ac:dyDescent="0.3">
      <c r="A4" s="68">
        <v>45981</v>
      </c>
      <c r="B4" s="60" t="s">
        <v>26</v>
      </c>
      <c r="C4" s="61" t="s">
        <v>27</v>
      </c>
      <c r="D4" s="60" t="s">
        <v>1</v>
      </c>
      <c r="E4" s="69">
        <v>1.4340277777777779</v>
      </c>
      <c r="F4" s="60" t="s">
        <v>28</v>
      </c>
      <c r="G4" s="62">
        <v>9</v>
      </c>
      <c r="H4" s="63" t="s">
        <v>30</v>
      </c>
    </row>
    <row r="5" spans="1:8" ht="19.8" customHeight="1" x14ac:dyDescent="0.3">
      <c r="A5" s="68">
        <v>45981</v>
      </c>
      <c r="B5" s="60" t="s">
        <v>42</v>
      </c>
      <c r="C5" s="61" t="s">
        <v>43</v>
      </c>
      <c r="D5" s="60" t="s">
        <v>1</v>
      </c>
      <c r="E5" s="69">
        <v>1.229166666666667</v>
      </c>
      <c r="F5" s="60" t="s">
        <v>44</v>
      </c>
      <c r="G5" s="62">
        <v>5</v>
      </c>
      <c r="H5" s="63" t="s">
        <v>46</v>
      </c>
    </row>
    <row r="6" spans="1:8" ht="19.8" customHeight="1" x14ac:dyDescent="0.3">
      <c r="A6" s="68">
        <v>45981</v>
      </c>
      <c r="B6" s="60" t="s">
        <v>26</v>
      </c>
      <c r="C6" s="61" t="s">
        <v>36</v>
      </c>
      <c r="D6" s="60" t="s">
        <v>1</v>
      </c>
      <c r="E6" s="69">
        <v>1.6076388888888891</v>
      </c>
      <c r="F6" s="60" t="s">
        <v>28</v>
      </c>
      <c r="G6" s="62">
        <v>1</v>
      </c>
      <c r="H6" s="63" t="s">
        <v>38</v>
      </c>
    </row>
    <row r="7" spans="1:8" ht="19.8" customHeight="1" x14ac:dyDescent="0.3">
      <c r="A7" s="68">
        <v>45981</v>
      </c>
      <c r="B7" s="60" t="s">
        <v>26</v>
      </c>
      <c r="C7" s="61" t="s">
        <v>27</v>
      </c>
      <c r="D7" s="60" t="s">
        <v>1</v>
      </c>
      <c r="E7" s="69">
        <v>1.4340277777777779</v>
      </c>
      <c r="F7" s="60" t="s">
        <v>31</v>
      </c>
      <c r="G7" s="62">
        <v>9</v>
      </c>
      <c r="H7" s="63" t="s">
        <v>33</v>
      </c>
    </row>
    <row r="8" spans="1:8" ht="19.8" customHeight="1" x14ac:dyDescent="0.3">
      <c r="A8" s="68">
        <v>45981</v>
      </c>
      <c r="B8" s="60" t="s">
        <v>26</v>
      </c>
      <c r="C8" s="61" t="s">
        <v>36</v>
      </c>
      <c r="D8" s="60" t="s">
        <v>1</v>
      </c>
      <c r="E8" s="69">
        <v>1.6076388888888891</v>
      </c>
      <c r="F8" s="60" t="s">
        <v>31</v>
      </c>
      <c r="G8" s="62">
        <v>1</v>
      </c>
      <c r="H8" s="63" t="s">
        <v>40</v>
      </c>
    </row>
    <row r="9" spans="1:8" ht="19.8" customHeight="1" x14ac:dyDescent="0.3">
      <c r="A9" s="68">
        <v>45981</v>
      </c>
      <c r="B9" s="60" t="s">
        <v>42</v>
      </c>
      <c r="C9" s="61" t="s">
        <v>43</v>
      </c>
      <c r="D9" s="60" t="s">
        <v>1</v>
      </c>
      <c r="E9" s="69">
        <v>1.229166666666667</v>
      </c>
      <c r="F9" s="60" t="s">
        <v>47</v>
      </c>
      <c r="G9" s="62">
        <v>5</v>
      </c>
      <c r="H9" s="63" t="s">
        <v>35</v>
      </c>
    </row>
    <row r="10" spans="1:8" ht="19.8" customHeight="1" x14ac:dyDescent="0.3">
      <c r="A10" s="68">
        <v>45981</v>
      </c>
      <c r="B10" s="60" t="s">
        <v>26</v>
      </c>
      <c r="C10" s="61" t="s">
        <v>27</v>
      </c>
      <c r="D10" s="60" t="s">
        <v>1</v>
      </c>
      <c r="E10" s="69">
        <v>1.4340277777777779</v>
      </c>
      <c r="F10" s="60" t="s">
        <v>34</v>
      </c>
      <c r="G10" s="62">
        <v>9</v>
      </c>
      <c r="H10" s="63" t="s">
        <v>35</v>
      </c>
    </row>
    <row r="11" spans="1:8" ht="19.8" customHeight="1" x14ac:dyDescent="0.3">
      <c r="A11" s="68">
        <v>45981</v>
      </c>
      <c r="B11" s="60" t="s">
        <v>26</v>
      </c>
      <c r="C11" s="61" t="s">
        <v>36</v>
      </c>
      <c r="D11" s="60" t="s">
        <v>1</v>
      </c>
      <c r="E11" s="69">
        <v>1.6076388888888891</v>
      </c>
      <c r="F11" s="60" t="s">
        <v>34</v>
      </c>
      <c r="G11" s="62">
        <v>1</v>
      </c>
      <c r="H11" s="63" t="s">
        <v>41</v>
      </c>
    </row>
    <row r="12" spans="1:8" ht="19.8" customHeight="1" x14ac:dyDescent="0.3">
      <c r="A12" s="68">
        <v>45981</v>
      </c>
      <c r="B12" s="60" t="s">
        <v>42</v>
      </c>
      <c r="C12" s="61" t="s">
        <v>43</v>
      </c>
      <c r="D12" s="60" t="s">
        <v>1</v>
      </c>
      <c r="E12" s="69">
        <v>1.229166666666667</v>
      </c>
      <c r="F12" s="60" t="s">
        <v>49</v>
      </c>
      <c r="G12" s="62">
        <v>5</v>
      </c>
      <c r="H12" s="63" t="s">
        <v>50</v>
      </c>
    </row>
    <row r="13" spans="1:8" ht="19.8" customHeight="1" x14ac:dyDescent="0.3">
      <c r="A13" s="70">
        <v>45981</v>
      </c>
      <c r="B13" s="71" t="s">
        <v>51</v>
      </c>
      <c r="C13" s="72" t="s">
        <v>52</v>
      </c>
      <c r="D13" s="71" t="s">
        <v>1</v>
      </c>
      <c r="E13" s="73">
        <v>1.1840277777777779</v>
      </c>
      <c r="F13" s="71" t="s">
        <v>53</v>
      </c>
      <c r="G13" s="74">
        <v>9</v>
      </c>
      <c r="H13" s="75" t="s">
        <v>55</v>
      </c>
    </row>
    <row r="14" spans="1:8" ht="19.8" customHeight="1" x14ac:dyDescent="0.3">
      <c r="A14" s="100"/>
      <c r="B14" s="101"/>
      <c r="C14" s="101"/>
      <c r="D14" s="101"/>
      <c r="E14" s="101"/>
      <c r="F14" s="102" t="s">
        <v>180</v>
      </c>
      <c r="G14" s="101"/>
      <c r="H14" s="103"/>
    </row>
    <row r="15" spans="1:8" ht="19.8" customHeight="1" x14ac:dyDescent="0.3">
      <c r="A15" s="68">
        <v>45982</v>
      </c>
      <c r="B15" s="60" t="s">
        <v>42</v>
      </c>
      <c r="C15" s="61" t="s">
        <v>43</v>
      </c>
      <c r="D15" s="60" t="s">
        <v>1</v>
      </c>
      <c r="E15" s="69">
        <v>1.229166666666667</v>
      </c>
      <c r="F15" s="60" t="s">
        <v>44</v>
      </c>
      <c r="G15" s="62">
        <v>5</v>
      </c>
      <c r="H15" s="63" t="s">
        <v>46</v>
      </c>
    </row>
    <row r="16" spans="1:8" ht="19.8" customHeight="1" x14ac:dyDescent="0.3">
      <c r="A16" s="68">
        <v>45982</v>
      </c>
      <c r="B16" s="60" t="s">
        <v>26</v>
      </c>
      <c r="C16" s="61" t="s">
        <v>36</v>
      </c>
      <c r="D16" s="60" t="s">
        <v>1</v>
      </c>
      <c r="E16" s="69">
        <v>1.6076388888888891</v>
      </c>
      <c r="F16" s="60" t="s">
        <v>28</v>
      </c>
      <c r="G16" s="62">
        <v>1</v>
      </c>
      <c r="H16" s="63" t="s">
        <v>38</v>
      </c>
    </row>
    <row r="17" spans="1:8" ht="19.8" customHeight="1" x14ac:dyDescent="0.3">
      <c r="A17" s="68">
        <v>45982</v>
      </c>
      <c r="B17" s="60" t="s">
        <v>26</v>
      </c>
      <c r="C17" s="61" t="s">
        <v>36</v>
      </c>
      <c r="D17" s="60" t="s">
        <v>1</v>
      </c>
      <c r="E17" s="69">
        <v>1.6076388888888891</v>
      </c>
      <c r="F17" s="60" t="s">
        <v>31</v>
      </c>
      <c r="G17" s="62">
        <v>1</v>
      </c>
      <c r="H17" s="63" t="s">
        <v>40</v>
      </c>
    </row>
    <row r="18" spans="1:8" ht="19.8" customHeight="1" x14ac:dyDescent="0.3">
      <c r="A18" s="68">
        <v>45982</v>
      </c>
      <c r="B18" s="60" t="s">
        <v>42</v>
      </c>
      <c r="C18" s="61" t="s">
        <v>43</v>
      </c>
      <c r="D18" s="60" t="s">
        <v>1</v>
      </c>
      <c r="E18" s="69">
        <v>1.229166666666667</v>
      </c>
      <c r="F18" s="60" t="s">
        <v>47</v>
      </c>
      <c r="G18" s="62">
        <v>5</v>
      </c>
      <c r="H18" s="63" t="s">
        <v>35</v>
      </c>
    </row>
    <row r="19" spans="1:8" ht="19.8" customHeight="1" x14ac:dyDescent="0.3">
      <c r="A19" s="68">
        <v>45982</v>
      </c>
      <c r="B19" s="60" t="s">
        <v>67</v>
      </c>
      <c r="C19" s="61" t="s">
        <v>71</v>
      </c>
      <c r="D19" s="60" t="s">
        <v>1</v>
      </c>
      <c r="E19" s="69">
        <v>1.9409722222222221</v>
      </c>
      <c r="F19" s="60" t="s">
        <v>69</v>
      </c>
      <c r="G19" s="62">
        <v>9</v>
      </c>
      <c r="H19" s="63" t="s">
        <v>85</v>
      </c>
    </row>
    <row r="20" spans="1:8" ht="19.8" customHeight="1" x14ac:dyDescent="0.3">
      <c r="A20" s="68">
        <v>45982</v>
      </c>
      <c r="B20" s="60" t="s">
        <v>26</v>
      </c>
      <c r="C20" s="61" t="s">
        <v>36</v>
      </c>
      <c r="D20" s="60" t="s">
        <v>1</v>
      </c>
      <c r="E20" s="69">
        <v>1.6076388888888891</v>
      </c>
      <c r="F20" s="60" t="s">
        <v>34</v>
      </c>
      <c r="G20" s="62">
        <v>1</v>
      </c>
      <c r="H20" s="63" t="s">
        <v>41</v>
      </c>
    </row>
    <row r="21" spans="1:8" ht="19.8" customHeight="1" x14ac:dyDescent="0.3">
      <c r="A21" s="68">
        <v>45982</v>
      </c>
      <c r="B21" s="60" t="s">
        <v>42</v>
      </c>
      <c r="C21" s="61" t="s">
        <v>43</v>
      </c>
      <c r="D21" s="60" t="s">
        <v>1</v>
      </c>
      <c r="E21" s="69">
        <v>1.229166666666667</v>
      </c>
      <c r="F21" s="60" t="s">
        <v>49</v>
      </c>
      <c r="G21" s="62">
        <v>5</v>
      </c>
      <c r="H21" s="63" t="s">
        <v>50</v>
      </c>
    </row>
    <row r="22" spans="1:8" ht="19.8" customHeight="1" x14ac:dyDescent="0.3">
      <c r="A22" s="68">
        <v>45982</v>
      </c>
      <c r="B22" s="60" t="s">
        <v>51</v>
      </c>
      <c r="C22" s="61" t="s">
        <v>64</v>
      </c>
      <c r="D22" s="60" t="s">
        <v>1</v>
      </c>
      <c r="E22" s="69">
        <v>1.895833333333333</v>
      </c>
      <c r="F22" s="60" t="s">
        <v>53</v>
      </c>
      <c r="G22" s="62">
        <v>9</v>
      </c>
      <c r="H22" s="63" t="s">
        <v>55</v>
      </c>
    </row>
    <row r="23" spans="1:8" ht="19.8" customHeight="1" x14ac:dyDescent="0.3">
      <c r="A23" s="68">
        <v>45982</v>
      </c>
      <c r="B23" s="60" t="s">
        <v>67</v>
      </c>
      <c r="C23" s="61" t="s">
        <v>86</v>
      </c>
      <c r="D23" s="60" t="s">
        <v>1</v>
      </c>
      <c r="E23" s="69">
        <v>1.697916666666667</v>
      </c>
      <c r="F23" s="60" t="s">
        <v>69</v>
      </c>
      <c r="G23" s="62">
        <v>9</v>
      </c>
      <c r="H23" s="63" t="s">
        <v>87</v>
      </c>
    </row>
    <row r="24" spans="1:8" ht="19.8" customHeight="1" x14ac:dyDescent="0.3">
      <c r="A24" s="70">
        <v>45982</v>
      </c>
      <c r="B24" s="71" t="s">
        <v>51</v>
      </c>
      <c r="C24" s="72" t="s">
        <v>64</v>
      </c>
      <c r="D24" s="71" t="s">
        <v>1</v>
      </c>
      <c r="E24" s="73">
        <v>1.895833333333333</v>
      </c>
      <c r="F24" s="71" t="s">
        <v>56</v>
      </c>
      <c r="G24" s="74">
        <v>9</v>
      </c>
      <c r="H24" s="75" t="s">
        <v>58</v>
      </c>
    </row>
    <row r="25" spans="1:8" ht="19.8" customHeight="1" x14ac:dyDescent="0.3">
      <c r="A25" s="100"/>
      <c r="B25" s="101"/>
      <c r="C25" s="101"/>
      <c r="D25" s="101"/>
      <c r="E25" s="101"/>
      <c r="F25" s="102" t="s">
        <v>180</v>
      </c>
      <c r="G25" s="101"/>
      <c r="H25" s="103"/>
    </row>
    <row r="26" spans="1:8" ht="19.8" customHeight="1" x14ac:dyDescent="0.3">
      <c r="A26" s="68">
        <v>45983</v>
      </c>
      <c r="B26" s="60" t="s">
        <v>42</v>
      </c>
      <c r="C26" s="61" t="s">
        <v>43</v>
      </c>
      <c r="D26" s="60" t="s">
        <v>1</v>
      </c>
      <c r="E26" s="69">
        <v>1.229166666666667</v>
      </c>
      <c r="F26" s="60" t="s">
        <v>44</v>
      </c>
      <c r="G26" s="62">
        <v>20</v>
      </c>
      <c r="H26" s="63" t="s">
        <v>89</v>
      </c>
    </row>
    <row r="27" spans="1:8" ht="19.8" customHeight="1" x14ac:dyDescent="0.3">
      <c r="A27" s="68">
        <v>45983</v>
      </c>
      <c r="B27" s="60" t="s">
        <v>26</v>
      </c>
      <c r="C27" s="61" t="s">
        <v>27</v>
      </c>
      <c r="D27" s="60" t="s">
        <v>1</v>
      </c>
      <c r="E27" s="69">
        <v>1.4340277777777779</v>
      </c>
      <c r="F27" s="60" t="s">
        <v>28</v>
      </c>
      <c r="G27" s="62">
        <v>3</v>
      </c>
      <c r="H27" s="63" t="s">
        <v>38</v>
      </c>
    </row>
    <row r="28" spans="1:8" ht="19.8" customHeight="1" x14ac:dyDescent="0.3">
      <c r="A28" s="68">
        <v>45983</v>
      </c>
      <c r="B28" s="60" t="s">
        <v>26</v>
      </c>
      <c r="C28" s="61" t="s">
        <v>36</v>
      </c>
      <c r="D28" s="60" t="s">
        <v>1</v>
      </c>
      <c r="E28" s="69">
        <v>1.6076388888888891</v>
      </c>
      <c r="F28" s="60" t="s">
        <v>28</v>
      </c>
      <c r="G28" s="62">
        <v>7</v>
      </c>
      <c r="H28" s="63" t="s">
        <v>38</v>
      </c>
    </row>
    <row r="29" spans="1:8" ht="19.8" customHeight="1" x14ac:dyDescent="0.3">
      <c r="A29" s="68">
        <v>45983</v>
      </c>
      <c r="B29" s="60" t="s">
        <v>42</v>
      </c>
      <c r="C29" s="61" t="s">
        <v>43</v>
      </c>
      <c r="D29" s="60" t="s">
        <v>1</v>
      </c>
      <c r="E29" s="69">
        <v>1.229166666666667</v>
      </c>
      <c r="F29" s="60" t="s">
        <v>47</v>
      </c>
      <c r="G29" s="62">
        <v>20</v>
      </c>
      <c r="H29" s="63" t="s">
        <v>91</v>
      </c>
    </row>
    <row r="30" spans="1:8" ht="19.8" customHeight="1" x14ac:dyDescent="0.3">
      <c r="A30" s="68">
        <v>45983</v>
      </c>
      <c r="B30" s="60" t="s">
        <v>26</v>
      </c>
      <c r="C30" s="61" t="s">
        <v>27</v>
      </c>
      <c r="D30" s="60" t="s">
        <v>1</v>
      </c>
      <c r="E30" s="69">
        <v>1.4340277777777779</v>
      </c>
      <c r="F30" s="60" t="s">
        <v>31</v>
      </c>
      <c r="G30" s="62">
        <v>3</v>
      </c>
      <c r="H30" s="63" t="s">
        <v>40</v>
      </c>
    </row>
    <row r="31" spans="1:8" ht="19.8" customHeight="1" x14ac:dyDescent="0.3">
      <c r="A31" s="68">
        <v>45983</v>
      </c>
      <c r="B31" s="60" t="s">
        <v>26</v>
      </c>
      <c r="C31" s="61" t="s">
        <v>36</v>
      </c>
      <c r="D31" s="60" t="s">
        <v>1</v>
      </c>
      <c r="E31" s="69">
        <v>1.6076388888888891</v>
      </c>
      <c r="F31" s="60" t="s">
        <v>31</v>
      </c>
      <c r="G31" s="62">
        <v>7</v>
      </c>
      <c r="H31" s="63" t="s">
        <v>40</v>
      </c>
    </row>
    <row r="32" spans="1:8" ht="19.8" customHeight="1" x14ac:dyDescent="0.3">
      <c r="A32" s="68">
        <v>45983</v>
      </c>
      <c r="B32" s="60" t="s">
        <v>67</v>
      </c>
      <c r="C32" s="61" t="s">
        <v>71</v>
      </c>
      <c r="D32" s="60" t="s">
        <v>1</v>
      </c>
      <c r="E32" s="69">
        <v>1.947916666666667</v>
      </c>
      <c r="F32" s="60" t="s">
        <v>69</v>
      </c>
      <c r="G32" s="62">
        <v>9</v>
      </c>
      <c r="H32" s="63" t="s">
        <v>85</v>
      </c>
    </row>
    <row r="33" spans="1:8" ht="19.8" customHeight="1" x14ac:dyDescent="0.3">
      <c r="A33" s="68">
        <v>45983</v>
      </c>
      <c r="B33" s="60" t="s">
        <v>67</v>
      </c>
      <c r="C33" s="61" t="s">
        <v>68</v>
      </c>
      <c r="D33" s="60" t="s">
        <v>1</v>
      </c>
      <c r="E33" s="69">
        <v>1.0659722222222221</v>
      </c>
      <c r="F33" s="60" t="s">
        <v>69</v>
      </c>
      <c r="G33" s="62">
        <v>9</v>
      </c>
      <c r="H33" s="63" t="s">
        <v>85</v>
      </c>
    </row>
    <row r="34" spans="1:8" ht="19.8" customHeight="1" x14ac:dyDescent="0.3">
      <c r="A34" s="68">
        <v>45983</v>
      </c>
      <c r="B34" s="60" t="s">
        <v>67</v>
      </c>
      <c r="C34" s="61" t="s">
        <v>77</v>
      </c>
      <c r="D34" s="60" t="s">
        <v>1</v>
      </c>
      <c r="E34" s="69">
        <v>1.336805555555556</v>
      </c>
      <c r="F34" s="60" t="s">
        <v>69</v>
      </c>
      <c r="G34" s="62">
        <v>9</v>
      </c>
      <c r="H34" s="63" t="s">
        <v>85</v>
      </c>
    </row>
    <row r="35" spans="1:8" ht="19.8" customHeight="1" x14ac:dyDescent="0.3">
      <c r="A35" s="70">
        <v>45983</v>
      </c>
      <c r="B35" s="71" t="s">
        <v>26</v>
      </c>
      <c r="C35" s="72" t="s">
        <v>27</v>
      </c>
      <c r="D35" s="71" t="s">
        <v>1</v>
      </c>
      <c r="E35" s="73">
        <v>1.4340277777777779</v>
      </c>
      <c r="F35" s="71" t="s">
        <v>34</v>
      </c>
      <c r="G35" s="74">
        <v>3</v>
      </c>
      <c r="H35" s="75" t="s">
        <v>41</v>
      </c>
    </row>
  </sheetData>
  <pageMargins left="0.75" right="0.75" top="1" bottom="1" header="0.5" footer="0.5"/>
  <legacy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N17"/>
  <sheetViews>
    <sheetView workbookViewId="0"/>
  </sheetViews>
  <sheetFormatPr defaultRowHeight="14.4" x14ac:dyDescent="0.3"/>
  <cols>
    <col min="1" max="1" width="10.21875" bestFit="1" customWidth="1"/>
    <col min="2" max="2" width="15.6640625" bestFit="1" customWidth="1"/>
    <col min="3" max="3" width="14.77734375" bestFit="1" customWidth="1"/>
    <col min="4" max="4" width="33" bestFit="1" customWidth="1"/>
    <col min="5" max="5" width="20.109375" bestFit="1" customWidth="1"/>
    <col min="6" max="6" width="23.44140625" bestFit="1" customWidth="1"/>
    <col min="7" max="7" width="48.77734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48.88671875" bestFit="1" customWidth="1"/>
  </cols>
  <sheetData>
    <row r="1" spans="1:92" ht="28.8" customHeight="1" x14ac:dyDescent="0.3">
      <c r="A1" s="261" t="s">
        <v>0</v>
      </c>
      <c r="B1" s="251"/>
      <c r="C1" s="251"/>
      <c r="D1" s="251"/>
      <c r="E1" s="251"/>
      <c r="F1" s="1" t="s">
        <v>181</v>
      </c>
      <c r="G1" s="2" t="s">
        <v>2</v>
      </c>
      <c r="H1" s="260">
        <v>45981</v>
      </c>
      <c r="I1" s="251"/>
      <c r="J1" s="251"/>
      <c r="K1" s="251"/>
      <c r="L1" s="251"/>
      <c r="M1" s="1" t="s">
        <v>3</v>
      </c>
      <c r="N1" s="266">
        <v>45983</v>
      </c>
      <c r="O1" s="251"/>
      <c r="P1" s="251"/>
      <c r="Q1" s="251"/>
      <c r="R1" s="251"/>
      <c r="CA1" s="3"/>
      <c r="CB1" s="3"/>
      <c r="CC1" s="3"/>
      <c r="CD1" s="3"/>
      <c r="CE1" s="3"/>
      <c r="CF1" s="3"/>
      <c r="CG1" s="3"/>
      <c r="CH1" s="3"/>
      <c r="CI1" s="3"/>
      <c r="CJ1" s="3"/>
      <c r="CK1" s="3"/>
      <c r="CL1" s="3"/>
      <c r="CM1" s="3"/>
      <c r="CN1" s="3"/>
    </row>
    <row r="2" spans="1:92" ht="23.4" customHeight="1" x14ac:dyDescent="0.3">
      <c r="A2" s="250" t="s">
        <v>4</v>
      </c>
      <c r="B2" s="251"/>
      <c r="C2" s="251"/>
      <c r="D2" s="251"/>
      <c r="E2" s="251"/>
      <c r="F2" s="251"/>
      <c r="G2" s="262">
        <v>45980.493032512553</v>
      </c>
      <c r="H2" s="251"/>
      <c r="I2" s="251"/>
      <c r="J2" s="251"/>
      <c r="K2" s="263">
        <v>45980.493032512779</v>
      </c>
      <c r="L2" s="251"/>
      <c r="M2" s="251"/>
      <c r="N2" s="251"/>
      <c r="O2" s="251"/>
      <c r="P2" s="251"/>
      <c r="Q2" s="251"/>
      <c r="R2" s="251"/>
      <c r="CA2" s="3"/>
      <c r="CB2" s="3"/>
      <c r="CC2" s="3"/>
      <c r="CD2" s="3"/>
      <c r="CE2" s="3"/>
      <c r="CF2" s="3"/>
      <c r="CG2" s="3"/>
      <c r="CH2" s="3"/>
      <c r="CI2" s="3"/>
      <c r="CJ2" s="3"/>
      <c r="CK2" s="3"/>
      <c r="CL2" s="3"/>
      <c r="CM2" s="3"/>
      <c r="CN2" s="3"/>
    </row>
    <row r="3" spans="1:92" ht="24" customHeight="1" x14ac:dyDescent="0.3">
      <c r="A3" s="252" t="s">
        <v>5</v>
      </c>
      <c r="B3" s="251"/>
      <c r="C3" s="251"/>
      <c r="D3" s="251"/>
      <c r="E3" s="251"/>
      <c r="F3" s="251"/>
      <c r="G3" s="251"/>
      <c r="H3" s="251"/>
      <c r="I3" s="251"/>
      <c r="J3" s="251"/>
      <c r="K3" s="251"/>
      <c r="L3" s="251"/>
      <c r="M3" s="251"/>
      <c r="N3" s="251"/>
      <c r="O3" s="251"/>
      <c r="P3" s="251"/>
      <c r="Q3" s="251"/>
      <c r="R3" s="251"/>
      <c r="CA3" s="3"/>
      <c r="CB3" s="3"/>
      <c r="CC3" s="3"/>
      <c r="CD3" s="3"/>
      <c r="CE3" s="3"/>
      <c r="CF3" s="3"/>
      <c r="CG3" s="3"/>
      <c r="CH3" s="3"/>
      <c r="CI3" s="3"/>
      <c r="CJ3" s="3"/>
      <c r="CK3" s="3"/>
      <c r="CL3" s="3"/>
      <c r="CM3" s="3"/>
      <c r="CN3" s="3"/>
    </row>
    <row r="4" spans="1:92" ht="22.05" customHeight="1" x14ac:dyDescent="0.3">
      <c r="A4" s="264" t="s">
        <v>6</v>
      </c>
      <c r="B4" s="254"/>
      <c r="C4" s="254"/>
      <c r="D4" s="254"/>
      <c r="E4" s="254"/>
      <c r="F4" s="255"/>
      <c r="G4" s="4">
        <v>45983</v>
      </c>
      <c r="H4" s="265" t="s">
        <v>7</v>
      </c>
      <c r="I4" s="254"/>
      <c r="J4" s="254"/>
      <c r="K4" s="254"/>
      <c r="L4" s="254"/>
      <c r="M4" s="254"/>
      <c r="N4" s="254"/>
      <c r="O4" s="254"/>
      <c r="P4" s="254"/>
      <c r="Q4" s="254"/>
      <c r="R4" s="25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04" t="s">
        <v>78</v>
      </c>
      <c r="B6" s="104" t="s">
        <v>182</v>
      </c>
      <c r="C6" s="105">
        <v>0.80208333333333337</v>
      </c>
      <c r="D6" s="104" t="s">
        <v>98</v>
      </c>
      <c r="E6" s="104" t="s">
        <v>54</v>
      </c>
      <c r="F6" s="104" t="s">
        <v>183</v>
      </c>
      <c r="G6" s="256"/>
      <c r="H6" s="106" t="s">
        <v>184</v>
      </c>
      <c r="I6" s="107">
        <v>0.91110000000000002</v>
      </c>
      <c r="J6" s="108">
        <v>164</v>
      </c>
      <c r="K6" s="109">
        <v>45980</v>
      </c>
      <c r="L6" s="108">
        <v>21</v>
      </c>
      <c r="M6" s="108">
        <v>2</v>
      </c>
      <c r="N6" s="108">
        <v>3</v>
      </c>
      <c r="O6" s="110" t="s">
        <v>185</v>
      </c>
      <c r="P6" s="111">
        <v>0.80208333333333337</v>
      </c>
      <c r="Q6" s="108">
        <v>180</v>
      </c>
      <c r="R6" s="112" t="s">
        <v>186</v>
      </c>
    </row>
    <row r="7" spans="1:92" ht="18" x14ac:dyDescent="0.3">
      <c r="A7" s="267" t="s">
        <v>168</v>
      </c>
      <c r="B7" s="268"/>
      <c r="C7" s="268"/>
      <c r="D7" s="268"/>
      <c r="E7" s="268"/>
      <c r="F7" s="269"/>
      <c r="G7" s="257"/>
      <c r="H7" s="94"/>
      <c r="I7" s="94"/>
      <c r="J7" s="94"/>
      <c r="K7" s="94"/>
      <c r="L7" s="94"/>
      <c r="M7" s="94"/>
      <c r="N7" s="94"/>
      <c r="O7" s="95"/>
      <c r="P7" s="94"/>
      <c r="Q7" s="55"/>
      <c r="R7" s="55"/>
    </row>
    <row r="8" spans="1:92" ht="15" customHeight="1" x14ac:dyDescent="0.3">
      <c r="A8" s="17" t="s">
        <v>42</v>
      </c>
      <c r="B8" s="17" t="s">
        <v>43</v>
      </c>
      <c r="C8" s="18" t="s">
        <v>153</v>
      </c>
      <c r="D8" s="17" t="s">
        <v>44</v>
      </c>
      <c r="E8" s="17" t="s">
        <v>187</v>
      </c>
      <c r="F8" s="17" t="s">
        <v>89</v>
      </c>
      <c r="G8" s="257"/>
      <c r="H8" s="94"/>
      <c r="I8" s="94"/>
      <c r="J8" s="94"/>
      <c r="K8" s="94"/>
      <c r="L8" s="94"/>
      <c r="M8" s="94"/>
      <c r="N8" s="94"/>
      <c r="O8" s="95"/>
      <c r="P8" s="94"/>
      <c r="Q8" s="55"/>
      <c r="R8" s="55"/>
    </row>
    <row r="9" spans="1:92" ht="15" customHeight="1" x14ac:dyDescent="0.3">
      <c r="A9" s="17" t="s">
        <v>26</v>
      </c>
      <c r="B9" s="17" t="s">
        <v>27</v>
      </c>
      <c r="C9" s="18" t="s">
        <v>152</v>
      </c>
      <c r="D9" s="17" t="s">
        <v>28</v>
      </c>
      <c r="E9" s="17" t="s">
        <v>188</v>
      </c>
      <c r="F9" s="17" t="s">
        <v>38</v>
      </c>
      <c r="G9" s="257"/>
      <c r="H9" s="94"/>
      <c r="I9" s="94"/>
      <c r="J9" s="94"/>
      <c r="K9" s="94"/>
      <c r="L9" s="94"/>
      <c r="M9" s="94"/>
      <c r="N9" s="94"/>
      <c r="O9" s="95"/>
      <c r="P9" s="94"/>
      <c r="Q9" s="55"/>
      <c r="R9" s="55"/>
    </row>
    <row r="10" spans="1:92" ht="15" customHeight="1" x14ac:dyDescent="0.3">
      <c r="A10" s="17" t="s">
        <v>26</v>
      </c>
      <c r="B10" s="17" t="s">
        <v>36</v>
      </c>
      <c r="C10" s="18" t="s">
        <v>154</v>
      </c>
      <c r="D10" s="17" t="s">
        <v>28</v>
      </c>
      <c r="E10" s="17" t="s">
        <v>189</v>
      </c>
      <c r="F10" s="17" t="s">
        <v>38</v>
      </c>
      <c r="G10" s="257"/>
      <c r="H10" s="94"/>
      <c r="I10" s="94"/>
      <c r="J10" s="94"/>
      <c r="K10" s="94"/>
      <c r="L10" s="94"/>
      <c r="M10" s="94"/>
      <c r="N10" s="94"/>
      <c r="O10" s="95"/>
      <c r="P10" s="94"/>
      <c r="Q10" s="55"/>
      <c r="R10" s="55"/>
    </row>
    <row r="11" spans="1:92" ht="15" customHeight="1" x14ac:dyDescent="0.3">
      <c r="A11" s="17" t="s">
        <v>42</v>
      </c>
      <c r="B11" s="17" t="s">
        <v>43</v>
      </c>
      <c r="C11" s="18" t="s">
        <v>153</v>
      </c>
      <c r="D11" s="17" t="s">
        <v>47</v>
      </c>
      <c r="E11" s="17" t="s">
        <v>187</v>
      </c>
      <c r="F11" s="17" t="s">
        <v>91</v>
      </c>
      <c r="G11" s="257"/>
      <c r="H11" s="94"/>
      <c r="I11" s="94"/>
      <c r="J11" s="94"/>
      <c r="K11" s="94"/>
      <c r="L11" s="94"/>
      <c r="M11" s="94"/>
      <c r="N11" s="94"/>
      <c r="O11" s="95"/>
      <c r="P11" s="94"/>
      <c r="Q11" s="55"/>
      <c r="R11" s="55"/>
    </row>
    <row r="12" spans="1:92" ht="15" customHeight="1" x14ac:dyDescent="0.3">
      <c r="A12" s="17" t="s">
        <v>26</v>
      </c>
      <c r="B12" s="17" t="s">
        <v>27</v>
      </c>
      <c r="C12" s="18" t="s">
        <v>152</v>
      </c>
      <c r="D12" s="17" t="s">
        <v>31</v>
      </c>
      <c r="E12" s="17" t="s">
        <v>188</v>
      </c>
      <c r="F12" s="17" t="s">
        <v>40</v>
      </c>
      <c r="G12" s="257"/>
      <c r="H12" s="94"/>
      <c r="I12" s="94"/>
      <c r="J12" s="94"/>
      <c r="K12" s="94"/>
      <c r="L12" s="94"/>
      <c r="M12" s="94"/>
      <c r="N12" s="94"/>
      <c r="O12" s="95"/>
      <c r="P12" s="94"/>
      <c r="Q12" s="55"/>
      <c r="R12" s="55"/>
    </row>
    <row r="13" spans="1:92" ht="15" customHeight="1" x14ac:dyDescent="0.3">
      <c r="A13" s="17" t="s">
        <v>26</v>
      </c>
      <c r="B13" s="17" t="s">
        <v>36</v>
      </c>
      <c r="C13" s="18" t="s">
        <v>154</v>
      </c>
      <c r="D13" s="17" t="s">
        <v>31</v>
      </c>
      <c r="E13" s="17" t="s">
        <v>189</v>
      </c>
      <c r="F13" s="17" t="s">
        <v>40</v>
      </c>
      <c r="G13" s="257"/>
      <c r="H13" s="94"/>
      <c r="I13" s="94"/>
      <c r="J13" s="94"/>
      <c r="K13" s="94"/>
      <c r="L13" s="94"/>
      <c r="M13" s="94"/>
      <c r="N13" s="94"/>
      <c r="O13" s="95"/>
      <c r="P13" s="94"/>
      <c r="Q13" s="55"/>
      <c r="R13" s="55"/>
    </row>
    <row r="14" spans="1:92" ht="15" customHeight="1" x14ac:dyDescent="0.3">
      <c r="A14" s="17" t="s">
        <v>67</v>
      </c>
      <c r="B14" s="17" t="s">
        <v>71</v>
      </c>
      <c r="C14" s="18" t="s">
        <v>190</v>
      </c>
      <c r="D14" s="17" t="s">
        <v>69</v>
      </c>
      <c r="E14" s="17" t="s">
        <v>172</v>
      </c>
      <c r="F14" s="17" t="s">
        <v>85</v>
      </c>
      <c r="G14" s="257"/>
      <c r="H14" s="94"/>
      <c r="I14" s="94"/>
      <c r="J14" s="94"/>
      <c r="K14" s="94"/>
      <c r="L14" s="94"/>
      <c r="M14" s="94"/>
      <c r="N14" s="94"/>
      <c r="O14" s="95"/>
      <c r="P14" s="94"/>
      <c r="Q14" s="55"/>
      <c r="R14" s="55"/>
    </row>
    <row r="15" spans="1:92" ht="15" customHeight="1" x14ac:dyDescent="0.3">
      <c r="A15" s="17" t="s">
        <v>67</v>
      </c>
      <c r="B15" s="17" t="s">
        <v>68</v>
      </c>
      <c r="C15" s="18" t="s">
        <v>156</v>
      </c>
      <c r="D15" s="17" t="s">
        <v>69</v>
      </c>
      <c r="E15" s="17" t="s">
        <v>172</v>
      </c>
      <c r="F15" s="17" t="s">
        <v>85</v>
      </c>
      <c r="G15" s="257"/>
      <c r="H15" s="94"/>
      <c r="I15" s="94"/>
      <c r="J15" s="94"/>
      <c r="K15" s="94"/>
      <c r="L15" s="94"/>
      <c r="M15" s="94"/>
      <c r="N15" s="94"/>
      <c r="O15" s="95"/>
      <c r="P15" s="94"/>
      <c r="Q15" s="55"/>
      <c r="R15" s="55"/>
    </row>
    <row r="16" spans="1:92" ht="15" customHeight="1" x14ac:dyDescent="0.3">
      <c r="A16" s="17" t="s">
        <v>67</v>
      </c>
      <c r="B16" s="17" t="s">
        <v>77</v>
      </c>
      <c r="C16" s="18" t="s">
        <v>191</v>
      </c>
      <c r="D16" s="17" t="s">
        <v>69</v>
      </c>
      <c r="E16" s="17" t="s">
        <v>172</v>
      </c>
      <c r="F16" s="17" t="s">
        <v>85</v>
      </c>
      <c r="G16" s="257"/>
      <c r="H16" s="94"/>
      <c r="I16" s="94"/>
      <c r="J16" s="94"/>
      <c r="K16" s="94"/>
      <c r="L16" s="94"/>
      <c r="M16" s="94"/>
      <c r="N16" s="94"/>
      <c r="O16" s="95"/>
      <c r="P16" s="94"/>
      <c r="Q16" s="55"/>
      <c r="R16" s="55"/>
    </row>
    <row r="17" spans="1:18" ht="15" customHeight="1" x14ac:dyDescent="0.3">
      <c r="A17" s="39" t="s">
        <v>26</v>
      </c>
      <c r="B17" s="39" t="s">
        <v>27</v>
      </c>
      <c r="C17" s="40" t="s">
        <v>152</v>
      </c>
      <c r="D17" s="39" t="s">
        <v>34</v>
      </c>
      <c r="E17" s="39" t="s">
        <v>188</v>
      </c>
      <c r="F17" s="39" t="s">
        <v>41</v>
      </c>
      <c r="G17" s="258"/>
      <c r="H17" s="96"/>
      <c r="I17" s="96"/>
      <c r="J17" s="96"/>
      <c r="K17" s="96"/>
      <c r="L17" s="96"/>
      <c r="M17" s="96"/>
      <c r="N17" s="96"/>
      <c r="O17" s="97"/>
      <c r="P17" s="96"/>
      <c r="Q17" s="98"/>
      <c r="R17" s="98"/>
    </row>
  </sheetData>
  <mergeCells count="11">
    <mergeCell ref="A2:F2"/>
    <mergeCell ref="A3:R3"/>
    <mergeCell ref="G6:G17"/>
    <mergeCell ref="H1:L1"/>
    <mergeCell ref="A1:E1"/>
    <mergeCell ref="G2:J2"/>
    <mergeCell ref="K2:R2"/>
    <mergeCell ref="A4:F4"/>
    <mergeCell ref="H4:R4"/>
    <mergeCell ref="A7:F7"/>
    <mergeCell ref="N1:R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J3"/>
  <sheetViews>
    <sheetView workbookViewId="0"/>
  </sheetViews>
  <sheetFormatPr defaultRowHeight="15.6" outlineLevelCol="1" x14ac:dyDescent="0.3"/>
  <cols>
    <col min="1" max="1" width="9.77734375" style="272" bestFit="1" customWidth="1"/>
    <col min="2" max="2" width="10.44140625" style="272" bestFit="1" customWidth="1"/>
    <col min="3" max="3" width="6.77734375" style="272" bestFit="1" customWidth="1"/>
    <col min="4" max="4" width="5.5546875" style="272" bestFit="1" customWidth="1"/>
    <col min="5" max="5" width="8.77734375" style="272" bestFit="1" customWidth="1"/>
    <col min="6" max="6" width="4.21875" style="272" bestFit="1" customWidth="1"/>
    <col min="7" max="7" width="10" style="272" bestFit="1" customWidth="1"/>
    <col min="8" max="10" width="7" style="272" bestFit="1" customWidth="1"/>
    <col min="11" max="11" width="10.5546875" style="272" bestFit="1" customWidth="1"/>
    <col min="12" max="12" width="9.10937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26" width="3.88671875" style="272" bestFit="1" customWidth="1"/>
    <col min="27" max="27" width="4" style="272" bestFit="1" customWidth="1"/>
    <col min="28" max="28" width="3.88671875" style="272" bestFit="1" customWidth="1"/>
    <col min="29" max="29" width="4.21875" style="272" bestFit="1" customWidth="1"/>
    <col min="30" max="30" width="4.5546875" style="272" bestFit="1" customWidth="1"/>
    <col min="31" max="34" width="3.88671875" style="272" bestFit="1" customWidth="1"/>
    <col min="35" max="35" width="5.21875" style="272" bestFit="1" customWidth="1"/>
    <col min="36" max="36" width="3.88671875" style="272" bestFit="1" customWidth="1"/>
    <col min="37" max="16384" width="8.88671875" style="272"/>
  </cols>
  <sheetData>
    <row r="1" spans="1:36" x14ac:dyDescent="0.3">
      <c r="A1" s="271" t="s">
        <v>103</v>
      </c>
      <c r="B1" s="271" t="s">
        <v>104</v>
      </c>
      <c r="C1" s="271" t="s">
        <v>105</v>
      </c>
      <c r="D1" s="271" t="s">
        <v>23</v>
      </c>
      <c r="E1" s="271" t="s">
        <v>106</v>
      </c>
      <c r="F1" s="271" t="s">
        <v>107</v>
      </c>
      <c r="G1" s="271" t="s">
        <v>16</v>
      </c>
      <c r="H1" s="271" t="s">
        <v>108</v>
      </c>
      <c r="I1" s="271" t="s">
        <v>109</v>
      </c>
      <c r="J1" s="271" t="s">
        <v>110</v>
      </c>
      <c r="K1" s="271" t="s">
        <v>111</v>
      </c>
      <c r="L1" s="271" t="s">
        <v>18</v>
      </c>
      <c r="M1" s="271" t="s">
        <v>20</v>
      </c>
      <c r="N1" s="271" t="s">
        <v>21</v>
      </c>
      <c r="O1" s="271" t="s">
        <v>19</v>
      </c>
      <c r="P1" s="271" t="s">
        <v>22</v>
      </c>
      <c r="Q1" s="271" t="s">
        <v>112</v>
      </c>
      <c r="R1" s="271" t="s">
        <v>113</v>
      </c>
      <c r="S1" s="271" t="s">
        <v>114</v>
      </c>
      <c r="T1" s="271" t="s">
        <v>115</v>
      </c>
      <c r="U1" s="271" t="s">
        <v>116</v>
      </c>
      <c r="V1" s="271" t="s">
        <v>117</v>
      </c>
      <c r="W1" s="271" t="s">
        <v>118</v>
      </c>
      <c r="X1" s="271" t="s">
        <v>119</v>
      </c>
      <c r="Y1" s="271" t="s">
        <v>120</v>
      </c>
      <c r="Z1" s="271" t="s">
        <v>121</v>
      </c>
      <c r="AA1" s="271" t="s">
        <v>122</v>
      </c>
      <c r="AB1" s="271" t="s">
        <v>123</v>
      </c>
      <c r="AC1" s="271" t="s">
        <v>124</v>
      </c>
      <c r="AD1" s="271" t="s">
        <v>125</v>
      </c>
      <c r="AE1" s="271" t="s">
        <v>126</v>
      </c>
      <c r="AF1" s="271" t="s">
        <v>127</v>
      </c>
      <c r="AG1" s="271" t="s">
        <v>128</v>
      </c>
      <c r="AH1" s="271" t="s">
        <v>129</v>
      </c>
      <c r="AI1" s="271" t="s">
        <v>130</v>
      </c>
      <c r="AJ1" s="271" t="s">
        <v>131</v>
      </c>
    </row>
    <row r="2" spans="1:36" x14ac:dyDescent="0.3">
      <c r="A2" s="273" t="s">
        <v>144</v>
      </c>
      <c r="B2" s="274">
        <v>45983</v>
      </c>
      <c r="C2" s="275" t="s">
        <v>184</v>
      </c>
      <c r="D2" s="276" t="s">
        <v>192</v>
      </c>
      <c r="E2" s="275" t="s">
        <v>181</v>
      </c>
      <c r="F2" s="275" t="s">
        <v>134</v>
      </c>
      <c r="G2" s="277">
        <v>0.91110000000000002</v>
      </c>
      <c r="H2" s="278">
        <v>180</v>
      </c>
      <c r="I2" s="278">
        <v>164</v>
      </c>
      <c r="J2" s="278">
        <v>105</v>
      </c>
      <c r="K2" s="275" t="s">
        <v>135</v>
      </c>
      <c r="L2" s="279">
        <v>45980</v>
      </c>
      <c r="M2" s="278">
        <v>2</v>
      </c>
      <c r="N2" s="278">
        <v>3</v>
      </c>
      <c r="O2" s="278">
        <v>21</v>
      </c>
      <c r="P2" s="275" t="s">
        <v>185</v>
      </c>
      <c r="Q2" s="271"/>
      <c r="R2" s="271"/>
      <c r="S2" s="271"/>
      <c r="T2" s="271"/>
      <c r="U2" s="271"/>
      <c r="V2" s="271"/>
      <c r="W2" s="271"/>
      <c r="X2" s="271"/>
      <c r="Y2" s="271"/>
      <c r="Z2" s="278" t="s">
        <v>193</v>
      </c>
      <c r="AA2" s="278" t="s">
        <v>194</v>
      </c>
      <c r="AB2" s="278" t="s">
        <v>195</v>
      </c>
      <c r="AC2" s="278" t="s">
        <v>196</v>
      </c>
      <c r="AD2" s="278" t="s">
        <v>197</v>
      </c>
      <c r="AE2" s="278" t="s">
        <v>198</v>
      </c>
      <c r="AF2" s="278" t="s">
        <v>199</v>
      </c>
      <c r="AG2" s="271"/>
      <c r="AH2" s="271"/>
      <c r="AI2" s="278" t="s">
        <v>200</v>
      </c>
      <c r="AJ2" s="271"/>
    </row>
    <row r="3" spans="1:36" ht="21" x14ac:dyDescent="0.3">
      <c r="A3" s="280" t="s">
        <v>932</v>
      </c>
      <c r="B3" s="281"/>
      <c r="C3" s="280">
        <f>SUBTOTAL(103,ATZ_MED_LF_LEGACY[Flt])</f>
        <v>1</v>
      </c>
      <c r="D3" s="280"/>
      <c r="E3" s="280">
        <f>SUBTOTAL(103,ATZ_MED_LF_LEGACY[Brd-Off])</f>
        <v>1</v>
      </c>
      <c r="F3" s="280"/>
      <c r="G3" s="282">
        <f>SUBTOTAL(101,ATZ_MED_LF_LEGACY[LF%])</f>
        <v>0.91110000000000002</v>
      </c>
      <c r="H3" s="283">
        <f>SUBTOTAL(109,ATZ_MED_LF_LEGACY[CAP])</f>
        <v>180</v>
      </c>
      <c r="I3" s="283">
        <f>SUBTOTAL(109,ATZ_MED_LF_LEGACY[BKG(Y)])</f>
        <v>164</v>
      </c>
      <c r="J3" s="283">
        <f>SUBTOTAL(109,ATZ_MED_LF_LEGACY[GRP(Y)])</f>
        <v>105</v>
      </c>
      <c r="K3" s="280"/>
      <c r="L3" s="281"/>
      <c r="M3" s="283">
        <f>SUBTOTAL(109,ATZ_MED_LF_LEGACY[TO-DAY])</f>
        <v>2</v>
      </c>
      <c r="N3" s="283">
        <f>SUBTOTAL(109,ATZ_MED_LF_LEGACY[Y-DAY])</f>
        <v>3</v>
      </c>
      <c r="O3" s="283">
        <f>SUBTOTAL(109,ATZ_MED_LF_LEGACY[WEEKLY])</f>
        <v>21</v>
      </c>
      <c r="P3" s="284"/>
      <c r="Q3" s="283">
        <f>SUBTOTAL(109,ATZ_MED_LF_LEGACY[Y])</f>
        <v>0</v>
      </c>
      <c r="R3" s="283">
        <f>SUBTOTAL(109,ATZ_MED_LF_LEGACY[B])</f>
        <v>0</v>
      </c>
      <c r="S3" s="283">
        <f>SUBTOTAL(109,ATZ_MED_LF_LEGACY[M])</f>
        <v>0</v>
      </c>
      <c r="T3" s="283">
        <f>SUBTOTAL(109,ATZ_MED_LF_LEGACY[H])</f>
        <v>0</v>
      </c>
      <c r="U3" s="283">
        <f>SUBTOTAL(109,ATZ_MED_LF_LEGACY[Q])</f>
        <v>0</v>
      </c>
      <c r="V3" s="283">
        <f>SUBTOTAL(109,ATZ_MED_LF_LEGACY[K])</f>
        <v>0</v>
      </c>
      <c r="W3" s="283">
        <f>SUBTOTAL(109,ATZ_MED_LF_LEGACY[V])</f>
        <v>0</v>
      </c>
      <c r="X3" s="283">
        <f>SUBTOTAL(109,ATZ_MED_LF_LEGACY[L])</f>
        <v>0</v>
      </c>
      <c r="Y3" s="283">
        <f>SUBTOTAL(109,ATZ_MED_LF_LEGACY[G])</f>
        <v>0</v>
      </c>
      <c r="Z3" s="283">
        <f>SUBTOTAL(109,ATZ_MED_LF_LEGACY[S])</f>
        <v>0</v>
      </c>
      <c r="AA3" s="283">
        <f>SUBTOTAL(109,ATZ_MED_LF_LEGACY[W])</f>
        <v>0</v>
      </c>
      <c r="AB3" s="283">
        <f>SUBTOTAL(109,ATZ_MED_LF_LEGACY[T])</f>
        <v>0</v>
      </c>
      <c r="AC3" s="283">
        <f>SUBTOTAL(109,ATZ_MED_LF_LEGACY[X])</f>
        <v>0</v>
      </c>
      <c r="AD3" s="283">
        <f>SUBTOTAL(109,ATZ_MED_LF_LEGACY[U])</f>
        <v>0</v>
      </c>
      <c r="AE3" s="283">
        <f>SUBTOTAL(109,ATZ_MED_LF_LEGACY[O])</f>
        <v>0</v>
      </c>
      <c r="AF3" s="283">
        <f>SUBTOTAL(109,ATZ_MED_LF_LEGACY[I])</f>
        <v>0</v>
      </c>
      <c r="AG3" s="283">
        <f>SUBTOTAL(109,ATZ_MED_LF_LEGACY[E])</f>
        <v>0</v>
      </c>
      <c r="AH3" s="283">
        <f>SUBTOTAL(109,ATZ_MED_LF_LEGACY[A])</f>
        <v>0</v>
      </c>
      <c r="AI3" s="283">
        <f>SUBTOTAL(109,ATZ_MED_LF_LEGACY[P])</f>
        <v>0</v>
      </c>
      <c r="AJ3" s="283">
        <f>SUBTOTAL(103,ATZ_MED_LF_LEGACY[N])</f>
        <v>0</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35"/>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3.21875" bestFit="1" customWidth="1"/>
    <col min="7" max="7" width="20" bestFit="1" customWidth="1"/>
    <col min="8" max="8" width="23.6640625" bestFit="1" customWidth="1"/>
    <col min="9" max="9" width="184.6640625" hidden="1" customWidth="1"/>
  </cols>
  <sheetData>
    <row r="1" spans="1:8" ht="18" x14ac:dyDescent="0.3">
      <c r="A1" s="56" t="s">
        <v>149</v>
      </c>
      <c r="B1" s="57" t="s">
        <v>8</v>
      </c>
      <c r="C1" s="57" t="s">
        <v>9</v>
      </c>
      <c r="D1" s="57" t="s">
        <v>150</v>
      </c>
      <c r="E1" s="57" t="s">
        <v>10</v>
      </c>
      <c r="F1" s="57" t="s">
        <v>11</v>
      </c>
      <c r="G1" s="57" t="s">
        <v>12</v>
      </c>
      <c r="H1" s="58" t="s">
        <v>13</v>
      </c>
    </row>
    <row r="2" spans="1:8" ht="19.8" customHeight="1" x14ac:dyDescent="0.3">
      <c r="A2" s="100"/>
      <c r="B2" s="101"/>
      <c r="C2" s="101"/>
      <c r="D2" s="101"/>
      <c r="E2" s="101"/>
      <c r="F2" s="102" t="s">
        <v>180</v>
      </c>
      <c r="G2" s="101"/>
      <c r="H2" s="103"/>
    </row>
    <row r="3" spans="1:8" ht="19.8" customHeight="1" x14ac:dyDescent="0.3">
      <c r="A3" s="59" t="s">
        <v>151</v>
      </c>
      <c r="B3" s="60" t="s">
        <v>26</v>
      </c>
      <c r="C3" s="61" t="s">
        <v>27</v>
      </c>
      <c r="D3" s="60" t="s">
        <v>1</v>
      </c>
      <c r="E3" s="60" t="s">
        <v>152</v>
      </c>
      <c r="F3" s="60" t="s">
        <v>28</v>
      </c>
      <c r="G3" s="62">
        <v>9</v>
      </c>
      <c r="H3" s="63" t="s">
        <v>30</v>
      </c>
    </row>
    <row r="4" spans="1:8" ht="19.8" customHeight="1" x14ac:dyDescent="0.3">
      <c r="A4" s="59" t="s">
        <v>151</v>
      </c>
      <c r="B4" s="60" t="s">
        <v>42</v>
      </c>
      <c r="C4" s="61" t="s">
        <v>43</v>
      </c>
      <c r="D4" s="60" t="s">
        <v>1</v>
      </c>
      <c r="E4" s="60" t="s">
        <v>153</v>
      </c>
      <c r="F4" s="60" t="s">
        <v>44</v>
      </c>
      <c r="G4" s="62">
        <v>5</v>
      </c>
      <c r="H4" s="63" t="s">
        <v>46</v>
      </c>
    </row>
    <row r="5" spans="1:8" ht="19.8" customHeight="1" x14ac:dyDescent="0.3">
      <c r="A5" s="59" t="s">
        <v>151</v>
      </c>
      <c r="B5" s="60" t="s">
        <v>26</v>
      </c>
      <c r="C5" s="61" t="s">
        <v>36</v>
      </c>
      <c r="D5" s="60" t="s">
        <v>1</v>
      </c>
      <c r="E5" s="60" t="s">
        <v>154</v>
      </c>
      <c r="F5" s="60" t="s">
        <v>28</v>
      </c>
      <c r="G5" s="62">
        <v>1</v>
      </c>
      <c r="H5" s="63" t="s">
        <v>38</v>
      </c>
    </row>
    <row r="6" spans="1:8" ht="19.8" customHeight="1" x14ac:dyDescent="0.3">
      <c r="A6" s="59" t="s">
        <v>151</v>
      </c>
      <c r="B6" s="60" t="s">
        <v>26</v>
      </c>
      <c r="C6" s="61" t="s">
        <v>27</v>
      </c>
      <c r="D6" s="60" t="s">
        <v>1</v>
      </c>
      <c r="E6" s="60" t="s">
        <v>152</v>
      </c>
      <c r="F6" s="60" t="s">
        <v>31</v>
      </c>
      <c r="G6" s="62">
        <v>9</v>
      </c>
      <c r="H6" s="63" t="s">
        <v>33</v>
      </c>
    </row>
    <row r="7" spans="1:8" ht="19.8" customHeight="1" x14ac:dyDescent="0.3">
      <c r="A7" s="59" t="s">
        <v>151</v>
      </c>
      <c r="B7" s="60" t="s">
        <v>26</v>
      </c>
      <c r="C7" s="61" t="s">
        <v>36</v>
      </c>
      <c r="D7" s="60" t="s">
        <v>1</v>
      </c>
      <c r="E7" s="60" t="s">
        <v>154</v>
      </c>
      <c r="F7" s="60" t="s">
        <v>31</v>
      </c>
      <c r="G7" s="62">
        <v>1</v>
      </c>
      <c r="H7" s="63" t="s">
        <v>40</v>
      </c>
    </row>
    <row r="8" spans="1:8" ht="19.8" customHeight="1" x14ac:dyDescent="0.3">
      <c r="A8" s="59" t="s">
        <v>151</v>
      </c>
      <c r="B8" s="60" t="s">
        <v>42</v>
      </c>
      <c r="C8" s="61" t="s">
        <v>43</v>
      </c>
      <c r="D8" s="60" t="s">
        <v>1</v>
      </c>
      <c r="E8" s="60" t="s">
        <v>153</v>
      </c>
      <c r="F8" s="60" t="s">
        <v>47</v>
      </c>
      <c r="G8" s="62">
        <v>5</v>
      </c>
      <c r="H8" s="63" t="s">
        <v>35</v>
      </c>
    </row>
    <row r="9" spans="1:8" ht="19.8" customHeight="1" x14ac:dyDescent="0.3">
      <c r="A9" s="59" t="s">
        <v>151</v>
      </c>
      <c r="B9" s="60" t="s">
        <v>26</v>
      </c>
      <c r="C9" s="61" t="s">
        <v>27</v>
      </c>
      <c r="D9" s="60" t="s">
        <v>1</v>
      </c>
      <c r="E9" s="60" t="s">
        <v>152</v>
      </c>
      <c r="F9" s="60" t="s">
        <v>34</v>
      </c>
      <c r="G9" s="62">
        <v>9</v>
      </c>
      <c r="H9" s="63" t="s">
        <v>35</v>
      </c>
    </row>
    <row r="10" spans="1:8" ht="19.8" customHeight="1" x14ac:dyDescent="0.3">
      <c r="A10" s="59" t="s">
        <v>151</v>
      </c>
      <c r="B10" s="60" t="s">
        <v>26</v>
      </c>
      <c r="C10" s="61" t="s">
        <v>36</v>
      </c>
      <c r="D10" s="60" t="s">
        <v>1</v>
      </c>
      <c r="E10" s="60" t="s">
        <v>154</v>
      </c>
      <c r="F10" s="60" t="s">
        <v>34</v>
      </c>
      <c r="G10" s="62">
        <v>1</v>
      </c>
      <c r="H10" s="63" t="s">
        <v>41</v>
      </c>
    </row>
    <row r="11" spans="1:8" ht="19.8" customHeight="1" x14ac:dyDescent="0.3">
      <c r="A11" s="59" t="s">
        <v>151</v>
      </c>
      <c r="B11" s="60" t="s">
        <v>42</v>
      </c>
      <c r="C11" s="61" t="s">
        <v>43</v>
      </c>
      <c r="D11" s="60" t="s">
        <v>1</v>
      </c>
      <c r="E11" s="60" t="s">
        <v>153</v>
      </c>
      <c r="F11" s="60" t="s">
        <v>49</v>
      </c>
      <c r="G11" s="62">
        <v>5</v>
      </c>
      <c r="H11" s="63" t="s">
        <v>50</v>
      </c>
    </row>
    <row r="12" spans="1:8" ht="19.8" customHeight="1" x14ac:dyDescent="0.3">
      <c r="A12" s="113" t="s">
        <v>151</v>
      </c>
      <c r="B12" s="71" t="s">
        <v>51</v>
      </c>
      <c r="C12" s="72" t="s">
        <v>52</v>
      </c>
      <c r="D12" s="71" t="s">
        <v>1</v>
      </c>
      <c r="E12" s="71" t="s">
        <v>155</v>
      </c>
      <c r="F12" s="71" t="s">
        <v>53</v>
      </c>
      <c r="G12" s="74">
        <v>9</v>
      </c>
      <c r="H12" s="75" t="s">
        <v>55</v>
      </c>
    </row>
    <row r="13" spans="1:8" ht="19.8" customHeight="1" x14ac:dyDescent="0.3">
      <c r="A13" s="100"/>
      <c r="B13" s="101"/>
      <c r="C13" s="101"/>
      <c r="D13" s="101"/>
      <c r="E13" s="101"/>
      <c r="F13" s="102" t="s">
        <v>180</v>
      </c>
      <c r="G13" s="101"/>
      <c r="H13" s="103"/>
    </row>
    <row r="14" spans="1:8" ht="19.8" customHeight="1" x14ac:dyDescent="0.3">
      <c r="A14" s="59" t="s">
        <v>201</v>
      </c>
      <c r="B14" s="60" t="s">
        <v>42</v>
      </c>
      <c r="C14" s="61" t="s">
        <v>43</v>
      </c>
      <c r="D14" s="60" t="s">
        <v>1</v>
      </c>
      <c r="E14" s="60" t="s">
        <v>153</v>
      </c>
      <c r="F14" s="60" t="s">
        <v>44</v>
      </c>
      <c r="G14" s="62">
        <v>5</v>
      </c>
      <c r="H14" s="63" t="s">
        <v>46</v>
      </c>
    </row>
    <row r="15" spans="1:8" ht="19.8" customHeight="1" x14ac:dyDescent="0.3">
      <c r="A15" s="59" t="s">
        <v>201</v>
      </c>
      <c r="B15" s="60" t="s">
        <v>26</v>
      </c>
      <c r="C15" s="61" t="s">
        <v>36</v>
      </c>
      <c r="D15" s="60" t="s">
        <v>1</v>
      </c>
      <c r="E15" s="60" t="s">
        <v>154</v>
      </c>
      <c r="F15" s="60" t="s">
        <v>28</v>
      </c>
      <c r="G15" s="62">
        <v>1</v>
      </c>
      <c r="H15" s="63" t="s">
        <v>38</v>
      </c>
    </row>
    <row r="16" spans="1:8" ht="19.8" customHeight="1" x14ac:dyDescent="0.3">
      <c r="A16" s="59" t="s">
        <v>201</v>
      </c>
      <c r="B16" s="60" t="s">
        <v>26</v>
      </c>
      <c r="C16" s="61" t="s">
        <v>36</v>
      </c>
      <c r="D16" s="60" t="s">
        <v>1</v>
      </c>
      <c r="E16" s="60" t="s">
        <v>154</v>
      </c>
      <c r="F16" s="60" t="s">
        <v>31</v>
      </c>
      <c r="G16" s="62">
        <v>1</v>
      </c>
      <c r="H16" s="63" t="s">
        <v>40</v>
      </c>
    </row>
    <row r="17" spans="1:8" ht="19.8" customHeight="1" x14ac:dyDescent="0.3">
      <c r="A17" s="59" t="s">
        <v>201</v>
      </c>
      <c r="B17" s="60" t="s">
        <v>42</v>
      </c>
      <c r="C17" s="61" t="s">
        <v>43</v>
      </c>
      <c r="D17" s="60" t="s">
        <v>1</v>
      </c>
      <c r="E17" s="60" t="s">
        <v>153</v>
      </c>
      <c r="F17" s="60" t="s">
        <v>47</v>
      </c>
      <c r="G17" s="62">
        <v>5</v>
      </c>
      <c r="H17" s="63" t="s">
        <v>35</v>
      </c>
    </row>
    <row r="18" spans="1:8" ht="19.8" customHeight="1" x14ac:dyDescent="0.3">
      <c r="A18" s="59" t="s">
        <v>201</v>
      </c>
      <c r="B18" s="60" t="s">
        <v>67</v>
      </c>
      <c r="C18" s="61" t="s">
        <v>71</v>
      </c>
      <c r="D18" s="60" t="s">
        <v>1</v>
      </c>
      <c r="E18" s="60" t="s">
        <v>157</v>
      </c>
      <c r="F18" s="60" t="s">
        <v>69</v>
      </c>
      <c r="G18" s="62">
        <v>9</v>
      </c>
      <c r="H18" s="63" t="s">
        <v>85</v>
      </c>
    </row>
    <row r="19" spans="1:8" ht="19.8" customHeight="1" x14ac:dyDescent="0.3">
      <c r="A19" s="59" t="s">
        <v>201</v>
      </c>
      <c r="B19" s="60" t="s">
        <v>26</v>
      </c>
      <c r="C19" s="61" t="s">
        <v>36</v>
      </c>
      <c r="D19" s="60" t="s">
        <v>1</v>
      </c>
      <c r="E19" s="60" t="s">
        <v>154</v>
      </c>
      <c r="F19" s="60" t="s">
        <v>34</v>
      </c>
      <c r="G19" s="62">
        <v>1</v>
      </c>
      <c r="H19" s="63" t="s">
        <v>41</v>
      </c>
    </row>
    <row r="20" spans="1:8" ht="19.8" customHeight="1" x14ac:dyDescent="0.3">
      <c r="A20" s="59" t="s">
        <v>201</v>
      </c>
      <c r="B20" s="60" t="s">
        <v>42</v>
      </c>
      <c r="C20" s="61" t="s">
        <v>43</v>
      </c>
      <c r="D20" s="60" t="s">
        <v>1</v>
      </c>
      <c r="E20" s="60" t="s">
        <v>153</v>
      </c>
      <c r="F20" s="60" t="s">
        <v>49</v>
      </c>
      <c r="G20" s="62">
        <v>5</v>
      </c>
      <c r="H20" s="63" t="s">
        <v>50</v>
      </c>
    </row>
    <row r="21" spans="1:8" ht="19.8" customHeight="1" x14ac:dyDescent="0.3">
      <c r="A21" s="59" t="s">
        <v>201</v>
      </c>
      <c r="B21" s="60" t="s">
        <v>51</v>
      </c>
      <c r="C21" s="61" t="s">
        <v>64</v>
      </c>
      <c r="D21" s="60" t="s">
        <v>1</v>
      </c>
      <c r="E21" s="60" t="s">
        <v>161</v>
      </c>
      <c r="F21" s="60" t="s">
        <v>53</v>
      </c>
      <c r="G21" s="62">
        <v>9</v>
      </c>
      <c r="H21" s="63" t="s">
        <v>55</v>
      </c>
    </row>
    <row r="22" spans="1:8" ht="19.8" customHeight="1" x14ac:dyDescent="0.3">
      <c r="A22" s="59" t="s">
        <v>201</v>
      </c>
      <c r="B22" s="60" t="s">
        <v>67</v>
      </c>
      <c r="C22" s="61" t="s">
        <v>86</v>
      </c>
      <c r="D22" s="60" t="s">
        <v>1</v>
      </c>
      <c r="E22" s="60" t="s">
        <v>202</v>
      </c>
      <c r="F22" s="60" t="s">
        <v>69</v>
      </c>
      <c r="G22" s="62">
        <v>9</v>
      </c>
      <c r="H22" s="63" t="s">
        <v>87</v>
      </c>
    </row>
    <row r="23" spans="1:8" ht="19.8" customHeight="1" x14ac:dyDescent="0.3">
      <c r="A23" s="113" t="s">
        <v>201</v>
      </c>
      <c r="B23" s="71" t="s">
        <v>51</v>
      </c>
      <c r="C23" s="72" t="s">
        <v>64</v>
      </c>
      <c r="D23" s="71" t="s">
        <v>1</v>
      </c>
      <c r="E23" s="71" t="s">
        <v>161</v>
      </c>
      <c r="F23" s="71" t="s">
        <v>56</v>
      </c>
      <c r="G23" s="74">
        <v>9</v>
      </c>
      <c r="H23" s="75" t="s">
        <v>58</v>
      </c>
    </row>
    <row r="24" spans="1:8" ht="19.8" customHeight="1" x14ac:dyDescent="0.3">
      <c r="A24" s="99" t="s">
        <v>203</v>
      </c>
      <c r="B24" s="77" t="s">
        <v>78</v>
      </c>
      <c r="C24" s="78" t="s">
        <v>182</v>
      </c>
      <c r="D24" s="77" t="s">
        <v>181</v>
      </c>
      <c r="E24" s="77" t="s">
        <v>192</v>
      </c>
      <c r="F24" s="77" t="s">
        <v>98</v>
      </c>
      <c r="G24" s="80">
        <v>9</v>
      </c>
      <c r="H24" s="81" t="s">
        <v>183</v>
      </c>
    </row>
    <row r="25" spans="1:8" ht="19.8" customHeight="1" x14ac:dyDescent="0.3">
      <c r="A25" s="100"/>
      <c r="B25" s="101"/>
      <c r="C25" s="101"/>
      <c r="D25" s="101"/>
      <c r="E25" s="101"/>
      <c r="F25" s="102" t="s">
        <v>180</v>
      </c>
      <c r="G25" s="101"/>
      <c r="H25" s="103"/>
    </row>
    <row r="26" spans="1:8" ht="19.8" customHeight="1" x14ac:dyDescent="0.3">
      <c r="A26" s="68">
        <v>45983</v>
      </c>
      <c r="B26" s="60" t="s">
        <v>42</v>
      </c>
      <c r="C26" s="61" t="s">
        <v>43</v>
      </c>
      <c r="D26" s="60" t="s">
        <v>1</v>
      </c>
      <c r="E26" s="69">
        <v>1.229166666666667</v>
      </c>
      <c r="F26" s="60" t="s">
        <v>44</v>
      </c>
      <c r="G26" s="62">
        <v>20</v>
      </c>
      <c r="H26" s="63" t="s">
        <v>89</v>
      </c>
    </row>
    <row r="27" spans="1:8" ht="19.8" customHeight="1" x14ac:dyDescent="0.3">
      <c r="A27" s="68">
        <v>45983</v>
      </c>
      <c r="B27" s="60" t="s">
        <v>26</v>
      </c>
      <c r="C27" s="61" t="s">
        <v>27</v>
      </c>
      <c r="D27" s="60" t="s">
        <v>1</v>
      </c>
      <c r="E27" s="69">
        <v>1.4340277777777779</v>
      </c>
      <c r="F27" s="60" t="s">
        <v>28</v>
      </c>
      <c r="G27" s="62">
        <v>3</v>
      </c>
      <c r="H27" s="63" t="s">
        <v>38</v>
      </c>
    </row>
    <row r="28" spans="1:8" ht="19.8" customHeight="1" x14ac:dyDescent="0.3">
      <c r="A28" s="68">
        <v>45983</v>
      </c>
      <c r="B28" s="60" t="s">
        <v>26</v>
      </c>
      <c r="C28" s="61" t="s">
        <v>36</v>
      </c>
      <c r="D28" s="60" t="s">
        <v>1</v>
      </c>
      <c r="E28" s="69">
        <v>1.6076388888888891</v>
      </c>
      <c r="F28" s="60" t="s">
        <v>28</v>
      </c>
      <c r="G28" s="62">
        <v>7</v>
      </c>
      <c r="H28" s="63" t="s">
        <v>38</v>
      </c>
    </row>
    <row r="29" spans="1:8" ht="19.8" customHeight="1" x14ac:dyDescent="0.3">
      <c r="A29" s="68">
        <v>45983</v>
      </c>
      <c r="B29" s="60" t="s">
        <v>42</v>
      </c>
      <c r="C29" s="61" t="s">
        <v>43</v>
      </c>
      <c r="D29" s="60" t="s">
        <v>1</v>
      </c>
      <c r="E29" s="69">
        <v>1.229166666666667</v>
      </c>
      <c r="F29" s="60" t="s">
        <v>47</v>
      </c>
      <c r="G29" s="62">
        <v>20</v>
      </c>
      <c r="H29" s="63" t="s">
        <v>91</v>
      </c>
    </row>
    <row r="30" spans="1:8" ht="19.8" customHeight="1" x14ac:dyDescent="0.3">
      <c r="A30" s="68">
        <v>45983</v>
      </c>
      <c r="B30" s="60" t="s">
        <v>26</v>
      </c>
      <c r="C30" s="61" t="s">
        <v>27</v>
      </c>
      <c r="D30" s="60" t="s">
        <v>1</v>
      </c>
      <c r="E30" s="69">
        <v>1.4340277777777779</v>
      </c>
      <c r="F30" s="60" t="s">
        <v>31</v>
      </c>
      <c r="G30" s="62">
        <v>3</v>
      </c>
      <c r="H30" s="63" t="s">
        <v>40</v>
      </c>
    </row>
    <row r="31" spans="1:8" ht="19.8" customHeight="1" x14ac:dyDescent="0.3">
      <c r="A31" s="68">
        <v>45983</v>
      </c>
      <c r="B31" s="60" t="s">
        <v>26</v>
      </c>
      <c r="C31" s="61" t="s">
        <v>36</v>
      </c>
      <c r="D31" s="60" t="s">
        <v>1</v>
      </c>
      <c r="E31" s="69">
        <v>1.6076388888888891</v>
      </c>
      <c r="F31" s="60" t="s">
        <v>31</v>
      </c>
      <c r="G31" s="62">
        <v>7</v>
      </c>
      <c r="H31" s="63" t="s">
        <v>40</v>
      </c>
    </row>
    <row r="32" spans="1:8" ht="19.8" customHeight="1" x14ac:dyDescent="0.3">
      <c r="A32" s="68">
        <v>45983</v>
      </c>
      <c r="B32" s="60" t="s">
        <v>67</v>
      </c>
      <c r="C32" s="61" t="s">
        <v>71</v>
      </c>
      <c r="D32" s="60" t="s">
        <v>1</v>
      </c>
      <c r="E32" s="69">
        <v>1.947916666666667</v>
      </c>
      <c r="F32" s="60" t="s">
        <v>69</v>
      </c>
      <c r="G32" s="62">
        <v>9</v>
      </c>
      <c r="H32" s="63" t="s">
        <v>85</v>
      </c>
    </row>
    <row r="33" spans="1:8" ht="19.8" customHeight="1" x14ac:dyDescent="0.3">
      <c r="A33" s="68">
        <v>45983</v>
      </c>
      <c r="B33" s="60" t="s">
        <v>67</v>
      </c>
      <c r="C33" s="61" t="s">
        <v>68</v>
      </c>
      <c r="D33" s="60" t="s">
        <v>1</v>
      </c>
      <c r="E33" s="69">
        <v>1.0659722222222221</v>
      </c>
      <c r="F33" s="60" t="s">
        <v>69</v>
      </c>
      <c r="G33" s="62">
        <v>9</v>
      </c>
      <c r="H33" s="63" t="s">
        <v>85</v>
      </c>
    </row>
    <row r="34" spans="1:8" ht="19.8" customHeight="1" x14ac:dyDescent="0.3">
      <c r="A34" s="68">
        <v>45983</v>
      </c>
      <c r="B34" s="60" t="s">
        <v>67</v>
      </c>
      <c r="C34" s="61" t="s">
        <v>77</v>
      </c>
      <c r="D34" s="60" t="s">
        <v>1</v>
      </c>
      <c r="E34" s="69">
        <v>1.336805555555556</v>
      </c>
      <c r="F34" s="60" t="s">
        <v>69</v>
      </c>
      <c r="G34" s="62">
        <v>9</v>
      </c>
      <c r="H34" s="63" t="s">
        <v>85</v>
      </c>
    </row>
    <row r="35" spans="1:8" ht="19.8" customHeight="1" x14ac:dyDescent="0.3">
      <c r="A35" s="70">
        <v>45983</v>
      </c>
      <c r="B35" s="71" t="s">
        <v>26</v>
      </c>
      <c r="C35" s="72" t="s">
        <v>27</v>
      </c>
      <c r="D35" s="71" t="s">
        <v>1</v>
      </c>
      <c r="E35" s="73">
        <v>1.4340277777777779</v>
      </c>
      <c r="F35" s="71" t="s">
        <v>34</v>
      </c>
      <c r="G35" s="74">
        <v>3</v>
      </c>
      <c r="H35" s="75" t="s">
        <v>41</v>
      </c>
    </row>
  </sheetData>
  <pageMargins left="0.75" right="0.75" top="1" bottom="1" header="0.5" footer="0.5"/>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N159"/>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63.77734375" bestFit="1" customWidth="1"/>
  </cols>
  <sheetData>
    <row r="1" spans="1:92" ht="28.8" customHeight="1" x14ac:dyDescent="0.3">
      <c r="A1" s="261" t="s">
        <v>0</v>
      </c>
      <c r="B1" s="251"/>
      <c r="C1" s="251"/>
      <c r="D1" s="251"/>
      <c r="E1" s="251"/>
      <c r="F1" s="1" t="s">
        <v>204</v>
      </c>
      <c r="G1" s="2" t="s">
        <v>2</v>
      </c>
      <c r="H1" s="260">
        <v>45981</v>
      </c>
      <c r="I1" s="251"/>
      <c r="J1" s="251"/>
      <c r="K1" s="251"/>
      <c r="L1" s="251"/>
      <c r="M1" s="1" t="s">
        <v>3</v>
      </c>
      <c r="N1" s="266">
        <v>45983</v>
      </c>
      <c r="O1" s="251"/>
      <c r="P1" s="251"/>
      <c r="Q1" s="251"/>
      <c r="R1" s="251"/>
      <c r="CA1" s="3"/>
      <c r="CB1" s="3"/>
      <c r="CC1" s="3"/>
      <c r="CD1" s="3"/>
      <c r="CE1" s="3"/>
      <c r="CF1" s="3"/>
      <c r="CG1" s="3"/>
      <c r="CH1" s="3"/>
      <c r="CI1" s="3"/>
      <c r="CJ1" s="3"/>
      <c r="CK1" s="3"/>
      <c r="CL1" s="3"/>
      <c r="CM1" s="3"/>
      <c r="CN1" s="3"/>
    </row>
    <row r="2" spans="1:92" ht="23.4" customHeight="1" x14ac:dyDescent="0.3">
      <c r="A2" s="250" t="s">
        <v>4</v>
      </c>
      <c r="B2" s="251"/>
      <c r="C2" s="251"/>
      <c r="D2" s="251"/>
      <c r="E2" s="251"/>
      <c r="F2" s="251"/>
      <c r="G2" s="262">
        <v>45980.493035415508</v>
      </c>
      <c r="H2" s="251"/>
      <c r="I2" s="251"/>
      <c r="J2" s="251"/>
      <c r="K2" s="263">
        <v>45980.493035415879</v>
      </c>
      <c r="L2" s="251"/>
      <c r="M2" s="251"/>
      <c r="N2" s="251"/>
      <c r="O2" s="251"/>
      <c r="P2" s="251"/>
      <c r="Q2" s="251"/>
      <c r="R2" s="251"/>
      <c r="CA2" s="3"/>
      <c r="CB2" s="3"/>
      <c r="CC2" s="3"/>
      <c r="CD2" s="3"/>
      <c r="CE2" s="3"/>
      <c r="CF2" s="3"/>
      <c r="CG2" s="3"/>
      <c r="CH2" s="3"/>
      <c r="CI2" s="3"/>
      <c r="CJ2" s="3"/>
      <c r="CK2" s="3"/>
      <c r="CL2" s="3"/>
      <c r="CM2" s="3"/>
      <c r="CN2" s="3"/>
    </row>
    <row r="3" spans="1:92" ht="24" customHeight="1" x14ac:dyDescent="0.3">
      <c r="A3" s="252" t="s">
        <v>5</v>
      </c>
      <c r="B3" s="251"/>
      <c r="C3" s="251"/>
      <c r="D3" s="251"/>
      <c r="E3" s="251"/>
      <c r="F3" s="251"/>
      <c r="G3" s="251"/>
      <c r="H3" s="251"/>
      <c r="I3" s="251"/>
      <c r="J3" s="251"/>
      <c r="K3" s="251"/>
      <c r="L3" s="251"/>
      <c r="M3" s="251"/>
      <c r="N3" s="251"/>
      <c r="O3" s="251"/>
      <c r="P3" s="251"/>
      <c r="Q3" s="251"/>
      <c r="R3" s="251"/>
      <c r="CA3" s="3"/>
      <c r="CB3" s="3"/>
      <c r="CC3" s="3"/>
      <c r="CD3" s="3"/>
      <c r="CE3" s="3"/>
      <c r="CF3" s="3"/>
      <c r="CG3" s="3"/>
      <c r="CH3" s="3"/>
      <c r="CI3" s="3"/>
      <c r="CJ3" s="3"/>
      <c r="CK3" s="3"/>
      <c r="CL3" s="3"/>
      <c r="CM3" s="3"/>
      <c r="CN3" s="3"/>
    </row>
    <row r="4" spans="1:92" ht="22.05" customHeight="1" x14ac:dyDescent="0.3">
      <c r="A4" s="264" t="s">
        <v>6</v>
      </c>
      <c r="B4" s="254"/>
      <c r="C4" s="254"/>
      <c r="D4" s="254"/>
      <c r="E4" s="254"/>
      <c r="F4" s="255"/>
      <c r="G4" s="4">
        <v>45981</v>
      </c>
      <c r="H4" s="265" t="s">
        <v>7</v>
      </c>
      <c r="I4" s="254"/>
      <c r="J4" s="254"/>
      <c r="K4" s="254"/>
      <c r="L4" s="254"/>
      <c r="M4" s="254"/>
      <c r="N4" s="254"/>
      <c r="O4" s="254"/>
      <c r="P4" s="254"/>
      <c r="Q4" s="254"/>
      <c r="R4" s="25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42</v>
      </c>
      <c r="B6" s="8" t="s">
        <v>205</v>
      </c>
      <c r="C6" s="9">
        <v>0.48958333333333331</v>
      </c>
      <c r="D6" s="8" t="s">
        <v>44</v>
      </c>
      <c r="E6" s="8" t="s">
        <v>206</v>
      </c>
      <c r="F6" s="8" t="s">
        <v>207</v>
      </c>
      <c r="G6" s="270"/>
      <c r="H6" s="10"/>
      <c r="I6" s="11"/>
      <c r="J6" s="11"/>
      <c r="K6" s="11"/>
      <c r="L6" s="11"/>
      <c r="M6" s="11"/>
      <c r="N6" s="11"/>
      <c r="O6" s="12"/>
      <c r="P6" s="11"/>
      <c r="Q6" s="13"/>
      <c r="R6" s="14"/>
    </row>
    <row r="7" spans="1:92" ht="15" customHeight="1" x14ac:dyDescent="0.3">
      <c r="A7" s="15" t="s">
        <v>42</v>
      </c>
      <c r="B7" s="15" t="s">
        <v>205</v>
      </c>
      <c r="C7" s="16">
        <v>0.48958333333333331</v>
      </c>
      <c r="D7" s="15" t="s">
        <v>47</v>
      </c>
      <c r="E7" s="15" t="s">
        <v>208</v>
      </c>
      <c r="F7" s="15" t="s">
        <v>209</v>
      </c>
      <c r="G7" s="257"/>
      <c r="H7" s="10"/>
      <c r="I7" s="11"/>
      <c r="J7" s="11"/>
      <c r="K7" s="11"/>
      <c r="L7" s="11"/>
      <c r="M7" s="11"/>
      <c r="N7" s="11"/>
      <c r="O7" s="12"/>
      <c r="P7" s="11"/>
      <c r="Q7" s="13"/>
      <c r="R7" s="14"/>
    </row>
    <row r="8" spans="1:92" ht="15" customHeight="1" x14ac:dyDescent="0.3">
      <c r="A8" s="15" t="s">
        <v>42</v>
      </c>
      <c r="B8" s="15" t="s">
        <v>205</v>
      </c>
      <c r="C8" s="16">
        <v>0.48958333333333331</v>
      </c>
      <c r="D8" s="15" t="s">
        <v>49</v>
      </c>
      <c r="E8" s="15" t="s">
        <v>208</v>
      </c>
      <c r="F8" s="15" t="s">
        <v>210</v>
      </c>
      <c r="G8" s="257"/>
      <c r="H8" s="10"/>
      <c r="I8" s="11"/>
      <c r="J8" s="11"/>
      <c r="K8" s="11"/>
      <c r="L8" s="11"/>
      <c r="M8" s="11"/>
      <c r="N8" s="11"/>
      <c r="O8" s="12"/>
      <c r="P8" s="11"/>
      <c r="Q8" s="13"/>
      <c r="R8" s="14"/>
    </row>
    <row r="9" spans="1:92" ht="15" customHeight="1" x14ac:dyDescent="0.3">
      <c r="A9" s="17" t="s">
        <v>42</v>
      </c>
      <c r="B9" s="17" t="s">
        <v>211</v>
      </c>
      <c r="C9" s="18">
        <v>0.39930555555555558</v>
      </c>
      <c r="D9" s="17" t="s">
        <v>44</v>
      </c>
      <c r="E9" s="17" t="s">
        <v>212</v>
      </c>
      <c r="F9" s="17" t="s">
        <v>207</v>
      </c>
      <c r="G9" s="257"/>
      <c r="H9" s="10"/>
      <c r="I9" s="11"/>
      <c r="J9" s="11"/>
      <c r="K9" s="11"/>
      <c r="L9" s="11"/>
      <c r="M9" s="11"/>
      <c r="N9" s="11"/>
      <c r="O9" s="12"/>
      <c r="P9" s="11"/>
      <c r="Q9" s="13"/>
      <c r="R9" s="14"/>
    </row>
    <row r="10" spans="1:92" ht="15" customHeight="1" x14ac:dyDescent="0.3">
      <c r="A10" s="15" t="s">
        <v>42</v>
      </c>
      <c r="B10" s="15" t="s">
        <v>211</v>
      </c>
      <c r="C10" s="16">
        <v>0.39930555555555558</v>
      </c>
      <c r="D10" s="15" t="s">
        <v>47</v>
      </c>
      <c r="E10" s="15" t="s">
        <v>213</v>
      </c>
      <c r="F10" s="15" t="s">
        <v>209</v>
      </c>
      <c r="G10" s="257"/>
      <c r="H10" s="10"/>
      <c r="I10" s="11"/>
      <c r="J10" s="11"/>
      <c r="K10" s="11"/>
      <c r="L10" s="11"/>
      <c r="M10" s="11"/>
      <c r="N10" s="11"/>
      <c r="O10" s="12"/>
      <c r="P10" s="11"/>
      <c r="Q10" s="13"/>
      <c r="R10" s="14"/>
    </row>
    <row r="11" spans="1:92" ht="15" customHeight="1" x14ac:dyDescent="0.3">
      <c r="A11" s="15" t="s">
        <v>42</v>
      </c>
      <c r="B11" s="15" t="s">
        <v>211</v>
      </c>
      <c r="C11" s="16">
        <v>0.39930555555555558</v>
      </c>
      <c r="D11" s="15" t="s">
        <v>49</v>
      </c>
      <c r="E11" s="15" t="s">
        <v>213</v>
      </c>
      <c r="F11" s="15" t="s">
        <v>50</v>
      </c>
      <c r="G11" s="257"/>
      <c r="H11" s="10"/>
      <c r="I11" s="11"/>
      <c r="J11" s="11"/>
      <c r="K11" s="11"/>
      <c r="L11" s="11"/>
      <c r="M11" s="11"/>
      <c r="N11" s="11"/>
      <c r="O11" s="12"/>
      <c r="P11" s="11"/>
      <c r="Q11" s="13"/>
      <c r="R11" s="14"/>
    </row>
    <row r="12" spans="1:92" ht="15" customHeight="1" x14ac:dyDescent="0.3">
      <c r="A12" s="17" t="s">
        <v>42</v>
      </c>
      <c r="B12" s="17" t="s">
        <v>214</v>
      </c>
      <c r="C12" s="18">
        <v>0.98958333333333337</v>
      </c>
      <c r="D12" s="17" t="s">
        <v>44</v>
      </c>
      <c r="E12" s="17" t="s">
        <v>215</v>
      </c>
      <c r="F12" s="17" t="s">
        <v>207</v>
      </c>
      <c r="G12" s="257"/>
      <c r="H12" s="10"/>
      <c r="I12" s="11"/>
      <c r="J12" s="11"/>
      <c r="K12" s="11"/>
      <c r="L12" s="11"/>
      <c r="M12" s="11"/>
      <c r="N12" s="11"/>
      <c r="O12" s="12"/>
      <c r="P12" s="11"/>
      <c r="Q12" s="13"/>
      <c r="R12" s="14"/>
    </row>
    <row r="13" spans="1:92" ht="15" customHeight="1" x14ac:dyDescent="0.3">
      <c r="A13" s="15" t="s">
        <v>42</v>
      </c>
      <c r="B13" s="15" t="s">
        <v>214</v>
      </c>
      <c r="C13" s="16">
        <v>0.98958333333333337</v>
      </c>
      <c r="D13" s="15" t="s">
        <v>47</v>
      </c>
      <c r="E13" s="15" t="s">
        <v>90</v>
      </c>
      <c r="F13" s="15" t="s">
        <v>209</v>
      </c>
      <c r="G13" s="257"/>
      <c r="H13" s="10"/>
      <c r="I13" s="11"/>
      <c r="J13" s="11"/>
      <c r="K13" s="11"/>
      <c r="L13" s="11"/>
      <c r="M13" s="11"/>
      <c r="N13" s="11"/>
      <c r="O13" s="12"/>
      <c r="P13" s="11"/>
      <c r="Q13" s="13"/>
      <c r="R13" s="14"/>
    </row>
    <row r="14" spans="1:92" ht="15" customHeight="1" x14ac:dyDescent="0.3">
      <c r="A14" s="15" t="s">
        <v>42</v>
      </c>
      <c r="B14" s="15" t="s">
        <v>214</v>
      </c>
      <c r="C14" s="16">
        <v>0.98958333333333337</v>
      </c>
      <c r="D14" s="15" t="s">
        <v>49</v>
      </c>
      <c r="E14" s="15" t="s">
        <v>90</v>
      </c>
      <c r="F14" s="15" t="s">
        <v>50</v>
      </c>
      <c r="G14" s="257"/>
      <c r="H14" s="10"/>
      <c r="I14" s="11"/>
      <c r="J14" s="11"/>
      <c r="K14" s="11"/>
      <c r="L14" s="11"/>
      <c r="M14" s="11"/>
      <c r="N14" s="11"/>
      <c r="O14" s="12"/>
      <c r="P14" s="11"/>
      <c r="Q14" s="13"/>
      <c r="R14" s="14"/>
    </row>
    <row r="15" spans="1:92" ht="15" customHeight="1" x14ac:dyDescent="0.3">
      <c r="A15" s="17" t="s">
        <v>42</v>
      </c>
      <c r="B15" s="17" t="s">
        <v>216</v>
      </c>
      <c r="C15" s="18">
        <v>0.88888888888888884</v>
      </c>
      <c r="D15" s="17" t="s">
        <v>44</v>
      </c>
      <c r="E15" s="17" t="s">
        <v>217</v>
      </c>
      <c r="F15" s="17" t="s">
        <v>207</v>
      </c>
      <c r="G15" s="257"/>
      <c r="H15" s="10"/>
      <c r="I15" s="11"/>
      <c r="J15" s="11"/>
      <c r="K15" s="11"/>
      <c r="L15" s="11"/>
      <c r="M15" s="11"/>
      <c r="N15" s="11"/>
      <c r="O15" s="12"/>
      <c r="P15" s="11"/>
      <c r="Q15" s="13"/>
      <c r="R15" s="14"/>
    </row>
    <row r="16" spans="1:92" ht="15" customHeight="1" x14ac:dyDescent="0.3">
      <c r="A16" s="15" t="s">
        <v>42</v>
      </c>
      <c r="B16" s="15" t="s">
        <v>216</v>
      </c>
      <c r="C16" s="16">
        <v>0.88888888888888884</v>
      </c>
      <c r="D16" s="15" t="s">
        <v>47</v>
      </c>
      <c r="E16" s="15" t="s">
        <v>218</v>
      </c>
      <c r="F16" s="15" t="s">
        <v>209</v>
      </c>
      <c r="G16" s="257"/>
      <c r="H16" s="10"/>
      <c r="I16" s="11"/>
      <c r="J16" s="11"/>
      <c r="K16" s="11"/>
      <c r="L16" s="11"/>
      <c r="M16" s="11"/>
      <c r="N16" s="11"/>
      <c r="O16" s="12"/>
      <c r="P16" s="11"/>
      <c r="Q16" s="13"/>
      <c r="R16" s="14"/>
    </row>
    <row r="17" spans="1:18" ht="15" customHeight="1" x14ac:dyDescent="0.3">
      <c r="A17" s="15" t="s">
        <v>42</v>
      </c>
      <c r="B17" s="15" t="s">
        <v>216</v>
      </c>
      <c r="C17" s="16">
        <v>0.88888888888888884</v>
      </c>
      <c r="D17" s="15" t="s">
        <v>49</v>
      </c>
      <c r="E17" s="15" t="s">
        <v>218</v>
      </c>
      <c r="F17" s="15" t="s">
        <v>50</v>
      </c>
      <c r="G17" s="257"/>
      <c r="H17" s="10"/>
      <c r="I17" s="11"/>
      <c r="J17" s="11"/>
      <c r="K17" s="11"/>
      <c r="L17" s="11"/>
      <c r="M17" s="11"/>
      <c r="N17" s="11"/>
      <c r="O17" s="12"/>
      <c r="P17" s="11"/>
      <c r="Q17" s="13"/>
      <c r="R17" s="14"/>
    </row>
    <row r="18" spans="1:18" ht="15" customHeight="1" x14ac:dyDescent="0.3">
      <c r="A18" s="19" t="s">
        <v>26</v>
      </c>
      <c r="B18" s="19" t="s">
        <v>219</v>
      </c>
      <c r="C18" s="20">
        <v>0.94444444444444453</v>
      </c>
      <c r="D18" s="19" t="s">
        <v>28</v>
      </c>
      <c r="E18" s="19" t="s">
        <v>45</v>
      </c>
      <c r="F18" s="19" t="s">
        <v>89</v>
      </c>
      <c r="G18" s="257"/>
      <c r="H18" s="10"/>
      <c r="I18" s="11"/>
      <c r="J18" s="11"/>
      <c r="K18" s="11"/>
      <c r="L18" s="11"/>
      <c r="M18" s="11"/>
      <c r="N18" s="11"/>
      <c r="O18" s="12"/>
      <c r="P18" s="11"/>
      <c r="Q18" s="13"/>
      <c r="R18" s="14"/>
    </row>
    <row r="19" spans="1:18" ht="15" customHeight="1" x14ac:dyDescent="0.3">
      <c r="A19" s="15" t="s">
        <v>26</v>
      </c>
      <c r="B19" s="15" t="s">
        <v>219</v>
      </c>
      <c r="C19" s="16">
        <v>0.94444444444444453</v>
      </c>
      <c r="D19" s="15" t="s">
        <v>31</v>
      </c>
      <c r="E19" s="15" t="s">
        <v>48</v>
      </c>
      <c r="F19" s="15" t="s">
        <v>220</v>
      </c>
      <c r="G19" s="257"/>
      <c r="H19" s="10"/>
      <c r="I19" s="11"/>
      <c r="J19" s="11"/>
      <c r="K19" s="11"/>
      <c r="L19" s="11"/>
      <c r="M19" s="11"/>
      <c r="N19" s="11"/>
      <c r="O19" s="12"/>
      <c r="P19" s="11"/>
      <c r="Q19" s="13"/>
      <c r="R19" s="14"/>
    </row>
    <row r="20" spans="1:18" ht="15" customHeight="1" x14ac:dyDescent="0.3">
      <c r="A20" s="15" t="s">
        <v>26</v>
      </c>
      <c r="B20" s="15" t="s">
        <v>219</v>
      </c>
      <c r="C20" s="16">
        <v>0.94444444444444453</v>
      </c>
      <c r="D20" s="15" t="s">
        <v>34</v>
      </c>
      <c r="E20" s="15" t="s">
        <v>48</v>
      </c>
      <c r="F20" s="15" t="s">
        <v>221</v>
      </c>
      <c r="G20" s="257"/>
      <c r="H20" s="10"/>
      <c r="I20" s="11"/>
      <c r="J20" s="11"/>
      <c r="K20" s="11"/>
      <c r="L20" s="11"/>
      <c r="M20" s="11"/>
      <c r="N20" s="11"/>
      <c r="O20" s="12"/>
      <c r="P20" s="11"/>
      <c r="Q20" s="13"/>
      <c r="R20" s="14"/>
    </row>
    <row r="21" spans="1:18" ht="15" customHeight="1" x14ac:dyDescent="0.3">
      <c r="A21" s="17" t="s">
        <v>26</v>
      </c>
      <c r="B21" s="17" t="s">
        <v>222</v>
      </c>
      <c r="C21" s="18">
        <v>0.99305555555555547</v>
      </c>
      <c r="D21" s="17" t="s">
        <v>28</v>
      </c>
      <c r="E21" s="17" t="s">
        <v>223</v>
      </c>
      <c r="F21" s="17" t="s">
        <v>89</v>
      </c>
      <c r="G21" s="257"/>
      <c r="H21" s="10"/>
      <c r="I21" s="11"/>
      <c r="J21" s="11"/>
      <c r="K21" s="11"/>
      <c r="L21" s="11"/>
      <c r="M21" s="11"/>
      <c r="N21" s="11"/>
      <c r="O21" s="12"/>
      <c r="P21" s="11"/>
      <c r="Q21" s="13"/>
      <c r="R21" s="14"/>
    </row>
    <row r="22" spans="1:18" ht="15" customHeight="1" x14ac:dyDescent="0.3">
      <c r="A22" s="15" t="s">
        <v>26</v>
      </c>
      <c r="B22" s="15" t="s">
        <v>222</v>
      </c>
      <c r="C22" s="16">
        <v>0.99305555555555547</v>
      </c>
      <c r="D22" s="15" t="s">
        <v>31</v>
      </c>
      <c r="E22" s="15" t="s">
        <v>32</v>
      </c>
      <c r="F22" s="15" t="s">
        <v>220</v>
      </c>
      <c r="G22" s="257"/>
      <c r="H22" s="10"/>
      <c r="I22" s="11"/>
      <c r="J22" s="11"/>
      <c r="K22" s="11"/>
      <c r="L22" s="11"/>
      <c r="M22" s="11"/>
      <c r="N22" s="11"/>
      <c r="O22" s="12"/>
      <c r="P22" s="11"/>
      <c r="Q22" s="13"/>
      <c r="R22" s="14"/>
    </row>
    <row r="23" spans="1:18" ht="15" customHeight="1" x14ac:dyDescent="0.3">
      <c r="A23" s="15" t="s">
        <v>26</v>
      </c>
      <c r="B23" s="15" t="s">
        <v>222</v>
      </c>
      <c r="C23" s="16">
        <v>0.99305555555555547</v>
      </c>
      <c r="D23" s="15" t="s">
        <v>34</v>
      </c>
      <c r="E23" s="15" t="s">
        <v>32</v>
      </c>
      <c r="F23" s="15" t="s">
        <v>221</v>
      </c>
      <c r="G23" s="257"/>
      <c r="H23" s="10"/>
      <c r="I23" s="11"/>
      <c r="J23" s="11"/>
      <c r="K23" s="11"/>
      <c r="L23" s="11"/>
      <c r="M23" s="11"/>
      <c r="N23" s="11"/>
      <c r="O23" s="12"/>
      <c r="P23" s="11"/>
      <c r="Q23" s="13"/>
      <c r="R23" s="14"/>
    </row>
    <row r="24" spans="1:18" ht="15" customHeight="1" x14ac:dyDescent="0.3">
      <c r="A24" s="17" t="s">
        <v>26</v>
      </c>
      <c r="B24" s="17" t="s">
        <v>224</v>
      </c>
      <c r="C24" s="18">
        <v>0.3923611111111111</v>
      </c>
      <c r="D24" s="17" t="s">
        <v>28</v>
      </c>
      <c r="E24" s="17" t="s">
        <v>225</v>
      </c>
      <c r="F24" s="17" t="s">
        <v>46</v>
      </c>
      <c r="G24" s="257"/>
      <c r="H24" s="10"/>
      <c r="I24" s="11"/>
      <c r="J24" s="11"/>
      <c r="K24" s="11"/>
      <c r="L24" s="11"/>
      <c r="M24" s="11"/>
      <c r="N24" s="11"/>
      <c r="O24" s="12"/>
      <c r="P24" s="11"/>
      <c r="Q24" s="13"/>
      <c r="R24" s="14"/>
    </row>
    <row r="25" spans="1:18" ht="15" customHeight="1" x14ac:dyDescent="0.3">
      <c r="A25" s="15" t="s">
        <v>26</v>
      </c>
      <c r="B25" s="15" t="s">
        <v>224</v>
      </c>
      <c r="C25" s="16">
        <v>0.3923611111111111</v>
      </c>
      <c r="D25" s="15" t="s">
        <v>31</v>
      </c>
      <c r="E25" s="15" t="s">
        <v>226</v>
      </c>
      <c r="F25" s="15" t="s">
        <v>91</v>
      </c>
      <c r="G25" s="257"/>
      <c r="H25" s="10"/>
      <c r="I25" s="11"/>
      <c r="J25" s="11"/>
      <c r="K25" s="11"/>
      <c r="L25" s="11"/>
      <c r="M25" s="11"/>
      <c r="N25" s="11"/>
      <c r="O25" s="12"/>
      <c r="P25" s="11"/>
      <c r="Q25" s="13"/>
      <c r="R25" s="14"/>
    </row>
    <row r="26" spans="1:18" ht="15" customHeight="1" x14ac:dyDescent="0.3">
      <c r="A26" s="15" t="s">
        <v>26</v>
      </c>
      <c r="B26" s="15" t="s">
        <v>224</v>
      </c>
      <c r="C26" s="16">
        <v>0.3923611111111111</v>
      </c>
      <c r="D26" s="15" t="s">
        <v>34</v>
      </c>
      <c r="E26" s="15" t="s">
        <v>226</v>
      </c>
      <c r="F26" s="15" t="s">
        <v>227</v>
      </c>
      <c r="G26" s="257"/>
      <c r="H26" s="10"/>
      <c r="I26" s="11"/>
      <c r="J26" s="11"/>
      <c r="K26" s="11"/>
      <c r="L26" s="11"/>
      <c r="M26" s="11"/>
      <c r="N26" s="11"/>
      <c r="O26" s="12"/>
      <c r="P26" s="11"/>
      <c r="Q26" s="13"/>
      <c r="R26" s="14"/>
    </row>
    <row r="27" spans="1:18" ht="15" customHeight="1" x14ac:dyDescent="0.3">
      <c r="A27" s="17" t="s">
        <v>26</v>
      </c>
      <c r="B27" s="17" t="s">
        <v>228</v>
      </c>
      <c r="C27" s="18">
        <v>0.83680555555555547</v>
      </c>
      <c r="D27" s="17" t="s">
        <v>28</v>
      </c>
      <c r="E27" s="17" t="s">
        <v>37</v>
      </c>
      <c r="F27" s="17" t="s">
        <v>46</v>
      </c>
      <c r="G27" s="257"/>
      <c r="H27" s="10"/>
      <c r="I27" s="11"/>
      <c r="J27" s="11"/>
      <c r="K27" s="11"/>
      <c r="L27" s="11"/>
      <c r="M27" s="11"/>
      <c r="N27" s="11"/>
      <c r="O27" s="12"/>
      <c r="P27" s="11"/>
      <c r="Q27" s="13"/>
      <c r="R27" s="14"/>
    </row>
    <row r="28" spans="1:18" ht="15" customHeight="1" x14ac:dyDescent="0.3">
      <c r="A28" s="15" t="s">
        <v>26</v>
      </c>
      <c r="B28" s="15" t="s">
        <v>228</v>
      </c>
      <c r="C28" s="16">
        <v>0.83680555555555547</v>
      </c>
      <c r="D28" s="15" t="s">
        <v>31</v>
      </c>
      <c r="E28" s="15" t="s">
        <v>39</v>
      </c>
      <c r="F28" s="15" t="s">
        <v>91</v>
      </c>
      <c r="G28" s="257"/>
      <c r="H28" s="10"/>
      <c r="I28" s="11"/>
      <c r="J28" s="11"/>
      <c r="K28" s="11"/>
      <c r="L28" s="11"/>
      <c r="M28" s="11"/>
      <c r="N28" s="11"/>
      <c r="O28" s="12"/>
      <c r="P28" s="11"/>
      <c r="Q28" s="13"/>
      <c r="R28" s="14"/>
    </row>
    <row r="29" spans="1:18" ht="15" customHeight="1" x14ac:dyDescent="0.3">
      <c r="A29" s="15" t="s">
        <v>26</v>
      </c>
      <c r="B29" s="15" t="s">
        <v>228</v>
      </c>
      <c r="C29" s="16">
        <v>0.83680555555555547</v>
      </c>
      <c r="D29" s="15" t="s">
        <v>34</v>
      </c>
      <c r="E29" s="15" t="s">
        <v>39</v>
      </c>
      <c r="F29" s="15" t="s">
        <v>227</v>
      </c>
      <c r="G29" s="257"/>
      <c r="H29" s="10"/>
      <c r="I29" s="11"/>
      <c r="J29" s="11"/>
      <c r="K29" s="11"/>
      <c r="L29" s="11"/>
      <c r="M29" s="11"/>
      <c r="N29" s="11"/>
      <c r="O29" s="12"/>
      <c r="P29" s="11"/>
      <c r="Q29" s="13"/>
      <c r="R29" s="14"/>
    </row>
    <row r="30" spans="1:18" ht="15" customHeight="1" x14ac:dyDescent="0.3">
      <c r="A30" s="17" t="s">
        <v>26</v>
      </c>
      <c r="B30" s="17" t="s">
        <v>229</v>
      </c>
      <c r="C30" s="18">
        <v>0.88888888888888884</v>
      </c>
      <c r="D30" s="17" t="s">
        <v>28</v>
      </c>
      <c r="E30" s="17" t="s">
        <v>230</v>
      </c>
      <c r="F30" s="17" t="s">
        <v>46</v>
      </c>
      <c r="G30" s="257"/>
      <c r="H30" s="10"/>
      <c r="I30" s="11"/>
      <c r="J30" s="11"/>
      <c r="K30" s="11"/>
      <c r="L30" s="11"/>
      <c r="M30" s="11"/>
      <c r="N30" s="11"/>
      <c r="O30" s="12"/>
      <c r="P30" s="11"/>
      <c r="Q30" s="13"/>
      <c r="R30" s="14"/>
    </row>
    <row r="31" spans="1:18" ht="15" customHeight="1" x14ac:dyDescent="0.3">
      <c r="A31" s="15" t="s">
        <v>26</v>
      </c>
      <c r="B31" s="15" t="s">
        <v>229</v>
      </c>
      <c r="C31" s="16">
        <v>0.88888888888888884</v>
      </c>
      <c r="D31" s="15" t="s">
        <v>31</v>
      </c>
      <c r="E31" s="15" t="s">
        <v>48</v>
      </c>
      <c r="F31" s="15" t="s">
        <v>91</v>
      </c>
      <c r="G31" s="257"/>
      <c r="H31" s="10"/>
      <c r="I31" s="11"/>
      <c r="J31" s="11"/>
      <c r="K31" s="11"/>
      <c r="L31" s="11"/>
      <c r="M31" s="11"/>
      <c r="N31" s="11"/>
      <c r="O31" s="12"/>
      <c r="P31" s="11"/>
      <c r="Q31" s="13"/>
      <c r="R31" s="14"/>
    </row>
    <row r="32" spans="1:18" ht="15" customHeight="1" x14ac:dyDescent="0.3">
      <c r="A32" s="15" t="s">
        <v>26</v>
      </c>
      <c r="B32" s="15" t="s">
        <v>229</v>
      </c>
      <c r="C32" s="16">
        <v>0.88888888888888884</v>
      </c>
      <c r="D32" s="15" t="s">
        <v>34</v>
      </c>
      <c r="E32" s="15" t="s">
        <v>48</v>
      </c>
      <c r="F32" s="15" t="s">
        <v>227</v>
      </c>
      <c r="G32" s="257"/>
      <c r="H32" s="10"/>
      <c r="I32" s="11"/>
      <c r="J32" s="11"/>
      <c r="K32" s="11"/>
      <c r="L32" s="11"/>
      <c r="M32" s="11"/>
      <c r="N32" s="11"/>
      <c r="O32" s="12"/>
      <c r="P32" s="11"/>
      <c r="Q32" s="13"/>
      <c r="R32" s="14"/>
    </row>
    <row r="33" spans="1:18" ht="15" customHeight="1" x14ac:dyDescent="0.3">
      <c r="A33" s="17" t="s">
        <v>26</v>
      </c>
      <c r="B33" s="17" t="s">
        <v>231</v>
      </c>
      <c r="C33" s="18">
        <v>0.34722222222222232</v>
      </c>
      <c r="D33" s="17" t="s">
        <v>28</v>
      </c>
      <c r="E33" s="17" t="s">
        <v>230</v>
      </c>
      <c r="F33" s="17" t="s">
        <v>46</v>
      </c>
      <c r="G33" s="257"/>
      <c r="H33" s="10"/>
      <c r="I33" s="11"/>
      <c r="J33" s="11"/>
      <c r="K33" s="11"/>
      <c r="L33" s="11"/>
      <c r="M33" s="11"/>
      <c r="N33" s="11"/>
      <c r="O33" s="12"/>
      <c r="P33" s="11"/>
      <c r="Q33" s="13"/>
      <c r="R33" s="14"/>
    </row>
    <row r="34" spans="1:18" ht="15" customHeight="1" x14ac:dyDescent="0.3">
      <c r="A34" s="15" t="s">
        <v>26</v>
      </c>
      <c r="B34" s="15" t="s">
        <v>231</v>
      </c>
      <c r="C34" s="16">
        <v>0.34722222222222232</v>
      </c>
      <c r="D34" s="15" t="s">
        <v>31</v>
      </c>
      <c r="E34" s="15" t="s">
        <v>48</v>
      </c>
      <c r="F34" s="15" t="s">
        <v>91</v>
      </c>
      <c r="G34" s="257"/>
      <c r="H34" s="10"/>
      <c r="I34" s="11"/>
      <c r="J34" s="11"/>
      <c r="K34" s="11"/>
      <c r="L34" s="11"/>
      <c r="M34" s="11"/>
      <c r="N34" s="11"/>
      <c r="O34" s="12"/>
      <c r="P34" s="11"/>
      <c r="Q34" s="13"/>
      <c r="R34" s="14"/>
    </row>
    <row r="35" spans="1:18" ht="15" customHeight="1" x14ac:dyDescent="0.3">
      <c r="A35" s="15" t="s">
        <v>26</v>
      </c>
      <c r="B35" s="15" t="s">
        <v>231</v>
      </c>
      <c r="C35" s="16">
        <v>0.34722222222222232</v>
      </c>
      <c r="D35" s="15" t="s">
        <v>34</v>
      </c>
      <c r="E35" s="15" t="s">
        <v>48</v>
      </c>
      <c r="F35" s="15" t="s">
        <v>227</v>
      </c>
      <c r="G35" s="257"/>
      <c r="H35" s="10"/>
      <c r="I35" s="11"/>
      <c r="J35" s="11"/>
      <c r="K35" s="11"/>
      <c r="L35" s="11"/>
      <c r="M35" s="11"/>
      <c r="N35" s="11"/>
      <c r="O35" s="12"/>
      <c r="P35" s="11"/>
      <c r="Q35" s="13"/>
      <c r="R35" s="14"/>
    </row>
    <row r="36" spans="1:18" ht="15" customHeight="1" x14ac:dyDescent="0.3">
      <c r="A36" s="17" t="s">
        <v>26</v>
      </c>
      <c r="B36" s="17" t="s">
        <v>232</v>
      </c>
      <c r="C36" s="18">
        <v>0.75</v>
      </c>
      <c r="D36" s="17" t="s">
        <v>28</v>
      </c>
      <c r="E36" s="17" t="s">
        <v>223</v>
      </c>
      <c r="F36" s="17" t="s">
        <v>220</v>
      </c>
      <c r="G36" s="257"/>
      <c r="H36" s="10"/>
      <c r="I36" s="11"/>
      <c r="J36" s="11"/>
      <c r="K36" s="11"/>
      <c r="L36" s="11"/>
      <c r="M36" s="11"/>
      <c r="N36" s="11"/>
      <c r="O36" s="12"/>
      <c r="P36" s="11"/>
      <c r="Q36" s="13"/>
      <c r="R36" s="14"/>
    </row>
    <row r="37" spans="1:18" ht="15" customHeight="1" x14ac:dyDescent="0.3">
      <c r="A37" s="15" t="s">
        <v>26</v>
      </c>
      <c r="B37" s="15" t="s">
        <v>232</v>
      </c>
      <c r="C37" s="16">
        <v>0.75</v>
      </c>
      <c r="D37" s="15" t="s">
        <v>31</v>
      </c>
      <c r="E37" s="15" t="s">
        <v>32</v>
      </c>
      <c r="F37" s="15" t="s">
        <v>35</v>
      </c>
      <c r="G37" s="257"/>
      <c r="H37" s="10"/>
      <c r="I37" s="11"/>
      <c r="J37" s="11"/>
      <c r="K37" s="11"/>
      <c r="L37" s="11"/>
      <c r="M37" s="11"/>
      <c r="N37" s="11"/>
      <c r="O37" s="12"/>
      <c r="P37" s="11"/>
      <c r="Q37" s="13"/>
      <c r="R37" s="14"/>
    </row>
    <row r="38" spans="1:18" ht="15" customHeight="1" x14ac:dyDescent="0.3">
      <c r="A38" s="15" t="s">
        <v>26</v>
      </c>
      <c r="B38" s="15" t="s">
        <v>232</v>
      </c>
      <c r="C38" s="16">
        <v>0.75</v>
      </c>
      <c r="D38" s="15" t="s">
        <v>34</v>
      </c>
      <c r="E38" s="15" t="s">
        <v>32</v>
      </c>
      <c r="F38" s="15" t="s">
        <v>233</v>
      </c>
      <c r="G38" s="257"/>
      <c r="H38" s="10"/>
      <c r="I38" s="11"/>
      <c r="J38" s="11"/>
      <c r="K38" s="11"/>
      <c r="L38" s="11"/>
      <c r="M38" s="11"/>
      <c r="N38" s="11"/>
      <c r="O38" s="12"/>
      <c r="P38" s="11"/>
      <c r="Q38" s="13"/>
      <c r="R38" s="14"/>
    </row>
    <row r="39" spans="1:18" ht="15" customHeight="1" x14ac:dyDescent="0.3">
      <c r="A39" s="17" t="s">
        <v>26</v>
      </c>
      <c r="B39" s="17" t="s">
        <v>234</v>
      </c>
      <c r="C39" s="18">
        <v>0.4861111111111111</v>
      </c>
      <c r="D39" s="17" t="s">
        <v>28</v>
      </c>
      <c r="E39" s="17" t="s">
        <v>65</v>
      </c>
      <c r="F39" s="17" t="s">
        <v>220</v>
      </c>
      <c r="G39" s="257"/>
      <c r="H39" s="10"/>
      <c r="I39" s="11"/>
      <c r="J39" s="11"/>
      <c r="K39" s="11"/>
      <c r="L39" s="11"/>
      <c r="M39" s="11"/>
      <c r="N39" s="11"/>
      <c r="O39" s="12"/>
      <c r="P39" s="11"/>
      <c r="Q39" s="13"/>
      <c r="R39" s="14"/>
    </row>
    <row r="40" spans="1:18" ht="15" customHeight="1" x14ac:dyDescent="0.3">
      <c r="A40" s="15" t="s">
        <v>26</v>
      </c>
      <c r="B40" s="15" t="s">
        <v>234</v>
      </c>
      <c r="C40" s="16">
        <v>0.4861111111111111</v>
      </c>
      <c r="D40" s="15" t="s">
        <v>31</v>
      </c>
      <c r="E40" s="15" t="s">
        <v>93</v>
      </c>
      <c r="F40" s="15" t="s">
        <v>35</v>
      </c>
      <c r="G40" s="257"/>
      <c r="H40" s="10"/>
      <c r="I40" s="11"/>
      <c r="J40" s="11"/>
      <c r="K40" s="11"/>
      <c r="L40" s="11"/>
      <c r="M40" s="11"/>
      <c r="N40" s="11"/>
      <c r="O40" s="12"/>
      <c r="P40" s="11"/>
      <c r="Q40" s="13"/>
      <c r="R40" s="14"/>
    </row>
    <row r="41" spans="1:18" ht="15" customHeight="1" x14ac:dyDescent="0.3">
      <c r="A41" s="15" t="s">
        <v>26</v>
      </c>
      <c r="B41" s="15" t="s">
        <v>234</v>
      </c>
      <c r="C41" s="16">
        <v>0.4861111111111111</v>
      </c>
      <c r="D41" s="15" t="s">
        <v>34</v>
      </c>
      <c r="E41" s="15" t="s">
        <v>93</v>
      </c>
      <c r="F41" s="15" t="s">
        <v>233</v>
      </c>
      <c r="G41" s="257"/>
      <c r="H41" s="10"/>
      <c r="I41" s="11"/>
      <c r="J41" s="11"/>
      <c r="K41" s="11"/>
      <c r="L41" s="11"/>
      <c r="M41" s="11"/>
      <c r="N41" s="11"/>
      <c r="O41" s="12"/>
      <c r="P41" s="11"/>
      <c r="Q41" s="13"/>
      <c r="R41" s="14"/>
    </row>
    <row r="42" spans="1:18" ht="15" customHeight="1" x14ac:dyDescent="0.3">
      <c r="A42" s="19" t="s">
        <v>235</v>
      </c>
      <c r="B42" s="19" t="s">
        <v>236</v>
      </c>
      <c r="C42" s="20">
        <v>0.49305555555555558</v>
      </c>
      <c r="D42" s="19" t="s">
        <v>98</v>
      </c>
      <c r="E42" s="19" t="s">
        <v>54</v>
      </c>
      <c r="F42" s="19" t="s">
        <v>237</v>
      </c>
      <c r="G42" s="257"/>
      <c r="H42" s="10"/>
      <c r="I42" s="11"/>
      <c r="J42" s="11"/>
      <c r="K42" s="11"/>
      <c r="L42" s="11"/>
      <c r="M42" s="11"/>
      <c r="N42" s="11"/>
      <c r="O42" s="12"/>
      <c r="P42" s="11"/>
      <c r="Q42" s="13"/>
      <c r="R42" s="14"/>
    </row>
    <row r="43" spans="1:18" ht="15" customHeight="1" x14ac:dyDescent="0.3">
      <c r="A43" s="85" t="s">
        <v>78</v>
      </c>
      <c r="B43" s="85" t="s">
        <v>238</v>
      </c>
      <c r="C43" s="86">
        <v>6.5972222222222224E-2</v>
      </c>
      <c r="D43" s="85" t="s">
        <v>98</v>
      </c>
      <c r="E43" s="85" t="s">
        <v>45</v>
      </c>
      <c r="F43" s="85" t="s">
        <v>239</v>
      </c>
      <c r="G43" s="257"/>
      <c r="H43" s="87" t="s">
        <v>240</v>
      </c>
      <c r="I43" s="88">
        <v>0.9385</v>
      </c>
      <c r="J43" s="89">
        <v>168</v>
      </c>
      <c r="K43" s="90">
        <v>45979</v>
      </c>
      <c r="L43" s="89">
        <v>83</v>
      </c>
      <c r="M43" s="89">
        <v>0</v>
      </c>
      <c r="N43" s="89">
        <v>2</v>
      </c>
      <c r="O43" s="91" t="s">
        <v>241</v>
      </c>
      <c r="P43" s="92">
        <v>6.5972222222222224E-2</v>
      </c>
      <c r="Q43" s="89">
        <v>179</v>
      </c>
      <c r="R43" s="93" t="s">
        <v>242</v>
      </c>
    </row>
    <row r="44" spans="1:18" ht="15" customHeight="1" x14ac:dyDescent="0.3">
      <c r="A44" s="114" t="s">
        <v>78</v>
      </c>
      <c r="B44" s="114" t="s">
        <v>243</v>
      </c>
      <c r="C44" s="115">
        <v>0.1875</v>
      </c>
      <c r="D44" s="114" t="s">
        <v>98</v>
      </c>
      <c r="E44" s="114" t="s">
        <v>225</v>
      </c>
      <c r="F44" s="114" t="s">
        <v>239</v>
      </c>
      <c r="G44" s="257"/>
      <c r="H44" s="106" t="s">
        <v>244</v>
      </c>
      <c r="I44" s="107">
        <v>0.91110000000000002</v>
      </c>
      <c r="J44" s="108">
        <v>164</v>
      </c>
      <c r="K44" s="109">
        <v>45979</v>
      </c>
      <c r="L44" s="108">
        <v>49</v>
      </c>
      <c r="M44" s="108">
        <v>0</v>
      </c>
      <c r="N44" s="108">
        <v>2</v>
      </c>
      <c r="O44" s="110" t="s">
        <v>245</v>
      </c>
      <c r="P44" s="111">
        <v>0.1875</v>
      </c>
      <c r="Q44" s="108">
        <v>180</v>
      </c>
      <c r="R44" s="112" t="s">
        <v>246</v>
      </c>
    </row>
    <row r="45" spans="1:18" ht="15" customHeight="1" x14ac:dyDescent="0.3">
      <c r="A45" s="116" t="s">
        <v>78</v>
      </c>
      <c r="B45" s="116" t="s">
        <v>247</v>
      </c>
      <c r="C45" s="117">
        <v>0.15625</v>
      </c>
      <c r="D45" s="116" t="s">
        <v>98</v>
      </c>
      <c r="E45" s="116" t="s">
        <v>65</v>
      </c>
      <c r="F45" s="116" t="s">
        <v>239</v>
      </c>
      <c r="G45" s="257"/>
      <c r="H45" s="118" t="s">
        <v>248</v>
      </c>
      <c r="I45" s="119">
        <v>0.84440000000000004</v>
      </c>
      <c r="J45" s="120">
        <v>152</v>
      </c>
      <c r="K45" s="121">
        <v>45980</v>
      </c>
      <c r="L45" s="120">
        <v>93</v>
      </c>
      <c r="M45" s="120">
        <v>1</v>
      </c>
      <c r="N45" s="120">
        <v>3</v>
      </c>
      <c r="O45" s="122" t="s">
        <v>249</v>
      </c>
      <c r="P45" s="123">
        <v>0.15625</v>
      </c>
      <c r="Q45" s="120">
        <v>180</v>
      </c>
      <c r="R45" s="124" t="s">
        <v>250</v>
      </c>
    </row>
    <row r="46" spans="1:18" ht="15" customHeight="1" x14ac:dyDescent="0.3">
      <c r="A46" s="114" t="s">
        <v>78</v>
      </c>
      <c r="B46" s="114" t="s">
        <v>251</v>
      </c>
      <c r="C46" s="115">
        <v>0.9375</v>
      </c>
      <c r="D46" s="114" t="s">
        <v>98</v>
      </c>
      <c r="E46" s="114" t="s">
        <v>72</v>
      </c>
      <c r="F46" s="114" t="s">
        <v>252</v>
      </c>
      <c r="G46" s="257"/>
      <c r="H46" s="106" t="s">
        <v>253</v>
      </c>
      <c r="I46" s="125">
        <v>0.82220000000000004</v>
      </c>
      <c r="J46" s="108">
        <v>148</v>
      </c>
      <c r="K46" s="109">
        <v>45980</v>
      </c>
      <c r="L46" s="108">
        <v>50</v>
      </c>
      <c r="M46" s="108">
        <v>1</v>
      </c>
      <c r="N46" s="108">
        <v>9</v>
      </c>
      <c r="O46" s="110" t="s">
        <v>254</v>
      </c>
      <c r="P46" s="111">
        <v>0.9375</v>
      </c>
      <c r="Q46" s="108">
        <v>180</v>
      </c>
      <c r="R46" s="112" t="s">
        <v>255</v>
      </c>
    </row>
    <row r="47" spans="1:18" ht="15" customHeight="1" x14ac:dyDescent="0.3">
      <c r="A47" s="126" t="s">
        <v>78</v>
      </c>
      <c r="B47" s="126" t="s">
        <v>256</v>
      </c>
      <c r="C47" s="127">
        <v>0.40625</v>
      </c>
      <c r="D47" s="126" t="s">
        <v>80</v>
      </c>
      <c r="E47" s="128"/>
      <c r="F47" s="126" t="s">
        <v>81</v>
      </c>
      <c r="G47" s="257"/>
      <c r="H47" s="129" t="s">
        <v>256</v>
      </c>
      <c r="I47" s="130">
        <v>1.0111000000000001</v>
      </c>
      <c r="J47" s="131">
        <v>182</v>
      </c>
      <c r="K47" s="132">
        <v>45972</v>
      </c>
      <c r="L47" s="131">
        <v>0</v>
      </c>
      <c r="M47" s="131">
        <v>0</v>
      </c>
      <c r="N47" s="131">
        <v>0</v>
      </c>
      <c r="O47" s="133" t="s">
        <v>82</v>
      </c>
      <c r="P47" s="134">
        <v>0.40625</v>
      </c>
      <c r="Q47" s="131">
        <v>180</v>
      </c>
      <c r="R47" s="135" t="s">
        <v>257</v>
      </c>
    </row>
    <row r="48" spans="1:18" ht="15" customHeight="1" x14ac:dyDescent="0.3">
      <c r="A48" s="136" t="s">
        <v>78</v>
      </c>
      <c r="B48" s="136" t="s">
        <v>258</v>
      </c>
      <c r="C48" s="137">
        <v>0.5625</v>
      </c>
      <c r="D48" s="136" t="s">
        <v>80</v>
      </c>
      <c r="E48" s="138"/>
      <c r="F48" s="136" t="s">
        <v>81</v>
      </c>
      <c r="G48" s="257"/>
      <c r="H48" s="139" t="s">
        <v>258</v>
      </c>
      <c r="I48" s="140">
        <v>0.98329999999999995</v>
      </c>
      <c r="J48" s="141">
        <v>177</v>
      </c>
      <c r="K48" s="142">
        <v>45974</v>
      </c>
      <c r="L48" s="141">
        <v>52</v>
      </c>
      <c r="M48" s="141">
        <v>0</v>
      </c>
      <c r="N48" s="141">
        <v>0</v>
      </c>
      <c r="O48" s="143" t="s">
        <v>82</v>
      </c>
      <c r="P48" s="144">
        <v>0.5625</v>
      </c>
      <c r="Q48" s="141">
        <v>180</v>
      </c>
      <c r="R48" s="145" t="s">
        <v>259</v>
      </c>
    </row>
    <row r="49" spans="1:18" ht="15" customHeight="1" x14ac:dyDescent="0.3">
      <c r="A49" s="19" t="s">
        <v>260</v>
      </c>
      <c r="B49" s="19" t="s">
        <v>261</v>
      </c>
      <c r="C49" s="20">
        <v>0.1701388888888889</v>
      </c>
      <c r="D49" s="19" t="s">
        <v>262</v>
      </c>
      <c r="E49" s="19" t="s">
        <v>45</v>
      </c>
      <c r="F49" s="19" t="s">
        <v>263</v>
      </c>
      <c r="G49" s="257"/>
      <c r="H49" s="10"/>
      <c r="I49" s="11"/>
      <c r="J49" s="11"/>
      <c r="K49" s="11"/>
      <c r="L49" s="11"/>
      <c r="M49" s="11"/>
      <c r="N49" s="11"/>
      <c r="O49" s="12"/>
      <c r="P49" s="11"/>
      <c r="Q49" s="13"/>
      <c r="R49" s="14"/>
    </row>
    <row r="50" spans="1:18" ht="15" customHeight="1" x14ac:dyDescent="0.3">
      <c r="A50" s="15" t="s">
        <v>260</v>
      </c>
      <c r="B50" s="15" t="s">
        <v>261</v>
      </c>
      <c r="C50" s="16">
        <v>0.1701388888888889</v>
      </c>
      <c r="D50" s="15" t="s">
        <v>49</v>
      </c>
      <c r="E50" s="15" t="s">
        <v>48</v>
      </c>
      <c r="F50" s="15" t="s">
        <v>264</v>
      </c>
      <c r="G50" s="257"/>
      <c r="H50" s="10"/>
      <c r="I50" s="11"/>
      <c r="J50" s="11"/>
      <c r="K50" s="11"/>
      <c r="L50" s="11"/>
      <c r="M50" s="11"/>
      <c r="N50" s="11"/>
      <c r="O50" s="12"/>
      <c r="P50" s="11"/>
      <c r="Q50" s="13"/>
      <c r="R50" s="14"/>
    </row>
    <row r="51" spans="1:18" ht="15" customHeight="1" x14ac:dyDescent="0.3">
      <c r="A51" s="19" t="s">
        <v>51</v>
      </c>
      <c r="B51" s="19" t="s">
        <v>265</v>
      </c>
      <c r="C51" s="20">
        <v>0.94097222222222221</v>
      </c>
      <c r="D51" s="19" t="s">
        <v>56</v>
      </c>
      <c r="E51" s="19" t="s">
        <v>54</v>
      </c>
      <c r="F51" s="19" t="s">
        <v>266</v>
      </c>
      <c r="G51" s="257"/>
      <c r="H51" s="10"/>
      <c r="I51" s="11"/>
      <c r="J51" s="11"/>
      <c r="K51" s="11"/>
      <c r="L51" s="11"/>
      <c r="M51" s="11"/>
      <c r="N51" s="11"/>
      <c r="O51" s="12"/>
      <c r="P51" s="11"/>
      <c r="Q51" s="13"/>
      <c r="R51" s="14"/>
    </row>
    <row r="52" spans="1:18" ht="15" customHeight="1" x14ac:dyDescent="0.3">
      <c r="A52" s="17" t="s">
        <v>51</v>
      </c>
      <c r="B52" s="17" t="s">
        <v>267</v>
      </c>
      <c r="C52" s="18">
        <v>0.98958333333333337</v>
      </c>
      <c r="D52" s="17" t="s">
        <v>56</v>
      </c>
      <c r="E52" s="17" t="s">
        <v>62</v>
      </c>
      <c r="F52" s="17" t="s">
        <v>268</v>
      </c>
      <c r="G52" s="257"/>
      <c r="H52" s="10"/>
      <c r="I52" s="11"/>
      <c r="J52" s="11"/>
      <c r="K52" s="11"/>
      <c r="L52" s="11"/>
      <c r="M52" s="11"/>
      <c r="N52" s="11"/>
      <c r="O52" s="12"/>
      <c r="P52" s="11"/>
      <c r="Q52" s="13"/>
      <c r="R52" s="14"/>
    </row>
    <row r="53" spans="1:18" ht="15" customHeight="1" x14ac:dyDescent="0.3">
      <c r="A53" s="17" t="s">
        <v>51</v>
      </c>
      <c r="B53" s="17" t="s">
        <v>269</v>
      </c>
      <c r="C53" s="18">
        <v>0.88888888888888884</v>
      </c>
      <c r="D53" s="17" t="s">
        <v>56</v>
      </c>
      <c r="E53" s="17" t="s">
        <v>62</v>
      </c>
      <c r="F53" s="17" t="s">
        <v>268</v>
      </c>
      <c r="G53" s="257"/>
      <c r="H53" s="10"/>
      <c r="I53" s="11"/>
      <c r="J53" s="11"/>
      <c r="K53" s="11"/>
      <c r="L53" s="11"/>
      <c r="M53" s="11"/>
      <c r="N53" s="11"/>
      <c r="O53" s="12"/>
      <c r="P53" s="11"/>
      <c r="Q53" s="13"/>
      <c r="R53" s="14"/>
    </row>
    <row r="54" spans="1:18" ht="15" customHeight="1" x14ac:dyDescent="0.3">
      <c r="A54" s="17" t="s">
        <v>51</v>
      </c>
      <c r="B54" s="17" t="s">
        <v>270</v>
      </c>
      <c r="C54" s="18">
        <v>0.39930555555555558</v>
      </c>
      <c r="D54" s="17" t="s">
        <v>56</v>
      </c>
      <c r="E54" s="17" t="s">
        <v>62</v>
      </c>
      <c r="F54" s="17" t="s">
        <v>268</v>
      </c>
      <c r="G54" s="257"/>
      <c r="H54" s="10"/>
      <c r="I54" s="11"/>
      <c r="J54" s="11"/>
      <c r="K54" s="11"/>
      <c r="L54" s="11"/>
      <c r="M54" s="11"/>
      <c r="N54" s="11"/>
      <c r="O54" s="12"/>
      <c r="P54" s="11"/>
      <c r="Q54" s="13"/>
      <c r="R54" s="14"/>
    </row>
    <row r="55" spans="1:18" ht="15" customHeight="1" x14ac:dyDescent="0.3">
      <c r="A55" s="17" t="s">
        <v>51</v>
      </c>
      <c r="B55" s="17" t="s">
        <v>271</v>
      </c>
      <c r="C55" s="18">
        <v>0.48958333333333331</v>
      </c>
      <c r="D55" s="17" t="s">
        <v>56</v>
      </c>
      <c r="E55" s="17" t="s">
        <v>62</v>
      </c>
      <c r="F55" s="17" t="s">
        <v>268</v>
      </c>
      <c r="G55" s="257"/>
      <c r="H55" s="10"/>
      <c r="I55" s="11"/>
      <c r="J55" s="11"/>
      <c r="K55" s="11"/>
      <c r="L55" s="11"/>
      <c r="M55" s="11"/>
      <c r="N55" s="11"/>
      <c r="O55" s="12"/>
      <c r="P55" s="11"/>
      <c r="Q55" s="13"/>
      <c r="R55" s="14"/>
    </row>
    <row r="56" spans="1:18" ht="15" customHeight="1" x14ac:dyDescent="0.3">
      <c r="A56" s="17" t="s">
        <v>51</v>
      </c>
      <c r="B56" s="17" t="s">
        <v>272</v>
      </c>
      <c r="C56" s="18">
        <v>0.11805555555555559</v>
      </c>
      <c r="D56" s="17" t="s">
        <v>56</v>
      </c>
      <c r="E56" s="17" t="s">
        <v>75</v>
      </c>
      <c r="F56" s="17" t="s">
        <v>273</v>
      </c>
      <c r="G56" s="257"/>
      <c r="H56" s="10"/>
      <c r="I56" s="11"/>
      <c r="J56" s="11"/>
      <c r="K56" s="11"/>
      <c r="L56" s="11"/>
      <c r="M56" s="11"/>
      <c r="N56" s="11"/>
      <c r="O56" s="12"/>
      <c r="P56" s="11"/>
      <c r="Q56" s="13"/>
      <c r="R56" s="14"/>
    </row>
    <row r="57" spans="1:18" ht="15" customHeight="1" x14ac:dyDescent="0.3">
      <c r="A57" s="17" t="s">
        <v>51</v>
      </c>
      <c r="B57" s="17" t="s">
        <v>274</v>
      </c>
      <c r="C57" s="18">
        <v>0.25347222222222221</v>
      </c>
      <c r="D57" s="17" t="s">
        <v>56</v>
      </c>
      <c r="E57" s="17" t="s">
        <v>230</v>
      </c>
      <c r="F57" s="17" t="s">
        <v>273</v>
      </c>
      <c r="G57" s="257"/>
      <c r="H57" s="10"/>
      <c r="I57" s="11"/>
      <c r="J57" s="11"/>
      <c r="K57" s="11"/>
      <c r="L57" s="11"/>
      <c r="M57" s="11"/>
      <c r="N57" s="11"/>
      <c r="O57" s="12"/>
      <c r="P57" s="11"/>
      <c r="Q57" s="13"/>
      <c r="R57" s="14"/>
    </row>
    <row r="58" spans="1:18" ht="15" customHeight="1" x14ac:dyDescent="0.3">
      <c r="A58" s="17" t="s">
        <v>51</v>
      </c>
      <c r="B58" s="17" t="s">
        <v>275</v>
      </c>
      <c r="C58" s="18">
        <v>0.82986111111111116</v>
      </c>
      <c r="D58" s="17" t="s">
        <v>56</v>
      </c>
      <c r="E58" s="17" t="s">
        <v>62</v>
      </c>
      <c r="F58" s="17" t="s">
        <v>273</v>
      </c>
      <c r="G58" s="257"/>
      <c r="H58" s="10"/>
      <c r="I58" s="11"/>
      <c r="J58" s="11"/>
      <c r="K58" s="11"/>
      <c r="L58" s="11"/>
      <c r="M58" s="11"/>
      <c r="N58" s="11"/>
      <c r="O58" s="12"/>
      <c r="P58" s="11"/>
      <c r="Q58" s="13"/>
      <c r="R58" s="14"/>
    </row>
    <row r="59" spans="1:18" ht="15" customHeight="1" x14ac:dyDescent="0.3">
      <c r="A59" s="17" t="s">
        <v>51</v>
      </c>
      <c r="B59" s="17" t="s">
        <v>276</v>
      </c>
      <c r="C59" s="18">
        <v>0.70486111111111116</v>
      </c>
      <c r="D59" s="17" t="s">
        <v>56</v>
      </c>
      <c r="E59" s="17" t="s">
        <v>94</v>
      </c>
      <c r="F59" s="17" t="s">
        <v>273</v>
      </c>
      <c r="G59" s="257"/>
      <c r="H59" s="10"/>
      <c r="I59" s="11"/>
      <c r="J59" s="11"/>
      <c r="K59" s="11"/>
      <c r="L59" s="11"/>
      <c r="M59" s="11"/>
      <c r="N59" s="11"/>
      <c r="O59" s="12"/>
      <c r="P59" s="11"/>
      <c r="Q59" s="13"/>
      <c r="R59" s="14"/>
    </row>
    <row r="60" spans="1:18" ht="15" customHeight="1" x14ac:dyDescent="0.3">
      <c r="A60" s="17" t="s">
        <v>51</v>
      </c>
      <c r="B60" s="17" t="s">
        <v>277</v>
      </c>
      <c r="C60" s="18">
        <v>0.72222222222222221</v>
      </c>
      <c r="D60" s="17" t="s">
        <v>56</v>
      </c>
      <c r="E60" s="17" t="s">
        <v>37</v>
      </c>
      <c r="F60" s="17" t="s">
        <v>278</v>
      </c>
      <c r="G60" s="257"/>
      <c r="H60" s="10"/>
      <c r="I60" s="11"/>
      <c r="J60" s="11"/>
      <c r="K60" s="11"/>
      <c r="L60" s="11"/>
      <c r="M60" s="11"/>
      <c r="N60" s="11"/>
      <c r="O60" s="12"/>
      <c r="P60" s="11"/>
      <c r="Q60" s="13"/>
      <c r="R60" s="14"/>
    </row>
    <row r="61" spans="1:18" ht="15" customHeight="1" x14ac:dyDescent="0.3">
      <c r="A61" s="19" t="s">
        <v>67</v>
      </c>
      <c r="B61" s="19" t="s">
        <v>279</v>
      </c>
      <c r="C61" s="20">
        <v>0.78472222222222221</v>
      </c>
      <c r="D61" s="19" t="s">
        <v>69</v>
      </c>
      <c r="E61" s="19" t="s">
        <v>54</v>
      </c>
      <c r="F61" s="19" t="s">
        <v>280</v>
      </c>
      <c r="G61" s="257"/>
      <c r="H61" s="10"/>
      <c r="I61" s="11"/>
      <c r="J61" s="11"/>
      <c r="K61" s="11"/>
      <c r="L61" s="11"/>
      <c r="M61" s="11"/>
      <c r="N61" s="11"/>
      <c r="O61" s="12"/>
      <c r="P61" s="11"/>
      <c r="Q61" s="13"/>
      <c r="R61" s="14"/>
    </row>
    <row r="62" spans="1:18" ht="15" customHeight="1" x14ac:dyDescent="0.3">
      <c r="A62" s="17" t="s">
        <v>67</v>
      </c>
      <c r="B62" s="17" t="s">
        <v>281</v>
      </c>
      <c r="C62" s="18">
        <v>0.60069444444444442</v>
      </c>
      <c r="D62" s="17" t="s">
        <v>69</v>
      </c>
      <c r="E62" s="17" t="s">
        <v>72</v>
      </c>
      <c r="F62" s="17" t="s">
        <v>282</v>
      </c>
      <c r="G62" s="257"/>
      <c r="H62" s="10"/>
      <c r="I62" s="11"/>
      <c r="J62" s="11"/>
      <c r="K62" s="11"/>
      <c r="L62" s="11"/>
      <c r="M62" s="11"/>
      <c r="N62" s="11"/>
      <c r="O62" s="12"/>
      <c r="P62" s="11"/>
      <c r="Q62" s="13"/>
      <c r="R62" s="14"/>
    </row>
    <row r="63" spans="1:18" ht="15" customHeight="1" x14ac:dyDescent="0.3">
      <c r="A63" s="17" t="s">
        <v>67</v>
      </c>
      <c r="B63" s="17" t="s">
        <v>283</v>
      </c>
      <c r="C63" s="18">
        <v>0.1041666666666667</v>
      </c>
      <c r="D63" s="17" t="s">
        <v>69</v>
      </c>
      <c r="E63" s="17" t="s">
        <v>72</v>
      </c>
      <c r="F63" s="17" t="s">
        <v>282</v>
      </c>
      <c r="G63" s="257"/>
      <c r="H63" s="10"/>
      <c r="I63" s="11"/>
      <c r="J63" s="11"/>
      <c r="K63" s="11"/>
      <c r="L63" s="11"/>
      <c r="M63" s="11"/>
      <c r="N63" s="11"/>
      <c r="O63" s="12"/>
      <c r="P63" s="11"/>
      <c r="Q63" s="13"/>
      <c r="R63" s="14"/>
    </row>
    <row r="64" spans="1:18" ht="15" customHeight="1" x14ac:dyDescent="0.3">
      <c r="A64" s="17" t="s">
        <v>67</v>
      </c>
      <c r="B64" s="17" t="s">
        <v>284</v>
      </c>
      <c r="C64" s="18">
        <v>0.97222222222222221</v>
      </c>
      <c r="D64" s="17" t="s">
        <v>69</v>
      </c>
      <c r="E64" s="17" t="s">
        <v>285</v>
      </c>
      <c r="F64" s="17" t="s">
        <v>282</v>
      </c>
      <c r="G64" s="257"/>
      <c r="H64" s="10"/>
      <c r="I64" s="11"/>
      <c r="J64" s="11"/>
      <c r="K64" s="11"/>
      <c r="L64" s="11"/>
      <c r="M64" s="11"/>
      <c r="N64" s="11"/>
      <c r="O64" s="12"/>
      <c r="P64" s="11"/>
      <c r="Q64" s="13"/>
      <c r="R64" s="14"/>
    </row>
    <row r="65" spans="1:18" ht="15" customHeight="1" x14ac:dyDescent="0.3">
      <c r="A65" s="17" t="s">
        <v>67</v>
      </c>
      <c r="B65" s="17" t="s">
        <v>286</v>
      </c>
      <c r="C65" s="18">
        <v>4.8611111111111112E-2</v>
      </c>
      <c r="D65" s="17" t="s">
        <v>69</v>
      </c>
      <c r="E65" s="17" t="s">
        <v>72</v>
      </c>
      <c r="F65" s="17" t="s">
        <v>287</v>
      </c>
      <c r="G65" s="257"/>
      <c r="H65" s="10"/>
      <c r="I65" s="11"/>
      <c r="J65" s="11"/>
      <c r="K65" s="11"/>
      <c r="L65" s="11"/>
      <c r="M65" s="11"/>
      <c r="N65" s="11"/>
      <c r="O65" s="12"/>
      <c r="P65" s="11"/>
      <c r="Q65" s="13"/>
      <c r="R65" s="14"/>
    </row>
    <row r="66" spans="1:18" ht="15" customHeight="1" thickBot="1" x14ac:dyDescent="0.35">
      <c r="A66" s="39" t="s">
        <v>67</v>
      </c>
      <c r="B66" s="39" t="s">
        <v>288</v>
      </c>
      <c r="C66" s="40">
        <v>0.83680555555555547</v>
      </c>
      <c r="D66" s="39" t="s">
        <v>69</v>
      </c>
      <c r="E66" s="39" t="s">
        <v>72</v>
      </c>
      <c r="F66" s="39" t="s">
        <v>287</v>
      </c>
      <c r="G66" s="258"/>
      <c r="H66" s="41"/>
      <c r="I66" s="42"/>
      <c r="J66" s="42"/>
      <c r="K66" s="42"/>
      <c r="L66" s="42"/>
      <c r="M66" s="42"/>
      <c r="N66" s="42"/>
      <c r="O66" s="43"/>
      <c r="P66" s="42"/>
      <c r="Q66" s="44"/>
      <c r="R66" s="45"/>
    </row>
    <row r="67" spans="1:18" ht="17.399999999999999" customHeight="1" thickBot="1" x14ac:dyDescent="0.35">
      <c r="A67" s="285"/>
      <c r="B67" s="286"/>
      <c r="C67" s="286"/>
      <c r="D67" s="286"/>
      <c r="E67" s="286"/>
      <c r="F67" s="286"/>
      <c r="G67" s="286"/>
      <c r="H67" s="286"/>
      <c r="I67" s="286"/>
      <c r="J67" s="286"/>
      <c r="K67" s="286"/>
      <c r="L67" s="286"/>
      <c r="M67" s="286"/>
      <c r="N67" s="286"/>
      <c r="O67" s="286"/>
      <c r="P67" s="286"/>
      <c r="Q67" s="286"/>
      <c r="R67" s="287"/>
    </row>
    <row r="68" spans="1:18" ht="22.05" customHeight="1" thickTop="1" thickBot="1" x14ac:dyDescent="0.35">
      <c r="A68" s="259" t="s">
        <v>6</v>
      </c>
      <c r="B68" s="254"/>
      <c r="C68" s="254"/>
      <c r="D68" s="254"/>
      <c r="E68" s="254"/>
      <c r="F68" s="255"/>
      <c r="G68" s="31">
        <v>45982</v>
      </c>
      <c r="H68" s="253" t="s">
        <v>7</v>
      </c>
      <c r="I68" s="254"/>
      <c r="J68" s="254"/>
      <c r="K68" s="254"/>
      <c r="L68" s="254"/>
      <c r="M68" s="254"/>
      <c r="N68" s="254"/>
      <c r="O68" s="254"/>
      <c r="P68" s="254"/>
      <c r="Q68" s="254"/>
      <c r="R68" s="255"/>
    </row>
    <row r="69" spans="1:18" ht="24" customHeight="1" x14ac:dyDescent="0.3">
      <c r="A69" s="32" t="s">
        <v>8</v>
      </c>
      <c r="B69" s="32" t="s">
        <v>9</v>
      </c>
      <c r="C69" s="33" t="s">
        <v>10</v>
      </c>
      <c r="D69" s="32" t="s">
        <v>11</v>
      </c>
      <c r="E69" s="32" t="s">
        <v>12</v>
      </c>
      <c r="F69" s="34" t="s">
        <v>13</v>
      </c>
      <c r="G69" s="35" t="s">
        <v>14</v>
      </c>
      <c r="H69" s="32" t="s">
        <v>15</v>
      </c>
      <c r="I69" s="36" t="s">
        <v>16</v>
      </c>
      <c r="J69" s="37" t="s">
        <v>17</v>
      </c>
      <c r="K69" s="38" t="s">
        <v>18</v>
      </c>
      <c r="L69" s="37" t="s">
        <v>19</v>
      </c>
      <c r="M69" s="37" t="s">
        <v>20</v>
      </c>
      <c r="N69" s="37" t="s">
        <v>21</v>
      </c>
      <c r="O69" s="32" t="s">
        <v>22</v>
      </c>
      <c r="P69" s="33" t="s">
        <v>23</v>
      </c>
      <c r="Q69" s="37" t="s">
        <v>24</v>
      </c>
      <c r="R69" s="32" t="s">
        <v>25</v>
      </c>
    </row>
    <row r="70" spans="1:18" ht="15" customHeight="1" x14ac:dyDescent="0.3">
      <c r="A70" s="8" t="s">
        <v>235</v>
      </c>
      <c r="B70" s="8" t="s">
        <v>289</v>
      </c>
      <c r="C70" s="9">
        <v>0.23958333333333329</v>
      </c>
      <c r="D70" s="8" t="s">
        <v>98</v>
      </c>
      <c r="E70" s="8" t="s">
        <v>99</v>
      </c>
      <c r="F70" s="8" t="s">
        <v>237</v>
      </c>
      <c r="G70" s="256"/>
      <c r="H70" s="10"/>
      <c r="I70" s="11"/>
      <c r="J70" s="11"/>
      <c r="K70" s="11"/>
      <c r="L70" s="11"/>
      <c r="M70" s="11"/>
      <c r="N70" s="11"/>
      <c r="O70" s="12"/>
      <c r="P70" s="11"/>
      <c r="Q70" s="13"/>
      <c r="R70" s="14"/>
    </row>
    <row r="71" spans="1:18" ht="15" customHeight="1" x14ac:dyDescent="0.3">
      <c r="A71" s="17" t="s">
        <v>235</v>
      </c>
      <c r="B71" s="17" t="s">
        <v>236</v>
      </c>
      <c r="C71" s="18">
        <v>0.54166666666666663</v>
      </c>
      <c r="D71" s="17" t="s">
        <v>98</v>
      </c>
      <c r="E71" s="17" t="s">
        <v>62</v>
      </c>
      <c r="F71" s="17" t="s">
        <v>237</v>
      </c>
      <c r="G71" s="257"/>
      <c r="H71" s="10"/>
      <c r="I71" s="11"/>
      <c r="J71" s="11"/>
      <c r="K71" s="11"/>
      <c r="L71" s="11"/>
      <c r="M71" s="11"/>
      <c r="N71" s="11"/>
      <c r="O71" s="12"/>
      <c r="P71" s="11"/>
      <c r="Q71" s="13"/>
      <c r="R71" s="14"/>
    </row>
    <row r="72" spans="1:18" ht="15" customHeight="1" x14ac:dyDescent="0.3">
      <c r="A72" s="104" t="s">
        <v>78</v>
      </c>
      <c r="B72" s="104" t="s">
        <v>290</v>
      </c>
      <c r="C72" s="105">
        <v>0.28125</v>
      </c>
      <c r="D72" s="104" t="s">
        <v>98</v>
      </c>
      <c r="E72" s="104" t="s">
        <v>45</v>
      </c>
      <c r="F72" s="104" t="s">
        <v>291</v>
      </c>
      <c r="G72" s="257"/>
      <c r="H72" s="106" t="s">
        <v>256</v>
      </c>
      <c r="I72" s="125">
        <v>0.81669999999999998</v>
      </c>
      <c r="J72" s="108">
        <v>147</v>
      </c>
      <c r="K72" s="109">
        <v>45980</v>
      </c>
      <c r="L72" s="108">
        <v>120</v>
      </c>
      <c r="M72" s="108">
        <v>4</v>
      </c>
      <c r="N72" s="108">
        <v>65</v>
      </c>
      <c r="O72" s="110" t="s">
        <v>292</v>
      </c>
      <c r="P72" s="111">
        <v>0.28125</v>
      </c>
      <c r="Q72" s="108">
        <v>180</v>
      </c>
      <c r="R72" s="112" t="s">
        <v>293</v>
      </c>
    </row>
    <row r="73" spans="1:18" ht="15" customHeight="1" x14ac:dyDescent="0.3">
      <c r="A73" s="146" t="s">
        <v>78</v>
      </c>
      <c r="B73" s="146" t="s">
        <v>247</v>
      </c>
      <c r="C73" s="147">
        <v>0.1423611111111111</v>
      </c>
      <c r="D73" s="146" t="s">
        <v>98</v>
      </c>
      <c r="E73" s="146" t="s">
        <v>65</v>
      </c>
      <c r="F73" s="146" t="s">
        <v>291</v>
      </c>
      <c r="G73" s="257"/>
      <c r="H73" s="148" t="s">
        <v>248</v>
      </c>
      <c r="I73" s="149">
        <v>0.62780000000000002</v>
      </c>
      <c r="J73" s="150">
        <v>113</v>
      </c>
      <c r="K73" s="151">
        <v>45980</v>
      </c>
      <c r="L73" s="150">
        <v>59</v>
      </c>
      <c r="M73" s="150">
        <v>1</v>
      </c>
      <c r="N73" s="150">
        <v>4</v>
      </c>
      <c r="O73" s="152" t="s">
        <v>294</v>
      </c>
      <c r="P73" s="153">
        <v>0.1423611111111111</v>
      </c>
      <c r="Q73" s="150">
        <v>180</v>
      </c>
      <c r="R73" s="154" t="s">
        <v>295</v>
      </c>
    </row>
    <row r="74" spans="1:18" ht="15" customHeight="1" x14ac:dyDescent="0.3">
      <c r="A74" s="126" t="s">
        <v>78</v>
      </c>
      <c r="B74" s="126" t="s">
        <v>296</v>
      </c>
      <c r="C74" s="127">
        <v>0.55902777777777779</v>
      </c>
      <c r="D74" s="126" t="s">
        <v>98</v>
      </c>
      <c r="E74" s="126" t="s">
        <v>37</v>
      </c>
      <c r="F74" s="126" t="s">
        <v>291</v>
      </c>
      <c r="G74" s="257"/>
      <c r="H74" s="129" t="s">
        <v>297</v>
      </c>
      <c r="I74" s="155">
        <v>0.60560000000000003</v>
      </c>
      <c r="J74" s="131">
        <v>109</v>
      </c>
      <c r="K74" s="132">
        <v>45980</v>
      </c>
      <c r="L74" s="131">
        <v>52</v>
      </c>
      <c r="M74" s="131">
        <v>1</v>
      </c>
      <c r="N74" s="131">
        <v>4</v>
      </c>
      <c r="O74" s="133" t="s">
        <v>194</v>
      </c>
      <c r="P74" s="134">
        <v>0.55902777777777779</v>
      </c>
      <c r="Q74" s="131">
        <v>180</v>
      </c>
      <c r="R74" s="135" t="s">
        <v>298</v>
      </c>
    </row>
    <row r="75" spans="1:18" ht="15" customHeight="1" x14ac:dyDescent="0.3">
      <c r="A75" s="156" t="s">
        <v>78</v>
      </c>
      <c r="B75" s="156" t="s">
        <v>299</v>
      </c>
      <c r="C75" s="157">
        <v>0.76041666666666663</v>
      </c>
      <c r="D75" s="156" t="s">
        <v>98</v>
      </c>
      <c r="E75" s="156" t="s">
        <v>72</v>
      </c>
      <c r="F75" s="156" t="s">
        <v>291</v>
      </c>
      <c r="G75" s="257"/>
      <c r="H75" s="158" t="s">
        <v>300</v>
      </c>
      <c r="I75" s="159">
        <v>0.77969999999999995</v>
      </c>
      <c r="J75" s="160">
        <v>138</v>
      </c>
      <c r="K75" s="161">
        <v>45980</v>
      </c>
      <c r="L75" s="160">
        <v>88</v>
      </c>
      <c r="M75" s="160">
        <v>6</v>
      </c>
      <c r="N75" s="160">
        <v>26</v>
      </c>
      <c r="O75" s="162" t="s">
        <v>301</v>
      </c>
      <c r="P75" s="163">
        <v>0.76041666666666663</v>
      </c>
      <c r="Q75" s="160">
        <v>177</v>
      </c>
      <c r="R75" s="164" t="s">
        <v>302</v>
      </c>
    </row>
    <row r="76" spans="1:18" ht="15" customHeight="1" x14ac:dyDescent="0.3">
      <c r="A76" s="146" t="s">
        <v>78</v>
      </c>
      <c r="B76" s="146" t="s">
        <v>303</v>
      </c>
      <c r="C76" s="147">
        <v>0.4375</v>
      </c>
      <c r="D76" s="146" t="s">
        <v>98</v>
      </c>
      <c r="E76" s="146" t="s">
        <v>94</v>
      </c>
      <c r="F76" s="146" t="s">
        <v>239</v>
      </c>
      <c r="G76" s="257"/>
      <c r="H76" s="148" t="s">
        <v>258</v>
      </c>
      <c r="I76" s="149">
        <v>0.65559999999999996</v>
      </c>
      <c r="J76" s="150">
        <v>118</v>
      </c>
      <c r="K76" s="151">
        <v>45980</v>
      </c>
      <c r="L76" s="150">
        <v>43</v>
      </c>
      <c r="M76" s="150">
        <v>4</v>
      </c>
      <c r="N76" s="150">
        <v>3</v>
      </c>
      <c r="O76" s="152" t="s">
        <v>193</v>
      </c>
      <c r="P76" s="153">
        <v>0.4375</v>
      </c>
      <c r="Q76" s="150">
        <v>180</v>
      </c>
      <c r="R76" s="154" t="s">
        <v>304</v>
      </c>
    </row>
    <row r="77" spans="1:18" ht="15" customHeight="1" x14ac:dyDescent="0.3">
      <c r="A77" s="19" t="s">
        <v>67</v>
      </c>
      <c r="B77" s="19" t="s">
        <v>283</v>
      </c>
      <c r="C77" s="20">
        <v>0.1041666666666667</v>
      </c>
      <c r="D77" s="19" t="s">
        <v>69</v>
      </c>
      <c r="E77" s="19" t="s">
        <v>54</v>
      </c>
      <c r="F77" s="19" t="s">
        <v>305</v>
      </c>
      <c r="G77" s="257"/>
      <c r="H77" s="10"/>
      <c r="I77" s="11"/>
      <c r="J77" s="11"/>
      <c r="K77" s="11"/>
      <c r="L77" s="11"/>
      <c r="M77" s="11"/>
      <c r="N77" s="11"/>
      <c r="O77" s="12"/>
      <c r="P77" s="11"/>
      <c r="Q77" s="13"/>
      <c r="R77" s="14"/>
    </row>
    <row r="78" spans="1:18" ht="15" customHeight="1" x14ac:dyDescent="0.3">
      <c r="A78" s="17" t="s">
        <v>67</v>
      </c>
      <c r="B78" s="17" t="s">
        <v>279</v>
      </c>
      <c r="C78" s="18">
        <v>0.79166666666666663</v>
      </c>
      <c r="D78" s="17" t="s">
        <v>69</v>
      </c>
      <c r="E78" s="17" t="s">
        <v>72</v>
      </c>
      <c r="F78" s="17" t="s">
        <v>305</v>
      </c>
      <c r="G78" s="257"/>
      <c r="H78" s="10"/>
      <c r="I78" s="11"/>
      <c r="J78" s="11"/>
      <c r="K78" s="11"/>
      <c r="L78" s="11"/>
      <c r="M78" s="11"/>
      <c r="N78" s="11"/>
      <c r="O78" s="12"/>
      <c r="P78" s="11"/>
      <c r="Q78" s="13"/>
      <c r="R78" s="14"/>
    </row>
    <row r="79" spans="1:18" ht="15" customHeight="1" x14ac:dyDescent="0.3">
      <c r="A79" s="17" t="s">
        <v>67</v>
      </c>
      <c r="B79" s="17" t="s">
        <v>286</v>
      </c>
      <c r="C79" s="18">
        <v>4.8611111111111112E-2</v>
      </c>
      <c r="D79" s="17" t="s">
        <v>69</v>
      </c>
      <c r="E79" s="17" t="s">
        <v>72</v>
      </c>
      <c r="F79" s="17" t="s">
        <v>306</v>
      </c>
      <c r="G79" s="257"/>
      <c r="H79" s="10"/>
      <c r="I79" s="11"/>
      <c r="J79" s="11"/>
      <c r="K79" s="11"/>
      <c r="L79" s="11"/>
      <c r="M79" s="11"/>
      <c r="N79" s="11"/>
      <c r="O79" s="12"/>
      <c r="P79" s="11"/>
      <c r="Q79" s="13"/>
      <c r="R79" s="14"/>
    </row>
    <row r="80" spans="1:18" ht="15" customHeight="1" x14ac:dyDescent="0.3">
      <c r="A80" s="17" t="s">
        <v>67</v>
      </c>
      <c r="B80" s="17" t="s">
        <v>288</v>
      </c>
      <c r="C80" s="18">
        <v>0.83680555555555547</v>
      </c>
      <c r="D80" s="17" t="s">
        <v>69</v>
      </c>
      <c r="E80" s="17" t="s">
        <v>72</v>
      </c>
      <c r="F80" s="17" t="s">
        <v>306</v>
      </c>
      <c r="G80" s="257"/>
      <c r="H80" s="10"/>
      <c r="I80" s="11"/>
      <c r="J80" s="11"/>
      <c r="K80" s="11"/>
      <c r="L80" s="11"/>
      <c r="M80" s="11"/>
      <c r="N80" s="11"/>
      <c r="O80" s="12"/>
      <c r="P80" s="11"/>
      <c r="Q80" s="13"/>
      <c r="R80" s="14"/>
    </row>
    <row r="81" spans="1:18" ht="15" customHeight="1" x14ac:dyDescent="0.3">
      <c r="A81" s="17" t="s">
        <v>67</v>
      </c>
      <c r="B81" s="17" t="s">
        <v>281</v>
      </c>
      <c r="C81" s="18">
        <v>0.61805555555555558</v>
      </c>
      <c r="D81" s="17" t="s">
        <v>69</v>
      </c>
      <c r="E81" s="17" t="s">
        <v>72</v>
      </c>
      <c r="F81" s="17" t="s">
        <v>307</v>
      </c>
      <c r="G81" s="257"/>
      <c r="H81" s="10"/>
      <c r="I81" s="11"/>
      <c r="J81" s="11"/>
      <c r="K81" s="11"/>
      <c r="L81" s="11"/>
      <c r="M81" s="11"/>
      <c r="N81" s="11"/>
      <c r="O81" s="12"/>
      <c r="P81" s="11"/>
      <c r="Q81" s="13"/>
      <c r="R81" s="14"/>
    </row>
    <row r="82" spans="1:18" ht="15" customHeight="1" x14ac:dyDescent="0.3">
      <c r="A82" s="17" t="s">
        <v>67</v>
      </c>
      <c r="B82" s="17" t="s">
        <v>308</v>
      </c>
      <c r="C82" s="18">
        <v>0.33333333333333331</v>
      </c>
      <c r="D82" s="17" t="s">
        <v>69</v>
      </c>
      <c r="E82" s="17" t="s">
        <v>72</v>
      </c>
      <c r="F82" s="17" t="s">
        <v>307</v>
      </c>
      <c r="G82" s="257"/>
      <c r="H82" s="10"/>
      <c r="I82" s="11"/>
      <c r="J82" s="11"/>
      <c r="K82" s="11"/>
      <c r="L82" s="11"/>
      <c r="M82" s="11"/>
      <c r="N82" s="11"/>
      <c r="O82" s="12"/>
      <c r="P82" s="11"/>
      <c r="Q82" s="13"/>
      <c r="R82" s="14"/>
    </row>
    <row r="83" spans="1:18" ht="15" customHeight="1" x14ac:dyDescent="0.3">
      <c r="A83" s="19" t="s">
        <v>51</v>
      </c>
      <c r="B83" s="19" t="s">
        <v>272</v>
      </c>
      <c r="C83" s="20">
        <v>0.11805555555555559</v>
      </c>
      <c r="D83" s="19" t="s">
        <v>56</v>
      </c>
      <c r="E83" s="19" t="s">
        <v>54</v>
      </c>
      <c r="F83" s="19" t="s">
        <v>266</v>
      </c>
      <c r="G83" s="257"/>
      <c r="H83" s="10"/>
      <c r="I83" s="11"/>
      <c r="J83" s="11"/>
      <c r="K83" s="11"/>
      <c r="L83" s="11"/>
      <c r="M83" s="11"/>
      <c r="N83" s="11"/>
      <c r="O83" s="12"/>
      <c r="P83" s="11"/>
      <c r="Q83" s="13"/>
      <c r="R83" s="14"/>
    </row>
    <row r="84" spans="1:18" ht="15" customHeight="1" x14ac:dyDescent="0.3">
      <c r="A84" s="17" t="s">
        <v>51</v>
      </c>
      <c r="B84" s="17" t="s">
        <v>274</v>
      </c>
      <c r="C84" s="18">
        <v>0.25347222222222221</v>
      </c>
      <c r="D84" s="17" t="s">
        <v>56</v>
      </c>
      <c r="E84" s="17" t="s">
        <v>72</v>
      </c>
      <c r="F84" s="17" t="s">
        <v>266</v>
      </c>
      <c r="G84" s="257"/>
      <c r="H84" s="10"/>
      <c r="I84" s="11"/>
      <c r="J84" s="11"/>
      <c r="K84" s="11"/>
      <c r="L84" s="11"/>
      <c r="M84" s="11"/>
      <c r="N84" s="11"/>
      <c r="O84" s="12"/>
      <c r="P84" s="11"/>
      <c r="Q84" s="13"/>
      <c r="R84" s="14"/>
    </row>
    <row r="85" spans="1:18" ht="15" customHeight="1" x14ac:dyDescent="0.3">
      <c r="A85" s="17" t="s">
        <v>51</v>
      </c>
      <c r="B85" s="17" t="s">
        <v>309</v>
      </c>
      <c r="C85" s="18">
        <v>4.1666666666666657E-2</v>
      </c>
      <c r="D85" s="17" t="s">
        <v>56</v>
      </c>
      <c r="E85" s="17" t="s">
        <v>72</v>
      </c>
      <c r="F85" s="17" t="s">
        <v>266</v>
      </c>
      <c r="G85" s="257"/>
      <c r="H85" s="10"/>
      <c r="I85" s="11"/>
      <c r="J85" s="11"/>
      <c r="K85" s="11"/>
      <c r="L85" s="11"/>
      <c r="M85" s="11"/>
      <c r="N85" s="11"/>
      <c r="O85" s="12"/>
      <c r="P85" s="11"/>
      <c r="Q85" s="13"/>
      <c r="R85" s="14"/>
    </row>
    <row r="86" spans="1:18" ht="15" customHeight="1" x14ac:dyDescent="0.3">
      <c r="A86" s="17" t="s">
        <v>51</v>
      </c>
      <c r="B86" s="17" t="s">
        <v>275</v>
      </c>
      <c r="C86" s="18">
        <v>0.82986111111111116</v>
      </c>
      <c r="D86" s="17" t="s">
        <v>56</v>
      </c>
      <c r="E86" s="17" t="s">
        <v>72</v>
      </c>
      <c r="F86" s="17" t="s">
        <v>266</v>
      </c>
      <c r="G86" s="257"/>
      <c r="H86" s="10"/>
      <c r="I86" s="11"/>
      <c r="J86" s="11"/>
      <c r="K86" s="11"/>
      <c r="L86" s="11"/>
      <c r="M86" s="11"/>
      <c r="N86" s="11"/>
      <c r="O86" s="12"/>
      <c r="P86" s="11"/>
      <c r="Q86" s="13"/>
      <c r="R86" s="14"/>
    </row>
    <row r="87" spans="1:18" ht="15" customHeight="1" x14ac:dyDescent="0.3">
      <c r="A87" s="17" t="s">
        <v>51</v>
      </c>
      <c r="B87" s="17" t="s">
        <v>265</v>
      </c>
      <c r="C87" s="18">
        <v>0.94097222222222221</v>
      </c>
      <c r="D87" s="17" t="s">
        <v>56</v>
      </c>
      <c r="E87" s="17" t="s">
        <v>72</v>
      </c>
      <c r="F87" s="17" t="s">
        <v>266</v>
      </c>
      <c r="G87" s="257"/>
      <c r="H87" s="10"/>
      <c r="I87" s="11"/>
      <c r="J87" s="11"/>
      <c r="K87" s="11"/>
      <c r="L87" s="11"/>
      <c r="M87" s="11"/>
      <c r="N87" s="11"/>
      <c r="O87" s="12"/>
      <c r="P87" s="11"/>
      <c r="Q87" s="13"/>
      <c r="R87" s="14"/>
    </row>
    <row r="88" spans="1:18" ht="15" customHeight="1" x14ac:dyDescent="0.3">
      <c r="A88" s="17" t="s">
        <v>51</v>
      </c>
      <c r="B88" s="17" t="s">
        <v>277</v>
      </c>
      <c r="C88" s="18">
        <v>0.72222222222222221</v>
      </c>
      <c r="D88" s="17" t="s">
        <v>56</v>
      </c>
      <c r="E88" s="17" t="s">
        <v>65</v>
      </c>
      <c r="F88" s="17" t="s">
        <v>266</v>
      </c>
      <c r="G88" s="257"/>
      <c r="H88" s="10"/>
      <c r="I88" s="11"/>
      <c r="J88" s="11"/>
      <c r="K88" s="11"/>
      <c r="L88" s="11"/>
      <c r="M88" s="11"/>
      <c r="N88" s="11"/>
      <c r="O88" s="12"/>
      <c r="P88" s="11"/>
      <c r="Q88" s="13"/>
      <c r="R88" s="14"/>
    </row>
    <row r="89" spans="1:18" ht="15" customHeight="1" x14ac:dyDescent="0.3">
      <c r="A89" s="17" t="s">
        <v>51</v>
      </c>
      <c r="B89" s="17" t="s">
        <v>276</v>
      </c>
      <c r="C89" s="18">
        <v>0.70138888888888884</v>
      </c>
      <c r="D89" s="17" t="s">
        <v>56</v>
      </c>
      <c r="E89" s="17" t="s">
        <v>230</v>
      </c>
      <c r="F89" s="17" t="s">
        <v>266</v>
      </c>
      <c r="G89" s="257"/>
      <c r="H89" s="10"/>
      <c r="I89" s="11"/>
      <c r="J89" s="11"/>
      <c r="K89" s="11"/>
      <c r="L89" s="11"/>
      <c r="M89" s="11"/>
      <c r="N89" s="11"/>
      <c r="O89" s="12"/>
      <c r="P89" s="11"/>
      <c r="Q89" s="13"/>
      <c r="R89" s="14"/>
    </row>
    <row r="90" spans="1:18" ht="15" customHeight="1" x14ac:dyDescent="0.3">
      <c r="A90" s="17" t="s">
        <v>51</v>
      </c>
      <c r="B90" s="17" t="s">
        <v>267</v>
      </c>
      <c r="C90" s="18">
        <v>0.98958333333333337</v>
      </c>
      <c r="D90" s="17" t="s">
        <v>56</v>
      </c>
      <c r="E90" s="17" t="s">
        <v>62</v>
      </c>
      <c r="F90" s="17" t="s">
        <v>268</v>
      </c>
      <c r="G90" s="257"/>
      <c r="H90" s="10"/>
      <c r="I90" s="11"/>
      <c r="J90" s="11"/>
      <c r="K90" s="11"/>
      <c r="L90" s="11"/>
      <c r="M90" s="11"/>
      <c r="N90" s="11"/>
      <c r="O90" s="12"/>
      <c r="P90" s="11"/>
      <c r="Q90" s="13"/>
      <c r="R90" s="14"/>
    </row>
    <row r="91" spans="1:18" ht="15" customHeight="1" x14ac:dyDescent="0.3">
      <c r="A91" s="17" t="s">
        <v>51</v>
      </c>
      <c r="B91" s="17" t="s">
        <v>269</v>
      </c>
      <c r="C91" s="18">
        <v>0.88888888888888884</v>
      </c>
      <c r="D91" s="17" t="s">
        <v>56</v>
      </c>
      <c r="E91" s="17" t="s">
        <v>62</v>
      </c>
      <c r="F91" s="17" t="s">
        <v>268</v>
      </c>
      <c r="G91" s="257"/>
      <c r="H91" s="10"/>
      <c r="I91" s="11"/>
      <c r="J91" s="11"/>
      <c r="K91" s="11"/>
      <c r="L91" s="11"/>
      <c r="M91" s="11"/>
      <c r="N91" s="11"/>
      <c r="O91" s="12"/>
      <c r="P91" s="11"/>
      <c r="Q91" s="13"/>
      <c r="R91" s="14"/>
    </row>
    <row r="92" spans="1:18" ht="15" customHeight="1" x14ac:dyDescent="0.3">
      <c r="A92" s="17" t="s">
        <v>51</v>
      </c>
      <c r="B92" s="17" t="s">
        <v>270</v>
      </c>
      <c r="C92" s="18">
        <v>0.39930555555555558</v>
      </c>
      <c r="D92" s="17" t="s">
        <v>56</v>
      </c>
      <c r="E92" s="17" t="s">
        <v>62</v>
      </c>
      <c r="F92" s="17" t="s">
        <v>268</v>
      </c>
      <c r="G92" s="257"/>
      <c r="H92" s="10"/>
      <c r="I92" s="11"/>
      <c r="J92" s="11"/>
      <c r="K92" s="11"/>
      <c r="L92" s="11"/>
      <c r="M92" s="11"/>
      <c r="N92" s="11"/>
      <c r="O92" s="12"/>
      <c r="P92" s="11"/>
      <c r="Q92" s="13"/>
      <c r="R92" s="14"/>
    </row>
    <row r="93" spans="1:18" ht="15" customHeight="1" x14ac:dyDescent="0.3">
      <c r="A93" s="17" t="s">
        <v>51</v>
      </c>
      <c r="B93" s="17" t="s">
        <v>271</v>
      </c>
      <c r="C93" s="18">
        <v>0.48958333333333331</v>
      </c>
      <c r="D93" s="17" t="s">
        <v>56</v>
      </c>
      <c r="E93" s="17" t="s">
        <v>62</v>
      </c>
      <c r="F93" s="17" t="s">
        <v>268</v>
      </c>
      <c r="G93" s="257"/>
      <c r="H93" s="10"/>
      <c r="I93" s="11"/>
      <c r="J93" s="11"/>
      <c r="K93" s="11"/>
      <c r="L93" s="11"/>
      <c r="M93" s="11"/>
      <c r="N93" s="11"/>
      <c r="O93" s="12"/>
      <c r="P93" s="11"/>
      <c r="Q93" s="13"/>
      <c r="R93" s="14"/>
    </row>
    <row r="94" spans="1:18" ht="15" customHeight="1" thickBot="1" x14ac:dyDescent="0.35">
      <c r="A94" s="39" t="s">
        <v>51</v>
      </c>
      <c r="B94" s="39" t="s">
        <v>310</v>
      </c>
      <c r="C94" s="40">
        <v>0.48958333333333331</v>
      </c>
      <c r="D94" s="39" t="s">
        <v>56</v>
      </c>
      <c r="E94" s="39" t="s">
        <v>75</v>
      </c>
      <c r="F94" s="39" t="s">
        <v>273</v>
      </c>
      <c r="G94" s="258"/>
      <c r="H94" s="41"/>
      <c r="I94" s="42"/>
      <c r="J94" s="42"/>
      <c r="K94" s="42"/>
      <c r="L94" s="42"/>
      <c r="M94" s="42"/>
      <c r="N94" s="42"/>
      <c r="O94" s="43"/>
      <c r="P94" s="42"/>
      <c r="Q94" s="44"/>
      <c r="R94" s="45"/>
    </row>
    <row r="95" spans="1:18" ht="17.399999999999999" customHeight="1" thickBot="1" x14ac:dyDescent="0.35">
      <c r="A95" s="285"/>
      <c r="B95" s="286"/>
      <c r="C95" s="286"/>
      <c r="D95" s="286"/>
      <c r="E95" s="286"/>
      <c r="F95" s="286"/>
      <c r="G95" s="286"/>
      <c r="H95" s="286"/>
      <c r="I95" s="286"/>
      <c r="J95" s="286"/>
      <c r="K95" s="286"/>
      <c r="L95" s="286"/>
      <c r="M95" s="286"/>
      <c r="N95" s="286"/>
      <c r="O95" s="286"/>
      <c r="P95" s="286"/>
      <c r="Q95" s="286"/>
      <c r="R95" s="287"/>
    </row>
    <row r="96" spans="1:18" ht="22.05" customHeight="1" thickTop="1" thickBot="1" x14ac:dyDescent="0.35">
      <c r="A96" s="259" t="s">
        <v>6</v>
      </c>
      <c r="B96" s="254"/>
      <c r="C96" s="254"/>
      <c r="D96" s="254"/>
      <c r="E96" s="254"/>
      <c r="F96" s="255"/>
      <c r="G96" s="31">
        <v>45983</v>
      </c>
      <c r="H96" s="253" t="s">
        <v>7</v>
      </c>
      <c r="I96" s="254"/>
      <c r="J96" s="254"/>
      <c r="K96" s="254"/>
      <c r="L96" s="254"/>
      <c r="M96" s="254"/>
      <c r="N96" s="254"/>
      <c r="O96" s="254"/>
      <c r="P96" s="254"/>
      <c r="Q96" s="254"/>
      <c r="R96" s="255"/>
    </row>
    <row r="97" spans="1:18" ht="24" customHeight="1" x14ac:dyDescent="0.3">
      <c r="A97" s="32" t="s">
        <v>8</v>
      </c>
      <c r="B97" s="32" t="s">
        <v>9</v>
      </c>
      <c r="C97" s="33" t="s">
        <v>10</v>
      </c>
      <c r="D97" s="32" t="s">
        <v>11</v>
      </c>
      <c r="E97" s="32" t="s">
        <v>12</v>
      </c>
      <c r="F97" s="34" t="s">
        <v>13</v>
      </c>
      <c r="G97" s="35" t="s">
        <v>14</v>
      </c>
      <c r="H97" s="32" t="s">
        <v>15</v>
      </c>
      <c r="I97" s="36" t="s">
        <v>16</v>
      </c>
      <c r="J97" s="37" t="s">
        <v>17</v>
      </c>
      <c r="K97" s="38" t="s">
        <v>18</v>
      </c>
      <c r="L97" s="37" t="s">
        <v>19</v>
      </c>
      <c r="M97" s="37" t="s">
        <v>20</v>
      </c>
      <c r="N97" s="37" t="s">
        <v>21</v>
      </c>
      <c r="O97" s="32" t="s">
        <v>22</v>
      </c>
      <c r="P97" s="33" t="s">
        <v>23</v>
      </c>
      <c r="Q97" s="37" t="s">
        <v>24</v>
      </c>
      <c r="R97" s="32" t="s">
        <v>25</v>
      </c>
    </row>
    <row r="98" spans="1:18" ht="15" customHeight="1" x14ac:dyDescent="0.3">
      <c r="A98" s="8" t="s">
        <v>42</v>
      </c>
      <c r="B98" s="8" t="s">
        <v>205</v>
      </c>
      <c r="C98" s="9">
        <v>0.48958333333333331</v>
      </c>
      <c r="D98" s="8" t="s">
        <v>44</v>
      </c>
      <c r="E98" s="8" t="s">
        <v>29</v>
      </c>
      <c r="F98" s="8" t="s">
        <v>311</v>
      </c>
      <c r="G98" s="256"/>
      <c r="H98" s="10"/>
      <c r="I98" s="11"/>
      <c r="J98" s="11"/>
      <c r="K98" s="11"/>
      <c r="L98" s="11"/>
      <c r="M98" s="11"/>
      <c r="N98" s="11"/>
      <c r="O98" s="12"/>
      <c r="P98" s="11"/>
      <c r="Q98" s="13"/>
      <c r="R98" s="14"/>
    </row>
    <row r="99" spans="1:18" ht="15" customHeight="1" x14ac:dyDescent="0.3">
      <c r="A99" s="15" t="s">
        <v>42</v>
      </c>
      <c r="B99" s="15" t="s">
        <v>205</v>
      </c>
      <c r="C99" s="16">
        <v>0.48958333333333331</v>
      </c>
      <c r="D99" s="15" t="s">
        <v>47</v>
      </c>
      <c r="E99" s="15" t="s">
        <v>32</v>
      </c>
      <c r="F99" s="15" t="s">
        <v>312</v>
      </c>
      <c r="G99" s="257"/>
      <c r="H99" s="10"/>
      <c r="I99" s="11"/>
      <c r="J99" s="11"/>
      <c r="K99" s="11"/>
      <c r="L99" s="11"/>
      <c r="M99" s="11"/>
      <c r="N99" s="11"/>
      <c r="O99" s="12"/>
      <c r="P99" s="11"/>
      <c r="Q99" s="13"/>
      <c r="R99" s="14"/>
    </row>
    <row r="100" spans="1:18" ht="15" customHeight="1" x14ac:dyDescent="0.3">
      <c r="A100" s="15" t="s">
        <v>42</v>
      </c>
      <c r="B100" s="15" t="s">
        <v>205</v>
      </c>
      <c r="C100" s="16">
        <v>0.48958333333333331</v>
      </c>
      <c r="D100" s="15" t="s">
        <v>49</v>
      </c>
      <c r="E100" s="15" t="s">
        <v>32</v>
      </c>
      <c r="F100" s="15" t="s">
        <v>50</v>
      </c>
      <c r="G100" s="257"/>
      <c r="H100" s="10"/>
      <c r="I100" s="11"/>
      <c r="J100" s="11"/>
      <c r="K100" s="11"/>
      <c r="L100" s="11"/>
      <c r="M100" s="11"/>
      <c r="N100" s="11"/>
      <c r="O100" s="12"/>
      <c r="P100" s="11"/>
      <c r="Q100" s="13"/>
      <c r="R100" s="14"/>
    </row>
    <row r="101" spans="1:18" ht="15" customHeight="1" x14ac:dyDescent="0.3">
      <c r="A101" s="17" t="s">
        <v>42</v>
      </c>
      <c r="B101" s="17" t="s">
        <v>211</v>
      </c>
      <c r="C101" s="18">
        <v>0.39930555555555558</v>
      </c>
      <c r="D101" s="17" t="s">
        <v>44</v>
      </c>
      <c r="E101" s="17" t="s">
        <v>313</v>
      </c>
      <c r="F101" s="17" t="s">
        <v>311</v>
      </c>
      <c r="G101" s="257"/>
      <c r="H101" s="10"/>
      <c r="I101" s="11"/>
      <c r="J101" s="11"/>
      <c r="K101" s="11"/>
      <c r="L101" s="11"/>
      <c r="M101" s="11"/>
      <c r="N101" s="11"/>
      <c r="O101" s="12"/>
      <c r="P101" s="11"/>
      <c r="Q101" s="13"/>
      <c r="R101" s="14"/>
    </row>
    <row r="102" spans="1:18" ht="15" customHeight="1" x14ac:dyDescent="0.3">
      <c r="A102" s="15" t="s">
        <v>42</v>
      </c>
      <c r="B102" s="15" t="s">
        <v>211</v>
      </c>
      <c r="C102" s="16">
        <v>0.39930555555555558</v>
      </c>
      <c r="D102" s="15" t="s">
        <v>47</v>
      </c>
      <c r="E102" s="15" t="s">
        <v>314</v>
      </c>
      <c r="F102" s="15" t="s">
        <v>312</v>
      </c>
      <c r="G102" s="257"/>
      <c r="H102" s="10"/>
      <c r="I102" s="11"/>
      <c r="J102" s="11"/>
      <c r="K102" s="11"/>
      <c r="L102" s="11"/>
      <c r="M102" s="11"/>
      <c r="N102" s="11"/>
      <c r="O102" s="12"/>
      <c r="P102" s="11"/>
      <c r="Q102" s="13"/>
      <c r="R102" s="14"/>
    </row>
    <row r="103" spans="1:18" ht="15" customHeight="1" x14ac:dyDescent="0.3">
      <c r="A103" s="15" t="s">
        <v>42</v>
      </c>
      <c r="B103" s="15" t="s">
        <v>211</v>
      </c>
      <c r="C103" s="16">
        <v>0.39930555555555558</v>
      </c>
      <c r="D103" s="15" t="s">
        <v>49</v>
      </c>
      <c r="E103" s="15" t="s">
        <v>314</v>
      </c>
      <c r="F103" s="15" t="s">
        <v>50</v>
      </c>
      <c r="G103" s="257"/>
      <c r="H103" s="10"/>
      <c r="I103" s="11"/>
      <c r="J103" s="11"/>
      <c r="K103" s="11"/>
      <c r="L103" s="11"/>
      <c r="M103" s="11"/>
      <c r="N103" s="11"/>
      <c r="O103" s="12"/>
      <c r="P103" s="11"/>
      <c r="Q103" s="13"/>
      <c r="R103" s="14"/>
    </row>
    <row r="104" spans="1:18" ht="15" customHeight="1" x14ac:dyDescent="0.3">
      <c r="A104" s="17" t="s">
        <v>42</v>
      </c>
      <c r="B104" s="17" t="s">
        <v>214</v>
      </c>
      <c r="C104" s="18">
        <v>0.98958333333333337</v>
      </c>
      <c r="D104" s="17" t="s">
        <v>44</v>
      </c>
      <c r="E104" s="17" t="s">
        <v>315</v>
      </c>
      <c r="F104" s="17" t="s">
        <v>311</v>
      </c>
      <c r="G104" s="257"/>
      <c r="H104" s="10"/>
      <c r="I104" s="11"/>
      <c r="J104" s="11"/>
      <c r="K104" s="11"/>
      <c r="L104" s="11"/>
      <c r="M104" s="11"/>
      <c r="N104" s="11"/>
      <c r="O104" s="12"/>
      <c r="P104" s="11"/>
      <c r="Q104" s="13"/>
      <c r="R104" s="14"/>
    </row>
    <row r="105" spans="1:18" ht="15" customHeight="1" x14ac:dyDescent="0.3">
      <c r="A105" s="15" t="s">
        <v>42</v>
      </c>
      <c r="B105" s="15" t="s">
        <v>214</v>
      </c>
      <c r="C105" s="16">
        <v>0.98958333333333337</v>
      </c>
      <c r="D105" s="15" t="s">
        <v>47</v>
      </c>
      <c r="E105" s="15" t="s">
        <v>316</v>
      </c>
      <c r="F105" s="15" t="s">
        <v>312</v>
      </c>
      <c r="G105" s="257"/>
      <c r="H105" s="10"/>
      <c r="I105" s="11"/>
      <c r="J105" s="11"/>
      <c r="K105" s="11"/>
      <c r="L105" s="11"/>
      <c r="M105" s="11"/>
      <c r="N105" s="11"/>
      <c r="O105" s="12"/>
      <c r="P105" s="11"/>
      <c r="Q105" s="13"/>
      <c r="R105" s="14"/>
    </row>
    <row r="106" spans="1:18" ht="15" customHeight="1" x14ac:dyDescent="0.3">
      <c r="A106" s="15" t="s">
        <v>42</v>
      </c>
      <c r="B106" s="15" t="s">
        <v>214</v>
      </c>
      <c r="C106" s="16">
        <v>0.98958333333333337</v>
      </c>
      <c r="D106" s="15" t="s">
        <v>49</v>
      </c>
      <c r="E106" s="15" t="s">
        <v>316</v>
      </c>
      <c r="F106" s="15" t="s">
        <v>50</v>
      </c>
      <c r="G106" s="257"/>
      <c r="H106" s="10"/>
      <c r="I106" s="11"/>
      <c r="J106" s="11"/>
      <c r="K106" s="11"/>
      <c r="L106" s="11"/>
      <c r="M106" s="11"/>
      <c r="N106" s="11"/>
      <c r="O106" s="12"/>
      <c r="P106" s="11"/>
      <c r="Q106" s="13"/>
      <c r="R106" s="14"/>
    </row>
    <row r="107" spans="1:18" ht="15" customHeight="1" x14ac:dyDescent="0.3">
      <c r="A107" s="17" t="s">
        <v>42</v>
      </c>
      <c r="B107" s="17" t="s">
        <v>216</v>
      </c>
      <c r="C107" s="18">
        <v>0.88888888888888884</v>
      </c>
      <c r="D107" s="17" t="s">
        <v>44</v>
      </c>
      <c r="E107" s="17" t="s">
        <v>285</v>
      </c>
      <c r="F107" s="17" t="s">
        <v>311</v>
      </c>
      <c r="G107" s="257"/>
      <c r="H107" s="10"/>
      <c r="I107" s="11"/>
      <c r="J107" s="11"/>
      <c r="K107" s="11"/>
      <c r="L107" s="11"/>
      <c r="M107" s="11"/>
      <c r="N107" s="11"/>
      <c r="O107" s="12"/>
      <c r="P107" s="11"/>
      <c r="Q107" s="13"/>
      <c r="R107" s="14"/>
    </row>
    <row r="108" spans="1:18" ht="15" customHeight="1" x14ac:dyDescent="0.3">
      <c r="A108" s="15" t="s">
        <v>42</v>
      </c>
      <c r="B108" s="15" t="s">
        <v>216</v>
      </c>
      <c r="C108" s="16">
        <v>0.88888888888888884</v>
      </c>
      <c r="D108" s="15" t="s">
        <v>47</v>
      </c>
      <c r="E108" s="15" t="s">
        <v>317</v>
      </c>
      <c r="F108" s="15" t="s">
        <v>312</v>
      </c>
      <c r="G108" s="257"/>
      <c r="H108" s="10"/>
      <c r="I108" s="11"/>
      <c r="J108" s="11"/>
      <c r="K108" s="11"/>
      <c r="L108" s="11"/>
      <c r="M108" s="11"/>
      <c r="N108" s="11"/>
      <c r="O108" s="12"/>
      <c r="P108" s="11"/>
      <c r="Q108" s="13"/>
      <c r="R108" s="14"/>
    </row>
    <row r="109" spans="1:18" ht="15" customHeight="1" x14ac:dyDescent="0.3">
      <c r="A109" s="15" t="s">
        <v>42</v>
      </c>
      <c r="B109" s="15" t="s">
        <v>216</v>
      </c>
      <c r="C109" s="16">
        <v>0.88888888888888884</v>
      </c>
      <c r="D109" s="15" t="s">
        <v>49</v>
      </c>
      <c r="E109" s="15" t="s">
        <v>317</v>
      </c>
      <c r="F109" s="15" t="s">
        <v>210</v>
      </c>
      <c r="G109" s="257"/>
      <c r="H109" s="10"/>
      <c r="I109" s="11"/>
      <c r="J109" s="11"/>
      <c r="K109" s="11"/>
      <c r="L109" s="11"/>
      <c r="M109" s="11"/>
      <c r="N109" s="11"/>
      <c r="O109" s="12"/>
      <c r="P109" s="11"/>
      <c r="Q109" s="13"/>
      <c r="R109" s="14"/>
    </row>
    <row r="110" spans="1:18" ht="15" customHeight="1" x14ac:dyDescent="0.3">
      <c r="A110" s="19" t="s">
        <v>26</v>
      </c>
      <c r="B110" s="19" t="s">
        <v>219</v>
      </c>
      <c r="C110" s="20">
        <v>0.94444444444444453</v>
      </c>
      <c r="D110" s="19" t="s">
        <v>28</v>
      </c>
      <c r="E110" s="19" t="s">
        <v>29</v>
      </c>
      <c r="F110" s="19" t="s">
        <v>220</v>
      </c>
      <c r="G110" s="257"/>
      <c r="H110" s="10"/>
      <c r="I110" s="11"/>
      <c r="J110" s="11"/>
      <c r="K110" s="11"/>
      <c r="L110" s="11"/>
      <c r="M110" s="11"/>
      <c r="N110" s="11"/>
      <c r="O110" s="12"/>
      <c r="P110" s="11"/>
      <c r="Q110" s="13"/>
      <c r="R110" s="14"/>
    </row>
    <row r="111" spans="1:18" ht="15" customHeight="1" x14ac:dyDescent="0.3">
      <c r="A111" s="15" t="s">
        <v>26</v>
      </c>
      <c r="B111" s="15" t="s">
        <v>219</v>
      </c>
      <c r="C111" s="16">
        <v>0.94444444444444453</v>
      </c>
      <c r="D111" s="15" t="s">
        <v>31</v>
      </c>
      <c r="E111" s="15" t="s">
        <v>32</v>
      </c>
      <c r="F111" s="15" t="s">
        <v>35</v>
      </c>
      <c r="G111" s="257"/>
      <c r="H111" s="10"/>
      <c r="I111" s="11"/>
      <c r="J111" s="11"/>
      <c r="K111" s="11"/>
      <c r="L111" s="11"/>
      <c r="M111" s="11"/>
      <c r="N111" s="11"/>
      <c r="O111" s="12"/>
      <c r="P111" s="11"/>
      <c r="Q111" s="13"/>
      <c r="R111" s="14"/>
    </row>
    <row r="112" spans="1:18" ht="15" customHeight="1" x14ac:dyDescent="0.3">
      <c r="A112" s="15" t="s">
        <v>26</v>
      </c>
      <c r="B112" s="15" t="s">
        <v>219</v>
      </c>
      <c r="C112" s="16">
        <v>0.94444444444444453</v>
      </c>
      <c r="D112" s="15" t="s">
        <v>34</v>
      </c>
      <c r="E112" s="15" t="s">
        <v>32</v>
      </c>
      <c r="F112" s="15" t="s">
        <v>233</v>
      </c>
      <c r="G112" s="257"/>
      <c r="H112" s="10"/>
      <c r="I112" s="11"/>
      <c r="J112" s="11"/>
      <c r="K112" s="11"/>
      <c r="L112" s="11"/>
      <c r="M112" s="11"/>
      <c r="N112" s="11"/>
      <c r="O112" s="12"/>
      <c r="P112" s="11"/>
      <c r="Q112" s="13"/>
      <c r="R112" s="14"/>
    </row>
    <row r="113" spans="1:18" ht="15" customHeight="1" x14ac:dyDescent="0.3">
      <c r="A113" s="17" t="s">
        <v>26</v>
      </c>
      <c r="B113" s="17" t="s">
        <v>232</v>
      </c>
      <c r="C113" s="18">
        <v>0.75</v>
      </c>
      <c r="D113" s="17" t="s">
        <v>28</v>
      </c>
      <c r="E113" s="17" t="s">
        <v>230</v>
      </c>
      <c r="F113" s="17" t="s">
        <v>220</v>
      </c>
      <c r="G113" s="257"/>
      <c r="H113" s="10"/>
      <c r="I113" s="11"/>
      <c r="J113" s="11"/>
      <c r="K113" s="11"/>
      <c r="L113" s="11"/>
      <c r="M113" s="11"/>
      <c r="N113" s="11"/>
      <c r="O113" s="12"/>
      <c r="P113" s="11"/>
      <c r="Q113" s="13"/>
      <c r="R113" s="14"/>
    </row>
    <row r="114" spans="1:18" ht="15" customHeight="1" x14ac:dyDescent="0.3">
      <c r="A114" s="15" t="s">
        <v>26</v>
      </c>
      <c r="B114" s="15" t="s">
        <v>232</v>
      </c>
      <c r="C114" s="16">
        <v>0.75</v>
      </c>
      <c r="D114" s="15" t="s">
        <v>31</v>
      </c>
      <c r="E114" s="15" t="s">
        <v>48</v>
      </c>
      <c r="F114" s="15" t="s">
        <v>35</v>
      </c>
      <c r="G114" s="257"/>
      <c r="H114" s="10"/>
      <c r="I114" s="11"/>
      <c r="J114" s="11"/>
      <c r="K114" s="11"/>
      <c r="L114" s="11"/>
      <c r="M114" s="11"/>
      <c r="N114" s="11"/>
      <c r="O114" s="12"/>
      <c r="P114" s="11"/>
      <c r="Q114" s="13"/>
      <c r="R114" s="14"/>
    </row>
    <row r="115" spans="1:18" ht="15" customHeight="1" x14ac:dyDescent="0.3">
      <c r="A115" s="15" t="s">
        <v>26</v>
      </c>
      <c r="B115" s="15" t="s">
        <v>232</v>
      </c>
      <c r="C115" s="16">
        <v>0.75</v>
      </c>
      <c r="D115" s="15" t="s">
        <v>34</v>
      </c>
      <c r="E115" s="15" t="s">
        <v>48</v>
      </c>
      <c r="F115" s="15" t="s">
        <v>233</v>
      </c>
      <c r="G115" s="257"/>
      <c r="H115" s="10"/>
      <c r="I115" s="11"/>
      <c r="J115" s="11"/>
      <c r="K115" s="11"/>
      <c r="L115" s="11"/>
      <c r="M115" s="11"/>
      <c r="N115" s="11"/>
      <c r="O115" s="12"/>
      <c r="P115" s="11"/>
      <c r="Q115" s="13"/>
      <c r="R115" s="14"/>
    </row>
    <row r="116" spans="1:18" ht="15" customHeight="1" x14ac:dyDescent="0.3">
      <c r="A116" s="17" t="s">
        <v>26</v>
      </c>
      <c r="B116" s="17" t="s">
        <v>229</v>
      </c>
      <c r="C116" s="18">
        <v>0.88888888888888884</v>
      </c>
      <c r="D116" s="17" t="s">
        <v>28</v>
      </c>
      <c r="E116" s="17" t="s">
        <v>223</v>
      </c>
      <c r="F116" s="17" t="s">
        <v>220</v>
      </c>
      <c r="G116" s="257"/>
      <c r="H116" s="10"/>
      <c r="I116" s="11"/>
      <c r="J116" s="11"/>
      <c r="K116" s="11"/>
      <c r="L116" s="11"/>
      <c r="M116" s="11"/>
      <c r="N116" s="11"/>
      <c r="O116" s="12"/>
      <c r="P116" s="11"/>
      <c r="Q116" s="13"/>
      <c r="R116" s="14"/>
    </row>
    <row r="117" spans="1:18" ht="15" customHeight="1" x14ac:dyDescent="0.3">
      <c r="A117" s="15" t="s">
        <v>26</v>
      </c>
      <c r="B117" s="15" t="s">
        <v>229</v>
      </c>
      <c r="C117" s="16">
        <v>0.88888888888888884</v>
      </c>
      <c r="D117" s="15" t="s">
        <v>31</v>
      </c>
      <c r="E117" s="15" t="s">
        <v>32</v>
      </c>
      <c r="F117" s="15" t="s">
        <v>35</v>
      </c>
      <c r="G117" s="257"/>
      <c r="H117" s="10"/>
      <c r="I117" s="11"/>
      <c r="J117" s="11"/>
      <c r="K117" s="11"/>
      <c r="L117" s="11"/>
      <c r="M117" s="11"/>
      <c r="N117" s="11"/>
      <c r="O117" s="12"/>
      <c r="P117" s="11"/>
      <c r="Q117" s="13"/>
      <c r="R117" s="14"/>
    </row>
    <row r="118" spans="1:18" ht="15" customHeight="1" x14ac:dyDescent="0.3">
      <c r="A118" s="15" t="s">
        <v>26</v>
      </c>
      <c r="B118" s="15" t="s">
        <v>229</v>
      </c>
      <c r="C118" s="16">
        <v>0.88888888888888884</v>
      </c>
      <c r="D118" s="15" t="s">
        <v>34</v>
      </c>
      <c r="E118" s="15" t="s">
        <v>32</v>
      </c>
      <c r="F118" s="15" t="s">
        <v>233</v>
      </c>
      <c r="G118" s="257"/>
      <c r="H118" s="10"/>
      <c r="I118" s="11"/>
      <c r="J118" s="11"/>
      <c r="K118" s="11"/>
      <c r="L118" s="11"/>
      <c r="M118" s="11"/>
      <c r="N118" s="11"/>
      <c r="O118" s="12"/>
      <c r="P118" s="11"/>
      <c r="Q118" s="13"/>
      <c r="R118" s="14"/>
    </row>
    <row r="119" spans="1:18" ht="15" customHeight="1" x14ac:dyDescent="0.3">
      <c r="A119" s="17" t="s">
        <v>26</v>
      </c>
      <c r="B119" s="17" t="s">
        <v>234</v>
      </c>
      <c r="C119" s="18">
        <v>0.4861111111111111</v>
      </c>
      <c r="D119" s="17" t="s">
        <v>28</v>
      </c>
      <c r="E119" s="17" t="s">
        <v>62</v>
      </c>
      <c r="F119" s="17" t="s">
        <v>220</v>
      </c>
      <c r="G119" s="257"/>
      <c r="H119" s="10"/>
      <c r="I119" s="11"/>
      <c r="J119" s="11"/>
      <c r="K119" s="11"/>
      <c r="L119" s="11"/>
      <c r="M119" s="11"/>
      <c r="N119" s="11"/>
      <c r="O119" s="12"/>
      <c r="P119" s="11"/>
      <c r="Q119" s="13"/>
      <c r="R119" s="14"/>
    </row>
    <row r="120" spans="1:18" ht="15" customHeight="1" x14ac:dyDescent="0.3">
      <c r="A120" s="15" t="s">
        <v>26</v>
      </c>
      <c r="B120" s="15" t="s">
        <v>234</v>
      </c>
      <c r="C120" s="16">
        <v>0.4861111111111111</v>
      </c>
      <c r="D120" s="15" t="s">
        <v>31</v>
      </c>
      <c r="E120" s="15" t="s">
        <v>318</v>
      </c>
      <c r="F120" s="15" t="s">
        <v>35</v>
      </c>
      <c r="G120" s="257"/>
      <c r="H120" s="10"/>
      <c r="I120" s="11"/>
      <c r="J120" s="11"/>
      <c r="K120" s="11"/>
      <c r="L120" s="11"/>
      <c r="M120" s="11"/>
      <c r="N120" s="11"/>
      <c r="O120" s="12"/>
      <c r="P120" s="11"/>
      <c r="Q120" s="13"/>
      <c r="R120" s="14"/>
    </row>
    <row r="121" spans="1:18" ht="15" customHeight="1" x14ac:dyDescent="0.3">
      <c r="A121" s="15" t="s">
        <v>26</v>
      </c>
      <c r="B121" s="15" t="s">
        <v>234</v>
      </c>
      <c r="C121" s="16">
        <v>0.4861111111111111</v>
      </c>
      <c r="D121" s="15" t="s">
        <v>34</v>
      </c>
      <c r="E121" s="15" t="s">
        <v>318</v>
      </c>
      <c r="F121" s="15" t="s">
        <v>233</v>
      </c>
      <c r="G121" s="257"/>
      <c r="H121" s="10"/>
      <c r="I121" s="11"/>
      <c r="J121" s="11"/>
      <c r="K121" s="11"/>
      <c r="L121" s="11"/>
      <c r="M121" s="11"/>
      <c r="N121" s="11"/>
      <c r="O121" s="12"/>
      <c r="P121" s="11"/>
      <c r="Q121" s="13"/>
      <c r="R121" s="14"/>
    </row>
    <row r="122" spans="1:18" ht="15" customHeight="1" x14ac:dyDescent="0.3">
      <c r="A122" s="17" t="s">
        <v>26</v>
      </c>
      <c r="B122" s="17" t="s">
        <v>222</v>
      </c>
      <c r="C122" s="18">
        <v>0.99305555555555547</v>
      </c>
      <c r="D122" s="17" t="s">
        <v>28</v>
      </c>
      <c r="E122" s="17" t="s">
        <v>37</v>
      </c>
      <c r="F122" s="17" t="s">
        <v>220</v>
      </c>
      <c r="G122" s="257"/>
      <c r="H122" s="10"/>
      <c r="I122" s="11"/>
      <c r="J122" s="11"/>
      <c r="K122" s="11"/>
      <c r="L122" s="11"/>
      <c r="M122" s="11"/>
      <c r="N122" s="11"/>
      <c r="O122" s="12"/>
      <c r="P122" s="11"/>
      <c r="Q122" s="13"/>
      <c r="R122" s="14"/>
    </row>
    <row r="123" spans="1:18" ht="15" customHeight="1" x14ac:dyDescent="0.3">
      <c r="A123" s="15" t="s">
        <v>26</v>
      </c>
      <c r="B123" s="15" t="s">
        <v>222</v>
      </c>
      <c r="C123" s="16">
        <v>0.99305555555555547</v>
      </c>
      <c r="D123" s="15" t="s">
        <v>31</v>
      </c>
      <c r="E123" s="15" t="s">
        <v>39</v>
      </c>
      <c r="F123" s="15" t="s">
        <v>35</v>
      </c>
      <c r="G123" s="257"/>
      <c r="H123" s="10"/>
      <c r="I123" s="11"/>
      <c r="J123" s="11"/>
      <c r="K123" s="11"/>
      <c r="L123" s="11"/>
      <c r="M123" s="11"/>
      <c r="N123" s="11"/>
      <c r="O123" s="12"/>
      <c r="P123" s="11"/>
      <c r="Q123" s="13"/>
      <c r="R123" s="14"/>
    </row>
    <row r="124" spans="1:18" ht="15" customHeight="1" x14ac:dyDescent="0.3">
      <c r="A124" s="15" t="s">
        <v>26</v>
      </c>
      <c r="B124" s="15" t="s">
        <v>222</v>
      </c>
      <c r="C124" s="16">
        <v>0.99305555555555547</v>
      </c>
      <c r="D124" s="15" t="s">
        <v>34</v>
      </c>
      <c r="E124" s="15" t="s">
        <v>39</v>
      </c>
      <c r="F124" s="15" t="s">
        <v>233</v>
      </c>
      <c r="G124" s="257"/>
      <c r="H124" s="10"/>
      <c r="I124" s="11"/>
      <c r="J124" s="11"/>
      <c r="K124" s="11"/>
      <c r="L124" s="11"/>
      <c r="M124" s="11"/>
      <c r="N124" s="11"/>
      <c r="O124" s="12"/>
      <c r="P124" s="11"/>
      <c r="Q124" s="13"/>
      <c r="R124" s="14"/>
    </row>
    <row r="125" spans="1:18" ht="15" customHeight="1" x14ac:dyDescent="0.3">
      <c r="A125" s="17" t="s">
        <v>26</v>
      </c>
      <c r="B125" s="17" t="s">
        <v>228</v>
      </c>
      <c r="C125" s="18">
        <v>0.83680555555555547</v>
      </c>
      <c r="D125" s="17" t="s">
        <v>28</v>
      </c>
      <c r="E125" s="17" t="s">
        <v>223</v>
      </c>
      <c r="F125" s="17" t="s">
        <v>319</v>
      </c>
      <c r="G125" s="257"/>
      <c r="H125" s="10"/>
      <c r="I125" s="11"/>
      <c r="J125" s="11"/>
      <c r="K125" s="11"/>
      <c r="L125" s="11"/>
      <c r="M125" s="11"/>
      <c r="N125" s="11"/>
      <c r="O125" s="12"/>
      <c r="P125" s="11"/>
      <c r="Q125" s="13"/>
      <c r="R125" s="14"/>
    </row>
    <row r="126" spans="1:18" ht="15" customHeight="1" x14ac:dyDescent="0.3">
      <c r="A126" s="15" t="s">
        <v>26</v>
      </c>
      <c r="B126" s="15" t="s">
        <v>228</v>
      </c>
      <c r="C126" s="16">
        <v>0.83680555555555547</v>
      </c>
      <c r="D126" s="15" t="s">
        <v>31</v>
      </c>
      <c r="E126" s="15" t="s">
        <v>32</v>
      </c>
      <c r="F126" s="15" t="s">
        <v>320</v>
      </c>
      <c r="G126" s="257"/>
      <c r="H126" s="10"/>
      <c r="I126" s="11"/>
      <c r="J126" s="11"/>
      <c r="K126" s="11"/>
      <c r="L126" s="11"/>
      <c r="M126" s="11"/>
      <c r="N126" s="11"/>
      <c r="O126" s="12"/>
      <c r="P126" s="11"/>
      <c r="Q126" s="13"/>
      <c r="R126" s="14"/>
    </row>
    <row r="127" spans="1:18" ht="15" customHeight="1" x14ac:dyDescent="0.3">
      <c r="A127" s="15" t="s">
        <v>26</v>
      </c>
      <c r="B127" s="15" t="s">
        <v>228</v>
      </c>
      <c r="C127" s="16">
        <v>0.83680555555555547</v>
      </c>
      <c r="D127" s="15" t="s">
        <v>34</v>
      </c>
      <c r="E127" s="15" t="s">
        <v>32</v>
      </c>
      <c r="F127" s="15" t="s">
        <v>321</v>
      </c>
      <c r="G127" s="257"/>
      <c r="H127" s="10"/>
      <c r="I127" s="11"/>
      <c r="J127" s="11"/>
      <c r="K127" s="11"/>
      <c r="L127" s="11"/>
      <c r="M127" s="11"/>
      <c r="N127" s="11"/>
      <c r="O127" s="12"/>
      <c r="P127" s="11"/>
      <c r="Q127" s="13"/>
      <c r="R127" s="14"/>
    </row>
    <row r="128" spans="1:18" ht="15" customHeight="1" x14ac:dyDescent="0.3">
      <c r="A128" s="17" t="s">
        <v>26</v>
      </c>
      <c r="B128" s="17" t="s">
        <v>231</v>
      </c>
      <c r="C128" s="18">
        <v>0.34722222222222232</v>
      </c>
      <c r="D128" s="17" t="s">
        <v>28</v>
      </c>
      <c r="E128" s="17" t="s">
        <v>223</v>
      </c>
      <c r="F128" s="17" t="s">
        <v>319</v>
      </c>
      <c r="G128" s="257"/>
      <c r="H128" s="10"/>
      <c r="I128" s="11"/>
      <c r="J128" s="11"/>
      <c r="K128" s="11"/>
      <c r="L128" s="11"/>
      <c r="M128" s="11"/>
      <c r="N128" s="11"/>
      <c r="O128" s="12"/>
      <c r="P128" s="11"/>
      <c r="Q128" s="13"/>
      <c r="R128" s="14"/>
    </row>
    <row r="129" spans="1:18" ht="15" customHeight="1" x14ac:dyDescent="0.3">
      <c r="A129" s="15" t="s">
        <v>26</v>
      </c>
      <c r="B129" s="15" t="s">
        <v>231</v>
      </c>
      <c r="C129" s="16">
        <v>0.34722222222222232</v>
      </c>
      <c r="D129" s="15" t="s">
        <v>31</v>
      </c>
      <c r="E129" s="15" t="s">
        <v>32</v>
      </c>
      <c r="F129" s="15" t="s">
        <v>320</v>
      </c>
      <c r="G129" s="257"/>
      <c r="H129" s="10"/>
      <c r="I129" s="11"/>
      <c r="J129" s="11"/>
      <c r="K129" s="11"/>
      <c r="L129" s="11"/>
      <c r="M129" s="11"/>
      <c r="N129" s="11"/>
      <c r="O129" s="12"/>
      <c r="P129" s="11"/>
      <c r="Q129" s="13"/>
      <c r="R129" s="14"/>
    </row>
    <row r="130" spans="1:18" ht="15" customHeight="1" x14ac:dyDescent="0.3">
      <c r="A130" s="15" t="s">
        <v>26</v>
      </c>
      <c r="B130" s="15" t="s">
        <v>231</v>
      </c>
      <c r="C130" s="16">
        <v>0.34722222222222232</v>
      </c>
      <c r="D130" s="15" t="s">
        <v>34</v>
      </c>
      <c r="E130" s="15" t="s">
        <v>32</v>
      </c>
      <c r="F130" s="15" t="s">
        <v>321</v>
      </c>
      <c r="G130" s="257"/>
      <c r="H130" s="10"/>
      <c r="I130" s="11"/>
      <c r="J130" s="11"/>
      <c r="K130" s="11"/>
      <c r="L130" s="11"/>
      <c r="M130" s="11"/>
      <c r="N130" s="11"/>
      <c r="O130" s="12"/>
      <c r="P130" s="11"/>
      <c r="Q130" s="13"/>
      <c r="R130" s="14"/>
    </row>
    <row r="131" spans="1:18" ht="15" customHeight="1" x14ac:dyDescent="0.3">
      <c r="A131" s="165" t="s">
        <v>78</v>
      </c>
      <c r="B131" s="165" t="s">
        <v>247</v>
      </c>
      <c r="C131" s="166">
        <v>0.15625</v>
      </c>
      <c r="D131" s="165" t="s">
        <v>98</v>
      </c>
      <c r="E131" s="165" t="s">
        <v>99</v>
      </c>
      <c r="F131" s="165" t="s">
        <v>291</v>
      </c>
      <c r="G131" s="257"/>
      <c r="H131" s="139" t="s">
        <v>248</v>
      </c>
      <c r="I131" s="140">
        <v>0.98870000000000002</v>
      </c>
      <c r="J131" s="141">
        <v>175</v>
      </c>
      <c r="K131" s="142">
        <v>45979</v>
      </c>
      <c r="L131" s="141">
        <v>46</v>
      </c>
      <c r="M131" s="141">
        <v>0</v>
      </c>
      <c r="N131" s="141">
        <v>1</v>
      </c>
      <c r="O131" s="143" t="s">
        <v>322</v>
      </c>
      <c r="P131" s="144">
        <v>0.15625</v>
      </c>
      <c r="Q131" s="141">
        <v>177</v>
      </c>
      <c r="R131" s="145" t="s">
        <v>323</v>
      </c>
    </row>
    <row r="132" spans="1:18" ht="15" customHeight="1" x14ac:dyDescent="0.3">
      <c r="A132" s="156" t="s">
        <v>78</v>
      </c>
      <c r="B132" s="156" t="s">
        <v>251</v>
      </c>
      <c r="C132" s="157">
        <v>0.90625</v>
      </c>
      <c r="D132" s="156" t="s">
        <v>98</v>
      </c>
      <c r="E132" s="156" t="s">
        <v>72</v>
      </c>
      <c r="F132" s="156" t="s">
        <v>239</v>
      </c>
      <c r="G132" s="257"/>
      <c r="H132" s="158" t="s">
        <v>253</v>
      </c>
      <c r="I132" s="167">
        <v>0.86109999999999998</v>
      </c>
      <c r="J132" s="160">
        <v>155</v>
      </c>
      <c r="K132" s="161">
        <v>45980</v>
      </c>
      <c r="L132" s="160">
        <v>105</v>
      </c>
      <c r="M132" s="160">
        <v>1</v>
      </c>
      <c r="N132" s="160">
        <v>14</v>
      </c>
      <c r="O132" s="162" t="s">
        <v>324</v>
      </c>
      <c r="P132" s="163">
        <v>0.90625</v>
      </c>
      <c r="Q132" s="160">
        <v>180</v>
      </c>
      <c r="R132" s="164" t="s">
        <v>325</v>
      </c>
    </row>
    <row r="133" spans="1:18" ht="15" customHeight="1" x14ac:dyDescent="0.3">
      <c r="A133" s="126" t="s">
        <v>78</v>
      </c>
      <c r="B133" s="126" t="s">
        <v>240</v>
      </c>
      <c r="C133" s="127">
        <v>4.8611111111111112E-2</v>
      </c>
      <c r="D133" s="126" t="s">
        <v>80</v>
      </c>
      <c r="E133" s="128"/>
      <c r="F133" s="126" t="s">
        <v>81</v>
      </c>
      <c r="G133" s="257"/>
      <c r="H133" s="129" t="s">
        <v>240</v>
      </c>
      <c r="I133" s="130">
        <v>1</v>
      </c>
      <c r="J133" s="131">
        <v>180</v>
      </c>
      <c r="K133" s="132">
        <v>45980</v>
      </c>
      <c r="L133" s="131">
        <v>38</v>
      </c>
      <c r="M133" s="131">
        <v>1</v>
      </c>
      <c r="N133" s="131">
        <v>11</v>
      </c>
      <c r="O133" s="133" t="s">
        <v>82</v>
      </c>
      <c r="P133" s="134">
        <v>4.8611111111111112E-2</v>
      </c>
      <c r="Q133" s="131">
        <v>180</v>
      </c>
      <c r="R133" s="135" t="s">
        <v>326</v>
      </c>
    </row>
    <row r="134" spans="1:18" ht="15" customHeight="1" x14ac:dyDescent="0.3">
      <c r="A134" s="168" t="s">
        <v>78</v>
      </c>
      <c r="B134" s="168" t="s">
        <v>256</v>
      </c>
      <c r="C134" s="169">
        <v>0.50347222222222221</v>
      </c>
      <c r="D134" s="168" t="s">
        <v>80</v>
      </c>
      <c r="E134" s="170"/>
      <c r="F134" s="168" t="s">
        <v>81</v>
      </c>
      <c r="G134" s="257"/>
      <c r="H134" s="87" t="s">
        <v>256</v>
      </c>
      <c r="I134" s="88">
        <v>0.99439999999999995</v>
      </c>
      <c r="J134" s="89">
        <v>179</v>
      </c>
      <c r="K134" s="90">
        <v>45977</v>
      </c>
      <c r="L134" s="89">
        <v>23</v>
      </c>
      <c r="M134" s="89">
        <v>0</v>
      </c>
      <c r="N134" s="89">
        <v>0</v>
      </c>
      <c r="O134" s="91" t="s">
        <v>82</v>
      </c>
      <c r="P134" s="92">
        <v>0.50347222222222221</v>
      </c>
      <c r="Q134" s="89">
        <v>180</v>
      </c>
      <c r="R134" s="93" t="s">
        <v>327</v>
      </c>
    </row>
    <row r="135" spans="1:18" ht="15" customHeight="1" x14ac:dyDescent="0.3">
      <c r="A135" s="19" t="s">
        <v>328</v>
      </c>
      <c r="B135" s="19" t="s">
        <v>329</v>
      </c>
      <c r="C135" s="20">
        <v>9.7222222222222224E-2</v>
      </c>
      <c r="D135" s="19" t="s">
        <v>98</v>
      </c>
      <c r="E135" s="19" t="s">
        <v>45</v>
      </c>
      <c r="F135" s="19" t="s">
        <v>330</v>
      </c>
      <c r="G135" s="257"/>
      <c r="H135" s="10"/>
      <c r="I135" s="11"/>
      <c r="J135" s="11"/>
      <c r="K135" s="11"/>
      <c r="L135" s="11"/>
      <c r="M135" s="11"/>
      <c r="N135" s="11"/>
      <c r="O135" s="12"/>
      <c r="P135" s="11"/>
      <c r="Q135" s="13"/>
      <c r="R135" s="14"/>
    </row>
    <row r="136" spans="1:18" ht="15" customHeight="1" x14ac:dyDescent="0.3">
      <c r="A136" s="19" t="s">
        <v>235</v>
      </c>
      <c r="B136" s="19" t="s">
        <v>236</v>
      </c>
      <c r="C136" s="20">
        <v>0.49305555555555558</v>
      </c>
      <c r="D136" s="19" t="s">
        <v>98</v>
      </c>
      <c r="E136" s="19" t="s">
        <v>54</v>
      </c>
      <c r="F136" s="19" t="s">
        <v>331</v>
      </c>
      <c r="G136" s="257"/>
      <c r="H136" s="10"/>
      <c r="I136" s="11"/>
      <c r="J136" s="11"/>
      <c r="K136" s="11"/>
      <c r="L136" s="11"/>
      <c r="M136" s="11"/>
      <c r="N136" s="11"/>
      <c r="O136" s="12"/>
      <c r="P136" s="11"/>
      <c r="Q136" s="13"/>
      <c r="R136" s="14"/>
    </row>
    <row r="137" spans="1:18" ht="15" customHeight="1" x14ac:dyDescent="0.3">
      <c r="A137" s="19" t="s">
        <v>260</v>
      </c>
      <c r="B137" s="19" t="s">
        <v>261</v>
      </c>
      <c r="C137" s="20">
        <v>0.12847222222222221</v>
      </c>
      <c r="D137" s="19" t="s">
        <v>262</v>
      </c>
      <c r="E137" s="19" t="s">
        <v>332</v>
      </c>
      <c r="F137" s="19" t="s">
        <v>333</v>
      </c>
      <c r="G137" s="257"/>
      <c r="H137" s="10"/>
      <c r="I137" s="11"/>
      <c r="J137" s="11"/>
      <c r="K137" s="11"/>
      <c r="L137" s="11"/>
      <c r="M137" s="11"/>
      <c r="N137" s="11"/>
      <c r="O137" s="12"/>
      <c r="P137" s="11"/>
      <c r="Q137" s="13"/>
      <c r="R137" s="14"/>
    </row>
    <row r="138" spans="1:18" ht="15" customHeight="1" x14ac:dyDescent="0.3">
      <c r="A138" s="15" t="s">
        <v>260</v>
      </c>
      <c r="B138" s="15" t="s">
        <v>261</v>
      </c>
      <c r="C138" s="16">
        <v>0.12847222222222221</v>
      </c>
      <c r="D138" s="15" t="s">
        <v>49</v>
      </c>
      <c r="E138" s="15" t="s">
        <v>318</v>
      </c>
      <c r="F138" s="15" t="s">
        <v>334</v>
      </c>
      <c r="G138" s="257"/>
      <c r="H138" s="10"/>
      <c r="I138" s="11"/>
      <c r="J138" s="11"/>
      <c r="K138" s="11"/>
      <c r="L138" s="11"/>
      <c r="M138" s="11"/>
      <c r="N138" s="11"/>
      <c r="O138" s="12"/>
      <c r="P138" s="11"/>
      <c r="Q138" s="13"/>
      <c r="R138" s="14"/>
    </row>
    <row r="139" spans="1:18" ht="15" customHeight="1" x14ac:dyDescent="0.3">
      <c r="A139" s="17" t="s">
        <v>260</v>
      </c>
      <c r="B139" s="17" t="s">
        <v>335</v>
      </c>
      <c r="C139" s="18">
        <v>5.5555555555555552E-2</v>
      </c>
      <c r="D139" s="17" t="s">
        <v>262</v>
      </c>
      <c r="E139" s="17" t="s">
        <v>225</v>
      </c>
      <c r="F139" s="17" t="s">
        <v>333</v>
      </c>
      <c r="G139" s="257"/>
      <c r="H139" s="10"/>
      <c r="I139" s="11"/>
      <c r="J139" s="11"/>
      <c r="K139" s="11"/>
      <c r="L139" s="11"/>
      <c r="M139" s="11"/>
      <c r="N139" s="11"/>
      <c r="O139" s="12"/>
      <c r="P139" s="11"/>
      <c r="Q139" s="13"/>
      <c r="R139" s="14"/>
    </row>
    <row r="140" spans="1:18" ht="15" customHeight="1" x14ac:dyDescent="0.3">
      <c r="A140" s="15" t="s">
        <v>260</v>
      </c>
      <c r="B140" s="15" t="s">
        <v>335</v>
      </c>
      <c r="C140" s="16">
        <v>5.5555555555555552E-2</v>
      </c>
      <c r="D140" s="15" t="s">
        <v>49</v>
      </c>
      <c r="E140" s="15" t="s">
        <v>226</v>
      </c>
      <c r="F140" s="15" t="s">
        <v>334</v>
      </c>
      <c r="G140" s="257"/>
      <c r="H140" s="10"/>
      <c r="I140" s="11"/>
      <c r="J140" s="11"/>
      <c r="K140" s="11"/>
      <c r="L140" s="11"/>
      <c r="M140" s="11"/>
      <c r="N140" s="11"/>
      <c r="O140" s="12"/>
      <c r="P140" s="11"/>
      <c r="Q140" s="13"/>
      <c r="R140" s="14"/>
    </row>
    <row r="141" spans="1:18" ht="15" customHeight="1" x14ac:dyDescent="0.3">
      <c r="A141" s="19" t="s">
        <v>67</v>
      </c>
      <c r="B141" s="19" t="s">
        <v>336</v>
      </c>
      <c r="C141" s="20">
        <v>0.36805555555555558</v>
      </c>
      <c r="D141" s="19" t="s">
        <v>69</v>
      </c>
      <c r="E141" s="19" t="s">
        <v>54</v>
      </c>
      <c r="F141" s="19" t="s">
        <v>305</v>
      </c>
      <c r="G141" s="257"/>
      <c r="H141" s="10"/>
      <c r="I141" s="11"/>
      <c r="J141" s="11"/>
      <c r="K141" s="11"/>
      <c r="L141" s="11"/>
      <c r="M141" s="11"/>
      <c r="N141" s="11"/>
      <c r="O141" s="12"/>
      <c r="P141" s="11"/>
      <c r="Q141" s="13"/>
      <c r="R141" s="14"/>
    </row>
    <row r="142" spans="1:18" ht="15" customHeight="1" x14ac:dyDescent="0.3">
      <c r="A142" s="17" t="s">
        <v>67</v>
      </c>
      <c r="B142" s="17" t="s">
        <v>279</v>
      </c>
      <c r="C142" s="18">
        <v>0.78472222222222221</v>
      </c>
      <c r="D142" s="17" t="s">
        <v>69</v>
      </c>
      <c r="E142" s="17" t="s">
        <v>72</v>
      </c>
      <c r="F142" s="17" t="s">
        <v>305</v>
      </c>
      <c r="G142" s="257"/>
      <c r="H142" s="10"/>
      <c r="I142" s="11"/>
      <c r="J142" s="11"/>
      <c r="K142" s="11"/>
      <c r="L142" s="11"/>
      <c r="M142" s="11"/>
      <c r="N142" s="11"/>
      <c r="O142" s="12"/>
      <c r="P142" s="11"/>
      <c r="Q142" s="13"/>
      <c r="R142" s="14"/>
    </row>
    <row r="143" spans="1:18" ht="15" customHeight="1" x14ac:dyDescent="0.3">
      <c r="A143" s="17" t="s">
        <v>67</v>
      </c>
      <c r="B143" s="17" t="s">
        <v>288</v>
      </c>
      <c r="C143" s="18">
        <v>0.83680555555555547</v>
      </c>
      <c r="D143" s="17" t="s">
        <v>69</v>
      </c>
      <c r="E143" s="17" t="s">
        <v>72</v>
      </c>
      <c r="F143" s="17" t="s">
        <v>306</v>
      </c>
      <c r="G143" s="257"/>
      <c r="H143" s="10"/>
      <c r="I143" s="11"/>
      <c r="J143" s="11"/>
      <c r="K143" s="11"/>
      <c r="L143" s="11"/>
      <c r="M143" s="11"/>
      <c r="N143" s="11"/>
      <c r="O143" s="12"/>
      <c r="P143" s="11"/>
      <c r="Q143" s="13"/>
      <c r="R143" s="14"/>
    </row>
    <row r="144" spans="1:18" ht="15" customHeight="1" x14ac:dyDescent="0.3">
      <c r="A144" s="17" t="s">
        <v>67</v>
      </c>
      <c r="B144" s="17" t="s">
        <v>281</v>
      </c>
      <c r="C144" s="18">
        <v>0.59722222222222221</v>
      </c>
      <c r="D144" s="17" t="s">
        <v>69</v>
      </c>
      <c r="E144" s="17" t="s">
        <v>72</v>
      </c>
      <c r="F144" s="17" t="s">
        <v>307</v>
      </c>
      <c r="G144" s="257"/>
      <c r="H144" s="10"/>
      <c r="I144" s="11"/>
      <c r="J144" s="11"/>
      <c r="K144" s="11"/>
      <c r="L144" s="11"/>
      <c r="M144" s="11"/>
      <c r="N144" s="11"/>
      <c r="O144" s="12"/>
      <c r="P144" s="11"/>
      <c r="Q144" s="13"/>
      <c r="R144" s="14"/>
    </row>
    <row r="145" spans="1:18" ht="15" customHeight="1" x14ac:dyDescent="0.3">
      <c r="A145" s="17" t="s">
        <v>67</v>
      </c>
      <c r="B145" s="17" t="s">
        <v>286</v>
      </c>
      <c r="C145" s="18">
        <v>4.8611111111111112E-2</v>
      </c>
      <c r="D145" s="17" t="s">
        <v>69</v>
      </c>
      <c r="E145" s="17" t="s">
        <v>72</v>
      </c>
      <c r="F145" s="17" t="s">
        <v>307</v>
      </c>
      <c r="G145" s="257"/>
      <c r="H145" s="10"/>
      <c r="I145" s="11"/>
      <c r="J145" s="11"/>
      <c r="K145" s="11"/>
      <c r="L145" s="11"/>
      <c r="M145" s="11"/>
      <c r="N145" s="11"/>
      <c r="O145" s="12"/>
      <c r="P145" s="11"/>
      <c r="Q145" s="13"/>
      <c r="R145" s="14"/>
    </row>
    <row r="146" spans="1:18" ht="15" customHeight="1" x14ac:dyDescent="0.3">
      <c r="A146" s="17" t="s">
        <v>67</v>
      </c>
      <c r="B146" s="17" t="s">
        <v>283</v>
      </c>
      <c r="C146" s="18">
        <v>0.1041666666666667</v>
      </c>
      <c r="D146" s="17" t="s">
        <v>69</v>
      </c>
      <c r="E146" s="17" t="s">
        <v>72</v>
      </c>
      <c r="F146" s="17" t="s">
        <v>280</v>
      </c>
      <c r="G146" s="257"/>
      <c r="H146" s="10"/>
      <c r="I146" s="11"/>
      <c r="J146" s="11"/>
      <c r="K146" s="11"/>
      <c r="L146" s="11"/>
      <c r="M146" s="11"/>
      <c r="N146" s="11"/>
      <c r="O146" s="12"/>
      <c r="P146" s="11"/>
      <c r="Q146" s="13"/>
      <c r="R146" s="14"/>
    </row>
    <row r="147" spans="1:18" ht="15" customHeight="1" x14ac:dyDescent="0.3">
      <c r="A147" s="17" t="s">
        <v>67</v>
      </c>
      <c r="B147" s="17" t="s">
        <v>284</v>
      </c>
      <c r="C147" s="18">
        <v>0.97222222222222221</v>
      </c>
      <c r="D147" s="17" t="s">
        <v>69</v>
      </c>
      <c r="E147" s="17" t="s">
        <v>72</v>
      </c>
      <c r="F147" s="17" t="s">
        <v>337</v>
      </c>
      <c r="G147" s="257"/>
      <c r="H147" s="10"/>
      <c r="I147" s="11"/>
      <c r="J147" s="11"/>
      <c r="K147" s="11"/>
      <c r="L147" s="11"/>
      <c r="M147" s="11"/>
      <c r="N147" s="11"/>
      <c r="O147" s="12"/>
      <c r="P147" s="11"/>
      <c r="Q147" s="13"/>
      <c r="R147" s="14"/>
    </row>
    <row r="148" spans="1:18" ht="15" customHeight="1" x14ac:dyDescent="0.3">
      <c r="A148" s="17" t="s">
        <v>67</v>
      </c>
      <c r="B148" s="17" t="s">
        <v>308</v>
      </c>
      <c r="C148" s="18">
        <v>0.3125</v>
      </c>
      <c r="D148" s="17" t="s">
        <v>69</v>
      </c>
      <c r="E148" s="17" t="s">
        <v>94</v>
      </c>
      <c r="F148" s="17" t="s">
        <v>282</v>
      </c>
      <c r="G148" s="257"/>
      <c r="H148" s="10"/>
      <c r="I148" s="11"/>
      <c r="J148" s="11"/>
      <c r="K148" s="11"/>
      <c r="L148" s="11"/>
      <c r="M148" s="11"/>
      <c r="N148" s="11"/>
      <c r="O148" s="12"/>
      <c r="P148" s="11"/>
      <c r="Q148" s="13"/>
      <c r="R148" s="14"/>
    </row>
    <row r="149" spans="1:18" ht="15" customHeight="1" x14ac:dyDescent="0.3">
      <c r="A149" s="19" t="s">
        <v>51</v>
      </c>
      <c r="B149" s="19" t="s">
        <v>272</v>
      </c>
      <c r="C149" s="20">
        <v>0.11805555555555559</v>
      </c>
      <c r="D149" s="19" t="s">
        <v>56</v>
      </c>
      <c r="E149" s="19" t="s">
        <v>99</v>
      </c>
      <c r="F149" s="19" t="s">
        <v>266</v>
      </c>
      <c r="G149" s="257"/>
      <c r="H149" s="10"/>
      <c r="I149" s="11"/>
      <c r="J149" s="11"/>
      <c r="K149" s="11"/>
      <c r="L149" s="11"/>
      <c r="M149" s="11"/>
      <c r="N149" s="11"/>
      <c r="O149" s="12"/>
      <c r="P149" s="11"/>
      <c r="Q149" s="13"/>
      <c r="R149" s="14"/>
    </row>
    <row r="150" spans="1:18" ht="15" customHeight="1" x14ac:dyDescent="0.3">
      <c r="A150" s="17" t="s">
        <v>51</v>
      </c>
      <c r="B150" s="17" t="s">
        <v>274</v>
      </c>
      <c r="C150" s="18">
        <v>0.25347222222222221</v>
      </c>
      <c r="D150" s="17" t="s">
        <v>56</v>
      </c>
      <c r="E150" s="17" t="s">
        <v>72</v>
      </c>
      <c r="F150" s="17" t="s">
        <v>266</v>
      </c>
      <c r="G150" s="257"/>
      <c r="H150" s="10"/>
      <c r="I150" s="11"/>
      <c r="J150" s="11"/>
      <c r="K150" s="11"/>
      <c r="L150" s="11"/>
      <c r="M150" s="11"/>
      <c r="N150" s="11"/>
      <c r="O150" s="12"/>
      <c r="P150" s="11"/>
      <c r="Q150" s="13"/>
      <c r="R150" s="14"/>
    </row>
    <row r="151" spans="1:18" ht="15" customHeight="1" x14ac:dyDescent="0.3">
      <c r="A151" s="17" t="s">
        <v>51</v>
      </c>
      <c r="B151" s="17" t="s">
        <v>265</v>
      </c>
      <c r="C151" s="18">
        <v>0.94097222222222221</v>
      </c>
      <c r="D151" s="17" t="s">
        <v>56</v>
      </c>
      <c r="E151" s="17" t="s">
        <v>285</v>
      </c>
      <c r="F151" s="17" t="s">
        <v>266</v>
      </c>
      <c r="G151" s="257"/>
      <c r="H151" s="10"/>
      <c r="I151" s="11"/>
      <c r="J151" s="11"/>
      <c r="K151" s="11"/>
      <c r="L151" s="11"/>
      <c r="M151" s="11"/>
      <c r="N151" s="11"/>
      <c r="O151" s="12"/>
      <c r="P151" s="11"/>
      <c r="Q151" s="13"/>
      <c r="R151" s="14"/>
    </row>
    <row r="152" spans="1:18" ht="15" customHeight="1" x14ac:dyDescent="0.3">
      <c r="A152" s="17" t="s">
        <v>51</v>
      </c>
      <c r="B152" s="17" t="s">
        <v>310</v>
      </c>
      <c r="C152" s="18">
        <v>0.48958333333333331</v>
      </c>
      <c r="D152" s="17" t="s">
        <v>56</v>
      </c>
      <c r="E152" s="17" t="s">
        <v>65</v>
      </c>
      <c r="F152" s="17" t="s">
        <v>266</v>
      </c>
      <c r="G152" s="257"/>
      <c r="H152" s="10"/>
      <c r="I152" s="11"/>
      <c r="J152" s="11"/>
      <c r="K152" s="11"/>
      <c r="L152" s="11"/>
      <c r="M152" s="11"/>
      <c r="N152" s="11"/>
      <c r="O152" s="12"/>
      <c r="P152" s="11"/>
      <c r="Q152" s="13"/>
      <c r="R152" s="14"/>
    </row>
    <row r="153" spans="1:18" ht="15" customHeight="1" x14ac:dyDescent="0.3">
      <c r="A153" s="17" t="s">
        <v>51</v>
      </c>
      <c r="B153" s="17" t="s">
        <v>276</v>
      </c>
      <c r="C153" s="18">
        <v>0.70486111111111116</v>
      </c>
      <c r="D153" s="17" t="s">
        <v>56</v>
      </c>
      <c r="E153" s="17" t="s">
        <v>37</v>
      </c>
      <c r="F153" s="17" t="s">
        <v>266</v>
      </c>
      <c r="G153" s="257"/>
      <c r="H153" s="10"/>
      <c r="I153" s="11"/>
      <c r="J153" s="11"/>
      <c r="K153" s="11"/>
      <c r="L153" s="11"/>
      <c r="M153" s="11"/>
      <c r="N153" s="11"/>
      <c r="O153" s="12"/>
      <c r="P153" s="11"/>
      <c r="Q153" s="13"/>
      <c r="R153" s="14"/>
    </row>
    <row r="154" spans="1:18" ht="15" customHeight="1" x14ac:dyDescent="0.3">
      <c r="A154" s="17" t="s">
        <v>51</v>
      </c>
      <c r="B154" s="17" t="s">
        <v>267</v>
      </c>
      <c r="C154" s="18">
        <v>0.98958333333333337</v>
      </c>
      <c r="D154" s="17" t="s">
        <v>56</v>
      </c>
      <c r="E154" s="17" t="s">
        <v>62</v>
      </c>
      <c r="F154" s="17" t="s">
        <v>268</v>
      </c>
      <c r="G154" s="257"/>
      <c r="H154" s="10"/>
      <c r="I154" s="11"/>
      <c r="J154" s="11"/>
      <c r="K154" s="11"/>
      <c r="L154" s="11"/>
      <c r="M154" s="11"/>
      <c r="N154" s="11"/>
      <c r="O154" s="12"/>
      <c r="P154" s="11"/>
      <c r="Q154" s="13"/>
      <c r="R154" s="14"/>
    </row>
    <row r="155" spans="1:18" ht="15" customHeight="1" x14ac:dyDescent="0.3">
      <c r="A155" s="17" t="s">
        <v>51</v>
      </c>
      <c r="B155" s="17" t="s">
        <v>269</v>
      </c>
      <c r="C155" s="18">
        <v>0.88888888888888884</v>
      </c>
      <c r="D155" s="17" t="s">
        <v>56</v>
      </c>
      <c r="E155" s="17" t="s">
        <v>62</v>
      </c>
      <c r="F155" s="17" t="s">
        <v>268</v>
      </c>
      <c r="G155" s="257"/>
      <c r="H155" s="10"/>
      <c r="I155" s="11"/>
      <c r="J155" s="11"/>
      <c r="K155" s="11"/>
      <c r="L155" s="11"/>
      <c r="M155" s="11"/>
      <c r="N155" s="11"/>
      <c r="O155" s="12"/>
      <c r="P155" s="11"/>
      <c r="Q155" s="13"/>
      <c r="R155" s="14"/>
    </row>
    <row r="156" spans="1:18" ht="15" customHeight="1" x14ac:dyDescent="0.3">
      <c r="A156" s="17" t="s">
        <v>51</v>
      </c>
      <c r="B156" s="17" t="s">
        <v>270</v>
      </c>
      <c r="C156" s="18">
        <v>0.39930555555555558</v>
      </c>
      <c r="D156" s="17" t="s">
        <v>56</v>
      </c>
      <c r="E156" s="17" t="s">
        <v>62</v>
      </c>
      <c r="F156" s="17" t="s">
        <v>268</v>
      </c>
      <c r="G156" s="257"/>
      <c r="H156" s="10"/>
      <c r="I156" s="11"/>
      <c r="J156" s="11"/>
      <c r="K156" s="11"/>
      <c r="L156" s="11"/>
      <c r="M156" s="11"/>
      <c r="N156" s="11"/>
      <c r="O156" s="12"/>
      <c r="P156" s="11"/>
      <c r="Q156" s="13"/>
      <c r="R156" s="14"/>
    </row>
    <row r="157" spans="1:18" ht="15" customHeight="1" x14ac:dyDescent="0.3">
      <c r="A157" s="17" t="s">
        <v>51</v>
      </c>
      <c r="B157" s="17" t="s">
        <v>271</v>
      </c>
      <c r="C157" s="18">
        <v>0.48958333333333331</v>
      </c>
      <c r="D157" s="17" t="s">
        <v>56</v>
      </c>
      <c r="E157" s="17" t="s">
        <v>62</v>
      </c>
      <c r="F157" s="17" t="s">
        <v>268</v>
      </c>
      <c r="G157" s="257"/>
      <c r="H157" s="10"/>
      <c r="I157" s="11"/>
      <c r="J157" s="11"/>
      <c r="K157" s="11"/>
      <c r="L157" s="11"/>
      <c r="M157" s="11"/>
      <c r="N157" s="11"/>
      <c r="O157" s="12"/>
      <c r="P157" s="11"/>
      <c r="Q157" s="13"/>
      <c r="R157" s="14"/>
    </row>
    <row r="158" spans="1:18" ht="15" customHeight="1" x14ac:dyDescent="0.3">
      <c r="A158" s="17" t="s">
        <v>51</v>
      </c>
      <c r="B158" s="17" t="s">
        <v>275</v>
      </c>
      <c r="C158" s="18">
        <v>0.82986111111111116</v>
      </c>
      <c r="D158" s="17" t="s">
        <v>56</v>
      </c>
      <c r="E158" s="17" t="s">
        <v>72</v>
      </c>
      <c r="F158" s="17" t="s">
        <v>338</v>
      </c>
      <c r="G158" s="257"/>
      <c r="H158" s="10"/>
      <c r="I158" s="11"/>
      <c r="J158" s="11"/>
      <c r="K158" s="11"/>
      <c r="L158" s="11"/>
      <c r="M158" s="11"/>
      <c r="N158" s="11"/>
      <c r="O158" s="12"/>
      <c r="P158" s="11"/>
      <c r="Q158" s="13"/>
      <c r="R158" s="14"/>
    </row>
    <row r="159" spans="1:18" ht="15" customHeight="1" x14ac:dyDescent="0.3">
      <c r="A159" s="39" t="s">
        <v>51</v>
      </c>
      <c r="B159" s="39" t="s">
        <v>309</v>
      </c>
      <c r="C159" s="40">
        <v>4.1666666666666657E-2</v>
      </c>
      <c r="D159" s="39" t="s">
        <v>56</v>
      </c>
      <c r="E159" s="39" t="s">
        <v>37</v>
      </c>
      <c r="F159" s="39" t="s">
        <v>273</v>
      </c>
      <c r="G159" s="258"/>
      <c r="H159" s="41"/>
      <c r="I159" s="42"/>
      <c r="J159" s="42"/>
      <c r="K159" s="42"/>
      <c r="L159" s="42"/>
      <c r="M159" s="42"/>
      <c r="N159" s="42"/>
      <c r="O159" s="43"/>
      <c r="P159" s="42"/>
      <c r="Q159" s="44"/>
      <c r="R159" s="45"/>
    </row>
  </sheetData>
  <mergeCells count="18">
    <mergeCell ref="G98:G159"/>
    <mergeCell ref="A67:R67"/>
    <mergeCell ref="A96:F96"/>
    <mergeCell ref="H4:R4"/>
    <mergeCell ref="N1:R1"/>
    <mergeCell ref="H96:R96"/>
    <mergeCell ref="H68:R68"/>
    <mergeCell ref="G6:G66"/>
    <mergeCell ref="H1:L1"/>
    <mergeCell ref="A1:E1"/>
    <mergeCell ref="G2:J2"/>
    <mergeCell ref="K2:R2"/>
    <mergeCell ref="A4:F4"/>
    <mergeCell ref="A2:F2"/>
    <mergeCell ref="A3:R3"/>
    <mergeCell ref="G70:G94"/>
    <mergeCell ref="A68:F68"/>
    <mergeCell ref="A95:R95"/>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7"/>
  <sheetViews>
    <sheetView workbookViewId="0"/>
  </sheetViews>
  <sheetFormatPr defaultRowHeight="15.6" outlineLevelCol="1" x14ac:dyDescent="0.3"/>
  <cols>
    <col min="1" max="1" width="9.88671875" style="272" bestFit="1" customWidth="1"/>
    <col min="2" max="2" width="10.44140625" style="272" bestFit="1" customWidth="1"/>
    <col min="3" max="3" width="6.77734375" style="272" bestFit="1" customWidth="1"/>
    <col min="4" max="4" width="5.5546875" style="272" bestFit="1" customWidth="1"/>
    <col min="5" max="5" width="7.5546875" style="272" bestFit="1" customWidth="1"/>
    <col min="6" max="6" width="4.21875" style="272" bestFit="1" customWidth="1"/>
    <col min="7" max="7" width="10" style="272" bestFit="1" customWidth="1"/>
    <col min="8" max="9" width="8.5546875" style="272" bestFit="1" customWidth="1"/>
    <col min="10" max="10" width="7" style="272" bestFit="1" customWidth="1"/>
    <col min="11" max="11" width="10.5546875" style="272" bestFit="1" customWidth="1"/>
    <col min="12" max="12" width="9.109375" style="272" bestFit="1" customWidth="1"/>
    <col min="13" max="13" width="7.6640625" style="272" bestFit="1" customWidth="1" outlineLevel="1"/>
    <col min="14" max="14" width="7" style="272" bestFit="1" customWidth="1" outlineLevel="1"/>
    <col min="15" max="15" width="8" style="272" bestFit="1" customWidth="1" outlineLevel="1"/>
    <col min="16" max="16" width="13.6640625" style="272" bestFit="1" customWidth="1"/>
    <col min="17" max="25" width="3.88671875" style="272" bestFit="1" customWidth="1"/>
    <col min="26" max="26" width="4.109375" style="272" bestFit="1" customWidth="1"/>
    <col min="27" max="27" width="5" style="272" bestFit="1" customWidth="1"/>
    <col min="28" max="29" width="4.21875" style="272" bestFit="1" customWidth="1"/>
    <col min="30" max="31" width="4.5546875" style="272" bestFit="1" customWidth="1"/>
    <col min="32" max="32" width="3.88671875" style="272" bestFit="1" customWidth="1"/>
    <col min="33" max="33" width="4.21875" style="272" bestFit="1" customWidth="1"/>
    <col min="34" max="34" width="3.88671875" style="272" bestFit="1" customWidth="1"/>
    <col min="35" max="35" width="5.21875" style="272" bestFit="1" customWidth="1"/>
    <col min="36" max="36" width="3.88671875" style="272" bestFit="1" customWidth="1"/>
    <col min="37" max="16384" width="8.88671875" style="272"/>
  </cols>
  <sheetData>
    <row r="1" spans="1:36" x14ac:dyDescent="0.3">
      <c r="A1" s="271" t="s">
        <v>103</v>
      </c>
      <c r="B1" s="271" t="s">
        <v>104</v>
      </c>
      <c r="C1" s="271" t="s">
        <v>105</v>
      </c>
      <c r="D1" s="271" t="s">
        <v>23</v>
      </c>
      <c r="E1" s="271" t="s">
        <v>106</v>
      </c>
      <c r="F1" s="271" t="s">
        <v>107</v>
      </c>
      <c r="G1" s="271" t="s">
        <v>16</v>
      </c>
      <c r="H1" s="271" t="s">
        <v>108</v>
      </c>
      <c r="I1" s="271" t="s">
        <v>109</v>
      </c>
      <c r="J1" s="271" t="s">
        <v>110</v>
      </c>
      <c r="K1" s="271" t="s">
        <v>111</v>
      </c>
      <c r="L1" s="271" t="s">
        <v>18</v>
      </c>
      <c r="M1" s="271" t="s">
        <v>20</v>
      </c>
      <c r="N1" s="271" t="s">
        <v>21</v>
      </c>
      <c r="O1" s="271" t="s">
        <v>19</v>
      </c>
      <c r="P1" s="271" t="s">
        <v>22</v>
      </c>
      <c r="Q1" s="271" t="s">
        <v>112</v>
      </c>
      <c r="R1" s="271" t="s">
        <v>113</v>
      </c>
      <c r="S1" s="271" t="s">
        <v>114</v>
      </c>
      <c r="T1" s="271" t="s">
        <v>115</v>
      </c>
      <c r="U1" s="271" t="s">
        <v>116</v>
      </c>
      <c r="V1" s="271" t="s">
        <v>117</v>
      </c>
      <c r="W1" s="271" t="s">
        <v>118</v>
      </c>
      <c r="X1" s="271" t="s">
        <v>119</v>
      </c>
      <c r="Y1" s="271" t="s">
        <v>120</v>
      </c>
      <c r="Z1" s="271" t="s">
        <v>121</v>
      </c>
      <c r="AA1" s="271" t="s">
        <v>122</v>
      </c>
      <c r="AB1" s="271" t="s">
        <v>123</v>
      </c>
      <c r="AC1" s="271" t="s">
        <v>124</v>
      </c>
      <c r="AD1" s="271" t="s">
        <v>125</v>
      </c>
      <c r="AE1" s="271" t="s">
        <v>126</v>
      </c>
      <c r="AF1" s="271" t="s">
        <v>127</v>
      </c>
      <c r="AG1" s="271" t="s">
        <v>128</v>
      </c>
      <c r="AH1" s="271" t="s">
        <v>129</v>
      </c>
      <c r="AI1" s="271" t="s">
        <v>130</v>
      </c>
      <c r="AJ1" s="271" t="s">
        <v>131</v>
      </c>
    </row>
    <row r="2" spans="1:36" x14ac:dyDescent="0.3">
      <c r="A2" s="273" t="s">
        <v>132</v>
      </c>
      <c r="B2" s="274">
        <v>45981</v>
      </c>
      <c r="C2" s="275" t="s">
        <v>240</v>
      </c>
      <c r="D2" s="276" t="s">
        <v>156</v>
      </c>
      <c r="E2" s="275" t="s">
        <v>204</v>
      </c>
      <c r="F2" s="275" t="s">
        <v>134</v>
      </c>
      <c r="G2" s="277">
        <v>0.9385</v>
      </c>
      <c r="H2" s="278">
        <v>179</v>
      </c>
      <c r="I2" s="278">
        <v>168</v>
      </c>
      <c r="J2" s="278">
        <v>74</v>
      </c>
      <c r="K2" s="275" t="s">
        <v>135</v>
      </c>
      <c r="L2" s="279">
        <v>45979</v>
      </c>
      <c r="M2" s="278">
        <v>0</v>
      </c>
      <c r="N2" s="278">
        <v>2</v>
      </c>
      <c r="O2" s="278">
        <v>83</v>
      </c>
      <c r="P2" s="275" t="s">
        <v>241</v>
      </c>
      <c r="Q2" s="271"/>
      <c r="R2" s="271"/>
      <c r="S2" s="271"/>
      <c r="T2" s="271"/>
      <c r="U2" s="271"/>
      <c r="V2" s="271"/>
      <c r="W2" s="271"/>
      <c r="X2" s="271"/>
      <c r="Y2" s="271"/>
      <c r="Z2" s="278" t="s">
        <v>245</v>
      </c>
      <c r="AA2" s="278" t="s">
        <v>339</v>
      </c>
      <c r="AB2" s="278" t="s">
        <v>340</v>
      </c>
      <c r="AC2" s="278" t="s">
        <v>341</v>
      </c>
      <c r="AD2" s="278" t="s">
        <v>197</v>
      </c>
      <c r="AE2" s="278" t="s">
        <v>140</v>
      </c>
      <c r="AF2" s="278" t="s">
        <v>342</v>
      </c>
      <c r="AG2" s="278" t="s">
        <v>343</v>
      </c>
      <c r="AH2" s="271"/>
      <c r="AI2" s="278" t="s">
        <v>344</v>
      </c>
      <c r="AJ2" s="271"/>
    </row>
    <row r="3" spans="1:36" x14ac:dyDescent="0.3">
      <c r="A3" s="273" t="s">
        <v>132</v>
      </c>
      <c r="B3" s="274">
        <v>45981</v>
      </c>
      <c r="C3" s="275" t="s">
        <v>248</v>
      </c>
      <c r="D3" s="276" t="s">
        <v>345</v>
      </c>
      <c r="E3" s="275" t="s">
        <v>204</v>
      </c>
      <c r="F3" s="275" t="s">
        <v>134</v>
      </c>
      <c r="G3" s="277">
        <v>0.84440000000000004</v>
      </c>
      <c r="H3" s="278">
        <v>180</v>
      </c>
      <c r="I3" s="278">
        <v>152</v>
      </c>
      <c r="J3" s="278">
        <v>46</v>
      </c>
      <c r="K3" s="275" t="s">
        <v>135</v>
      </c>
      <c r="L3" s="279">
        <v>45980</v>
      </c>
      <c r="M3" s="278">
        <v>1</v>
      </c>
      <c r="N3" s="278">
        <v>3</v>
      </c>
      <c r="O3" s="278">
        <v>93</v>
      </c>
      <c r="P3" s="275" t="s">
        <v>249</v>
      </c>
      <c r="Q3" s="271"/>
      <c r="R3" s="271"/>
      <c r="S3" s="271"/>
      <c r="T3" s="271"/>
      <c r="U3" s="271"/>
      <c r="V3" s="271"/>
      <c r="W3" s="271"/>
      <c r="X3" s="271"/>
      <c r="Y3" s="278" t="s">
        <v>346</v>
      </c>
      <c r="Z3" s="278" t="s">
        <v>347</v>
      </c>
      <c r="AA3" s="278" t="s">
        <v>339</v>
      </c>
      <c r="AB3" s="278" t="s">
        <v>340</v>
      </c>
      <c r="AC3" s="278" t="s">
        <v>341</v>
      </c>
      <c r="AD3" s="278" t="s">
        <v>197</v>
      </c>
      <c r="AE3" s="278" t="s">
        <v>140</v>
      </c>
      <c r="AF3" s="278" t="s">
        <v>348</v>
      </c>
      <c r="AG3" s="271"/>
      <c r="AH3" s="271"/>
      <c r="AI3" s="278" t="s">
        <v>349</v>
      </c>
      <c r="AJ3" s="271"/>
    </row>
    <row r="4" spans="1:36" x14ac:dyDescent="0.3">
      <c r="A4" s="273" t="s">
        <v>132</v>
      </c>
      <c r="B4" s="274">
        <v>45981</v>
      </c>
      <c r="C4" s="275" t="s">
        <v>244</v>
      </c>
      <c r="D4" s="276" t="s">
        <v>350</v>
      </c>
      <c r="E4" s="275" t="s">
        <v>204</v>
      </c>
      <c r="F4" s="275" t="s">
        <v>134</v>
      </c>
      <c r="G4" s="277">
        <v>0.91110000000000002</v>
      </c>
      <c r="H4" s="278">
        <v>180</v>
      </c>
      <c r="I4" s="278">
        <v>164</v>
      </c>
      <c r="J4" s="278">
        <v>92</v>
      </c>
      <c r="K4" s="275" t="s">
        <v>135</v>
      </c>
      <c r="L4" s="279">
        <v>45979</v>
      </c>
      <c r="M4" s="278">
        <v>0</v>
      </c>
      <c r="N4" s="278">
        <v>2</v>
      </c>
      <c r="O4" s="278">
        <v>49</v>
      </c>
      <c r="P4" s="275" t="s">
        <v>245</v>
      </c>
      <c r="Q4" s="271"/>
      <c r="R4" s="271"/>
      <c r="S4" s="271"/>
      <c r="T4" s="271"/>
      <c r="U4" s="271"/>
      <c r="V4" s="271"/>
      <c r="W4" s="271"/>
      <c r="X4" s="278" t="s">
        <v>351</v>
      </c>
      <c r="Y4" s="271"/>
      <c r="Z4" s="278" t="s">
        <v>352</v>
      </c>
      <c r="AA4" s="278" t="s">
        <v>353</v>
      </c>
      <c r="AB4" s="278" t="s">
        <v>354</v>
      </c>
      <c r="AC4" s="278" t="s">
        <v>138</v>
      </c>
      <c r="AD4" s="278" t="s">
        <v>355</v>
      </c>
      <c r="AE4" s="278" t="s">
        <v>356</v>
      </c>
      <c r="AF4" s="278" t="s">
        <v>141</v>
      </c>
      <c r="AG4" s="271"/>
      <c r="AH4" s="271"/>
      <c r="AI4" s="278" t="s">
        <v>357</v>
      </c>
      <c r="AJ4" s="278" t="s">
        <v>358</v>
      </c>
    </row>
    <row r="5" spans="1:36" x14ac:dyDescent="0.3">
      <c r="A5" s="273" t="s">
        <v>132</v>
      </c>
      <c r="B5" s="274">
        <v>45981</v>
      </c>
      <c r="C5" s="275" t="s">
        <v>256</v>
      </c>
      <c r="D5" s="276" t="s">
        <v>359</v>
      </c>
      <c r="E5" s="275" t="s">
        <v>204</v>
      </c>
      <c r="F5" s="275" t="s">
        <v>134</v>
      </c>
      <c r="G5" s="277">
        <v>1.0111000000000001</v>
      </c>
      <c r="H5" s="278">
        <v>180</v>
      </c>
      <c r="I5" s="278">
        <v>182</v>
      </c>
      <c r="J5" s="278">
        <v>140</v>
      </c>
      <c r="K5" s="275" t="s">
        <v>135</v>
      </c>
      <c r="L5" s="279">
        <v>45972</v>
      </c>
      <c r="M5" s="278">
        <v>0</v>
      </c>
      <c r="N5" s="278">
        <v>0</v>
      </c>
      <c r="O5" s="278">
        <v>0</v>
      </c>
      <c r="P5" s="275" t="s">
        <v>82</v>
      </c>
      <c r="Q5" s="271"/>
      <c r="R5" s="271"/>
      <c r="S5" s="271"/>
      <c r="T5" s="271"/>
      <c r="U5" s="271"/>
      <c r="V5" s="271"/>
      <c r="W5" s="271"/>
      <c r="X5" s="271"/>
      <c r="Y5" s="271"/>
      <c r="Z5" s="278" t="s">
        <v>360</v>
      </c>
      <c r="AA5" s="271"/>
      <c r="AB5" s="271"/>
      <c r="AC5" s="278" t="s">
        <v>177</v>
      </c>
      <c r="AD5" s="271"/>
      <c r="AE5" s="278" t="s">
        <v>361</v>
      </c>
      <c r="AF5" s="278" t="s">
        <v>362</v>
      </c>
      <c r="AG5" s="271"/>
      <c r="AH5" s="271"/>
      <c r="AI5" s="278" t="s">
        <v>363</v>
      </c>
      <c r="AJ5" s="278" t="s">
        <v>364</v>
      </c>
    </row>
    <row r="6" spans="1:36" x14ac:dyDescent="0.3">
      <c r="A6" s="273" t="s">
        <v>132</v>
      </c>
      <c r="B6" s="274">
        <v>45981</v>
      </c>
      <c r="C6" s="275" t="s">
        <v>258</v>
      </c>
      <c r="D6" s="276" t="s">
        <v>365</v>
      </c>
      <c r="E6" s="275" t="s">
        <v>204</v>
      </c>
      <c r="F6" s="275" t="s">
        <v>134</v>
      </c>
      <c r="G6" s="277">
        <v>0.98329999999999995</v>
      </c>
      <c r="H6" s="278">
        <v>180</v>
      </c>
      <c r="I6" s="278">
        <v>177</v>
      </c>
      <c r="J6" s="278">
        <v>135</v>
      </c>
      <c r="K6" s="275" t="s">
        <v>135</v>
      </c>
      <c r="L6" s="279">
        <v>45974</v>
      </c>
      <c r="M6" s="278">
        <v>0</v>
      </c>
      <c r="N6" s="278">
        <v>0</v>
      </c>
      <c r="O6" s="278">
        <v>52</v>
      </c>
      <c r="P6" s="275" t="s">
        <v>82</v>
      </c>
      <c r="Q6" s="271"/>
      <c r="R6" s="271"/>
      <c r="S6" s="271"/>
      <c r="T6" s="271"/>
      <c r="U6" s="271"/>
      <c r="V6" s="271"/>
      <c r="W6" s="271"/>
      <c r="X6" s="271"/>
      <c r="Y6" s="271"/>
      <c r="Z6" s="278" t="s">
        <v>193</v>
      </c>
      <c r="AA6" s="271"/>
      <c r="AB6" s="278" t="s">
        <v>366</v>
      </c>
      <c r="AC6" s="278" t="s">
        <v>367</v>
      </c>
      <c r="AD6" s="278" t="s">
        <v>355</v>
      </c>
      <c r="AE6" s="278" t="s">
        <v>368</v>
      </c>
      <c r="AF6" s="278" t="s">
        <v>369</v>
      </c>
      <c r="AG6" s="271"/>
      <c r="AH6" s="271"/>
      <c r="AI6" s="278" t="s">
        <v>370</v>
      </c>
      <c r="AJ6" s="271"/>
    </row>
    <row r="7" spans="1:36" x14ac:dyDescent="0.3">
      <c r="A7" s="273" t="s">
        <v>132</v>
      </c>
      <c r="B7" s="274">
        <v>45981</v>
      </c>
      <c r="C7" s="275" t="s">
        <v>253</v>
      </c>
      <c r="D7" s="276" t="s">
        <v>371</v>
      </c>
      <c r="E7" s="275" t="s">
        <v>204</v>
      </c>
      <c r="F7" s="275" t="s">
        <v>134</v>
      </c>
      <c r="G7" s="277">
        <v>0.82220000000000004</v>
      </c>
      <c r="H7" s="278">
        <v>180</v>
      </c>
      <c r="I7" s="278">
        <v>148</v>
      </c>
      <c r="J7" s="278">
        <v>30</v>
      </c>
      <c r="K7" s="275" t="s">
        <v>135</v>
      </c>
      <c r="L7" s="279">
        <v>45980</v>
      </c>
      <c r="M7" s="278">
        <v>1</v>
      </c>
      <c r="N7" s="278">
        <v>9</v>
      </c>
      <c r="O7" s="278">
        <v>50</v>
      </c>
      <c r="P7" s="275" t="s">
        <v>254</v>
      </c>
      <c r="Q7" s="271"/>
      <c r="R7" s="271"/>
      <c r="S7" s="271"/>
      <c r="T7" s="271"/>
      <c r="U7" s="271"/>
      <c r="V7" s="271"/>
      <c r="W7" s="271"/>
      <c r="X7" s="271"/>
      <c r="Y7" s="271"/>
      <c r="Z7" s="278" t="s">
        <v>372</v>
      </c>
      <c r="AA7" s="278" t="s">
        <v>373</v>
      </c>
      <c r="AB7" s="278" t="s">
        <v>340</v>
      </c>
      <c r="AC7" s="278" t="s">
        <v>341</v>
      </c>
      <c r="AD7" s="278" t="s">
        <v>197</v>
      </c>
      <c r="AE7" s="278" t="s">
        <v>140</v>
      </c>
      <c r="AF7" s="278" t="s">
        <v>374</v>
      </c>
      <c r="AG7" s="278" t="s">
        <v>375</v>
      </c>
      <c r="AH7" s="271"/>
      <c r="AI7" s="271"/>
      <c r="AJ7" s="278" t="s">
        <v>376</v>
      </c>
    </row>
    <row r="8" spans="1:36" x14ac:dyDescent="0.3">
      <c r="A8" s="273" t="s">
        <v>377</v>
      </c>
      <c r="B8" s="274">
        <v>45982</v>
      </c>
      <c r="C8" s="275" t="s">
        <v>248</v>
      </c>
      <c r="D8" s="276" t="s">
        <v>378</v>
      </c>
      <c r="E8" s="275" t="s">
        <v>204</v>
      </c>
      <c r="F8" s="275" t="s">
        <v>134</v>
      </c>
      <c r="G8" s="277">
        <v>0.62780000000000002</v>
      </c>
      <c r="H8" s="278">
        <v>180</v>
      </c>
      <c r="I8" s="278">
        <v>113</v>
      </c>
      <c r="J8" s="278">
        <v>0</v>
      </c>
      <c r="K8" s="275" t="s">
        <v>135</v>
      </c>
      <c r="L8" s="279">
        <v>45980</v>
      </c>
      <c r="M8" s="278">
        <v>1</v>
      </c>
      <c r="N8" s="278">
        <v>4</v>
      </c>
      <c r="O8" s="278">
        <v>59</v>
      </c>
      <c r="P8" s="275" t="s">
        <v>294</v>
      </c>
      <c r="Q8" s="271"/>
      <c r="R8" s="271"/>
      <c r="S8" s="271"/>
      <c r="T8" s="271"/>
      <c r="U8" s="271"/>
      <c r="V8" s="271"/>
      <c r="W8" s="271"/>
      <c r="X8" s="271"/>
      <c r="Y8" s="271"/>
      <c r="Z8" s="278" t="s">
        <v>241</v>
      </c>
      <c r="AA8" s="278" t="s">
        <v>301</v>
      </c>
      <c r="AB8" s="278" t="s">
        <v>379</v>
      </c>
      <c r="AC8" s="278" t="s">
        <v>138</v>
      </c>
      <c r="AD8" s="278" t="s">
        <v>197</v>
      </c>
      <c r="AE8" s="278" t="s">
        <v>380</v>
      </c>
      <c r="AF8" s="278" t="s">
        <v>381</v>
      </c>
      <c r="AG8" s="271"/>
      <c r="AH8" s="271"/>
      <c r="AI8" s="271"/>
      <c r="AJ8" s="271"/>
    </row>
    <row r="9" spans="1:36" x14ac:dyDescent="0.3">
      <c r="A9" s="273" t="s">
        <v>377</v>
      </c>
      <c r="B9" s="274">
        <v>45982</v>
      </c>
      <c r="C9" s="275" t="s">
        <v>256</v>
      </c>
      <c r="D9" s="276" t="s">
        <v>382</v>
      </c>
      <c r="E9" s="275" t="s">
        <v>204</v>
      </c>
      <c r="F9" s="275" t="s">
        <v>134</v>
      </c>
      <c r="G9" s="277">
        <v>0.81669999999999998</v>
      </c>
      <c r="H9" s="278">
        <v>180</v>
      </c>
      <c r="I9" s="278">
        <v>147</v>
      </c>
      <c r="J9" s="278">
        <v>41</v>
      </c>
      <c r="K9" s="275" t="s">
        <v>135</v>
      </c>
      <c r="L9" s="279">
        <v>45980</v>
      </c>
      <c r="M9" s="278">
        <v>4</v>
      </c>
      <c r="N9" s="278">
        <v>65</v>
      </c>
      <c r="O9" s="278">
        <v>120</v>
      </c>
      <c r="P9" s="275" t="s">
        <v>292</v>
      </c>
      <c r="Q9" s="271"/>
      <c r="R9" s="271"/>
      <c r="S9" s="271"/>
      <c r="T9" s="271"/>
      <c r="U9" s="271"/>
      <c r="V9" s="271"/>
      <c r="W9" s="271"/>
      <c r="X9" s="271"/>
      <c r="Y9" s="271"/>
      <c r="Z9" s="278" t="s">
        <v>383</v>
      </c>
      <c r="AA9" s="278" t="s">
        <v>353</v>
      </c>
      <c r="AB9" s="278" t="s">
        <v>384</v>
      </c>
      <c r="AC9" s="278" t="s">
        <v>385</v>
      </c>
      <c r="AD9" s="278" t="s">
        <v>197</v>
      </c>
      <c r="AE9" s="278" t="s">
        <v>356</v>
      </c>
      <c r="AF9" s="278" t="s">
        <v>141</v>
      </c>
      <c r="AG9" s="271"/>
      <c r="AH9" s="271"/>
      <c r="AI9" s="278" t="s">
        <v>386</v>
      </c>
      <c r="AJ9" s="271"/>
    </row>
    <row r="10" spans="1:36" x14ac:dyDescent="0.3">
      <c r="A10" s="273" t="s">
        <v>377</v>
      </c>
      <c r="B10" s="274">
        <v>45982</v>
      </c>
      <c r="C10" s="275" t="s">
        <v>258</v>
      </c>
      <c r="D10" s="276" t="s">
        <v>387</v>
      </c>
      <c r="E10" s="275" t="s">
        <v>204</v>
      </c>
      <c r="F10" s="275" t="s">
        <v>134</v>
      </c>
      <c r="G10" s="277">
        <v>0.65559999999999996</v>
      </c>
      <c r="H10" s="278">
        <v>180</v>
      </c>
      <c r="I10" s="278">
        <v>118</v>
      </c>
      <c r="J10" s="278">
        <v>50</v>
      </c>
      <c r="K10" s="275" t="s">
        <v>135</v>
      </c>
      <c r="L10" s="279">
        <v>45980</v>
      </c>
      <c r="M10" s="278">
        <v>4</v>
      </c>
      <c r="N10" s="278">
        <v>3</v>
      </c>
      <c r="O10" s="278">
        <v>43</v>
      </c>
      <c r="P10" s="275" t="s">
        <v>193</v>
      </c>
      <c r="Q10" s="271"/>
      <c r="R10" s="271"/>
      <c r="S10" s="271"/>
      <c r="T10" s="271"/>
      <c r="U10" s="271"/>
      <c r="V10" s="271"/>
      <c r="W10" s="271"/>
      <c r="X10" s="271"/>
      <c r="Y10" s="271"/>
      <c r="Z10" s="278" t="s">
        <v>249</v>
      </c>
      <c r="AA10" s="278" t="s">
        <v>353</v>
      </c>
      <c r="AB10" s="278" t="s">
        <v>354</v>
      </c>
      <c r="AC10" s="278" t="s">
        <v>138</v>
      </c>
      <c r="AD10" s="278" t="s">
        <v>355</v>
      </c>
      <c r="AE10" s="278" t="s">
        <v>388</v>
      </c>
      <c r="AF10" s="278" t="s">
        <v>389</v>
      </c>
      <c r="AG10" s="271"/>
      <c r="AH10" s="271"/>
      <c r="AI10" s="278" t="s">
        <v>390</v>
      </c>
      <c r="AJ10" s="271"/>
    </row>
    <row r="11" spans="1:36" x14ac:dyDescent="0.3">
      <c r="A11" s="273" t="s">
        <v>377</v>
      </c>
      <c r="B11" s="274">
        <v>45982</v>
      </c>
      <c r="C11" s="275" t="s">
        <v>297</v>
      </c>
      <c r="D11" s="276" t="s">
        <v>391</v>
      </c>
      <c r="E11" s="275" t="s">
        <v>204</v>
      </c>
      <c r="F11" s="275" t="s">
        <v>134</v>
      </c>
      <c r="G11" s="277">
        <v>0.60560000000000003</v>
      </c>
      <c r="H11" s="278">
        <v>180</v>
      </c>
      <c r="I11" s="278">
        <v>109</v>
      </c>
      <c r="J11" s="278">
        <v>0</v>
      </c>
      <c r="K11" s="275" t="s">
        <v>135</v>
      </c>
      <c r="L11" s="279">
        <v>45980</v>
      </c>
      <c r="M11" s="278">
        <v>1</v>
      </c>
      <c r="N11" s="278">
        <v>4</v>
      </c>
      <c r="O11" s="278">
        <v>52</v>
      </c>
      <c r="P11" s="275" t="s">
        <v>194</v>
      </c>
      <c r="Q11" s="271"/>
      <c r="R11" s="271"/>
      <c r="S11" s="271"/>
      <c r="T11" s="271"/>
      <c r="U11" s="271"/>
      <c r="V11" s="271"/>
      <c r="W11" s="271"/>
      <c r="X11" s="271"/>
      <c r="Y11" s="271"/>
      <c r="Z11" s="271"/>
      <c r="AA11" s="278" t="s">
        <v>353</v>
      </c>
      <c r="AB11" s="278" t="s">
        <v>392</v>
      </c>
      <c r="AC11" s="278" t="s">
        <v>393</v>
      </c>
      <c r="AD11" s="278" t="s">
        <v>139</v>
      </c>
      <c r="AE11" s="278" t="s">
        <v>394</v>
      </c>
      <c r="AF11" s="278" t="s">
        <v>395</v>
      </c>
      <c r="AG11" s="271"/>
      <c r="AH11" s="271"/>
      <c r="AI11" s="271"/>
      <c r="AJ11" s="271"/>
    </row>
    <row r="12" spans="1:36" x14ac:dyDescent="0.3">
      <c r="A12" s="273" t="s">
        <v>377</v>
      </c>
      <c r="B12" s="274">
        <v>45982</v>
      </c>
      <c r="C12" s="275" t="s">
        <v>300</v>
      </c>
      <c r="D12" s="276" t="s">
        <v>396</v>
      </c>
      <c r="E12" s="275" t="s">
        <v>204</v>
      </c>
      <c r="F12" s="275" t="s">
        <v>134</v>
      </c>
      <c r="G12" s="277">
        <v>0.77969999999999995</v>
      </c>
      <c r="H12" s="278">
        <v>177</v>
      </c>
      <c r="I12" s="278">
        <v>138</v>
      </c>
      <c r="J12" s="278">
        <v>0</v>
      </c>
      <c r="K12" s="275" t="s">
        <v>135</v>
      </c>
      <c r="L12" s="279">
        <v>45980</v>
      </c>
      <c r="M12" s="278">
        <v>6</v>
      </c>
      <c r="N12" s="278">
        <v>26</v>
      </c>
      <c r="O12" s="278">
        <v>88</v>
      </c>
      <c r="P12" s="275" t="s">
        <v>301</v>
      </c>
      <c r="Q12" s="271"/>
      <c r="R12" s="271"/>
      <c r="S12" s="271"/>
      <c r="T12" s="271"/>
      <c r="U12" s="271"/>
      <c r="V12" s="271"/>
      <c r="W12" s="271"/>
      <c r="X12" s="271"/>
      <c r="Y12" s="271"/>
      <c r="Z12" s="271"/>
      <c r="AA12" s="278" t="s">
        <v>397</v>
      </c>
      <c r="AB12" s="278" t="s">
        <v>384</v>
      </c>
      <c r="AC12" s="278" t="s">
        <v>398</v>
      </c>
      <c r="AD12" s="278" t="s">
        <v>197</v>
      </c>
      <c r="AE12" s="278" t="s">
        <v>380</v>
      </c>
      <c r="AF12" s="278" t="s">
        <v>399</v>
      </c>
      <c r="AG12" s="271"/>
      <c r="AH12" s="271"/>
      <c r="AI12" s="271"/>
      <c r="AJ12" s="271"/>
    </row>
    <row r="13" spans="1:36" x14ac:dyDescent="0.3">
      <c r="A13" s="273" t="s">
        <v>144</v>
      </c>
      <c r="B13" s="274">
        <v>45983</v>
      </c>
      <c r="C13" s="275" t="s">
        <v>240</v>
      </c>
      <c r="D13" s="276" t="s">
        <v>400</v>
      </c>
      <c r="E13" s="275" t="s">
        <v>204</v>
      </c>
      <c r="F13" s="275" t="s">
        <v>134</v>
      </c>
      <c r="G13" s="277">
        <v>1</v>
      </c>
      <c r="H13" s="278">
        <v>180</v>
      </c>
      <c r="I13" s="278">
        <v>180</v>
      </c>
      <c r="J13" s="278">
        <v>113</v>
      </c>
      <c r="K13" s="275" t="s">
        <v>135</v>
      </c>
      <c r="L13" s="279">
        <v>45980</v>
      </c>
      <c r="M13" s="278">
        <v>1</v>
      </c>
      <c r="N13" s="278">
        <v>11</v>
      </c>
      <c r="O13" s="278">
        <v>38</v>
      </c>
      <c r="P13" s="275" t="s">
        <v>82</v>
      </c>
      <c r="Q13" s="271"/>
      <c r="R13" s="271"/>
      <c r="S13" s="271"/>
      <c r="T13" s="271"/>
      <c r="U13" s="271"/>
      <c r="V13" s="271"/>
      <c r="W13" s="271"/>
      <c r="X13" s="271"/>
      <c r="Y13" s="271"/>
      <c r="Z13" s="278" t="s">
        <v>383</v>
      </c>
      <c r="AA13" s="271"/>
      <c r="AB13" s="278" t="s">
        <v>401</v>
      </c>
      <c r="AC13" s="278" t="s">
        <v>402</v>
      </c>
      <c r="AD13" s="278" t="s">
        <v>197</v>
      </c>
      <c r="AE13" s="278" t="s">
        <v>403</v>
      </c>
      <c r="AF13" s="278" t="s">
        <v>404</v>
      </c>
      <c r="AG13" s="278" t="s">
        <v>405</v>
      </c>
      <c r="AH13" s="271"/>
      <c r="AI13" s="278" t="s">
        <v>406</v>
      </c>
      <c r="AJ13" s="271"/>
    </row>
    <row r="14" spans="1:36" x14ac:dyDescent="0.3">
      <c r="A14" s="273" t="s">
        <v>144</v>
      </c>
      <c r="B14" s="274">
        <v>45983</v>
      </c>
      <c r="C14" s="275" t="s">
        <v>248</v>
      </c>
      <c r="D14" s="276" t="s">
        <v>345</v>
      </c>
      <c r="E14" s="275" t="s">
        <v>204</v>
      </c>
      <c r="F14" s="275" t="s">
        <v>134</v>
      </c>
      <c r="G14" s="277">
        <v>0.98870000000000002</v>
      </c>
      <c r="H14" s="278">
        <v>177</v>
      </c>
      <c r="I14" s="278">
        <v>175</v>
      </c>
      <c r="J14" s="278">
        <v>94</v>
      </c>
      <c r="K14" s="275" t="s">
        <v>135</v>
      </c>
      <c r="L14" s="279">
        <v>45979</v>
      </c>
      <c r="M14" s="278">
        <v>0</v>
      </c>
      <c r="N14" s="278">
        <v>1</v>
      </c>
      <c r="O14" s="278">
        <v>46</v>
      </c>
      <c r="P14" s="275" t="s">
        <v>322</v>
      </c>
      <c r="Q14" s="271"/>
      <c r="R14" s="271"/>
      <c r="S14" s="271"/>
      <c r="T14" s="271"/>
      <c r="U14" s="271"/>
      <c r="V14" s="271"/>
      <c r="W14" s="271"/>
      <c r="X14" s="271"/>
      <c r="Y14" s="271"/>
      <c r="Z14" s="278" t="s">
        <v>383</v>
      </c>
      <c r="AA14" s="278" t="s">
        <v>407</v>
      </c>
      <c r="AB14" s="278" t="s">
        <v>340</v>
      </c>
      <c r="AC14" s="278" t="s">
        <v>341</v>
      </c>
      <c r="AD14" s="278" t="s">
        <v>197</v>
      </c>
      <c r="AE14" s="278" t="s">
        <v>140</v>
      </c>
      <c r="AF14" s="278" t="s">
        <v>408</v>
      </c>
      <c r="AG14" s="271"/>
      <c r="AH14" s="271"/>
      <c r="AI14" s="278" t="s">
        <v>409</v>
      </c>
      <c r="AJ14" s="278" t="s">
        <v>358</v>
      </c>
    </row>
    <row r="15" spans="1:36" x14ac:dyDescent="0.3">
      <c r="A15" s="273" t="s">
        <v>144</v>
      </c>
      <c r="B15" s="274">
        <v>45983</v>
      </c>
      <c r="C15" s="275" t="s">
        <v>256</v>
      </c>
      <c r="D15" s="276" t="s">
        <v>410</v>
      </c>
      <c r="E15" s="275" t="s">
        <v>204</v>
      </c>
      <c r="F15" s="275" t="s">
        <v>134</v>
      </c>
      <c r="G15" s="277">
        <v>0.99439999999999995</v>
      </c>
      <c r="H15" s="278">
        <v>180</v>
      </c>
      <c r="I15" s="278">
        <v>179</v>
      </c>
      <c r="J15" s="278">
        <v>125</v>
      </c>
      <c r="K15" s="275" t="s">
        <v>135</v>
      </c>
      <c r="L15" s="279">
        <v>45977</v>
      </c>
      <c r="M15" s="278">
        <v>0</v>
      </c>
      <c r="N15" s="278">
        <v>0</v>
      </c>
      <c r="O15" s="278">
        <v>23</v>
      </c>
      <c r="P15" s="275" t="s">
        <v>82</v>
      </c>
      <c r="Q15" s="271"/>
      <c r="R15" s="271"/>
      <c r="S15" s="271"/>
      <c r="T15" s="271"/>
      <c r="U15" s="271"/>
      <c r="V15" s="271"/>
      <c r="W15" s="271"/>
      <c r="X15" s="271"/>
      <c r="Y15" s="278" t="s">
        <v>346</v>
      </c>
      <c r="Z15" s="278" t="s">
        <v>383</v>
      </c>
      <c r="AA15" s="271"/>
      <c r="AB15" s="271"/>
      <c r="AC15" s="278" t="s">
        <v>367</v>
      </c>
      <c r="AD15" s="278" t="s">
        <v>197</v>
      </c>
      <c r="AE15" s="278" t="s">
        <v>356</v>
      </c>
      <c r="AF15" s="278" t="s">
        <v>389</v>
      </c>
      <c r="AG15" s="271"/>
      <c r="AH15" s="271"/>
      <c r="AI15" s="278" t="s">
        <v>411</v>
      </c>
      <c r="AJ15" s="278" t="s">
        <v>376</v>
      </c>
    </row>
    <row r="16" spans="1:36" x14ac:dyDescent="0.3">
      <c r="A16" s="273" t="s">
        <v>144</v>
      </c>
      <c r="B16" s="274">
        <v>45983</v>
      </c>
      <c r="C16" s="275" t="s">
        <v>253</v>
      </c>
      <c r="D16" s="276" t="s">
        <v>412</v>
      </c>
      <c r="E16" s="275" t="s">
        <v>204</v>
      </c>
      <c r="F16" s="275" t="s">
        <v>134</v>
      </c>
      <c r="G16" s="277">
        <v>0.86109999999999998</v>
      </c>
      <c r="H16" s="278">
        <v>180</v>
      </c>
      <c r="I16" s="278">
        <v>155</v>
      </c>
      <c r="J16" s="278">
        <v>45</v>
      </c>
      <c r="K16" s="275" t="s">
        <v>135</v>
      </c>
      <c r="L16" s="279">
        <v>45980</v>
      </c>
      <c r="M16" s="278">
        <v>1</v>
      </c>
      <c r="N16" s="278">
        <v>14</v>
      </c>
      <c r="O16" s="278">
        <v>105</v>
      </c>
      <c r="P16" s="275" t="s">
        <v>324</v>
      </c>
      <c r="Q16" s="271"/>
      <c r="R16" s="271"/>
      <c r="S16" s="271"/>
      <c r="T16" s="271"/>
      <c r="U16" s="271"/>
      <c r="V16" s="271"/>
      <c r="W16" s="271"/>
      <c r="X16" s="271"/>
      <c r="Y16" s="271"/>
      <c r="Z16" s="278" t="s">
        <v>383</v>
      </c>
      <c r="AA16" s="278" t="s">
        <v>407</v>
      </c>
      <c r="AB16" s="278" t="s">
        <v>413</v>
      </c>
      <c r="AC16" s="278" t="s">
        <v>341</v>
      </c>
      <c r="AD16" s="278" t="s">
        <v>139</v>
      </c>
      <c r="AE16" s="278" t="s">
        <v>140</v>
      </c>
      <c r="AF16" s="278" t="s">
        <v>399</v>
      </c>
      <c r="AG16" s="271"/>
      <c r="AH16" s="271"/>
      <c r="AI16" s="278" t="s">
        <v>414</v>
      </c>
      <c r="AJ16" s="278" t="s">
        <v>376</v>
      </c>
    </row>
    <row r="17" spans="1:36" ht="21" x14ac:dyDescent="0.3">
      <c r="A17" s="280" t="s">
        <v>932</v>
      </c>
      <c r="B17" s="281"/>
      <c r="C17" s="280">
        <f>SUBTOTAL(103,CAI_JED_LF_LEGACY[Flt])</f>
        <v>15</v>
      </c>
      <c r="D17" s="280"/>
      <c r="E17" s="280">
        <f>SUBTOTAL(103,CAI_JED_LF_LEGACY[Brd-Off])</f>
        <v>15</v>
      </c>
      <c r="F17" s="280"/>
      <c r="G17" s="282">
        <f>SUBTOTAL(101,CAI_JED_LF_LEGACY[LF%])</f>
        <v>0.8560133333333334</v>
      </c>
      <c r="H17" s="283">
        <f>SUBTOTAL(109,CAI_JED_LF_LEGACY[CAP])</f>
        <v>2693</v>
      </c>
      <c r="I17" s="283">
        <f>SUBTOTAL(109,CAI_JED_LF_LEGACY[BKG(Y)])</f>
        <v>2305</v>
      </c>
      <c r="J17" s="283">
        <f>SUBTOTAL(109,CAI_JED_LF_LEGACY[GRP(Y)])</f>
        <v>985</v>
      </c>
      <c r="K17" s="280"/>
      <c r="L17" s="281"/>
      <c r="M17" s="283">
        <f>SUBTOTAL(109,CAI_JED_LF_LEGACY[TO-DAY])</f>
        <v>20</v>
      </c>
      <c r="N17" s="283">
        <f>SUBTOTAL(109,CAI_JED_LF_LEGACY[Y-DAY])</f>
        <v>144</v>
      </c>
      <c r="O17" s="283">
        <f>SUBTOTAL(109,CAI_JED_LF_LEGACY[WEEKLY])</f>
        <v>901</v>
      </c>
      <c r="P17" s="284"/>
      <c r="Q17" s="283">
        <f>SUBTOTAL(109,CAI_JED_LF_LEGACY[Y])</f>
        <v>0</v>
      </c>
      <c r="R17" s="283">
        <f>SUBTOTAL(109,CAI_JED_LF_LEGACY[B])</f>
        <v>0</v>
      </c>
      <c r="S17" s="283">
        <f>SUBTOTAL(109,CAI_JED_LF_LEGACY[M])</f>
        <v>0</v>
      </c>
      <c r="T17" s="283">
        <f>SUBTOTAL(109,CAI_JED_LF_LEGACY[H])</f>
        <v>0</v>
      </c>
      <c r="U17" s="283">
        <f>SUBTOTAL(109,CAI_JED_LF_LEGACY[Q])</f>
        <v>0</v>
      </c>
      <c r="V17" s="283">
        <f>SUBTOTAL(109,CAI_JED_LF_LEGACY[K])</f>
        <v>0</v>
      </c>
      <c r="W17" s="283">
        <f>SUBTOTAL(109,CAI_JED_LF_LEGACY[V])</f>
        <v>0</v>
      </c>
      <c r="X17" s="283">
        <f>SUBTOTAL(109,CAI_JED_LF_LEGACY[L])</f>
        <v>0</v>
      </c>
      <c r="Y17" s="283">
        <f>SUBTOTAL(109,CAI_JED_LF_LEGACY[G])</f>
        <v>0</v>
      </c>
      <c r="Z17" s="283">
        <f>SUBTOTAL(109,CAI_JED_LF_LEGACY[S])</f>
        <v>0</v>
      </c>
      <c r="AA17" s="283">
        <f>SUBTOTAL(109,CAI_JED_LF_LEGACY[W])</f>
        <v>0</v>
      </c>
      <c r="AB17" s="283">
        <f>SUBTOTAL(109,CAI_JED_LF_LEGACY[T])</f>
        <v>0</v>
      </c>
      <c r="AC17" s="283">
        <f>SUBTOTAL(109,CAI_JED_LF_LEGACY[X])</f>
        <v>0</v>
      </c>
      <c r="AD17" s="283">
        <f>SUBTOTAL(109,CAI_JED_LF_LEGACY[U])</f>
        <v>0</v>
      </c>
      <c r="AE17" s="283">
        <f>SUBTOTAL(109,CAI_JED_LF_LEGACY[O])</f>
        <v>0</v>
      </c>
      <c r="AF17" s="283">
        <f>SUBTOTAL(109,CAI_JED_LF_LEGACY[I])</f>
        <v>0</v>
      </c>
      <c r="AG17" s="283">
        <f>SUBTOTAL(109,CAI_JED_LF_LEGACY[E])</f>
        <v>0</v>
      </c>
      <c r="AH17" s="283">
        <f>SUBTOTAL(109,CAI_JED_LF_LEGACY[A])</f>
        <v>0</v>
      </c>
      <c r="AI17" s="283">
        <f>SUBTOTAL(109,CAI_JED_LF_LEGACY[P])</f>
        <v>0</v>
      </c>
      <c r="AJ17" s="283">
        <f>SUBTOTAL(103,CAI_JED_LF_LEGACY[N])</f>
        <v>6</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49"/>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4.88671875" hidden="1" customWidth="1"/>
  </cols>
  <sheetData>
    <row r="1" spans="1:8" ht="18" x14ac:dyDescent="0.3">
      <c r="A1" s="56" t="s">
        <v>149</v>
      </c>
      <c r="B1" s="57" t="s">
        <v>8</v>
      </c>
      <c r="C1" s="57" t="s">
        <v>9</v>
      </c>
      <c r="D1" s="57" t="s">
        <v>150</v>
      </c>
      <c r="E1" s="57" t="s">
        <v>10</v>
      </c>
      <c r="F1" s="57" t="s">
        <v>11</v>
      </c>
      <c r="G1" s="57" t="s">
        <v>12</v>
      </c>
      <c r="H1" s="58" t="s">
        <v>13</v>
      </c>
    </row>
    <row r="2" spans="1:8" ht="19.8" customHeight="1" x14ac:dyDescent="0.3">
      <c r="A2" s="59" t="s">
        <v>151</v>
      </c>
      <c r="B2" s="60" t="s">
        <v>42</v>
      </c>
      <c r="C2" s="61" t="s">
        <v>205</v>
      </c>
      <c r="D2" s="60" t="s">
        <v>204</v>
      </c>
      <c r="E2" s="60" t="s">
        <v>415</v>
      </c>
      <c r="F2" s="60" t="s">
        <v>44</v>
      </c>
      <c r="G2" s="62">
        <v>38</v>
      </c>
      <c r="H2" s="63" t="s">
        <v>207</v>
      </c>
    </row>
    <row r="3" spans="1:8" ht="19.8" customHeight="1" x14ac:dyDescent="0.3">
      <c r="A3" s="59" t="s">
        <v>151</v>
      </c>
      <c r="B3" s="60" t="s">
        <v>42</v>
      </c>
      <c r="C3" s="61" t="s">
        <v>211</v>
      </c>
      <c r="D3" s="60" t="s">
        <v>204</v>
      </c>
      <c r="E3" s="60" t="s">
        <v>416</v>
      </c>
      <c r="F3" s="60" t="s">
        <v>44</v>
      </c>
      <c r="G3" s="62">
        <v>39</v>
      </c>
      <c r="H3" s="63" t="s">
        <v>207</v>
      </c>
    </row>
    <row r="4" spans="1:8" ht="19.8" customHeight="1" x14ac:dyDescent="0.3">
      <c r="A4" s="59" t="s">
        <v>151</v>
      </c>
      <c r="B4" s="60" t="s">
        <v>42</v>
      </c>
      <c r="C4" s="61" t="s">
        <v>214</v>
      </c>
      <c r="D4" s="60" t="s">
        <v>204</v>
      </c>
      <c r="E4" s="60" t="s">
        <v>417</v>
      </c>
      <c r="F4" s="60" t="s">
        <v>44</v>
      </c>
      <c r="G4" s="62">
        <v>20</v>
      </c>
      <c r="H4" s="63" t="s">
        <v>207</v>
      </c>
    </row>
    <row r="5" spans="1:8" ht="19.8" customHeight="1" x14ac:dyDescent="0.3">
      <c r="A5" s="59" t="s">
        <v>151</v>
      </c>
      <c r="B5" s="60" t="s">
        <v>42</v>
      </c>
      <c r="C5" s="61" t="s">
        <v>216</v>
      </c>
      <c r="D5" s="60" t="s">
        <v>204</v>
      </c>
      <c r="E5" s="60" t="s">
        <v>418</v>
      </c>
      <c r="F5" s="60" t="s">
        <v>44</v>
      </c>
      <c r="G5" s="62">
        <v>15</v>
      </c>
      <c r="H5" s="63" t="s">
        <v>207</v>
      </c>
    </row>
    <row r="6" spans="1:8" ht="19.8" customHeight="1" x14ac:dyDescent="0.3">
      <c r="A6" s="59" t="s">
        <v>151</v>
      </c>
      <c r="B6" s="60" t="s">
        <v>26</v>
      </c>
      <c r="C6" s="61" t="s">
        <v>219</v>
      </c>
      <c r="D6" s="60" t="s">
        <v>204</v>
      </c>
      <c r="E6" s="60" t="s">
        <v>419</v>
      </c>
      <c r="F6" s="60" t="s">
        <v>28</v>
      </c>
      <c r="G6" s="62">
        <v>5</v>
      </c>
      <c r="H6" s="63" t="s">
        <v>89</v>
      </c>
    </row>
    <row r="7" spans="1:8" ht="19.8" customHeight="1" x14ac:dyDescent="0.3">
      <c r="A7" s="59" t="s">
        <v>151</v>
      </c>
      <c r="B7" s="60" t="s">
        <v>26</v>
      </c>
      <c r="C7" s="61" t="s">
        <v>222</v>
      </c>
      <c r="D7" s="60" t="s">
        <v>204</v>
      </c>
      <c r="E7" s="60" t="s">
        <v>420</v>
      </c>
      <c r="F7" s="60" t="s">
        <v>28</v>
      </c>
      <c r="G7" s="62">
        <v>9</v>
      </c>
      <c r="H7" s="63" t="s">
        <v>89</v>
      </c>
    </row>
    <row r="8" spans="1:8" ht="19.8" customHeight="1" x14ac:dyDescent="0.3">
      <c r="A8" s="59" t="s">
        <v>151</v>
      </c>
      <c r="B8" s="60" t="s">
        <v>26</v>
      </c>
      <c r="C8" s="61" t="s">
        <v>224</v>
      </c>
      <c r="D8" s="60" t="s">
        <v>204</v>
      </c>
      <c r="E8" s="60" t="s">
        <v>421</v>
      </c>
      <c r="F8" s="60" t="s">
        <v>28</v>
      </c>
      <c r="G8" s="62">
        <v>6</v>
      </c>
      <c r="H8" s="63" t="s">
        <v>46</v>
      </c>
    </row>
    <row r="9" spans="1:8" ht="19.8" customHeight="1" x14ac:dyDescent="0.3">
      <c r="A9" s="59" t="s">
        <v>151</v>
      </c>
      <c r="B9" s="60" t="s">
        <v>26</v>
      </c>
      <c r="C9" s="61" t="s">
        <v>228</v>
      </c>
      <c r="D9" s="60" t="s">
        <v>204</v>
      </c>
      <c r="E9" s="60" t="s">
        <v>422</v>
      </c>
      <c r="F9" s="60" t="s">
        <v>28</v>
      </c>
      <c r="G9" s="62">
        <v>1</v>
      </c>
      <c r="H9" s="63" t="s">
        <v>46</v>
      </c>
    </row>
    <row r="10" spans="1:8" ht="19.8" customHeight="1" x14ac:dyDescent="0.3">
      <c r="A10" s="59" t="s">
        <v>151</v>
      </c>
      <c r="B10" s="60" t="s">
        <v>26</v>
      </c>
      <c r="C10" s="61" t="s">
        <v>229</v>
      </c>
      <c r="D10" s="60" t="s">
        <v>204</v>
      </c>
      <c r="E10" s="60" t="s">
        <v>418</v>
      </c>
      <c r="F10" s="60" t="s">
        <v>28</v>
      </c>
      <c r="G10" s="62">
        <v>5</v>
      </c>
      <c r="H10" s="63" t="s">
        <v>46</v>
      </c>
    </row>
    <row r="11" spans="1:8" ht="19.8" customHeight="1" x14ac:dyDescent="0.3">
      <c r="A11" s="59" t="s">
        <v>151</v>
      </c>
      <c r="B11" s="60" t="s">
        <v>26</v>
      </c>
      <c r="C11" s="61" t="s">
        <v>231</v>
      </c>
      <c r="D11" s="60" t="s">
        <v>204</v>
      </c>
      <c r="E11" s="60" t="s">
        <v>423</v>
      </c>
      <c r="F11" s="60" t="s">
        <v>28</v>
      </c>
      <c r="G11" s="62">
        <v>5</v>
      </c>
      <c r="H11" s="63" t="s">
        <v>46</v>
      </c>
    </row>
    <row r="12" spans="1:8" ht="19.8" customHeight="1" x14ac:dyDescent="0.3">
      <c r="A12" s="59" t="s">
        <v>151</v>
      </c>
      <c r="B12" s="60" t="s">
        <v>26</v>
      </c>
      <c r="C12" s="61" t="s">
        <v>219</v>
      </c>
      <c r="D12" s="60" t="s">
        <v>204</v>
      </c>
      <c r="E12" s="60" t="s">
        <v>419</v>
      </c>
      <c r="F12" s="60" t="s">
        <v>31</v>
      </c>
      <c r="G12" s="62">
        <v>5</v>
      </c>
      <c r="H12" s="63" t="s">
        <v>220</v>
      </c>
    </row>
    <row r="13" spans="1:8" ht="19.8" customHeight="1" x14ac:dyDescent="0.3">
      <c r="A13" s="59" t="s">
        <v>151</v>
      </c>
      <c r="B13" s="60" t="s">
        <v>26</v>
      </c>
      <c r="C13" s="61" t="s">
        <v>232</v>
      </c>
      <c r="D13" s="60" t="s">
        <v>204</v>
      </c>
      <c r="E13" s="60" t="s">
        <v>424</v>
      </c>
      <c r="F13" s="60" t="s">
        <v>28</v>
      </c>
      <c r="G13" s="62">
        <v>9</v>
      </c>
      <c r="H13" s="63" t="s">
        <v>220</v>
      </c>
    </row>
    <row r="14" spans="1:8" ht="19.8" customHeight="1" x14ac:dyDescent="0.3">
      <c r="A14" s="59" t="s">
        <v>151</v>
      </c>
      <c r="B14" s="60" t="s">
        <v>26</v>
      </c>
      <c r="C14" s="61" t="s">
        <v>234</v>
      </c>
      <c r="D14" s="60" t="s">
        <v>204</v>
      </c>
      <c r="E14" s="60" t="s">
        <v>425</v>
      </c>
      <c r="F14" s="60" t="s">
        <v>28</v>
      </c>
      <c r="G14" s="62">
        <v>3</v>
      </c>
      <c r="H14" s="63" t="s">
        <v>220</v>
      </c>
    </row>
    <row r="15" spans="1:8" ht="19.8" customHeight="1" x14ac:dyDescent="0.3">
      <c r="A15" s="59" t="s">
        <v>151</v>
      </c>
      <c r="B15" s="60" t="s">
        <v>26</v>
      </c>
      <c r="C15" s="61" t="s">
        <v>222</v>
      </c>
      <c r="D15" s="60" t="s">
        <v>204</v>
      </c>
      <c r="E15" s="60" t="s">
        <v>420</v>
      </c>
      <c r="F15" s="60" t="s">
        <v>31</v>
      </c>
      <c r="G15" s="62">
        <v>9</v>
      </c>
      <c r="H15" s="63" t="s">
        <v>220</v>
      </c>
    </row>
    <row r="16" spans="1:8" ht="19.8" customHeight="1" x14ac:dyDescent="0.3">
      <c r="A16" s="59" t="s">
        <v>151</v>
      </c>
      <c r="B16" s="60" t="s">
        <v>235</v>
      </c>
      <c r="C16" s="61" t="s">
        <v>236</v>
      </c>
      <c r="D16" s="60" t="s">
        <v>204</v>
      </c>
      <c r="E16" s="60" t="s">
        <v>426</v>
      </c>
      <c r="F16" s="60" t="s">
        <v>98</v>
      </c>
      <c r="G16" s="62">
        <v>9</v>
      </c>
      <c r="H16" s="63" t="s">
        <v>237</v>
      </c>
    </row>
    <row r="17" spans="1:8" ht="19.8" customHeight="1" x14ac:dyDescent="0.3">
      <c r="A17" s="59" t="s">
        <v>151</v>
      </c>
      <c r="B17" s="60" t="s">
        <v>42</v>
      </c>
      <c r="C17" s="61" t="s">
        <v>205</v>
      </c>
      <c r="D17" s="60" t="s">
        <v>204</v>
      </c>
      <c r="E17" s="60" t="s">
        <v>415</v>
      </c>
      <c r="F17" s="60" t="s">
        <v>47</v>
      </c>
      <c r="G17" s="62">
        <v>38</v>
      </c>
      <c r="H17" s="63" t="s">
        <v>209</v>
      </c>
    </row>
    <row r="18" spans="1:8" ht="19.8" customHeight="1" x14ac:dyDescent="0.3">
      <c r="A18" s="59" t="s">
        <v>151</v>
      </c>
      <c r="B18" s="60" t="s">
        <v>42</v>
      </c>
      <c r="C18" s="61" t="s">
        <v>211</v>
      </c>
      <c r="D18" s="60" t="s">
        <v>204</v>
      </c>
      <c r="E18" s="60" t="s">
        <v>416</v>
      </c>
      <c r="F18" s="60" t="s">
        <v>47</v>
      </c>
      <c r="G18" s="62">
        <v>39</v>
      </c>
      <c r="H18" s="63" t="s">
        <v>209</v>
      </c>
    </row>
    <row r="19" spans="1:8" ht="19.8" customHeight="1" x14ac:dyDescent="0.3">
      <c r="A19" s="59" t="s">
        <v>151</v>
      </c>
      <c r="B19" s="60" t="s">
        <v>42</v>
      </c>
      <c r="C19" s="61" t="s">
        <v>214</v>
      </c>
      <c r="D19" s="60" t="s">
        <v>204</v>
      </c>
      <c r="E19" s="60" t="s">
        <v>417</v>
      </c>
      <c r="F19" s="60" t="s">
        <v>47</v>
      </c>
      <c r="G19" s="62">
        <v>20</v>
      </c>
      <c r="H19" s="63" t="s">
        <v>209</v>
      </c>
    </row>
    <row r="20" spans="1:8" ht="19.8" customHeight="1" x14ac:dyDescent="0.3">
      <c r="A20" s="59" t="s">
        <v>151</v>
      </c>
      <c r="B20" s="60" t="s">
        <v>42</v>
      </c>
      <c r="C20" s="61" t="s">
        <v>216</v>
      </c>
      <c r="D20" s="60" t="s">
        <v>204</v>
      </c>
      <c r="E20" s="60" t="s">
        <v>418</v>
      </c>
      <c r="F20" s="60" t="s">
        <v>47</v>
      </c>
      <c r="G20" s="62">
        <v>15</v>
      </c>
      <c r="H20" s="63" t="s">
        <v>209</v>
      </c>
    </row>
    <row r="21" spans="1:8" ht="19.8" customHeight="1" x14ac:dyDescent="0.3">
      <c r="A21" s="59" t="s">
        <v>151</v>
      </c>
      <c r="B21" s="60" t="s">
        <v>26</v>
      </c>
      <c r="C21" s="61" t="s">
        <v>224</v>
      </c>
      <c r="D21" s="60" t="s">
        <v>204</v>
      </c>
      <c r="E21" s="60" t="s">
        <v>421</v>
      </c>
      <c r="F21" s="60" t="s">
        <v>31</v>
      </c>
      <c r="G21" s="62">
        <v>6</v>
      </c>
      <c r="H21" s="63" t="s">
        <v>91</v>
      </c>
    </row>
    <row r="22" spans="1:8" ht="19.8" customHeight="1" x14ac:dyDescent="0.3">
      <c r="A22" s="59" t="s">
        <v>151</v>
      </c>
      <c r="B22" s="60" t="s">
        <v>26</v>
      </c>
      <c r="C22" s="61" t="s">
        <v>228</v>
      </c>
      <c r="D22" s="60" t="s">
        <v>204</v>
      </c>
      <c r="E22" s="60" t="s">
        <v>422</v>
      </c>
      <c r="F22" s="60" t="s">
        <v>31</v>
      </c>
      <c r="G22" s="62">
        <v>1</v>
      </c>
      <c r="H22" s="63" t="s">
        <v>91</v>
      </c>
    </row>
    <row r="23" spans="1:8" ht="19.8" customHeight="1" x14ac:dyDescent="0.3">
      <c r="A23" s="59" t="s">
        <v>151</v>
      </c>
      <c r="B23" s="60" t="s">
        <v>26</v>
      </c>
      <c r="C23" s="61" t="s">
        <v>229</v>
      </c>
      <c r="D23" s="60" t="s">
        <v>204</v>
      </c>
      <c r="E23" s="60" t="s">
        <v>418</v>
      </c>
      <c r="F23" s="60" t="s">
        <v>31</v>
      </c>
      <c r="G23" s="62">
        <v>5</v>
      </c>
      <c r="H23" s="63" t="s">
        <v>91</v>
      </c>
    </row>
    <row r="24" spans="1:8" ht="19.8" customHeight="1" x14ac:dyDescent="0.3">
      <c r="A24" s="59" t="s">
        <v>151</v>
      </c>
      <c r="B24" s="60" t="s">
        <v>26</v>
      </c>
      <c r="C24" s="61" t="s">
        <v>231</v>
      </c>
      <c r="D24" s="60" t="s">
        <v>204</v>
      </c>
      <c r="E24" s="60" t="s">
        <v>423</v>
      </c>
      <c r="F24" s="60" t="s">
        <v>31</v>
      </c>
      <c r="G24" s="62">
        <v>5</v>
      </c>
      <c r="H24" s="63" t="s">
        <v>91</v>
      </c>
    </row>
    <row r="25" spans="1:8" ht="19.8" customHeight="1" x14ac:dyDescent="0.3">
      <c r="A25" s="99" t="s">
        <v>151</v>
      </c>
      <c r="B25" s="77" t="s">
        <v>78</v>
      </c>
      <c r="C25" s="78" t="s">
        <v>238</v>
      </c>
      <c r="D25" s="77" t="s">
        <v>204</v>
      </c>
      <c r="E25" s="77" t="s">
        <v>156</v>
      </c>
      <c r="F25" s="77" t="s">
        <v>98</v>
      </c>
      <c r="G25" s="80">
        <v>5</v>
      </c>
      <c r="H25" s="81" t="s">
        <v>239</v>
      </c>
    </row>
    <row r="26" spans="1:8" ht="19.8" customHeight="1" x14ac:dyDescent="0.3">
      <c r="A26" s="76">
        <v>45981</v>
      </c>
      <c r="B26" s="77" t="s">
        <v>78</v>
      </c>
      <c r="C26" s="78" t="s">
        <v>243</v>
      </c>
      <c r="D26" s="77" t="s">
        <v>204</v>
      </c>
      <c r="E26" s="79">
        <v>1.1875</v>
      </c>
      <c r="F26" s="77" t="s">
        <v>98</v>
      </c>
      <c r="G26" s="80">
        <v>6</v>
      </c>
      <c r="H26" s="81" t="s">
        <v>239</v>
      </c>
    </row>
    <row r="27" spans="1:8" ht="19.8" customHeight="1" x14ac:dyDescent="0.3">
      <c r="A27" s="76">
        <v>45981</v>
      </c>
      <c r="B27" s="77" t="s">
        <v>78</v>
      </c>
      <c r="C27" s="78" t="s">
        <v>247</v>
      </c>
      <c r="D27" s="77" t="s">
        <v>204</v>
      </c>
      <c r="E27" s="79">
        <v>1.15625</v>
      </c>
      <c r="F27" s="77" t="s">
        <v>98</v>
      </c>
      <c r="G27" s="80">
        <v>3</v>
      </c>
      <c r="H27" s="81" t="s">
        <v>239</v>
      </c>
    </row>
    <row r="28" spans="1:8" ht="19.8" customHeight="1" x14ac:dyDescent="0.3">
      <c r="A28" s="68">
        <v>45981</v>
      </c>
      <c r="B28" s="60" t="s">
        <v>26</v>
      </c>
      <c r="C28" s="61" t="s">
        <v>219</v>
      </c>
      <c r="D28" s="60" t="s">
        <v>204</v>
      </c>
      <c r="E28" s="69">
        <v>1.944444444444444</v>
      </c>
      <c r="F28" s="60" t="s">
        <v>34</v>
      </c>
      <c r="G28" s="62">
        <v>5</v>
      </c>
      <c r="H28" s="63" t="s">
        <v>221</v>
      </c>
    </row>
    <row r="29" spans="1:8" ht="19.8" customHeight="1" x14ac:dyDescent="0.3">
      <c r="A29" s="68">
        <v>45981</v>
      </c>
      <c r="B29" s="60" t="s">
        <v>26</v>
      </c>
      <c r="C29" s="61" t="s">
        <v>222</v>
      </c>
      <c r="D29" s="60" t="s">
        <v>204</v>
      </c>
      <c r="E29" s="69">
        <v>1.993055555555556</v>
      </c>
      <c r="F29" s="60" t="s">
        <v>34</v>
      </c>
      <c r="G29" s="62">
        <v>9</v>
      </c>
      <c r="H29" s="63" t="s">
        <v>221</v>
      </c>
    </row>
    <row r="30" spans="1:8" ht="19.8" customHeight="1" x14ac:dyDescent="0.3">
      <c r="A30" s="68">
        <v>45981</v>
      </c>
      <c r="B30" s="60" t="s">
        <v>26</v>
      </c>
      <c r="C30" s="61" t="s">
        <v>232</v>
      </c>
      <c r="D30" s="60" t="s">
        <v>204</v>
      </c>
      <c r="E30" s="69">
        <v>1.75</v>
      </c>
      <c r="F30" s="60" t="s">
        <v>31</v>
      </c>
      <c r="G30" s="62">
        <v>9</v>
      </c>
      <c r="H30" s="63" t="s">
        <v>35</v>
      </c>
    </row>
    <row r="31" spans="1:8" ht="19.8" customHeight="1" x14ac:dyDescent="0.3">
      <c r="A31" s="68">
        <v>45981</v>
      </c>
      <c r="B31" s="60" t="s">
        <v>26</v>
      </c>
      <c r="C31" s="61" t="s">
        <v>234</v>
      </c>
      <c r="D31" s="60" t="s">
        <v>204</v>
      </c>
      <c r="E31" s="69">
        <v>1.4861111111111109</v>
      </c>
      <c r="F31" s="60" t="s">
        <v>31</v>
      </c>
      <c r="G31" s="62">
        <v>3</v>
      </c>
      <c r="H31" s="63" t="s">
        <v>35</v>
      </c>
    </row>
    <row r="32" spans="1:8" ht="19.8" customHeight="1" x14ac:dyDescent="0.3">
      <c r="A32" s="76">
        <v>45981</v>
      </c>
      <c r="B32" s="77" t="s">
        <v>78</v>
      </c>
      <c r="C32" s="78" t="s">
        <v>251</v>
      </c>
      <c r="D32" s="77" t="s">
        <v>204</v>
      </c>
      <c r="E32" s="79">
        <v>1.9375</v>
      </c>
      <c r="F32" s="77" t="s">
        <v>98</v>
      </c>
      <c r="G32" s="80">
        <v>9</v>
      </c>
      <c r="H32" s="81" t="s">
        <v>252</v>
      </c>
    </row>
    <row r="33" spans="1:8" ht="19.8" customHeight="1" x14ac:dyDescent="0.3">
      <c r="A33" s="68">
        <v>45981</v>
      </c>
      <c r="B33" s="60" t="s">
        <v>26</v>
      </c>
      <c r="C33" s="61" t="s">
        <v>224</v>
      </c>
      <c r="D33" s="60" t="s">
        <v>204</v>
      </c>
      <c r="E33" s="69">
        <v>1.3923611111111109</v>
      </c>
      <c r="F33" s="60" t="s">
        <v>34</v>
      </c>
      <c r="G33" s="62">
        <v>6</v>
      </c>
      <c r="H33" s="63" t="s">
        <v>227</v>
      </c>
    </row>
    <row r="34" spans="1:8" ht="19.8" customHeight="1" x14ac:dyDescent="0.3">
      <c r="A34" s="68">
        <v>45981</v>
      </c>
      <c r="B34" s="60" t="s">
        <v>26</v>
      </c>
      <c r="C34" s="61" t="s">
        <v>228</v>
      </c>
      <c r="D34" s="60" t="s">
        <v>204</v>
      </c>
      <c r="E34" s="69">
        <v>1.836805555555556</v>
      </c>
      <c r="F34" s="60" t="s">
        <v>34</v>
      </c>
      <c r="G34" s="62">
        <v>1</v>
      </c>
      <c r="H34" s="63" t="s">
        <v>227</v>
      </c>
    </row>
    <row r="35" spans="1:8" ht="19.8" customHeight="1" x14ac:dyDescent="0.3">
      <c r="A35" s="68">
        <v>45981</v>
      </c>
      <c r="B35" s="60" t="s">
        <v>26</v>
      </c>
      <c r="C35" s="61" t="s">
        <v>229</v>
      </c>
      <c r="D35" s="60" t="s">
        <v>204</v>
      </c>
      <c r="E35" s="69">
        <v>1.8888888888888891</v>
      </c>
      <c r="F35" s="60" t="s">
        <v>34</v>
      </c>
      <c r="G35" s="62">
        <v>5</v>
      </c>
      <c r="H35" s="63" t="s">
        <v>227</v>
      </c>
    </row>
    <row r="36" spans="1:8" ht="19.8" customHeight="1" x14ac:dyDescent="0.3">
      <c r="A36" s="68">
        <v>45981</v>
      </c>
      <c r="B36" s="60" t="s">
        <v>26</v>
      </c>
      <c r="C36" s="61" t="s">
        <v>231</v>
      </c>
      <c r="D36" s="60" t="s">
        <v>204</v>
      </c>
      <c r="E36" s="69">
        <v>1.3472222222222221</v>
      </c>
      <c r="F36" s="60" t="s">
        <v>34</v>
      </c>
      <c r="G36" s="62">
        <v>5</v>
      </c>
      <c r="H36" s="63" t="s">
        <v>227</v>
      </c>
    </row>
    <row r="37" spans="1:8" ht="19.8" customHeight="1" x14ac:dyDescent="0.3">
      <c r="A37" s="68">
        <v>45981</v>
      </c>
      <c r="B37" s="60" t="s">
        <v>260</v>
      </c>
      <c r="C37" s="61" t="s">
        <v>261</v>
      </c>
      <c r="D37" s="60" t="s">
        <v>204</v>
      </c>
      <c r="E37" s="69">
        <v>1.1701388888888891</v>
      </c>
      <c r="F37" s="60" t="s">
        <v>262</v>
      </c>
      <c r="G37" s="62">
        <v>5</v>
      </c>
      <c r="H37" s="63" t="s">
        <v>263</v>
      </c>
    </row>
    <row r="38" spans="1:8" ht="19.8" customHeight="1" x14ac:dyDescent="0.3">
      <c r="A38" s="68">
        <v>45981</v>
      </c>
      <c r="B38" s="60" t="s">
        <v>26</v>
      </c>
      <c r="C38" s="61" t="s">
        <v>232</v>
      </c>
      <c r="D38" s="60" t="s">
        <v>204</v>
      </c>
      <c r="E38" s="69">
        <v>1.75</v>
      </c>
      <c r="F38" s="60" t="s">
        <v>34</v>
      </c>
      <c r="G38" s="62">
        <v>9</v>
      </c>
      <c r="H38" s="63" t="s">
        <v>233</v>
      </c>
    </row>
    <row r="39" spans="1:8" ht="19.8" customHeight="1" x14ac:dyDescent="0.3">
      <c r="A39" s="68">
        <v>45981</v>
      </c>
      <c r="B39" s="60" t="s">
        <v>26</v>
      </c>
      <c r="C39" s="61" t="s">
        <v>234</v>
      </c>
      <c r="D39" s="60" t="s">
        <v>204</v>
      </c>
      <c r="E39" s="69">
        <v>1.4861111111111109</v>
      </c>
      <c r="F39" s="60" t="s">
        <v>34</v>
      </c>
      <c r="G39" s="62">
        <v>3</v>
      </c>
      <c r="H39" s="63" t="s">
        <v>233</v>
      </c>
    </row>
    <row r="40" spans="1:8" ht="19.8" customHeight="1" x14ac:dyDescent="0.3">
      <c r="A40" s="68">
        <v>45981</v>
      </c>
      <c r="B40" s="60" t="s">
        <v>42</v>
      </c>
      <c r="C40" s="61" t="s">
        <v>211</v>
      </c>
      <c r="D40" s="60" t="s">
        <v>204</v>
      </c>
      <c r="E40" s="69">
        <v>1.399305555555556</v>
      </c>
      <c r="F40" s="60" t="s">
        <v>49</v>
      </c>
      <c r="G40" s="62">
        <v>39</v>
      </c>
      <c r="H40" s="63" t="s">
        <v>50</v>
      </c>
    </row>
    <row r="41" spans="1:8" ht="19.8" customHeight="1" x14ac:dyDescent="0.3">
      <c r="A41" s="68">
        <v>45981</v>
      </c>
      <c r="B41" s="60" t="s">
        <v>42</v>
      </c>
      <c r="C41" s="61" t="s">
        <v>214</v>
      </c>
      <c r="D41" s="60" t="s">
        <v>204</v>
      </c>
      <c r="E41" s="69">
        <v>1.989583333333333</v>
      </c>
      <c r="F41" s="60" t="s">
        <v>49</v>
      </c>
      <c r="G41" s="62">
        <v>20</v>
      </c>
      <c r="H41" s="63" t="s">
        <v>50</v>
      </c>
    </row>
    <row r="42" spans="1:8" ht="19.8" customHeight="1" x14ac:dyDescent="0.3">
      <c r="A42" s="68">
        <v>45981</v>
      </c>
      <c r="B42" s="60" t="s">
        <v>42</v>
      </c>
      <c r="C42" s="61" t="s">
        <v>216</v>
      </c>
      <c r="D42" s="60" t="s">
        <v>204</v>
      </c>
      <c r="E42" s="69">
        <v>1.8888888888888891</v>
      </c>
      <c r="F42" s="60" t="s">
        <v>49</v>
      </c>
      <c r="G42" s="62">
        <v>15</v>
      </c>
      <c r="H42" s="63" t="s">
        <v>50</v>
      </c>
    </row>
    <row r="43" spans="1:8" ht="19.8" customHeight="1" x14ac:dyDescent="0.3">
      <c r="A43" s="68">
        <v>45981</v>
      </c>
      <c r="B43" s="60" t="s">
        <v>260</v>
      </c>
      <c r="C43" s="61" t="s">
        <v>261</v>
      </c>
      <c r="D43" s="60" t="s">
        <v>204</v>
      </c>
      <c r="E43" s="69">
        <v>1.1701388888888891</v>
      </c>
      <c r="F43" s="60" t="s">
        <v>49</v>
      </c>
      <c r="G43" s="62">
        <v>5</v>
      </c>
      <c r="H43" s="63" t="s">
        <v>264</v>
      </c>
    </row>
    <row r="44" spans="1:8" ht="19.8" customHeight="1" x14ac:dyDescent="0.3">
      <c r="A44" s="68">
        <v>45981</v>
      </c>
      <c r="B44" s="60" t="s">
        <v>51</v>
      </c>
      <c r="C44" s="61" t="s">
        <v>265</v>
      </c>
      <c r="D44" s="60" t="s">
        <v>204</v>
      </c>
      <c r="E44" s="69">
        <v>1.9409722222222221</v>
      </c>
      <c r="F44" s="60" t="s">
        <v>56</v>
      </c>
      <c r="G44" s="62">
        <v>9</v>
      </c>
      <c r="H44" s="63" t="s">
        <v>266</v>
      </c>
    </row>
    <row r="45" spans="1:8" ht="19.8" customHeight="1" x14ac:dyDescent="0.3">
      <c r="A45" s="68">
        <v>45981</v>
      </c>
      <c r="B45" s="60" t="s">
        <v>67</v>
      </c>
      <c r="C45" s="61" t="s">
        <v>279</v>
      </c>
      <c r="D45" s="60" t="s">
        <v>204</v>
      </c>
      <c r="E45" s="69">
        <v>1.7847222222222221</v>
      </c>
      <c r="F45" s="60" t="s">
        <v>69</v>
      </c>
      <c r="G45" s="62">
        <v>9</v>
      </c>
      <c r="H45" s="63" t="s">
        <v>280</v>
      </c>
    </row>
    <row r="46" spans="1:8" ht="19.8" customHeight="1" x14ac:dyDescent="0.3">
      <c r="A46" s="68">
        <v>45981</v>
      </c>
      <c r="B46" s="60" t="s">
        <v>51</v>
      </c>
      <c r="C46" s="61" t="s">
        <v>267</v>
      </c>
      <c r="D46" s="60" t="s">
        <v>204</v>
      </c>
      <c r="E46" s="69">
        <v>1.989583333333333</v>
      </c>
      <c r="F46" s="60" t="s">
        <v>56</v>
      </c>
      <c r="G46" s="62">
        <v>4</v>
      </c>
      <c r="H46" s="63" t="s">
        <v>268</v>
      </c>
    </row>
    <row r="47" spans="1:8" ht="19.8" customHeight="1" x14ac:dyDescent="0.3">
      <c r="A47" s="68">
        <v>45981</v>
      </c>
      <c r="B47" s="60" t="s">
        <v>51</v>
      </c>
      <c r="C47" s="61" t="s">
        <v>269</v>
      </c>
      <c r="D47" s="60" t="s">
        <v>204</v>
      </c>
      <c r="E47" s="69">
        <v>1.8888888888888891</v>
      </c>
      <c r="F47" s="60" t="s">
        <v>56</v>
      </c>
      <c r="G47" s="62">
        <v>4</v>
      </c>
      <c r="H47" s="63" t="s">
        <v>268</v>
      </c>
    </row>
    <row r="48" spans="1:8" ht="19.8" customHeight="1" x14ac:dyDescent="0.3">
      <c r="A48" s="68">
        <v>45981</v>
      </c>
      <c r="B48" s="60" t="s">
        <v>51</v>
      </c>
      <c r="C48" s="61" t="s">
        <v>270</v>
      </c>
      <c r="D48" s="60" t="s">
        <v>204</v>
      </c>
      <c r="E48" s="69">
        <v>1.399305555555556</v>
      </c>
      <c r="F48" s="60" t="s">
        <v>56</v>
      </c>
      <c r="G48" s="62">
        <v>4</v>
      </c>
      <c r="H48" s="63" t="s">
        <v>268</v>
      </c>
    </row>
    <row r="49" spans="1:8" ht="19.8" customHeight="1" x14ac:dyDescent="0.3">
      <c r="A49" s="68">
        <v>45981</v>
      </c>
      <c r="B49" s="60" t="s">
        <v>51</v>
      </c>
      <c r="C49" s="61" t="s">
        <v>271</v>
      </c>
      <c r="D49" s="60" t="s">
        <v>204</v>
      </c>
      <c r="E49" s="69">
        <v>1.489583333333333</v>
      </c>
      <c r="F49" s="60" t="s">
        <v>56</v>
      </c>
      <c r="G49" s="62">
        <v>4</v>
      </c>
      <c r="H49" s="63" t="s">
        <v>268</v>
      </c>
    </row>
    <row r="50" spans="1:8" ht="19.8" customHeight="1" x14ac:dyDescent="0.3">
      <c r="A50" s="68">
        <v>45981</v>
      </c>
      <c r="B50" s="60" t="s">
        <v>42</v>
      </c>
      <c r="C50" s="61" t="s">
        <v>205</v>
      </c>
      <c r="D50" s="60" t="s">
        <v>204</v>
      </c>
      <c r="E50" s="69">
        <v>1.489583333333333</v>
      </c>
      <c r="F50" s="60" t="s">
        <v>49</v>
      </c>
      <c r="G50" s="62">
        <v>38</v>
      </c>
      <c r="H50" s="63" t="s">
        <v>210</v>
      </c>
    </row>
    <row r="51" spans="1:8" ht="19.8" customHeight="1" x14ac:dyDescent="0.3">
      <c r="A51" s="68">
        <v>45981</v>
      </c>
      <c r="B51" s="60" t="s">
        <v>51</v>
      </c>
      <c r="C51" s="61" t="s">
        <v>272</v>
      </c>
      <c r="D51" s="60" t="s">
        <v>204</v>
      </c>
      <c r="E51" s="69">
        <v>1.118055555555556</v>
      </c>
      <c r="F51" s="60" t="s">
        <v>56</v>
      </c>
      <c r="G51" s="62">
        <v>2</v>
      </c>
      <c r="H51" s="63" t="s">
        <v>273</v>
      </c>
    </row>
    <row r="52" spans="1:8" ht="19.8" customHeight="1" x14ac:dyDescent="0.3">
      <c r="A52" s="68">
        <v>45981</v>
      </c>
      <c r="B52" s="60" t="s">
        <v>51</v>
      </c>
      <c r="C52" s="61" t="s">
        <v>274</v>
      </c>
      <c r="D52" s="60" t="s">
        <v>204</v>
      </c>
      <c r="E52" s="69">
        <v>1.2534722222222221</v>
      </c>
      <c r="F52" s="60" t="s">
        <v>56</v>
      </c>
      <c r="G52" s="62">
        <v>5</v>
      </c>
      <c r="H52" s="63" t="s">
        <v>273</v>
      </c>
    </row>
    <row r="53" spans="1:8" ht="19.8" customHeight="1" x14ac:dyDescent="0.3">
      <c r="A53" s="68">
        <v>45981</v>
      </c>
      <c r="B53" s="60" t="s">
        <v>51</v>
      </c>
      <c r="C53" s="61" t="s">
        <v>275</v>
      </c>
      <c r="D53" s="60" t="s">
        <v>204</v>
      </c>
      <c r="E53" s="69">
        <v>1.8298611111111109</v>
      </c>
      <c r="F53" s="60" t="s">
        <v>56</v>
      </c>
      <c r="G53" s="62">
        <v>4</v>
      </c>
      <c r="H53" s="63" t="s">
        <v>273</v>
      </c>
    </row>
    <row r="54" spans="1:8" ht="19.8" customHeight="1" x14ac:dyDescent="0.3">
      <c r="A54" s="68">
        <v>45981</v>
      </c>
      <c r="B54" s="60" t="s">
        <v>51</v>
      </c>
      <c r="C54" s="61" t="s">
        <v>276</v>
      </c>
      <c r="D54" s="60" t="s">
        <v>204</v>
      </c>
      <c r="E54" s="69">
        <v>1.7048611111111109</v>
      </c>
      <c r="F54" s="60" t="s">
        <v>56</v>
      </c>
      <c r="G54" s="62">
        <v>7</v>
      </c>
      <c r="H54" s="63" t="s">
        <v>273</v>
      </c>
    </row>
    <row r="55" spans="1:8" ht="19.8" customHeight="1" x14ac:dyDescent="0.3">
      <c r="A55" s="68">
        <v>45981</v>
      </c>
      <c r="B55" s="60" t="s">
        <v>67</v>
      </c>
      <c r="C55" s="61" t="s">
        <v>281</v>
      </c>
      <c r="D55" s="60" t="s">
        <v>204</v>
      </c>
      <c r="E55" s="69">
        <v>1.600694444444444</v>
      </c>
      <c r="F55" s="60" t="s">
        <v>69</v>
      </c>
      <c r="G55" s="62">
        <v>9</v>
      </c>
      <c r="H55" s="63" t="s">
        <v>282</v>
      </c>
    </row>
    <row r="56" spans="1:8" ht="19.8" customHeight="1" x14ac:dyDescent="0.3">
      <c r="A56" s="68">
        <v>45981</v>
      </c>
      <c r="B56" s="60" t="s">
        <v>67</v>
      </c>
      <c r="C56" s="61" t="s">
        <v>283</v>
      </c>
      <c r="D56" s="60" t="s">
        <v>204</v>
      </c>
      <c r="E56" s="69">
        <v>1.104166666666667</v>
      </c>
      <c r="F56" s="60" t="s">
        <v>69</v>
      </c>
      <c r="G56" s="62">
        <v>9</v>
      </c>
      <c r="H56" s="63" t="s">
        <v>282</v>
      </c>
    </row>
    <row r="57" spans="1:8" ht="19.8" customHeight="1" x14ac:dyDescent="0.3">
      <c r="A57" s="68">
        <v>45981</v>
      </c>
      <c r="B57" s="60" t="s">
        <v>67</v>
      </c>
      <c r="C57" s="61" t="s">
        <v>284</v>
      </c>
      <c r="D57" s="60" t="s">
        <v>204</v>
      </c>
      <c r="E57" s="69">
        <v>1.9722222222222221</v>
      </c>
      <c r="F57" s="60" t="s">
        <v>69</v>
      </c>
      <c r="G57" s="62">
        <v>8</v>
      </c>
      <c r="H57" s="63" t="s">
        <v>282</v>
      </c>
    </row>
    <row r="58" spans="1:8" ht="19.8" customHeight="1" x14ac:dyDescent="0.3">
      <c r="A58" s="68">
        <v>45981</v>
      </c>
      <c r="B58" s="60" t="s">
        <v>67</v>
      </c>
      <c r="C58" s="61" t="s">
        <v>286</v>
      </c>
      <c r="D58" s="60" t="s">
        <v>204</v>
      </c>
      <c r="E58" s="69">
        <v>1.0486111111111109</v>
      </c>
      <c r="F58" s="60" t="s">
        <v>69</v>
      </c>
      <c r="G58" s="62">
        <v>9</v>
      </c>
      <c r="H58" s="63" t="s">
        <v>287</v>
      </c>
    </row>
    <row r="59" spans="1:8" ht="19.8" customHeight="1" x14ac:dyDescent="0.3">
      <c r="A59" s="68">
        <v>45981</v>
      </c>
      <c r="B59" s="60" t="s">
        <v>67</v>
      </c>
      <c r="C59" s="61" t="s">
        <v>288</v>
      </c>
      <c r="D59" s="60" t="s">
        <v>204</v>
      </c>
      <c r="E59" s="69">
        <v>1.836805555555556</v>
      </c>
      <c r="F59" s="60" t="s">
        <v>69</v>
      </c>
      <c r="G59" s="62">
        <v>9</v>
      </c>
      <c r="H59" s="63" t="s">
        <v>287</v>
      </c>
    </row>
    <row r="60" spans="1:8" ht="19.8" customHeight="1" x14ac:dyDescent="0.3">
      <c r="A60" s="68">
        <v>45981</v>
      </c>
      <c r="B60" s="60" t="s">
        <v>51</v>
      </c>
      <c r="C60" s="61" t="s">
        <v>277</v>
      </c>
      <c r="D60" s="60" t="s">
        <v>204</v>
      </c>
      <c r="E60" s="69">
        <v>1.7222222222222221</v>
      </c>
      <c r="F60" s="60" t="s">
        <v>56</v>
      </c>
      <c r="G60" s="62">
        <v>1</v>
      </c>
      <c r="H60" s="63" t="s">
        <v>278</v>
      </c>
    </row>
    <row r="61" spans="1:8" ht="19.8" customHeight="1" x14ac:dyDescent="0.3">
      <c r="A61" s="76">
        <v>45981</v>
      </c>
      <c r="B61" s="77" t="s">
        <v>78</v>
      </c>
      <c r="C61" s="78" t="s">
        <v>256</v>
      </c>
      <c r="D61" s="77" t="s">
        <v>204</v>
      </c>
      <c r="E61" s="79">
        <v>1.40625</v>
      </c>
      <c r="F61" s="77" t="s">
        <v>80</v>
      </c>
      <c r="G61" s="77"/>
      <c r="H61" s="81" t="s">
        <v>81</v>
      </c>
    </row>
    <row r="62" spans="1:8" ht="19.8" customHeight="1" x14ac:dyDescent="0.3">
      <c r="A62" s="82">
        <v>45981</v>
      </c>
      <c r="B62" s="65" t="s">
        <v>78</v>
      </c>
      <c r="C62" s="66" t="s">
        <v>258</v>
      </c>
      <c r="D62" s="65" t="s">
        <v>204</v>
      </c>
      <c r="E62" s="83">
        <v>1.5625</v>
      </c>
      <c r="F62" s="65" t="s">
        <v>80</v>
      </c>
      <c r="G62" s="65"/>
      <c r="H62" s="67" t="s">
        <v>81</v>
      </c>
    </row>
    <row r="63" spans="1:8" ht="19.8" customHeight="1" x14ac:dyDescent="0.3">
      <c r="A63" s="68">
        <v>45982</v>
      </c>
      <c r="B63" s="60" t="s">
        <v>235</v>
      </c>
      <c r="C63" s="61" t="s">
        <v>289</v>
      </c>
      <c r="D63" s="60" t="s">
        <v>204</v>
      </c>
      <c r="E63" s="69">
        <v>1.239583333333333</v>
      </c>
      <c r="F63" s="60" t="s">
        <v>98</v>
      </c>
      <c r="G63" s="62">
        <v>2</v>
      </c>
      <c r="H63" s="63" t="s">
        <v>237</v>
      </c>
    </row>
    <row r="64" spans="1:8" ht="19.8" customHeight="1" x14ac:dyDescent="0.3">
      <c r="A64" s="68">
        <v>45982</v>
      </c>
      <c r="B64" s="60" t="s">
        <v>235</v>
      </c>
      <c r="C64" s="61" t="s">
        <v>236</v>
      </c>
      <c r="D64" s="60" t="s">
        <v>204</v>
      </c>
      <c r="E64" s="69">
        <v>1.541666666666667</v>
      </c>
      <c r="F64" s="60" t="s">
        <v>98</v>
      </c>
      <c r="G64" s="62">
        <v>4</v>
      </c>
      <c r="H64" s="63" t="s">
        <v>237</v>
      </c>
    </row>
    <row r="65" spans="1:8" ht="19.8" customHeight="1" x14ac:dyDescent="0.3">
      <c r="A65" s="76">
        <v>45982</v>
      </c>
      <c r="B65" s="77" t="s">
        <v>78</v>
      </c>
      <c r="C65" s="78" t="s">
        <v>290</v>
      </c>
      <c r="D65" s="77" t="s">
        <v>204</v>
      </c>
      <c r="E65" s="79">
        <v>1.28125</v>
      </c>
      <c r="F65" s="77" t="s">
        <v>98</v>
      </c>
      <c r="G65" s="80">
        <v>5</v>
      </c>
      <c r="H65" s="81" t="s">
        <v>291</v>
      </c>
    </row>
    <row r="66" spans="1:8" ht="19.8" customHeight="1" x14ac:dyDescent="0.3">
      <c r="A66" s="76">
        <v>45982</v>
      </c>
      <c r="B66" s="77" t="s">
        <v>78</v>
      </c>
      <c r="C66" s="78" t="s">
        <v>247</v>
      </c>
      <c r="D66" s="77" t="s">
        <v>204</v>
      </c>
      <c r="E66" s="79">
        <v>1.1423611111111109</v>
      </c>
      <c r="F66" s="77" t="s">
        <v>98</v>
      </c>
      <c r="G66" s="80">
        <v>3</v>
      </c>
      <c r="H66" s="81" t="s">
        <v>291</v>
      </c>
    </row>
    <row r="67" spans="1:8" ht="19.8" customHeight="1" x14ac:dyDescent="0.3">
      <c r="A67" s="76">
        <v>45982</v>
      </c>
      <c r="B67" s="77" t="s">
        <v>78</v>
      </c>
      <c r="C67" s="78" t="s">
        <v>296</v>
      </c>
      <c r="D67" s="77" t="s">
        <v>204</v>
      </c>
      <c r="E67" s="79">
        <v>1.5590277777777779</v>
      </c>
      <c r="F67" s="77" t="s">
        <v>98</v>
      </c>
      <c r="G67" s="80">
        <v>1</v>
      </c>
      <c r="H67" s="81" t="s">
        <v>291</v>
      </c>
    </row>
    <row r="68" spans="1:8" ht="19.8" customHeight="1" x14ac:dyDescent="0.3">
      <c r="A68" s="76">
        <v>45982</v>
      </c>
      <c r="B68" s="77" t="s">
        <v>78</v>
      </c>
      <c r="C68" s="78" t="s">
        <v>299</v>
      </c>
      <c r="D68" s="77" t="s">
        <v>204</v>
      </c>
      <c r="E68" s="79">
        <v>1.760416666666667</v>
      </c>
      <c r="F68" s="77" t="s">
        <v>98</v>
      </c>
      <c r="G68" s="80">
        <v>9</v>
      </c>
      <c r="H68" s="81" t="s">
        <v>291</v>
      </c>
    </row>
    <row r="69" spans="1:8" ht="19.8" customHeight="1" x14ac:dyDescent="0.3">
      <c r="A69" s="76">
        <v>45982</v>
      </c>
      <c r="B69" s="77" t="s">
        <v>78</v>
      </c>
      <c r="C69" s="78" t="s">
        <v>303</v>
      </c>
      <c r="D69" s="77" t="s">
        <v>204</v>
      </c>
      <c r="E69" s="79">
        <v>1.4375</v>
      </c>
      <c r="F69" s="77" t="s">
        <v>98</v>
      </c>
      <c r="G69" s="80">
        <v>7</v>
      </c>
      <c r="H69" s="81" t="s">
        <v>239</v>
      </c>
    </row>
    <row r="70" spans="1:8" ht="19.8" customHeight="1" x14ac:dyDescent="0.3">
      <c r="A70" s="68">
        <v>45982</v>
      </c>
      <c r="B70" s="60" t="s">
        <v>67</v>
      </c>
      <c r="C70" s="61" t="s">
        <v>283</v>
      </c>
      <c r="D70" s="60" t="s">
        <v>204</v>
      </c>
      <c r="E70" s="69">
        <v>1.104166666666667</v>
      </c>
      <c r="F70" s="60" t="s">
        <v>69</v>
      </c>
      <c r="G70" s="62">
        <v>9</v>
      </c>
      <c r="H70" s="63" t="s">
        <v>305</v>
      </c>
    </row>
    <row r="71" spans="1:8" ht="19.8" customHeight="1" x14ac:dyDescent="0.3">
      <c r="A71" s="68">
        <v>45982</v>
      </c>
      <c r="B71" s="60" t="s">
        <v>67</v>
      </c>
      <c r="C71" s="61" t="s">
        <v>279</v>
      </c>
      <c r="D71" s="60" t="s">
        <v>204</v>
      </c>
      <c r="E71" s="69">
        <v>1.791666666666667</v>
      </c>
      <c r="F71" s="60" t="s">
        <v>69</v>
      </c>
      <c r="G71" s="62">
        <v>9</v>
      </c>
      <c r="H71" s="63" t="s">
        <v>305</v>
      </c>
    </row>
    <row r="72" spans="1:8" ht="19.8" customHeight="1" x14ac:dyDescent="0.3">
      <c r="A72" s="68">
        <v>45982</v>
      </c>
      <c r="B72" s="60" t="s">
        <v>67</v>
      </c>
      <c r="C72" s="61" t="s">
        <v>286</v>
      </c>
      <c r="D72" s="60" t="s">
        <v>204</v>
      </c>
      <c r="E72" s="69">
        <v>1.0486111111111109</v>
      </c>
      <c r="F72" s="60" t="s">
        <v>69</v>
      </c>
      <c r="G72" s="62">
        <v>9</v>
      </c>
      <c r="H72" s="63" t="s">
        <v>306</v>
      </c>
    </row>
    <row r="73" spans="1:8" ht="19.8" customHeight="1" x14ac:dyDescent="0.3">
      <c r="A73" s="68">
        <v>45982</v>
      </c>
      <c r="B73" s="60" t="s">
        <v>67</v>
      </c>
      <c r="C73" s="61" t="s">
        <v>288</v>
      </c>
      <c r="D73" s="60" t="s">
        <v>204</v>
      </c>
      <c r="E73" s="69">
        <v>1.836805555555556</v>
      </c>
      <c r="F73" s="60" t="s">
        <v>69</v>
      </c>
      <c r="G73" s="62">
        <v>9</v>
      </c>
      <c r="H73" s="63" t="s">
        <v>306</v>
      </c>
    </row>
    <row r="74" spans="1:8" ht="19.8" customHeight="1" x14ac:dyDescent="0.3">
      <c r="A74" s="68">
        <v>45982</v>
      </c>
      <c r="B74" s="60" t="s">
        <v>67</v>
      </c>
      <c r="C74" s="61" t="s">
        <v>281</v>
      </c>
      <c r="D74" s="60" t="s">
        <v>204</v>
      </c>
      <c r="E74" s="69">
        <v>1.618055555555556</v>
      </c>
      <c r="F74" s="60" t="s">
        <v>69</v>
      </c>
      <c r="G74" s="62">
        <v>9</v>
      </c>
      <c r="H74" s="63" t="s">
        <v>307</v>
      </c>
    </row>
    <row r="75" spans="1:8" ht="19.8" customHeight="1" x14ac:dyDescent="0.3">
      <c r="A75" s="68">
        <v>45982</v>
      </c>
      <c r="B75" s="60" t="s">
        <v>67</v>
      </c>
      <c r="C75" s="61" t="s">
        <v>308</v>
      </c>
      <c r="D75" s="60" t="s">
        <v>204</v>
      </c>
      <c r="E75" s="69">
        <v>1.333333333333333</v>
      </c>
      <c r="F75" s="60" t="s">
        <v>69</v>
      </c>
      <c r="G75" s="62">
        <v>9</v>
      </c>
      <c r="H75" s="63" t="s">
        <v>307</v>
      </c>
    </row>
    <row r="76" spans="1:8" ht="19.8" customHeight="1" x14ac:dyDescent="0.3">
      <c r="A76" s="68">
        <v>45982</v>
      </c>
      <c r="B76" s="60" t="s">
        <v>51</v>
      </c>
      <c r="C76" s="61" t="s">
        <v>272</v>
      </c>
      <c r="D76" s="60" t="s">
        <v>204</v>
      </c>
      <c r="E76" s="69">
        <v>1.118055555555556</v>
      </c>
      <c r="F76" s="60" t="s">
        <v>56</v>
      </c>
      <c r="G76" s="62">
        <v>9</v>
      </c>
      <c r="H76" s="63" t="s">
        <v>266</v>
      </c>
    </row>
    <row r="77" spans="1:8" ht="19.8" customHeight="1" x14ac:dyDescent="0.3">
      <c r="A77" s="68">
        <v>45982</v>
      </c>
      <c r="B77" s="60" t="s">
        <v>51</v>
      </c>
      <c r="C77" s="61" t="s">
        <v>274</v>
      </c>
      <c r="D77" s="60" t="s">
        <v>204</v>
      </c>
      <c r="E77" s="69">
        <v>1.2534722222222221</v>
      </c>
      <c r="F77" s="60" t="s">
        <v>56</v>
      </c>
      <c r="G77" s="62">
        <v>9</v>
      </c>
      <c r="H77" s="63" t="s">
        <v>266</v>
      </c>
    </row>
    <row r="78" spans="1:8" ht="19.8" customHeight="1" x14ac:dyDescent="0.3">
      <c r="A78" s="68">
        <v>45982</v>
      </c>
      <c r="B78" s="60" t="s">
        <v>51</v>
      </c>
      <c r="C78" s="61" t="s">
        <v>309</v>
      </c>
      <c r="D78" s="60" t="s">
        <v>204</v>
      </c>
      <c r="E78" s="69">
        <v>1.041666666666667</v>
      </c>
      <c r="F78" s="60" t="s">
        <v>56</v>
      </c>
      <c r="G78" s="62">
        <v>9</v>
      </c>
      <c r="H78" s="63" t="s">
        <v>266</v>
      </c>
    </row>
    <row r="79" spans="1:8" ht="19.8" customHeight="1" x14ac:dyDescent="0.3">
      <c r="A79" s="68">
        <v>45982</v>
      </c>
      <c r="B79" s="60" t="s">
        <v>51</v>
      </c>
      <c r="C79" s="61" t="s">
        <v>275</v>
      </c>
      <c r="D79" s="60" t="s">
        <v>204</v>
      </c>
      <c r="E79" s="69">
        <v>1.8298611111111109</v>
      </c>
      <c r="F79" s="60" t="s">
        <v>56</v>
      </c>
      <c r="G79" s="62">
        <v>9</v>
      </c>
      <c r="H79" s="63" t="s">
        <v>266</v>
      </c>
    </row>
    <row r="80" spans="1:8" ht="19.8" customHeight="1" x14ac:dyDescent="0.3">
      <c r="A80" s="68">
        <v>45982</v>
      </c>
      <c r="B80" s="60" t="s">
        <v>51</v>
      </c>
      <c r="C80" s="61" t="s">
        <v>265</v>
      </c>
      <c r="D80" s="60" t="s">
        <v>204</v>
      </c>
      <c r="E80" s="69">
        <v>1.9409722222222221</v>
      </c>
      <c r="F80" s="60" t="s">
        <v>56</v>
      </c>
      <c r="G80" s="62">
        <v>9</v>
      </c>
      <c r="H80" s="63" t="s">
        <v>266</v>
      </c>
    </row>
    <row r="81" spans="1:8" ht="19.8" customHeight="1" x14ac:dyDescent="0.3">
      <c r="A81" s="68">
        <v>45982</v>
      </c>
      <c r="B81" s="60" t="s">
        <v>51</v>
      </c>
      <c r="C81" s="61" t="s">
        <v>277</v>
      </c>
      <c r="D81" s="60" t="s">
        <v>204</v>
      </c>
      <c r="E81" s="69">
        <v>1.7222222222222221</v>
      </c>
      <c r="F81" s="60" t="s">
        <v>56</v>
      </c>
      <c r="G81" s="62">
        <v>3</v>
      </c>
      <c r="H81" s="63" t="s">
        <v>266</v>
      </c>
    </row>
    <row r="82" spans="1:8" ht="19.8" customHeight="1" x14ac:dyDescent="0.3">
      <c r="A82" s="68">
        <v>45982</v>
      </c>
      <c r="B82" s="60" t="s">
        <v>51</v>
      </c>
      <c r="C82" s="61" t="s">
        <v>276</v>
      </c>
      <c r="D82" s="60" t="s">
        <v>204</v>
      </c>
      <c r="E82" s="69">
        <v>1.7013888888888891</v>
      </c>
      <c r="F82" s="60" t="s">
        <v>56</v>
      </c>
      <c r="G82" s="62">
        <v>5</v>
      </c>
      <c r="H82" s="63" t="s">
        <v>266</v>
      </c>
    </row>
    <row r="83" spans="1:8" ht="19.8" customHeight="1" x14ac:dyDescent="0.3">
      <c r="A83" s="68">
        <v>45982</v>
      </c>
      <c r="B83" s="60" t="s">
        <v>51</v>
      </c>
      <c r="C83" s="61" t="s">
        <v>267</v>
      </c>
      <c r="D83" s="60" t="s">
        <v>204</v>
      </c>
      <c r="E83" s="69">
        <v>1.989583333333333</v>
      </c>
      <c r="F83" s="60" t="s">
        <v>56</v>
      </c>
      <c r="G83" s="62">
        <v>4</v>
      </c>
      <c r="H83" s="63" t="s">
        <v>268</v>
      </c>
    </row>
    <row r="84" spans="1:8" ht="19.8" customHeight="1" x14ac:dyDescent="0.3">
      <c r="A84" s="68">
        <v>45982</v>
      </c>
      <c r="B84" s="60" t="s">
        <v>51</v>
      </c>
      <c r="C84" s="61" t="s">
        <v>269</v>
      </c>
      <c r="D84" s="60" t="s">
        <v>204</v>
      </c>
      <c r="E84" s="69">
        <v>1.8888888888888891</v>
      </c>
      <c r="F84" s="60" t="s">
        <v>56</v>
      </c>
      <c r="G84" s="62">
        <v>4</v>
      </c>
      <c r="H84" s="63" t="s">
        <v>268</v>
      </c>
    </row>
    <row r="85" spans="1:8" ht="19.8" customHeight="1" x14ac:dyDescent="0.3">
      <c r="A85" s="68">
        <v>45982</v>
      </c>
      <c r="B85" s="60" t="s">
        <v>51</v>
      </c>
      <c r="C85" s="61" t="s">
        <v>270</v>
      </c>
      <c r="D85" s="60" t="s">
        <v>204</v>
      </c>
      <c r="E85" s="69">
        <v>1.399305555555556</v>
      </c>
      <c r="F85" s="60" t="s">
        <v>56</v>
      </c>
      <c r="G85" s="62">
        <v>4</v>
      </c>
      <c r="H85" s="63" t="s">
        <v>268</v>
      </c>
    </row>
    <row r="86" spans="1:8" ht="19.8" customHeight="1" x14ac:dyDescent="0.3">
      <c r="A86" s="68">
        <v>45982</v>
      </c>
      <c r="B86" s="60" t="s">
        <v>51</v>
      </c>
      <c r="C86" s="61" t="s">
        <v>271</v>
      </c>
      <c r="D86" s="60" t="s">
        <v>204</v>
      </c>
      <c r="E86" s="69">
        <v>1.489583333333333</v>
      </c>
      <c r="F86" s="60" t="s">
        <v>56</v>
      </c>
      <c r="G86" s="62">
        <v>4</v>
      </c>
      <c r="H86" s="63" t="s">
        <v>268</v>
      </c>
    </row>
    <row r="87" spans="1:8" ht="19.8" customHeight="1" x14ac:dyDescent="0.3">
      <c r="A87" s="70">
        <v>45982</v>
      </c>
      <c r="B87" s="71" t="s">
        <v>51</v>
      </c>
      <c r="C87" s="72" t="s">
        <v>310</v>
      </c>
      <c r="D87" s="71" t="s">
        <v>204</v>
      </c>
      <c r="E87" s="73">
        <v>1.489583333333333</v>
      </c>
      <c r="F87" s="71" t="s">
        <v>56</v>
      </c>
      <c r="G87" s="74">
        <v>2</v>
      </c>
      <c r="H87" s="75" t="s">
        <v>273</v>
      </c>
    </row>
    <row r="88" spans="1:8" ht="19.8" customHeight="1" x14ac:dyDescent="0.3">
      <c r="A88" s="68">
        <v>45983</v>
      </c>
      <c r="B88" s="60" t="s">
        <v>42</v>
      </c>
      <c r="C88" s="61" t="s">
        <v>205</v>
      </c>
      <c r="D88" s="60" t="s">
        <v>204</v>
      </c>
      <c r="E88" s="69">
        <v>1.489583333333333</v>
      </c>
      <c r="F88" s="60" t="s">
        <v>44</v>
      </c>
      <c r="G88" s="62">
        <v>9</v>
      </c>
      <c r="H88" s="63" t="s">
        <v>311</v>
      </c>
    </row>
    <row r="89" spans="1:8" ht="19.8" customHeight="1" x14ac:dyDescent="0.3">
      <c r="A89" s="68">
        <v>45983</v>
      </c>
      <c r="B89" s="60" t="s">
        <v>42</v>
      </c>
      <c r="C89" s="61" t="s">
        <v>211</v>
      </c>
      <c r="D89" s="60" t="s">
        <v>204</v>
      </c>
      <c r="E89" s="69">
        <v>1.399305555555556</v>
      </c>
      <c r="F89" s="60" t="s">
        <v>44</v>
      </c>
      <c r="G89" s="62">
        <v>13</v>
      </c>
      <c r="H89" s="63" t="s">
        <v>311</v>
      </c>
    </row>
    <row r="90" spans="1:8" ht="19.8" customHeight="1" x14ac:dyDescent="0.3">
      <c r="A90" s="68">
        <v>45983</v>
      </c>
      <c r="B90" s="60" t="s">
        <v>42</v>
      </c>
      <c r="C90" s="61" t="s">
        <v>214</v>
      </c>
      <c r="D90" s="60" t="s">
        <v>204</v>
      </c>
      <c r="E90" s="69">
        <v>1.989583333333333</v>
      </c>
      <c r="F90" s="60" t="s">
        <v>44</v>
      </c>
      <c r="G90" s="62">
        <v>11</v>
      </c>
      <c r="H90" s="63" t="s">
        <v>311</v>
      </c>
    </row>
    <row r="91" spans="1:8" ht="19.8" customHeight="1" x14ac:dyDescent="0.3">
      <c r="A91" s="68">
        <v>45983</v>
      </c>
      <c r="B91" s="60" t="s">
        <v>42</v>
      </c>
      <c r="C91" s="61" t="s">
        <v>216</v>
      </c>
      <c r="D91" s="60" t="s">
        <v>204</v>
      </c>
      <c r="E91" s="69">
        <v>1.8888888888888891</v>
      </c>
      <c r="F91" s="60" t="s">
        <v>44</v>
      </c>
      <c r="G91" s="62">
        <v>8</v>
      </c>
      <c r="H91" s="63" t="s">
        <v>311</v>
      </c>
    </row>
    <row r="92" spans="1:8" ht="19.8" customHeight="1" x14ac:dyDescent="0.3">
      <c r="A92" s="68">
        <v>45983</v>
      </c>
      <c r="B92" s="60" t="s">
        <v>26</v>
      </c>
      <c r="C92" s="61" t="s">
        <v>219</v>
      </c>
      <c r="D92" s="60" t="s">
        <v>204</v>
      </c>
      <c r="E92" s="69">
        <v>1.944444444444444</v>
      </c>
      <c r="F92" s="60" t="s">
        <v>28</v>
      </c>
      <c r="G92" s="62">
        <v>9</v>
      </c>
      <c r="H92" s="63" t="s">
        <v>220</v>
      </c>
    </row>
    <row r="93" spans="1:8" ht="19.8" customHeight="1" x14ac:dyDescent="0.3">
      <c r="A93" s="68">
        <v>45983</v>
      </c>
      <c r="B93" s="60" t="s">
        <v>26</v>
      </c>
      <c r="C93" s="61" t="s">
        <v>232</v>
      </c>
      <c r="D93" s="60" t="s">
        <v>204</v>
      </c>
      <c r="E93" s="69">
        <v>1.75</v>
      </c>
      <c r="F93" s="60" t="s">
        <v>28</v>
      </c>
      <c r="G93" s="62">
        <v>5</v>
      </c>
      <c r="H93" s="63" t="s">
        <v>220</v>
      </c>
    </row>
    <row r="94" spans="1:8" ht="19.8" customHeight="1" x14ac:dyDescent="0.3">
      <c r="A94" s="68">
        <v>45983</v>
      </c>
      <c r="B94" s="60" t="s">
        <v>26</v>
      </c>
      <c r="C94" s="61" t="s">
        <v>229</v>
      </c>
      <c r="D94" s="60" t="s">
        <v>204</v>
      </c>
      <c r="E94" s="69">
        <v>1.8888888888888891</v>
      </c>
      <c r="F94" s="60" t="s">
        <v>28</v>
      </c>
      <c r="G94" s="62">
        <v>9</v>
      </c>
      <c r="H94" s="63" t="s">
        <v>220</v>
      </c>
    </row>
    <row r="95" spans="1:8" ht="19.8" customHeight="1" x14ac:dyDescent="0.3">
      <c r="A95" s="68">
        <v>45983</v>
      </c>
      <c r="B95" s="60" t="s">
        <v>26</v>
      </c>
      <c r="C95" s="61" t="s">
        <v>234</v>
      </c>
      <c r="D95" s="60" t="s">
        <v>204</v>
      </c>
      <c r="E95" s="69">
        <v>1.4861111111111109</v>
      </c>
      <c r="F95" s="60" t="s">
        <v>28</v>
      </c>
      <c r="G95" s="62">
        <v>4</v>
      </c>
      <c r="H95" s="63" t="s">
        <v>220</v>
      </c>
    </row>
    <row r="96" spans="1:8" ht="19.8" customHeight="1" x14ac:dyDescent="0.3">
      <c r="A96" s="68">
        <v>45983</v>
      </c>
      <c r="B96" s="60" t="s">
        <v>26</v>
      </c>
      <c r="C96" s="61" t="s">
        <v>222</v>
      </c>
      <c r="D96" s="60" t="s">
        <v>204</v>
      </c>
      <c r="E96" s="69">
        <v>1.993055555555556</v>
      </c>
      <c r="F96" s="60" t="s">
        <v>28</v>
      </c>
      <c r="G96" s="62">
        <v>1</v>
      </c>
      <c r="H96" s="63" t="s">
        <v>220</v>
      </c>
    </row>
    <row r="97" spans="1:8" ht="19.8" customHeight="1" x14ac:dyDescent="0.3">
      <c r="A97" s="76">
        <v>45983</v>
      </c>
      <c r="B97" s="77" t="s">
        <v>78</v>
      </c>
      <c r="C97" s="78" t="s">
        <v>247</v>
      </c>
      <c r="D97" s="77" t="s">
        <v>204</v>
      </c>
      <c r="E97" s="79">
        <v>1.15625</v>
      </c>
      <c r="F97" s="77" t="s">
        <v>98</v>
      </c>
      <c r="G97" s="80">
        <v>2</v>
      </c>
      <c r="H97" s="81" t="s">
        <v>291</v>
      </c>
    </row>
    <row r="98" spans="1:8" ht="19.8" customHeight="1" x14ac:dyDescent="0.3">
      <c r="A98" s="68">
        <v>45983</v>
      </c>
      <c r="B98" s="60" t="s">
        <v>328</v>
      </c>
      <c r="C98" s="61" t="s">
        <v>329</v>
      </c>
      <c r="D98" s="60" t="s">
        <v>204</v>
      </c>
      <c r="E98" s="69">
        <v>1.0972222222222221</v>
      </c>
      <c r="F98" s="60" t="s">
        <v>98</v>
      </c>
      <c r="G98" s="62">
        <v>5</v>
      </c>
      <c r="H98" s="63" t="s">
        <v>330</v>
      </c>
    </row>
    <row r="99" spans="1:8" ht="19.8" customHeight="1" x14ac:dyDescent="0.3">
      <c r="A99" s="68">
        <v>45983</v>
      </c>
      <c r="B99" s="60" t="s">
        <v>42</v>
      </c>
      <c r="C99" s="61" t="s">
        <v>205</v>
      </c>
      <c r="D99" s="60" t="s">
        <v>204</v>
      </c>
      <c r="E99" s="69">
        <v>1.489583333333333</v>
      </c>
      <c r="F99" s="60" t="s">
        <v>47</v>
      </c>
      <c r="G99" s="62">
        <v>9</v>
      </c>
      <c r="H99" s="63" t="s">
        <v>312</v>
      </c>
    </row>
    <row r="100" spans="1:8" ht="19.8" customHeight="1" x14ac:dyDescent="0.3">
      <c r="A100" s="68">
        <v>45983</v>
      </c>
      <c r="B100" s="60" t="s">
        <v>42</v>
      </c>
      <c r="C100" s="61" t="s">
        <v>211</v>
      </c>
      <c r="D100" s="60" t="s">
        <v>204</v>
      </c>
      <c r="E100" s="69">
        <v>1.399305555555556</v>
      </c>
      <c r="F100" s="60" t="s">
        <v>47</v>
      </c>
      <c r="G100" s="62">
        <v>13</v>
      </c>
      <c r="H100" s="63" t="s">
        <v>312</v>
      </c>
    </row>
    <row r="101" spans="1:8" ht="19.8" customHeight="1" x14ac:dyDescent="0.3">
      <c r="A101" s="68">
        <v>45983</v>
      </c>
      <c r="B101" s="60" t="s">
        <v>42</v>
      </c>
      <c r="C101" s="61" t="s">
        <v>214</v>
      </c>
      <c r="D101" s="60" t="s">
        <v>204</v>
      </c>
      <c r="E101" s="69">
        <v>1.989583333333333</v>
      </c>
      <c r="F101" s="60" t="s">
        <v>47</v>
      </c>
      <c r="G101" s="62">
        <v>11</v>
      </c>
      <c r="H101" s="63" t="s">
        <v>312</v>
      </c>
    </row>
    <row r="102" spans="1:8" ht="19.8" customHeight="1" x14ac:dyDescent="0.3">
      <c r="A102" s="68">
        <v>45983</v>
      </c>
      <c r="B102" s="60" t="s">
        <v>42</v>
      </c>
      <c r="C102" s="61" t="s">
        <v>216</v>
      </c>
      <c r="D102" s="60" t="s">
        <v>204</v>
      </c>
      <c r="E102" s="69">
        <v>1.8888888888888891</v>
      </c>
      <c r="F102" s="60" t="s">
        <v>47</v>
      </c>
      <c r="G102" s="62">
        <v>8</v>
      </c>
      <c r="H102" s="63" t="s">
        <v>312</v>
      </c>
    </row>
    <row r="103" spans="1:8" ht="19.8" customHeight="1" x14ac:dyDescent="0.3">
      <c r="A103" s="76">
        <v>45983</v>
      </c>
      <c r="B103" s="77" t="s">
        <v>78</v>
      </c>
      <c r="C103" s="78" t="s">
        <v>251</v>
      </c>
      <c r="D103" s="77" t="s">
        <v>204</v>
      </c>
      <c r="E103" s="79">
        <v>1.90625</v>
      </c>
      <c r="F103" s="77" t="s">
        <v>98</v>
      </c>
      <c r="G103" s="80">
        <v>9</v>
      </c>
      <c r="H103" s="81" t="s">
        <v>239</v>
      </c>
    </row>
    <row r="104" spans="1:8" ht="19.8" customHeight="1" x14ac:dyDescent="0.3">
      <c r="A104" s="68">
        <v>45983</v>
      </c>
      <c r="B104" s="60" t="s">
        <v>235</v>
      </c>
      <c r="C104" s="61" t="s">
        <v>236</v>
      </c>
      <c r="D104" s="60" t="s">
        <v>204</v>
      </c>
      <c r="E104" s="69">
        <v>1.493055555555556</v>
      </c>
      <c r="F104" s="60" t="s">
        <v>98</v>
      </c>
      <c r="G104" s="62">
        <v>9</v>
      </c>
      <c r="H104" s="63" t="s">
        <v>331</v>
      </c>
    </row>
    <row r="105" spans="1:8" ht="19.8" customHeight="1" x14ac:dyDescent="0.3">
      <c r="A105" s="68">
        <v>45983</v>
      </c>
      <c r="B105" s="60" t="s">
        <v>26</v>
      </c>
      <c r="C105" s="61" t="s">
        <v>228</v>
      </c>
      <c r="D105" s="60" t="s">
        <v>204</v>
      </c>
      <c r="E105" s="69">
        <v>1.836805555555556</v>
      </c>
      <c r="F105" s="60" t="s">
        <v>28</v>
      </c>
      <c r="G105" s="62">
        <v>9</v>
      </c>
      <c r="H105" s="63" t="s">
        <v>319</v>
      </c>
    </row>
    <row r="106" spans="1:8" ht="19.8" customHeight="1" x14ac:dyDescent="0.3">
      <c r="A106" s="68">
        <v>45983</v>
      </c>
      <c r="B106" s="60" t="s">
        <v>26</v>
      </c>
      <c r="C106" s="61" t="s">
        <v>231</v>
      </c>
      <c r="D106" s="60" t="s">
        <v>204</v>
      </c>
      <c r="E106" s="69">
        <v>1.3472222222222221</v>
      </c>
      <c r="F106" s="60" t="s">
        <v>28</v>
      </c>
      <c r="G106" s="62">
        <v>9</v>
      </c>
      <c r="H106" s="63" t="s">
        <v>319</v>
      </c>
    </row>
    <row r="107" spans="1:8" ht="19.8" customHeight="1" x14ac:dyDescent="0.3">
      <c r="A107" s="68">
        <v>45983</v>
      </c>
      <c r="B107" s="60" t="s">
        <v>260</v>
      </c>
      <c r="C107" s="61" t="s">
        <v>261</v>
      </c>
      <c r="D107" s="60" t="s">
        <v>204</v>
      </c>
      <c r="E107" s="69">
        <v>1.1284722222222221</v>
      </c>
      <c r="F107" s="60" t="s">
        <v>262</v>
      </c>
      <c r="G107" s="62">
        <v>4</v>
      </c>
      <c r="H107" s="63" t="s">
        <v>333</v>
      </c>
    </row>
    <row r="108" spans="1:8" ht="19.8" customHeight="1" x14ac:dyDescent="0.3">
      <c r="A108" s="68">
        <v>45983</v>
      </c>
      <c r="B108" s="60" t="s">
        <v>260</v>
      </c>
      <c r="C108" s="61" t="s">
        <v>335</v>
      </c>
      <c r="D108" s="60" t="s">
        <v>204</v>
      </c>
      <c r="E108" s="69">
        <v>1.055555555555556</v>
      </c>
      <c r="F108" s="60" t="s">
        <v>262</v>
      </c>
      <c r="G108" s="62">
        <v>6</v>
      </c>
      <c r="H108" s="63" t="s">
        <v>333</v>
      </c>
    </row>
    <row r="109" spans="1:8" ht="19.8" customHeight="1" x14ac:dyDescent="0.3">
      <c r="A109" s="68">
        <v>45983</v>
      </c>
      <c r="B109" s="60" t="s">
        <v>26</v>
      </c>
      <c r="C109" s="61" t="s">
        <v>219</v>
      </c>
      <c r="D109" s="60" t="s">
        <v>204</v>
      </c>
      <c r="E109" s="69">
        <v>1.944444444444444</v>
      </c>
      <c r="F109" s="60" t="s">
        <v>31</v>
      </c>
      <c r="G109" s="62">
        <v>9</v>
      </c>
      <c r="H109" s="63" t="s">
        <v>35</v>
      </c>
    </row>
    <row r="110" spans="1:8" ht="19.8" customHeight="1" x14ac:dyDescent="0.3">
      <c r="A110" s="68">
        <v>45983</v>
      </c>
      <c r="B110" s="60" t="s">
        <v>26</v>
      </c>
      <c r="C110" s="61" t="s">
        <v>232</v>
      </c>
      <c r="D110" s="60" t="s">
        <v>204</v>
      </c>
      <c r="E110" s="69">
        <v>1.75</v>
      </c>
      <c r="F110" s="60" t="s">
        <v>31</v>
      </c>
      <c r="G110" s="62">
        <v>5</v>
      </c>
      <c r="H110" s="63" t="s">
        <v>35</v>
      </c>
    </row>
    <row r="111" spans="1:8" ht="19.8" customHeight="1" x14ac:dyDescent="0.3">
      <c r="A111" s="68">
        <v>45983</v>
      </c>
      <c r="B111" s="60" t="s">
        <v>26</v>
      </c>
      <c r="C111" s="61" t="s">
        <v>229</v>
      </c>
      <c r="D111" s="60" t="s">
        <v>204</v>
      </c>
      <c r="E111" s="69">
        <v>1.8888888888888891</v>
      </c>
      <c r="F111" s="60" t="s">
        <v>31</v>
      </c>
      <c r="G111" s="62">
        <v>9</v>
      </c>
      <c r="H111" s="63" t="s">
        <v>35</v>
      </c>
    </row>
    <row r="112" spans="1:8" ht="19.8" customHeight="1" x14ac:dyDescent="0.3">
      <c r="A112" s="68">
        <v>45983</v>
      </c>
      <c r="B112" s="60" t="s">
        <v>26</v>
      </c>
      <c r="C112" s="61" t="s">
        <v>234</v>
      </c>
      <c r="D112" s="60" t="s">
        <v>204</v>
      </c>
      <c r="E112" s="69">
        <v>1.4861111111111109</v>
      </c>
      <c r="F112" s="60" t="s">
        <v>31</v>
      </c>
      <c r="G112" s="62">
        <v>4</v>
      </c>
      <c r="H112" s="63" t="s">
        <v>35</v>
      </c>
    </row>
    <row r="113" spans="1:8" ht="19.8" customHeight="1" x14ac:dyDescent="0.3">
      <c r="A113" s="68">
        <v>45983</v>
      </c>
      <c r="B113" s="60" t="s">
        <v>26</v>
      </c>
      <c r="C113" s="61" t="s">
        <v>222</v>
      </c>
      <c r="D113" s="60" t="s">
        <v>204</v>
      </c>
      <c r="E113" s="69">
        <v>1.993055555555556</v>
      </c>
      <c r="F113" s="60" t="s">
        <v>31</v>
      </c>
      <c r="G113" s="62">
        <v>1</v>
      </c>
      <c r="H113" s="63" t="s">
        <v>35</v>
      </c>
    </row>
    <row r="114" spans="1:8" ht="19.8" customHeight="1" x14ac:dyDescent="0.3">
      <c r="A114" s="68">
        <v>45983</v>
      </c>
      <c r="B114" s="60" t="s">
        <v>26</v>
      </c>
      <c r="C114" s="61" t="s">
        <v>228</v>
      </c>
      <c r="D114" s="60" t="s">
        <v>204</v>
      </c>
      <c r="E114" s="69">
        <v>1.836805555555556</v>
      </c>
      <c r="F114" s="60" t="s">
        <v>31</v>
      </c>
      <c r="G114" s="62">
        <v>9</v>
      </c>
      <c r="H114" s="63" t="s">
        <v>320</v>
      </c>
    </row>
    <row r="115" spans="1:8" ht="19.8" customHeight="1" x14ac:dyDescent="0.3">
      <c r="A115" s="68">
        <v>45983</v>
      </c>
      <c r="B115" s="60" t="s">
        <v>26</v>
      </c>
      <c r="C115" s="61" t="s">
        <v>231</v>
      </c>
      <c r="D115" s="60" t="s">
        <v>204</v>
      </c>
      <c r="E115" s="69">
        <v>1.3472222222222221</v>
      </c>
      <c r="F115" s="60" t="s">
        <v>31</v>
      </c>
      <c r="G115" s="62">
        <v>9</v>
      </c>
      <c r="H115" s="63" t="s">
        <v>320</v>
      </c>
    </row>
    <row r="116" spans="1:8" ht="19.8" customHeight="1" x14ac:dyDescent="0.3">
      <c r="A116" s="68">
        <v>45983</v>
      </c>
      <c r="B116" s="60" t="s">
        <v>26</v>
      </c>
      <c r="C116" s="61" t="s">
        <v>219</v>
      </c>
      <c r="D116" s="60" t="s">
        <v>204</v>
      </c>
      <c r="E116" s="69">
        <v>1.944444444444444</v>
      </c>
      <c r="F116" s="60" t="s">
        <v>34</v>
      </c>
      <c r="G116" s="62">
        <v>9</v>
      </c>
      <c r="H116" s="63" t="s">
        <v>233</v>
      </c>
    </row>
    <row r="117" spans="1:8" ht="19.8" customHeight="1" x14ac:dyDescent="0.3">
      <c r="A117" s="68">
        <v>45983</v>
      </c>
      <c r="B117" s="60" t="s">
        <v>26</v>
      </c>
      <c r="C117" s="61" t="s">
        <v>232</v>
      </c>
      <c r="D117" s="60" t="s">
        <v>204</v>
      </c>
      <c r="E117" s="69">
        <v>1.75</v>
      </c>
      <c r="F117" s="60" t="s">
        <v>34</v>
      </c>
      <c r="G117" s="62">
        <v>5</v>
      </c>
      <c r="H117" s="63" t="s">
        <v>233</v>
      </c>
    </row>
    <row r="118" spans="1:8" ht="19.8" customHeight="1" x14ac:dyDescent="0.3">
      <c r="A118" s="68">
        <v>45983</v>
      </c>
      <c r="B118" s="60" t="s">
        <v>26</v>
      </c>
      <c r="C118" s="61" t="s">
        <v>229</v>
      </c>
      <c r="D118" s="60" t="s">
        <v>204</v>
      </c>
      <c r="E118" s="69">
        <v>1.8888888888888891</v>
      </c>
      <c r="F118" s="60" t="s">
        <v>34</v>
      </c>
      <c r="G118" s="62">
        <v>9</v>
      </c>
      <c r="H118" s="63" t="s">
        <v>233</v>
      </c>
    </row>
    <row r="119" spans="1:8" ht="19.8" customHeight="1" x14ac:dyDescent="0.3">
      <c r="A119" s="68">
        <v>45983</v>
      </c>
      <c r="B119" s="60" t="s">
        <v>26</v>
      </c>
      <c r="C119" s="61" t="s">
        <v>234</v>
      </c>
      <c r="D119" s="60" t="s">
        <v>204</v>
      </c>
      <c r="E119" s="69">
        <v>1.4861111111111109</v>
      </c>
      <c r="F119" s="60" t="s">
        <v>34</v>
      </c>
      <c r="G119" s="62">
        <v>4</v>
      </c>
      <c r="H119" s="63" t="s">
        <v>233</v>
      </c>
    </row>
    <row r="120" spans="1:8" ht="19.8" customHeight="1" x14ac:dyDescent="0.3">
      <c r="A120" s="68">
        <v>45983</v>
      </c>
      <c r="B120" s="60" t="s">
        <v>26</v>
      </c>
      <c r="C120" s="61" t="s">
        <v>222</v>
      </c>
      <c r="D120" s="60" t="s">
        <v>204</v>
      </c>
      <c r="E120" s="69">
        <v>1.993055555555556</v>
      </c>
      <c r="F120" s="60" t="s">
        <v>34</v>
      </c>
      <c r="G120" s="62">
        <v>1</v>
      </c>
      <c r="H120" s="63" t="s">
        <v>233</v>
      </c>
    </row>
    <row r="121" spans="1:8" ht="19.8" customHeight="1" x14ac:dyDescent="0.3">
      <c r="A121" s="68">
        <v>45983</v>
      </c>
      <c r="B121" s="60" t="s">
        <v>42</v>
      </c>
      <c r="C121" s="61" t="s">
        <v>205</v>
      </c>
      <c r="D121" s="60" t="s">
        <v>204</v>
      </c>
      <c r="E121" s="69">
        <v>1.489583333333333</v>
      </c>
      <c r="F121" s="60" t="s">
        <v>49</v>
      </c>
      <c r="G121" s="62">
        <v>9</v>
      </c>
      <c r="H121" s="63" t="s">
        <v>50</v>
      </c>
    </row>
    <row r="122" spans="1:8" ht="19.8" customHeight="1" x14ac:dyDescent="0.3">
      <c r="A122" s="68">
        <v>45983</v>
      </c>
      <c r="B122" s="60" t="s">
        <v>42</v>
      </c>
      <c r="C122" s="61" t="s">
        <v>211</v>
      </c>
      <c r="D122" s="60" t="s">
        <v>204</v>
      </c>
      <c r="E122" s="69">
        <v>1.399305555555556</v>
      </c>
      <c r="F122" s="60" t="s">
        <v>49</v>
      </c>
      <c r="G122" s="62">
        <v>13</v>
      </c>
      <c r="H122" s="63" t="s">
        <v>50</v>
      </c>
    </row>
    <row r="123" spans="1:8" ht="19.8" customHeight="1" x14ac:dyDescent="0.3">
      <c r="A123" s="68">
        <v>45983</v>
      </c>
      <c r="B123" s="60" t="s">
        <v>42</v>
      </c>
      <c r="C123" s="61" t="s">
        <v>214</v>
      </c>
      <c r="D123" s="60" t="s">
        <v>204</v>
      </c>
      <c r="E123" s="69">
        <v>1.989583333333333</v>
      </c>
      <c r="F123" s="60" t="s">
        <v>49</v>
      </c>
      <c r="G123" s="62">
        <v>11</v>
      </c>
      <c r="H123" s="63" t="s">
        <v>50</v>
      </c>
    </row>
    <row r="124" spans="1:8" ht="19.8" customHeight="1" x14ac:dyDescent="0.3">
      <c r="A124" s="68">
        <v>45983</v>
      </c>
      <c r="B124" s="60" t="s">
        <v>67</v>
      </c>
      <c r="C124" s="61" t="s">
        <v>336</v>
      </c>
      <c r="D124" s="60" t="s">
        <v>204</v>
      </c>
      <c r="E124" s="69">
        <v>1.368055555555556</v>
      </c>
      <c r="F124" s="60" t="s">
        <v>69</v>
      </c>
      <c r="G124" s="62">
        <v>9</v>
      </c>
      <c r="H124" s="63" t="s">
        <v>305</v>
      </c>
    </row>
    <row r="125" spans="1:8" ht="19.8" customHeight="1" x14ac:dyDescent="0.3">
      <c r="A125" s="68">
        <v>45983</v>
      </c>
      <c r="B125" s="60" t="s">
        <v>67</v>
      </c>
      <c r="C125" s="61" t="s">
        <v>279</v>
      </c>
      <c r="D125" s="60" t="s">
        <v>204</v>
      </c>
      <c r="E125" s="69">
        <v>1.7847222222222221</v>
      </c>
      <c r="F125" s="60" t="s">
        <v>69</v>
      </c>
      <c r="G125" s="62">
        <v>9</v>
      </c>
      <c r="H125" s="63" t="s">
        <v>305</v>
      </c>
    </row>
    <row r="126" spans="1:8" ht="19.8" customHeight="1" x14ac:dyDescent="0.3">
      <c r="A126" s="68">
        <v>45983</v>
      </c>
      <c r="B126" s="60" t="s">
        <v>67</v>
      </c>
      <c r="C126" s="61" t="s">
        <v>288</v>
      </c>
      <c r="D126" s="60" t="s">
        <v>204</v>
      </c>
      <c r="E126" s="69">
        <v>1.836805555555556</v>
      </c>
      <c r="F126" s="60" t="s">
        <v>69</v>
      </c>
      <c r="G126" s="62">
        <v>9</v>
      </c>
      <c r="H126" s="63" t="s">
        <v>306</v>
      </c>
    </row>
    <row r="127" spans="1:8" ht="19.8" customHeight="1" x14ac:dyDescent="0.3">
      <c r="A127" s="68">
        <v>45983</v>
      </c>
      <c r="B127" s="60" t="s">
        <v>26</v>
      </c>
      <c r="C127" s="61" t="s">
        <v>228</v>
      </c>
      <c r="D127" s="60" t="s">
        <v>204</v>
      </c>
      <c r="E127" s="69">
        <v>1.836805555555556</v>
      </c>
      <c r="F127" s="60" t="s">
        <v>34</v>
      </c>
      <c r="G127" s="62">
        <v>9</v>
      </c>
      <c r="H127" s="63" t="s">
        <v>321</v>
      </c>
    </row>
    <row r="128" spans="1:8" ht="19.8" customHeight="1" x14ac:dyDescent="0.3">
      <c r="A128" s="68">
        <v>45983</v>
      </c>
      <c r="B128" s="60" t="s">
        <v>26</v>
      </c>
      <c r="C128" s="61" t="s">
        <v>231</v>
      </c>
      <c r="D128" s="60" t="s">
        <v>204</v>
      </c>
      <c r="E128" s="69">
        <v>1.3472222222222221</v>
      </c>
      <c r="F128" s="60" t="s">
        <v>34</v>
      </c>
      <c r="G128" s="62">
        <v>9</v>
      </c>
      <c r="H128" s="63" t="s">
        <v>321</v>
      </c>
    </row>
    <row r="129" spans="1:8" ht="19.8" customHeight="1" x14ac:dyDescent="0.3">
      <c r="A129" s="68">
        <v>45983</v>
      </c>
      <c r="B129" s="60" t="s">
        <v>67</v>
      </c>
      <c r="C129" s="61" t="s">
        <v>281</v>
      </c>
      <c r="D129" s="60" t="s">
        <v>204</v>
      </c>
      <c r="E129" s="69">
        <v>1.5972222222222221</v>
      </c>
      <c r="F129" s="60" t="s">
        <v>69</v>
      </c>
      <c r="G129" s="62">
        <v>9</v>
      </c>
      <c r="H129" s="63" t="s">
        <v>307</v>
      </c>
    </row>
    <row r="130" spans="1:8" ht="19.8" customHeight="1" x14ac:dyDescent="0.3">
      <c r="A130" s="68">
        <v>45983</v>
      </c>
      <c r="B130" s="60" t="s">
        <v>67</v>
      </c>
      <c r="C130" s="61" t="s">
        <v>286</v>
      </c>
      <c r="D130" s="60" t="s">
        <v>204</v>
      </c>
      <c r="E130" s="69">
        <v>1.0486111111111109</v>
      </c>
      <c r="F130" s="60" t="s">
        <v>69</v>
      </c>
      <c r="G130" s="62">
        <v>9</v>
      </c>
      <c r="H130" s="63" t="s">
        <v>307</v>
      </c>
    </row>
    <row r="131" spans="1:8" ht="19.8" customHeight="1" x14ac:dyDescent="0.3">
      <c r="A131" s="68">
        <v>45983</v>
      </c>
      <c r="B131" s="60" t="s">
        <v>260</v>
      </c>
      <c r="C131" s="61" t="s">
        <v>261</v>
      </c>
      <c r="D131" s="60" t="s">
        <v>204</v>
      </c>
      <c r="E131" s="69">
        <v>1.1284722222222221</v>
      </c>
      <c r="F131" s="60" t="s">
        <v>49</v>
      </c>
      <c r="G131" s="62">
        <v>4</v>
      </c>
      <c r="H131" s="63" t="s">
        <v>334</v>
      </c>
    </row>
    <row r="132" spans="1:8" ht="19.8" customHeight="1" x14ac:dyDescent="0.3">
      <c r="A132" s="68">
        <v>45983</v>
      </c>
      <c r="B132" s="60" t="s">
        <v>260</v>
      </c>
      <c r="C132" s="61" t="s">
        <v>335</v>
      </c>
      <c r="D132" s="60" t="s">
        <v>204</v>
      </c>
      <c r="E132" s="69">
        <v>1.055555555555556</v>
      </c>
      <c r="F132" s="60" t="s">
        <v>49</v>
      </c>
      <c r="G132" s="62">
        <v>6</v>
      </c>
      <c r="H132" s="63" t="s">
        <v>334</v>
      </c>
    </row>
    <row r="133" spans="1:8" ht="19.8" customHeight="1" x14ac:dyDescent="0.3">
      <c r="A133" s="68">
        <v>45983</v>
      </c>
      <c r="B133" s="60" t="s">
        <v>51</v>
      </c>
      <c r="C133" s="61" t="s">
        <v>272</v>
      </c>
      <c r="D133" s="60" t="s">
        <v>204</v>
      </c>
      <c r="E133" s="69">
        <v>1.118055555555556</v>
      </c>
      <c r="F133" s="60" t="s">
        <v>56</v>
      </c>
      <c r="G133" s="62">
        <v>2</v>
      </c>
      <c r="H133" s="63" t="s">
        <v>266</v>
      </c>
    </row>
    <row r="134" spans="1:8" ht="19.8" customHeight="1" x14ac:dyDescent="0.3">
      <c r="A134" s="68">
        <v>45983</v>
      </c>
      <c r="B134" s="60" t="s">
        <v>51</v>
      </c>
      <c r="C134" s="61" t="s">
        <v>274</v>
      </c>
      <c r="D134" s="60" t="s">
        <v>204</v>
      </c>
      <c r="E134" s="69">
        <v>1.2534722222222221</v>
      </c>
      <c r="F134" s="60" t="s">
        <v>56</v>
      </c>
      <c r="G134" s="62">
        <v>9</v>
      </c>
      <c r="H134" s="63" t="s">
        <v>266</v>
      </c>
    </row>
    <row r="135" spans="1:8" ht="19.8" customHeight="1" x14ac:dyDescent="0.3">
      <c r="A135" s="68">
        <v>45983</v>
      </c>
      <c r="B135" s="60" t="s">
        <v>51</v>
      </c>
      <c r="C135" s="61" t="s">
        <v>265</v>
      </c>
      <c r="D135" s="60" t="s">
        <v>204</v>
      </c>
      <c r="E135" s="69">
        <v>1.9409722222222221</v>
      </c>
      <c r="F135" s="60" t="s">
        <v>56</v>
      </c>
      <c r="G135" s="62">
        <v>8</v>
      </c>
      <c r="H135" s="63" t="s">
        <v>266</v>
      </c>
    </row>
    <row r="136" spans="1:8" ht="19.8" customHeight="1" x14ac:dyDescent="0.3">
      <c r="A136" s="68">
        <v>45983</v>
      </c>
      <c r="B136" s="60" t="s">
        <v>51</v>
      </c>
      <c r="C136" s="61" t="s">
        <v>310</v>
      </c>
      <c r="D136" s="60" t="s">
        <v>204</v>
      </c>
      <c r="E136" s="69">
        <v>1.489583333333333</v>
      </c>
      <c r="F136" s="60" t="s">
        <v>56</v>
      </c>
      <c r="G136" s="62">
        <v>3</v>
      </c>
      <c r="H136" s="63" t="s">
        <v>266</v>
      </c>
    </row>
    <row r="137" spans="1:8" ht="19.8" customHeight="1" x14ac:dyDescent="0.3">
      <c r="A137" s="68">
        <v>45983</v>
      </c>
      <c r="B137" s="60" t="s">
        <v>51</v>
      </c>
      <c r="C137" s="61" t="s">
        <v>276</v>
      </c>
      <c r="D137" s="60" t="s">
        <v>204</v>
      </c>
      <c r="E137" s="69">
        <v>1.7048611111111109</v>
      </c>
      <c r="F137" s="60" t="s">
        <v>56</v>
      </c>
      <c r="G137" s="62">
        <v>1</v>
      </c>
      <c r="H137" s="63" t="s">
        <v>266</v>
      </c>
    </row>
    <row r="138" spans="1:8" ht="19.8" customHeight="1" x14ac:dyDescent="0.3">
      <c r="A138" s="68">
        <v>45983</v>
      </c>
      <c r="B138" s="60" t="s">
        <v>67</v>
      </c>
      <c r="C138" s="61" t="s">
        <v>283</v>
      </c>
      <c r="D138" s="60" t="s">
        <v>204</v>
      </c>
      <c r="E138" s="69">
        <v>1.104166666666667</v>
      </c>
      <c r="F138" s="60" t="s">
        <v>69</v>
      </c>
      <c r="G138" s="62">
        <v>9</v>
      </c>
      <c r="H138" s="63" t="s">
        <v>280</v>
      </c>
    </row>
    <row r="139" spans="1:8" ht="19.8" customHeight="1" x14ac:dyDescent="0.3">
      <c r="A139" s="68">
        <v>45983</v>
      </c>
      <c r="B139" s="60" t="s">
        <v>51</v>
      </c>
      <c r="C139" s="61" t="s">
        <v>267</v>
      </c>
      <c r="D139" s="60" t="s">
        <v>204</v>
      </c>
      <c r="E139" s="69">
        <v>1.989583333333333</v>
      </c>
      <c r="F139" s="60" t="s">
        <v>56</v>
      </c>
      <c r="G139" s="62">
        <v>4</v>
      </c>
      <c r="H139" s="63" t="s">
        <v>268</v>
      </c>
    </row>
    <row r="140" spans="1:8" ht="19.8" customHeight="1" x14ac:dyDescent="0.3">
      <c r="A140" s="68">
        <v>45983</v>
      </c>
      <c r="B140" s="60" t="s">
        <v>51</v>
      </c>
      <c r="C140" s="61" t="s">
        <v>269</v>
      </c>
      <c r="D140" s="60" t="s">
        <v>204</v>
      </c>
      <c r="E140" s="69">
        <v>1.8888888888888891</v>
      </c>
      <c r="F140" s="60" t="s">
        <v>56</v>
      </c>
      <c r="G140" s="62">
        <v>4</v>
      </c>
      <c r="H140" s="63" t="s">
        <v>268</v>
      </c>
    </row>
    <row r="141" spans="1:8" ht="19.8" customHeight="1" x14ac:dyDescent="0.3">
      <c r="A141" s="68">
        <v>45983</v>
      </c>
      <c r="B141" s="60" t="s">
        <v>51</v>
      </c>
      <c r="C141" s="61" t="s">
        <v>270</v>
      </c>
      <c r="D141" s="60" t="s">
        <v>204</v>
      </c>
      <c r="E141" s="69">
        <v>1.399305555555556</v>
      </c>
      <c r="F141" s="60" t="s">
        <v>56</v>
      </c>
      <c r="G141" s="62">
        <v>4</v>
      </c>
      <c r="H141" s="63" t="s">
        <v>268</v>
      </c>
    </row>
    <row r="142" spans="1:8" ht="19.8" customHeight="1" x14ac:dyDescent="0.3">
      <c r="A142" s="68">
        <v>45983</v>
      </c>
      <c r="B142" s="60" t="s">
        <v>51</v>
      </c>
      <c r="C142" s="61" t="s">
        <v>271</v>
      </c>
      <c r="D142" s="60" t="s">
        <v>204</v>
      </c>
      <c r="E142" s="69">
        <v>1.489583333333333</v>
      </c>
      <c r="F142" s="60" t="s">
        <v>56</v>
      </c>
      <c r="G142" s="62">
        <v>4</v>
      </c>
      <c r="H142" s="63" t="s">
        <v>268</v>
      </c>
    </row>
    <row r="143" spans="1:8" ht="19.8" customHeight="1" x14ac:dyDescent="0.3">
      <c r="A143" s="68">
        <v>45983</v>
      </c>
      <c r="B143" s="60" t="s">
        <v>42</v>
      </c>
      <c r="C143" s="61" t="s">
        <v>216</v>
      </c>
      <c r="D143" s="60" t="s">
        <v>204</v>
      </c>
      <c r="E143" s="69">
        <v>1.8888888888888891</v>
      </c>
      <c r="F143" s="60" t="s">
        <v>49</v>
      </c>
      <c r="G143" s="62">
        <v>8</v>
      </c>
      <c r="H143" s="63" t="s">
        <v>210</v>
      </c>
    </row>
    <row r="144" spans="1:8" ht="19.8" customHeight="1" x14ac:dyDescent="0.3">
      <c r="A144" s="68">
        <v>45983</v>
      </c>
      <c r="B144" s="60" t="s">
        <v>51</v>
      </c>
      <c r="C144" s="61" t="s">
        <v>275</v>
      </c>
      <c r="D144" s="60" t="s">
        <v>204</v>
      </c>
      <c r="E144" s="69">
        <v>1.8298611111111109</v>
      </c>
      <c r="F144" s="60" t="s">
        <v>56</v>
      </c>
      <c r="G144" s="62">
        <v>9</v>
      </c>
      <c r="H144" s="63" t="s">
        <v>338</v>
      </c>
    </row>
    <row r="145" spans="1:8" ht="19.8" customHeight="1" x14ac:dyDescent="0.3">
      <c r="A145" s="68">
        <v>45983</v>
      </c>
      <c r="B145" s="60" t="s">
        <v>67</v>
      </c>
      <c r="C145" s="61" t="s">
        <v>284</v>
      </c>
      <c r="D145" s="60" t="s">
        <v>204</v>
      </c>
      <c r="E145" s="69">
        <v>1.9722222222222221</v>
      </c>
      <c r="F145" s="60" t="s">
        <v>69</v>
      </c>
      <c r="G145" s="62">
        <v>9</v>
      </c>
      <c r="H145" s="63" t="s">
        <v>337</v>
      </c>
    </row>
    <row r="146" spans="1:8" ht="19.8" customHeight="1" x14ac:dyDescent="0.3">
      <c r="A146" s="68">
        <v>45983</v>
      </c>
      <c r="B146" s="60" t="s">
        <v>51</v>
      </c>
      <c r="C146" s="61" t="s">
        <v>309</v>
      </c>
      <c r="D146" s="60" t="s">
        <v>204</v>
      </c>
      <c r="E146" s="69">
        <v>1.041666666666667</v>
      </c>
      <c r="F146" s="60" t="s">
        <v>56</v>
      </c>
      <c r="G146" s="62">
        <v>1</v>
      </c>
      <c r="H146" s="63" t="s">
        <v>273</v>
      </c>
    </row>
    <row r="147" spans="1:8" ht="19.8" customHeight="1" x14ac:dyDescent="0.3">
      <c r="A147" s="68">
        <v>45983</v>
      </c>
      <c r="B147" s="60" t="s">
        <v>67</v>
      </c>
      <c r="C147" s="61" t="s">
        <v>308</v>
      </c>
      <c r="D147" s="60" t="s">
        <v>204</v>
      </c>
      <c r="E147" s="69">
        <v>1.3125</v>
      </c>
      <c r="F147" s="60" t="s">
        <v>69</v>
      </c>
      <c r="G147" s="62">
        <v>7</v>
      </c>
      <c r="H147" s="63" t="s">
        <v>282</v>
      </c>
    </row>
    <row r="148" spans="1:8" ht="19.8" customHeight="1" x14ac:dyDescent="0.3">
      <c r="A148" s="76">
        <v>45983</v>
      </c>
      <c r="B148" s="77" t="s">
        <v>78</v>
      </c>
      <c r="C148" s="78" t="s">
        <v>240</v>
      </c>
      <c r="D148" s="77" t="s">
        <v>204</v>
      </c>
      <c r="E148" s="79">
        <v>1.0486111111111109</v>
      </c>
      <c r="F148" s="77" t="s">
        <v>80</v>
      </c>
      <c r="G148" s="77"/>
      <c r="H148" s="81" t="s">
        <v>81</v>
      </c>
    </row>
    <row r="149" spans="1:8" ht="19.8" customHeight="1" x14ac:dyDescent="0.3">
      <c r="A149" s="82">
        <v>45983</v>
      </c>
      <c r="B149" s="65" t="s">
        <v>78</v>
      </c>
      <c r="C149" s="66" t="s">
        <v>256</v>
      </c>
      <c r="D149" s="65" t="s">
        <v>204</v>
      </c>
      <c r="E149" s="83">
        <v>1.5034722222222221</v>
      </c>
      <c r="F149" s="65" t="s">
        <v>80</v>
      </c>
      <c r="G149" s="65"/>
      <c r="H149" s="67" t="s">
        <v>81</v>
      </c>
    </row>
  </sheetData>
  <pageMargins left="0.75" right="0.75" top="1" bottom="1" header="0.5" footer="0.5"/>
  <legacyDrawing r:id="rId1"/>
  <tableParts count="1">
    <tablePart r:id="rId2"/>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22"/>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29.5546875" bestFit="1" customWidth="1"/>
    <col min="7" max="7" width="20" bestFit="1" customWidth="1"/>
    <col min="8" max="8" width="23.6640625" bestFit="1" customWidth="1"/>
    <col min="9" max="9" width="194.88671875" hidden="1" customWidth="1"/>
  </cols>
  <sheetData>
    <row r="1" spans="1:8" ht="18" x14ac:dyDescent="0.3">
      <c r="A1" s="56" t="s">
        <v>149</v>
      </c>
      <c r="B1" s="57" t="s">
        <v>8</v>
      </c>
      <c r="C1" s="57" t="s">
        <v>9</v>
      </c>
      <c r="D1" s="57" t="s">
        <v>150</v>
      </c>
      <c r="E1" s="57" t="s">
        <v>10</v>
      </c>
      <c r="F1" s="57" t="s">
        <v>11</v>
      </c>
      <c r="G1" s="57" t="s">
        <v>12</v>
      </c>
      <c r="H1" s="58" t="s">
        <v>13</v>
      </c>
    </row>
    <row r="2" spans="1:8" ht="19.8" customHeight="1" x14ac:dyDescent="0.3">
      <c r="A2" s="99" t="s">
        <v>151</v>
      </c>
      <c r="B2" s="77" t="s">
        <v>78</v>
      </c>
      <c r="C2" s="78" t="s">
        <v>238</v>
      </c>
      <c r="D2" s="77" t="s">
        <v>204</v>
      </c>
      <c r="E2" s="77" t="s">
        <v>156</v>
      </c>
      <c r="F2" s="77" t="s">
        <v>98</v>
      </c>
      <c r="G2" s="80">
        <v>5</v>
      </c>
      <c r="H2" s="81" t="s">
        <v>239</v>
      </c>
    </row>
    <row r="3" spans="1:8" ht="19.8" customHeight="1" x14ac:dyDescent="0.3">
      <c r="A3" s="76">
        <v>45981</v>
      </c>
      <c r="B3" s="77" t="s">
        <v>78</v>
      </c>
      <c r="C3" s="78" t="s">
        <v>243</v>
      </c>
      <c r="D3" s="77" t="s">
        <v>204</v>
      </c>
      <c r="E3" s="79">
        <v>1.1875</v>
      </c>
      <c r="F3" s="77" t="s">
        <v>98</v>
      </c>
      <c r="G3" s="80">
        <v>6</v>
      </c>
      <c r="H3" s="81" t="s">
        <v>239</v>
      </c>
    </row>
    <row r="4" spans="1:8" ht="19.8" customHeight="1" x14ac:dyDescent="0.3">
      <c r="A4" s="76">
        <v>45981</v>
      </c>
      <c r="B4" s="77" t="s">
        <v>78</v>
      </c>
      <c r="C4" s="78" t="s">
        <v>247</v>
      </c>
      <c r="D4" s="77" t="s">
        <v>204</v>
      </c>
      <c r="E4" s="79">
        <v>1.15625</v>
      </c>
      <c r="F4" s="77" t="s">
        <v>98</v>
      </c>
      <c r="G4" s="80">
        <v>3</v>
      </c>
      <c r="H4" s="81" t="s">
        <v>239</v>
      </c>
    </row>
    <row r="5" spans="1:8" ht="19.8" customHeight="1" x14ac:dyDescent="0.3">
      <c r="A5" s="76">
        <v>45981</v>
      </c>
      <c r="B5" s="77" t="s">
        <v>78</v>
      </c>
      <c r="C5" s="78" t="s">
        <v>251</v>
      </c>
      <c r="D5" s="77" t="s">
        <v>204</v>
      </c>
      <c r="E5" s="79">
        <v>1.9375</v>
      </c>
      <c r="F5" s="77" t="s">
        <v>98</v>
      </c>
      <c r="G5" s="80">
        <v>9</v>
      </c>
      <c r="H5" s="81" t="s">
        <v>252</v>
      </c>
    </row>
    <row r="6" spans="1:8" ht="19.8" customHeight="1" x14ac:dyDescent="0.3">
      <c r="A6" s="68">
        <v>45981</v>
      </c>
      <c r="B6" s="60" t="s">
        <v>260</v>
      </c>
      <c r="C6" s="61" t="s">
        <v>261</v>
      </c>
      <c r="D6" s="60" t="s">
        <v>204</v>
      </c>
      <c r="E6" s="69">
        <v>1.1701388888888891</v>
      </c>
      <c r="F6" s="60" t="s">
        <v>262</v>
      </c>
      <c r="G6" s="62">
        <v>5</v>
      </c>
      <c r="H6" s="63" t="s">
        <v>263</v>
      </c>
    </row>
    <row r="7" spans="1:8" ht="19.8" customHeight="1" x14ac:dyDescent="0.3">
      <c r="A7" s="76">
        <v>45981</v>
      </c>
      <c r="B7" s="77" t="s">
        <v>78</v>
      </c>
      <c r="C7" s="78" t="s">
        <v>256</v>
      </c>
      <c r="D7" s="77" t="s">
        <v>204</v>
      </c>
      <c r="E7" s="79">
        <v>1.40625</v>
      </c>
      <c r="F7" s="77" t="s">
        <v>80</v>
      </c>
      <c r="G7" s="77"/>
      <c r="H7" s="81" t="s">
        <v>81</v>
      </c>
    </row>
    <row r="8" spans="1:8" ht="19.8" customHeight="1" x14ac:dyDescent="0.3">
      <c r="A8" s="82">
        <v>45981</v>
      </c>
      <c r="B8" s="65" t="s">
        <v>78</v>
      </c>
      <c r="C8" s="66" t="s">
        <v>258</v>
      </c>
      <c r="D8" s="65" t="s">
        <v>204</v>
      </c>
      <c r="E8" s="83">
        <v>1.5625</v>
      </c>
      <c r="F8" s="65" t="s">
        <v>80</v>
      </c>
      <c r="G8" s="65"/>
      <c r="H8" s="67" t="s">
        <v>81</v>
      </c>
    </row>
    <row r="9" spans="1:8" ht="19.8" customHeight="1" x14ac:dyDescent="0.3">
      <c r="A9" s="76">
        <v>45982</v>
      </c>
      <c r="B9" s="77" t="s">
        <v>78</v>
      </c>
      <c r="C9" s="78" t="s">
        <v>290</v>
      </c>
      <c r="D9" s="77" t="s">
        <v>204</v>
      </c>
      <c r="E9" s="79">
        <v>1.28125</v>
      </c>
      <c r="F9" s="77" t="s">
        <v>98</v>
      </c>
      <c r="G9" s="80">
        <v>5</v>
      </c>
      <c r="H9" s="81" t="s">
        <v>291</v>
      </c>
    </row>
    <row r="10" spans="1:8" ht="19.8" customHeight="1" x14ac:dyDescent="0.3">
      <c r="A10" s="76">
        <v>45982</v>
      </c>
      <c r="B10" s="77" t="s">
        <v>78</v>
      </c>
      <c r="C10" s="78" t="s">
        <v>247</v>
      </c>
      <c r="D10" s="77" t="s">
        <v>204</v>
      </c>
      <c r="E10" s="79">
        <v>1.1423611111111109</v>
      </c>
      <c r="F10" s="77" t="s">
        <v>98</v>
      </c>
      <c r="G10" s="80">
        <v>3</v>
      </c>
      <c r="H10" s="81" t="s">
        <v>291</v>
      </c>
    </row>
    <row r="11" spans="1:8" ht="19.8" customHeight="1" x14ac:dyDescent="0.3">
      <c r="A11" s="76">
        <v>45982</v>
      </c>
      <c r="B11" s="77" t="s">
        <v>78</v>
      </c>
      <c r="C11" s="78" t="s">
        <v>296</v>
      </c>
      <c r="D11" s="77" t="s">
        <v>204</v>
      </c>
      <c r="E11" s="79">
        <v>1.5590277777777779</v>
      </c>
      <c r="F11" s="77" t="s">
        <v>98</v>
      </c>
      <c r="G11" s="80">
        <v>1</v>
      </c>
      <c r="H11" s="81" t="s">
        <v>291</v>
      </c>
    </row>
    <row r="12" spans="1:8" ht="19.8" customHeight="1" x14ac:dyDescent="0.3">
      <c r="A12" s="76">
        <v>45982</v>
      </c>
      <c r="B12" s="77" t="s">
        <v>78</v>
      </c>
      <c r="C12" s="78" t="s">
        <v>299</v>
      </c>
      <c r="D12" s="77" t="s">
        <v>204</v>
      </c>
      <c r="E12" s="79">
        <v>1.760416666666667</v>
      </c>
      <c r="F12" s="77" t="s">
        <v>98</v>
      </c>
      <c r="G12" s="80">
        <v>9</v>
      </c>
      <c r="H12" s="81" t="s">
        <v>291</v>
      </c>
    </row>
    <row r="13" spans="1:8" ht="19.8" customHeight="1" x14ac:dyDescent="0.3">
      <c r="A13" s="82">
        <v>45982</v>
      </c>
      <c r="B13" s="65" t="s">
        <v>78</v>
      </c>
      <c r="C13" s="66" t="s">
        <v>303</v>
      </c>
      <c r="D13" s="65" t="s">
        <v>204</v>
      </c>
      <c r="E13" s="83">
        <v>1.4375</v>
      </c>
      <c r="F13" s="65" t="s">
        <v>98</v>
      </c>
      <c r="G13" s="84">
        <v>7</v>
      </c>
      <c r="H13" s="67" t="s">
        <v>239</v>
      </c>
    </row>
    <row r="14" spans="1:8" ht="19.8" customHeight="1" x14ac:dyDescent="0.3">
      <c r="A14" s="76">
        <v>45983</v>
      </c>
      <c r="B14" s="77" t="s">
        <v>78</v>
      </c>
      <c r="C14" s="78" t="s">
        <v>247</v>
      </c>
      <c r="D14" s="77" t="s">
        <v>204</v>
      </c>
      <c r="E14" s="79">
        <v>1.15625</v>
      </c>
      <c r="F14" s="77" t="s">
        <v>98</v>
      </c>
      <c r="G14" s="80">
        <v>2</v>
      </c>
      <c r="H14" s="81" t="s">
        <v>291</v>
      </c>
    </row>
    <row r="15" spans="1:8" ht="19.8" customHeight="1" x14ac:dyDescent="0.3">
      <c r="A15" s="68">
        <v>45983</v>
      </c>
      <c r="B15" s="60" t="s">
        <v>42</v>
      </c>
      <c r="C15" s="61" t="s">
        <v>205</v>
      </c>
      <c r="D15" s="60" t="s">
        <v>204</v>
      </c>
      <c r="E15" s="69">
        <v>1.489583333333333</v>
      </c>
      <c r="F15" s="60" t="s">
        <v>47</v>
      </c>
      <c r="G15" s="62">
        <v>9</v>
      </c>
      <c r="H15" s="63" t="s">
        <v>312</v>
      </c>
    </row>
    <row r="16" spans="1:8" ht="19.8" customHeight="1" x14ac:dyDescent="0.3">
      <c r="A16" s="68">
        <v>45983</v>
      </c>
      <c r="B16" s="60" t="s">
        <v>42</v>
      </c>
      <c r="C16" s="61" t="s">
        <v>211</v>
      </c>
      <c r="D16" s="60" t="s">
        <v>204</v>
      </c>
      <c r="E16" s="69">
        <v>1.399305555555556</v>
      </c>
      <c r="F16" s="60" t="s">
        <v>47</v>
      </c>
      <c r="G16" s="62">
        <v>13</v>
      </c>
      <c r="H16" s="63" t="s">
        <v>312</v>
      </c>
    </row>
    <row r="17" spans="1:8" ht="19.8" customHeight="1" x14ac:dyDescent="0.3">
      <c r="A17" s="68">
        <v>45983</v>
      </c>
      <c r="B17" s="60" t="s">
        <v>42</v>
      </c>
      <c r="C17" s="61" t="s">
        <v>214</v>
      </c>
      <c r="D17" s="60" t="s">
        <v>204</v>
      </c>
      <c r="E17" s="69">
        <v>1.989583333333333</v>
      </c>
      <c r="F17" s="60" t="s">
        <v>47</v>
      </c>
      <c r="G17" s="62">
        <v>11</v>
      </c>
      <c r="H17" s="63" t="s">
        <v>312</v>
      </c>
    </row>
    <row r="18" spans="1:8" ht="19.8" customHeight="1" x14ac:dyDescent="0.3">
      <c r="A18" s="68">
        <v>45983</v>
      </c>
      <c r="B18" s="60" t="s">
        <v>42</v>
      </c>
      <c r="C18" s="61" t="s">
        <v>216</v>
      </c>
      <c r="D18" s="60" t="s">
        <v>204</v>
      </c>
      <c r="E18" s="69">
        <v>1.8888888888888891</v>
      </c>
      <c r="F18" s="60" t="s">
        <v>47</v>
      </c>
      <c r="G18" s="62">
        <v>8</v>
      </c>
      <c r="H18" s="63" t="s">
        <v>312</v>
      </c>
    </row>
    <row r="19" spans="1:8" ht="19.8" customHeight="1" x14ac:dyDescent="0.3">
      <c r="A19" s="76">
        <v>45983</v>
      </c>
      <c r="B19" s="77" t="s">
        <v>78</v>
      </c>
      <c r="C19" s="78" t="s">
        <v>251</v>
      </c>
      <c r="D19" s="77" t="s">
        <v>204</v>
      </c>
      <c r="E19" s="79">
        <v>1.90625</v>
      </c>
      <c r="F19" s="77" t="s">
        <v>98</v>
      </c>
      <c r="G19" s="80">
        <v>9</v>
      </c>
      <c r="H19" s="81" t="s">
        <v>239</v>
      </c>
    </row>
    <row r="20" spans="1:8" ht="19.8" customHeight="1" x14ac:dyDescent="0.3">
      <c r="A20" s="68">
        <v>45983</v>
      </c>
      <c r="B20" s="60" t="s">
        <v>235</v>
      </c>
      <c r="C20" s="61" t="s">
        <v>236</v>
      </c>
      <c r="D20" s="60" t="s">
        <v>204</v>
      </c>
      <c r="E20" s="69">
        <v>1.493055555555556</v>
      </c>
      <c r="F20" s="60" t="s">
        <v>98</v>
      </c>
      <c r="G20" s="62">
        <v>9</v>
      </c>
      <c r="H20" s="63" t="s">
        <v>331</v>
      </c>
    </row>
    <row r="21" spans="1:8" ht="19.8" customHeight="1" x14ac:dyDescent="0.3">
      <c r="A21" s="76">
        <v>45983</v>
      </c>
      <c r="B21" s="77" t="s">
        <v>78</v>
      </c>
      <c r="C21" s="78" t="s">
        <v>240</v>
      </c>
      <c r="D21" s="77" t="s">
        <v>204</v>
      </c>
      <c r="E21" s="79">
        <v>1.0486111111111109</v>
      </c>
      <c r="F21" s="77" t="s">
        <v>80</v>
      </c>
      <c r="G21" s="77"/>
      <c r="H21" s="81" t="s">
        <v>81</v>
      </c>
    </row>
    <row r="22" spans="1:8" ht="19.8" customHeight="1" x14ac:dyDescent="0.3">
      <c r="A22" s="82">
        <v>45983</v>
      </c>
      <c r="B22" s="65" t="s">
        <v>78</v>
      </c>
      <c r="C22" s="66" t="s">
        <v>256</v>
      </c>
      <c r="D22" s="65" t="s">
        <v>204</v>
      </c>
      <c r="E22" s="83">
        <v>1.5034722222222221</v>
      </c>
      <c r="F22" s="65" t="s">
        <v>80</v>
      </c>
      <c r="G22" s="65"/>
      <c r="H22" s="67" t="s">
        <v>81</v>
      </c>
    </row>
  </sheetData>
  <pageMargins left="0.75" right="0.75" top="1" bottom="1" header="0.5" footer="0.5"/>
  <legacy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N68"/>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20.109375" bestFit="1" customWidth="1"/>
    <col min="6" max="6" width="23.44140625" bestFit="1" customWidth="1"/>
    <col min="7" max="7" width="49.1093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60" bestFit="1" customWidth="1"/>
  </cols>
  <sheetData>
    <row r="1" spans="1:92" ht="28.8" customHeight="1" x14ac:dyDescent="0.3">
      <c r="A1" s="261" t="s">
        <v>0</v>
      </c>
      <c r="B1" s="251"/>
      <c r="C1" s="251"/>
      <c r="D1" s="251"/>
      <c r="E1" s="251"/>
      <c r="F1" s="1" t="s">
        <v>427</v>
      </c>
      <c r="G1" s="2" t="s">
        <v>2</v>
      </c>
      <c r="H1" s="260">
        <v>45981</v>
      </c>
      <c r="I1" s="251"/>
      <c r="J1" s="251"/>
      <c r="K1" s="251"/>
      <c r="L1" s="251"/>
      <c r="M1" s="1" t="s">
        <v>3</v>
      </c>
      <c r="N1" s="266">
        <v>45983</v>
      </c>
      <c r="O1" s="251"/>
      <c r="P1" s="251"/>
      <c r="Q1" s="251"/>
      <c r="R1" s="251"/>
      <c r="CA1" s="3"/>
      <c r="CB1" s="3"/>
      <c r="CC1" s="3"/>
      <c r="CD1" s="3"/>
      <c r="CE1" s="3"/>
      <c r="CF1" s="3"/>
      <c r="CG1" s="3"/>
      <c r="CH1" s="3"/>
      <c r="CI1" s="3"/>
      <c r="CJ1" s="3"/>
      <c r="CK1" s="3"/>
      <c r="CL1" s="3"/>
      <c r="CM1" s="3"/>
      <c r="CN1" s="3"/>
    </row>
    <row r="2" spans="1:92" ht="23.4" customHeight="1" x14ac:dyDescent="0.3">
      <c r="A2" s="250" t="s">
        <v>4</v>
      </c>
      <c r="B2" s="251"/>
      <c r="C2" s="251"/>
      <c r="D2" s="251"/>
      <c r="E2" s="251"/>
      <c r="F2" s="251"/>
      <c r="G2" s="262">
        <v>45980.493055042163</v>
      </c>
      <c r="H2" s="251"/>
      <c r="I2" s="251"/>
      <c r="J2" s="251"/>
      <c r="K2" s="263">
        <v>45980.493055042491</v>
      </c>
      <c r="L2" s="251"/>
      <c r="M2" s="251"/>
      <c r="N2" s="251"/>
      <c r="O2" s="251"/>
      <c r="P2" s="251"/>
      <c r="Q2" s="251"/>
      <c r="R2" s="251"/>
      <c r="CA2" s="3"/>
      <c r="CB2" s="3"/>
      <c r="CC2" s="3"/>
      <c r="CD2" s="3"/>
      <c r="CE2" s="3"/>
      <c r="CF2" s="3"/>
      <c r="CG2" s="3"/>
      <c r="CH2" s="3"/>
      <c r="CI2" s="3"/>
      <c r="CJ2" s="3"/>
      <c r="CK2" s="3"/>
      <c r="CL2" s="3"/>
      <c r="CM2" s="3"/>
      <c r="CN2" s="3"/>
    </row>
    <row r="3" spans="1:92" ht="24" customHeight="1" x14ac:dyDescent="0.3">
      <c r="A3" s="252" t="s">
        <v>5</v>
      </c>
      <c r="B3" s="251"/>
      <c r="C3" s="251"/>
      <c r="D3" s="251"/>
      <c r="E3" s="251"/>
      <c r="F3" s="251"/>
      <c r="G3" s="251"/>
      <c r="H3" s="251"/>
      <c r="I3" s="251"/>
      <c r="J3" s="251"/>
      <c r="K3" s="251"/>
      <c r="L3" s="251"/>
      <c r="M3" s="251"/>
      <c r="N3" s="251"/>
      <c r="O3" s="251"/>
      <c r="P3" s="251"/>
      <c r="Q3" s="251"/>
      <c r="R3" s="251"/>
      <c r="CA3" s="3"/>
      <c r="CB3" s="3"/>
      <c r="CC3" s="3"/>
      <c r="CD3" s="3"/>
      <c r="CE3" s="3"/>
      <c r="CF3" s="3"/>
      <c r="CG3" s="3"/>
      <c r="CH3" s="3"/>
      <c r="CI3" s="3"/>
      <c r="CJ3" s="3"/>
      <c r="CK3" s="3"/>
      <c r="CL3" s="3"/>
      <c r="CM3" s="3"/>
      <c r="CN3" s="3"/>
    </row>
    <row r="4" spans="1:92" ht="22.05" customHeight="1" x14ac:dyDescent="0.3">
      <c r="A4" s="264" t="s">
        <v>6</v>
      </c>
      <c r="B4" s="254"/>
      <c r="C4" s="254"/>
      <c r="D4" s="254"/>
      <c r="E4" s="254"/>
      <c r="F4" s="255"/>
      <c r="G4" s="4">
        <v>45981</v>
      </c>
      <c r="H4" s="265" t="s">
        <v>7</v>
      </c>
      <c r="I4" s="254"/>
      <c r="J4" s="254"/>
      <c r="K4" s="254"/>
      <c r="L4" s="254"/>
      <c r="M4" s="254"/>
      <c r="N4" s="254"/>
      <c r="O4" s="254"/>
      <c r="P4" s="254"/>
      <c r="Q4" s="254"/>
      <c r="R4" s="25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260</v>
      </c>
      <c r="B6" s="8" t="s">
        <v>428</v>
      </c>
      <c r="C6" s="9">
        <v>0.3611111111111111</v>
      </c>
      <c r="D6" s="8" t="s">
        <v>429</v>
      </c>
      <c r="E6" s="8" t="s">
        <v>332</v>
      </c>
      <c r="F6" s="8" t="s">
        <v>430</v>
      </c>
      <c r="G6" s="270"/>
      <c r="H6" s="10"/>
      <c r="I6" s="11"/>
      <c r="J6" s="11"/>
      <c r="K6" s="11"/>
      <c r="L6" s="11"/>
      <c r="M6" s="11"/>
      <c r="N6" s="11"/>
      <c r="O6" s="12"/>
      <c r="P6" s="11"/>
      <c r="Q6" s="13"/>
      <c r="R6" s="14"/>
    </row>
    <row r="7" spans="1:92" ht="15" customHeight="1" x14ac:dyDescent="0.3">
      <c r="A7" s="15" t="s">
        <v>260</v>
      </c>
      <c r="B7" s="15" t="s">
        <v>428</v>
      </c>
      <c r="C7" s="16">
        <v>0.3611111111111111</v>
      </c>
      <c r="D7" s="15" t="s">
        <v>431</v>
      </c>
      <c r="E7" s="15" t="s">
        <v>318</v>
      </c>
      <c r="F7" s="15" t="s">
        <v>432</v>
      </c>
      <c r="G7" s="257"/>
      <c r="H7" s="10"/>
      <c r="I7" s="11"/>
      <c r="J7" s="11"/>
      <c r="K7" s="11"/>
      <c r="L7" s="11"/>
      <c r="M7" s="11"/>
      <c r="N7" s="11"/>
      <c r="O7" s="12"/>
      <c r="P7" s="11"/>
      <c r="Q7" s="13"/>
      <c r="R7" s="14"/>
    </row>
    <row r="8" spans="1:92" ht="15" customHeight="1" x14ac:dyDescent="0.3">
      <c r="A8" s="15" t="s">
        <v>260</v>
      </c>
      <c r="B8" s="15" t="s">
        <v>428</v>
      </c>
      <c r="C8" s="16">
        <v>0.3611111111111111</v>
      </c>
      <c r="D8" s="15" t="s">
        <v>49</v>
      </c>
      <c r="E8" s="15" t="s">
        <v>318</v>
      </c>
      <c r="F8" s="15" t="s">
        <v>433</v>
      </c>
      <c r="G8" s="257"/>
      <c r="H8" s="10"/>
      <c r="I8" s="11"/>
      <c r="J8" s="11"/>
      <c r="K8" s="11"/>
      <c r="L8" s="11"/>
      <c r="M8" s="11"/>
      <c r="N8" s="11"/>
      <c r="O8" s="12"/>
      <c r="P8" s="11"/>
      <c r="Q8" s="13"/>
      <c r="R8" s="14"/>
    </row>
    <row r="9" spans="1:92" ht="15" customHeight="1" x14ac:dyDescent="0.3">
      <c r="A9" s="19" t="s">
        <v>51</v>
      </c>
      <c r="B9" s="19" t="s">
        <v>434</v>
      </c>
      <c r="C9" s="20">
        <v>0.4513888888888889</v>
      </c>
      <c r="D9" s="19" t="s">
        <v>56</v>
      </c>
      <c r="E9" s="19" t="s">
        <v>435</v>
      </c>
      <c r="F9" s="19" t="s">
        <v>436</v>
      </c>
      <c r="G9" s="257"/>
      <c r="H9" s="10"/>
      <c r="I9" s="11"/>
      <c r="J9" s="11"/>
      <c r="K9" s="11"/>
      <c r="L9" s="11"/>
      <c r="M9" s="11"/>
      <c r="N9" s="11"/>
      <c r="O9" s="12"/>
      <c r="P9" s="11"/>
      <c r="Q9" s="13"/>
      <c r="R9" s="14"/>
    </row>
    <row r="10" spans="1:92" ht="15" customHeight="1" x14ac:dyDescent="0.3">
      <c r="A10" s="17" t="s">
        <v>51</v>
      </c>
      <c r="B10" s="17" t="s">
        <v>437</v>
      </c>
      <c r="C10" s="18">
        <v>0.81944444444444453</v>
      </c>
      <c r="D10" s="17" t="s">
        <v>56</v>
      </c>
      <c r="E10" s="17" t="s">
        <v>75</v>
      </c>
      <c r="F10" s="17" t="s">
        <v>436</v>
      </c>
      <c r="G10" s="257"/>
      <c r="H10" s="10"/>
      <c r="I10" s="11"/>
      <c r="J10" s="11"/>
      <c r="K10" s="11"/>
      <c r="L10" s="11"/>
      <c r="M10" s="11"/>
      <c r="N10" s="11"/>
      <c r="O10" s="12"/>
      <c r="P10" s="11"/>
      <c r="Q10" s="13"/>
      <c r="R10" s="14"/>
    </row>
    <row r="11" spans="1:92" ht="15" customHeight="1" x14ac:dyDescent="0.3">
      <c r="A11" s="85" t="s">
        <v>78</v>
      </c>
      <c r="B11" s="85" t="s">
        <v>438</v>
      </c>
      <c r="C11" s="86">
        <v>8.6805555555555566E-2</v>
      </c>
      <c r="D11" s="85" t="s">
        <v>80</v>
      </c>
      <c r="E11" s="171"/>
      <c r="F11" s="85" t="s">
        <v>81</v>
      </c>
      <c r="G11" s="257"/>
      <c r="H11" s="87" t="s">
        <v>438</v>
      </c>
      <c r="I11" s="88">
        <v>1</v>
      </c>
      <c r="J11" s="89">
        <v>180</v>
      </c>
      <c r="K11" s="90">
        <v>45979</v>
      </c>
      <c r="L11" s="89">
        <v>18</v>
      </c>
      <c r="M11" s="89">
        <v>0</v>
      </c>
      <c r="N11" s="89">
        <v>2</v>
      </c>
      <c r="O11" s="91" t="s">
        <v>82</v>
      </c>
      <c r="P11" s="92">
        <v>8.6805555555555566E-2</v>
      </c>
      <c r="Q11" s="89">
        <v>180</v>
      </c>
      <c r="R11" s="93" t="s">
        <v>439</v>
      </c>
    </row>
    <row r="12" spans="1:92" ht="18" x14ac:dyDescent="0.3">
      <c r="A12" s="267" t="s">
        <v>440</v>
      </c>
      <c r="B12" s="268"/>
      <c r="C12" s="268"/>
      <c r="D12" s="268"/>
      <c r="E12" s="268"/>
      <c r="F12" s="269"/>
      <c r="G12" s="257"/>
      <c r="H12" s="94"/>
      <c r="I12" s="94"/>
      <c r="J12" s="94"/>
      <c r="K12" s="94"/>
      <c r="L12" s="94"/>
      <c r="M12" s="94"/>
      <c r="N12" s="94"/>
      <c r="O12" s="95"/>
      <c r="P12" s="94"/>
      <c r="Q12" s="55"/>
      <c r="R12" s="55"/>
    </row>
    <row r="13" spans="1:92" ht="15" customHeight="1" x14ac:dyDescent="0.3">
      <c r="A13" s="17" t="s">
        <v>42</v>
      </c>
      <c r="B13" s="17" t="s">
        <v>205</v>
      </c>
      <c r="C13" s="18" t="s">
        <v>415</v>
      </c>
      <c r="D13" s="17" t="s">
        <v>44</v>
      </c>
      <c r="E13" s="17" t="s">
        <v>441</v>
      </c>
      <c r="F13" s="17" t="s">
        <v>207</v>
      </c>
      <c r="G13" s="257"/>
      <c r="H13" s="94"/>
      <c r="I13" s="94"/>
      <c r="J13" s="94"/>
      <c r="K13" s="94"/>
      <c r="L13" s="94"/>
      <c r="M13" s="94"/>
      <c r="N13" s="94"/>
      <c r="O13" s="95"/>
      <c r="P13" s="94"/>
      <c r="Q13" s="55"/>
      <c r="R13" s="55"/>
    </row>
    <row r="14" spans="1:92" ht="15" customHeight="1" x14ac:dyDescent="0.3">
      <c r="A14" s="17" t="s">
        <v>42</v>
      </c>
      <c r="B14" s="17" t="s">
        <v>211</v>
      </c>
      <c r="C14" s="18" t="s">
        <v>416</v>
      </c>
      <c r="D14" s="17" t="s">
        <v>44</v>
      </c>
      <c r="E14" s="17" t="s">
        <v>442</v>
      </c>
      <c r="F14" s="17" t="s">
        <v>207</v>
      </c>
      <c r="G14" s="257"/>
      <c r="H14" s="94"/>
      <c r="I14" s="94"/>
      <c r="J14" s="94"/>
      <c r="K14" s="94"/>
      <c r="L14" s="94"/>
      <c r="M14" s="94"/>
      <c r="N14" s="94"/>
      <c r="O14" s="95"/>
      <c r="P14" s="94"/>
      <c r="Q14" s="55"/>
      <c r="R14" s="55"/>
    </row>
    <row r="15" spans="1:92" ht="15" customHeight="1" x14ac:dyDescent="0.3">
      <c r="A15" s="17" t="s">
        <v>42</v>
      </c>
      <c r="B15" s="17" t="s">
        <v>214</v>
      </c>
      <c r="C15" s="18" t="s">
        <v>417</v>
      </c>
      <c r="D15" s="17" t="s">
        <v>44</v>
      </c>
      <c r="E15" s="17" t="s">
        <v>187</v>
      </c>
      <c r="F15" s="17" t="s">
        <v>207</v>
      </c>
      <c r="G15" s="257"/>
      <c r="H15" s="94"/>
      <c r="I15" s="94"/>
      <c r="J15" s="94"/>
      <c r="K15" s="94"/>
      <c r="L15" s="94"/>
      <c r="M15" s="94"/>
      <c r="N15" s="94"/>
      <c r="O15" s="95"/>
      <c r="P15" s="94"/>
      <c r="Q15" s="55"/>
      <c r="R15" s="55"/>
    </row>
    <row r="16" spans="1:92" ht="15" customHeight="1" x14ac:dyDescent="0.3">
      <c r="A16" s="17" t="s">
        <v>42</v>
      </c>
      <c r="B16" s="17" t="s">
        <v>216</v>
      </c>
      <c r="C16" s="18" t="s">
        <v>418</v>
      </c>
      <c r="D16" s="17" t="s">
        <v>44</v>
      </c>
      <c r="E16" s="17" t="s">
        <v>443</v>
      </c>
      <c r="F16" s="17" t="s">
        <v>207</v>
      </c>
      <c r="G16" s="257"/>
      <c r="H16" s="94"/>
      <c r="I16" s="94"/>
      <c r="J16" s="94"/>
      <c r="K16" s="94"/>
      <c r="L16" s="94"/>
      <c r="M16" s="94"/>
      <c r="N16" s="94"/>
      <c r="O16" s="95"/>
      <c r="P16" s="94"/>
      <c r="Q16" s="55"/>
      <c r="R16" s="55"/>
    </row>
    <row r="17" spans="1:18" ht="15" customHeight="1" x14ac:dyDescent="0.3">
      <c r="A17" s="17" t="s">
        <v>26</v>
      </c>
      <c r="B17" s="17" t="s">
        <v>219</v>
      </c>
      <c r="C17" s="18" t="s">
        <v>419</v>
      </c>
      <c r="D17" s="17" t="s">
        <v>28</v>
      </c>
      <c r="E17" s="17" t="s">
        <v>170</v>
      </c>
      <c r="F17" s="17" t="s">
        <v>89</v>
      </c>
      <c r="G17" s="257"/>
      <c r="H17" s="94"/>
      <c r="I17" s="94"/>
      <c r="J17" s="94"/>
      <c r="K17" s="94"/>
      <c r="L17" s="94"/>
      <c r="M17" s="94"/>
      <c r="N17" s="94"/>
      <c r="O17" s="95"/>
      <c r="P17" s="94"/>
      <c r="Q17" s="55"/>
      <c r="R17" s="55"/>
    </row>
    <row r="18" spans="1:18" ht="15" customHeight="1" x14ac:dyDescent="0.3">
      <c r="A18" s="17" t="s">
        <v>26</v>
      </c>
      <c r="B18" s="17" t="s">
        <v>222</v>
      </c>
      <c r="C18" s="18" t="s">
        <v>420</v>
      </c>
      <c r="D18" s="17" t="s">
        <v>28</v>
      </c>
      <c r="E18" s="17" t="s">
        <v>169</v>
      </c>
      <c r="F18" s="17" t="s">
        <v>89</v>
      </c>
      <c r="G18" s="257"/>
      <c r="H18" s="94"/>
      <c r="I18" s="94"/>
      <c r="J18" s="94"/>
      <c r="K18" s="94"/>
      <c r="L18" s="94"/>
      <c r="M18" s="94"/>
      <c r="N18" s="94"/>
      <c r="O18" s="95"/>
      <c r="P18" s="94"/>
      <c r="Q18" s="55"/>
      <c r="R18" s="55"/>
    </row>
    <row r="19" spans="1:18" ht="15" customHeight="1" x14ac:dyDescent="0.3">
      <c r="A19" s="17" t="s">
        <v>26</v>
      </c>
      <c r="B19" s="17" t="s">
        <v>224</v>
      </c>
      <c r="C19" s="18" t="s">
        <v>421</v>
      </c>
      <c r="D19" s="17" t="s">
        <v>28</v>
      </c>
      <c r="E19" s="17" t="s">
        <v>444</v>
      </c>
      <c r="F19" s="17" t="s">
        <v>46</v>
      </c>
      <c r="G19" s="257"/>
      <c r="H19" s="94"/>
      <c r="I19" s="94"/>
      <c r="J19" s="94"/>
      <c r="K19" s="94"/>
      <c r="L19" s="94"/>
      <c r="M19" s="94"/>
      <c r="N19" s="94"/>
      <c r="O19" s="95"/>
      <c r="P19" s="94"/>
      <c r="Q19" s="55"/>
      <c r="R19" s="55"/>
    </row>
    <row r="20" spans="1:18" ht="15" customHeight="1" x14ac:dyDescent="0.3">
      <c r="A20" s="17" t="s">
        <v>26</v>
      </c>
      <c r="B20" s="17" t="s">
        <v>228</v>
      </c>
      <c r="C20" s="18" t="s">
        <v>422</v>
      </c>
      <c r="D20" s="17" t="s">
        <v>28</v>
      </c>
      <c r="E20" s="17" t="s">
        <v>171</v>
      </c>
      <c r="F20" s="17" t="s">
        <v>46</v>
      </c>
      <c r="G20" s="257"/>
      <c r="H20" s="94"/>
      <c r="I20" s="94"/>
      <c r="J20" s="94"/>
      <c r="K20" s="94"/>
      <c r="L20" s="94"/>
      <c r="M20" s="94"/>
      <c r="N20" s="94"/>
      <c r="O20" s="95"/>
      <c r="P20" s="94"/>
      <c r="Q20" s="55"/>
      <c r="R20" s="55"/>
    </row>
    <row r="21" spans="1:18" ht="15" customHeight="1" x14ac:dyDescent="0.3">
      <c r="A21" s="17" t="s">
        <v>26</v>
      </c>
      <c r="B21" s="17" t="s">
        <v>229</v>
      </c>
      <c r="C21" s="18" t="s">
        <v>418</v>
      </c>
      <c r="D21" s="17" t="s">
        <v>28</v>
      </c>
      <c r="E21" s="17" t="s">
        <v>170</v>
      </c>
      <c r="F21" s="17" t="s">
        <v>46</v>
      </c>
      <c r="G21" s="257"/>
      <c r="H21" s="94"/>
      <c r="I21" s="94"/>
      <c r="J21" s="94"/>
      <c r="K21" s="94"/>
      <c r="L21" s="94"/>
      <c r="M21" s="94"/>
      <c r="N21" s="94"/>
      <c r="O21" s="95"/>
      <c r="P21" s="94"/>
      <c r="Q21" s="55"/>
      <c r="R21" s="55"/>
    </row>
    <row r="22" spans="1:18" ht="15" customHeight="1" thickBot="1" x14ac:dyDescent="0.35">
      <c r="A22" s="39" t="s">
        <v>26</v>
      </c>
      <c r="B22" s="39" t="s">
        <v>231</v>
      </c>
      <c r="C22" s="40" t="s">
        <v>423</v>
      </c>
      <c r="D22" s="39" t="s">
        <v>28</v>
      </c>
      <c r="E22" s="39" t="s">
        <v>170</v>
      </c>
      <c r="F22" s="39" t="s">
        <v>46</v>
      </c>
      <c r="G22" s="258"/>
      <c r="H22" s="96"/>
      <c r="I22" s="96"/>
      <c r="J22" s="96"/>
      <c r="K22" s="96"/>
      <c r="L22" s="96"/>
      <c r="M22" s="96"/>
      <c r="N22" s="96"/>
      <c r="O22" s="97"/>
      <c r="P22" s="96"/>
      <c r="Q22" s="98"/>
      <c r="R22" s="98"/>
    </row>
    <row r="23" spans="1:18" ht="17.399999999999999" customHeight="1" thickBot="1" x14ac:dyDescent="0.35">
      <c r="A23" s="285"/>
      <c r="B23" s="286"/>
      <c r="C23" s="286"/>
      <c r="D23" s="286"/>
      <c r="E23" s="286"/>
      <c r="F23" s="286"/>
      <c r="G23" s="286"/>
      <c r="H23" s="286"/>
      <c r="I23" s="286"/>
      <c r="J23" s="286"/>
      <c r="K23" s="286"/>
      <c r="L23" s="286"/>
      <c r="M23" s="286"/>
      <c r="N23" s="286"/>
      <c r="O23" s="286"/>
      <c r="P23" s="286"/>
      <c r="Q23" s="286"/>
      <c r="R23" s="287"/>
    </row>
    <row r="24" spans="1:18" ht="22.05" customHeight="1" thickTop="1" thickBot="1" x14ac:dyDescent="0.35">
      <c r="A24" s="259" t="s">
        <v>6</v>
      </c>
      <c r="B24" s="254"/>
      <c r="C24" s="254"/>
      <c r="D24" s="254"/>
      <c r="E24" s="254"/>
      <c r="F24" s="255"/>
      <c r="G24" s="31">
        <v>45982</v>
      </c>
      <c r="H24" s="253" t="s">
        <v>7</v>
      </c>
      <c r="I24" s="254"/>
      <c r="J24" s="254"/>
      <c r="K24" s="254"/>
      <c r="L24" s="254"/>
      <c r="M24" s="254"/>
      <c r="N24" s="254"/>
      <c r="O24" s="254"/>
      <c r="P24" s="254"/>
      <c r="Q24" s="254"/>
      <c r="R24" s="255"/>
    </row>
    <row r="25" spans="1:18" ht="24" customHeight="1" x14ac:dyDescent="0.3">
      <c r="A25" s="32" t="s">
        <v>8</v>
      </c>
      <c r="B25" s="32" t="s">
        <v>9</v>
      </c>
      <c r="C25" s="33" t="s">
        <v>10</v>
      </c>
      <c r="D25" s="32" t="s">
        <v>11</v>
      </c>
      <c r="E25" s="32" t="s">
        <v>12</v>
      </c>
      <c r="F25" s="34" t="s">
        <v>13</v>
      </c>
      <c r="G25" s="35" t="s">
        <v>14</v>
      </c>
      <c r="H25" s="32" t="s">
        <v>15</v>
      </c>
      <c r="I25" s="36" t="s">
        <v>16</v>
      </c>
      <c r="J25" s="37" t="s">
        <v>17</v>
      </c>
      <c r="K25" s="38" t="s">
        <v>18</v>
      </c>
      <c r="L25" s="37" t="s">
        <v>19</v>
      </c>
      <c r="M25" s="37" t="s">
        <v>20</v>
      </c>
      <c r="N25" s="37" t="s">
        <v>21</v>
      </c>
      <c r="O25" s="32" t="s">
        <v>22</v>
      </c>
      <c r="P25" s="33" t="s">
        <v>23</v>
      </c>
      <c r="Q25" s="37" t="s">
        <v>24</v>
      </c>
      <c r="R25" s="32" t="s">
        <v>25</v>
      </c>
    </row>
    <row r="26" spans="1:18" ht="15" customHeight="1" x14ac:dyDescent="0.3">
      <c r="A26" s="8" t="s">
        <v>260</v>
      </c>
      <c r="B26" s="8" t="s">
        <v>445</v>
      </c>
      <c r="C26" s="9">
        <v>1.041666666666667E-2</v>
      </c>
      <c r="D26" s="8" t="s">
        <v>429</v>
      </c>
      <c r="E26" s="8" t="s">
        <v>29</v>
      </c>
      <c r="F26" s="8" t="s">
        <v>446</v>
      </c>
      <c r="G26" s="256"/>
      <c r="H26" s="10"/>
      <c r="I26" s="11"/>
      <c r="J26" s="11"/>
      <c r="K26" s="11"/>
      <c r="L26" s="11"/>
      <c r="M26" s="11"/>
      <c r="N26" s="11"/>
      <c r="O26" s="12"/>
      <c r="P26" s="11"/>
      <c r="Q26" s="13"/>
      <c r="R26" s="14"/>
    </row>
    <row r="27" spans="1:18" ht="15" customHeight="1" x14ac:dyDescent="0.3">
      <c r="A27" s="15" t="s">
        <v>260</v>
      </c>
      <c r="B27" s="15" t="s">
        <v>445</v>
      </c>
      <c r="C27" s="16">
        <v>1.041666666666667E-2</v>
      </c>
      <c r="D27" s="15" t="s">
        <v>431</v>
      </c>
      <c r="E27" s="15" t="s">
        <v>32</v>
      </c>
      <c r="F27" s="15" t="s">
        <v>447</v>
      </c>
      <c r="G27" s="257"/>
      <c r="H27" s="10"/>
      <c r="I27" s="11"/>
      <c r="J27" s="11"/>
      <c r="K27" s="11"/>
      <c r="L27" s="11"/>
      <c r="M27" s="11"/>
      <c r="N27" s="11"/>
      <c r="O27" s="12"/>
      <c r="P27" s="11"/>
      <c r="Q27" s="13"/>
      <c r="R27" s="14"/>
    </row>
    <row r="28" spans="1:18" ht="15" customHeight="1" x14ac:dyDescent="0.3">
      <c r="A28" s="15" t="s">
        <v>260</v>
      </c>
      <c r="B28" s="15" t="s">
        <v>445</v>
      </c>
      <c r="C28" s="16">
        <v>1.041666666666667E-2</v>
      </c>
      <c r="D28" s="15" t="s">
        <v>49</v>
      </c>
      <c r="E28" s="15" t="s">
        <v>32</v>
      </c>
      <c r="F28" s="15" t="s">
        <v>448</v>
      </c>
      <c r="G28" s="257"/>
      <c r="H28" s="10"/>
      <c r="I28" s="11"/>
      <c r="J28" s="11"/>
      <c r="K28" s="11"/>
      <c r="L28" s="11"/>
      <c r="M28" s="11"/>
      <c r="N28" s="11"/>
      <c r="O28" s="12"/>
      <c r="P28" s="11"/>
      <c r="Q28" s="13"/>
      <c r="R28" s="14"/>
    </row>
    <row r="29" spans="1:18" ht="15" customHeight="1" x14ac:dyDescent="0.3">
      <c r="A29" s="172" t="s">
        <v>78</v>
      </c>
      <c r="B29" s="172" t="s">
        <v>449</v>
      </c>
      <c r="C29" s="173">
        <v>0.22916666666666671</v>
      </c>
      <c r="D29" s="172" t="s">
        <v>98</v>
      </c>
      <c r="E29" s="172" t="s">
        <v>450</v>
      </c>
      <c r="F29" s="172" t="s">
        <v>252</v>
      </c>
      <c r="G29" s="257"/>
      <c r="H29" s="118" t="s">
        <v>438</v>
      </c>
      <c r="I29" s="119">
        <v>0.75</v>
      </c>
      <c r="J29" s="120">
        <v>135</v>
      </c>
      <c r="K29" s="121">
        <v>45979</v>
      </c>
      <c r="L29" s="120">
        <v>60</v>
      </c>
      <c r="M29" s="120">
        <v>0</v>
      </c>
      <c r="N29" s="120">
        <v>16</v>
      </c>
      <c r="O29" s="122" t="s">
        <v>451</v>
      </c>
      <c r="P29" s="123">
        <v>0.22916666666666671</v>
      </c>
      <c r="Q29" s="120">
        <v>180</v>
      </c>
      <c r="R29" s="124" t="s">
        <v>452</v>
      </c>
    </row>
    <row r="30" spans="1:18" ht="15" customHeight="1" x14ac:dyDescent="0.3">
      <c r="A30" s="19" t="s">
        <v>51</v>
      </c>
      <c r="B30" s="19" t="s">
        <v>437</v>
      </c>
      <c r="C30" s="20">
        <v>0.81944444444444453</v>
      </c>
      <c r="D30" s="19" t="s">
        <v>56</v>
      </c>
      <c r="E30" s="19" t="s">
        <v>453</v>
      </c>
      <c r="F30" s="19" t="s">
        <v>436</v>
      </c>
      <c r="G30" s="257"/>
      <c r="H30" s="10"/>
      <c r="I30" s="11"/>
      <c r="J30" s="11"/>
      <c r="K30" s="11"/>
      <c r="L30" s="11"/>
      <c r="M30" s="11"/>
      <c r="N30" s="11"/>
      <c r="O30" s="12"/>
      <c r="P30" s="11"/>
      <c r="Q30" s="13"/>
      <c r="R30" s="14"/>
    </row>
    <row r="31" spans="1:18" ht="18" x14ac:dyDescent="0.3">
      <c r="A31" s="267" t="s">
        <v>440</v>
      </c>
      <c r="B31" s="268"/>
      <c r="C31" s="268"/>
      <c r="D31" s="268"/>
      <c r="E31" s="268"/>
      <c r="F31" s="269"/>
      <c r="G31" s="257"/>
      <c r="H31" s="94"/>
      <c r="I31" s="94"/>
      <c r="J31" s="94"/>
      <c r="K31" s="94"/>
      <c r="L31" s="94"/>
      <c r="M31" s="94"/>
      <c r="N31" s="94"/>
      <c r="O31" s="95"/>
      <c r="P31" s="94"/>
      <c r="Q31" s="55"/>
      <c r="R31" s="55"/>
    </row>
    <row r="32" spans="1:18" ht="15" customHeight="1" x14ac:dyDescent="0.3">
      <c r="A32" s="17" t="s">
        <v>235</v>
      </c>
      <c r="B32" s="17" t="s">
        <v>289</v>
      </c>
      <c r="C32" s="18" t="s">
        <v>454</v>
      </c>
      <c r="D32" s="17" t="s">
        <v>98</v>
      </c>
      <c r="E32" s="17" t="s">
        <v>455</v>
      </c>
      <c r="F32" s="17" t="s">
        <v>237</v>
      </c>
      <c r="G32" s="257"/>
      <c r="H32" s="94"/>
      <c r="I32" s="94"/>
      <c r="J32" s="94"/>
      <c r="K32" s="94"/>
      <c r="L32" s="94"/>
      <c r="M32" s="94"/>
      <c r="N32" s="94"/>
      <c r="O32" s="95"/>
      <c r="P32" s="94"/>
      <c r="Q32" s="55"/>
      <c r="R32" s="55"/>
    </row>
    <row r="33" spans="1:18" ht="15" customHeight="1" x14ac:dyDescent="0.3">
      <c r="A33" s="17" t="s">
        <v>235</v>
      </c>
      <c r="B33" s="17" t="s">
        <v>236</v>
      </c>
      <c r="C33" s="18" t="s">
        <v>456</v>
      </c>
      <c r="D33" s="17" t="s">
        <v>98</v>
      </c>
      <c r="E33" s="17" t="s">
        <v>457</v>
      </c>
      <c r="F33" s="17" t="s">
        <v>237</v>
      </c>
      <c r="G33" s="257"/>
      <c r="H33" s="94"/>
      <c r="I33" s="94"/>
      <c r="J33" s="94"/>
      <c r="K33" s="94"/>
      <c r="L33" s="94"/>
      <c r="M33" s="94"/>
      <c r="N33" s="94"/>
      <c r="O33" s="95"/>
      <c r="P33" s="94"/>
      <c r="Q33" s="55"/>
      <c r="R33" s="55"/>
    </row>
    <row r="34" spans="1:18" ht="15" customHeight="1" x14ac:dyDescent="0.3">
      <c r="A34" s="17" t="s">
        <v>78</v>
      </c>
      <c r="B34" s="17" t="s">
        <v>290</v>
      </c>
      <c r="C34" s="18" t="s">
        <v>382</v>
      </c>
      <c r="D34" s="17" t="s">
        <v>98</v>
      </c>
      <c r="E34" s="17" t="s">
        <v>170</v>
      </c>
      <c r="F34" s="17" t="s">
        <v>291</v>
      </c>
      <c r="G34" s="257"/>
      <c r="H34" s="94"/>
      <c r="I34" s="94"/>
      <c r="J34" s="94"/>
      <c r="K34" s="94"/>
      <c r="L34" s="94"/>
      <c r="M34" s="94"/>
      <c r="N34" s="94"/>
      <c r="O34" s="95"/>
      <c r="P34" s="94"/>
      <c r="Q34" s="55"/>
      <c r="R34" s="55"/>
    </row>
    <row r="35" spans="1:18" ht="15" customHeight="1" x14ac:dyDescent="0.3">
      <c r="A35" s="17" t="s">
        <v>78</v>
      </c>
      <c r="B35" s="17" t="s">
        <v>247</v>
      </c>
      <c r="C35" s="18" t="s">
        <v>378</v>
      </c>
      <c r="D35" s="17" t="s">
        <v>98</v>
      </c>
      <c r="E35" s="17" t="s">
        <v>188</v>
      </c>
      <c r="F35" s="17" t="s">
        <v>291</v>
      </c>
      <c r="G35" s="257"/>
      <c r="H35" s="94"/>
      <c r="I35" s="94"/>
      <c r="J35" s="94"/>
      <c r="K35" s="94"/>
      <c r="L35" s="94"/>
      <c r="M35" s="94"/>
      <c r="N35" s="94"/>
      <c r="O35" s="95"/>
      <c r="P35" s="94"/>
      <c r="Q35" s="55"/>
      <c r="R35" s="55"/>
    </row>
    <row r="36" spans="1:18" ht="15" customHeight="1" x14ac:dyDescent="0.3">
      <c r="A36" s="17" t="s">
        <v>78</v>
      </c>
      <c r="B36" s="17" t="s">
        <v>296</v>
      </c>
      <c r="C36" s="18" t="s">
        <v>391</v>
      </c>
      <c r="D36" s="17" t="s">
        <v>98</v>
      </c>
      <c r="E36" s="17" t="s">
        <v>171</v>
      </c>
      <c r="F36" s="17" t="s">
        <v>291</v>
      </c>
      <c r="G36" s="257"/>
      <c r="H36" s="94"/>
      <c r="I36" s="94"/>
      <c r="J36" s="94"/>
      <c r="K36" s="94"/>
      <c r="L36" s="94"/>
      <c r="M36" s="94"/>
      <c r="N36" s="94"/>
      <c r="O36" s="95"/>
      <c r="P36" s="94"/>
      <c r="Q36" s="55"/>
      <c r="R36" s="55"/>
    </row>
    <row r="37" spans="1:18" ht="15" customHeight="1" x14ac:dyDescent="0.3">
      <c r="A37" s="17" t="s">
        <v>78</v>
      </c>
      <c r="B37" s="17" t="s">
        <v>299</v>
      </c>
      <c r="C37" s="18" t="s">
        <v>396</v>
      </c>
      <c r="D37" s="17" t="s">
        <v>98</v>
      </c>
      <c r="E37" s="17" t="s">
        <v>172</v>
      </c>
      <c r="F37" s="17" t="s">
        <v>291</v>
      </c>
      <c r="G37" s="257"/>
      <c r="H37" s="94"/>
      <c r="I37" s="94"/>
      <c r="J37" s="94"/>
      <c r="K37" s="94"/>
      <c r="L37" s="94"/>
      <c r="M37" s="94"/>
      <c r="N37" s="94"/>
      <c r="O37" s="95"/>
      <c r="P37" s="94"/>
      <c r="Q37" s="55"/>
      <c r="R37" s="55"/>
    </row>
    <row r="38" spans="1:18" ht="15" customHeight="1" x14ac:dyDescent="0.3">
      <c r="A38" s="17" t="s">
        <v>78</v>
      </c>
      <c r="B38" s="17" t="s">
        <v>303</v>
      </c>
      <c r="C38" s="18" t="s">
        <v>387</v>
      </c>
      <c r="D38" s="17" t="s">
        <v>98</v>
      </c>
      <c r="E38" s="17" t="s">
        <v>189</v>
      </c>
      <c r="F38" s="17" t="s">
        <v>239</v>
      </c>
      <c r="G38" s="257"/>
      <c r="H38" s="94"/>
      <c r="I38" s="94"/>
      <c r="J38" s="94"/>
      <c r="K38" s="94"/>
      <c r="L38" s="94"/>
      <c r="M38" s="94"/>
      <c r="N38" s="94"/>
      <c r="O38" s="95"/>
      <c r="P38" s="94"/>
      <c r="Q38" s="55"/>
      <c r="R38" s="55"/>
    </row>
    <row r="39" spans="1:18" ht="15" customHeight="1" x14ac:dyDescent="0.3">
      <c r="A39" s="17" t="s">
        <v>67</v>
      </c>
      <c r="B39" s="17" t="s">
        <v>283</v>
      </c>
      <c r="C39" s="18" t="s">
        <v>458</v>
      </c>
      <c r="D39" s="17" t="s">
        <v>69</v>
      </c>
      <c r="E39" s="17" t="s">
        <v>172</v>
      </c>
      <c r="F39" s="17" t="s">
        <v>305</v>
      </c>
      <c r="G39" s="257"/>
      <c r="H39" s="94"/>
      <c r="I39" s="94"/>
      <c r="J39" s="94"/>
      <c r="K39" s="94"/>
      <c r="L39" s="94"/>
      <c r="M39" s="94"/>
      <c r="N39" s="94"/>
      <c r="O39" s="95"/>
      <c r="P39" s="94"/>
      <c r="Q39" s="55"/>
      <c r="R39" s="55"/>
    </row>
    <row r="40" spans="1:18" ht="15" customHeight="1" x14ac:dyDescent="0.3">
      <c r="A40" s="17" t="s">
        <v>67</v>
      </c>
      <c r="B40" s="17" t="s">
        <v>279</v>
      </c>
      <c r="C40" s="18" t="s">
        <v>459</v>
      </c>
      <c r="D40" s="17" t="s">
        <v>69</v>
      </c>
      <c r="E40" s="17" t="s">
        <v>172</v>
      </c>
      <c r="F40" s="17" t="s">
        <v>305</v>
      </c>
      <c r="G40" s="257"/>
      <c r="H40" s="94"/>
      <c r="I40" s="94"/>
      <c r="J40" s="94"/>
      <c r="K40" s="94"/>
      <c r="L40" s="94"/>
      <c r="M40" s="94"/>
      <c r="N40" s="94"/>
      <c r="O40" s="95"/>
      <c r="P40" s="94"/>
      <c r="Q40" s="55"/>
      <c r="R40" s="55"/>
    </row>
    <row r="41" spans="1:18" ht="15" customHeight="1" thickBot="1" x14ac:dyDescent="0.35">
      <c r="A41" s="39" t="s">
        <v>67</v>
      </c>
      <c r="B41" s="39" t="s">
        <v>286</v>
      </c>
      <c r="C41" s="40" t="s">
        <v>400</v>
      </c>
      <c r="D41" s="39" t="s">
        <v>69</v>
      </c>
      <c r="E41" s="39" t="s">
        <v>172</v>
      </c>
      <c r="F41" s="39" t="s">
        <v>306</v>
      </c>
      <c r="G41" s="258"/>
      <c r="H41" s="96"/>
      <c r="I41" s="96"/>
      <c r="J41" s="96"/>
      <c r="K41" s="96"/>
      <c r="L41" s="96"/>
      <c r="M41" s="96"/>
      <c r="N41" s="96"/>
      <c r="O41" s="97"/>
      <c r="P41" s="96"/>
      <c r="Q41" s="98"/>
      <c r="R41" s="98"/>
    </row>
    <row r="42" spans="1:18" ht="17.399999999999999" customHeight="1" thickBot="1" x14ac:dyDescent="0.35">
      <c r="A42" s="285"/>
      <c r="B42" s="286"/>
      <c r="C42" s="286"/>
      <c r="D42" s="286"/>
      <c r="E42" s="286"/>
      <c r="F42" s="286"/>
      <c r="G42" s="286"/>
      <c r="H42" s="286"/>
      <c r="I42" s="286"/>
      <c r="J42" s="286"/>
      <c r="K42" s="286"/>
      <c r="L42" s="286"/>
      <c r="M42" s="286"/>
      <c r="N42" s="286"/>
      <c r="O42" s="286"/>
      <c r="P42" s="286"/>
      <c r="Q42" s="286"/>
      <c r="R42" s="287"/>
    </row>
    <row r="43" spans="1:18" ht="22.05" customHeight="1" thickTop="1" thickBot="1" x14ac:dyDescent="0.35">
      <c r="A43" s="259" t="s">
        <v>6</v>
      </c>
      <c r="B43" s="254"/>
      <c r="C43" s="254"/>
      <c r="D43" s="254"/>
      <c r="E43" s="254"/>
      <c r="F43" s="255"/>
      <c r="G43" s="31">
        <v>45983</v>
      </c>
      <c r="H43" s="253" t="s">
        <v>7</v>
      </c>
      <c r="I43" s="254"/>
      <c r="J43" s="254"/>
      <c r="K43" s="254"/>
      <c r="L43" s="254"/>
      <c r="M43" s="254"/>
      <c r="N43" s="254"/>
      <c r="O43" s="254"/>
      <c r="P43" s="254"/>
      <c r="Q43" s="254"/>
      <c r="R43" s="255"/>
    </row>
    <row r="44" spans="1:18" ht="24" customHeight="1" x14ac:dyDescent="0.3">
      <c r="A44" s="32" t="s">
        <v>8</v>
      </c>
      <c r="B44" s="32" t="s">
        <v>9</v>
      </c>
      <c r="C44" s="33" t="s">
        <v>10</v>
      </c>
      <c r="D44" s="32" t="s">
        <v>11</v>
      </c>
      <c r="E44" s="32" t="s">
        <v>12</v>
      </c>
      <c r="F44" s="34" t="s">
        <v>13</v>
      </c>
      <c r="G44" s="35" t="s">
        <v>14</v>
      </c>
      <c r="H44" s="32" t="s">
        <v>15</v>
      </c>
      <c r="I44" s="36" t="s">
        <v>16</v>
      </c>
      <c r="J44" s="37" t="s">
        <v>17</v>
      </c>
      <c r="K44" s="38" t="s">
        <v>18</v>
      </c>
      <c r="L44" s="37" t="s">
        <v>19</v>
      </c>
      <c r="M44" s="37" t="s">
        <v>20</v>
      </c>
      <c r="N44" s="37" t="s">
        <v>21</v>
      </c>
      <c r="O44" s="32" t="s">
        <v>22</v>
      </c>
      <c r="P44" s="33" t="s">
        <v>23</v>
      </c>
      <c r="Q44" s="37" t="s">
        <v>24</v>
      </c>
      <c r="R44" s="32" t="s">
        <v>25</v>
      </c>
    </row>
    <row r="45" spans="1:18" ht="15" customHeight="1" x14ac:dyDescent="0.3">
      <c r="A45" s="8" t="s">
        <v>42</v>
      </c>
      <c r="B45" s="8" t="s">
        <v>460</v>
      </c>
      <c r="C45" s="9">
        <v>0.3611111111111111</v>
      </c>
      <c r="D45" s="8" t="s">
        <v>461</v>
      </c>
      <c r="E45" s="8" t="s">
        <v>99</v>
      </c>
      <c r="F45" s="8" t="s">
        <v>462</v>
      </c>
      <c r="G45" s="256"/>
      <c r="H45" s="10"/>
      <c r="I45" s="11"/>
      <c r="J45" s="11"/>
      <c r="K45" s="11"/>
      <c r="L45" s="11"/>
      <c r="M45" s="11"/>
      <c r="N45" s="11"/>
      <c r="O45" s="12"/>
      <c r="P45" s="11"/>
      <c r="Q45" s="13"/>
      <c r="R45" s="14"/>
    </row>
    <row r="46" spans="1:18" ht="15" customHeight="1" x14ac:dyDescent="0.3">
      <c r="A46" s="15" t="s">
        <v>42</v>
      </c>
      <c r="B46" s="15" t="s">
        <v>460</v>
      </c>
      <c r="C46" s="16">
        <v>0.3611111111111111</v>
      </c>
      <c r="D46" s="15" t="s">
        <v>429</v>
      </c>
      <c r="E46" s="15" t="s">
        <v>463</v>
      </c>
      <c r="F46" s="15" t="s">
        <v>464</v>
      </c>
      <c r="G46" s="257"/>
      <c r="H46" s="10"/>
      <c r="I46" s="11"/>
      <c r="J46" s="11"/>
      <c r="K46" s="11"/>
      <c r="L46" s="11"/>
      <c r="M46" s="11"/>
      <c r="N46" s="11"/>
      <c r="O46" s="12"/>
      <c r="P46" s="11"/>
      <c r="Q46" s="13"/>
      <c r="R46" s="14"/>
    </row>
    <row r="47" spans="1:18" ht="15" customHeight="1" x14ac:dyDescent="0.3">
      <c r="A47" s="15" t="s">
        <v>42</v>
      </c>
      <c r="B47" s="15" t="s">
        <v>460</v>
      </c>
      <c r="C47" s="16">
        <v>0.3611111111111111</v>
      </c>
      <c r="D47" s="15" t="s">
        <v>431</v>
      </c>
      <c r="E47" s="15" t="s">
        <v>463</v>
      </c>
      <c r="F47" s="15" t="s">
        <v>465</v>
      </c>
      <c r="G47" s="257"/>
      <c r="H47" s="10"/>
      <c r="I47" s="11"/>
      <c r="J47" s="11"/>
      <c r="K47" s="11"/>
      <c r="L47" s="11"/>
      <c r="M47" s="11"/>
      <c r="N47" s="11"/>
      <c r="O47" s="12"/>
      <c r="P47" s="11"/>
      <c r="Q47" s="13"/>
      <c r="R47" s="14"/>
    </row>
    <row r="48" spans="1:18" ht="15" customHeight="1" x14ac:dyDescent="0.3">
      <c r="A48" s="15" t="s">
        <v>42</v>
      </c>
      <c r="B48" s="15" t="s">
        <v>460</v>
      </c>
      <c r="C48" s="16">
        <v>0.3611111111111111</v>
      </c>
      <c r="D48" s="15" t="s">
        <v>466</v>
      </c>
      <c r="E48" s="15" t="s">
        <v>463</v>
      </c>
      <c r="F48" s="15" t="s">
        <v>35</v>
      </c>
      <c r="G48" s="257"/>
      <c r="H48" s="10"/>
      <c r="I48" s="11"/>
      <c r="J48" s="11"/>
      <c r="K48" s="11"/>
      <c r="L48" s="11"/>
      <c r="M48" s="11"/>
      <c r="N48" s="11"/>
      <c r="O48" s="12"/>
      <c r="P48" s="11"/>
      <c r="Q48" s="13"/>
      <c r="R48" s="14"/>
    </row>
    <row r="49" spans="1:18" ht="15" customHeight="1" x14ac:dyDescent="0.3">
      <c r="A49" s="19" t="s">
        <v>260</v>
      </c>
      <c r="B49" s="19" t="s">
        <v>428</v>
      </c>
      <c r="C49" s="20">
        <v>0.3611111111111111</v>
      </c>
      <c r="D49" s="19" t="s">
        <v>429</v>
      </c>
      <c r="E49" s="19" t="s">
        <v>29</v>
      </c>
      <c r="F49" s="19" t="s">
        <v>467</v>
      </c>
      <c r="G49" s="257"/>
      <c r="H49" s="10"/>
      <c r="I49" s="11"/>
      <c r="J49" s="11"/>
      <c r="K49" s="11"/>
      <c r="L49" s="11"/>
      <c r="M49" s="11"/>
      <c r="N49" s="11"/>
      <c r="O49" s="12"/>
      <c r="P49" s="11"/>
      <c r="Q49" s="13"/>
      <c r="R49" s="14"/>
    </row>
    <row r="50" spans="1:18" ht="15" customHeight="1" x14ac:dyDescent="0.3">
      <c r="A50" s="15" t="s">
        <v>260</v>
      </c>
      <c r="B50" s="15" t="s">
        <v>428</v>
      </c>
      <c r="C50" s="16">
        <v>0.3611111111111111</v>
      </c>
      <c r="D50" s="15" t="s">
        <v>431</v>
      </c>
      <c r="E50" s="15" t="s">
        <v>32</v>
      </c>
      <c r="F50" s="15" t="s">
        <v>468</v>
      </c>
      <c r="G50" s="257"/>
      <c r="H50" s="10"/>
      <c r="I50" s="11"/>
      <c r="J50" s="11"/>
      <c r="K50" s="11"/>
      <c r="L50" s="11"/>
      <c r="M50" s="11"/>
      <c r="N50" s="11"/>
      <c r="O50" s="12"/>
      <c r="P50" s="11"/>
      <c r="Q50" s="13"/>
      <c r="R50" s="14"/>
    </row>
    <row r="51" spans="1:18" ht="15" customHeight="1" x14ac:dyDescent="0.3">
      <c r="A51" s="15" t="s">
        <v>260</v>
      </c>
      <c r="B51" s="15" t="s">
        <v>428</v>
      </c>
      <c r="C51" s="16">
        <v>0.3611111111111111</v>
      </c>
      <c r="D51" s="15" t="s">
        <v>49</v>
      </c>
      <c r="E51" s="15" t="s">
        <v>32</v>
      </c>
      <c r="F51" s="15" t="s">
        <v>469</v>
      </c>
      <c r="G51" s="257"/>
      <c r="H51" s="10"/>
      <c r="I51" s="11"/>
      <c r="J51" s="11"/>
      <c r="K51" s="11"/>
      <c r="L51" s="11"/>
      <c r="M51" s="11"/>
      <c r="N51" s="11"/>
      <c r="O51" s="12"/>
      <c r="P51" s="11"/>
      <c r="Q51" s="13"/>
      <c r="R51" s="14"/>
    </row>
    <row r="52" spans="1:18" ht="15" customHeight="1" x14ac:dyDescent="0.3">
      <c r="A52" s="174" t="s">
        <v>78</v>
      </c>
      <c r="B52" s="174" t="s">
        <v>470</v>
      </c>
      <c r="C52" s="175">
        <v>0.27083333333333331</v>
      </c>
      <c r="D52" s="174" t="s">
        <v>98</v>
      </c>
      <c r="E52" s="174" t="s">
        <v>453</v>
      </c>
      <c r="F52" s="174" t="s">
        <v>291</v>
      </c>
      <c r="G52" s="257"/>
      <c r="H52" s="158" t="s">
        <v>471</v>
      </c>
      <c r="I52" s="167">
        <v>0.9556</v>
      </c>
      <c r="J52" s="160">
        <v>172</v>
      </c>
      <c r="K52" s="161">
        <v>45980</v>
      </c>
      <c r="L52" s="160">
        <v>21</v>
      </c>
      <c r="M52" s="160">
        <v>1</v>
      </c>
      <c r="N52" s="160">
        <v>4</v>
      </c>
      <c r="O52" s="162" t="s">
        <v>472</v>
      </c>
      <c r="P52" s="163">
        <v>0.27083333333333331</v>
      </c>
      <c r="Q52" s="160">
        <v>180</v>
      </c>
      <c r="R52" s="164" t="s">
        <v>473</v>
      </c>
    </row>
    <row r="53" spans="1:18" ht="15" customHeight="1" x14ac:dyDescent="0.3">
      <c r="A53" s="126" t="s">
        <v>78</v>
      </c>
      <c r="B53" s="126" t="s">
        <v>449</v>
      </c>
      <c r="C53" s="127">
        <v>0.60416666666666663</v>
      </c>
      <c r="D53" s="126" t="s">
        <v>98</v>
      </c>
      <c r="E53" s="126" t="s">
        <v>94</v>
      </c>
      <c r="F53" s="126" t="s">
        <v>291</v>
      </c>
      <c r="G53" s="257"/>
      <c r="H53" s="129" t="s">
        <v>438</v>
      </c>
      <c r="I53" s="130">
        <v>0.87780000000000002</v>
      </c>
      <c r="J53" s="131">
        <v>158</v>
      </c>
      <c r="K53" s="132">
        <v>45980</v>
      </c>
      <c r="L53" s="131">
        <v>35</v>
      </c>
      <c r="M53" s="131">
        <v>1</v>
      </c>
      <c r="N53" s="131">
        <v>5</v>
      </c>
      <c r="O53" s="133" t="s">
        <v>292</v>
      </c>
      <c r="P53" s="134">
        <v>0.60416666666666663</v>
      </c>
      <c r="Q53" s="131">
        <v>180</v>
      </c>
      <c r="R53" s="135" t="s">
        <v>474</v>
      </c>
    </row>
    <row r="54" spans="1:18" ht="15" customHeight="1" x14ac:dyDescent="0.3">
      <c r="A54" s="19" t="s">
        <v>51</v>
      </c>
      <c r="B54" s="19" t="s">
        <v>434</v>
      </c>
      <c r="C54" s="20">
        <v>0.4513888888888889</v>
      </c>
      <c r="D54" s="19" t="s">
        <v>53</v>
      </c>
      <c r="E54" s="19" t="s">
        <v>54</v>
      </c>
      <c r="F54" s="19" t="s">
        <v>475</v>
      </c>
      <c r="G54" s="257"/>
      <c r="H54" s="10"/>
      <c r="I54" s="11"/>
      <c r="J54" s="11"/>
      <c r="K54" s="11"/>
      <c r="L54" s="11"/>
      <c r="M54" s="11"/>
      <c r="N54" s="11"/>
      <c r="O54" s="12"/>
      <c r="P54" s="11"/>
      <c r="Q54" s="13"/>
      <c r="R54" s="14"/>
    </row>
    <row r="55" spans="1:18" ht="15" customHeight="1" x14ac:dyDescent="0.3">
      <c r="A55" s="15" t="s">
        <v>51</v>
      </c>
      <c r="B55" s="15" t="s">
        <v>434</v>
      </c>
      <c r="C55" s="16">
        <v>0.4513888888888889</v>
      </c>
      <c r="D55" s="15" t="s">
        <v>56</v>
      </c>
      <c r="E55" s="15" t="s">
        <v>57</v>
      </c>
      <c r="F55" s="15" t="s">
        <v>476</v>
      </c>
      <c r="G55" s="257"/>
      <c r="H55" s="10"/>
      <c r="I55" s="11"/>
      <c r="J55" s="11"/>
      <c r="K55" s="11"/>
      <c r="L55" s="11"/>
      <c r="M55" s="11"/>
      <c r="N55" s="11"/>
      <c r="O55" s="12"/>
      <c r="P55" s="11"/>
      <c r="Q55" s="13"/>
      <c r="R55" s="14"/>
    </row>
    <row r="56" spans="1:18" ht="15" customHeight="1" x14ac:dyDescent="0.3">
      <c r="A56" s="17" t="s">
        <v>51</v>
      </c>
      <c r="B56" s="17" t="s">
        <v>437</v>
      </c>
      <c r="C56" s="18">
        <v>0.81944444444444453</v>
      </c>
      <c r="D56" s="17" t="s">
        <v>56</v>
      </c>
      <c r="E56" s="17" t="s">
        <v>72</v>
      </c>
      <c r="F56" s="17" t="s">
        <v>477</v>
      </c>
      <c r="G56" s="257"/>
      <c r="H56" s="10"/>
      <c r="I56" s="11"/>
      <c r="J56" s="11"/>
      <c r="K56" s="11"/>
      <c r="L56" s="11"/>
      <c r="M56" s="11"/>
      <c r="N56" s="11"/>
      <c r="O56" s="12"/>
      <c r="P56" s="11"/>
      <c r="Q56" s="13"/>
      <c r="R56" s="14"/>
    </row>
    <row r="57" spans="1:18" ht="15" customHeight="1" x14ac:dyDescent="0.3">
      <c r="A57" s="19" t="s">
        <v>67</v>
      </c>
      <c r="B57" s="19" t="s">
        <v>478</v>
      </c>
      <c r="C57" s="20">
        <v>0.4236111111111111</v>
      </c>
      <c r="D57" s="19" t="s">
        <v>69</v>
      </c>
      <c r="E57" s="19" t="s">
        <v>54</v>
      </c>
      <c r="F57" s="19" t="s">
        <v>479</v>
      </c>
      <c r="G57" s="257"/>
      <c r="H57" s="10"/>
      <c r="I57" s="11"/>
      <c r="J57" s="11"/>
      <c r="K57" s="11"/>
      <c r="L57" s="11"/>
      <c r="M57" s="11"/>
      <c r="N57" s="11"/>
      <c r="O57" s="12"/>
      <c r="P57" s="11"/>
      <c r="Q57" s="13"/>
      <c r="R57" s="14"/>
    </row>
    <row r="58" spans="1:18" ht="18" x14ac:dyDescent="0.3">
      <c r="A58" s="267" t="s">
        <v>440</v>
      </c>
      <c r="B58" s="268"/>
      <c r="C58" s="268"/>
      <c r="D58" s="268"/>
      <c r="E58" s="268"/>
      <c r="F58" s="269"/>
      <c r="G58" s="257"/>
      <c r="H58" s="94"/>
      <c r="I58" s="94"/>
      <c r="J58" s="94"/>
      <c r="K58" s="94"/>
      <c r="L58" s="94"/>
      <c r="M58" s="94"/>
      <c r="N58" s="94"/>
      <c r="O58" s="95"/>
      <c r="P58" s="94"/>
      <c r="Q58" s="55"/>
      <c r="R58" s="55"/>
    </row>
    <row r="59" spans="1:18" ht="15" customHeight="1" x14ac:dyDescent="0.3">
      <c r="A59" s="17" t="s">
        <v>42</v>
      </c>
      <c r="B59" s="17" t="s">
        <v>205</v>
      </c>
      <c r="C59" s="18" t="s">
        <v>415</v>
      </c>
      <c r="D59" s="17" t="s">
        <v>44</v>
      </c>
      <c r="E59" s="17" t="s">
        <v>169</v>
      </c>
      <c r="F59" s="17" t="s">
        <v>311</v>
      </c>
      <c r="G59" s="257"/>
      <c r="H59" s="94"/>
      <c r="I59" s="94"/>
      <c r="J59" s="94"/>
      <c r="K59" s="94"/>
      <c r="L59" s="94"/>
      <c r="M59" s="94"/>
      <c r="N59" s="94"/>
      <c r="O59" s="95"/>
      <c r="P59" s="94"/>
      <c r="Q59" s="55"/>
      <c r="R59" s="55"/>
    </row>
    <row r="60" spans="1:18" ht="15" customHeight="1" x14ac:dyDescent="0.3">
      <c r="A60" s="17" t="s">
        <v>42</v>
      </c>
      <c r="B60" s="17" t="s">
        <v>211</v>
      </c>
      <c r="C60" s="18" t="s">
        <v>416</v>
      </c>
      <c r="D60" s="17" t="s">
        <v>44</v>
      </c>
      <c r="E60" s="17" t="s">
        <v>480</v>
      </c>
      <c r="F60" s="17" t="s">
        <v>311</v>
      </c>
      <c r="G60" s="257"/>
      <c r="H60" s="94"/>
      <c r="I60" s="94"/>
      <c r="J60" s="94"/>
      <c r="K60" s="94"/>
      <c r="L60" s="94"/>
      <c r="M60" s="94"/>
      <c r="N60" s="94"/>
      <c r="O60" s="95"/>
      <c r="P60" s="94"/>
      <c r="Q60" s="55"/>
      <c r="R60" s="55"/>
    </row>
    <row r="61" spans="1:18" ht="15" customHeight="1" x14ac:dyDescent="0.3">
      <c r="A61" s="17" t="s">
        <v>42</v>
      </c>
      <c r="B61" s="17" t="s">
        <v>214</v>
      </c>
      <c r="C61" s="18" t="s">
        <v>417</v>
      </c>
      <c r="D61" s="17" t="s">
        <v>44</v>
      </c>
      <c r="E61" s="17" t="s">
        <v>481</v>
      </c>
      <c r="F61" s="17" t="s">
        <v>311</v>
      </c>
      <c r="G61" s="257"/>
      <c r="H61" s="94"/>
      <c r="I61" s="94"/>
      <c r="J61" s="94"/>
      <c r="K61" s="94"/>
      <c r="L61" s="94"/>
      <c r="M61" s="94"/>
      <c r="N61" s="94"/>
      <c r="O61" s="95"/>
      <c r="P61" s="94"/>
      <c r="Q61" s="55"/>
      <c r="R61" s="55"/>
    </row>
    <row r="62" spans="1:18" ht="15" customHeight="1" x14ac:dyDescent="0.3">
      <c r="A62" s="17" t="s">
        <v>42</v>
      </c>
      <c r="B62" s="17" t="s">
        <v>216</v>
      </c>
      <c r="C62" s="18" t="s">
        <v>418</v>
      </c>
      <c r="D62" s="17" t="s">
        <v>44</v>
      </c>
      <c r="E62" s="17" t="s">
        <v>482</v>
      </c>
      <c r="F62" s="17" t="s">
        <v>311</v>
      </c>
      <c r="G62" s="257"/>
      <c r="H62" s="94"/>
      <c r="I62" s="94"/>
      <c r="J62" s="94"/>
      <c r="K62" s="94"/>
      <c r="L62" s="94"/>
      <c r="M62" s="94"/>
      <c r="N62" s="94"/>
      <c r="O62" s="95"/>
      <c r="P62" s="94"/>
      <c r="Q62" s="55"/>
      <c r="R62" s="55"/>
    </row>
    <row r="63" spans="1:18" ht="15" customHeight="1" x14ac:dyDescent="0.3">
      <c r="A63" s="17" t="s">
        <v>26</v>
      </c>
      <c r="B63" s="17" t="s">
        <v>219</v>
      </c>
      <c r="C63" s="18" t="s">
        <v>419</v>
      </c>
      <c r="D63" s="17" t="s">
        <v>28</v>
      </c>
      <c r="E63" s="17" t="s">
        <v>169</v>
      </c>
      <c r="F63" s="17" t="s">
        <v>220</v>
      </c>
      <c r="G63" s="257"/>
      <c r="H63" s="94"/>
      <c r="I63" s="94"/>
      <c r="J63" s="94"/>
      <c r="K63" s="94"/>
      <c r="L63" s="94"/>
      <c r="M63" s="94"/>
      <c r="N63" s="94"/>
      <c r="O63" s="95"/>
      <c r="P63" s="94"/>
      <c r="Q63" s="55"/>
      <c r="R63" s="55"/>
    </row>
    <row r="64" spans="1:18" ht="15" customHeight="1" x14ac:dyDescent="0.3">
      <c r="A64" s="17" t="s">
        <v>26</v>
      </c>
      <c r="B64" s="17" t="s">
        <v>232</v>
      </c>
      <c r="C64" s="18" t="s">
        <v>424</v>
      </c>
      <c r="D64" s="17" t="s">
        <v>28</v>
      </c>
      <c r="E64" s="17" t="s">
        <v>170</v>
      </c>
      <c r="F64" s="17" t="s">
        <v>220</v>
      </c>
      <c r="G64" s="257"/>
      <c r="H64" s="94"/>
      <c r="I64" s="94"/>
      <c r="J64" s="94"/>
      <c r="K64" s="94"/>
      <c r="L64" s="94"/>
      <c r="M64" s="94"/>
      <c r="N64" s="94"/>
      <c r="O64" s="95"/>
      <c r="P64" s="94"/>
      <c r="Q64" s="55"/>
      <c r="R64" s="55"/>
    </row>
    <row r="65" spans="1:18" ht="15" customHeight="1" x14ac:dyDescent="0.3">
      <c r="A65" s="17" t="s">
        <v>26</v>
      </c>
      <c r="B65" s="17" t="s">
        <v>229</v>
      </c>
      <c r="C65" s="18" t="s">
        <v>418</v>
      </c>
      <c r="D65" s="17" t="s">
        <v>28</v>
      </c>
      <c r="E65" s="17" t="s">
        <v>169</v>
      </c>
      <c r="F65" s="17" t="s">
        <v>220</v>
      </c>
      <c r="G65" s="257"/>
      <c r="H65" s="94"/>
      <c r="I65" s="94"/>
      <c r="J65" s="94"/>
      <c r="K65" s="94"/>
      <c r="L65" s="94"/>
      <c r="M65" s="94"/>
      <c r="N65" s="94"/>
      <c r="O65" s="95"/>
      <c r="P65" s="94"/>
      <c r="Q65" s="55"/>
      <c r="R65" s="55"/>
    </row>
    <row r="66" spans="1:18" ht="15" customHeight="1" x14ac:dyDescent="0.3">
      <c r="A66" s="17" t="s">
        <v>26</v>
      </c>
      <c r="B66" s="17" t="s">
        <v>234</v>
      </c>
      <c r="C66" s="18" t="s">
        <v>425</v>
      </c>
      <c r="D66" s="17" t="s">
        <v>28</v>
      </c>
      <c r="E66" s="17" t="s">
        <v>457</v>
      </c>
      <c r="F66" s="17" t="s">
        <v>220</v>
      </c>
      <c r="G66" s="257"/>
      <c r="H66" s="94"/>
      <c r="I66" s="94"/>
      <c r="J66" s="94"/>
      <c r="K66" s="94"/>
      <c r="L66" s="94"/>
      <c r="M66" s="94"/>
      <c r="N66" s="94"/>
      <c r="O66" s="95"/>
      <c r="P66" s="94"/>
      <c r="Q66" s="55"/>
      <c r="R66" s="55"/>
    </row>
    <row r="67" spans="1:18" ht="15" customHeight="1" x14ac:dyDescent="0.3">
      <c r="A67" s="17" t="s">
        <v>26</v>
      </c>
      <c r="B67" s="17" t="s">
        <v>222</v>
      </c>
      <c r="C67" s="18" t="s">
        <v>420</v>
      </c>
      <c r="D67" s="17" t="s">
        <v>28</v>
      </c>
      <c r="E67" s="17" t="s">
        <v>171</v>
      </c>
      <c r="F67" s="17" t="s">
        <v>220</v>
      </c>
      <c r="G67" s="257"/>
      <c r="H67" s="94"/>
      <c r="I67" s="94"/>
      <c r="J67" s="94"/>
      <c r="K67" s="94"/>
      <c r="L67" s="94"/>
      <c r="M67" s="94"/>
      <c r="N67" s="94"/>
      <c r="O67" s="95"/>
      <c r="P67" s="94"/>
      <c r="Q67" s="55"/>
      <c r="R67" s="55"/>
    </row>
    <row r="68" spans="1:18" ht="15" customHeight="1" x14ac:dyDescent="0.3">
      <c r="A68" s="39" t="s">
        <v>78</v>
      </c>
      <c r="B68" s="39" t="s">
        <v>247</v>
      </c>
      <c r="C68" s="40" t="s">
        <v>345</v>
      </c>
      <c r="D68" s="39" t="s">
        <v>98</v>
      </c>
      <c r="E68" s="39" t="s">
        <v>455</v>
      </c>
      <c r="F68" s="39" t="s">
        <v>291</v>
      </c>
      <c r="G68" s="258"/>
      <c r="H68" s="96"/>
      <c r="I68" s="96"/>
      <c r="J68" s="96"/>
      <c r="K68" s="96"/>
      <c r="L68" s="96"/>
      <c r="M68" s="96"/>
      <c r="N68" s="96"/>
      <c r="O68" s="97"/>
      <c r="P68" s="96"/>
      <c r="Q68" s="98"/>
      <c r="R68" s="98"/>
    </row>
  </sheetData>
  <mergeCells count="21">
    <mergeCell ref="G45:G68"/>
    <mergeCell ref="A31:F31"/>
    <mergeCell ref="A58:F58"/>
    <mergeCell ref="K2:R2"/>
    <mergeCell ref="A24:F24"/>
    <mergeCell ref="H24:R24"/>
    <mergeCell ref="H1:L1"/>
    <mergeCell ref="A1:E1"/>
    <mergeCell ref="H43:R43"/>
    <mergeCell ref="A12:F12"/>
    <mergeCell ref="H4:R4"/>
    <mergeCell ref="A2:F2"/>
    <mergeCell ref="A3:R3"/>
    <mergeCell ref="G26:G41"/>
    <mergeCell ref="A42:R42"/>
    <mergeCell ref="G2:J2"/>
    <mergeCell ref="A4:F4"/>
    <mergeCell ref="A23:R23"/>
    <mergeCell ref="G6:G22"/>
    <mergeCell ref="A43:F43"/>
    <mergeCell ref="N1:R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J6"/>
  <sheetViews>
    <sheetView workbookViewId="0"/>
  </sheetViews>
  <sheetFormatPr defaultRowHeight="15.6" outlineLevelCol="1" x14ac:dyDescent="0.3"/>
  <cols>
    <col min="1" max="1" width="9.88671875" style="272" bestFit="1" customWidth="1"/>
    <col min="2" max="2" width="10.44140625" style="272" bestFit="1" customWidth="1"/>
    <col min="3" max="3" width="6.77734375" style="272" bestFit="1" customWidth="1"/>
    <col min="4" max="4" width="5.5546875" style="272" bestFit="1" customWidth="1"/>
    <col min="5" max="5" width="8.109375" style="272" bestFit="1" customWidth="1"/>
    <col min="6" max="6" width="4.21875" style="272" bestFit="1" customWidth="1"/>
    <col min="7" max="7" width="10" style="272" bestFit="1" customWidth="1"/>
    <col min="8" max="10" width="7" style="272" bestFit="1" customWidth="1"/>
    <col min="11" max="11" width="10.5546875" style="272" bestFit="1" customWidth="1"/>
    <col min="12" max="12" width="9.10937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25" width="3.88671875" style="272" bestFit="1" customWidth="1"/>
    <col min="26" max="26" width="4.109375" style="272" bestFit="1" customWidth="1"/>
    <col min="27" max="27" width="5" style="272" bestFit="1" customWidth="1"/>
    <col min="28" max="29" width="4.21875" style="272" bestFit="1" customWidth="1"/>
    <col min="30" max="31" width="4.5546875" style="272" bestFit="1" customWidth="1"/>
    <col min="32" max="34" width="3.88671875" style="272" bestFit="1" customWidth="1"/>
    <col min="35" max="35" width="5.21875" style="272" bestFit="1" customWidth="1"/>
    <col min="36" max="36" width="3.88671875" style="272" bestFit="1" customWidth="1"/>
    <col min="37" max="16384" width="8.88671875" style="272"/>
  </cols>
  <sheetData>
    <row r="1" spans="1:36" x14ac:dyDescent="0.3">
      <c r="A1" s="271" t="s">
        <v>103</v>
      </c>
      <c r="B1" s="271" t="s">
        <v>104</v>
      </c>
      <c r="C1" s="271" t="s">
        <v>105</v>
      </c>
      <c r="D1" s="271" t="s">
        <v>23</v>
      </c>
      <c r="E1" s="271" t="s">
        <v>106</v>
      </c>
      <c r="F1" s="271" t="s">
        <v>107</v>
      </c>
      <c r="G1" s="271" t="s">
        <v>16</v>
      </c>
      <c r="H1" s="271" t="s">
        <v>108</v>
      </c>
      <c r="I1" s="271" t="s">
        <v>109</v>
      </c>
      <c r="J1" s="271" t="s">
        <v>110</v>
      </c>
      <c r="K1" s="271" t="s">
        <v>111</v>
      </c>
      <c r="L1" s="271" t="s">
        <v>18</v>
      </c>
      <c r="M1" s="271" t="s">
        <v>20</v>
      </c>
      <c r="N1" s="271" t="s">
        <v>21</v>
      </c>
      <c r="O1" s="271" t="s">
        <v>19</v>
      </c>
      <c r="P1" s="271" t="s">
        <v>22</v>
      </c>
      <c r="Q1" s="271" t="s">
        <v>112</v>
      </c>
      <c r="R1" s="271" t="s">
        <v>113</v>
      </c>
      <c r="S1" s="271" t="s">
        <v>114</v>
      </c>
      <c r="T1" s="271" t="s">
        <v>115</v>
      </c>
      <c r="U1" s="271" t="s">
        <v>116</v>
      </c>
      <c r="V1" s="271" t="s">
        <v>117</v>
      </c>
      <c r="W1" s="271" t="s">
        <v>118</v>
      </c>
      <c r="X1" s="271" t="s">
        <v>119</v>
      </c>
      <c r="Y1" s="271" t="s">
        <v>120</v>
      </c>
      <c r="Z1" s="271" t="s">
        <v>121</v>
      </c>
      <c r="AA1" s="271" t="s">
        <v>122</v>
      </c>
      <c r="AB1" s="271" t="s">
        <v>123</v>
      </c>
      <c r="AC1" s="271" t="s">
        <v>124</v>
      </c>
      <c r="AD1" s="271" t="s">
        <v>125</v>
      </c>
      <c r="AE1" s="271" t="s">
        <v>126</v>
      </c>
      <c r="AF1" s="271" t="s">
        <v>127</v>
      </c>
      <c r="AG1" s="271" t="s">
        <v>128</v>
      </c>
      <c r="AH1" s="271" t="s">
        <v>129</v>
      </c>
      <c r="AI1" s="271" t="s">
        <v>130</v>
      </c>
      <c r="AJ1" s="271" t="s">
        <v>131</v>
      </c>
    </row>
    <row r="2" spans="1:36" x14ac:dyDescent="0.3">
      <c r="A2" s="273" t="s">
        <v>132</v>
      </c>
      <c r="B2" s="274">
        <v>45981</v>
      </c>
      <c r="C2" s="275" t="s">
        <v>438</v>
      </c>
      <c r="D2" s="276" t="s">
        <v>483</v>
      </c>
      <c r="E2" s="275" t="s">
        <v>427</v>
      </c>
      <c r="F2" s="275" t="s">
        <v>134</v>
      </c>
      <c r="G2" s="277">
        <v>1</v>
      </c>
      <c r="H2" s="278">
        <v>180</v>
      </c>
      <c r="I2" s="278">
        <v>180</v>
      </c>
      <c r="J2" s="278">
        <v>130</v>
      </c>
      <c r="K2" s="275" t="s">
        <v>135</v>
      </c>
      <c r="L2" s="279">
        <v>45979</v>
      </c>
      <c r="M2" s="278">
        <v>0</v>
      </c>
      <c r="N2" s="278">
        <v>2</v>
      </c>
      <c r="O2" s="278">
        <v>18</v>
      </c>
      <c r="P2" s="275" t="s">
        <v>82</v>
      </c>
      <c r="Q2" s="271"/>
      <c r="R2" s="271"/>
      <c r="S2" s="271"/>
      <c r="T2" s="271"/>
      <c r="U2" s="271"/>
      <c r="V2" s="271"/>
      <c r="W2" s="271"/>
      <c r="X2" s="271"/>
      <c r="Y2" s="271"/>
      <c r="Z2" s="278" t="s">
        <v>249</v>
      </c>
      <c r="AA2" s="271"/>
      <c r="AB2" s="278" t="s">
        <v>392</v>
      </c>
      <c r="AC2" s="278" t="s">
        <v>484</v>
      </c>
      <c r="AD2" s="278" t="s">
        <v>485</v>
      </c>
      <c r="AE2" s="278" t="s">
        <v>486</v>
      </c>
      <c r="AF2" s="278" t="s">
        <v>362</v>
      </c>
      <c r="AG2" s="271"/>
      <c r="AH2" s="271"/>
      <c r="AI2" s="278" t="s">
        <v>142</v>
      </c>
      <c r="AJ2" s="271"/>
    </row>
    <row r="3" spans="1:36" x14ac:dyDescent="0.3">
      <c r="A3" s="273" t="s">
        <v>377</v>
      </c>
      <c r="B3" s="274">
        <v>45982</v>
      </c>
      <c r="C3" s="275" t="s">
        <v>438</v>
      </c>
      <c r="D3" s="276" t="s">
        <v>153</v>
      </c>
      <c r="E3" s="275" t="s">
        <v>427</v>
      </c>
      <c r="F3" s="275" t="s">
        <v>134</v>
      </c>
      <c r="G3" s="277">
        <v>0.75</v>
      </c>
      <c r="H3" s="278">
        <v>180</v>
      </c>
      <c r="I3" s="278">
        <v>135</v>
      </c>
      <c r="J3" s="278">
        <v>45</v>
      </c>
      <c r="K3" s="275" t="s">
        <v>135</v>
      </c>
      <c r="L3" s="279">
        <v>45979</v>
      </c>
      <c r="M3" s="278">
        <v>0</v>
      </c>
      <c r="N3" s="278">
        <v>16</v>
      </c>
      <c r="O3" s="278">
        <v>60</v>
      </c>
      <c r="P3" s="275" t="s">
        <v>451</v>
      </c>
      <c r="Q3" s="271"/>
      <c r="R3" s="271"/>
      <c r="S3" s="271"/>
      <c r="T3" s="271"/>
      <c r="U3" s="271"/>
      <c r="V3" s="271"/>
      <c r="W3" s="271"/>
      <c r="X3" s="278" t="s">
        <v>487</v>
      </c>
      <c r="Y3" s="278" t="s">
        <v>346</v>
      </c>
      <c r="Z3" s="278" t="s">
        <v>488</v>
      </c>
      <c r="AA3" s="278" t="s">
        <v>489</v>
      </c>
      <c r="AB3" s="278" t="s">
        <v>185</v>
      </c>
      <c r="AC3" s="278" t="s">
        <v>490</v>
      </c>
      <c r="AD3" s="278" t="s">
        <v>491</v>
      </c>
      <c r="AE3" s="278" t="s">
        <v>368</v>
      </c>
      <c r="AF3" s="278" t="s">
        <v>369</v>
      </c>
      <c r="AG3" s="271"/>
      <c r="AH3" s="271"/>
      <c r="AI3" s="278" t="s">
        <v>414</v>
      </c>
      <c r="AJ3" s="271"/>
    </row>
    <row r="4" spans="1:36" x14ac:dyDescent="0.3">
      <c r="A4" s="273" t="s">
        <v>144</v>
      </c>
      <c r="B4" s="274">
        <v>45983</v>
      </c>
      <c r="C4" s="275" t="s">
        <v>471</v>
      </c>
      <c r="D4" s="276" t="s">
        <v>492</v>
      </c>
      <c r="E4" s="275" t="s">
        <v>427</v>
      </c>
      <c r="F4" s="275" t="s">
        <v>134</v>
      </c>
      <c r="G4" s="277">
        <v>0.9556</v>
      </c>
      <c r="H4" s="278">
        <v>180</v>
      </c>
      <c r="I4" s="278">
        <v>172</v>
      </c>
      <c r="J4" s="278">
        <v>127</v>
      </c>
      <c r="K4" s="275" t="s">
        <v>135</v>
      </c>
      <c r="L4" s="279">
        <v>45980</v>
      </c>
      <c r="M4" s="278">
        <v>1</v>
      </c>
      <c r="N4" s="278">
        <v>4</v>
      </c>
      <c r="O4" s="278">
        <v>21</v>
      </c>
      <c r="P4" s="275" t="s">
        <v>472</v>
      </c>
      <c r="Q4" s="271"/>
      <c r="R4" s="271"/>
      <c r="S4" s="271"/>
      <c r="T4" s="271"/>
      <c r="U4" s="271"/>
      <c r="V4" s="271"/>
      <c r="W4" s="271"/>
      <c r="X4" s="271"/>
      <c r="Y4" s="271"/>
      <c r="Z4" s="278" t="s">
        <v>193</v>
      </c>
      <c r="AA4" s="278" t="s">
        <v>294</v>
      </c>
      <c r="AB4" s="278" t="s">
        <v>493</v>
      </c>
      <c r="AC4" s="278" t="s">
        <v>196</v>
      </c>
      <c r="AD4" s="278" t="s">
        <v>491</v>
      </c>
      <c r="AE4" s="271"/>
      <c r="AF4" s="271"/>
      <c r="AG4" s="271"/>
      <c r="AH4" s="271"/>
      <c r="AI4" s="278" t="s">
        <v>494</v>
      </c>
      <c r="AJ4" s="271"/>
    </row>
    <row r="5" spans="1:36" x14ac:dyDescent="0.3">
      <c r="A5" s="273" t="s">
        <v>144</v>
      </c>
      <c r="B5" s="274">
        <v>45983</v>
      </c>
      <c r="C5" s="275" t="s">
        <v>438</v>
      </c>
      <c r="D5" s="276" t="s">
        <v>495</v>
      </c>
      <c r="E5" s="275" t="s">
        <v>427</v>
      </c>
      <c r="F5" s="275" t="s">
        <v>134</v>
      </c>
      <c r="G5" s="277">
        <v>0.87780000000000002</v>
      </c>
      <c r="H5" s="278">
        <v>180</v>
      </c>
      <c r="I5" s="278">
        <v>158</v>
      </c>
      <c r="J5" s="278">
        <v>90</v>
      </c>
      <c r="K5" s="275" t="s">
        <v>135</v>
      </c>
      <c r="L5" s="279">
        <v>45980</v>
      </c>
      <c r="M5" s="278">
        <v>1</v>
      </c>
      <c r="N5" s="278">
        <v>5</v>
      </c>
      <c r="O5" s="278">
        <v>35</v>
      </c>
      <c r="P5" s="275" t="s">
        <v>292</v>
      </c>
      <c r="Q5" s="271"/>
      <c r="R5" s="271"/>
      <c r="S5" s="271"/>
      <c r="T5" s="271"/>
      <c r="U5" s="271"/>
      <c r="V5" s="271"/>
      <c r="W5" s="271"/>
      <c r="X5" s="271"/>
      <c r="Y5" s="271"/>
      <c r="Z5" s="278" t="s">
        <v>347</v>
      </c>
      <c r="AA5" s="278" t="s">
        <v>353</v>
      </c>
      <c r="AB5" s="278" t="s">
        <v>493</v>
      </c>
      <c r="AC5" s="278" t="s">
        <v>196</v>
      </c>
      <c r="AD5" s="278" t="s">
        <v>355</v>
      </c>
      <c r="AE5" s="278" t="s">
        <v>388</v>
      </c>
      <c r="AF5" s="271"/>
      <c r="AG5" s="271"/>
      <c r="AH5" s="271"/>
      <c r="AI5" s="278" t="s">
        <v>179</v>
      </c>
      <c r="AJ5" s="271"/>
    </row>
    <row r="6" spans="1:36" ht="21" x14ac:dyDescent="0.3">
      <c r="A6" s="280" t="s">
        <v>932</v>
      </c>
      <c r="B6" s="281"/>
      <c r="C6" s="280">
        <f>SUBTOTAL(103,HBE_JED_LF_LEGACY[Flt])</f>
        <v>4</v>
      </c>
      <c r="D6" s="280"/>
      <c r="E6" s="280">
        <f>SUBTOTAL(103,HBE_JED_LF_LEGACY[Brd-Off])</f>
        <v>4</v>
      </c>
      <c r="F6" s="280"/>
      <c r="G6" s="282">
        <f>SUBTOTAL(101,HBE_JED_LF_LEGACY[LF%])</f>
        <v>0.89585000000000004</v>
      </c>
      <c r="H6" s="283">
        <f>SUBTOTAL(109,HBE_JED_LF_LEGACY[CAP])</f>
        <v>720</v>
      </c>
      <c r="I6" s="283">
        <f>SUBTOTAL(109,HBE_JED_LF_LEGACY[BKG(Y)])</f>
        <v>645</v>
      </c>
      <c r="J6" s="283">
        <f>SUBTOTAL(109,HBE_JED_LF_LEGACY[GRP(Y)])</f>
        <v>392</v>
      </c>
      <c r="K6" s="280"/>
      <c r="L6" s="281"/>
      <c r="M6" s="283">
        <f>SUBTOTAL(109,HBE_JED_LF_LEGACY[TO-DAY])</f>
        <v>2</v>
      </c>
      <c r="N6" s="283">
        <f>SUBTOTAL(109,HBE_JED_LF_LEGACY[Y-DAY])</f>
        <v>27</v>
      </c>
      <c r="O6" s="283">
        <f>SUBTOTAL(109,HBE_JED_LF_LEGACY[WEEKLY])</f>
        <v>134</v>
      </c>
      <c r="P6" s="284"/>
      <c r="Q6" s="283">
        <f>SUBTOTAL(109,HBE_JED_LF_LEGACY[Y])</f>
        <v>0</v>
      </c>
      <c r="R6" s="283">
        <f>SUBTOTAL(109,HBE_JED_LF_LEGACY[B])</f>
        <v>0</v>
      </c>
      <c r="S6" s="283">
        <f>SUBTOTAL(109,HBE_JED_LF_LEGACY[M])</f>
        <v>0</v>
      </c>
      <c r="T6" s="283">
        <f>SUBTOTAL(109,HBE_JED_LF_LEGACY[H])</f>
        <v>0</v>
      </c>
      <c r="U6" s="283">
        <f>SUBTOTAL(109,HBE_JED_LF_LEGACY[Q])</f>
        <v>0</v>
      </c>
      <c r="V6" s="283">
        <f>SUBTOTAL(109,HBE_JED_LF_LEGACY[K])</f>
        <v>0</v>
      </c>
      <c r="W6" s="283">
        <f>SUBTOTAL(109,HBE_JED_LF_LEGACY[V])</f>
        <v>0</v>
      </c>
      <c r="X6" s="283">
        <f>SUBTOTAL(109,HBE_JED_LF_LEGACY[L])</f>
        <v>0</v>
      </c>
      <c r="Y6" s="283">
        <f>SUBTOTAL(109,HBE_JED_LF_LEGACY[G])</f>
        <v>0</v>
      </c>
      <c r="Z6" s="283">
        <f>SUBTOTAL(109,HBE_JED_LF_LEGACY[S])</f>
        <v>0</v>
      </c>
      <c r="AA6" s="283">
        <f>SUBTOTAL(109,HBE_JED_LF_LEGACY[W])</f>
        <v>0</v>
      </c>
      <c r="AB6" s="283">
        <f>SUBTOTAL(109,HBE_JED_LF_LEGACY[T])</f>
        <v>0</v>
      </c>
      <c r="AC6" s="283">
        <f>SUBTOTAL(109,HBE_JED_LF_LEGACY[X])</f>
        <v>0</v>
      </c>
      <c r="AD6" s="283">
        <f>SUBTOTAL(109,HBE_JED_LF_LEGACY[U])</f>
        <v>0</v>
      </c>
      <c r="AE6" s="283">
        <f>SUBTOTAL(109,HBE_JED_LF_LEGACY[O])</f>
        <v>0</v>
      </c>
      <c r="AF6" s="283">
        <f>SUBTOTAL(109,HBE_JED_LF_LEGACY[I])</f>
        <v>0</v>
      </c>
      <c r="AG6" s="283">
        <f>SUBTOTAL(109,HBE_JED_LF_LEGACY[E])</f>
        <v>0</v>
      </c>
      <c r="AH6" s="283">
        <f>SUBTOTAL(109,HBE_JED_LF_LEGACY[A])</f>
        <v>0</v>
      </c>
      <c r="AI6" s="283">
        <f>SUBTOTAL(109,HBE_JED_LF_LEGACY[P])</f>
        <v>0</v>
      </c>
      <c r="AJ6" s="283">
        <f>SUBTOTAL(103,HBE_JED_LF_LEGACY[N])</f>
        <v>0</v>
      </c>
    </row>
  </sheetData>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58"/>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3" hidden="1" customWidth="1"/>
  </cols>
  <sheetData>
    <row r="1" spans="1:8" ht="18" x14ac:dyDescent="0.3">
      <c r="A1" s="56" t="s">
        <v>149</v>
      </c>
      <c r="B1" s="57" t="s">
        <v>8</v>
      </c>
      <c r="C1" s="57" t="s">
        <v>9</v>
      </c>
      <c r="D1" s="57" t="s">
        <v>150</v>
      </c>
      <c r="E1" s="57" t="s">
        <v>10</v>
      </c>
      <c r="F1" s="57" t="s">
        <v>11</v>
      </c>
      <c r="G1" s="57" t="s">
        <v>12</v>
      </c>
      <c r="H1" s="58" t="s">
        <v>13</v>
      </c>
    </row>
    <row r="2" spans="1:8" ht="19.8" customHeight="1" x14ac:dyDescent="0.3">
      <c r="A2" s="59" t="s">
        <v>151</v>
      </c>
      <c r="B2" s="60" t="s">
        <v>260</v>
      </c>
      <c r="C2" s="61" t="s">
        <v>428</v>
      </c>
      <c r="D2" s="60" t="s">
        <v>427</v>
      </c>
      <c r="E2" s="60" t="s">
        <v>496</v>
      </c>
      <c r="F2" s="60" t="s">
        <v>429</v>
      </c>
      <c r="G2" s="62">
        <v>4</v>
      </c>
      <c r="H2" s="63" t="s">
        <v>430</v>
      </c>
    </row>
    <row r="3" spans="1:8" ht="19.8" customHeight="1" x14ac:dyDescent="0.3">
      <c r="A3" s="59" t="s">
        <v>151</v>
      </c>
      <c r="B3" s="60" t="s">
        <v>260</v>
      </c>
      <c r="C3" s="61" t="s">
        <v>428</v>
      </c>
      <c r="D3" s="60" t="s">
        <v>427</v>
      </c>
      <c r="E3" s="60" t="s">
        <v>496</v>
      </c>
      <c r="F3" s="60" t="s">
        <v>431</v>
      </c>
      <c r="G3" s="62">
        <v>4</v>
      </c>
      <c r="H3" s="63" t="s">
        <v>432</v>
      </c>
    </row>
    <row r="4" spans="1:8" ht="19.8" customHeight="1" x14ac:dyDescent="0.3">
      <c r="A4" s="59" t="s">
        <v>151</v>
      </c>
      <c r="B4" s="60" t="s">
        <v>260</v>
      </c>
      <c r="C4" s="61" t="s">
        <v>428</v>
      </c>
      <c r="D4" s="60" t="s">
        <v>427</v>
      </c>
      <c r="E4" s="60" t="s">
        <v>496</v>
      </c>
      <c r="F4" s="60" t="s">
        <v>49</v>
      </c>
      <c r="G4" s="62">
        <v>4</v>
      </c>
      <c r="H4" s="63" t="s">
        <v>433</v>
      </c>
    </row>
    <row r="5" spans="1:8" ht="19.8" customHeight="1" x14ac:dyDescent="0.3">
      <c r="A5" s="59" t="s">
        <v>151</v>
      </c>
      <c r="B5" s="60" t="s">
        <v>51</v>
      </c>
      <c r="C5" s="61" t="s">
        <v>434</v>
      </c>
      <c r="D5" s="60" t="s">
        <v>427</v>
      </c>
      <c r="E5" s="60" t="s">
        <v>497</v>
      </c>
      <c r="F5" s="60" t="s">
        <v>56</v>
      </c>
      <c r="G5" s="62">
        <v>6</v>
      </c>
      <c r="H5" s="63" t="s">
        <v>436</v>
      </c>
    </row>
    <row r="6" spans="1:8" ht="19.8" customHeight="1" x14ac:dyDescent="0.3">
      <c r="A6" s="59" t="s">
        <v>151</v>
      </c>
      <c r="B6" s="60" t="s">
        <v>51</v>
      </c>
      <c r="C6" s="61" t="s">
        <v>437</v>
      </c>
      <c r="D6" s="60" t="s">
        <v>427</v>
      </c>
      <c r="E6" s="60" t="s">
        <v>498</v>
      </c>
      <c r="F6" s="60" t="s">
        <v>56</v>
      </c>
      <c r="G6" s="62">
        <v>2</v>
      </c>
      <c r="H6" s="63" t="s">
        <v>436</v>
      </c>
    </row>
    <row r="7" spans="1:8" ht="19.8" customHeight="1" x14ac:dyDescent="0.3">
      <c r="A7" s="99" t="s">
        <v>151</v>
      </c>
      <c r="B7" s="77" t="s">
        <v>78</v>
      </c>
      <c r="C7" s="78" t="s">
        <v>438</v>
      </c>
      <c r="D7" s="77" t="s">
        <v>427</v>
      </c>
      <c r="E7" s="77" t="s">
        <v>483</v>
      </c>
      <c r="F7" s="77" t="s">
        <v>80</v>
      </c>
      <c r="G7" s="77"/>
      <c r="H7" s="81" t="s">
        <v>81</v>
      </c>
    </row>
    <row r="8" spans="1:8" ht="19.8" customHeight="1" x14ac:dyDescent="0.3">
      <c r="A8" s="100"/>
      <c r="B8" s="101"/>
      <c r="C8" s="101"/>
      <c r="D8" s="101"/>
      <c r="E8" s="101"/>
      <c r="F8" s="102" t="s">
        <v>499</v>
      </c>
      <c r="G8" s="101"/>
      <c r="H8" s="103"/>
    </row>
    <row r="9" spans="1:8" ht="19.8" customHeight="1" x14ac:dyDescent="0.3">
      <c r="A9" s="68">
        <v>45981</v>
      </c>
      <c r="B9" s="60" t="s">
        <v>42</v>
      </c>
      <c r="C9" s="61" t="s">
        <v>205</v>
      </c>
      <c r="D9" s="60" t="s">
        <v>204</v>
      </c>
      <c r="E9" s="69">
        <v>1.489583333333333</v>
      </c>
      <c r="F9" s="60" t="s">
        <v>44</v>
      </c>
      <c r="G9" s="62">
        <v>38</v>
      </c>
      <c r="H9" s="63" t="s">
        <v>207</v>
      </c>
    </row>
    <row r="10" spans="1:8" ht="19.8" customHeight="1" x14ac:dyDescent="0.3">
      <c r="A10" s="68">
        <v>45981</v>
      </c>
      <c r="B10" s="60" t="s">
        <v>42</v>
      </c>
      <c r="C10" s="61" t="s">
        <v>211</v>
      </c>
      <c r="D10" s="60" t="s">
        <v>204</v>
      </c>
      <c r="E10" s="69">
        <v>1.399305555555556</v>
      </c>
      <c r="F10" s="60" t="s">
        <v>44</v>
      </c>
      <c r="G10" s="62">
        <v>39</v>
      </c>
      <c r="H10" s="63" t="s">
        <v>207</v>
      </c>
    </row>
    <row r="11" spans="1:8" ht="19.8" customHeight="1" x14ac:dyDescent="0.3">
      <c r="A11" s="68">
        <v>45981</v>
      </c>
      <c r="B11" s="60" t="s">
        <v>42</v>
      </c>
      <c r="C11" s="61" t="s">
        <v>214</v>
      </c>
      <c r="D11" s="60" t="s">
        <v>204</v>
      </c>
      <c r="E11" s="69">
        <v>1.989583333333333</v>
      </c>
      <c r="F11" s="60" t="s">
        <v>44</v>
      </c>
      <c r="G11" s="62">
        <v>20</v>
      </c>
      <c r="H11" s="63" t="s">
        <v>207</v>
      </c>
    </row>
    <row r="12" spans="1:8" ht="19.8" customHeight="1" x14ac:dyDescent="0.3">
      <c r="A12" s="68">
        <v>45981</v>
      </c>
      <c r="B12" s="60" t="s">
        <v>42</v>
      </c>
      <c r="C12" s="61" t="s">
        <v>216</v>
      </c>
      <c r="D12" s="60" t="s">
        <v>204</v>
      </c>
      <c r="E12" s="69">
        <v>1.8888888888888891</v>
      </c>
      <c r="F12" s="60" t="s">
        <v>44</v>
      </c>
      <c r="G12" s="62">
        <v>15</v>
      </c>
      <c r="H12" s="63" t="s">
        <v>207</v>
      </c>
    </row>
    <row r="13" spans="1:8" ht="19.8" customHeight="1" x14ac:dyDescent="0.3">
      <c r="A13" s="68">
        <v>45981</v>
      </c>
      <c r="B13" s="60" t="s">
        <v>26</v>
      </c>
      <c r="C13" s="61" t="s">
        <v>219</v>
      </c>
      <c r="D13" s="60" t="s">
        <v>204</v>
      </c>
      <c r="E13" s="69">
        <v>1.944444444444444</v>
      </c>
      <c r="F13" s="60" t="s">
        <v>28</v>
      </c>
      <c r="G13" s="62">
        <v>5</v>
      </c>
      <c r="H13" s="63" t="s">
        <v>89</v>
      </c>
    </row>
    <row r="14" spans="1:8" ht="19.8" customHeight="1" x14ac:dyDescent="0.3">
      <c r="A14" s="68">
        <v>45981</v>
      </c>
      <c r="B14" s="60" t="s">
        <v>26</v>
      </c>
      <c r="C14" s="61" t="s">
        <v>222</v>
      </c>
      <c r="D14" s="60" t="s">
        <v>204</v>
      </c>
      <c r="E14" s="69">
        <v>1.993055555555556</v>
      </c>
      <c r="F14" s="60" t="s">
        <v>28</v>
      </c>
      <c r="G14" s="62">
        <v>9</v>
      </c>
      <c r="H14" s="63" t="s">
        <v>89</v>
      </c>
    </row>
    <row r="15" spans="1:8" ht="19.8" customHeight="1" x14ac:dyDescent="0.3">
      <c r="A15" s="68">
        <v>45981</v>
      </c>
      <c r="B15" s="60" t="s">
        <v>26</v>
      </c>
      <c r="C15" s="61" t="s">
        <v>224</v>
      </c>
      <c r="D15" s="60" t="s">
        <v>204</v>
      </c>
      <c r="E15" s="69">
        <v>1.3923611111111109</v>
      </c>
      <c r="F15" s="60" t="s">
        <v>28</v>
      </c>
      <c r="G15" s="62">
        <v>6</v>
      </c>
      <c r="H15" s="63" t="s">
        <v>46</v>
      </c>
    </row>
    <row r="16" spans="1:8" ht="19.8" customHeight="1" x14ac:dyDescent="0.3">
      <c r="A16" s="68">
        <v>45981</v>
      </c>
      <c r="B16" s="60" t="s">
        <v>26</v>
      </c>
      <c r="C16" s="61" t="s">
        <v>228</v>
      </c>
      <c r="D16" s="60" t="s">
        <v>204</v>
      </c>
      <c r="E16" s="69">
        <v>1.836805555555556</v>
      </c>
      <c r="F16" s="60" t="s">
        <v>28</v>
      </c>
      <c r="G16" s="62">
        <v>1</v>
      </c>
      <c r="H16" s="63" t="s">
        <v>46</v>
      </c>
    </row>
    <row r="17" spans="1:8" ht="19.8" customHeight="1" x14ac:dyDescent="0.3">
      <c r="A17" s="68">
        <v>45981</v>
      </c>
      <c r="B17" s="60" t="s">
        <v>26</v>
      </c>
      <c r="C17" s="61" t="s">
        <v>229</v>
      </c>
      <c r="D17" s="60" t="s">
        <v>204</v>
      </c>
      <c r="E17" s="69">
        <v>1.8888888888888891</v>
      </c>
      <c r="F17" s="60" t="s">
        <v>28</v>
      </c>
      <c r="G17" s="62">
        <v>5</v>
      </c>
      <c r="H17" s="63" t="s">
        <v>46</v>
      </c>
    </row>
    <row r="18" spans="1:8" ht="19.8" customHeight="1" x14ac:dyDescent="0.3">
      <c r="A18" s="70">
        <v>45981</v>
      </c>
      <c r="B18" s="71" t="s">
        <v>26</v>
      </c>
      <c r="C18" s="72" t="s">
        <v>231</v>
      </c>
      <c r="D18" s="71" t="s">
        <v>204</v>
      </c>
      <c r="E18" s="73">
        <v>1.3472222222222221</v>
      </c>
      <c r="F18" s="71" t="s">
        <v>28</v>
      </c>
      <c r="G18" s="74">
        <v>5</v>
      </c>
      <c r="H18" s="75" t="s">
        <v>46</v>
      </c>
    </row>
    <row r="19" spans="1:8" ht="19.8" customHeight="1" x14ac:dyDescent="0.3">
      <c r="A19" s="68">
        <v>45982</v>
      </c>
      <c r="B19" s="60" t="s">
        <v>260</v>
      </c>
      <c r="C19" s="61" t="s">
        <v>445</v>
      </c>
      <c r="D19" s="60" t="s">
        <v>427</v>
      </c>
      <c r="E19" s="69">
        <v>1.010416666666667</v>
      </c>
      <c r="F19" s="60" t="s">
        <v>429</v>
      </c>
      <c r="G19" s="62">
        <v>9</v>
      </c>
      <c r="H19" s="63" t="s">
        <v>446</v>
      </c>
    </row>
    <row r="20" spans="1:8" ht="19.8" customHeight="1" x14ac:dyDescent="0.3">
      <c r="A20" s="68">
        <v>45982</v>
      </c>
      <c r="B20" s="60" t="s">
        <v>260</v>
      </c>
      <c r="C20" s="61" t="s">
        <v>445</v>
      </c>
      <c r="D20" s="60" t="s">
        <v>427</v>
      </c>
      <c r="E20" s="69">
        <v>1.010416666666667</v>
      </c>
      <c r="F20" s="60" t="s">
        <v>431</v>
      </c>
      <c r="G20" s="62">
        <v>9</v>
      </c>
      <c r="H20" s="63" t="s">
        <v>447</v>
      </c>
    </row>
    <row r="21" spans="1:8" ht="19.8" customHeight="1" x14ac:dyDescent="0.3">
      <c r="A21" s="76">
        <v>45982</v>
      </c>
      <c r="B21" s="77" t="s">
        <v>78</v>
      </c>
      <c r="C21" s="78" t="s">
        <v>449</v>
      </c>
      <c r="D21" s="77" t="s">
        <v>427</v>
      </c>
      <c r="E21" s="79">
        <v>1.229166666666667</v>
      </c>
      <c r="F21" s="77" t="s">
        <v>98</v>
      </c>
      <c r="G21" s="80">
        <v>8</v>
      </c>
      <c r="H21" s="81" t="s">
        <v>252</v>
      </c>
    </row>
    <row r="22" spans="1:8" ht="19.8" customHeight="1" x14ac:dyDescent="0.3">
      <c r="A22" s="68">
        <v>45982</v>
      </c>
      <c r="B22" s="60" t="s">
        <v>260</v>
      </c>
      <c r="C22" s="61" t="s">
        <v>445</v>
      </c>
      <c r="D22" s="60" t="s">
        <v>427</v>
      </c>
      <c r="E22" s="69">
        <v>1.010416666666667</v>
      </c>
      <c r="F22" s="60" t="s">
        <v>49</v>
      </c>
      <c r="G22" s="62">
        <v>9</v>
      </c>
      <c r="H22" s="63" t="s">
        <v>448</v>
      </c>
    </row>
    <row r="23" spans="1:8" ht="19.8" customHeight="1" x14ac:dyDescent="0.3">
      <c r="A23" s="68">
        <v>45982</v>
      </c>
      <c r="B23" s="60" t="s">
        <v>51</v>
      </c>
      <c r="C23" s="61" t="s">
        <v>437</v>
      </c>
      <c r="D23" s="60" t="s">
        <v>427</v>
      </c>
      <c r="E23" s="69">
        <v>1.819444444444444</v>
      </c>
      <c r="F23" s="60" t="s">
        <v>56</v>
      </c>
      <c r="G23" s="62">
        <v>7</v>
      </c>
      <c r="H23" s="63" t="s">
        <v>436</v>
      </c>
    </row>
    <row r="24" spans="1:8" ht="19.8" customHeight="1" x14ac:dyDescent="0.3">
      <c r="A24" s="100"/>
      <c r="B24" s="101"/>
      <c r="C24" s="101"/>
      <c r="D24" s="101"/>
      <c r="E24" s="101"/>
      <c r="F24" s="102" t="s">
        <v>499</v>
      </c>
      <c r="G24" s="101"/>
      <c r="H24" s="103"/>
    </row>
    <row r="25" spans="1:8" ht="19.8" customHeight="1" x14ac:dyDescent="0.3">
      <c r="A25" s="68">
        <v>45982</v>
      </c>
      <c r="B25" s="60" t="s">
        <v>235</v>
      </c>
      <c r="C25" s="61" t="s">
        <v>289</v>
      </c>
      <c r="D25" s="60" t="s">
        <v>204</v>
      </c>
      <c r="E25" s="69">
        <v>1.239583333333333</v>
      </c>
      <c r="F25" s="60" t="s">
        <v>98</v>
      </c>
      <c r="G25" s="62">
        <v>2</v>
      </c>
      <c r="H25" s="63" t="s">
        <v>237</v>
      </c>
    </row>
    <row r="26" spans="1:8" ht="19.8" customHeight="1" x14ac:dyDescent="0.3">
      <c r="A26" s="68">
        <v>45982</v>
      </c>
      <c r="B26" s="60" t="s">
        <v>235</v>
      </c>
      <c r="C26" s="61" t="s">
        <v>236</v>
      </c>
      <c r="D26" s="60" t="s">
        <v>204</v>
      </c>
      <c r="E26" s="69">
        <v>1.541666666666667</v>
      </c>
      <c r="F26" s="60" t="s">
        <v>98</v>
      </c>
      <c r="G26" s="62">
        <v>4</v>
      </c>
      <c r="H26" s="63" t="s">
        <v>237</v>
      </c>
    </row>
    <row r="27" spans="1:8" ht="19.8" customHeight="1" x14ac:dyDescent="0.3">
      <c r="A27" s="68">
        <v>45982</v>
      </c>
      <c r="B27" s="60" t="s">
        <v>78</v>
      </c>
      <c r="C27" s="61" t="s">
        <v>290</v>
      </c>
      <c r="D27" s="60" t="s">
        <v>204</v>
      </c>
      <c r="E27" s="69">
        <v>1.28125</v>
      </c>
      <c r="F27" s="60" t="s">
        <v>98</v>
      </c>
      <c r="G27" s="62">
        <v>5</v>
      </c>
      <c r="H27" s="63" t="s">
        <v>291</v>
      </c>
    </row>
    <row r="28" spans="1:8" ht="19.8" customHeight="1" x14ac:dyDescent="0.3">
      <c r="A28" s="68">
        <v>45982</v>
      </c>
      <c r="B28" s="60" t="s">
        <v>78</v>
      </c>
      <c r="C28" s="61" t="s">
        <v>247</v>
      </c>
      <c r="D28" s="60" t="s">
        <v>204</v>
      </c>
      <c r="E28" s="69">
        <v>1.1423611111111109</v>
      </c>
      <c r="F28" s="60" t="s">
        <v>98</v>
      </c>
      <c r="G28" s="62">
        <v>3</v>
      </c>
      <c r="H28" s="63" t="s">
        <v>291</v>
      </c>
    </row>
    <row r="29" spans="1:8" ht="19.8" customHeight="1" x14ac:dyDescent="0.3">
      <c r="A29" s="68">
        <v>45982</v>
      </c>
      <c r="B29" s="60" t="s">
        <v>78</v>
      </c>
      <c r="C29" s="61" t="s">
        <v>296</v>
      </c>
      <c r="D29" s="60" t="s">
        <v>204</v>
      </c>
      <c r="E29" s="69">
        <v>1.5590277777777779</v>
      </c>
      <c r="F29" s="60" t="s">
        <v>98</v>
      </c>
      <c r="G29" s="62">
        <v>1</v>
      </c>
      <c r="H29" s="63" t="s">
        <v>291</v>
      </c>
    </row>
    <row r="30" spans="1:8" ht="19.8" customHeight="1" x14ac:dyDescent="0.3">
      <c r="A30" s="68">
        <v>45982</v>
      </c>
      <c r="B30" s="60" t="s">
        <v>78</v>
      </c>
      <c r="C30" s="61" t="s">
        <v>299</v>
      </c>
      <c r="D30" s="60" t="s">
        <v>204</v>
      </c>
      <c r="E30" s="69">
        <v>1.760416666666667</v>
      </c>
      <c r="F30" s="60" t="s">
        <v>98</v>
      </c>
      <c r="G30" s="62">
        <v>9</v>
      </c>
      <c r="H30" s="63" t="s">
        <v>291</v>
      </c>
    </row>
    <row r="31" spans="1:8" ht="19.8" customHeight="1" x14ac:dyDescent="0.3">
      <c r="A31" s="68">
        <v>45982</v>
      </c>
      <c r="B31" s="60" t="s">
        <v>78</v>
      </c>
      <c r="C31" s="61" t="s">
        <v>303</v>
      </c>
      <c r="D31" s="60" t="s">
        <v>204</v>
      </c>
      <c r="E31" s="69">
        <v>1.4375</v>
      </c>
      <c r="F31" s="60" t="s">
        <v>98</v>
      </c>
      <c r="G31" s="62">
        <v>7</v>
      </c>
      <c r="H31" s="63" t="s">
        <v>239</v>
      </c>
    </row>
    <row r="32" spans="1:8" ht="19.8" customHeight="1" x14ac:dyDescent="0.3">
      <c r="A32" s="68">
        <v>45982</v>
      </c>
      <c r="B32" s="60" t="s">
        <v>67</v>
      </c>
      <c r="C32" s="61" t="s">
        <v>283</v>
      </c>
      <c r="D32" s="60" t="s">
        <v>204</v>
      </c>
      <c r="E32" s="69">
        <v>1.104166666666667</v>
      </c>
      <c r="F32" s="60" t="s">
        <v>69</v>
      </c>
      <c r="G32" s="62">
        <v>9</v>
      </c>
      <c r="H32" s="63" t="s">
        <v>305</v>
      </c>
    </row>
    <row r="33" spans="1:8" ht="19.8" customHeight="1" x14ac:dyDescent="0.3">
      <c r="A33" s="68">
        <v>45982</v>
      </c>
      <c r="B33" s="60" t="s">
        <v>67</v>
      </c>
      <c r="C33" s="61" t="s">
        <v>279</v>
      </c>
      <c r="D33" s="60" t="s">
        <v>204</v>
      </c>
      <c r="E33" s="69">
        <v>1.791666666666667</v>
      </c>
      <c r="F33" s="60" t="s">
        <v>69</v>
      </c>
      <c r="G33" s="62">
        <v>9</v>
      </c>
      <c r="H33" s="63" t="s">
        <v>305</v>
      </c>
    </row>
    <row r="34" spans="1:8" ht="19.8" customHeight="1" x14ac:dyDescent="0.3">
      <c r="A34" s="70">
        <v>45982</v>
      </c>
      <c r="B34" s="71" t="s">
        <v>67</v>
      </c>
      <c r="C34" s="72" t="s">
        <v>286</v>
      </c>
      <c r="D34" s="71" t="s">
        <v>204</v>
      </c>
      <c r="E34" s="73">
        <v>1.0486111111111109</v>
      </c>
      <c r="F34" s="71" t="s">
        <v>69</v>
      </c>
      <c r="G34" s="74">
        <v>9</v>
      </c>
      <c r="H34" s="75" t="s">
        <v>306</v>
      </c>
    </row>
    <row r="35" spans="1:8" ht="19.8" customHeight="1" x14ac:dyDescent="0.3">
      <c r="A35" s="68">
        <v>45983</v>
      </c>
      <c r="B35" s="60" t="s">
        <v>42</v>
      </c>
      <c r="C35" s="61" t="s">
        <v>460</v>
      </c>
      <c r="D35" s="60" t="s">
        <v>427</v>
      </c>
      <c r="E35" s="69">
        <v>1.3611111111111109</v>
      </c>
      <c r="F35" s="60" t="s">
        <v>461</v>
      </c>
      <c r="G35" s="62">
        <v>2</v>
      </c>
      <c r="H35" s="63" t="s">
        <v>462</v>
      </c>
    </row>
    <row r="36" spans="1:8" ht="19.8" customHeight="1" x14ac:dyDescent="0.3">
      <c r="A36" s="68">
        <v>45983</v>
      </c>
      <c r="B36" s="60" t="s">
        <v>42</v>
      </c>
      <c r="C36" s="61" t="s">
        <v>460</v>
      </c>
      <c r="D36" s="60" t="s">
        <v>427</v>
      </c>
      <c r="E36" s="69">
        <v>1.3611111111111109</v>
      </c>
      <c r="F36" s="60" t="s">
        <v>429</v>
      </c>
      <c r="G36" s="62">
        <v>2</v>
      </c>
      <c r="H36" s="63" t="s">
        <v>464</v>
      </c>
    </row>
    <row r="37" spans="1:8" ht="19.8" customHeight="1" x14ac:dyDescent="0.3">
      <c r="A37" s="68">
        <v>45983</v>
      </c>
      <c r="B37" s="60" t="s">
        <v>42</v>
      </c>
      <c r="C37" s="61" t="s">
        <v>460</v>
      </c>
      <c r="D37" s="60" t="s">
        <v>427</v>
      </c>
      <c r="E37" s="69">
        <v>1.3611111111111109</v>
      </c>
      <c r="F37" s="60" t="s">
        <v>431</v>
      </c>
      <c r="G37" s="62">
        <v>2</v>
      </c>
      <c r="H37" s="63" t="s">
        <v>465</v>
      </c>
    </row>
    <row r="38" spans="1:8" ht="19.8" customHeight="1" x14ac:dyDescent="0.3">
      <c r="A38" s="68">
        <v>45983</v>
      </c>
      <c r="B38" s="60" t="s">
        <v>260</v>
      </c>
      <c r="C38" s="61" t="s">
        <v>428</v>
      </c>
      <c r="D38" s="60" t="s">
        <v>427</v>
      </c>
      <c r="E38" s="69">
        <v>1.3611111111111109</v>
      </c>
      <c r="F38" s="60" t="s">
        <v>429</v>
      </c>
      <c r="G38" s="62">
        <v>9</v>
      </c>
      <c r="H38" s="63" t="s">
        <v>467</v>
      </c>
    </row>
    <row r="39" spans="1:8" ht="19.8" customHeight="1" x14ac:dyDescent="0.3">
      <c r="A39" s="76">
        <v>45983</v>
      </c>
      <c r="B39" s="77" t="s">
        <v>78</v>
      </c>
      <c r="C39" s="78" t="s">
        <v>470</v>
      </c>
      <c r="D39" s="77" t="s">
        <v>427</v>
      </c>
      <c r="E39" s="79">
        <v>1.270833333333333</v>
      </c>
      <c r="F39" s="77" t="s">
        <v>98</v>
      </c>
      <c r="G39" s="80">
        <v>7</v>
      </c>
      <c r="H39" s="81" t="s">
        <v>291</v>
      </c>
    </row>
    <row r="40" spans="1:8" ht="19.8" customHeight="1" x14ac:dyDescent="0.3">
      <c r="A40" s="76">
        <v>45983</v>
      </c>
      <c r="B40" s="77" t="s">
        <v>78</v>
      </c>
      <c r="C40" s="78" t="s">
        <v>449</v>
      </c>
      <c r="D40" s="77" t="s">
        <v>427</v>
      </c>
      <c r="E40" s="79">
        <v>1.604166666666667</v>
      </c>
      <c r="F40" s="77" t="s">
        <v>98</v>
      </c>
      <c r="G40" s="80">
        <v>7</v>
      </c>
      <c r="H40" s="81" t="s">
        <v>291</v>
      </c>
    </row>
    <row r="41" spans="1:8" ht="19.8" customHeight="1" x14ac:dyDescent="0.3">
      <c r="A41" s="68">
        <v>45983</v>
      </c>
      <c r="B41" s="60" t="s">
        <v>51</v>
      </c>
      <c r="C41" s="61" t="s">
        <v>434</v>
      </c>
      <c r="D41" s="60" t="s">
        <v>427</v>
      </c>
      <c r="E41" s="69">
        <v>1.4513888888888891</v>
      </c>
      <c r="F41" s="60" t="s">
        <v>53</v>
      </c>
      <c r="G41" s="62">
        <v>9</v>
      </c>
      <c r="H41" s="63" t="s">
        <v>475</v>
      </c>
    </row>
    <row r="42" spans="1:8" ht="19.8" customHeight="1" x14ac:dyDescent="0.3">
      <c r="A42" s="68">
        <v>45983</v>
      </c>
      <c r="B42" s="60" t="s">
        <v>260</v>
      </c>
      <c r="C42" s="61" t="s">
        <v>428</v>
      </c>
      <c r="D42" s="60" t="s">
        <v>427</v>
      </c>
      <c r="E42" s="69">
        <v>1.3611111111111109</v>
      </c>
      <c r="F42" s="60" t="s">
        <v>431</v>
      </c>
      <c r="G42" s="62">
        <v>9</v>
      </c>
      <c r="H42" s="63" t="s">
        <v>468</v>
      </c>
    </row>
    <row r="43" spans="1:8" ht="19.8" customHeight="1" x14ac:dyDescent="0.3">
      <c r="A43" s="68">
        <v>45983</v>
      </c>
      <c r="B43" s="60" t="s">
        <v>42</v>
      </c>
      <c r="C43" s="61" t="s">
        <v>460</v>
      </c>
      <c r="D43" s="60" t="s">
        <v>427</v>
      </c>
      <c r="E43" s="69">
        <v>1.3611111111111109</v>
      </c>
      <c r="F43" s="60" t="s">
        <v>466</v>
      </c>
      <c r="G43" s="62">
        <v>2</v>
      </c>
      <c r="H43" s="63" t="s">
        <v>35</v>
      </c>
    </row>
    <row r="44" spans="1:8" ht="19.8" customHeight="1" x14ac:dyDescent="0.3">
      <c r="A44" s="68">
        <v>45983</v>
      </c>
      <c r="B44" s="60" t="s">
        <v>51</v>
      </c>
      <c r="C44" s="61" t="s">
        <v>434</v>
      </c>
      <c r="D44" s="60" t="s">
        <v>427</v>
      </c>
      <c r="E44" s="69">
        <v>1.4513888888888891</v>
      </c>
      <c r="F44" s="60" t="s">
        <v>56</v>
      </c>
      <c r="G44" s="62">
        <v>9</v>
      </c>
      <c r="H44" s="63" t="s">
        <v>476</v>
      </c>
    </row>
    <row r="45" spans="1:8" ht="19.8" customHeight="1" x14ac:dyDescent="0.3">
      <c r="A45" s="68">
        <v>45983</v>
      </c>
      <c r="B45" s="60" t="s">
        <v>260</v>
      </c>
      <c r="C45" s="61" t="s">
        <v>428</v>
      </c>
      <c r="D45" s="60" t="s">
        <v>427</v>
      </c>
      <c r="E45" s="69">
        <v>1.3611111111111109</v>
      </c>
      <c r="F45" s="60" t="s">
        <v>49</v>
      </c>
      <c r="G45" s="62">
        <v>9</v>
      </c>
      <c r="H45" s="63" t="s">
        <v>469</v>
      </c>
    </row>
    <row r="46" spans="1:8" ht="19.8" customHeight="1" x14ac:dyDescent="0.3">
      <c r="A46" s="68">
        <v>45983</v>
      </c>
      <c r="B46" s="60" t="s">
        <v>51</v>
      </c>
      <c r="C46" s="61" t="s">
        <v>437</v>
      </c>
      <c r="D46" s="60" t="s">
        <v>427</v>
      </c>
      <c r="E46" s="69">
        <v>1.819444444444444</v>
      </c>
      <c r="F46" s="60" t="s">
        <v>56</v>
      </c>
      <c r="G46" s="62">
        <v>9</v>
      </c>
      <c r="H46" s="63" t="s">
        <v>477</v>
      </c>
    </row>
    <row r="47" spans="1:8" ht="19.8" customHeight="1" x14ac:dyDescent="0.3">
      <c r="A47" s="68">
        <v>45983</v>
      </c>
      <c r="B47" s="60" t="s">
        <v>67</v>
      </c>
      <c r="C47" s="61" t="s">
        <v>478</v>
      </c>
      <c r="D47" s="60" t="s">
        <v>427</v>
      </c>
      <c r="E47" s="69">
        <v>1.4236111111111109</v>
      </c>
      <c r="F47" s="60" t="s">
        <v>69</v>
      </c>
      <c r="G47" s="62">
        <v>9</v>
      </c>
      <c r="H47" s="63" t="s">
        <v>479</v>
      </c>
    </row>
    <row r="48" spans="1:8" ht="19.8" customHeight="1" x14ac:dyDescent="0.3">
      <c r="A48" s="100"/>
      <c r="B48" s="101"/>
      <c r="C48" s="101"/>
      <c r="D48" s="101"/>
      <c r="E48" s="101"/>
      <c r="F48" s="102" t="s">
        <v>499</v>
      </c>
      <c r="G48" s="101"/>
      <c r="H48" s="103"/>
    </row>
    <row r="49" spans="1:8" ht="19.8" customHeight="1" x14ac:dyDescent="0.3">
      <c r="A49" s="68">
        <v>45983</v>
      </c>
      <c r="B49" s="60" t="s">
        <v>42</v>
      </c>
      <c r="C49" s="61" t="s">
        <v>205</v>
      </c>
      <c r="D49" s="60" t="s">
        <v>204</v>
      </c>
      <c r="E49" s="69">
        <v>1.489583333333333</v>
      </c>
      <c r="F49" s="60" t="s">
        <v>44</v>
      </c>
      <c r="G49" s="62">
        <v>9</v>
      </c>
      <c r="H49" s="63" t="s">
        <v>311</v>
      </c>
    </row>
    <row r="50" spans="1:8" ht="19.8" customHeight="1" x14ac:dyDescent="0.3">
      <c r="A50" s="68">
        <v>45983</v>
      </c>
      <c r="B50" s="60" t="s">
        <v>42</v>
      </c>
      <c r="C50" s="61" t="s">
        <v>211</v>
      </c>
      <c r="D50" s="60" t="s">
        <v>204</v>
      </c>
      <c r="E50" s="69">
        <v>1.399305555555556</v>
      </c>
      <c r="F50" s="60" t="s">
        <v>44</v>
      </c>
      <c r="G50" s="62">
        <v>13</v>
      </c>
      <c r="H50" s="63" t="s">
        <v>311</v>
      </c>
    </row>
    <row r="51" spans="1:8" ht="19.8" customHeight="1" x14ac:dyDescent="0.3">
      <c r="A51" s="68">
        <v>45983</v>
      </c>
      <c r="B51" s="60" t="s">
        <v>42</v>
      </c>
      <c r="C51" s="61" t="s">
        <v>214</v>
      </c>
      <c r="D51" s="60" t="s">
        <v>204</v>
      </c>
      <c r="E51" s="69">
        <v>1.989583333333333</v>
      </c>
      <c r="F51" s="60" t="s">
        <v>44</v>
      </c>
      <c r="G51" s="62">
        <v>11</v>
      </c>
      <c r="H51" s="63" t="s">
        <v>311</v>
      </c>
    </row>
    <row r="52" spans="1:8" ht="19.8" customHeight="1" x14ac:dyDescent="0.3">
      <c r="A52" s="68">
        <v>45983</v>
      </c>
      <c r="B52" s="60" t="s">
        <v>42</v>
      </c>
      <c r="C52" s="61" t="s">
        <v>216</v>
      </c>
      <c r="D52" s="60" t="s">
        <v>204</v>
      </c>
      <c r="E52" s="69">
        <v>1.8888888888888891</v>
      </c>
      <c r="F52" s="60" t="s">
        <v>44</v>
      </c>
      <c r="G52" s="62">
        <v>8</v>
      </c>
      <c r="H52" s="63" t="s">
        <v>311</v>
      </c>
    </row>
    <row r="53" spans="1:8" ht="19.8" customHeight="1" x14ac:dyDescent="0.3">
      <c r="A53" s="68">
        <v>45983</v>
      </c>
      <c r="B53" s="60" t="s">
        <v>26</v>
      </c>
      <c r="C53" s="61" t="s">
        <v>219</v>
      </c>
      <c r="D53" s="60" t="s">
        <v>204</v>
      </c>
      <c r="E53" s="69">
        <v>1.944444444444444</v>
      </c>
      <c r="F53" s="60" t="s">
        <v>28</v>
      </c>
      <c r="G53" s="62">
        <v>9</v>
      </c>
      <c r="H53" s="63" t="s">
        <v>220</v>
      </c>
    </row>
    <row r="54" spans="1:8" ht="19.8" customHeight="1" x14ac:dyDescent="0.3">
      <c r="A54" s="68">
        <v>45983</v>
      </c>
      <c r="B54" s="60" t="s">
        <v>26</v>
      </c>
      <c r="C54" s="61" t="s">
        <v>232</v>
      </c>
      <c r="D54" s="60" t="s">
        <v>204</v>
      </c>
      <c r="E54" s="69">
        <v>1.75</v>
      </c>
      <c r="F54" s="60" t="s">
        <v>28</v>
      </c>
      <c r="G54" s="62">
        <v>5</v>
      </c>
      <c r="H54" s="63" t="s">
        <v>220</v>
      </c>
    </row>
    <row r="55" spans="1:8" ht="19.8" customHeight="1" x14ac:dyDescent="0.3">
      <c r="A55" s="68">
        <v>45983</v>
      </c>
      <c r="B55" s="60" t="s">
        <v>26</v>
      </c>
      <c r="C55" s="61" t="s">
        <v>229</v>
      </c>
      <c r="D55" s="60" t="s">
        <v>204</v>
      </c>
      <c r="E55" s="69">
        <v>1.8888888888888891</v>
      </c>
      <c r="F55" s="60" t="s">
        <v>28</v>
      </c>
      <c r="G55" s="62">
        <v>9</v>
      </c>
      <c r="H55" s="63" t="s">
        <v>220</v>
      </c>
    </row>
    <row r="56" spans="1:8" ht="19.8" customHeight="1" x14ac:dyDescent="0.3">
      <c r="A56" s="68">
        <v>45983</v>
      </c>
      <c r="B56" s="60" t="s">
        <v>26</v>
      </c>
      <c r="C56" s="61" t="s">
        <v>234</v>
      </c>
      <c r="D56" s="60" t="s">
        <v>204</v>
      </c>
      <c r="E56" s="69">
        <v>1.4861111111111109</v>
      </c>
      <c r="F56" s="60" t="s">
        <v>28</v>
      </c>
      <c r="G56" s="62">
        <v>4</v>
      </c>
      <c r="H56" s="63" t="s">
        <v>220</v>
      </c>
    </row>
    <row r="57" spans="1:8" ht="19.8" customHeight="1" x14ac:dyDescent="0.3">
      <c r="A57" s="68">
        <v>45983</v>
      </c>
      <c r="B57" s="60" t="s">
        <v>26</v>
      </c>
      <c r="C57" s="61" t="s">
        <v>222</v>
      </c>
      <c r="D57" s="60" t="s">
        <v>204</v>
      </c>
      <c r="E57" s="69">
        <v>1.993055555555556</v>
      </c>
      <c r="F57" s="60" t="s">
        <v>28</v>
      </c>
      <c r="G57" s="62">
        <v>1</v>
      </c>
      <c r="H57" s="63" t="s">
        <v>220</v>
      </c>
    </row>
    <row r="58" spans="1:8" ht="19.8" customHeight="1" x14ac:dyDescent="0.3">
      <c r="A58" s="70">
        <v>45983</v>
      </c>
      <c r="B58" s="71" t="s">
        <v>78</v>
      </c>
      <c r="C58" s="72" t="s">
        <v>247</v>
      </c>
      <c r="D58" s="71" t="s">
        <v>204</v>
      </c>
      <c r="E58" s="73">
        <v>1.15625</v>
      </c>
      <c r="F58" s="71" t="s">
        <v>98</v>
      </c>
      <c r="G58" s="74">
        <v>2</v>
      </c>
      <c r="H58" s="75" t="s">
        <v>291</v>
      </c>
    </row>
  </sheetData>
  <pageMargins left="0.75" right="0.75" top="1" bottom="1" header="0.5" footer="0.5"/>
  <legacyDrawing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N50"/>
  <sheetViews>
    <sheetView workbookViewId="0"/>
  </sheetViews>
  <sheetFormatPr defaultRowHeight="14.4" x14ac:dyDescent="0.3"/>
  <cols>
    <col min="1" max="1" width="10.21875" bestFit="1" customWidth="1"/>
    <col min="2" max="2" width="15.6640625" bestFit="1" customWidth="1"/>
    <col min="3" max="3" width="14.77734375" bestFit="1" customWidth="1"/>
    <col min="4" max="4" width="31.21875" bestFit="1" customWidth="1"/>
    <col min="5" max="5" width="20.1093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2.88671875" bestFit="1" customWidth="1"/>
  </cols>
  <sheetData>
    <row r="1" spans="1:92" ht="28.8" customHeight="1" x14ac:dyDescent="0.3">
      <c r="A1" s="261" t="s">
        <v>0</v>
      </c>
      <c r="B1" s="251"/>
      <c r="C1" s="251"/>
      <c r="D1" s="251"/>
      <c r="E1" s="251"/>
      <c r="F1" s="1" t="s">
        <v>500</v>
      </c>
      <c r="G1" s="2" t="s">
        <v>2</v>
      </c>
      <c r="H1" s="260">
        <v>45981</v>
      </c>
      <c r="I1" s="251"/>
      <c r="J1" s="251"/>
      <c r="K1" s="251"/>
      <c r="L1" s="251"/>
      <c r="M1" s="1" t="s">
        <v>3</v>
      </c>
      <c r="N1" s="266">
        <v>45983</v>
      </c>
      <c r="O1" s="251"/>
      <c r="P1" s="251"/>
      <c r="Q1" s="251"/>
      <c r="R1" s="251"/>
      <c r="CA1" s="3"/>
      <c r="CB1" s="3"/>
      <c r="CC1" s="3"/>
      <c r="CD1" s="3"/>
      <c r="CE1" s="3"/>
      <c r="CF1" s="3"/>
      <c r="CG1" s="3"/>
      <c r="CH1" s="3"/>
      <c r="CI1" s="3"/>
      <c r="CJ1" s="3"/>
      <c r="CK1" s="3"/>
      <c r="CL1" s="3"/>
      <c r="CM1" s="3"/>
      <c r="CN1" s="3"/>
    </row>
    <row r="2" spans="1:92" ht="23.4" customHeight="1" x14ac:dyDescent="0.3">
      <c r="A2" s="250" t="s">
        <v>4</v>
      </c>
      <c r="B2" s="251"/>
      <c r="C2" s="251"/>
      <c r="D2" s="251"/>
      <c r="E2" s="251"/>
      <c r="F2" s="251"/>
      <c r="G2" s="262">
        <v>45980.493062660033</v>
      </c>
      <c r="H2" s="251"/>
      <c r="I2" s="251"/>
      <c r="J2" s="251"/>
      <c r="K2" s="263">
        <v>45980.493062660287</v>
      </c>
      <c r="L2" s="251"/>
      <c r="M2" s="251"/>
      <c r="N2" s="251"/>
      <c r="O2" s="251"/>
      <c r="P2" s="251"/>
      <c r="Q2" s="251"/>
      <c r="R2" s="251"/>
      <c r="CA2" s="3"/>
      <c r="CB2" s="3"/>
      <c r="CC2" s="3"/>
      <c r="CD2" s="3"/>
      <c r="CE2" s="3"/>
      <c r="CF2" s="3"/>
      <c r="CG2" s="3"/>
      <c r="CH2" s="3"/>
      <c r="CI2" s="3"/>
      <c r="CJ2" s="3"/>
      <c r="CK2" s="3"/>
      <c r="CL2" s="3"/>
      <c r="CM2" s="3"/>
      <c r="CN2" s="3"/>
    </row>
    <row r="3" spans="1:92" ht="24" customHeight="1" x14ac:dyDescent="0.3">
      <c r="A3" s="252" t="s">
        <v>5</v>
      </c>
      <c r="B3" s="251"/>
      <c r="C3" s="251"/>
      <c r="D3" s="251"/>
      <c r="E3" s="251"/>
      <c r="F3" s="251"/>
      <c r="G3" s="251"/>
      <c r="H3" s="251"/>
      <c r="I3" s="251"/>
      <c r="J3" s="251"/>
      <c r="K3" s="251"/>
      <c r="L3" s="251"/>
      <c r="M3" s="251"/>
      <c r="N3" s="251"/>
      <c r="O3" s="251"/>
      <c r="P3" s="251"/>
      <c r="Q3" s="251"/>
      <c r="R3" s="251"/>
      <c r="CA3" s="3"/>
      <c r="CB3" s="3"/>
      <c r="CC3" s="3"/>
      <c r="CD3" s="3"/>
      <c r="CE3" s="3"/>
      <c r="CF3" s="3"/>
      <c r="CG3" s="3"/>
      <c r="CH3" s="3"/>
      <c r="CI3" s="3"/>
      <c r="CJ3" s="3"/>
      <c r="CK3" s="3"/>
      <c r="CL3" s="3"/>
      <c r="CM3" s="3"/>
      <c r="CN3" s="3"/>
    </row>
    <row r="4" spans="1:92" ht="22.05" customHeight="1" x14ac:dyDescent="0.3">
      <c r="A4" s="264" t="s">
        <v>6</v>
      </c>
      <c r="B4" s="254"/>
      <c r="C4" s="254"/>
      <c r="D4" s="254"/>
      <c r="E4" s="254"/>
      <c r="F4" s="255"/>
      <c r="G4" s="4">
        <v>45981</v>
      </c>
      <c r="H4" s="265" t="s">
        <v>7</v>
      </c>
      <c r="I4" s="254"/>
      <c r="J4" s="254"/>
      <c r="K4" s="254"/>
      <c r="L4" s="254"/>
      <c r="M4" s="254"/>
      <c r="N4" s="254"/>
      <c r="O4" s="254"/>
      <c r="P4" s="254"/>
      <c r="Q4" s="254"/>
      <c r="R4" s="25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5" t="s">
        <v>78</v>
      </c>
      <c r="B6" s="85" t="s">
        <v>501</v>
      </c>
      <c r="C6" s="86">
        <v>0.54861111111111105</v>
      </c>
      <c r="D6" s="85" t="s">
        <v>98</v>
      </c>
      <c r="E6" s="85" t="s">
        <v>453</v>
      </c>
      <c r="F6" s="85" t="s">
        <v>502</v>
      </c>
      <c r="G6" s="270"/>
      <c r="H6" s="87" t="s">
        <v>503</v>
      </c>
      <c r="I6" s="176">
        <v>0.82220000000000004</v>
      </c>
      <c r="J6" s="89">
        <v>148</v>
      </c>
      <c r="K6" s="90">
        <v>45980</v>
      </c>
      <c r="L6" s="89">
        <v>38</v>
      </c>
      <c r="M6" s="89">
        <v>1</v>
      </c>
      <c r="N6" s="89">
        <v>9</v>
      </c>
      <c r="O6" s="91" t="s">
        <v>193</v>
      </c>
      <c r="P6" s="92">
        <v>0.54861111111111105</v>
      </c>
      <c r="Q6" s="89">
        <v>180</v>
      </c>
      <c r="R6" s="93" t="s">
        <v>504</v>
      </c>
    </row>
    <row r="7" spans="1:92" ht="15" customHeight="1" x14ac:dyDescent="0.3">
      <c r="A7" s="114" t="s">
        <v>78</v>
      </c>
      <c r="B7" s="114" t="s">
        <v>505</v>
      </c>
      <c r="C7" s="115">
        <v>0.3298611111111111</v>
      </c>
      <c r="D7" s="114" t="s">
        <v>98</v>
      </c>
      <c r="E7" s="114" t="s">
        <v>65</v>
      </c>
      <c r="F7" s="114" t="s">
        <v>502</v>
      </c>
      <c r="G7" s="257"/>
      <c r="H7" s="106" t="s">
        <v>506</v>
      </c>
      <c r="I7" s="107">
        <v>0.92779999999999996</v>
      </c>
      <c r="J7" s="108">
        <v>167</v>
      </c>
      <c r="K7" s="109">
        <v>45979</v>
      </c>
      <c r="L7" s="108">
        <v>22</v>
      </c>
      <c r="M7" s="108">
        <v>0</v>
      </c>
      <c r="N7" s="108">
        <v>5</v>
      </c>
      <c r="O7" s="110" t="s">
        <v>249</v>
      </c>
      <c r="P7" s="111">
        <v>0.3298611111111111</v>
      </c>
      <c r="Q7" s="108">
        <v>180</v>
      </c>
      <c r="R7" s="112" t="s">
        <v>507</v>
      </c>
    </row>
    <row r="8" spans="1:92" ht="15" customHeight="1" x14ac:dyDescent="0.3">
      <c r="A8" s="19" t="s">
        <v>67</v>
      </c>
      <c r="B8" s="19" t="s">
        <v>508</v>
      </c>
      <c r="C8" s="20">
        <v>0.3298611111111111</v>
      </c>
      <c r="D8" s="19" t="s">
        <v>69</v>
      </c>
      <c r="E8" s="19" t="s">
        <v>332</v>
      </c>
      <c r="F8" s="19" t="s">
        <v>509</v>
      </c>
      <c r="G8" s="257"/>
      <c r="H8" s="10"/>
      <c r="I8" s="11"/>
      <c r="J8" s="11"/>
      <c r="K8" s="11"/>
      <c r="L8" s="11"/>
      <c r="M8" s="11"/>
      <c r="N8" s="11"/>
      <c r="O8" s="12"/>
      <c r="P8" s="11"/>
      <c r="Q8" s="13"/>
      <c r="R8" s="14"/>
    </row>
    <row r="9" spans="1:92" ht="18" x14ac:dyDescent="0.3">
      <c r="A9" s="267" t="s">
        <v>440</v>
      </c>
      <c r="B9" s="268"/>
      <c r="C9" s="268"/>
      <c r="D9" s="268"/>
      <c r="E9" s="268"/>
      <c r="F9" s="269"/>
      <c r="G9" s="257"/>
      <c r="H9" s="94"/>
      <c r="I9" s="94"/>
      <c r="J9" s="94"/>
      <c r="K9" s="94"/>
      <c r="L9" s="94"/>
      <c r="M9" s="94"/>
      <c r="N9" s="94"/>
      <c r="O9" s="95"/>
      <c r="P9" s="94"/>
      <c r="Q9" s="55"/>
      <c r="R9" s="55"/>
    </row>
    <row r="10" spans="1:92" ht="15" customHeight="1" x14ac:dyDescent="0.3">
      <c r="A10" s="17" t="s">
        <v>42</v>
      </c>
      <c r="B10" s="17" t="s">
        <v>205</v>
      </c>
      <c r="C10" s="18" t="s">
        <v>415</v>
      </c>
      <c r="D10" s="17" t="s">
        <v>44</v>
      </c>
      <c r="E10" s="17" t="s">
        <v>441</v>
      </c>
      <c r="F10" s="17" t="s">
        <v>207</v>
      </c>
      <c r="G10" s="257"/>
      <c r="H10" s="94"/>
      <c r="I10" s="94"/>
      <c r="J10" s="94"/>
      <c r="K10" s="94"/>
      <c r="L10" s="94"/>
      <c r="M10" s="94"/>
      <c r="N10" s="94"/>
      <c r="O10" s="95"/>
      <c r="P10" s="94"/>
      <c r="Q10" s="55"/>
      <c r="R10" s="55"/>
    </row>
    <row r="11" spans="1:92" ht="15" customHeight="1" x14ac:dyDescent="0.3">
      <c r="A11" s="17" t="s">
        <v>42</v>
      </c>
      <c r="B11" s="17" t="s">
        <v>211</v>
      </c>
      <c r="C11" s="18" t="s">
        <v>416</v>
      </c>
      <c r="D11" s="17" t="s">
        <v>44</v>
      </c>
      <c r="E11" s="17" t="s">
        <v>442</v>
      </c>
      <c r="F11" s="17" t="s">
        <v>207</v>
      </c>
      <c r="G11" s="257"/>
      <c r="H11" s="94"/>
      <c r="I11" s="94"/>
      <c r="J11" s="94"/>
      <c r="K11" s="94"/>
      <c r="L11" s="94"/>
      <c r="M11" s="94"/>
      <c r="N11" s="94"/>
      <c r="O11" s="95"/>
      <c r="P11" s="94"/>
      <c r="Q11" s="55"/>
      <c r="R11" s="55"/>
    </row>
    <row r="12" spans="1:92" ht="15" customHeight="1" x14ac:dyDescent="0.3">
      <c r="A12" s="17" t="s">
        <v>42</v>
      </c>
      <c r="B12" s="17" t="s">
        <v>214</v>
      </c>
      <c r="C12" s="18" t="s">
        <v>417</v>
      </c>
      <c r="D12" s="17" t="s">
        <v>44</v>
      </c>
      <c r="E12" s="17" t="s">
        <v>187</v>
      </c>
      <c r="F12" s="17" t="s">
        <v>207</v>
      </c>
      <c r="G12" s="257"/>
      <c r="H12" s="94"/>
      <c r="I12" s="94"/>
      <c r="J12" s="94"/>
      <c r="K12" s="94"/>
      <c r="L12" s="94"/>
      <c r="M12" s="94"/>
      <c r="N12" s="94"/>
      <c r="O12" s="95"/>
      <c r="P12" s="94"/>
      <c r="Q12" s="55"/>
      <c r="R12" s="55"/>
    </row>
    <row r="13" spans="1:92" ht="15" customHeight="1" x14ac:dyDescent="0.3">
      <c r="A13" s="17" t="s">
        <v>42</v>
      </c>
      <c r="B13" s="17" t="s">
        <v>216</v>
      </c>
      <c r="C13" s="18" t="s">
        <v>418</v>
      </c>
      <c r="D13" s="17" t="s">
        <v>44</v>
      </c>
      <c r="E13" s="17" t="s">
        <v>443</v>
      </c>
      <c r="F13" s="17" t="s">
        <v>207</v>
      </c>
      <c r="G13" s="257"/>
      <c r="H13" s="94"/>
      <c r="I13" s="94"/>
      <c r="J13" s="94"/>
      <c r="K13" s="94"/>
      <c r="L13" s="94"/>
      <c r="M13" s="94"/>
      <c r="N13" s="94"/>
      <c r="O13" s="95"/>
      <c r="P13" s="94"/>
      <c r="Q13" s="55"/>
      <c r="R13" s="55"/>
    </row>
    <row r="14" spans="1:92" ht="15" customHeight="1" x14ac:dyDescent="0.3">
      <c r="A14" s="17" t="s">
        <v>26</v>
      </c>
      <c r="B14" s="17" t="s">
        <v>219</v>
      </c>
      <c r="C14" s="18" t="s">
        <v>419</v>
      </c>
      <c r="D14" s="17" t="s">
        <v>28</v>
      </c>
      <c r="E14" s="17" t="s">
        <v>170</v>
      </c>
      <c r="F14" s="17" t="s">
        <v>89</v>
      </c>
      <c r="G14" s="257"/>
      <c r="H14" s="94"/>
      <c r="I14" s="94"/>
      <c r="J14" s="94"/>
      <c r="K14" s="94"/>
      <c r="L14" s="94"/>
      <c r="M14" s="94"/>
      <c r="N14" s="94"/>
      <c r="O14" s="95"/>
      <c r="P14" s="94"/>
      <c r="Q14" s="55"/>
      <c r="R14" s="55"/>
    </row>
    <row r="15" spans="1:92" ht="15" customHeight="1" x14ac:dyDescent="0.3">
      <c r="A15" s="17" t="s">
        <v>26</v>
      </c>
      <c r="B15" s="17" t="s">
        <v>222</v>
      </c>
      <c r="C15" s="18" t="s">
        <v>420</v>
      </c>
      <c r="D15" s="17" t="s">
        <v>28</v>
      </c>
      <c r="E15" s="17" t="s">
        <v>169</v>
      </c>
      <c r="F15" s="17" t="s">
        <v>89</v>
      </c>
      <c r="G15" s="257"/>
      <c r="H15" s="94"/>
      <c r="I15" s="94"/>
      <c r="J15" s="94"/>
      <c r="K15" s="94"/>
      <c r="L15" s="94"/>
      <c r="M15" s="94"/>
      <c r="N15" s="94"/>
      <c r="O15" s="95"/>
      <c r="P15" s="94"/>
      <c r="Q15" s="55"/>
      <c r="R15" s="55"/>
    </row>
    <row r="16" spans="1:92" ht="15" customHeight="1" x14ac:dyDescent="0.3">
      <c r="A16" s="17" t="s">
        <v>26</v>
      </c>
      <c r="B16" s="17" t="s">
        <v>224</v>
      </c>
      <c r="C16" s="18" t="s">
        <v>421</v>
      </c>
      <c r="D16" s="17" t="s">
        <v>28</v>
      </c>
      <c r="E16" s="17" t="s">
        <v>444</v>
      </c>
      <c r="F16" s="17" t="s">
        <v>46</v>
      </c>
      <c r="G16" s="257"/>
      <c r="H16" s="94"/>
      <c r="I16" s="94"/>
      <c r="J16" s="94"/>
      <c r="K16" s="94"/>
      <c r="L16" s="94"/>
      <c r="M16" s="94"/>
      <c r="N16" s="94"/>
      <c r="O16" s="95"/>
      <c r="P16" s="94"/>
      <c r="Q16" s="55"/>
      <c r="R16" s="55"/>
    </row>
    <row r="17" spans="1:18" ht="15" customHeight="1" x14ac:dyDescent="0.3">
      <c r="A17" s="17" t="s">
        <v>26</v>
      </c>
      <c r="B17" s="17" t="s">
        <v>228</v>
      </c>
      <c r="C17" s="18" t="s">
        <v>422</v>
      </c>
      <c r="D17" s="17" t="s">
        <v>28</v>
      </c>
      <c r="E17" s="17" t="s">
        <v>171</v>
      </c>
      <c r="F17" s="17" t="s">
        <v>46</v>
      </c>
      <c r="G17" s="257"/>
      <c r="H17" s="94"/>
      <c r="I17" s="94"/>
      <c r="J17" s="94"/>
      <c r="K17" s="94"/>
      <c r="L17" s="94"/>
      <c r="M17" s="94"/>
      <c r="N17" s="94"/>
      <c r="O17" s="95"/>
      <c r="P17" s="94"/>
      <c r="Q17" s="55"/>
      <c r="R17" s="55"/>
    </row>
    <row r="18" spans="1:18" ht="15" customHeight="1" x14ac:dyDescent="0.3">
      <c r="A18" s="17" t="s">
        <v>26</v>
      </c>
      <c r="B18" s="17" t="s">
        <v>229</v>
      </c>
      <c r="C18" s="18" t="s">
        <v>418</v>
      </c>
      <c r="D18" s="17" t="s">
        <v>28</v>
      </c>
      <c r="E18" s="17" t="s">
        <v>170</v>
      </c>
      <c r="F18" s="17" t="s">
        <v>46</v>
      </c>
      <c r="G18" s="257"/>
      <c r="H18" s="94"/>
      <c r="I18" s="94"/>
      <c r="J18" s="94"/>
      <c r="K18" s="94"/>
      <c r="L18" s="94"/>
      <c r="M18" s="94"/>
      <c r="N18" s="94"/>
      <c r="O18" s="95"/>
      <c r="P18" s="94"/>
      <c r="Q18" s="55"/>
      <c r="R18" s="55"/>
    </row>
    <row r="19" spans="1:18" ht="15" customHeight="1" thickBot="1" x14ac:dyDescent="0.35">
      <c r="A19" s="39" t="s">
        <v>26</v>
      </c>
      <c r="B19" s="39" t="s">
        <v>231</v>
      </c>
      <c r="C19" s="40" t="s">
        <v>423</v>
      </c>
      <c r="D19" s="39" t="s">
        <v>28</v>
      </c>
      <c r="E19" s="39" t="s">
        <v>170</v>
      </c>
      <c r="F19" s="39" t="s">
        <v>46</v>
      </c>
      <c r="G19" s="258"/>
      <c r="H19" s="96"/>
      <c r="I19" s="96"/>
      <c r="J19" s="96"/>
      <c r="K19" s="96"/>
      <c r="L19" s="96"/>
      <c r="M19" s="96"/>
      <c r="N19" s="96"/>
      <c r="O19" s="97"/>
      <c r="P19" s="96"/>
      <c r="Q19" s="98"/>
      <c r="R19" s="98"/>
    </row>
    <row r="20" spans="1:18" ht="17.399999999999999" customHeight="1" thickBot="1" x14ac:dyDescent="0.35">
      <c r="A20" s="285"/>
      <c r="B20" s="286"/>
      <c r="C20" s="286"/>
      <c r="D20" s="286"/>
      <c r="E20" s="286"/>
      <c r="F20" s="286"/>
      <c r="G20" s="286"/>
      <c r="H20" s="286"/>
      <c r="I20" s="286"/>
      <c r="J20" s="286"/>
      <c r="K20" s="286"/>
      <c r="L20" s="286"/>
      <c r="M20" s="286"/>
      <c r="N20" s="286"/>
      <c r="O20" s="286"/>
      <c r="P20" s="286"/>
      <c r="Q20" s="286"/>
      <c r="R20" s="287"/>
    </row>
    <row r="21" spans="1:18" ht="22.05" customHeight="1" thickTop="1" thickBot="1" x14ac:dyDescent="0.35">
      <c r="A21" s="259" t="s">
        <v>6</v>
      </c>
      <c r="B21" s="254"/>
      <c r="C21" s="254"/>
      <c r="D21" s="254"/>
      <c r="E21" s="254"/>
      <c r="F21" s="255"/>
      <c r="G21" s="31">
        <v>45982</v>
      </c>
      <c r="H21" s="253" t="s">
        <v>7</v>
      </c>
      <c r="I21" s="254"/>
      <c r="J21" s="254"/>
      <c r="K21" s="254"/>
      <c r="L21" s="254"/>
      <c r="M21" s="254"/>
      <c r="N21" s="254"/>
      <c r="O21" s="254"/>
      <c r="P21" s="254"/>
      <c r="Q21" s="254"/>
      <c r="R21" s="255"/>
    </row>
    <row r="22" spans="1:18" ht="24" customHeight="1" x14ac:dyDescent="0.3">
      <c r="A22" s="32" t="s">
        <v>8</v>
      </c>
      <c r="B22" s="32" t="s">
        <v>9</v>
      </c>
      <c r="C22" s="33" t="s">
        <v>10</v>
      </c>
      <c r="D22" s="32" t="s">
        <v>11</v>
      </c>
      <c r="E22" s="32" t="s">
        <v>12</v>
      </c>
      <c r="F22" s="34" t="s">
        <v>13</v>
      </c>
      <c r="G22" s="35" t="s">
        <v>14</v>
      </c>
      <c r="H22" s="32" t="s">
        <v>15</v>
      </c>
      <c r="I22" s="36" t="s">
        <v>16</v>
      </c>
      <c r="J22" s="37" t="s">
        <v>17</v>
      </c>
      <c r="K22" s="38" t="s">
        <v>18</v>
      </c>
      <c r="L22" s="37" t="s">
        <v>19</v>
      </c>
      <c r="M22" s="37" t="s">
        <v>20</v>
      </c>
      <c r="N22" s="37" t="s">
        <v>21</v>
      </c>
      <c r="O22" s="32" t="s">
        <v>22</v>
      </c>
      <c r="P22" s="33" t="s">
        <v>23</v>
      </c>
      <c r="Q22" s="37" t="s">
        <v>24</v>
      </c>
      <c r="R22" s="32" t="s">
        <v>25</v>
      </c>
    </row>
    <row r="23" spans="1:18" ht="15" customHeight="1" x14ac:dyDescent="0.3">
      <c r="A23" s="177" t="s">
        <v>78</v>
      </c>
      <c r="B23" s="177" t="s">
        <v>510</v>
      </c>
      <c r="C23" s="178">
        <v>0.13541666666666671</v>
      </c>
      <c r="D23" s="177" t="s">
        <v>80</v>
      </c>
      <c r="E23" s="179"/>
      <c r="F23" s="177" t="s">
        <v>511</v>
      </c>
      <c r="G23" s="256"/>
      <c r="H23" s="180" t="s">
        <v>510</v>
      </c>
      <c r="I23" s="181">
        <v>0.7278</v>
      </c>
      <c r="J23" s="182">
        <v>131</v>
      </c>
      <c r="K23" s="183">
        <v>45980</v>
      </c>
      <c r="L23" s="182">
        <v>102</v>
      </c>
      <c r="M23" s="182">
        <v>0</v>
      </c>
      <c r="N23" s="182">
        <v>4</v>
      </c>
      <c r="O23" s="184" t="s">
        <v>254</v>
      </c>
      <c r="P23" s="185">
        <v>0.13541666666666671</v>
      </c>
      <c r="Q23" s="182">
        <v>180</v>
      </c>
      <c r="R23" s="186" t="s">
        <v>512</v>
      </c>
    </row>
    <row r="24" spans="1:18" ht="18" x14ac:dyDescent="0.3">
      <c r="A24" s="267" t="s">
        <v>440</v>
      </c>
      <c r="B24" s="268"/>
      <c r="C24" s="268"/>
      <c r="D24" s="268"/>
      <c r="E24" s="268"/>
      <c r="F24" s="269"/>
      <c r="G24" s="257"/>
      <c r="H24" s="94"/>
      <c r="I24" s="94"/>
      <c r="J24" s="94"/>
      <c r="K24" s="94"/>
      <c r="L24" s="94"/>
      <c r="M24" s="94"/>
      <c r="N24" s="94"/>
      <c r="O24" s="95"/>
      <c r="P24" s="94"/>
      <c r="Q24" s="55"/>
      <c r="R24" s="55"/>
    </row>
    <row r="25" spans="1:18" ht="15" customHeight="1" x14ac:dyDescent="0.3">
      <c r="A25" s="17" t="s">
        <v>235</v>
      </c>
      <c r="B25" s="17" t="s">
        <v>289</v>
      </c>
      <c r="C25" s="18" t="s">
        <v>454</v>
      </c>
      <c r="D25" s="17" t="s">
        <v>98</v>
      </c>
      <c r="E25" s="17" t="s">
        <v>455</v>
      </c>
      <c r="F25" s="17" t="s">
        <v>237</v>
      </c>
      <c r="G25" s="257"/>
      <c r="H25" s="94"/>
      <c r="I25" s="94"/>
      <c r="J25" s="94"/>
      <c r="K25" s="94"/>
      <c r="L25" s="94"/>
      <c r="M25" s="94"/>
      <c r="N25" s="94"/>
      <c r="O25" s="95"/>
      <c r="P25" s="94"/>
      <c r="Q25" s="55"/>
      <c r="R25" s="55"/>
    </row>
    <row r="26" spans="1:18" ht="15" customHeight="1" x14ac:dyDescent="0.3">
      <c r="A26" s="17" t="s">
        <v>235</v>
      </c>
      <c r="B26" s="17" t="s">
        <v>236</v>
      </c>
      <c r="C26" s="18" t="s">
        <v>456</v>
      </c>
      <c r="D26" s="17" t="s">
        <v>98</v>
      </c>
      <c r="E26" s="17" t="s">
        <v>457</v>
      </c>
      <c r="F26" s="17" t="s">
        <v>237</v>
      </c>
      <c r="G26" s="257"/>
      <c r="H26" s="94"/>
      <c r="I26" s="94"/>
      <c r="J26" s="94"/>
      <c r="K26" s="94"/>
      <c r="L26" s="94"/>
      <c r="M26" s="94"/>
      <c r="N26" s="94"/>
      <c r="O26" s="95"/>
      <c r="P26" s="94"/>
      <c r="Q26" s="55"/>
      <c r="R26" s="55"/>
    </row>
    <row r="27" spans="1:18" ht="15" customHeight="1" x14ac:dyDescent="0.3">
      <c r="A27" s="17" t="s">
        <v>78</v>
      </c>
      <c r="B27" s="17" t="s">
        <v>290</v>
      </c>
      <c r="C27" s="18" t="s">
        <v>382</v>
      </c>
      <c r="D27" s="17" t="s">
        <v>98</v>
      </c>
      <c r="E27" s="17" t="s">
        <v>170</v>
      </c>
      <c r="F27" s="17" t="s">
        <v>291</v>
      </c>
      <c r="G27" s="257"/>
      <c r="H27" s="94"/>
      <c r="I27" s="94"/>
      <c r="J27" s="94"/>
      <c r="K27" s="94"/>
      <c r="L27" s="94"/>
      <c r="M27" s="94"/>
      <c r="N27" s="94"/>
      <c r="O27" s="95"/>
      <c r="P27" s="94"/>
      <c r="Q27" s="55"/>
      <c r="R27" s="55"/>
    </row>
    <row r="28" spans="1:18" ht="15" customHeight="1" x14ac:dyDescent="0.3">
      <c r="A28" s="17" t="s">
        <v>78</v>
      </c>
      <c r="B28" s="17" t="s">
        <v>247</v>
      </c>
      <c r="C28" s="18" t="s">
        <v>378</v>
      </c>
      <c r="D28" s="17" t="s">
        <v>98</v>
      </c>
      <c r="E28" s="17" t="s">
        <v>188</v>
      </c>
      <c r="F28" s="17" t="s">
        <v>291</v>
      </c>
      <c r="G28" s="257"/>
      <c r="H28" s="94"/>
      <c r="I28" s="94"/>
      <c r="J28" s="94"/>
      <c r="K28" s="94"/>
      <c r="L28" s="94"/>
      <c r="M28" s="94"/>
      <c r="N28" s="94"/>
      <c r="O28" s="95"/>
      <c r="P28" s="94"/>
      <c r="Q28" s="55"/>
      <c r="R28" s="55"/>
    </row>
    <row r="29" spans="1:18" ht="15" customHeight="1" x14ac:dyDescent="0.3">
      <c r="A29" s="17" t="s">
        <v>78</v>
      </c>
      <c r="B29" s="17" t="s">
        <v>296</v>
      </c>
      <c r="C29" s="18" t="s">
        <v>391</v>
      </c>
      <c r="D29" s="17" t="s">
        <v>98</v>
      </c>
      <c r="E29" s="17" t="s">
        <v>171</v>
      </c>
      <c r="F29" s="17" t="s">
        <v>291</v>
      </c>
      <c r="G29" s="257"/>
      <c r="H29" s="94"/>
      <c r="I29" s="94"/>
      <c r="J29" s="94"/>
      <c r="K29" s="94"/>
      <c r="L29" s="94"/>
      <c r="M29" s="94"/>
      <c r="N29" s="94"/>
      <c r="O29" s="95"/>
      <c r="P29" s="94"/>
      <c r="Q29" s="55"/>
      <c r="R29" s="55"/>
    </row>
    <row r="30" spans="1:18" ht="15" customHeight="1" x14ac:dyDescent="0.3">
      <c r="A30" s="17" t="s">
        <v>78</v>
      </c>
      <c r="B30" s="17" t="s">
        <v>299</v>
      </c>
      <c r="C30" s="18" t="s">
        <v>396</v>
      </c>
      <c r="D30" s="17" t="s">
        <v>98</v>
      </c>
      <c r="E30" s="17" t="s">
        <v>172</v>
      </c>
      <c r="F30" s="17" t="s">
        <v>291</v>
      </c>
      <c r="G30" s="257"/>
      <c r="H30" s="94"/>
      <c r="I30" s="94"/>
      <c r="J30" s="94"/>
      <c r="K30" s="94"/>
      <c r="L30" s="94"/>
      <c r="M30" s="94"/>
      <c r="N30" s="94"/>
      <c r="O30" s="95"/>
      <c r="P30" s="94"/>
      <c r="Q30" s="55"/>
      <c r="R30" s="55"/>
    </row>
    <row r="31" spans="1:18" ht="15" customHeight="1" x14ac:dyDescent="0.3">
      <c r="A31" s="17" t="s">
        <v>78</v>
      </c>
      <c r="B31" s="17" t="s">
        <v>303</v>
      </c>
      <c r="C31" s="18" t="s">
        <v>387</v>
      </c>
      <c r="D31" s="17" t="s">
        <v>98</v>
      </c>
      <c r="E31" s="17" t="s">
        <v>189</v>
      </c>
      <c r="F31" s="17" t="s">
        <v>239</v>
      </c>
      <c r="G31" s="257"/>
      <c r="H31" s="94"/>
      <c r="I31" s="94"/>
      <c r="J31" s="94"/>
      <c r="K31" s="94"/>
      <c r="L31" s="94"/>
      <c r="M31" s="94"/>
      <c r="N31" s="94"/>
      <c r="O31" s="95"/>
      <c r="P31" s="94"/>
      <c r="Q31" s="55"/>
      <c r="R31" s="55"/>
    </row>
    <row r="32" spans="1:18" ht="15" customHeight="1" x14ac:dyDescent="0.3">
      <c r="A32" s="17" t="s">
        <v>67</v>
      </c>
      <c r="B32" s="17" t="s">
        <v>283</v>
      </c>
      <c r="C32" s="18" t="s">
        <v>458</v>
      </c>
      <c r="D32" s="17" t="s">
        <v>69</v>
      </c>
      <c r="E32" s="17" t="s">
        <v>172</v>
      </c>
      <c r="F32" s="17" t="s">
        <v>305</v>
      </c>
      <c r="G32" s="257"/>
      <c r="H32" s="94"/>
      <c r="I32" s="94"/>
      <c r="J32" s="94"/>
      <c r="K32" s="94"/>
      <c r="L32" s="94"/>
      <c r="M32" s="94"/>
      <c r="N32" s="94"/>
      <c r="O32" s="95"/>
      <c r="P32" s="94"/>
      <c r="Q32" s="55"/>
      <c r="R32" s="55"/>
    </row>
    <row r="33" spans="1:18" ht="15" customHeight="1" x14ac:dyDescent="0.3">
      <c r="A33" s="17" t="s">
        <v>67</v>
      </c>
      <c r="B33" s="17" t="s">
        <v>279</v>
      </c>
      <c r="C33" s="18" t="s">
        <v>459</v>
      </c>
      <c r="D33" s="17" t="s">
        <v>69</v>
      </c>
      <c r="E33" s="17" t="s">
        <v>172</v>
      </c>
      <c r="F33" s="17" t="s">
        <v>305</v>
      </c>
      <c r="G33" s="257"/>
      <c r="H33" s="94"/>
      <c r="I33" s="94"/>
      <c r="J33" s="94"/>
      <c r="K33" s="94"/>
      <c r="L33" s="94"/>
      <c r="M33" s="94"/>
      <c r="N33" s="94"/>
      <c r="O33" s="95"/>
      <c r="P33" s="94"/>
      <c r="Q33" s="55"/>
      <c r="R33" s="55"/>
    </row>
    <row r="34" spans="1:18" ht="15" customHeight="1" thickBot="1" x14ac:dyDescent="0.35">
      <c r="A34" s="39" t="s">
        <v>67</v>
      </c>
      <c r="B34" s="39" t="s">
        <v>286</v>
      </c>
      <c r="C34" s="40" t="s">
        <v>400</v>
      </c>
      <c r="D34" s="39" t="s">
        <v>69</v>
      </c>
      <c r="E34" s="39" t="s">
        <v>172</v>
      </c>
      <c r="F34" s="39" t="s">
        <v>306</v>
      </c>
      <c r="G34" s="258"/>
      <c r="H34" s="96"/>
      <c r="I34" s="96"/>
      <c r="J34" s="96"/>
      <c r="K34" s="96"/>
      <c r="L34" s="96"/>
      <c r="M34" s="96"/>
      <c r="N34" s="96"/>
      <c r="O34" s="97"/>
      <c r="P34" s="96"/>
      <c r="Q34" s="98"/>
      <c r="R34" s="98"/>
    </row>
    <row r="35" spans="1:18" ht="17.399999999999999" customHeight="1" thickBot="1" x14ac:dyDescent="0.35">
      <c r="A35" s="285"/>
      <c r="B35" s="286"/>
      <c r="C35" s="286"/>
      <c r="D35" s="286"/>
      <c r="E35" s="286"/>
      <c r="F35" s="286"/>
      <c r="G35" s="286"/>
      <c r="H35" s="286"/>
      <c r="I35" s="286"/>
      <c r="J35" s="286"/>
      <c r="K35" s="286"/>
      <c r="L35" s="286"/>
      <c r="M35" s="286"/>
      <c r="N35" s="286"/>
      <c r="O35" s="286"/>
      <c r="P35" s="286"/>
      <c r="Q35" s="286"/>
      <c r="R35" s="287"/>
    </row>
    <row r="36" spans="1:18" ht="22.05" customHeight="1" thickTop="1" thickBot="1" x14ac:dyDescent="0.35">
      <c r="A36" s="259" t="s">
        <v>6</v>
      </c>
      <c r="B36" s="254"/>
      <c r="C36" s="254"/>
      <c r="D36" s="254"/>
      <c r="E36" s="254"/>
      <c r="F36" s="255"/>
      <c r="G36" s="31">
        <v>45983</v>
      </c>
      <c r="H36" s="253" t="s">
        <v>7</v>
      </c>
      <c r="I36" s="254"/>
      <c r="J36" s="254"/>
      <c r="K36" s="254"/>
      <c r="L36" s="254"/>
      <c r="M36" s="254"/>
      <c r="N36" s="254"/>
      <c r="O36" s="254"/>
      <c r="P36" s="254"/>
      <c r="Q36" s="254"/>
      <c r="R36" s="255"/>
    </row>
    <row r="37" spans="1:18" ht="24" customHeight="1" x14ac:dyDescent="0.3">
      <c r="A37" s="32" t="s">
        <v>8</v>
      </c>
      <c r="B37" s="32" t="s">
        <v>9</v>
      </c>
      <c r="C37" s="33" t="s">
        <v>10</v>
      </c>
      <c r="D37" s="32" t="s">
        <v>11</v>
      </c>
      <c r="E37" s="32" t="s">
        <v>12</v>
      </c>
      <c r="F37" s="34" t="s">
        <v>13</v>
      </c>
      <c r="G37" s="35" t="s">
        <v>14</v>
      </c>
      <c r="H37" s="32" t="s">
        <v>15</v>
      </c>
      <c r="I37" s="36" t="s">
        <v>16</v>
      </c>
      <c r="J37" s="37" t="s">
        <v>17</v>
      </c>
      <c r="K37" s="38" t="s">
        <v>18</v>
      </c>
      <c r="L37" s="37" t="s">
        <v>19</v>
      </c>
      <c r="M37" s="37" t="s">
        <v>20</v>
      </c>
      <c r="N37" s="37" t="s">
        <v>21</v>
      </c>
      <c r="O37" s="32" t="s">
        <v>22</v>
      </c>
      <c r="P37" s="33" t="s">
        <v>23</v>
      </c>
      <c r="Q37" s="37" t="s">
        <v>24</v>
      </c>
      <c r="R37" s="32" t="s">
        <v>25</v>
      </c>
    </row>
    <row r="38" spans="1:18" ht="15" customHeight="1" x14ac:dyDescent="0.3">
      <c r="A38" s="172" t="s">
        <v>78</v>
      </c>
      <c r="B38" s="172" t="s">
        <v>506</v>
      </c>
      <c r="C38" s="173">
        <v>0.30208333333333331</v>
      </c>
      <c r="D38" s="172" t="s">
        <v>80</v>
      </c>
      <c r="E38" s="187"/>
      <c r="F38" s="172" t="s">
        <v>513</v>
      </c>
      <c r="G38" s="256"/>
      <c r="H38" s="118" t="s">
        <v>506</v>
      </c>
      <c r="I38" s="188">
        <v>0.87780000000000002</v>
      </c>
      <c r="J38" s="120">
        <v>158</v>
      </c>
      <c r="K38" s="121">
        <v>45980</v>
      </c>
      <c r="L38" s="120">
        <v>36</v>
      </c>
      <c r="M38" s="120">
        <v>1</v>
      </c>
      <c r="N38" s="120">
        <v>5</v>
      </c>
      <c r="O38" s="122" t="s">
        <v>294</v>
      </c>
      <c r="P38" s="123">
        <v>0.30208333333333331</v>
      </c>
      <c r="Q38" s="120">
        <v>180</v>
      </c>
      <c r="R38" s="124" t="s">
        <v>514</v>
      </c>
    </row>
    <row r="39" spans="1:18" ht="15" customHeight="1" x14ac:dyDescent="0.3">
      <c r="A39" s="189" t="s">
        <v>78</v>
      </c>
      <c r="B39" s="189" t="s">
        <v>503</v>
      </c>
      <c r="C39" s="190">
        <v>0.52777777777777779</v>
      </c>
      <c r="D39" s="189" t="s">
        <v>80</v>
      </c>
      <c r="E39" s="191"/>
      <c r="F39" s="189" t="s">
        <v>81</v>
      </c>
      <c r="G39" s="257"/>
      <c r="H39" s="180" t="s">
        <v>503</v>
      </c>
      <c r="I39" s="192">
        <v>0.99439999999999995</v>
      </c>
      <c r="J39" s="182">
        <v>179</v>
      </c>
      <c r="K39" s="183">
        <v>45980</v>
      </c>
      <c r="L39" s="182">
        <v>30</v>
      </c>
      <c r="M39" s="182">
        <v>2</v>
      </c>
      <c r="N39" s="182">
        <v>6</v>
      </c>
      <c r="O39" s="184" t="s">
        <v>82</v>
      </c>
      <c r="P39" s="185">
        <v>0.52777777777777779</v>
      </c>
      <c r="Q39" s="182">
        <v>180</v>
      </c>
      <c r="R39" s="186" t="s">
        <v>515</v>
      </c>
    </row>
    <row r="40" spans="1:18" ht="18" x14ac:dyDescent="0.3">
      <c r="A40" s="267" t="s">
        <v>440</v>
      </c>
      <c r="B40" s="268"/>
      <c r="C40" s="268"/>
      <c r="D40" s="268"/>
      <c r="E40" s="268"/>
      <c r="F40" s="269"/>
      <c r="G40" s="257"/>
      <c r="H40" s="94"/>
      <c r="I40" s="94"/>
      <c r="J40" s="94"/>
      <c r="K40" s="94"/>
      <c r="L40" s="94"/>
      <c r="M40" s="94"/>
      <c r="N40" s="94"/>
      <c r="O40" s="95"/>
      <c r="P40" s="94"/>
      <c r="Q40" s="55"/>
      <c r="R40" s="55"/>
    </row>
    <row r="41" spans="1:18" ht="15" customHeight="1" x14ac:dyDescent="0.3">
      <c r="A41" s="17" t="s">
        <v>42</v>
      </c>
      <c r="B41" s="17" t="s">
        <v>205</v>
      </c>
      <c r="C41" s="18" t="s">
        <v>415</v>
      </c>
      <c r="D41" s="17" t="s">
        <v>44</v>
      </c>
      <c r="E41" s="17" t="s">
        <v>169</v>
      </c>
      <c r="F41" s="17" t="s">
        <v>311</v>
      </c>
      <c r="G41" s="257"/>
      <c r="H41" s="94"/>
      <c r="I41" s="94"/>
      <c r="J41" s="94"/>
      <c r="K41" s="94"/>
      <c r="L41" s="94"/>
      <c r="M41" s="94"/>
      <c r="N41" s="94"/>
      <c r="O41" s="95"/>
      <c r="P41" s="94"/>
      <c r="Q41" s="55"/>
      <c r="R41" s="55"/>
    </row>
    <row r="42" spans="1:18" ht="15" customHeight="1" x14ac:dyDescent="0.3">
      <c r="A42" s="17" t="s">
        <v>42</v>
      </c>
      <c r="B42" s="17" t="s">
        <v>211</v>
      </c>
      <c r="C42" s="18" t="s">
        <v>416</v>
      </c>
      <c r="D42" s="17" t="s">
        <v>44</v>
      </c>
      <c r="E42" s="17" t="s">
        <v>480</v>
      </c>
      <c r="F42" s="17" t="s">
        <v>311</v>
      </c>
      <c r="G42" s="257"/>
      <c r="H42" s="94"/>
      <c r="I42" s="94"/>
      <c r="J42" s="94"/>
      <c r="K42" s="94"/>
      <c r="L42" s="94"/>
      <c r="M42" s="94"/>
      <c r="N42" s="94"/>
      <c r="O42" s="95"/>
      <c r="P42" s="94"/>
      <c r="Q42" s="55"/>
      <c r="R42" s="55"/>
    </row>
    <row r="43" spans="1:18" ht="15" customHeight="1" x14ac:dyDescent="0.3">
      <c r="A43" s="17" t="s">
        <v>42</v>
      </c>
      <c r="B43" s="17" t="s">
        <v>214</v>
      </c>
      <c r="C43" s="18" t="s">
        <v>417</v>
      </c>
      <c r="D43" s="17" t="s">
        <v>44</v>
      </c>
      <c r="E43" s="17" t="s">
        <v>481</v>
      </c>
      <c r="F43" s="17" t="s">
        <v>311</v>
      </c>
      <c r="G43" s="257"/>
      <c r="H43" s="94"/>
      <c r="I43" s="94"/>
      <c r="J43" s="94"/>
      <c r="K43" s="94"/>
      <c r="L43" s="94"/>
      <c r="M43" s="94"/>
      <c r="N43" s="94"/>
      <c r="O43" s="95"/>
      <c r="P43" s="94"/>
      <c r="Q43" s="55"/>
      <c r="R43" s="55"/>
    </row>
    <row r="44" spans="1:18" ht="15" customHeight="1" x14ac:dyDescent="0.3">
      <c r="A44" s="17" t="s">
        <v>42</v>
      </c>
      <c r="B44" s="17" t="s">
        <v>216</v>
      </c>
      <c r="C44" s="18" t="s">
        <v>418</v>
      </c>
      <c r="D44" s="17" t="s">
        <v>44</v>
      </c>
      <c r="E44" s="17" t="s">
        <v>482</v>
      </c>
      <c r="F44" s="17" t="s">
        <v>311</v>
      </c>
      <c r="G44" s="257"/>
      <c r="H44" s="94"/>
      <c r="I44" s="94"/>
      <c r="J44" s="94"/>
      <c r="K44" s="94"/>
      <c r="L44" s="94"/>
      <c r="M44" s="94"/>
      <c r="N44" s="94"/>
      <c r="O44" s="95"/>
      <c r="P44" s="94"/>
      <c r="Q44" s="55"/>
      <c r="R44" s="55"/>
    </row>
    <row r="45" spans="1:18" ht="15" customHeight="1" x14ac:dyDescent="0.3">
      <c r="A45" s="17" t="s">
        <v>26</v>
      </c>
      <c r="B45" s="17" t="s">
        <v>219</v>
      </c>
      <c r="C45" s="18" t="s">
        <v>419</v>
      </c>
      <c r="D45" s="17" t="s">
        <v>28</v>
      </c>
      <c r="E45" s="17" t="s">
        <v>169</v>
      </c>
      <c r="F45" s="17" t="s">
        <v>220</v>
      </c>
      <c r="G45" s="257"/>
      <c r="H45" s="94"/>
      <c r="I45" s="94"/>
      <c r="J45" s="94"/>
      <c r="K45" s="94"/>
      <c r="L45" s="94"/>
      <c r="M45" s="94"/>
      <c r="N45" s="94"/>
      <c r="O45" s="95"/>
      <c r="P45" s="94"/>
      <c r="Q45" s="55"/>
      <c r="R45" s="55"/>
    </row>
    <row r="46" spans="1:18" ht="15" customHeight="1" x14ac:dyDescent="0.3">
      <c r="A46" s="17" t="s">
        <v>26</v>
      </c>
      <c r="B46" s="17" t="s">
        <v>232</v>
      </c>
      <c r="C46" s="18" t="s">
        <v>424</v>
      </c>
      <c r="D46" s="17" t="s">
        <v>28</v>
      </c>
      <c r="E46" s="17" t="s">
        <v>170</v>
      </c>
      <c r="F46" s="17" t="s">
        <v>220</v>
      </c>
      <c r="G46" s="257"/>
      <c r="H46" s="94"/>
      <c r="I46" s="94"/>
      <c r="J46" s="94"/>
      <c r="K46" s="94"/>
      <c r="L46" s="94"/>
      <c r="M46" s="94"/>
      <c r="N46" s="94"/>
      <c r="O46" s="95"/>
      <c r="P46" s="94"/>
      <c r="Q46" s="55"/>
      <c r="R46" s="55"/>
    </row>
    <row r="47" spans="1:18" ht="15" customHeight="1" x14ac:dyDescent="0.3">
      <c r="A47" s="17" t="s">
        <v>26</v>
      </c>
      <c r="B47" s="17" t="s">
        <v>229</v>
      </c>
      <c r="C47" s="18" t="s">
        <v>418</v>
      </c>
      <c r="D47" s="17" t="s">
        <v>28</v>
      </c>
      <c r="E47" s="17" t="s">
        <v>169</v>
      </c>
      <c r="F47" s="17" t="s">
        <v>220</v>
      </c>
      <c r="G47" s="257"/>
      <c r="H47" s="94"/>
      <c r="I47" s="94"/>
      <c r="J47" s="94"/>
      <c r="K47" s="94"/>
      <c r="L47" s="94"/>
      <c r="M47" s="94"/>
      <c r="N47" s="94"/>
      <c r="O47" s="95"/>
      <c r="P47" s="94"/>
      <c r="Q47" s="55"/>
      <c r="R47" s="55"/>
    </row>
    <row r="48" spans="1:18" ht="15" customHeight="1" x14ac:dyDescent="0.3">
      <c r="A48" s="17" t="s">
        <v>26</v>
      </c>
      <c r="B48" s="17" t="s">
        <v>234</v>
      </c>
      <c r="C48" s="18" t="s">
        <v>425</v>
      </c>
      <c r="D48" s="17" t="s">
        <v>28</v>
      </c>
      <c r="E48" s="17" t="s">
        <v>457</v>
      </c>
      <c r="F48" s="17" t="s">
        <v>220</v>
      </c>
      <c r="G48" s="257"/>
      <c r="H48" s="94"/>
      <c r="I48" s="94"/>
      <c r="J48" s="94"/>
      <c r="K48" s="94"/>
      <c r="L48" s="94"/>
      <c r="M48" s="94"/>
      <c r="N48" s="94"/>
      <c r="O48" s="95"/>
      <c r="P48" s="94"/>
      <c r="Q48" s="55"/>
      <c r="R48" s="55"/>
    </row>
    <row r="49" spans="1:18" ht="15" customHeight="1" x14ac:dyDescent="0.3">
      <c r="A49" s="17" t="s">
        <v>26</v>
      </c>
      <c r="B49" s="17" t="s">
        <v>222</v>
      </c>
      <c r="C49" s="18" t="s">
        <v>420</v>
      </c>
      <c r="D49" s="17" t="s">
        <v>28</v>
      </c>
      <c r="E49" s="17" t="s">
        <v>171</v>
      </c>
      <c r="F49" s="17" t="s">
        <v>220</v>
      </c>
      <c r="G49" s="257"/>
      <c r="H49" s="94"/>
      <c r="I49" s="94"/>
      <c r="J49" s="94"/>
      <c r="K49" s="94"/>
      <c r="L49" s="94"/>
      <c r="M49" s="94"/>
      <c r="N49" s="94"/>
      <c r="O49" s="95"/>
      <c r="P49" s="94"/>
      <c r="Q49" s="55"/>
      <c r="R49" s="55"/>
    </row>
    <row r="50" spans="1:18" ht="15" customHeight="1" x14ac:dyDescent="0.3">
      <c r="A50" s="39" t="s">
        <v>78</v>
      </c>
      <c r="B50" s="39" t="s">
        <v>247</v>
      </c>
      <c r="C50" s="40" t="s">
        <v>345</v>
      </c>
      <c r="D50" s="39" t="s">
        <v>98</v>
      </c>
      <c r="E50" s="39" t="s">
        <v>455</v>
      </c>
      <c r="F50" s="39" t="s">
        <v>291</v>
      </c>
      <c r="G50" s="258"/>
      <c r="H50" s="96"/>
      <c r="I50" s="96"/>
      <c r="J50" s="96"/>
      <c r="K50" s="96"/>
      <c r="L50" s="96"/>
      <c r="M50" s="96"/>
      <c r="N50" s="96"/>
      <c r="O50" s="97"/>
      <c r="P50" s="96"/>
      <c r="Q50" s="98"/>
      <c r="R50" s="98"/>
    </row>
  </sheetData>
  <mergeCells count="21">
    <mergeCell ref="A40:F40"/>
    <mergeCell ref="G23:G34"/>
    <mergeCell ref="A24:F24"/>
    <mergeCell ref="A36:F36"/>
    <mergeCell ref="G6:G19"/>
    <mergeCell ref="H1:L1"/>
    <mergeCell ref="A1:E1"/>
    <mergeCell ref="G38:G50"/>
    <mergeCell ref="A21:F21"/>
    <mergeCell ref="H4:R4"/>
    <mergeCell ref="A2:F2"/>
    <mergeCell ref="A3:R3"/>
    <mergeCell ref="H21:R21"/>
    <mergeCell ref="G2:J2"/>
    <mergeCell ref="A4:F4"/>
    <mergeCell ref="H36:R36"/>
    <mergeCell ref="A35:R35"/>
    <mergeCell ref="N1:R1"/>
    <mergeCell ref="A20:R20"/>
    <mergeCell ref="A9:F9"/>
    <mergeCell ref="K2:R2"/>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J7"/>
  <sheetViews>
    <sheetView workbookViewId="0"/>
  </sheetViews>
  <sheetFormatPr defaultRowHeight="15.6" outlineLevelCol="1" x14ac:dyDescent="0.3"/>
  <cols>
    <col min="1" max="1" width="9.88671875" style="272" bestFit="1" customWidth="1"/>
    <col min="2" max="2" width="10.44140625" style="272" bestFit="1" customWidth="1"/>
    <col min="3" max="3" width="6.77734375" style="272" bestFit="1" customWidth="1"/>
    <col min="4" max="4" width="5.5546875" style="272" bestFit="1" customWidth="1"/>
    <col min="5" max="5" width="7.77734375" style="272" bestFit="1" customWidth="1"/>
    <col min="6" max="6" width="4.21875" style="272" bestFit="1" customWidth="1"/>
    <col min="7" max="7" width="10" style="272" bestFit="1" customWidth="1"/>
    <col min="8" max="10" width="7" style="272" bestFit="1" customWidth="1"/>
    <col min="11" max="11" width="10.5546875" style="272" bestFit="1" customWidth="1"/>
    <col min="12" max="12" width="9.10937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25" width="3.88671875" style="272" bestFit="1" customWidth="1"/>
    <col min="26" max="26" width="4.109375" style="272" bestFit="1" customWidth="1"/>
    <col min="27" max="27" width="5" style="272" bestFit="1" customWidth="1"/>
    <col min="28" max="29" width="4.21875" style="272" bestFit="1" customWidth="1"/>
    <col min="30" max="31" width="4.5546875" style="272" bestFit="1" customWidth="1"/>
    <col min="32" max="32" width="3.88671875" style="272" bestFit="1" customWidth="1"/>
    <col min="33" max="33" width="4.21875" style="272" bestFit="1" customWidth="1"/>
    <col min="34" max="34" width="3.88671875" style="272" bestFit="1" customWidth="1"/>
    <col min="35" max="35" width="5.21875" style="272" bestFit="1" customWidth="1"/>
    <col min="36" max="36" width="3.88671875" style="272" bestFit="1" customWidth="1"/>
    <col min="37" max="16384" width="8.88671875" style="272"/>
  </cols>
  <sheetData>
    <row r="1" spans="1:36" x14ac:dyDescent="0.3">
      <c r="A1" s="271" t="s">
        <v>103</v>
      </c>
      <c r="B1" s="271" t="s">
        <v>104</v>
      </c>
      <c r="C1" s="271" t="s">
        <v>105</v>
      </c>
      <c r="D1" s="271" t="s">
        <v>23</v>
      </c>
      <c r="E1" s="271" t="s">
        <v>106</v>
      </c>
      <c r="F1" s="271" t="s">
        <v>107</v>
      </c>
      <c r="G1" s="271" t="s">
        <v>16</v>
      </c>
      <c r="H1" s="271" t="s">
        <v>108</v>
      </c>
      <c r="I1" s="271" t="s">
        <v>109</v>
      </c>
      <c r="J1" s="271" t="s">
        <v>110</v>
      </c>
      <c r="K1" s="271" t="s">
        <v>111</v>
      </c>
      <c r="L1" s="271" t="s">
        <v>18</v>
      </c>
      <c r="M1" s="271" t="s">
        <v>20</v>
      </c>
      <c r="N1" s="271" t="s">
        <v>21</v>
      </c>
      <c r="O1" s="271" t="s">
        <v>19</v>
      </c>
      <c r="P1" s="271" t="s">
        <v>22</v>
      </c>
      <c r="Q1" s="271" t="s">
        <v>112</v>
      </c>
      <c r="R1" s="271" t="s">
        <v>113</v>
      </c>
      <c r="S1" s="271" t="s">
        <v>114</v>
      </c>
      <c r="T1" s="271" t="s">
        <v>115</v>
      </c>
      <c r="U1" s="271" t="s">
        <v>116</v>
      </c>
      <c r="V1" s="271" t="s">
        <v>117</v>
      </c>
      <c r="W1" s="271" t="s">
        <v>118</v>
      </c>
      <c r="X1" s="271" t="s">
        <v>119</v>
      </c>
      <c r="Y1" s="271" t="s">
        <v>120</v>
      </c>
      <c r="Z1" s="271" t="s">
        <v>121</v>
      </c>
      <c r="AA1" s="271" t="s">
        <v>122</v>
      </c>
      <c r="AB1" s="271" t="s">
        <v>123</v>
      </c>
      <c r="AC1" s="271" t="s">
        <v>124</v>
      </c>
      <c r="AD1" s="271" t="s">
        <v>125</v>
      </c>
      <c r="AE1" s="271" t="s">
        <v>126</v>
      </c>
      <c r="AF1" s="271" t="s">
        <v>127</v>
      </c>
      <c r="AG1" s="271" t="s">
        <v>128</v>
      </c>
      <c r="AH1" s="271" t="s">
        <v>129</v>
      </c>
      <c r="AI1" s="271" t="s">
        <v>130</v>
      </c>
      <c r="AJ1" s="271" t="s">
        <v>131</v>
      </c>
    </row>
    <row r="2" spans="1:36" x14ac:dyDescent="0.3">
      <c r="A2" s="273" t="s">
        <v>132</v>
      </c>
      <c r="B2" s="274">
        <v>45981</v>
      </c>
      <c r="C2" s="275" t="s">
        <v>506</v>
      </c>
      <c r="D2" s="276" t="s">
        <v>516</v>
      </c>
      <c r="E2" s="275" t="s">
        <v>500</v>
      </c>
      <c r="F2" s="275" t="s">
        <v>134</v>
      </c>
      <c r="G2" s="277">
        <v>0.92779999999999996</v>
      </c>
      <c r="H2" s="278">
        <v>180</v>
      </c>
      <c r="I2" s="278">
        <v>167</v>
      </c>
      <c r="J2" s="278">
        <v>133</v>
      </c>
      <c r="K2" s="275" t="s">
        <v>135</v>
      </c>
      <c r="L2" s="279">
        <v>45979</v>
      </c>
      <c r="M2" s="278">
        <v>0</v>
      </c>
      <c r="N2" s="278">
        <v>5</v>
      </c>
      <c r="O2" s="278">
        <v>22</v>
      </c>
      <c r="P2" s="275" t="s">
        <v>249</v>
      </c>
      <c r="Q2" s="271"/>
      <c r="R2" s="271"/>
      <c r="S2" s="271"/>
      <c r="T2" s="271"/>
      <c r="U2" s="271"/>
      <c r="V2" s="271"/>
      <c r="W2" s="271"/>
      <c r="X2" s="271"/>
      <c r="Y2" s="271"/>
      <c r="Z2" s="278" t="s">
        <v>517</v>
      </c>
      <c r="AA2" s="278" t="s">
        <v>518</v>
      </c>
      <c r="AB2" s="271"/>
      <c r="AC2" s="278" t="s">
        <v>519</v>
      </c>
      <c r="AD2" s="271"/>
      <c r="AE2" s="271"/>
      <c r="AF2" s="271"/>
      <c r="AG2" s="278" t="s">
        <v>520</v>
      </c>
      <c r="AH2" s="271"/>
      <c r="AI2" s="278" t="s">
        <v>521</v>
      </c>
      <c r="AJ2" s="271"/>
    </row>
    <row r="3" spans="1:36" x14ac:dyDescent="0.3">
      <c r="A3" s="273" t="s">
        <v>132</v>
      </c>
      <c r="B3" s="274">
        <v>45981</v>
      </c>
      <c r="C3" s="275" t="s">
        <v>503</v>
      </c>
      <c r="D3" s="276" t="s">
        <v>522</v>
      </c>
      <c r="E3" s="275" t="s">
        <v>500</v>
      </c>
      <c r="F3" s="275" t="s">
        <v>134</v>
      </c>
      <c r="G3" s="277">
        <v>0.82220000000000004</v>
      </c>
      <c r="H3" s="278">
        <v>180</v>
      </c>
      <c r="I3" s="278">
        <v>148</v>
      </c>
      <c r="J3" s="278">
        <v>94</v>
      </c>
      <c r="K3" s="275" t="s">
        <v>135</v>
      </c>
      <c r="L3" s="279">
        <v>45980</v>
      </c>
      <c r="M3" s="278">
        <v>1</v>
      </c>
      <c r="N3" s="278">
        <v>9</v>
      </c>
      <c r="O3" s="278">
        <v>38</v>
      </c>
      <c r="P3" s="275" t="s">
        <v>193</v>
      </c>
      <c r="Q3" s="271"/>
      <c r="R3" s="271"/>
      <c r="S3" s="271"/>
      <c r="T3" s="271"/>
      <c r="U3" s="271"/>
      <c r="V3" s="271"/>
      <c r="W3" s="271"/>
      <c r="X3" s="271"/>
      <c r="Y3" s="271"/>
      <c r="Z3" s="278" t="s">
        <v>523</v>
      </c>
      <c r="AA3" s="278" t="s">
        <v>524</v>
      </c>
      <c r="AB3" s="271"/>
      <c r="AC3" s="271"/>
      <c r="AD3" s="271"/>
      <c r="AE3" s="271"/>
      <c r="AF3" s="271"/>
      <c r="AG3" s="271"/>
      <c r="AH3" s="271"/>
      <c r="AI3" s="278" t="s">
        <v>525</v>
      </c>
      <c r="AJ3" s="271"/>
    </row>
    <row r="4" spans="1:36" x14ac:dyDescent="0.3">
      <c r="A4" s="273" t="s">
        <v>377</v>
      </c>
      <c r="B4" s="274">
        <v>45982</v>
      </c>
      <c r="C4" s="275" t="s">
        <v>510</v>
      </c>
      <c r="D4" s="276" t="s">
        <v>526</v>
      </c>
      <c r="E4" s="275" t="s">
        <v>500</v>
      </c>
      <c r="F4" s="275" t="s">
        <v>134</v>
      </c>
      <c r="G4" s="277">
        <v>0.7278</v>
      </c>
      <c r="H4" s="278">
        <v>180</v>
      </c>
      <c r="I4" s="278">
        <v>131</v>
      </c>
      <c r="J4" s="278">
        <v>0</v>
      </c>
      <c r="K4" s="275" t="s">
        <v>135</v>
      </c>
      <c r="L4" s="279">
        <v>45980</v>
      </c>
      <c r="M4" s="278">
        <v>0</v>
      </c>
      <c r="N4" s="278">
        <v>4</v>
      </c>
      <c r="O4" s="278">
        <v>102</v>
      </c>
      <c r="P4" s="275" t="s">
        <v>254</v>
      </c>
      <c r="Q4" s="271"/>
      <c r="R4" s="271"/>
      <c r="S4" s="271"/>
      <c r="T4" s="271"/>
      <c r="U4" s="271"/>
      <c r="V4" s="271"/>
      <c r="W4" s="271"/>
      <c r="X4" s="271"/>
      <c r="Y4" s="278" t="s">
        <v>527</v>
      </c>
      <c r="Z4" s="278" t="s">
        <v>488</v>
      </c>
      <c r="AA4" s="278" t="s">
        <v>489</v>
      </c>
      <c r="AB4" s="278" t="s">
        <v>528</v>
      </c>
      <c r="AC4" s="278" t="s">
        <v>529</v>
      </c>
      <c r="AD4" s="278" t="s">
        <v>530</v>
      </c>
      <c r="AE4" s="278" t="s">
        <v>531</v>
      </c>
      <c r="AF4" s="278" t="s">
        <v>532</v>
      </c>
      <c r="AG4" s="271"/>
      <c r="AH4" s="271"/>
      <c r="AI4" s="271"/>
      <c r="AJ4" s="271"/>
    </row>
    <row r="5" spans="1:36" x14ac:dyDescent="0.3">
      <c r="A5" s="273" t="s">
        <v>144</v>
      </c>
      <c r="B5" s="274">
        <v>45983</v>
      </c>
      <c r="C5" s="275" t="s">
        <v>506</v>
      </c>
      <c r="D5" s="276" t="s">
        <v>533</v>
      </c>
      <c r="E5" s="275" t="s">
        <v>500</v>
      </c>
      <c r="F5" s="275" t="s">
        <v>134</v>
      </c>
      <c r="G5" s="277">
        <v>0.87780000000000002</v>
      </c>
      <c r="H5" s="278">
        <v>180</v>
      </c>
      <c r="I5" s="278">
        <v>158</v>
      </c>
      <c r="J5" s="278">
        <v>90</v>
      </c>
      <c r="K5" s="275" t="s">
        <v>135</v>
      </c>
      <c r="L5" s="279">
        <v>45980</v>
      </c>
      <c r="M5" s="278">
        <v>1</v>
      </c>
      <c r="N5" s="278">
        <v>5</v>
      </c>
      <c r="O5" s="278">
        <v>36</v>
      </c>
      <c r="P5" s="275" t="s">
        <v>294</v>
      </c>
      <c r="Q5" s="271"/>
      <c r="R5" s="271"/>
      <c r="S5" s="271"/>
      <c r="T5" s="271"/>
      <c r="U5" s="271"/>
      <c r="V5" s="271"/>
      <c r="W5" s="271"/>
      <c r="X5" s="271"/>
      <c r="Y5" s="271"/>
      <c r="Z5" s="278" t="s">
        <v>137</v>
      </c>
      <c r="AA5" s="278" t="s">
        <v>339</v>
      </c>
      <c r="AB5" s="278" t="s">
        <v>354</v>
      </c>
      <c r="AC5" s="278" t="s">
        <v>138</v>
      </c>
      <c r="AD5" s="278" t="s">
        <v>534</v>
      </c>
      <c r="AE5" s="278" t="s">
        <v>368</v>
      </c>
      <c r="AF5" s="278" t="s">
        <v>369</v>
      </c>
      <c r="AG5" s="271"/>
      <c r="AH5" s="271"/>
      <c r="AI5" s="278" t="s">
        <v>179</v>
      </c>
      <c r="AJ5" s="271"/>
    </row>
    <row r="6" spans="1:36" x14ac:dyDescent="0.3">
      <c r="A6" s="273" t="s">
        <v>144</v>
      </c>
      <c r="B6" s="274">
        <v>45983</v>
      </c>
      <c r="C6" s="275" t="s">
        <v>503</v>
      </c>
      <c r="D6" s="276" t="s">
        <v>535</v>
      </c>
      <c r="E6" s="275" t="s">
        <v>500</v>
      </c>
      <c r="F6" s="275" t="s">
        <v>134</v>
      </c>
      <c r="G6" s="277">
        <v>0.99439999999999995</v>
      </c>
      <c r="H6" s="278">
        <v>180</v>
      </c>
      <c r="I6" s="278">
        <v>179</v>
      </c>
      <c r="J6" s="278">
        <v>100</v>
      </c>
      <c r="K6" s="275" t="s">
        <v>135</v>
      </c>
      <c r="L6" s="279">
        <v>45980</v>
      </c>
      <c r="M6" s="278">
        <v>2</v>
      </c>
      <c r="N6" s="278">
        <v>6</v>
      </c>
      <c r="O6" s="278">
        <v>30</v>
      </c>
      <c r="P6" s="275" t="s">
        <v>82</v>
      </c>
      <c r="Q6" s="278" t="s">
        <v>536</v>
      </c>
      <c r="R6" s="271"/>
      <c r="S6" s="271"/>
      <c r="T6" s="271"/>
      <c r="U6" s="271"/>
      <c r="V6" s="271"/>
      <c r="W6" s="271"/>
      <c r="X6" s="271"/>
      <c r="Y6" s="271"/>
      <c r="Z6" s="278" t="s">
        <v>241</v>
      </c>
      <c r="AA6" s="278" t="s">
        <v>339</v>
      </c>
      <c r="AB6" s="278" t="s">
        <v>340</v>
      </c>
      <c r="AC6" s="278" t="s">
        <v>537</v>
      </c>
      <c r="AD6" s="278" t="s">
        <v>538</v>
      </c>
      <c r="AE6" s="271"/>
      <c r="AF6" s="278" t="s">
        <v>539</v>
      </c>
      <c r="AG6" s="271"/>
      <c r="AH6" s="271"/>
      <c r="AI6" s="278" t="s">
        <v>540</v>
      </c>
      <c r="AJ6" s="271"/>
    </row>
    <row r="7" spans="1:36" ht="21" x14ac:dyDescent="0.3">
      <c r="A7" s="280" t="s">
        <v>932</v>
      </c>
      <c r="B7" s="281"/>
      <c r="C7" s="280">
        <f>SUBTOTAL(103,ATZ_JED_LF_LEGACY[Flt])</f>
        <v>5</v>
      </c>
      <c r="D7" s="280"/>
      <c r="E7" s="280">
        <f>SUBTOTAL(103,ATZ_JED_LF_LEGACY[Brd-Off])</f>
        <v>5</v>
      </c>
      <c r="F7" s="280"/>
      <c r="G7" s="282">
        <f>SUBTOTAL(101,ATZ_JED_LF_LEGACY[LF%])</f>
        <v>0.87000000000000011</v>
      </c>
      <c r="H7" s="283">
        <f>SUBTOTAL(109,ATZ_JED_LF_LEGACY[CAP])</f>
        <v>900</v>
      </c>
      <c r="I7" s="283">
        <f>SUBTOTAL(109,ATZ_JED_LF_LEGACY[BKG(Y)])</f>
        <v>783</v>
      </c>
      <c r="J7" s="283">
        <f>SUBTOTAL(109,ATZ_JED_LF_LEGACY[GRP(Y)])</f>
        <v>417</v>
      </c>
      <c r="K7" s="280"/>
      <c r="L7" s="281"/>
      <c r="M7" s="283">
        <f>SUBTOTAL(109,ATZ_JED_LF_LEGACY[TO-DAY])</f>
        <v>4</v>
      </c>
      <c r="N7" s="283">
        <f>SUBTOTAL(109,ATZ_JED_LF_LEGACY[Y-DAY])</f>
        <v>29</v>
      </c>
      <c r="O7" s="283">
        <f>SUBTOTAL(109,ATZ_JED_LF_LEGACY[WEEKLY])</f>
        <v>228</v>
      </c>
      <c r="P7" s="284"/>
      <c r="Q7" s="283">
        <f>SUBTOTAL(109,ATZ_JED_LF_LEGACY[Y])</f>
        <v>0</v>
      </c>
      <c r="R7" s="283">
        <f>SUBTOTAL(109,ATZ_JED_LF_LEGACY[B])</f>
        <v>0</v>
      </c>
      <c r="S7" s="283">
        <f>SUBTOTAL(109,ATZ_JED_LF_LEGACY[M])</f>
        <v>0</v>
      </c>
      <c r="T7" s="283">
        <f>SUBTOTAL(109,ATZ_JED_LF_LEGACY[H])</f>
        <v>0</v>
      </c>
      <c r="U7" s="283">
        <f>SUBTOTAL(109,ATZ_JED_LF_LEGACY[Q])</f>
        <v>0</v>
      </c>
      <c r="V7" s="283">
        <f>SUBTOTAL(109,ATZ_JED_LF_LEGACY[K])</f>
        <v>0</v>
      </c>
      <c r="W7" s="283">
        <f>SUBTOTAL(109,ATZ_JED_LF_LEGACY[V])</f>
        <v>0</v>
      </c>
      <c r="X7" s="283">
        <f>SUBTOTAL(109,ATZ_JED_LF_LEGACY[L])</f>
        <v>0</v>
      </c>
      <c r="Y7" s="283">
        <f>SUBTOTAL(109,ATZ_JED_LF_LEGACY[G])</f>
        <v>0</v>
      </c>
      <c r="Z7" s="283">
        <f>SUBTOTAL(109,ATZ_JED_LF_LEGACY[S])</f>
        <v>0</v>
      </c>
      <c r="AA7" s="283">
        <f>SUBTOTAL(109,ATZ_JED_LF_LEGACY[W])</f>
        <v>0</v>
      </c>
      <c r="AB7" s="283">
        <f>SUBTOTAL(109,ATZ_JED_LF_LEGACY[T])</f>
        <v>0</v>
      </c>
      <c r="AC7" s="283">
        <f>SUBTOTAL(109,ATZ_JED_LF_LEGACY[X])</f>
        <v>0</v>
      </c>
      <c r="AD7" s="283">
        <f>SUBTOTAL(109,ATZ_JED_LF_LEGACY[U])</f>
        <v>0</v>
      </c>
      <c r="AE7" s="283">
        <f>SUBTOTAL(109,ATZ_JED_LF_LEGACY[O])</f>
        <v>0</v>
      </c>
      <c r="AF7" s="283">
        <f>SUBTOTAL(109,ATZ_JED_LF_LEGACY[I])</f>
        <v>0</v>
      </c>
      <c r="AG7" s="283">
        <f>SUBTOTAL(109,ATZ_JED_LF_LEGACY[E])</f>
        <v>0</v>
      </c>
      <c r="AH7" s="283">
        <f>SUBTOTAL(109,ATZ_JED_LF_LEGACY[A])</f>
        <v>0</v>
      </c>
      <c r="AI7" s="283">
        <f>SUBTOTAL(109,ATZ_JED_LF_LEGACY[P])</f>
        <v>0</v>
      </c>
      <c r="AJ7" s="283">
        <f>SUBTOTAL(103,ATZ_JED_LF_LEGACY[N])</f>
        <v>0</v>
      </c>
    </row>
  </sheetData>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40"/>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32.109375" bestFit="1" customWidth="1"/>
    <col min="7" max="7" width="20" bestFit="1" customWidth="1"/>
    <col min="8" max="8" width="23.6640625" bestFit="1" customWidth="1"/>
    <col min="9" max="9" width="191" hidden="1" customWidth="1"/>
  </cols>
  <sheetData>
    <row r="1" spans="1:8" ht="18" x14ac:dyDescent="0.3">
      <c r="A1" s="56" t="s">
        <v>149</v>
      </c>
      <c r="B1" s="57" t="s">
        <v>8</v>
      </c>
      <c r="C1" s="57" t="s">
        <v>9</v>
      </c>
      <c r="D1" s="57" t="s">
        <v>150</v>
      </c>
      <c r="E1" s="57" t="s">
        <v>10</v>
      </c>
      <c r="F1" s="57" t="s">
        <v>11</v>
      </c>
      <c r="G1" s="57" t="s">
        <v>12</v>
      </c>
      <c r="H1" s="58" t="s">
        <v>13</v>
      </c>
    </row>
    <row r="2" spans="1:8" ht="19.8" customHeight="1" x14ac:dyDescent="0.3">
      <c r="A2" s="99" t="s">
        <v>151</v>
      </c>
      <c r="B2" s="77" t="s">
        <v>78</v>
      </c>
      <c r="C2" s="78" t="s">
        <v>501</v>
      </c>
      <c r="D2" s="77" t="s">
        <v>500</v>
      </c>
      <c r="E2" s="77" t="s">
        <v>522</v>
      </c>
      <c r="F2" s="77" t="s">
        <v>98</v>
      </c>
      <c r="G2" s="80">
        <v>7</v>
      </c>
      <c r="H2" s="81" t="s">
        <v>502</v>
      </c>
    </row>
    <row r="3" spans="1:8" ht="19.8" customHeight="1" x14ac:dyDescent="0.3">
      <c r="A3" s="76">
        <v>45981</v>
      </c>
      <c r="B3" s="77" t="s">
        <v>78</v>
      </c>
      <c r="C3" s="78" t="s">
        <v>505</v>
      </c>
      <c r="D3" s="77" t="s">
        <v>500</v>
      </c>
      <c r="E3" s="79">
        <v>1.3298611111111109</v>
      </c>
      <c r="F3" s="77" t="s">
        <v>98</v>
      </c>
      <c r="G3" s="80">
        <v>3</v>
      </c>
      <c r="H3" s="81" t="s">
        <v>502</v>
      </c>
    </row>
    <row r="4" spans="1:8" ht="19.8" customHeight="1" x14ac:dyDescent="0.3">
      <c r="A4" s="68">
        <v>45981</v>
      </c>
      <c r="B4" s="60" t="s">
        <v>67</v>
      </c>
      <c r="C4" s="61" t="s">
        <v>508</v>
      </c>
      <c r="D4" s="60" t="s">
        <v>500</v>
      </c>
      <c r="E4" s="69">
        <v>1.3298611111111109</v>
      </c>
      <c r="F4" s="60" t="s">
        <v>69</v>
      </c>
      <c r="G4" s="62">
        <v>4</v>
      </c>
      <c r="H4" s="63" t="s">
        <v>509</v>
      </c>
    </row>
    <row r="5" spans="1:8" ht="19.8" customHeight="1" x14ac:dyDescent="0.3">
      <c r="A5" s="100"/>
      <c r="B5" s="101"/>
      <c r="C5" s="101"/>
      <c r="D5" s="101"/>
      <c r="E5" s="101"/>
      <c r="F5" s="102" t="s">
        <v>499</v>
      </c>
      <c r="G5" s="101"/>
      <c r="H5" s="103"/>
    </row>
    <row r="6" spans="1:8" ht="19.8" customHeight="1" x14ac:dyDescent="0.3">
      <c r="A6" s="68">
        <v>45981</v>
      </c>
      <c r="B6" s="60" t="s">
        <v>42</v>
      </c>
      <c r="C6" s="61" t="s">
        <v>205</v>
      </c>
      <c r="D6" s="60" t="s">
        <v>204</v>
      </c>
      <c r="E6" s="69">
        <v>1.489583333333333</v>
      </c>
      <c r="F6" s="60" t="s">
        <v>44</v>
      </c>
      <c r="G6" s="62">
        <v>38</v>
      </c>
      <c r="H6" s="63" t="s">
        <v>207</v>
      </c>
    </row>
    <row r="7" spans="1:8" ht="19.8" customHeight="1" x14ac:dyDescent="0.3">
      <c r="A7" s="68">
        <v>45981</v>
      </c>
      <c r="B7" s="60" t="s">
        <v>42</v>
      </c>
      <c r="C7" s="61" t="s">
        <v>211</v>
      </c>
      <c r="D7" s="60" t="s">
        <v>204</v>
      </c>
      <c r="E7" s="69">
        <v>1.399305555555556</v>
      </c>
      <c r="F7" s="60" t="s">
        <v>44</v>
      </c>
      <c r="G7" s="62">
        <v>39</v>
      </c>
      <c r="H7" s="63" t="s">
        <v>207</v>
      </c>
    </row>
    <row r="8" spans="1:8" ht="19.8" customHeight="1" x14ac:dyDescent="0.3">
      <c r="A8" s="68">
        <v>45981</v>
      </c>
      <c r="B8" s="60" t="s">
        <v>42</v>
      </c>
      <c r="C8" s="61" t="s">
        <v>214</v>
      </c>
      <c r="D8" s="60" t="s">
        <v>204</v>
      </c>
      <c r="E8" s="69">
        <v>1.989583333333333</v>
      </c>
      <c r="F8" s="60" t="s">
        <v>44</v>
      </c>
      <c r="G8" s="62">
        <v>20</v>
      </c>
      <c r="H8" s="63" t="s">
        <v>207</v>
      </c>
    </row>
    <row r="9" spans="1:8" ht="19.8" customHeight="1" x14ac:dyDescent="0.3">
      <c r="A9" s="68">
        <v>45981</v>
      </c>
      <c r="B9" s="60" t="s">
        <v>42</v>
      </c>
      <c r="C9" s="61" t="s">
        <v>216</v>
      </c>
      <c r="D9" s="60" t="s">
        <v>204</v>
      </c>
      <c r="E9" s="69">
        <v>1.8888888888888891</v>
      </c>
      <c r="F9" s="60" t="s">
        <v>44</v>
      </c>
      <c r="G9" s="62">
        <v>15</v>
      </c>
      <c r="H9" s="63" t="s">
        <v>207</v>
      </c>
    </row>
    <row r="10" spans="1:8" ht="19.8" customHeight="1" x14ac:dyDescent="0.3">
      <c r="A10" s="68">
        <v>45981</v>
      </c>
      <c r="B10" s="60" t="s">
        <v>26</v>
      </c>
      <c r="C10" s="61" t="s">
        <v>219</v>
      </c>
      <c r="D10" s="60" t="s">
        <v>204</v>
      </c>
      <c r="E10" s="69">
        <v>1.944444444444444</v>
      </c>
      <c r="F10" s="60" t="s">
        <v>28</v>
      </c>
      <c r="G10" s="62">
        <v>5</v>
      </c>
      <c r="H10" s="63" t="s">
        <v>89</v>
      </c>
    </row>
    <row r="11" spans="1:8" ht="19.8" customHeight="1" x14ac:dyDescent="0.3">
      <c r="A11" s="68">
        <v>45981</v>
      </c>
      <c r="B11" s="60" t="s">
        <v>26</v>
      </c>
      <c r="C11" s="61" t="s">
        <v>222</v>
      </c>
      <c r="D11" s="60" t="s">
        <v>204</v>
      </c>
      <c r="E11" s="69">
        <v>1.993055555555556</v>
      </c>
      <c r="F11" s="60" t="s">
        <v>28</v>
      </c>
      <c r="G11" s="62">
        <v>9</v>
      </c>
      <c r="H11" s="63" t="s">
        <v>89</v>
      </c>
    </row>
    <row r="12" spans="1:8" ht="19.8" customHeight="1" x14ac:dyDescent="0.3">
      <c r="A12" s="68">
        <v>45981</v>
      </c>
      <c r="B12" s="60" t="s">
        <v>26</v>
      </c>
      <c r="C12" s="61" t="s">
        <v>224</v>
      </c>
      <c r="D12" s="60" t="s">
        <v>204</v>
      </c>
      <c r="E12" s="69">
        <v>1.3923611111111109</v>
      </c>
      <c r="F12" s="60" t="s">
        <v>28</v>
      </c>
      <c r="G12" s="62">
        <v>6</v>
      </c>
      <c r="H12" s="63" t="s">
        <v>46</v>
      </c>
    </row>
    <row r="13" spans="1:8" ht="19.8" customHeight="1" x14ac:dyDescent="0.3">
      <c r="A13" s="68">
        <v>45981</v>
      </c>
      <c r="B13" s="60" t="s">
        <v>26</v>
      </c>
      <c r="C13" s="61" t="s">
        <v>228</v>
      </c>
      <c r="D13" s="60" t="s">
        <v>204</v>
      </c>
      <c r="E13" s="69">
        <v>1.836805555555556</v>
      </c>
      <c r="F13" s="60" t="s">
        <v>28</v>
      </c>
      <c r="G13" s="62">
        <v>1</v>
      </c>
      <c r="H13" s="63" t="s">
        <v>46</v>
      </c>
    </row>
    <row r="14" spans="1:8" ht="19.8" customHeight="1" x14ac:dyDescent="0.3">
      <c r="A14" s="68">
        <v>45981</v>
      </c>
      <c r="B14" s="60" t="s">
        <v>26</v>
      </c>
      <c r="C14" s="61" t="s">
        <v>229</v>
      </c>
      <c r="D14" s="60" t="s">
        <v>204</v>
      </c>
      <c r="E14" s="69">
        <v>1.8888888888888891</v>
      </c>
      <c r="F14" s="60" t="s">
        <v>28</v>
      </c>
      <c r="G14" s="62">
        <v>5</v>
      </c>
      <c r="H14" s="63" t="s">
        <v>46</v>
      </c>
    </row>
    <row r="15" spans="1:8" ht="19.8" customHeight="1" x14ac:dyDescent="0.3">
      <c r="A15" s="70">
        <v>45981</v>
      </c>
      <c r="B15" s="71" t="s">
        <v>26</v>
      </c>
      <c r="C15" s="72" t="s">
        <v>231</v>
      </c>
      <c r="D15" s="71" t="s">
        <v>204</v>
      </c>
      <c r="E15" s="73">
        <v>1.3472222222222221</v>
      </c>
      <c r="F15" s="71" t="s">
        <v>28</v>
      </c>
      <c r="G15" s="74">
        <v>5</v>
      </c>
      <c r="H15" s="75" t="s">
        <v>46</v>
      </c>
    </row>
    <row r="16" spans="1:8" ht="19.8" customHeight="1" x14ac:dyDescent="0.3">
      <c r="A16" s="76">
        <v>45982</v>
      </c>
      <c r="B16" s="77" t="s">
        <v>78</v>
      </c>
      <c r="C16" s="78" t="s">
        <v>541</v>
      </c>
      <c r="D16" s="77" t="s">
        <v>500</v>
      </c>
      <c r="E16" s="79">
        <v>1.135416666666667</v>
      </c>
      <c r="F16" s="77"/>
      <c r="G16" s="77"/>
      <c r="H16" s="81" t="s">
        <v>511</v>
      </c>
    </row>
    <row r="17" spans="1:8" ht="19.8" customHeight="1" x14ac:dyDescent="0.3">
      <c r="A17" s="100"/>
      <c r="B17" s="101"/>
      <c r="C17" s="101"/>
      <c r="D17" s="101"/>
      <c r="E17" s="101"/>
      <c r="F17" s="102" t="s">
        <v>499</v>
      </c>
      <c r="G17" s="101"/>
      <c r="H17" s="103"/>
    </row>
    <row r="18" spans="1:8" ht="19.8" customHeight="1" x14ac:dyDescent="0.3">
      <c r="A18" s="68">
        <v>45982</v>
      </c>
      <c r="B18" s="60" t="s">
        <v>235</v>
      </c>
      <c r="C18" s="61" t="s">
        <v>289</v>
      </c>
      <c r="D18" s="60" t="s">
        <v>204</v>
      </c>
      <c r="E18" s="69">
        <v>1.239583333333333</v>
      </c>
      <c r="F18" s="60" t="s">
        <v>98</v>
      </c>
      <c r="G18" s="62">
        <v>2</v>
      </c>
      <c r="H18" s="63" t="s">
        <v>237</v>
      </c>
    </row>
    <row r="19" spans="1:8" ht="19.8" customHeight="1" x14ac:dyDescent="0.3">
      <c r="A19" s="68">
        <v>45982</v>
      </c>
      <c r="B19" s="60" t="s">
        <v>235</v>
      </c>
      <c r="C19" s="61" t="s">
        <v>236</v>
      </c>
      <c r="D19" s="60" t="s">
        <v>204</v>
      </c>
      <c r="E19" s="69">
        <v>1.541666666666667</v>
      </c>
      <c r="F19" s="60" t="s">
        <v>98</v>
      </c>
      <c r="G19" s="62">
        <v>4</v>
      </c>
      <c r="H19" s="63" t="s">
        <v>237</v>
      </c>
    </row>
    <row r="20" spans="1:8" ht="19.8" customHeight="1" x14ac:dyDescent="0.3">
      <c r="A20" s="68">
        <v>45982</v>
      </c>
      <c r="B20" s="60" t="s">
        <v>78</v>
      </c>
      <c r="C20" s="61" t="s">
        <v>290</v>
      </c>
      <c r="D20" s="60" t="s">
        <v>204</v>
      </c>
      <c r="E20" s="69">
        <v>1.28125</v>
      </c>
      <c r="F20" s="60" t="s">
        <v>98</v>
      </c>
      <c r="G20" s="62">
        <v>5</v>
      </c>
      <c r="H20" s="63" t="s">
        <v>291</v>
      </c>
    </row>
    <row r="21" spans="1:8" ht="19.8" customHeight="1" x14ac:dyDescent="0.3">
      <c r="A21" s="68">
        <v>45982</v>
      </c>
      <c r="B21" s="60" t="s">
        <v>78</v>
      </c>
      <c r="C21" s="61" t="s">
        <v>247</v>
      </c>
      <c r="D21" s="60" t="s">
        <v>204</v>
      </c>
      <c r="E21" s="69">
        <v>1.1423611111111109</v>
      </c>
      <c r="F21" s="60" t="s">
        <v>98</v>
      </c>
      <c r="G21" s="62">
        <v>3</v>
      </c>
      <c r="H21" s="63" t="s">
        <v>291</v>
      </c>
    </row>
    <row r="22" spans="1:8" ht="19.8" customHeight="1" x14ac:dyDescent="0.3">
      <c r="A22" s="68">
        <v>45982</v>
      </c>
      <c r="B22" s="60" t="s">
        <v>78</v>
      </c>
      <c r="C22" s="61" t="s">
        <v>296</v>
      </c>
      <c r="D22" s="60" t="s">
        <v>204</v>
      </c>
      <c r="E22" s="69">
        <v>1.5590277777777779</v>
      </c>
      <c r="F22" s="60" t="s">
        <v>98</v>
      </c>
      <c r="G22" s="62">
        <v>1</v>
      </c>
      <c r="H22" s="63" t="s">
        <v>291</v>
      </c>
    </row>
    <row r="23" spans="1:8" ht="19.8" customHeight="1" x14ac:dyDescent="0.3">
      <c r="A23" s="68">
        <v>45982</v>
      </c>
      <c r="B23" s="60" t="s">
        <v>78</v>
      </c>
      <c r="C23" s="61" t="s">
        <v>299</v>
      </c>
      <c r="D23" s="60" t="s">
        <v>204</v>
      </c>
      <c r="E23" s="69">
        <v>1.760416666666667</v>
      </c>
      <c r="F23" s="60" t="s">
        <v>98</v>
      </c>
      <c r="G23" s="62">
        <v>9</v>
      </c>
      <c r="H23" s="63" t="s">
        <v>291</v>
      </c>
    </row>
    <row r="24" spans="1:8" ht="19.8" customHeight="1" x14ac:dyDescent="0.3">
      <c r="A24" s="68">
        <v>45982</v>
      </c>
      <c r="B24" s="60" t="s">
        <v>78</v>
      </c>
      <c r="C24" s="61" t="s">
        <v>303</v>
      </c>
      <c r="D24" s="60" t="s">
        <v>204</v>
      </c>
      <c r="E24" s="69">
        <v>1.4375</v>
      </c>
      <c r="F24" s="60" t="s">
        <v>98</v>
      </c>
      <c r="G24" s="62">
        <v>7</v>
      </c>
      <c r="H24" s="63" t="s">
        <v>239</v>
      </c>
    </row>
    <row r="25" spans="1:8" ht="19.8" customHeight="1" x14ac:dyDescent="0.3">
      <c r="A25" s="68">
        <v>45982</v>
      </c>
      <c r="B25" s="60" t="s">
        <v>67</v>
      </c>
      <c r="C25" s="61" t="s">
        <v>283</v>
      </c>
      <c r="D25" s="60" t="s">
        <v>204</v>
      </c>
      <c r="E25" s="69">
        <v>1.104166666666667</v>
      </c>
      <c r="F25" s="60" t="s">
        <v>69</v>
      </c>
      <c r="G25" s="62">
        <v>9</v>
      </c>
      <c r="H25" s="63" t="s">
        <v>305</v>
      </c>
    </row>
    <row r="26" spans="1:8" ht="19.8" customHeight="1" x14ac:dyDescent="0.3">
      <c r="A26" s="68">
        <v>45982</v>
      </c>
      <c r="B26" s="60" t="s">
        <v>67</v>
      </c>
      <c r="C26" s="61" t="s">
        <v>279</v>
      </c>
      <c r="D26" s="60" t="s">
        <v>204</v>
      </c>
      <c r="E26" s="69">
        <v>1.791666666666667</v>
      </c>
      <c r="F26" s="60" t="s">
        <v>69</v>
      </c>
      <c r="G26" s="62">
        <v>9</v>
      </c>
      <c r="H26" s="63" t="s">
        <v>305</v>
      </c>
    </row>
    <row r="27" spans="1:8" ht="19.8" customHeight="1" x14ac:dyDescent="0.3">
      <c r="A27" s="70">
        <v>45982</v>
      </c>
      <c r="B27" s="71" t="s">
        <v>67</v>
      </c>
      <c r="C27" s="72" t="s">
        <v>286</v>
      </c>
      <c r="D27" s="71" t="s">
        <v>204</v>
      </c>
      <c r="E27" s="73">
        <v>1.0486111111111109</v>
      </c>
      <c r="F27" s="71" t="s">
        <v>69</v>
      </c>
      <c r="G27" s="74">
        <v>9</v>
      </c>
      <c r="H27" s="75" t="s">
        <v>306</v>
      </c>
    </row>
    <row r="28" spans="1:8" ht="19.8" customHeight="1" x14ac:dyDescent="0.3">
      <c r="A28" s="76">
        <v>45983</v>
      </c>
      <c r="B28" s="77" t="s">
        <v>78</v>
      </c>
      <c r="C28" s="78" t="s">
        <v>505</v>
      </c>
      <c r="D28" s="77" t="s">
        <v>500</v>
      </c>
      <c r="E28" s="79">
        <v>1.302083333333333</v>
      </c>
      <c r="F28" s="77"/>
      <c r="G28" s="77"/>
      <c r="H28" s="81" t="s">
        <v>513</v>
      </c>
    </row>
    <row r="29" spans="1:8" ht="19.8" customHeight="1" x14ac:dyDescent="0.3">
      <c r="A29" s="76">
        <v>45983</v>
      </c>
      <c r="B29" s="77" t="s">
        <v>78</v>
      </c>
      <c r="C29" s="78" t="s">
        <v>501</v>
      </c>
      <c r="D29" s="77" t="s">
        <v>500</v>
      </c>
      <c r="E29" s="79">
        <v>1.5277777777777779</v>
      </c>
      <c r="F29" s="77"/>
      <c r="G29" s="77"/>
      <c r="H29" s="81" t="s">
        <v>81</v>
      </c>
    </row>
    <row r="30" spans="1:8" ht="19.8" customHeight="1" x14ac:dyDescent="0.3">
      <c r="A30" s="100"/>
      <c r="B30" s="101"/>
      <c r="C30" s="101"/>
      <c r="D30" s="101"/>
      <c r="E30" s="101"/>
      <c r="F30" s="102" t="s">
        <v>499</v>
      </c>
      <c r="G30" s="101"/>
      <c r="H30" s="103"/>
    </row>
    <row r="31" spans="1:8" ht="19.8" customHeight="1" x14ac:dyDescent="0.3">
      <c r="A31" s="68">
        <v>45983</v>
      </c>
      <c r="B31" s="60" t="s">
        <v>42</v>
      </c>
      <c r="C31" s="61" t="s">
        <v>205</v>
      </c>
      <c r="D31" s="60" t="s">
        <v>204</v>
      </c>
      <c r="E31" s="69">
        <v>1.489583333333333</v>
      </c>
      <c r="F31" s="60" t="s">
        <v>44</v>
      </c>
      <c r="G31" s="62">
        <v>9</v>
      </c>
      <c r="H31" s="63" t="s">
        <v>311</v>
      </c>
    </row>
    <row r="32" spans="1:8" ht="19.8" customHeight="1" x14ac:dyDescent="0.3">
      <c r="A32" s="68">
        <v>45983</v>
      </c>
      <c r="B32" s="60" t="s">
        <v>42</v>
      </c>
      <c r="C32" s="61" t="s">
        <v>211</v>
      </c>
      <c r="D32" s="60" t="s">
        <v>204</v>
      </c>
      <c r="E32" s="69">
        <v>1.399305555555556</v>
      </c>
      <c r="F32" s="60" t="s">
        <v>44</v>
      </c>
      <c r="G32" s="62">
        <v>13</v>
      </c>
      <c r="H32" s="63" t="s">
        <v>311</v>
      </c>
    </row>
    <row r="33" spans="1:8" ht="19.8" customHeight="1" x14ac:dyDescent="0.3">
      <c r="A33" s="68">
        <v>45983</v>
      </c>
      <c r="B33" s="60" t="s">
        <v>42</v>
      </c>
      <c r="C33" s="61" t="s">
        <v>214</v>
      </c>
      <c r="D33" s="60" t="s">
        <v>204</v>
      </c>
      <c r="E33" s="69">
        <v>1.989583333333333</v>
      </c>
      <c r="F33" s="60" t="s">
        <v>44</v>
      </c>
      <c r="G33" s="62">
        <v>11</v>
      </c>
      <c r="H33" s="63" t="s">
        <v>311</v>
      </c>
    </row>
    <row r="34" spans="1:8" ht="19.8" customHeight="1" x14ac:dyDescent="0.3">
      <c r="A34" s="68">
        <v>45983</v>
      </c>
      <c r="B34" s="60" t="s">
        <v>42</v>
      </c>
      <c r="C34" s="61" t="s">
        <v>216</v>
      </c>
      <c r="D34" s="60" t="s">
        <v>204</v>
      </c>
      <c r="E34" s="69">
        <v>1.8888888888888891</v>
      </c>
      <c r="F34" s="60" t="s">
        <v>44</v>
      </c>
      <c r="G34" s="62">
        <v>8</v>
      </c>
      <c r="H34" s="63" t="s">
        <v>311</v>
      </c>
    </row>
    <row r="35" spans="1:8" ht="19.8" customHeight="1" x14ac:dyDescent="0.3">
      <c r="A35" s="68">
        <v>45983</v>
      </c>
      <c r="B35" s="60" t="s">
        <v>26</v>
      </c>
      <c r="C35" s="61" t="s">
        <v>219</v>
      </c>
      <c r="D35" s="60" t="s">
        <v>204</v>
      </c>
      <c r="E35" s="69">
        <v>1.944444444444444</v>
      </c>
      <c r="F35" s="60" t="s">
        <v>28</v>
      </c>
      <c r="G35" s="62">
        <v>9</v>
      </c>
      <c r="H35" s="63" t="s">
        <v>220</v>
      </c>
    </row>
    <row r="36" spans="1:8" ht="19.8" customHeight="1" x14ac:dyDescent="0.3">
      <c r="A36" s="68">
        <v>45983</v>
      </c>
      <c r="B36" s="60" t="s">
        <v>26</v>
      </c>
      <c r="C36" s="61" t="s">
        <v>232</v>
      </c>
      <c r="D36" s="60" t="s">
        <v>204</v>
      </c>
      <c r="E36" s="69">
        <v>1.75</v>
      </c>
      <c r="F36" s="60" t="s">
        <v>28</v>
      </c>
      <c r="G36" s="62">
        <v>5</v>
      </c>
      <c r="H36" s="63" t="s">
        <v>220</v>
      </c>
    </row>
    <row r="37" spans="1:8" ht="19.8" customHeight="1" x14ac:dyDescent="0.3">
      <c r="A37" s="68">
        <v>45983</v>
      </c>
      <c r="B37" s="60" t="s">
        <v>26</v>
      </c>
      <c r="C37" s="61" t="s">
        <v>229</v>
      </c>
      <c r="D37" s="60" t="s">
        <v>204</v>
      </c>
      <c r="E37" s="69">
        <v>1.8888888888888891</v>
      </c>
      <c r="F37" s="60" t="s">
        <v>28</v>
      </c>
      <c r="G37" s="62">
        <v>9</v>
      </c>
      <c r="H37" s="63" t="s">
        <v>220</v>
      </c>
    </row>
    <row r="38" spans="1:8" ht="19.8" customHeight="1" x14ac:dyDescent="0.3">
      <c r="A38" s="68">
        <v>45983</v>
      </c>
      <c r="B38" s="60" t="s">
        <v>26</v>
      </c>
      <c r="C38" s="61" t="s">
        <v>234</v>
      </c>
      <c r="D38" s="60" t="s">
        <v>204</v>
      </c>
      <c r="E38" s="69">
        <v>1.4861111111111109</v>
      </c>
      <c r="F38" s="60" t="s">
        <v>28</v>
      </c>
      <c r="G38" s="62">
        <v>4</v>
      </c>
      <c r="H38" s="63" t="s">
        <v>220</v>
      </c>
    </row>
    <row r="39" spans="1:8" ht="19.8" customHeight="1" x14ac:dyDescent="0.3">
      <c r="A39" s="68">
        <v>45983</v>
      </c>
      <c r="B39" s="60" t="s">
        <v>26</v>
      </c>
      <c r="C39" s="61" t="s">
        <v>222</v>
      </c>
      <c r="D39" s="60" t="s">
        <v>204</v>
      </c>
      <c r="E39" s="69">
        <v>1.993055555555556</v>
      </c>
      <c r="F39" s="60" t="s">
        <v>28</v>
      </c>
      <c r="G39" s="62">
        <v>1</v>
      </c>
      <c r="H39" s="63" t="s">
        <v>220</v>
      </c>
    </row>
    <row r="40" spans="1:8" ht="19.8" customHeight="1" x14ac:dyDescent="0.3">
      <c r="A40" s="70">
        <v>45983</v>
      </c>
      <c r="B40" s="71" t="s">
        <v>78</v>
      </c>
      <c r="C40" s="72" t="s">
        <v>247</v>
      </c>
      <c r="D40" s="71" t="s">
        <v>204</v>
      </c>
      <c r="E40" s="73">
        <v>1.15625</v>
      </c>
      <c r="F40" s="71" t="s">
        <v>98</v>
      </c>
      <c r="G40" s="74">
        <v>2</v>
      </c>
      <c r="H40" s="75" t="s">
        <v>291</v>
      </c>
    </row>
  </sheetData>
  <pageMargins left="0.75" right="0.75" top="1" bottom="1" header="0.5" footer="0.5"/>
  <legacyDrawing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N5"/>
  <sheetViews>
    <sheetView workbookViewId="0"/>
  </sheetViews>
  <sheetFormatPr defaultRowHeight="14.4" x14ac:dyDescent="0.3"/>
  <cols>
    <col min="6" max="6" width="16.5546875" bestFit="1" customWidth="1"/>
    <col min="7" max="7" width="13.5546875" bestFit="1" customWidth="1"/>
    <col min="13" max="13" width="7.77734375" bestFit="1" customWidth="1"/>
  </cols>
  <sheetData>
    <row r="1" spans="1:92" ht="28.8" customHeight="1" x14ac:dyDescent="0.3">
      <c r="A1" s="261" t="s">
        <v>0</v>
      </c>
      <c r="B1" s="251"/>
      <c r="C1" s="251"/>
      <c r="D1" s="251"/>
      <c r="E1" s="251"/>
      <c r="F1" s="1" t="s">
        <v>542</v>
      </c>
      <c r="G1" s="2" t="s">
        <v>2</v>
      </c>
      <c r="H1" s="260">
        <v>45981</v>
      </c>
      <c r="I1" s="251"/>
      <c r="J1" s="251"/>
      <c r="K1" s="251"/>
      <c r="L1" s="251"/>
      <c r="M1" s="1" t="s">
        <v>3</v>
      </c>
      <c r="N1" s="266">
        <v>45983</v>
      </c>
      <c r="O1" s="251"/>
      <c r="P1" s="251"/>
      <c r="Q1" s="251"/>
      <c r="R1" s="251"/>
      <c r="CA1" s="3"/>
      <c r="CB1" s="3"/>
      <c r="CC1" s="3"/>
      <c r="CD1" s="3"/>
      <c r="CE1" s="3"/>
      <c r="CF1" s="3"/>
      <c r="CG1" s="3"/>
      <c r="CH1" s="3"/>
      <c r="CI1" s="3"/>
      <c r="CJ1" s="3"/>
      <c r="CK1" s="3"/>
      <c r="CL1" s="3"/>
      <c r="CM1" s="3"/>
      <c r="CN1" s="3"/>
    </row>
    <row r="2" spans="1:92" ht="23.4" customHeight="1" x14ac:dyDescent="0.3">
      <c r="A2" s="250" t="s">
        <v>4</v>
      </c>
      <c r="B2" s="251"/>
      <c r="C2" s="251"/>
      <c r="D2" s="251"/>
      <c r="E2" s="251"/>
      <c r="F2" s="251"/>
      <c r="G2" s="262">
        <v>45980.493068532793</v>
      </c>
      <c r="H2" s="251"/>
      <c r="I2" s="251"/>
      <c r="J2" s="251"/>
      <c r="K2" s="263">
        <v>45980.493068533047</v>
      </c>
      <c r="L2" s="251"/>
      <c r="M2" s="251"/>
      <c r="N2" s="251"/>
      <c r="O2" s="251"/>
      <c r="P2" s="251"/>
      <c r="Q2" s="251"/>
      <c r="R2" s="251"/>
      <c r="CA2" s="3"/>
      <c r="CB2" s="3"/>
      <c r="CC2" s="3"/>
      <c r="CD2" s="3"/>
      <c r="CE2" s="3"/>
      <c r="CF2" s="3"/>
      <c r="CG2" s="3"/>
      <c r="CH2" s="3"/>
      <c r="CI2" s="3"/>
      <c r="CJ2" s="3"/>
      <c r="CK2" s="3"/>
      <c r="CL2" s="3"/>
      <c r="CM2" s="3"/>
      <c r="CN2" s="3"/>
    </row>
    <row r="3" spans="1:92" ht="24" customHeight="1" x14ac:dyDescent="0.3">
      <c r="A3" s="252" t="s">
        <v>5</v>
      </c>
      <c r="B3" s="251"/>
      <c r="C3" s="251"/>
      <c r="D3" s="251"/>
      <c r="E3" s="251"/>
      <c r="F3" s="251"/>
      <c r="G3" s="251"/>
      <c r="H3" s="251"/>
      <c r="I3" s="251"/>
      <c r="J3" s="251"/>
      <c r="K3" s="251"/>
      <c r="L3" s="251"/>
      <c r="M3" s="251"/>
      <c r="N3" s="251"/>
      <c r="O3" s="251"/>
      <c r="P3" s="251"/>
      <c r="Q3" s="251"/>
      <c r="R3" s="251"/>
      <c r="CA3" s="3"/>
      <c r="CB3" s="3"/>
      <c r="CC3" s="3"/>
      <c r="CD3" s="3"/>
      <c r="CE3" s="3"/>
      <c r="CF3" s="3"/>
      <c r="CG3" s="3"/>
      <c r="CH3" s="3"/>
      <c r="CI3" s="3"/>
      <c r="CJ3" s="3"/>
      <c r="CK3" s="3"/>
      <c r="CL3" s="3"/>
      <c r="CM3" s="3"/>
      <c r="CN3" s="3"/>
    </row>
    <row r="4" spans="1:92" ht="21.6" customHeight="1" x14ac:dyDescent="0.5">
      <c r="A4" s="193"/>
      <c r="B4" s="193"/>
      <c r="C4" s="193"/>
      <c r="D4" s="193"/>
      <c r="E4" s="193"/>
      <c r="F4" s="193"/>
      <c r="G4" s="193"/>
      <c r="H4" s="194"/>
      <c r="I4" s="195"/>
      <c r="J4" s="195"/>
      <c r="K4" s="195"/>
      <c r="L4" s="195"/>
      <c r="M4" s="195"/>
      <c r="N4" s="195"/>
      <c r="O4" s="195"/>
      <c r="P4" s="195"/>
      <c r="Q4" s="195"/>
      <c r="R4" s="195"/>
      <c r="CA4" s="3"/>
      <c r="CB4" s="3"/>
      <c r="CC4" s="3"/>
      <c r="CD4" s="3"/>
      <c r="CE4" s="3"/>
      <c r="CF4" s="3"/>
      <c r="CG4" s="3"/>
      <c r="CH4" s="3"/>
      <c r="CI4" s="3"/>
      <c r="CJ4" s="3"/>
      <c r="CK4" s="3"/>
      <c r="CL4" s="3"/>
      <c r="CM4" s="3"/>
      <c r="CN4" s="3"/>
    </row>
    <row r="5" spans="1:92" ht="18.600000000000001" customHeight="1" x14ac:dyDescent="0.3">
      <c r="A5" s="195"/>
      <c r="B5" s="195"/>
      <c r="C5" s="195"/>
      <c r="D5" s="195"/>
      <c r="E5" s="195"/>
      <c r="F5" s="195"/>
      <c r="G5" s="195"/>
      <c r="H5" s="195"/>
      <c r="I5" s="195"/>
      <c r="J5" s="195"/>
      <c r="K5" s="195"/>
      <c r="L5" s="195"/>
      <c r="M5" s="195"/>
      <c r="N5" s="195"/>
      <c r="O5" s="195"/>
      <c r="P5" s="195"/>
      <c r="Q5" s="195"/>
      <c r="R5" s="195"/>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J1"/>
  <sheetViews>
    <sheetView workbookViewId="0"/>
  </sheetViews>
  <sheetFormatPr defaultRowHeight="15.6" outlineLevelCol="1" x14ac:dyDescent="0.3"/>
  <cols>
    <col min="1" max="1" width="4.109375" style="272" bestFit="1" customWidth="1"/>
    <col min="2" max="2" width="5.33203125" style="272" bestFit="1" customWidth="1"/>
    <col min="3" max="3" width="3" style="272" bestFit="1" customWidth="1"/>
    <col min="4" max="4" width="4.21875" style="272" bestFit="1" customWidth="1"/>
    <col min="5" max="5" width="7.109375" style="272" bestFit="1" customWidth="1"/>
    <col min="6" max="6" width="4" style="272" bestFit="1" customWidth="1"/>
    <col min="7" max="8" width="4.21875" style="272" bestFit="1" customWidth="1"/>
    <col min="9" max="10" width="6.44140625" style="272" bestFit="1" customWidth="1"/>
    <col min="11" max="11" width="6.109375" style="272" bestFit="1" customWidth="1"/>
    <col min="12" max="12" width="8.77734375" style="272" bestFit="1" customWidth="1"/>
    <col min="13" max="13" width="7.33203125" style="272" bestFit="1" customWidth="1" outlineLevel="1"/>
    <col min="14" max="14" width="6" style="272" bestFit="1" customWidth="1" outlineLevel="1"/>
    <col min="15" max="15" width="7.6640625" style="272" bestFit="1" customWidth="1" outlineLevel="1"/>
    <col min="16" max="16" width="13.21875" style="272" bestFit="1" customWidth="1"/>
    <col min="17" max="17" width="2" style="272" bestFit="1" customWidth="1"/>
    <col min="18" max="18" width="2.109375" style="272" bestFit="1" customWidth="1"/>
    <col min="19" max="19" width="2.6640625" style="272" bestFit="1" customWidth="1"/>
    <col min="20" max="20" width="2.21875" style="272" bestFit="1" customWidth="1"/>
    <col min="21" max="21" width="2.33203125" style="272" bestFit="1" customWidth="1"/>
    <col min="22" max="22" width="2" style="272" bestFit="1" customWidth="1"/>
    <col min="23" max="23" width="2.109375" style="272" bestFit="1" customWidth="1"/>
    <col min="24" max="24" width="1.88671875" style="272" bestFit="1" customWidth="1"/>
    <col min="25" max="25" width="2.21875" style="272" bestFit="1" customWidth="1"/>
    <col min="26" max="26" width="1.88671875" style="272" bestFit="1" customWidth="1"/>
    <col min="27" max="27" width="2.77734375" style="272" bestFit="1" customWidth="1"/>
    <col min="28" max="29" width="2" style="272" bestFit="1" customWidth="1"/>
    <col min="30" max="31" width="2.33203125" style="272" bestFit="1" customWidth="1"/>
    <col min="32" max="32" width="1.5546875" style="272" bestFit="1" customWidth="1"/>
    <col min="33" max="33" width="2" style="272" bestFit="1" customWidth="1"/>
    <col min="34" max="34" width="2.109375" style="272" bestFit="1" customWidth="1"/>
    <col min="35" max="35" width="2" style="272" bestFit="1" customWidth="1"/>
    <col min="36" max="36" width="2.33203125" style="272" bestFit="1" customWidth="1"/>
    <col min="37" max="16384" width="8.88671875" style="272"/>
  </cols>
  <sheetData>
    <row r="1" spans="1:36" x14ac:dyDescent="0.3">
      <c r="A1" s="271" t="s">
        <v>103</v>
      </c>
      <c r="B1" s="271" t="s">
        <v>104</v>
      </c>
      <c r="C1" s="271" t="s">
        <v>105</v>
      </c>
      <c r="D1" s="271" t="s">
        <v>23</v>
      </c>
      <c r="E1" s="271" t="s">
        <v>106</v>
      </c>
      <c r="F1" s="271" t="s">
        <v>107</v>
      </c>
      <c r="G1" s="271" t="s">
        <v>16</v>
      </c>
      <c r="H1" s="271" t="s">
        <v>108</v>
      </c>
      <c r="I1" s="271" t="s">
        <v>109</v>
      </c>
      <c r="J1" s="271" t="s">
        <v>110</v>
      </c>
      <c r="K1" s="271" t="s">
        <v>111</v>
      </c>
      <c r="L1" s="271" t="s">
        <v>18</v>
      </c>
      <c r="M1" s="271" t="s">
        <v>20</v>
      </c>
      <c r="N1" s="271" t="s">
        <v>21</v>
      </c>
      <c r="O1" s="271" t="s">
        <v>19</v>
      </c>
      <c r="P1" s="271" t="s">
        <v>22</v>
      </c>
      <c r="Q1" s="271" t="s">
        <v>112</v>
      </c>
      <c r="R1" s="271" t="s">
        <v>113</v>
      </c>
      <c r="S1" s="271" t="s">
        <v>114</v>
      </c>
      <c r="T1" s="271" t="s">
        <v>115</v>
      </c>
      <c r="U1" s="271" t="s">
        <v>116</v>
      </c>
      <c r="V1" s="271" t="s">
        <v>117</v>
      </c>
      <c r="W1" s="271" t="s">
        <v>118</v>
      </c>
      <c r="X1" s="271" t="s">
        <v>119</v>
      </c>
      <c r="Y1" s="271" t="s">
        <v>120</v>
      </c>
      <c r="Z1" s="271" t="s">
        <v>121</v>
      </c>
      <c r="AA1" s="271" t="s">
        <v>122</v>
      </c>
      <c r="AB1" s="271" t="s">
        <v>123</v>
      </c>
      <c r="AC1" s="271" t="s">
        <v>124</v>
      </c>
      <c r="AD1" s="271" t="s">
        <v>125</v>
      </c>
      <c r="AE1" s="271" t="s">
        <v>126</v>
      </c>
      <c r="AF1" s="271" t="s">
        <v>127</v>
      </c>
      <c r="AG1" s="271" t="s">
        <v>128</v>
      </c>
      <c r="AH1" s="271" t="s">
        <v>129</v>
      </c>
      <c r="AI1" s="271" t="s">
        <v>130</v>
      </c>
      <c r="AJ1" s="271" t="s">
        <v>131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196" t="s">
        <v>149</v>
      </c>
      <c r="B1" s="196" t="s">
        <v>8</v>
      </c>
      <c r="C1" s="196" t="s">
        <v>9</v>
      </c>
      <c r="D1" s="196" t="s">
        <v>150</v>
      </c>
      <c r="E1" s="196" t="s">
        <v>10</v>
      </c>
      <c r="F1" s="196" t="s">
        <v>11</v>
      </c>
      <c r="G1" s="196" t="s">
        <v>12</v>
      </c>
      <c r="H1" s="196" t="s">
        <v>13</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N5"/>
  <sheetViews>
    <sheetView workbookViewId="0"/>
  </sheetViews>
  <sheetFormatPr defaultRowHeight="14.4" x14ac:dyDescent="0.3"/>
  <cols>
    <col min="6" max="6" width="18.44140625" bestFit="1" customWidth="1"/>
    <col min="7" max="7" width="13.5546875" bestFit="1" customWidth="1"/>
    <col min="13" max="13" width="7.77734375" bestFit="1" customWidth="1"/>
  </cols>
  <sheetData>
    <row r="1" spans="1:92" ht="28.8" customHeight="1" x14ac:dyDescent="0.3">
      <c r="A1" s="261" t="s">
        <v>0</v>
      </c>
      <c r="B1" s="251"/>
      <c r="C1" s="251"/>
      <c r="D1" s="251"/>
      <c r="E1" s="251"/>
      <c r="F1" s="1" t="s">
        <v>543</v>
      </c>
      <c r="G1" s="2" t="s">
        <v>2</v>
      </c>
      <c r="H1" s="260">
        <v>45981</v>
      </c>
      <c r="I1" s="251"/>
      <c r="J1" s="251"/>
      <c r="K1" s="251"/>
      <c r="L1" s="251"/>
      <c r="M1" s="1" t="s">
        <v>3</v>
      </c>
      <c r="N1" s="266">
        <v>45983</v>
      </c>
      <c r="O1" s="251"/>
      <c r="P1" s="251"/>
      <c r="Q1" s="251"/>
      <c r="R1" s="251"/>
      <c r="CA1" s="3"/>
      <c r="CB1" s="3"/>
      <c r="CC1" s="3"/>
      <c r="CD1" s="3"/>
      <c r="CE1" s="3"/>
      <c r="CF1" s="3"/>
      <c r="CG1" s="3"/>
      <c r="CH1" s="3"/>
      <c r="CI1" s="3"/>
      <c r="CJ1" s="3"/>
      <c r="CK1" s="3"/>
      <c r="CL1" s="3"/>
      <c r="CM1" s="3"/>
      <c r="CN1" s="3"/>
    </row>
    <row r="2" spans="1:92" ht="23.4" customHeight="1" x14ac:dyDescent="0.3">
      <c r="A2" s="250" t="s">
        <v>4</v>
      </c>
      <c r="B2" s="251"/>
      <c r="C2" s="251"/>
      <c r="D2" s="251"/>
      <c r="E2" s="251"/>
      <c r="F2" s="251"/>
      <c r="G2" s="262">
        <v>45980.493069197822</v>
      </c>
      <c r="H2" s="251"/>
      <c r="I2" s="251"/>
      <c r="J2" s="251"/>
      <c r="K2" s="263">
        <v>45980.493069198092</v>
      </c>
      <c r="L2" s="251"/>
      <c r="M2" s="251"/>
      <c r="N2" s="251"/>
      <c r="O2" s="251"/>
      <c r="P2" s="251"/>
      <c r="Q2" s="251"/>
      <c r="R2" s="251"/>
      <c r="CA2" s="3"/>
      <c r="CB2" s="3"/>
      <c r="CC2" s="3"/>
      <c r="CD2" s="3"/>
      <c r="CE2" s="3"/>
      <c r="CF2" s="3"/>
      <c r="CG2" s="3"/>
      <c r="CH2" s="3"/>
      <c r="CI2" s="3"/>
      <c r="CJ2" s="3"/>
      <c r="CK2" s="3"/>
      <c r="CL2" s="3"/>
      <c r="CM2" s="3"/>
      <c r="CN2" s="3"/>
    </row>
    <row r="3" spans="1:92" ht="24" customHeight="1" x14ac:dyDescent="0.3">
      <c r="A3" s="252" t="s">
        <v>5</v>
      </c>
      <c r="B3" s="251"/>
      <c r="C3" s="251"/>
      <c r="D3" s="251"/>
      <c r="E3" s="251"/>
      <c r="F3" s="251"/>
      <c r="G3" s="251"/>
      <c r="H3" s="251"/>
      <c r="I3" s="251"/>
      <c r="J3" s="251"/>
      <c r="K3" s="251"/>
      <c r="L3" s="251"/>
      <c r="M3" s="251"/>
      <c r="N3" s="251"/>
      <c r="O3" s="251"/>
      <c r="P3" s="251"/>
      <c r="Q3" s="251"/>
      <c r="R3" s="251"/>
      <c r="CA3" s="3"/>
      <c r="CB3" s="3"/>
      <c r="CC3" s="3"/>
      <c r="CD3" s="3"/>
      <c r="CE3" s="3"/>
      <c r="CF3" s="3"/>
      <c r="CG3" s="3"/>
      <c r="CH3" s="3"/>
      <c r="CI3" s="3"/>
      <c r="CJ3" s="3"/>
      <c r="CK3" s="3"/>
      <c r="CL3" s="3"/>
      <c r="CM3" s="3"/>
      <c r="CN3" s="3"/>
    </row>
    <row r="4" spans="1:92" ht="21.6" customHeight="1" x14ac:dyDescent="0.5">
      <c r="A4" s="193"/>
      <c r="B4" s="193"/>
      <c r="C4" s="193"/>
      <c r="D4" s="193"/>
      <c r="E4" s="193"/>
      <c r="F4" s="193"/>
      <c r="G4" s="193"/>
      <c r="H4" s="194"/>
      <c r="I4" s="195"/>
      <c r="J4" s="195"/>
      <c r="K4" s="195"/>
      <c r="L4" s="195"/>
      <c r="M4" s="195"/>
      <c r="N4" s="195"/>
      <c r="O4" s="195"/>
      <c r="P4" s="195"/>
      <c r="Q4" s="195"/>
      <c r="R4" s="195"/>
      <c r="CA4" s="3"/>
      <c r="CB4" s="3"/>
      <c r="CC4" s="3"/>
      <c r="CD4" s="3"/>
      <c r="CE4" s="3"/>
      <c r="CF4" s="3"/>
      <c r="CG4" s="3"/>
      <c r="CH4" s="3"/>
      <c r="CI4" s="3"/>
      <c r="CJ4" s="3"/>
      <c r="CK4" s="3"/>
      <c r="CL4" s="3"/>
      <c r="CM4" s="3"/>
      <c r="CN4" s="3"/>
    </row>
    <row r="5" spans="1:92" ht="18.600000000000001" customHeight="1" x14ac:dyDescent="0.3">
      <c r="A5" s="195"/>
      <c r="B5" s="195"/>
      <c r="C5" s="195"/>
      <c r="D5" s="195"/>
      <c r="E5" s="195"/>
      <c r="F5" s="195"/>
      <c r="G5" s="195"/>
      <c r="H5" s="195"/>
      <c r="I5" s="195"/>
      <c r="J5" s="195"/>
      <c r="K5" s="195"/>
      <c r="L5" s="195"/>
      <c r="M5" s="195"/>
      <c r="N5" s="195"/>
      <c r="O5" s="195"/>
      <c r="P5" s="195"/>
      <c r="Q5" s="195"/>
      <c r="R5" s="195"/>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J1"/>
  <sheetViews>
    <sheetView workbookViewId="0"/>
  </sheetViews>
  <sheetFormatPr defaultRowHeight="15.6" outlineLevelCol="1" x14ac:dyDescent="0.3"/>
  <cols>
    <col min="1" max="1" width="4.109375" style="272" bestFit="1" customWidth="1"/>
    <col min="2" max="2" width="5.33203125" style="272" bestFit="1" customWidth="1"/>
    <col min="3" max="3" width="3" style="272" bestFit="1" customWidth="1"/>
    <col min="4" max="4" width="4.21875" style="272" bestFit="1" customWidth="1"/>
    <col min="5" max="5" width="7.109375" style="272" bestFit="1" customWidth="1"/>
    <col min="6" max="6" width="4" style="272" bestFit="1" customWidth="1"/>
    <col min="7" max="8" width="4.21875" style="272" bestFit="1" customWidth="1"/>
    <col min="9" max="10" width="6.44140625" style="272" bestFit="1" customWidth="1"/>
    <col min="11" max="11" width="6.109375" style="272" bestFit="1" customWidth="1"/>
    <col min="12" max="12" width="8.77734375" style="272" bestFit="1" customWidth="1"/>
    <col min="13" max="13" width="7.33203125" style="272" bestFit="1" customWidth="1" outlineLevel="1"/>
    <col min="14" max="14" width="6" style="272" bestFit="1" customWidth="1" outlineLevel="1"/>
    <col min="15" max="15" width="7.6640625" style="272" bestFit="1" customWidth="1" outlineLevel="1"/>
    <col min="16" max="16" width="13.21875" style="272" bestFit="1" customWidth="1"/>
    <col min="17" max="17" width="2" style="272" bestFit="1" customWidth="1"/>
    <col min="18" max="18" width="2.109375" style="272" bestFit="1" customWidth="1"/>
    <col min="19" max="19" width="2.6640625" style="272" bestFit="1" customWidth="1"/>
    <col min="20" max="20" width="2.21875" style="272" bestFit="1" customWidth="1"/>
    <col min="21" max="21" width="2.33203125" style="272" bestFit="1" customWidth="1"/>
    <col min="22" max="22" width="2" style="272" bestFit="1" customWidth="1"/>
    <col min="23" max="23" width="2.109375" style="272" bestFit="1" customWidth="1"/>
    <col min="24" max="24" width="1.88671875" style="272" bestFit="1" customWidth="1"/>
    <col min="25" max="25" width="2.21875" style="272" bestFit="1" customWidth="1"/>
    <col min="26" max="26" width="1.88671875" style="272" bestFit="1" customWidth="1"/>
    <col min="27" max="27" width="2.77734375" style="272" bestFit="1" customWidth="1"/>
    <col min="28" max="29" width="2" style="272" bestFit="1" customWidth="1"/>
    <col min="30" max="31" width="2.33203125" style="272" bestFit="1" customWidth="1"/>
    <col min="32" max="32" width="1.5546875" style="272" bestFit="1" customWidth="1"/>
    <col min="33" max="33" width="2" style="272" bestFit="1" customWidth="1"/>
    <col min="34" max="34" width="2.109375" style="272" bestFit="1" customWidth="1"/>
    <col min="35" max="35" width="2" style="272" bestFit="1" customWidth="1"/>
    <col min="36" max="36" width="2.33203125" style="272" bestFit="1" customWidth="1"/>
    <col min="37" max="16384" width="8.88671875" style="272"/>
  </cols>
  <sheetData>
    <row r="1" spans="1:36" x14ac:dyDescent="0.3">
      <c r="A1" s="271" t="s">
        <v>103</v>
      </c>
      <c r="B1" s="271" t="s">
        <v>104</v>
      </c>
      <c r="C1" s="271" t="s">
        <v>105</v>
      </c>
      <c r="D1" s="271" t="s">
        <v>23</v>
      </c>
      <c r="E1" s="271" t="s">
        <v>106</v>
      </c>
      <c r="F1" s="271" t="s">
        <v>107</v>
      </c>
      <c r="G1" s="271" t="s">
        <v>16</v>
      </c>
      <c r="H1" s="271" t="s">
        <v>108</v>
      </c>
      <c r="I1" s="271" t="s">
        <v>109</v>
      </c>
      <c r="J1" s="271" t="s">
        <v>110</v>
      </c>
      <c r="K1" s="271" t="s">
        <v>111</v>
      </c>
      <c r="L1" s="271" t="s">
        <v>18</v>
      </c>
      <c r="M1" s="271" t="s">
        <v>20</v>
      </c>
      <c r="N1" s="271" t="s">
        <v>21</v>
      </c>
      <c r="O1" s="271" t="s">
        <v>19</v>
      </c>
      <c r="P1" s="271" t="s">
        <v>22</v>
      </c>
      <c r="Q1" s="271" t="s">
        <v>112</v>
      </c>
      <c r="R1" s="271" t="s">
        <v>113</v>
      </c>
      <c r="S1" s="271" t="s">
        <v>114</v>
      </c>
      <c r="T1" s="271" t="s">
        <v>115</v>
      </c>
      <c r="U1" s="271" t="s">
        <v>116</v>
      </c>
      <c r="V1" s="271" t="s">
        <v>117</v>
      </c>
      <c r="W1" s="271" t="s">
        <v>118</v>
      </c>
      <c r="X1" s="271" t="s">
        <v>119</v>
      </c>
      <c r="Y1" s="271" t="s">
        <v>120</v>
      </c>
      <c r="Z1" s="271" t="s">
        <v>121</v>
      </c>
      <c r="AA1" s="271" t="s">
        <v>122</v>
      </c>
      <c r="AB1" s="271" t="s">
        <v>123</v>
      </c>
      <c r="AC1" s="271" t="s">
        <v>124</v>
      </c>
      <c r="AD1" s="271" t="s">
        <v>125</v>
      </c>
      <c r="AE1" s="271" t="s">
        <v>126</v>
      </c>
      <c r="AF1" s="271" t="s">
        <v>127</v>
      </c>
      <c r="AG1" s="271" t="s">
        <v>128</v>
      </c>
      <c r="AH1" s="271" t="s">
        <v>129</v>
      </c>
      <c r="AI1" s="271" t="s">
        <v>130</v>
      </c>
      <c r="AJ1" s="271" t="s">
        <v>131</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196" t="s">
        <v>149</v>
      </c>
      <c r="B1" s="196" t="s">
        <v>8</v>
      </c>
      <c r="C1" s="196" t="s">
        <v>9</v>
      </c>
      <c r="D1" s="196" t="s">
        <v>150</v>
      </c>
      <c r="E1" s="196" t="s">
        <v>10</v>
      </c>
      <c r="F1" s="196" t="s">
        <v>11</v>
      </c>
      <c r="G1" s="196" t="s">
        <v>12</v>
      </c>
      <c r="H1" s="196" t="s">
        <v>13</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N11"/>
  <sheetViews>
    <sheetView workbookViewId="0"/>
  </sheetViews>
  <sheetFormatPr defaultRowHeight="14.4" x14ac:dyDescent="0.3"/>
  <cols>
    <col min="1" max="1" width="10.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6.109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6.109375" bestFit="1" customWidth="1"/>
    <col min="17" max="17" width="12.21875" bestFit="1" customWidth="1"/>
    <col min="18" max="18" width="10.77734375" bestFit="1" customWidth="1"/>
  </cols>
  <sheetData>
    <row r="1" spans="1:92" ht="28.8" customHeight="1" x14ac:dyDescent="0.3">
      <c r="A1" s="261" t="s">
        <v>0</v>
      </c>
      <c r="B1" s="251"/>
      <c r="C1" s="251"/>
      <c r="D1" s="251"/>
      <c r="E1" s="251"/>
      <c r="F1" s="1" t="s">
        <v>544</v>
      </c>
      <c r="G1" s="2" t="s">
        <v>2</v>
      </c>
      <c r="H1" s="260">
        <v>45981</v>
      </c>
      <c r="I1" s="251"/>
      <c r="J1" s="251"/>
      <c r="K1" s="251"/>
      <c r="L1" s="251"/>
      <c r="M1" s="1" t="s">
        <v>3</v>
      </c>
      <c r="N1" s="266">
        <v>45983</v>
      </c>
      <c r="O1" s="251"/>
      <c r="P1" s="251"/>
      <c r="Q1" s="251"/>
      <c r="R1" s="251"/>
      <c r="CA1" s="3"/>
      <c r="CB1" s="3"/>
      <c r="CC1" s="3"/>
      <c r="CD1" s="3"/>
      <c r="CE1" s="3"/>
      <c r="CF1" s="3"/>
      <c r="CG1" s="3"/>
      <c r="CH1" s="3"/>
      <c r="CI1" s="3"/>
      <c r="CJ1" s="3"/>
      <c r="CK1" s="3"/>
      <c r="CL1" s="3"/>
      <c r="CM1" s="3"/>
      <c r="CN1" s="3"/>
    </row>
    <row r="2" spans="1:92" ht="23.4" customHeight="1" x14ac:dyDescent="0.3">
      <c r="A2" s="250" t="s">
        <v>4</v>
      </c>
      <c r="B2" s="251"/>
      <c r="C2" s="251"/>
      <c r="D2" s="251"/>
      <c r="E2" s="251"/>
      <c r="F2" s="251"/>
      <c r="G2" s="262">
        <v>45980.493069846183</v>
      </c>
      <c r="H2" s="251"/>
      <c r="I2" s="251"/>
      <c r="J2" s="251"/>
      <c r="K2" s="263">
        <v>45980.493069846409</v>
      </c>
      <c r="L2" s="251"/>
      <c r="M2" s="251"/>
      <c r="N2" s="251"/>
      <c r="O2" s="251"/>
      <c r="P2" s="251"/>
      <c r="Q2" s="251"/>
      <c r="R2" s="251"/>
      <c r="CA2" s="3"/>
      <c r="CB2" s="3"/>
      <c r="CC2" s="3"/>
      <c r="CD2" s="3"/>
      <c r="CE2" s="3"/>
      <c r="CF2" s="3"/>
      <c r="CG2" s="3"/>
      <c r="CH2" s="3"/>
      <c r="CI2" s="3"/>
      <c r="CJ2" s="3"/>
      <c r="CK2" s="3"/>
      <c r="CL2" s="3"/>
      <c r="CM2" s="3"/>
      <c r="CN2" s="3"/>
    </row>
    <row r="3" spans="1:92" ht="24" customHeight="1" x14ac:dyDescent="0.3">
      <c r="A3" s="252" t="s">
        <v>5</v>
      </c>
      <c r="B3" s="251"/>
      <c r="C3" s="251"/>
      <c r="D3" s="251"/>
      <c r="E3" s="251"/>
      <c r="F3" s="251"/>
      <c r="G3" s="251"/>
      <c r="H3" s="251"/>
      <c r="I3" s="251"/>
      <c r="J3" s="251"/>
      <c r="K3" s="251"/>
      <c r="L3" s="251"/>
      <c r="M3" s="251"/>
      <c r="N3" s="251"/>
      <c r="O3" s="251"/>
      <c r="P3" s="251"/>
      <c r="Q3" s="251"/>
      <c r="R3" s="251"/>
      <c r="CA3" s="3"/>
      <c r="CB3" s="3"/>
      <c r="CC3" s="3"/>
      <c r="CD3" s="3"/>
      <c r="CE3" s="3"/>
      <c r="CF3" s="3"/>
      <c r="CG3" s="3"/>
      <c r="CH3" s="3"/>
      <c r="CI3" s="3"/>
      <c r="CJ3" s="3"/>
      <c r="CK3" s="3"/>
      <c r="CL3" s="3"/>
      <c r="CM3" s="3"/>
      <c r="CN3" s="3"/>
    </row>
    <row r="4" spans="1:92" ht="22.05" customHeight="1" x14ac:dyDescent="0.3">
      <c r="A4" s="264" t="s">
        <v>6</v>
      </c>
      <c r="B4" s="254"/>
      <c r="C4" s="254"/>
      <c r="D4" s="254"/>
      <c r="E4" s="254"/>
      <c r="F4" s="255"/>
      <c r="G4" s="4">
        <v>45981</v>
      </c>
      <c r="H4" s="265" t="s">
        <v>7</v>
      </c>
      <c r="I4" s="254"/>
      <c r="J4" s="254"/>
      <c r="K4" s="254"/>
      <c r="L4" s="254"/>
      <c r="M4" s="254"/>
      <c r="N4" s="254"/>
      <c r="O4" s="254"/>
      <c r="P4" s="254"/>
      <c r="Q4" s="254"/>
      <c r="R4" s="25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51</v>
      </c>
      <c r="B6" s="8" t="s">
        <v>545</v>
      </c>
      <c r="C6" s="9">
        <v>0.69097222222222221</v>
      </c>
      <c r="D6" s="8" t="s">
        <v>53</v>
      </c>
      <c r="E6" s="8" t="s">
        <v>54</v>
      </c>
      <c r="F6" s="8" t="s">
        <v>227</v>
      </c>
      <c r="G6" s="256"/>
      <c r="H6" s="10"/>
      <c r="I6" s="11"/>
      <c r="J6" s="11"/>
      <c r="K6" s="11"/>
      <c r="L6" s="11"/>
      <c r="M6" s="11"/>
      <c r="N6" s="11"/>
      <c r="O6" s="12"/>
      <c r="P6" s="11"/>
      <c r="Q6" s="13"/>
      <c r="R6" s="14"/>
    </row>
    <row r="7" spans="1:92" ht="49.95" customHeight="1" thickTop="1" thickBot="1" x14ac:dyDescent="0.35">
      <c r="A7" s="197" t="s">
        <v>51</v>
      </c>
      <c r="B7" s="197" t="s">
        <v>545</v>
      </c>
      <c r="C7" s="198">
        <v>0.69097222222222221</v>
      </c>
      <c r="D7" s="197" t="s">
        <v>56</v>
      </c>
      <c r="E7" s="197" t="s">
        <v>57</v>
      </c>
      <c r="F7" s="197" t="s">
        <v>546</v>
      </c>
      <c r="G7" s="258"/>
      <c r="H7" s="41"/>
      <c r="I7" s="42"/>
      <c r="J7" s="42"/>
      <c r="K7" s="42"/>
      <c r="L7" s="42"/>
      <c r="M7" s="42"/>
      <c r="N7" s="42"/>
      <c r="O7" s="43"/>
      <c r="P7" s="42"/>
      <c r="Q7" s="44"/>
      <c r="R7" s="45"/>
    </row>
    <row r="8" spans="1:92" ht="17.399999999999999" customHeight="1" thickBot="1" x14ac:dyDescent="0.35">
      <c r="A8" s="285"/>
      <c r="B8" s="286"/>
      <c r="C8" s="286"/>
      <c r="D8" s="286"/>
      <c r="E8" s="286"/>
      <c r="F8" s="286"/>
      <c r="G8" s="286"/>
      <c r="H8" s="286"/>
      <c r="I8" s="286"/>
      <c r="J8" s="286"/>
      <c r="K8" s="286"/>
      <c r="L8" s="286"/>
      <c r="M8" s="286"/>
      <c r="N8" s="286"/>
      <c r="O8" s="286"/>
      <c r="P8" s="286"/>
      <c r="Q8" s="286"/>
      <c r="R8" s="287"/>
    </row>
    <row r="9" spans="1:92" ht="22.05" customHeight="1" thickTop="1" thickBot="1" x14ac:dyDescent="0.35">
      <c r="A9" s="259" t="s">
        <v>6</v>
      </c>
      <c r="B9" s="254"/>
      <c r="C9" s="254"/>
      <c r="D9" s="254"/>
      <c r="E9" s="254"/>
      <c r="F9" s="255"/>
      <c r="G9" s="31">
        <v>45983</v>
      </c>
      <c r="H9" s="253" t="s">
        <v>7</v>
      </c>
      <c r="I9" s="254"/>
      <c r="J9" s="254"/>
      <c r="K9" s="254"/>
      <c r="L9" s="254"/>
      <c r="M9" s="254"/>
      <c r="N9" s="254"/>
      <c r="O9" s="254"/>
      <c r="P9" s="254"/>
      <c r="Q9" s="254"/>
      <c r="R9" s="255"/>
    </row>
    <row r="10" spans="1:92" ht="24" customHeight="1" x14ac:dyDescent="0.3">
      <c r="A10" s="32" t="s">
        <v>8</v>
      </c>
      <c r="B10" s="32" t="s">
        <v>9</v>
      </c>
      <c r="C10" s="33" t="s">
        <v>10</v>
      </c>
      <c r="D10" s="32" t="s">
        <v>11</v>
      </c>
      <c r="E10" s="32" t="s">
        <v>12</v>
      </c>
      <c r="F10" s="34" t="s">
        <v>13</v>
      </c>
      <c r="G10" s="35" t="s">
        <v>14</v>
      </c>
      <c r="H10" s="32" t="s">
        <v>15</v>
      </c>
      <c r="I10" s="36" t="s">
        <v>16</v>
      </c>
      <c r="J10" s="37" t="s">
        <v>17</v>
      </c>
      <c r="K10" s="38" t="s">
        <v>18</v>
      </c>
      <c r="L10" s="37" t="s">
        <v>19</v>
      </c>
      <c r="M10" s="37" t="s">
        <v>20</v>
      </c>
      <c r="N10" s="37" t="s">
        <v>21</v>
      </c>
      <c r="O10" s="32" t="s">
        <v>22</v>
      </c>
      <c r="P10" s="33" t="s">
        <v>23</v>
      </c>
      <c r="Q10" s="37" t="s">
        <v>24</v>
      </c>
      <c r="R10" s="32" t="s">
        <v>25</v>
      </c>
    </row>
    <row r="11" spans="1:92" ht="49.95" customHeight="1" x14ac:dyDescent="0.45">
      <c r="A11" s="199" t="s">
        <v>51</v>
      </c>
      <c r="B11" s="199" t="s">
        <v>545</v>
      </c>
      <c r="C11" s="200">
        <v>0.69097222222222221</v>
      </c>
      <c r="D11" s="199" t="s">
        <v>56</v>
      </c>
      <c r="E11" s="199" t="s">
        <v>92</v>
      </c>
      <c r="F11" s="199" t="s">
        <v>547</v>
      </c>
      <c r="G11" s="256"/>
      <c r="H11" s="41"/>
      <c r="I11" s="42"/>
      <c r="J11" s="42"/>
      <c r="K11" s="42"/>
      <c r="L11" s="42"/>
      <c r="M11" s="42"/>
      <c r="N11" s="42"/>
      <c r="O11" s="43"/>
      <c r="P11" s="42"/>
      <c r="Q11" s="44"/>
      <c r="R11" s="45"/>
    </row>
  </sheetData>
  <mergeCells count="14">
    <mergeCell ref="G11"/>
    <mergeCell ref="A8:R8"/>
    <mergeCell ref="H4:R4"/>
    <mergeCell ref="N1:R1"/>
    <mergeCell ref="H1:L1"/>
    <mergeCell ref="A1:E1"/>
    <mergeCell ref="G2:J2"/>
    <mergeCell ref="K2:R2"/>
    <mergeCell ref="A4:F4"/>
    <mergeCell ref="A2:F2"/>
    <mergeCell ref="A3:R3"/>
    <mergeCell ref="H9:R9"/>
    <mergeCell ref="A9:F9"/>
    <mergeCell ref="G6:G7"/>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J1"/>
  <sheetViews>
    <sheetView workbookViewId="0"/>
  </sheetViews>
  <sheetFormatPr defaultRowHeight="15.6" outlineLevelCol="1" x14ac:dyDescent="0.3"/>
  <cols>
    <col min="1" max="1" width="4.109375" style="272" bestFit="1" customWidth="1"/>
    <col min="2" max="2" width="5.33203125" style="272" bestFit="1" customWidth="1"/>
    <col min="3" max="3" width="3" style="272" bestFit="1" customWidth="1"/>
    <col min="4" max="4" width="4.21875" style="272" bestFit="1" customWidth="1"/>
    <col min="5" max="5" width="7.109375" style="272" bestFit="1" customWidth="1"/>
    <col min="6" max="6" width="4" style="272" bestFit="1" customWidth="1"/>
    <col min="7" max="8" width="4.21875" style="272" bestFit="1" customWidth="1"/>
    <col min="9" max="10" width="6.44140625" style="272" bestFit="1" customWidth="1"/>
    <col min="11" max="11" width="6.109375" style="272" bestFit="1" customWidth="1"/>
    <col min="12" max="12" width="8.77734375" style="272" bestFit="1" customWidth="1"/>
    <col min="13" max="13" width="7.33203125" style="272" bestFit="1" customWidth="1" outlineLevel="1"/>
    <col min="14" max="14" width="6" style="272" bestFit="1" customWidth="1" outlineLevel="1"/>
    <col min="15" max="15" width="7.6640625" style="272" bestFit="1" customWidth="1" outlineLevel="1"/>
    <col min="16" max="16" width="13.21875" style="272" bestFit="1" customWidth="1"/>
    <col min="17" max="17" width="2" style="272" bestFit="1" customWidth="1"/>
    <col min="18" max="18" width="2.109375" style="272" bestFit="1" customWidth="1"/>
    <col min="19" max="19" width="2.6640625" style="272" bestFit="1" customWidth="1"/>
    <col min="20" max="20" width="2.21875" style="272" bestFit="1" customWidth="1"/>
    <col min="21" max="21" width="2.33203125" style="272" bestFit="1" customWidth="1"/>
    <col min="22" max="22" width="2" style="272" bestFit="1" customWidth="1"/>
    <col min="23" max="23" width="2.109375" style="272" bestFit="1" customWidth="1"/>
    <col min="24" max="24" width="1.88671875" style="272" bestFit="1" customWidth="1"/>
    <col min="25" max="25" width="2.21875" style="272" bestFit="1" customWidth="1"/>
    <col min="26" max="26" width="1.88671875" style="272" bestFit="1" customWidth="1"/>
    <col min="27" max="27" width="2.77734375" style="272" bestFit="1" customWidth="1"/>
    <col min="28" max="29" width="2" style="272" bestFit="1" customWidth="1"/>
    <col min="30" max="31" width="2.33203125" style="272" bestFit="1" customWidth="1"/>
    <col min="32" max="32" width="1.5546875" style="272" bestFit="1" customWidth="1"/>
    <col min="33" max="33" width="2" style="272" bestFit="1" customWidth="1"/>
    <col min="34" max="34" width="2.109375" style="272" bestFit="1" customWidth="1"/>
    <col min="35" max="35" width="2" style="272" bestFit="1" customWidth="1"/>
    <col min="36" max="36" width="2.33203125" style="272" bestFit="1" customWidth="1"/>
    <col min="37" max="16384" width="8.88671875" style="272"/>
  </cols>
  <sheetData>
    <row r="1" spans="1:36" x14ac:dyDescent="0.3">
      <c r="A1" s="271" t="s">
        <v>103</v>
      </c>
      <c r="B1" s="271" t="s">
        <v>104</v>
      </c>
      <c r="C1" s="271" t="s">
        <v>105</v>
      </c>
      <c r="D1" s="271" t="s">
        <v>23</v>
      </c>
      <c r="E1" s="271" t="s">
        <v>106</v>
      </c>
      <c r="F1" s="271" t="s">
        <v>107</v>
      </c>
      <c r="G1" s="271" t="s">
        <v>16</v>
      </c>
      <c r="H1" s="271" t="s">
        <v>108</v>
      </c>
      <c r="I1" s="271" t="s">
        <v>109</v>
      </c>
      <c r="J1" s="271" t="s">
        <v>110</v>
      </c>
      <c r="K1" s="271" t="s">
        <v>111</v>
      </c>
      <c r="L1" s="271" t="s">
        <v>18</v>
      </c>
      <c r="M1" s="271" t="s">
        <v>20</v>
      </c>
      <c r="N1" s="271" t="s">
        <v>21</v>
      </c>
      <c r="O1" s="271" t="s">
        <v>19</v>
      </c>
      <c r="P1" s="271" t="s">
        <v>22</v>
      </c>
      <c r="Q1" s="271" t="s">
        <v>112</v>
      </c>
      <c r="R1" s="271" t="s">
        <v>113</v>
      </c>
      <c r="S1" s="271" t="s">
        <v>114</v>
      </c>
      <c r="T1" s="271" t="s">
        <v>115</v>
      </c>
      <c r="U1" s="271" t="s">
        <v>116</v>
      </c>
      <c r="V1" s="271" t="s">
        <v>117</v>
      </c>
      <c r="W1" s="271" t="s">
        <v>118</v>
      </c>
      <c r="X1" s="271" t="s">
        <v>119</v>
      </c>
      <c r="Y1" s="271" t="s">
        <v>120</v>
      </c>
      <c r="Z1" s="271" t="s">
        <v>121</v>
      </c>
      <c r="AA1" s="271" t="s">
        <v>122</v>
      </c>
      <c r="AB1" s="271" t="s">
        <v>123</v>
      </c>
      <c r="AC1" s="271" t="s">
        <v>124</v>
      </c>
      <c r="AD1" s="271" t="s">
        <v>125</v>
      </c>
      <c r="AE1" s="271" t="s">
        <v>126</v>
      </c>
      <c r="AF1" s="271" t="s">
        <v>127</v>
      </c>
      <c r="AG1" s="271" t="s">
        <v>128</v>
      </c>
      <c r="AH1" s="271" t="s">
        <v>129</v>
      </c>
      <c r="AI1" s="271" t="s">
        <v>130</v>
      </c>
      <c r="AJ1" s="271" t="s">
        <v>131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4"/>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1.77734375" bestFit="1" customWidth="1"/>
    <col min="7" max="7" width="20" bestFit="1" customWidth="1"/>
    <col min="8" max="8" width="23.6640625" bestFit="1" customWidth="1"/>
    <col min="9" max="9" width="0" hidden="1" customWidth="1"/>
  </cols>
  <sheetData>
    <row r="1" spans="1:8" ht="18" x14ac:dyDescent="0.3">
      <c r="A1" s="56" t="s">
        <v>149</v>
      </c>
      <c r="B1" s="57" t="s">
        <v>8</v>
      </c>
      <c r="C1" s="57" t="s">
        <v>9</v>
      </c>
      <c r="D1" s="57" t="s">
        <v>150</v>
      </c>
      <c r="E1" s="57" t="s">
        <v>10</v>
      </c>
      <c r="F1" s="57" t="s">
        <v>11</v>
      </c>
      <c r="G1" s="57" t="s">
        <v>12</v>
      </c>
      <c r="H1" s="58" t="s">
        <v>13</v>
      </c>
    </row>
    <row r="2" spans="1:8" ht="19.8" customHeight="1" x14ac:dyDescent="0.3">
      <c r="A2" s="59" t="s">
        <v>151</v>
      </c>
      <c r="B2" s="60" t="s">
        <v>51</v>
      </c>
      <c r="C2" s="61" t="s">
        <v>545</v>
      </c>
      <c r="D2" s="60" t="s">
        <v>544</v>
      </c>
      <c r="E2" s="60" t="s">
        <v>548</v>
      </c>
      <c r="F2" s="60" t="s">
        <v>53</v>
      </c>
      <c r="G2" s="62">
        <v>9</v>
      </c>
      <c r="H2" s="63" t="s">
        <v>227</v>
      </c>
    </row>
    <row r="3" spans="1:8" ht="19.8" customHeight="1" x14ac:dyDescent="0.3">
      <c r="A3" s="113" t="s">
        <v>151</v>
      </c>
      <c r="B3" s="71" t="s">
        <v>51</v>
      </c>
      <c r="C3" s="72" t="s">
        <v>545</v>
      </c>
      <c r="D3" s="71" t="s">
        <v>544</v>
      </c>
      <c r="E3" s="71" t="s">
        <v>548</v>
      </c>
      <c r="F3" s="71" t="s">
        <v>56</v>
      </c>
      <c r="G3" s="74">
        <v>9</v>
      </c>
      <c r="H3" s="75" t="s">
        <v>546</v>
      </c>
    </row>
    <row r="4" spans="1:8" ht="19.8" customHeight="1" x14ac:dyDescent="0.3">
      <c r="A4" s="113" t="s">
        <v>203</v>
      </c>
      <c r="B4" s="71" t="s">
        <v>51</v>
      </c>
      <c r="C4" s="72" t="s">
        <v>545</v>
      </c>
      <c r="D4" s="71" t="s">
        <v>544</v>
      </c>
      <c r="E4" s="71" t="s">
        <v>548</v>
      </c>
      <c r="F4" s="71" t="s">
        <v>56</v>
      </c>
      <c r="G4" s="74">
        <v>3</v>
      </c>
      <c r="H4" s="75" t="s">
        <v>547</v>
      </c>
    </row>
  </sheetData>
  <pageMargins left="0.75" right="0.75" top="1" bottom="1" header="0.5" footer="0.5"/>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N5"/>
  <sheetViews>
    <sheetView workbookViewId="0"/>
  </sheetViews>
  <sheetFormatPr defaultRowHeight="14.4" x14ac:dyDescent="0.3"/>
  <cols>
    <col min="6" max="6" width="17.77734375" bestFit="1" customWidth="1"/>
    <col min="7" max="7" width="13.5546875" bestFit="1" customWidth="1"/>
    <col min="13" max="13" width="7.77734375" bestFit="1" customWidth="1"/>
  </cols>
  <sheetData>
    <row r="1" spans="1:92" ht="28.8" customHeight="1" x14ac:dyDescent="0.3">
      <c r="A1" s="261" t="s">
        <v>0</v>
      </c>
      <c r="B1" s="251"/>
      <c r="C1" s="251"/>
      <c r="D1" s="251"/>
      <c r="E1" s="251"/>
      <c r="F1" s="1" t="s">
        <v>549</v>
      </c>
      <c r="G1" s="2" t="s">
        <v>2</v>
      </c>
      <c r="H1" s="260">
        <v>45981</v>
      </c>
      <c r="I1" s="251"/>
      <c r="J1" s="251"/>
      <c r="K1" s="251"/>
      <c r="L1" s="251"/>
      <c r="M1" s="1" t="s">
        <v>3</v>
      </c>
      <c r="N1" s="266">
        <v>45983</v>
      </c>
      <c r="O1" s="251"/>
      <c r="P1" s="251"/>
      <c r="Q1" s="251"/>
      <c r="R1" s="251"/>
      <c r="CA1" s="3"/>
      <c r="CB1" s="3"/>
      <c r="CC1" s="3"/>
      <c r="CD1" s="3"/>
      <c r="CE1" s="3"/>
      <c r="CF1" s="3"/>
      <c r="CG1" s="3"/>
      <c r="CH1" s="3"/>
      <c r="CI1" s="3"/>
      <c r="CJ1" s="3"/>
      <c r="CK1" s="3"/>
      <c r="CL1" s="3"/>
      <c r="CM1" s="3"/>
      <c r="CN1" s="3"/>
    </row>
    <row r="2" spans="1:92" ht="23.4" customHeight="1" x14ac:dyDescent="0.3">
      <c r="A2" s="250" t="s">
        <v>4</v>
      </c>
      <c r="B2" s="251"/>
      <c r="C2" s="251"/>
      <c r="D2" s="251"/>
      <c r="E2" s="251"/>
      <c r="F2" s="251"/>
      <c r="G2" s="262">
        <v>45980.493071291959</v>
      </c>
      <c r="H2" s="251"/>
      <c r="I2" s="251"/>
      <c r="J2" s="251"/>
      <c r="K2" s="263">
        <v>45980.493071292178</v>
      </c>
      <c r="L2" s="251"/>
      <c r="M2" s="251"/>
      <c r="N2" s="251"/>
      <c r="O2" s="251"/>
      <c r="P2" s="251"/>
      <c r="Q2" s="251"/>
      <c r="R2" s="251"/>
      <c r="CA2" s="3"/>
      <c r="CB2" s="3"/>
      <c r="CC2" s="3"/>
      <c r="CD2" s="3"/>
      <c r="CE2" s="3"/>
      <c r="CF2" s="3"/>
      <c r="CG2" s="3"/>
      <c r="CH2" s="3"/>
      <c r="CI2" s="3"/>
      <c r="CJ2" s="3"/>
      <c r="CK2" s="3"/>
      <c r="CL2" s="3"/>
      <c r="CM2" s="3"/>
      <c r="CN2" s="3"/>
    </row>
    <row r="3" spans="1:92" ht="24" customHeight="1" x14ac:dyDescent="0.3">
      <c r="A3" s="252" t="s">
        <v>5</v>
      </c>
      <c r="B3" s="251"/>
      <c r="C3" s="251"/>
      <c r="D3" s="251"/>
      <c r="E3" s="251"/>
      <c r="F3" s="251"/>
      <c r="G3" s="251"/>
      <c r="H3" s="251"/>
      <c r="I3" s="251"/>
      <c r="J3" s="251"/>
      <c r="K3" s="251"/>
      <c r="L3" s="251"/>
      <c r="M3" s="251"/>
      <c r="N3" s="251"/>
      <c r="O3" s="251"/>
      <c r="P3" s="251"/>
      <c r="Q3" s="251"/>
      <c r="R3" s="251"/>
      <c r="CA3" s="3"/>
      <c r="CB3" s="3"/>
      <c r="CC3" s="3"/>
      <c r="CD3" s="3"/>
      <c r="CE3" s="3"/>
      <c r="CF3" s="3"/>
      <c r="CG3" s="3"/>
      <c r="CH3" s="3"/>
      <c r="CI3" s="3"/>
      <c r="CJ3" s="3"/>
      <c r="CK3" s="3"/>
      <c r="CL3" s="3"/>
      <c r="CM3" s="3"/>
      <c r="CN3" s="3"/>
    </row>
    <row r="4" spans="1:92" ht="21.6" customHeight="1" x14ac:dyDescent="0.5">
      <c r="A4" s="193"/>
      <c r="B4" s="193"/>
      <c r="C4" s="193"/>
      <c r="D4" s="193"/>
      <c r="E4" s="193"/>
      <c r="F4" s="193"/>
      <c r="G4" s="193"/>
      <c r="H4" s="194"/>
      <c r="I4" s="195"/>
      <c r="J4" s="195"/>
      <c r="K4" s="195"/>
      <c r="L4" s="195"/>
      <c r="M4" s="195"/>
      <c r="N4" s="195"/>
      <c r="O4" s="195"/>
      <c r="P4" s="195"/>
      <c r="Q4" s="195"/>
      <c r="R4" s="195"/>
      <c r="CA4" s="3"/>
      <c r="CB4" s="3"/>
      <c r="CC4" s="3"/>
      <c r="CD4" s="3"/>
      <c r="CE4" s="3"/>
      <c r="CF4" s="3"/>
      <c r="CG4" s="3"/>
      <c r="CH4" s="3"/>
      <c r="CI4" s="3"/>
      <c r="CJ4" s="3"/>
      <c r="CK4" s="3"/>
      <c r="CL4" s="3"/>
      <c r="CM4" s="3"/>
      <c r="CN4" s="3"/>
    </row>
    <row r="5" spans="1:92" ht="18.600000000000001" customHeight="1" x14ac:dyDescent="0.3">
      <c r="A5" s="195"/>
      <c r="B5" s="195"/>
      <c r="C5" s="195"/>
      <c r="D5" s="195"/>
      <c r="E5" s="195"/>
      <c r="F5" s="195"/>
      <c r="G5" s="195"/>
      <c r="H5" s="195"/>
      <c r="I5" s="195"/>
      <c r="J5" s="195"/>
      <c r="K5" s="195"/>
      <c r="L5" s="195"/>
      <c r="M5" s="195"/>
      <c r="N5" s="195"/>
      <c r="O5" s="195"/>
      <c r="P5" s="195"/>
      <c r="Q5" s="195"/>
      <c r="R5" s="195"/>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J1"/>
  <sheetViews>
    <sheetView workbookViewId="0"/>
  </sheetViews>
  <sheetFormatPr defaultRowHeight="15.6" outlineLevelCol="1" x14ac:dyDescent="0.3"/>
  <cols>
    <col min="1" max="1" width="4.109375" style="272" bestFit="1" customWidth="1"/>
    <col min="2" max="2" width="5.33203125" style="272" bestFit="1" customWidth="1"/>
    <col min="3" max="3" width="3" style="272" bestFit="1" customWidth="1"/>
    <col min="4" max="4" width="4.21875" style="272" bestFit="1" customWidth="1"/>
    <col min="5" max="5" width="7.109375" style="272" bestFit="1" customWidth="1"/>
    <col min="6" max="6" width="4" style="272" bestFit="1" customWidth="1"/>
    <col min="7" max="8" width="4.21875" style="272" bestFit="1" customWidth="1"/>
    <col min="9" max="10" width="6.44140625" style="272" bestFit="1" customWidth="1"/>
    <col min="11" max="11" width="6.109375" style="272" bestFit="1" customWidth="1"/>
    <col min="12" max="12" width="8.77734375" style="272" bestFit="1" customWidth="1"/>
    <col min="13" max="13" width="7.33203125" style="272" bestFit="1" customWidth="1" outlineLevel="1"/>
    <col min="14" max="14" width="6" style="272" bestFit="1" customWidth="1" outlineLevel="1"/>
    <col min="15" max="15" width="7.6640625" style="272" bestFit="1" customWidth="1" outlineLevel="1"/>
    <col min="16" max="16" width="13.21875" style="272" bestFit="1" customWidth="1"/>
    <col min="17" max="17" width="2" style="272" bestFit="1" customWidth="1"/>
    <col min="18" max="18" width="2.109375" style="272" bestFit="1" customWidth="1"/>
    <col min="19" max="19" width="2.6640625" style="272" bestFit="1" customWidth="1"/>
    <col min="20" max="20" width="2.21875" style="272" bestFit="1" customWidth="1"/>
    <col min="21" max="21" width="2.33203125" style="272" bestFit="1" customWidth="1"/>
    <col min="22" max="22" width="2" style="272" bestFit="1" customWidth="1"/>
    <col min="23" max="23" width="2.109375" style="272" bestFit="1" customWidth="1"/>
    <col min="24" max="24" width="1.88671875" style="272" bestFit="1" customWidth="1"/>
    <col min="25" max="25" width="2.21875" style="272" bestFit="1" customWidth="1"/>
    <col min="26" max="26" width="1.88671875" style="272" bestFit="1" customWidth="1"/>
    <col min="27" max="27" width="2.77734375" style="272" bestFit="1" customWidth="1"/>
    <col min="28" max="29" width="2" style="272" bestFit="1" customWidth="1"/>
    <col min="30" max="31" width="2.33203125" style="272" bestFit="1" customWidth="1"/>
    <col min="32" max="32" width="1.5546875" style="272" bestFit="1" customWidth="1"/>
    <col min="33" max="33" width="2" style="272" bestFit="1" customWidth="1"/>
    <col min="34" max="34" width="2.109375" style="272" bestFit="1" customWidth="1"/>
    <col min="35" max="35" width="2" style="272" bestFit="1" customWidth="1"/>
    <col min="36" max="36" width="2.33203125" style="272" bestFit="1" customWidth="1"/>
    <col min="37" max="16384" width="8.88671875" style="272"/>
  </cols>
  <sheetData>
    <row r="1" spans="1:36" x14ac:dyDescent="0.3">
      <c r="A1" s="271" t="s">
        <v>103</v>
      </c>
      <c r="B1" s="271" t="s">
        <v>104</v>
      </c>
      <c r="C1" s="271" t="s">
        <v>105</v>
      </c>
      <c r="D1" s="271" t="s">
        <v>23</v>
      </c>
      <c r="E1" s="271" t="s">
        <v>106</v>
      </c>
      <c r="F1" s="271" t="s">
        <v>107</v>
      </c>
      <c r="G1" s="271" t="s">
        <v>16</v>
      </c>
      <c r="H1" s="271" t="s">
        <v>108</v>
      </c>
      <c r="I1" s="271" t="s">
        <v>109</v>
      </c>
      <c r="J1" s="271" t="s">
        <v>110</v>
      </c>
      <c r="K1" s="271" t="s">
        <v>111</v>
      </c>
      <c r="L1" s="271" t="s">
        <v>18</v>
      </c>
      <c r="M1" s="271" t="s">
        <v>20</v>
      </c>
      <c r="N1" s="271" t="s">
        <v>21</v>
      </c>
      <c r="O1" s="271" t="s">
        <v>19</v>
      </c>
      <c r="P1" s="271" t="s">
        <v>22</v>
      </c>
      <c r="Q1" s="271" t="s">
        <v>112</v>
      </c>
      <c r="R1" s="271" t="s">
        <v>113</v>
      </c>
      <c r="S1" s="271" t="s">
        <v>114</v>
      </c>
      <c r="T1" s="271" t="s">
        <v>115</v>
      </c>
      <c r="U1" s="271" t="s">
        <v>116</v>
      </c>
      <c r="V1" s="271" t="s">
        <v>117</v>
      </c>
      <c r="W1" s="271" t="s">
        <v>118</v>
      </c>
      <c r="X1" s="271" t="s">
        <v>119</v>
      </c>
      <c r="Y1" s="271" t="s">
        <v>120</v>
      </c>
      <c r="Z1" s="271" t="s">
        <v>121</v>
      </c>
      <c r="AA1" s="271" t="s">
        <v>122</v>
      </c>
      <c r="AB1" s="271" t="s">
        <v>123</v>
      </c>
      <c r="AC1" s="271" t="s">
        <v>124</v>
      </c>
      <c r="AD1" s="271" t="s">
        <v>125</v>
      </c>
      <c r="AE1" s="271" t="s">
        <v>126</v>
      </c>
      <c r="AF1" s="271" t="s">
        <v>127</v>
      </c>
      <c r="AG1" s="271" t="s">
        <v>128</v>
      </c>
      <c r="AH1" s="271" t="s">
        <v>129</v>
      </c>
      <c r="AI1" s="271" t="s">
        <v>130</v>
      </c>
      <c r="AJ1" s="271" t="s">
        <v>131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196" t="s">
        <v>149</v>
      </c>
      <c r="B1" s="196" t="s">
        <v>8</v>
      </c>
      <c r="C1" s="196" t="s">
        <v>9</v>
      </c>
      <c r="D1" s="196" t="s">
        <v>150</v>
      </c>
      <c r="E1" s="196" t="s">
        <v>10</v>
      </c>
      <c r="F1" s="196" t="s">
        <v>11</v>
      </c>
      <c r="G1" s="196" t="s">
        <v>12</v>
      </c>
      <c r="H1" s="196" t="s">
        <v>13</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N158"/>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45.77734375" bestFit="1" customWidth="1"/>
  </cols>
  <sheetData>
    <row r="1" spans="1:92" ht="28.8" customHeight="1" x14ac:dyDescent="0.3">
      <c r="A1" s="261" t="s">
        <v>0</v>
      </c>
      <c r="B1" s="251"/>
      <c r="C1" s="251"/>
      <c r="D1" s="251"/>
      <c r="E1" s="251"/>
      <c r="F1" s="1" t="s">
        <v>550</v>
      </c>
      <c r="G1" s="2" t="s">
        <v>2</v>
      </c>
      <c r="H1" s="260">
        <v>45981</v>
      </c>
      <c r="I1" s="251"/>
      <c r="J1" s="251"/>
      <c r="K1" s="251"/>
      <c r="L1" s="251"/>
      <c r="M1" s="1" t="s">
        <v>3</v>
      </c>
      <c r="N1" s="266">
        <v>45983</v>
      </c>
      <c r="O1" s="251"/>
      <c r="P1" s="251"/>
      <c r="Q1" s="251"/>
      <c r="R1" s="251"/>
      <c r="CA1" s="3"/>
      <c r="CB1" s="3"/>
      <c r="CC1" s="3"/>
      <c r="CD1" s="3"/>
      <c r="CE1" s="3"/>
      <c r="CF1" s="3"/>
      <c r="CG1" s="3"/>
      <c r="CH1" s="3"/>
      <c r="CI1" s="3"/>
      <c r="CJ1" s="3"/>
      <c r="CK1" s="3"/>
      <c r="CL1" s="3"/>
      <c r="CM1" s="3"/>
      <c r="CN1" s="3"/>
    </row>
    <row r="2" spans="1:92" ht="23.4" customHeight="1" x14ac:dyDescent="0.3">
      <c r="A2" s="250" t="s">
        <v>4</v>
      </c>
      <c r="B2" s="251"/>
      <c r="C2" s="251"/>
      <c r="D2" s="251"/>
      <c r="E2" s="251"/>
      <c r="F2" s="251"/>
      <c r="G2" s="262">
        <v>45980.493071935933</v>
      </c>
      <c r="H2" s="251"/>
      <c r="I2" s="251"/>
      <c r="J2" s="251"/>
      <c r="K2" s="263">
        <v>45980.493071936173</v>
      </c>
      <c r="L2" s="251"/>
      <c r="M2" s="251"/>
      <c r="N2" s="251"/>
      <c r="O2" s="251"/>
      <c r="P2" s="251"/>
      <c r="Q2" s="251"/>
      <c r="R2" s="251"/>
      <c r="CA2" s="3"/>
      <c r="CB2" s="3"/>
      <c r="CC2" s="3"/>
      <c r="CD2" s="3"/>
      <c r="CE2" s="3"/>
      <c r="CF2" s="3"/>
      <c r="CG2" s="3"/>
      <c r="CH2" s="3"/>
      <c r="CI2" s="3"/>
      <c r="CJ2" s="3"/>
      <c r="CK2" s="3"/>
      <c r="CL2" s="3"/>
      <c r="CM2" s="3"/>
      <c r="CN2" s="3"/>
    </row>
    <row r="3" spans="1:92" ht="24" customHeight="1" x14ac:dyDescent="0.3">
      <c r="A3" s="252" t="s">
        <v>5</v>
      </c>
      <c r="B3" s="251"/>
      <c r="C3" s="251"/>
      <c r="D3" s="251"/>
      <c r="E3" s="251"/>
      <c r="F3" s="251"/>
      <c r="G3" s="251"/>
      <c r="H3" s="251"/>
      <c r="I3" s="251"/>
      <c r="J3" s="251"/>
      <c r="K3" s="251"/>
      <c r="L3" s="251"/>
      <c r="M3" s="251"/>
      <c r="N3" s="251"/>
      <c r="O3" s="251"/>
      <c r="P3" s="251"/>
      <c r="Q3" s="251"/>
      <c r="R3" s="251"/>
      <c r="CA3" s="3"/>
      <c r="CB3" s="3"/>
      <c r="CC3" s="3"/>
      <c r="CD3" s="3"/>
      <c r="CE3" s="3"/>
      <c r="CF3" s="3"/>
      <c r="CG3" s="3"/>
      <c r="CH3" s="3"/>
      <c r="CI3" s="3"/>
      <c r="CJ3" s="3"/>
      <c r="CK3" s="3"/>
      <c r="CL3" s="3"/>
      <c r="CM3" s="3"/>
      <c r="CN3" s="3"/>
    </row>
    <row r="4" spans="1:92" ht="22.05" customHeight="1" x14ac:dyDescent="0.3">
      <c r="A4" s="264" t="s">
        <v>6</v>
      </c>
      <c r="B4" s="254"/>
      <c r="C4" s="254"/>
      <c r="D4" s="254"/>
      <c r="E4" s="254"/>
      <c r="F4" s="255"/>
      <c r="G4" s="4">
        <v>45981</v>
      </c>
      <c r="H4" s="265" t="s">
        <v>7</v>
      </c>
      <c r="I4" s="254"/>
      <c r="J4" s="254"/>
      <c r="K4" s="254"/>
      <c r="L4" s="254"/>
      <c r="M4" s="254"/>
      <c r="N4" s="254"/>
      <c r="O4" s="254"/>
      <c r="P4" s="254"/>
      <c r="Q4" s="254"/>
      <c r="R4" s="25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551</v>
      </c>
      <c r="C6" s="9">
        <v>0.95833333333333337</v>
      </c>
      <c r="D6" s="8" t="s">
        <v>28</v>
      </c>
      <c r="E6" s="8" t="s">
        <v>29</v>
      </c>
      <c r="F6" s="8" t="s">
        <v>552</v>
      </c>
      <c r="G6" s="256"/>
      <c r="H6" s="10"/>
      <c r="I6" s="11"/>
      <c r="J6" s="11"/>
      <c r="K6" s="11"/>
      <c r="L6" s="11"/>
      <c r="M6" s="11"/>
      <c r="N6" s="11"/>
      <c r="O6" s="12"/>
      <c r="P6" s="11"/>
      <c r="Q6" s="13"/>
      <c r="R6" s="14"/>
    </row>
    <row r="7" spans="1:92" ht="15" customHeight="1" x14ac:dyDescent="0.3">
      <c r="A7" s="15" t="s">
        <v>26</v>
      </c>
      <c r="B7" s="15" t="s">
        <v>551</v>
      </c>
      <c r="C7" s="16">
        <v>0.95833333333333337</v>
      </c>
      <c r="D7" s="15" t="s">
        <v>31</v>
      </c>
      <c r="E7" s="15" t="s">
        <v>32</v>
      </c>
      <c r="F7" s="15" t="s">
        <v>553</v>
      </c>
      <c r="G7" s="257"/>
      <c r="H7" s="10"/>
      <c r="I7" s="11"/>
      <c r="J7" s="11"/>
      <c r="K7" s="11"/>
      <c r="L7" s="11"/>
      <c r="M7" s="11"/>
      <c r="N7" s="11"/>
      <c r="O7" s="12"/>
      <c r="P7" s="11"/>
      <c r="Q7" s="13"/>
      <c r="R7" s="14"/>
    </row>
    <row r="8" spans="1:92" ht="15" customHeight="1" x14ac:dyDescent="0.3">
      <c r="A8" s="15" t="s">
        <v>26</v>
      </c>
      <c r="B8" s="15" t="s">
        <v>551</v>
      </c>
      <c r="C8" s="16">
        <v>0.95833333333333337</v>
      </c>
      <c r="D8" s="15" t="s">
        <v>34</v>
      </c>
      <c r="E8" s="15" t="s">
        <v>32</v>
      </c>
      <c r="F8" s="15" t="s">
        <v>554</v>
      </c>
      <c r="G8" s="257"/>
      <c r="H8" s="10"/>
      <c r="I8" s="11"/>
      <c r="J8" s="11"/>
      <c r="K8" s="11"/>
      <c r="L8" s="11"/>
      <c r="M8" s="11"/>
      <c r="N8" s="11"/>
      <c r="O8" s="12"/>
      <c r="P8" s="11"/>
      <c r="Q8" s="13"/>
      <c r="R8" s="14"/>
    </row>
    <row r="9" spans="1:92" ht="15" customHeight="1" x14ac:dyDescent="0.3">
      <c r="A9" s="17" t="s">
        <v>26</v>
      </c>
      <c r="B9" s="17" t="s">
        <v>555</v>
      </c>
      <c r="C9" s="18">
        <v>0.69791666666666663</v>
      </c>
      <c r="D9" s="17" t="s">
        <v>28</v>
      </c>
      <c r="E9" s="17" t="s">
        <v>223</v>
      </c>
      <c r="F9" s="17" t="s">
        <v>556</v>
      </c>
      <c r="G9" s="257"/>
      <c r="H9" s="10"/>
      <c r="I9" s="11"/>
      <c r="J9" s="11"/>
      <c r="K9" s="11"/>
      <c r="L9" s="11"/>
      <c r="M9" s="11"/>
      <c r="N9" s="11"/>
      <c r="O9" s="12"/>
      <c r="P9" s="11"/>
      <c r="Q9" s="13"/>
      <c r="R9" s="14"/>
    </row>
    <row r="10" spans="1:92" ht="15" customHeight="1" x14ac:dyDescent="0.3">
      <c r="A10" s="15" t="s">
        <v>26</v>
      </c>
      <c r="B10" s="15" t="s">
        <v>555</v>
      </c>
      <c r="C10" s="16">
        <v>0.69791666666666663</v>
      </c>
      <c r="D10" s="15" t="s">
        <v>31</v>
      </c>
      <c r="E10" s="15" t="s">
        <v>32</v>
      </c>
      <c r="F10" s="15" t="s">
        <v>557</v>
      </c>
      <c r="G10" s="257"/>
      <c r="H10" s="10"/>
      <c r="I10" s="11"/>
      <c r="J10" s="11"/>
      <c r="K10" s="11"/>
      <c r="L10" s="11"/>
      <c r="M10" s="11"/>
      <c r="N10" s="11"/>
      <c r="O10" s="12"/>
      <c r="P10" s="11"/>
      <c r="Q10" s="13"/>
      <c r="R10" s="14"/>
    </row>
    <row r="11" spans="1:92" ht="15" customHeight="1" x14ac:dyDescent="0.3">
      <c r="A11" s="15" t="s">
        <v>26</v>
      </c>
      <c r="B11" s="15" t="s">
        <v>555</v>
      </c>
      <c r="C11" s="16">
        <v>0.69791666666666663</v>
      </c>
      <c r="D11" s="15" t="s">
        <v>34</v>
      </c>
      <c r="E11" s="15" t="s">
        <v>32</v>
      </c>
      <c r="F11" s="15" t="s">
        <v>30</v>
      </c>
      <c r="G11" s="257"/>
      <c r="H11" s="10"/>
      <c r="I11" s="11"/>
      <c r="J11" s="11"/>
      <c r="K11" s="11"/>
      <c r="L11" s="11"/>
      <c r="M11" s="11"/>
      <c r="N11" s="11"/>
      <c r="O11" s="12"/>
      <c r="P11" s="11"/>
      <c r="Q11" s="13"/>
      <c r="R11" s="14"/>
    </row>
    <row r="12" spans="1:92" ht="15" customHeight="1" x14ac:dyDescent="0.3">
      <c r="A12" s="17" t="s">
        <v>26</v>
      </c>
      <c r="B12" s="17" t="s">
        <v>558</v>
      </c>
      <c r="C12" s="18">
        <v>0.63194444444444442</v>
      </c>
      <c r="D12" s="17" t="s">
        <v>28</v>
      </c>
      <c r="E12" s="17" t="s">
        <v>223</v>
      </c>
      <c r="F12" s="17" t="s">
        <v>556</v>
      </c>
      <c r="G12" s="257"/>
      <c r="H12" s="10"/>
      <c r="I12" s="11"/>
      <c r="J12" s="11"/>
      <c r="K12" s="11"/>
      <c r="L12" s="11"/>
      <c r="M12" s="11"/>
      <c r="N12" s="11"/>
      <c r="O12" s="12"/>
      <c r="P12" s="11"/>
      <c r="Q12" s="13"/>
      <c r="R12" s="14"/>
    </row>
    <row r="13" spans="1:92" ht="15" customHeight="1" x14ac:dyDescent="0.3">
      <c r="A13" s="15" t="s">
        <v>26</v>
      </c>
      <c r="B13" s="15" t="s">
        <v>558</v>
      </c>
      <c r="C13" s="16">
        <v>0.63194444444444442</v>
      </c>
      <c r="D13" s="15" t="s">
        <v>31</v>
      </c>
      <c r="E13" s="15" t="s">
        <v>32</v>
      </c>
      <c r="F13" s="15" t="s">
        <v>557</v>
      </c>
      <c r="G13" s="257"/>
      <c r="H13" s="10"/>
      <c r="I13" s="11"/>
      <c r="J13" s="11"/>
      <c r="K13" s="11"/>
      <c r="L13" s="11"/>
      <c r="M13" s="11"/>
      <c r="N13" s="11"/>
      <c r="O13" s="12"/>
      <c r="P13" s="11"/>
      <c r="Q13" s="13"/>
      <c r="R13" s="14"/>
    </row>
    <row r="14" spans="1:92" ht="15" customHeight="1" x14ac:dyDescent="0.3">
      <c r="A14" s="15" t="s">
        <v>26</v>
      </c>
      <c r="B14" s="15" t="s">
        <v>558</v>
      </c>
      <c r="C14" s="16">
        <v>0.63194444444444442</v>
      </c>
      <c r="D14" s="15" t="s">
        <v>34</v>
      </c>
      <c r="E14" s="15" t="s">
        <v>32</v>
      </c>
      <c r="F14" s="15" t="s">
        <v>30</v>
      </c>
      <c r="G14" s="257"/>
      <c r="H14" s="10"/>
      <c r="I14" s="11"/>
      <c r="J14" s="11"/>
      <c r="K14" s="11"/>
      <c r="L14" s="11"/>
      <c r="M14" s="11"/>
      <c r="N14" s="11"/>
      <c r="O14" s="12"/>
      <c r="P14" s="11"/>
      <c r="Q14" s="13"/>
      <c r="R14" s="14"/>
    </row>
    <row r="15" spans="1:92" ht="15" customHeight="1" x14ac:dyDescent="0.3">
      <c r="A15" s="17" t="s">
        <v>26</v>
      </c>
      <c r="B15" s="17" t="s">
        <v>559</v>
      </c>
      <c r="C15" s="18">
        <v>0.81944444444444453</v>
      </c>
      <c r="D15" s="17" t="s">
        <v>28</v>
      </c>
      <c r="E15" s="17" t="s">
        <v>223</v>
      </c>
      <c r="F15" s="17" t="s">
        <v>556</v>
      </c>
      <c r="G15" s="257"/>
      <c r="H15" s="10"/>
      <c r="I15" s="11"/>
      <c r="J15" s="11"/>
      <c r="K15" s="11"/>
      <c r="L15" s="11"/>
      <c r="M15" s="11"/>
      <c r="N15" s="11"/>
      <c r="O15" s="12"/>
      <c r="P15" s="11"/>
      <c r="Q15" s="13"/>
      <c r="R15" s="14"/>
    </row>
    <row r="16" spans="1:92" ht="15" customHeight="1" x14ac:dyDescent="0.3">
      <c r="A16" s="15" t="s">
        <v>26</v>
      </c>
      <c r="B16" s="15" t="s">
        <v>559</v>
      </c>
      <c r="C16" s="16">
        <v>0.81944444444444453</v>
      </c>
      <c r="D16" s="15" t="s">
        <v>31</v>
      </c>
      <c r="E16" s="15" t="s">
        <v>32</v>
      </c>
      <c r="F16" s="15" t="s">
        <v>557</v>
      </c>
      <c r="G16" s="257"/>
      <c r="H16" s="10"/>
      <c r="I16" s="11"/>
      <c r="J16" s="11"/>
      <c r="K16" s="11"/>
      <c r="L16" s="11"/>
      <c r="M16" s="11"/>
      <c r="N16" s="11"/>
      <c r="O16" s="12"/>
      <c r="P16" s="11"/>
      <c r="Q16" s="13"/>
      <c r="R16" s="14"/>
    </row>
    <row r="17" spans="1:18" ht="15" customHeight="1" x14ac:dyDescent="0.3">
      <c r="A17" s="15" t="s">
        <v>26</v>
      </c>
      <c r="B17" s="15" t="s">
        <v>559</v>
      </c>
      <c r="C17" s="16">
        <v>0.81944444444444453</v>
      </c>
      <c r="D17" s="15" t="s">
        <v>34</v>
      </c>
      <c r="E17" s="15" t="s">
        <v>32</v>
      </c>
      <c r="F17" s="15" t="s">
        <v>30</v>
      </c>
      <c r="G17" s="257"/>
      <c r="H17" s="10"/>
      <c r="I17" s="11"/>
      <c r="J17" s="11"/>
      <c r="K17" s="11"/>
      <c r="L17" s="11"/>
      <c r="M17" s="11"/>
      <c r="N17" s="11"/>
      <c r="O17" s="12"/>
      <c r="P17" s="11"/>
      <c r="Q17" s="13"/>
      <c r="R17" s="14"/>
    </row>
    <row r="18" spans="1:18" ht="15" customHeight="1" x14ac:dyDescent="0.3">
      <c r="A18" s="17" t="s">
        <v>26</v>
      </c>
      <c r="B18" s="17" t="s">
        <v>560</v>
      </c>
      <c r="C18" s="18">
        <v>0.55902777777777779</v>
      </c>
      <c r="D18" s="17" t="s">
        <v>28</v>
      </c>
      <c r="E18" s="17" t="s">
        <v>225</v>
      </c>
      <c r="F18" s="17" t="s">
        <v>556</v>
      </c>
      <c r="G18" s="257"/>
      <c r="H18" s="10"/>
      <c r="I18" s="11"/>
      <c r="J18" s="11"/>
      <c r="K18" s="11"/>
      <c r="L18" s="11"/>
      <c r="M18" s="11"/>
      <c r="N18" s="11"/>
      <c r="O18" s="12"/>
      <c r="P18" s="11"/>
      <c r="Q18" s="13"/>
      <c r="R18" s="14"/>
    </row>
    <row r="19" spans="1:18" ht="15" customHeight="1" x14ac:dyDescent="0.3">
      <c r="A19" s="15" t="s">
        <v>26</v>
      </c>
      <c r="B19" s="15" t="s">
        <v>560</v>
      </c>
      <c r="C19" s="16">
        <v>0.55902777777777779</v>
      </c>
      <c r="D19" s="15" t="s">
        <v>31</v>
      </c>
      <c r="E19" s="15" t="s">
        <v>226</v>
      </c>
      <c r="F19" s="15" t="s">
        <v>557</v>
      </c>
      <c r="G19" s="257"/>
      <c r="H19" s="10"/>
      <c r="I19" s="11"/>
      <c r="J19" s="11"/>
      <c r="K19" s="11"/>
      <c r="L19" s="11"/>
      <c r="M19" s="11"/>
      <c r="N19" s="11"/>
      <c r="O19" s="12"/>
      <c r="P19" s="11"/>
      <c r="Q19" s="13"/>
      <c r="R19" s="14"/>
    </row>
    <row r="20" spans="1:18" ht="15" customHeight="1" x14ac:dyDescent="0.3">
      <c r="A20" s="15" t="s">
        <v>26</v>
      </c>
      <c r="B20" s="15" t="s">
        <v>560</v>
      </c>
      <c r="C20" s="16">
        <v>0.55902777777777779</v>
      </c>
      <c r="D20" s="15" t="s">
        <v>34</v>
      </c>
      <c r="E20" s="15" t="s">
        <v>226</v>
      </c>
      <c r="F20" s="15" t="s">
        <v>30</v>
      </c>
      <c r="G20" s="257"/>
      <c r="H20" s="10"/>
      <c r="I20" s="11"/>
      <c r="J20" s="11"/>
      <c r="K20" s="11"/>
      <c r="L20" s="11"/>
      <c r="M20" s="11"/>
      <c r="N20" s="11"/>
      <c r="O20" s="12"/>
      <c r="P20" s="11"/>
      <c r="Q20" s="13"/>
      <c r="R20" s="14"/>
    </row>
    <row r="21" spans="1:18" ht="15" customHeight="1" x14ac:dyDescent="0.3">
      <c r="A21" s="17" t="s">
        <v>26</v>
      </c>
      <c r="B21" s="17" t="s">
        <v>561</v>
      </c>
      <c r="C21" s="18">
        <v>0.4375</v>
      </c>
      <c r="D21" s="17" t="s">
        <v>28</v>
      </c>
      <c r="E21" s="17" t="s">
        <v>223</v>
      </c>
      <c r="F21" s="17" t="s">
        <v>562</v>
      </c>
      <c r="G21" s="257"/>
      <c r="H21" s="10"/>
      <c r="I21" s="11"/>
      <c r="J21" s="11"/>
      <c r="K21" s="11"/>
      <c r="L21" s="11"/>
      <c r="M21" s="11"/>
      <c r="N21" s="11"/>
      <c r="O21" s="12"/>
      <c r="P21" s="11"/>
      <c r="Q21" s="13"/>
      <c r="R21" s="14"/>
    </row>
    <row r="22" spans="1:18" ht="15" customHeight="1" x14ac:dyDescent="0.3">
      <c r="A22" s="15" t="s">
        <v>26</v>
      </c>
      <c r="B22" s="15" t="s">
        <v>561</v>
      </c>
      <c r="C22" s="16">
        <v>0.4375</v>
      </c>
      <c r="D22" s="15" t="s">
        <v>31</v>
      </c>
      <c r="E22" s="15" t="s">
        <v>32</v>
      </c>
      <c r="F22" s="15" t="s">
        <v>563</v>
      </c>
      <c r="G22" s="257"/>
      <c r="H22" s="10"/>
      <c r="I22" s="11"/>
      <c r="J22" s="11"/>
      <c r="K22" s="11"/>
      <c r="L22" s="11"/>
      <c r="M22" s="11"/>
      <c r="N22" s="11"/>
      <c r="O22" s="12"/>
      <c r="P22" s="11"/>
      <c r="Q22" s="13"/>
      <c r="R22" s="14"/>
    </row>
    <row r="23" spans="1:18" ht="15" customHeight="1" x14ac:dyDescent="0.3">
      <c r="A23" s="15" t="s">
        <v>26</v>
      </c>
      <c r="B23" s="15" t="s">
        <v>561</v>
      </c>
      <c r="C23" s="16">
        <v>0.4375</v>
      </c>
      <c r="D23" s="15" t="s">
        <v>34</v>
      </c>
      <c r="E23" s="15" t="s">
        <v>32</v>
      </c>
      <c r="F23" s="15" t="s">
        <v>46</v>
      </c>
      <c r="G23" s="257"/>
      <c r="H23" s="10"/>
      <c r="I23" s="11"/>
      <c r="J23" s="11"/>
      <c r="K23" s="11"/>
      <c r="L23" s="11"/>
      <c r="M23" s="11"/>
      <c r="N23" s="11"/>
      <c r="O23" s="12"/>
      <c r="P23" s="11"/>
      <c r="Q23" s="13"/>
      <c r="R23" s="14"/>
    </row>
    <row r="24" spans="1:18" ht="15" customHeight="1" x14ac:dyDescent="0.3">
      <c r="A24" s="17" t="s">
        <v>26</v>
      </c>
      <c r="B24" s="17" t="s">
        <v>564</v>
      </c>
      <c r="C24" s="18">
        <v>0.50694444444444442</v>
      </c>
      <c r="D24" s="17" t="s">
        <v>28</v>
      </c>
      <c r="E24" s="17" t="s">
        <v>223</v>
      </c>
      <c r="F24" s="17" t="s">
        <v>562</v>
      </c>
      <c r="G24" s="257"/>
      <c r="H24" s="10"/>
      <c r="I24" s="11"/>
      <c r="J24" s="11"/>
      <c r="K24" s="11"/>
      <c r="L24" s="11"/>
      <c r="M24" s="11"/>
      <c r="N24" s="11"/>
      <c r="O24" s="12"/>
      <c r="P24" s="11"/>
      <c r="Q24" s="13"/>
      <c r="R24" s="14"/>
    </row>
    <row r="25" spans="1:18" ht="15" customHeight="1" x14ac:dyDescent="0.3">
      <c r="A25" s="15" t="s">
        <v>26</v>
      </c>
      <c r="B25" s="15" t="s">
        <v>564</v>
      </c>
      <c r="C25" s="16">
        <v>0.50694444444444442</v>
      </c>
      <c r="D25" s="15" t="s">
        <v>31</v>
      </c>
      <c r="E25" s="15" t="s">
        <v>32</v>
      </c>
      <c r="F25" s="15" t="s">
        <v>563</v>
      </c>
      <c r="G25" s="257"/>
      <c r="H25" s="10"/>
      <c r="I25" s="11"/>
      <c r="J25" s="11"/>
      <c r="K25" s="11"/>
      <c r="L25" s="11"/>
      <c r="M25" s="11"/>
      <c r="N25" s="11"/>
      <c r="O25" s="12"/>
      <c r="P25" s="11"/>
      <c r="Q25" s="13"/>
      <c r="R25" s="14"/>
    </row>
    <row r="26" spans="1:18" ht="15" customHeight="1" x14ac:dyDescent="0.3">
      <c r="A26" s="15" t="s">
        <v>26</v>
      </c>
      <c r="B26" s="15" t="s">
        <v>564</v>
      </c>
      <c r="C26" s="16">
        <v>0.50694444444444442</v>
      </c>
      <c r="D26" s="15" t="s">
        <v>34</v>
      </c>
      <c r="E26" s="15" t="s">
        <v>32</v>
      </c>
      <c r="F26" s="15" t="s">
        <v>46</v>
      </c>
      <c r="G26" s="257"/>
      <c r="H26" s="10"/>
      <c r="I26" s="11"/>
      <c r="J26" s="11"/>
      <c r="K26" s="11"/>
      <c r="L26" s="11"/>
      <c r="M26" s="11"/>
      <c r="N26" s="11"/>
      <c r="O26" s="12"/>
      <c r="P26" s="11"/>
      <c r="Q26" s="13"/>
      <c r="R26" s="14"/>
    </row>
    <row r="27" spans="1:18" ht="15" customHeight="1" x14ac:dyDescent="0.3">
      <c r="A27" s="19" t="s">
        <v>42</v>
      </c>
      <c r="B27" s="19" t="s">
        <v>565</v>
      </c>
      <c r="C27" s="20">
        <v>0.88888888888888884</v>
      </c>
      <c r="D27" s="19" t="s">
        <v>44</v>
      </c>
      <c r="E27" s="19" t="s">
        <v>566</v>
      </c>
      <c r="F27" s="19" t="s">
        <v>567</v>
      </c>
      <c r="G27" s="257"/>
      <c r="H27" s="10"/>
      <c r="I27" s="11"/>
      <c r="J27" s="11"/>
      <c r="K27" s="11"/>
      <c r="L27" s="11"/>
      <c r="M27" s="11"/>
      <c r="N27" s="11"/>
      <c r="O27" s="12"/>
      <c r="P27" s="11"/>
      <c r="Q27" s="13"/>
      <c r="R27" s="14"/>
    </row>
    <row r="28" spans="1:18" ht="15" customHeight="1" x14ac:dyDescent="0.3">
      <c r="A28" s="15" t="s">
        <v>42</v>
      </c>
      <c r="B28" s="15" t="s">
        <v>565</v>
      </c>
      <c r="C28" s="16">
        <v>0.88888888888888884</v>
      </c>
      <c r="D28" s="15" t="s">
        <v>47</v>
      </c>
      <c r="E28" s="15" t="s">
        <v>568</v>
      </c>
      <c r="F28" s="15" t="s">
        <v>462</v>
      </c>
      <c r="G28" s="257"/>
      <c r="H28" s="10"/>
      <c r="I28" s="11"/>
      <c r="J28" s="11"/>
      <c r="K28" s="11"/>
      <c r="L28" s="11"/>
      <c r="M28" s="11"/>
      <c r="N28" s="11"/>
      <c r="O28" s="12"/>
      <c r="P28" s="11"/>
      <c r="Q28" s="13"/>
      <c r="R28" s="14"/>
    </row>
    <row r="29" spans="1:18" ht="15" customHeight="1" x14ac:dyDescent="0.3">
      <c r="A29" s="15" t="s">
        <v>42</v>
      </c>
      <c r="B29" s="15" t="s">
        <v>565</v>
      </c>
      <c r="C29" s="16">
        <v>0.88888888888888884</v>
      </c>
      <c r="D29" s="15" t="s">
        <v>49</v>
      </c>
      <c r="E29" s="15" t="s">
        <v>568</v>
      </c>
      <c r="F29" s="15" t="s">
        <v>569</v>
      </c>
      <c r="G29" s="257"/>
      <c r="H29" s="10"/>
      <c r="I29" s="11"/>
      <c r="J29" s="11"/>
      <c r="K29" s="11"/>
      <c r="L29" s="11"/>
      <c r="M29" s="11"/>
      <c r="N29" s="11"/>
      <c r="O29" s="12"/>
      <c r="P29" s="11"/>
      <c r="Q29" s="13"/>
      <c r="R29" s="14"/>
    </row>
    <row r="30" spans="1:18" ht="15" customHeight="1" x14ac:dyDescent="0.3">
      <c r="A30" s="17" t="s">
        <v>42</v>
      </c>
      <c r="B30" s="17" t="s">
        <v>570</v>
      </c>
      <c r="C30" s="18">
        <v>0.62847222222222221</v>
      </c>
      <c r="D30" s="17" t="s">
        <v>44</v>
      </c>
      <c r="E30" s="17" t="s">
        <v>571</v>
      </c>
      <c r="F30" s="17" t="s">
        <v>567</v>
      </c>
      <c r="G30" s="257"/>
      <c r="H30" s="10"/>
      <c r="I30" s="11"/>
      <c r="J30" s="11"/>
      <c r="K30" s="11"/>
      <c r="L30" s="11"/>
      <c r="M30" s="11"/>
      <c r="N30" s="11"/>
      <c r="O30" s="12"/>
      <c r="P30" s="11"/>
      <c r="Q30" s="13"/>
      <c r="R30" s="14"/>
    </row>
    <row r="31" spans="1:18" ht="15" customHeight="1" x14ac:dyDescent="0.3">
      <c r="A31" s="15" t="s">
        <v>42</v>
      </c>
      <c r="B31" s="15" t="s">
        <v>570</v>
      </c>
      <c r="C31" s="16">
        <v>0.62847222222222221</v>
      </c>
      <c r="D31" s="15" t="s">
        <v>47</v>
      </c>
      <c r="E31" s="15" t="s">
        <v>572</v>
      </c>
      <c r="F31" s="15" t="s">
        <v>462</v>
      </c>
      <c r="G31" s="257"/>
      <c r="H31" s="10"/>
      <c r="I31" s="11"/>
      <c r="J31" s="11"/>
      <c r="K31" s="11"/>
      <c r="L31" s="11"/>
      <c r="M31" s="11"/>
      <c r="N31" s="11"/>
      <c r="O31" s="12"/>
      <c r="P31" s="11"/>
      <c r="Q31" s="13"/>
      <c r="R31" s="14"/>
    </row>
    <row r="32" spans="1:18" ht="15" customHeight="1" x14ac:dyDescent="0.3">
      <c r="A32" s="15" t="s">
        <v>42</v>
      </c>
      <c r="B32" s="15" t="s">
        <v>570</v>
      </c>
      <c r="C32" s="16">
        <v>0.62847222222222221</v>
      </c>
      <c r="D32" s="15" t="s">
        <v>49</v>
      </c>
      <c r="E32" s="15" t="s">
        <v>572</v>
      </c>
      <c r="F32" s="15" t="s">
        <v>569</v>
      </c>
      <c r="G32" s="257"/>
      <c r="H32" s="10"/>
      <c r="I32" s="11"/>
      <c r="J32" s="11"/>
      <c r="K32" s="11"/>
      <c r="L32" s="11"/>
      <c r="M32" s="11"/>
      <c r="N32" s="11"/>
      <c r="O32" s="12"/>
      <c r="P32" s="11"/>
      <c r="Q32" s="13"/>
      <c r="R32" s="14"/>
    </row>
    <row r="33" spans="1:18" ht="15" customHeight="1" x14ac:dyDescent="0.3">
      <c r="A33" s="17" t="s">
        <v>42</v>
      </c>
      <c r="B33" s="17" t="s">
        <v>573</v>
      </c>
      <c r="C33" s="18">
        <v>0.57638888888888895</v>
      </c>
      <c r="D33" s="17" t="s">
        <v>44</v>
      </c>
      <c r="E33" s="17" t="s">
        <v>574</v>
      </c>
      <c r="F33" s="17" t="s">
        <v>567</v>
      </c>
      <c r="G33" s="257"/>
      <c r="H33" s="10"/>
      <c r="I33" s="11"/>
      <c r="J33" s="11"/>
      <c r="K33" s="11"/>
      <c r="L33" s="11"/>
      <c r="M33" s="11"/>
      <c r="N33" s="11"/>
      <c r="O33" s="12"/>
      <c r="P33" s="11"/>
      <c r="Q33" s="13"/>
      <c r="R33" s="14"/>
    </row>
    <row r="34" spans="1:18" ht="15" customHeight="1" x14ac:dyDescent="0.3">
      <c r="A34" s="15" t="s">
        <v>42</v>
      </c>
      <c r="B34" s="15" t="s">
        <v>573</v>
      </c>
      <c r="C34" s="16">
        <v>0.57638888888888895</v>
      </c>
      <c r="D34" s="15" t="s">
        <v>47</v>
      </c>
      <c r="E34" s="15" t="s">
        <v>575</v>
      </c>
      <c r="F34" s="15" t="s">
        <v>462</v>
      </c>
      <c r="G34" s="257"/>
      <c r="H34" s="10"/>
      <c r="I34" s="11"/>
      <c r="J34" s="11"/>
      <c r="K34" s="11"/>
      <c r="L34" s="11"/>
      <c r="M34" s="11"/>
      <c r="N34" s="11"/>
      <c r="O34" s="12"/>
      <c r="P34" s="11"/>
      <c r="Q34" s="13"/>
      <c r="R34" s="14"/>
    </row>
    <row r="35" spans="1:18" ht="15" customHeight="1" x14ac:dyDescent="0.3">
      <c r="A35" s="15" t="s">
        <v>42</v>
      </c>
      <c r="B35" s="15" t="s">
        <v>573</v>
      </c>
      <c r="C35" s="16">
        <v>0.57638888888888895</v>
      </c>
      <c r="D35" s="15" t="s">
        <v>49</v>
      </c>
      <c r="E35" s="15" t="s">
        <v>575</v>
      </c>
      <c r="F35" s="15" t="s">
        <v>569</v>
      </c>
      <c r="G35" s="257"/>
      <c r="H35" s="10"/>
      <c r="I35" s="11"/>
      <c r="J35" s="11"/>
      <c r="K35" s="11"/>
      <c r="L35" s="11"/>
      <c r="M35" s="11"/>
      <c r="N35" s="11"/>
      <c r="O35" s="12"/>
      <c r="P35" s="11"/>
      <c r="Q35" s="13"/>
      <c r="R35" s="14"/>
    </row>
    <row r="36" spans="1:18" ht="15" customHeight="1" x14ac:dyDescent="0.3">
      <c r="A36" s="17" t="s">
        <v>42</v>
      </c>
      <c r="B36" s="17" t="s">
        <v>576</v>
      </c>
      <c r="C36" s="18">
        <v>0.94444444444444453</v>
      </c>
      <c r="D36" s="17" t="s">
        <v>44</v>
      </c>
      <c r="E36" s="17" t="s">
        <v>577</v>
      </c>
      <c r="F36" s="17" t="s">
        <v>567</v>
      </c>
      <c r="G36" s="257"/>
      <c r="H36" s="10"/>
      <c r="I36" s="11"/>
      <c r="J36" s="11"/>
      <c r="K36" s="11"/>
      <c r="L36" s="11"/>
      <c r="M36" s="11"/>
      <c r="N36" s="11"/>
      <c r="O36" s="12"/>
      <c r="P36" s="11"/>
      <c r="Q36" s="13"/>
      <c r="R36" s="14"/>
    </row>
    <row r="37" spans="1:18" ht="15" customHeight="1" x14ac:dyDescent="0.3">
      <c r="A37" s="15" t="s">
        <v>42</v>
      </c>
      <c r="B37" s="15" t="s">
        <v>576</v>
      </c>
      <c r="C37" s="16">
        <v>0.94444444444444453</v>
      </c>
      <c r="D37" s="15" t="s">
        <v>47</v>
      </c>
      <c r="E37" s="15" t="s">
        <v>578</v>
      </c>
      <c r="F37" s="15" t="s">
        <v>462</v>
      </c>
      <c r="G37" s="257"/>
      <c r="H37" s="10"/>
      <c r="I37" s="11"/>
      <c r="J37" s="11"/>
      <c r="K37" s="11"/>
      <c r="L37" s="11"/>
      <c r="M37" s="11"/>
      <c r="N37" s="11"/>
      <c r="O37" s="12"/>
      <c r="P37" s="11"/>
      <c r="Q37" s="13"/>
      <c r="R37" s="14"/>
    </row>
    <row r="38" spans="1:18" ht="15" customHeight="1" x14ac:dyDescent="0.3">
      <c r="A38" s="15" t="s">
        <v>42</v>
      </c>
      <c r="B38" s="15" t="s">
        <v>576</v>
      </c>
      <c r="C38" s="16">
        <v>0.94444444444444453</v>
      </c>
      <c r="D38" s="15" t="s">
        <v>49</v>
      </c>
      <c r="E38" s="15" t="s">
        <v>578</v>
      </c>
      <c r="F38" s="15" t="s">
        <v>569</v>
      </c>
      <c r="G38" s="257"/>
      <c r="H38" s="10"/>
      <c r="I38" s="11"/>
      <c r="J38" s="11"/>
      <c r="K38" s="11"/>
      <c r="L38" s="11"/>
      <c r="M38" s="11"/>
      <c r="N38" s="11"/>
      <c r="O38" s="12"/>
      <c r="P38" s="11"/>
      <c r="Q38" s="13"/>
      <c r="R38" s="14"/>
    </row>
    <row r="39" spans="1:18" ht="15" customHeight="1" x14ac:dyDescent="0.3">
      <c r="A39" s="19" t="s">
        <v>235</v>
      </c>
      <c r="B39" s="19" t="s">
        <v>579</v>
      </c>
      <c r="C39" s="20">
        <v>0.80208333333333337</v>
      </c>
      <c r="D39" s="19" t="s">
        <v>98</v>
      </c>
      <c r="E39" s="19" t="s">
        <v>453</v>
      </c>
      <c r="F39" s="19" t="s">
        <v>580</v>
      </c>
      <c r="G39" s="257"/>
      <c r="H39" s="10"/>
      <c r="I39" s="11"/>
      <c r="J39" s="11"/>
      <c r="K39" s="11"/>
      <c r="L39" s="11"/>
      <c r="M39" s="11"/>
      <c r="N39" s="11"/>
      <c r="O39" s="12"/>
      <c r="P39" s="11"/>
      <c r="Q39" s="13"/>
      <c r="R39" s="14"/>
    </row>
    <row r="40" spans="1:18" ht="15" customHeight="1" x14ac:dyDescent="0.3">
      <c r="A40" s="17" t="s">
        <v>235</v>
      </c>
      <c r="B40" s="17" t="s">
        <v>581</v>
      </c>
      <c r="C40" s="18">
        <v>0.1701388888888889</v>
      </c>
      <c r="D40" s="17" t="s">
        <v>98</v>
      </c>
      <c r="E40" s="17" t="s">
        <v>72</v>
      </c>
      <c r="F40" s="17" t="s">
        <v>580</v>
      </c>
      <c r="G40" s="257"/>
      <c r="H40" s="10"/>
      <c r="I40" s="11"/>
      <c r="J40" s="11"/>
      <c r="K40" s="11"/>
      <c r="L40" s="11"/>
      <c r="M40" s="11"/>
      <c r="N40" s="11"/>
      <c r="O40" s="12"/>
      <c r="P40" s="11"/>
      <c r="Q40" s="13"/>
      <c r="R40" s="14"/>
    </row>
    <row r="41" spans="1:18" ht="15" customHeight="1" x14ac:dyDescent="0.3">
      <c r="A41" s="17" t="s">
        <v>235</v>
      </c>
      <c r="B41" s="17" t="s">
        <v>582</v>
      </c>
      <c r="C41" s="18">
        <v>0.61458333333333337</v>
      </c>
      <c r="D41" s="17" t="s">
        <v>98</v>
      </c>
      <c r="E41" s="17" t="s">
        <v>72</v>
      </c>
      <c r="F41" s="17" t="s">
        <v>583</v>
      </c>
      <c r="G41" s="257"/>
      <c r="H41" s="10"/>
      <c r="I41" s="11"/>
      <c r="J41" s="11"/>
      <c r="K41" s="11"/>
      <c r="L41" s="11"/>
      <c r="M41" s="11"/>
      <c r="N41" s="11"/>
      <c r="O41" s="12"/>
      <c r="P41" s="11"/>
      <c r="Q41" s="13"/>
      <c r="R41" s="14"/>
    </row>
    <row r="42" spans="1:18" ht="15" customHeight="1" x14ac:dyDescent="0.3">
      <c r="A42" s="19" t="s">
        <v>328</v>
      </c>
      <c r="B42" s="19" t="s">
        <v>584</v>
      </c>
      <c r="C42" s="20">
        <v>9.0277777777777776E-2</v>
      </c>
      <c r="D42" s="19" t="s">
        <v>98</v>
      </c>
      <c r="E42" s="19" t="s">
        <v>45</v>
      </c>
      <c r="F42" s="19" t="s">
        <v>585</v>
      </c>
      <c r="G42" s="257"/>
      <c r="H42" s="10"/>
      <c r="I42" s="11"/>
      <c r="J42" s="11"/>
      <c r="K42" s="11"/>
      <c r="L42" s="11"/>
      <c r="M42" s="11"/>
      <c r="N42" s="11"/>
      <c r="O42" s="12"/>
      <c r="P42" s="11"/>
      <c r="Q42" s="13"/>
      <c r="R42" s="14"/>
    </row>
    <row r="43" spans="1:18" ht="15" customHeight="1" x14ac:dyDescent="0.3">
      <c r="A43" s="17" t="s">
        <v>328</v>
      </c>
      <c r="B43" s="17" t="s">
        <v>586</v>
      </c>
      <c r="C43" s="18">
        <v>0.69097222222222221</v>
      </c>
      <c r="D43" s="17" t="s">
        <v>98</v>
      </c>
      <c r="E43" s="17" t="s">
        <v>72</v>
      </c>
      <c r="F43" s="17" t="s">
        <v>587</v>
      </c>
      <c r="G43" s="257"/>
      <c r="H43" s="10"/>
      <c r="I43" s="11"/>
      <c r="J43" s="11"/>
      <c r="K43" s="11"/>
      <c r="L43" s="11"/>
      <c r="M43" s="11"/>
      <c r="N43" s="11"/>
      <c r="O43" s="12"/>
      <c r="P43" s="11"/>
      <c r="Q43" s="13"/>
      <c r="R43" s="14"/>
    </row>
    <row r="44" spans="1:18" ht="15" customHeight="1" x14ac:dyDescent="0.3">
      <c r="A44" s="104" t="s">
        <v>78</v>
      </c>
      <c r="B44" s="104" t="s">
        <v>588</v>
      </c>
      <c r="C44" s="105">
        <v>0.41319444444444442</v>
      </c>
      <c r="D44" s="104" t="s">
        <v>98</v>
      </c>
      <c r="E44" s="104" t="s">
        <v>54</v>
      </c>
      <c r="F44" s="104" t="s">
        <v>589</v>
      </c>
      <c r="G44" s="257"/>
      <c r="H44" s="106" t="s">
        <v>590</v>
      </c>
      <c r="I44" s="125">
        <v>0.57540000000000002</v>
      </c>
      <c r="J44" s="108">
        <v>103</v>
      </c>
      <c r="K44" s="109">
        <v>45980</v>
      </c>
      <c r="L44" s="108">
        <v>45</v>
      </c>
      <c r="M44" s="108">
        <v>1</v>
      </c>
      <c r="N44" s="108">
        <v>5</v>
      </c>
      <c r="O44" s="110" t="s">
        <v>591</v>
      </c>
      <c r="P44" s="111">
        <v>0.41319444444444442</v>
      </c>
      <c r="Q44" s="108">
        <v>179</v>
      </c>
      <c r="R44" s="112" t="s">
        <v>592</v>
      </c>
    </row>
    <row r="45" spans="1:18" ht="15" customHeight="1" x14ac:dyDescent="0.3">
      <c r="A45" s="19" t="s">
        <v>260</v>
      </c>
      <c r="B45" s="19" t="s">
        <v>593</v>
      </c>
      <c r="C45" s="20">
        <v>0.4375</v>
      </c>
      <c r="D45" s="19" t="s">
        <v>262</v>
      </c>
      <c r="E45" s="19" t="s">
        <v>45</v>
      </c>
      <c r="F45" s="19" t="s">
        <v>594</v>
      </c>
      <c r="G45" s="257"/>
      <c r="H45" s="10"/>
      <c r="I45" s="11"/>
      <c r="J45" s="11"/>
      <c r="K45" s="11"/>
      <c r="L45" s="11"/>
      <c r="M45" s="11"/>
      <c r="N45" s="11"/>
      <c r="O45" s="12"/>
      <c r="P45" s="11"/>
      <c r="Q45" s="13"/>
      <c r="R45" s="14"/>
    </row>
    <row r="46" spans="1:18" ht="15" customHeight="1" x14ac:dyDescent="0.3">
      <c r="A46" s="15" t="s">
        <v>260</v>
      </c>
      <c r="B46" s="15" t="s">
        <v>593</v>
      </c>
      <c r="C46" s="16">
        <v>0.4375</v>
      </c>
      <c r="D46" s="15" t="s">
        <v>49</v>
      </c>
      <c r="E46" s="15" t="s">
        <v>48</v>
      </c>
      <c r="F46" s="15" t="s">
        <v>595</v>
      </c>
      <c r="G46" s="257"/>
      <c r="H46" s="10"/>
      <c r="I46" s="11"/>
      <c r="J46" s="11"/>
      <c r="K46" s="11"/>
      <c r="L46" s="11"/>
      <c r="M46" s="11"/>
      <c r="N46" s="11"/>
      <c r="O46" s="12"/>
      <c r="P46" s="11"/>
      <c r="Q46" s="13"/>
      <c r="R46" s="14"/>
    </row>
    <row r="47" spans="1:18" ht="15" customHeight="1" x14ac:dyDescent="0.3">
      <c r="A47" s="19" t="s">
        <v>67</v>
      </c>
      <c r="B47" s="19" t="s">
        <v>596</v>
      </c>
      <c r="C47" s="20">
        <v>0.98263888888888884</v>
      </c>
      <c r="D47" s="19" t="s">
        <v>69</v>
      </c>
      <c r="E47" s="19" t="s">
        <v>54</v>
      </c>
      <c r="F47" s="19" t="s">
        <v>597</v>
      </c>
      <c r="G47" s="257"/>
      <c r="H47" s="10"/>
      <c r="I47" s="11"/>
      <c r="J47" s="11"/>
      <c r="K47" s="11"/>
      <c r="L47" s="11"/>
      <c r="M47" s="11"/>
      <c r="N47" s="11"/>
      <c r="O47" s="12"/>
      <c r="P47" s="11"/>
      <c r="Q47" s="13"/>
      <c r="R47" s="14"/>
    </row>
    <row r="48" spans="1:18" ht="15" customHeight="1" x14ac:dyDescent="0.3">
      <c r="A48" s="17" t="s">
        <v>67</v>
      </c>
      <c r="B48" s="17" t="s">
        <v>598</v>
      </c>
      <c r="C48" s="18">
        <v>0.35416666666666669</v>
      </c>
      <c r="D48" s="17" t="s">
        <v>69</v>
      </c>
      <c r="E48" s="17" t="s">
        <v>225</v>
      </c>
      <c r="F48" s="17" t="s">
        <v>597</v>
      </c>
      <c r="G48" s="257"/>
      <c r="H48" s="10"/>
      <c r="I48" s="11"/>
      <c r="J48" s="11"/>
      <c r="K48" s="11"/>
      <c r="L48" s="11"/>
      <c r="M48" s="11"/>
      <c r="N48" s="11"/>
      <c r="O48" s="12"/>
      <c r="P48" s="11"/>
      <c r="Q48" s="13"/>
      <c r="R48" s="14"/>
    </row>
    <row r="49" spans="1:18" ht="15" customHeight="1" x14ac:dyDescent="0.3">
      <c r="A49" s="17" t="s">
        <v>67</v>
      </c>
      <c r="B49" s="17" t="s">
        <v>599</v>
      </c>
      <c r="C49" s="18">
        <v>0.72916666666666663</v>
      </c>
      <c r="D49" s="17" t="s">
        <v>69</v>
      </c>
      <c r="E49" s="17" t="s">
        <v>65</v>
      </c>
      <c r="F49" s="17" t="s">
        <v>600</v>
      </c>
      <c r="G49" s="257"/>
      <c r="H49" s="10"/>
      <c r="I49" s="11"/>
      <c r="J49" s="11"/>
      <c r="K49" s="11"/>
      <c r="L49" s="11"/>
      <c r="M49" s="11"/>
      <c r="N49" s="11"/>
      <c r="O49" s="12"/>
      <c r="P49" s="11"/>
      <c r="Q49" s="13"/>
      <c r="R49" s="14"/>
    </row>
    <row r="50" spans="1:18" ht="15" customHeight="1" x14ac:dyDescent="0.3">
      <c r="A50" s="19" t="s">
        <v>51</v>
      </c>
      <c r="B50" s="19" t="s">
        <v>601</v>
      </c>
      <c r="C50" s="20">
        <v>0.98263888888888884</v>
      </c>
      <c r="D50" s="19" t="s">
        <v>53</v>
      </c>
      <c r="E50" s="19" t="s">
        <v>54</v>
      </c>
      <c r="F50" s="19" t="s">
        <v>602</v>
      </c>
      <c r="G50" s="257"/>
      <c r="H50" s="10"/>
      <c r="I50" s="11"/>
      <c r="J50" s="11"/>
      <c r="K50" s="11"/>
      <c r="L50" s="11"/>
      <c r="M50" s="11"/>
      <c r="N50" s="11"/>
      <c r="O50" s="12"/>
      <c r="P50" s="11"/>
      <c r="Q50" s="13"/>
      <c r="R50" s="14"/>
    </row>
    <row r="51" spans="1:18" ht="15" customHeight="1" x14ac:dyDescent="0.3">
      <c r="A51" s="15" t="s">
        <v>51</v>
      </c>
      <c r="B51" s="15" t="s">
        <v>601</v>
      </c>
      <c r="C51" s="16">
        <v>0.98263888888888884</v>
      </c>
      <c r="D51" s="15" t="s">
        <v>56</v>
      </c>
      <c r="E51" s="15" t="s">
        <v>57</v>
      </c>
      <c r="F51" s="15" t="s">
        <v>603</v>
      </c>
      <c r="G51" s="257"/>
      <c r="H51" s="10"/>
      <c r="I51" s="11"/>
      <c r="J51" s="11"/>
      <c r="K51" s="11"/>
      <c r="L51" s="11"/>
      <c r="M51" s="11"/>
      <c r="N51" s="11"/>
      <c r="O51" s="12"/>
      <c r="P51" s="11"/>
      <c r="Q51" s="13"/>
      <c r="R51" s="14"/>
    </row>
    <row r="52" spans="1:18" ht="15" customHeight="1" x14ac:dyDescent="0.3">
      <c r="A52" s="17" t="s">
        <v>51</v>
      </c>
      <c r="B52" s="17" t="s">
        <v>604</v>
      </c>
      <c r="C52" s="18">
        <v>0.88888888888888884</v>
      </c>
      <c r="D52" s="17" t="s">
        <v>56</v>
      </c>
      <c r="E52" s="17" t="s">
        <v>62</v>
      </c>
      <c r="F52" s="17" t="s">
        <v>605</v>
      </c>
      <c r="G52" s="257"/>
      <c r="H52" s="10"/>
      <c r="I52" s="11"/>
      <c r="J52" s="11"/>
      <c r="K52" s="11"/>
      <c r="L52" s="11"/>
      <c r="M52" s="11"/>
      <c r="N52" s="11"/>
      <c r="O52" s="12"/>
      <c r="P52" s="11"/>
      <c r="Q52" s="13"/>
      <c r="R52" s="14"/>
    </row>
    <row r="53" spans="1:18" ht="15" customHeight="1" x14ac:dyDescent="0.3">
      <c r="A53" s="17" t="s">
        <v>51</v>
      </c>
      <c r="B53" s="17" t="s">
        <v>606</v>
      </c>
      <c r="C53" s="18">
        <v>0.94444444444444453</v>
      </c>
      <c r="D53" s="17" t="s">
        <v>56</v>
      </c>
      <c r="E53" s="17" t="s">
        <v>62</v>
      </c>
      <c r="F53" s="17" t="s">
        <v>605</v>
      </c>
      <c r="G53" s="257"/>
      <c r="H53" s="10"/>
      <c r="I53" s="11"/>
      <c r="J53" s="11"/>
      <c r="K53" s="11"/>
      <c r="L53" s="11"/>
      <c r="M53" s="11"/>
      <c r="N53" s="11"/>
      <c r="O53" s="12"/>
      <c r="P53" s="11"/>
      <c r="Q53" s="13"/>
      <c r="R53" s="14"/>
    </row>
    <row r="54" spans="1:18" ht="15" customHeight="1" x14ac:dyDescent="0.3">
      <c r="A54" s="17" t="s">
        <v>51</v>
      </c>
      <c r="B54" s="17" t="s">
        <v>607</v>
      </c>
      <c r="C54" s="18">
        <v>0.62847222222222221</v>
      </c>
      <c r="D54" s="17" t="s">
        <v>56</v>
      </c>
      <c r="E54" s="17" t="s">
        <v>62</v>
      </c>
      <c r="F54" s="17" t="s">
        <v>605</v>
      </c>
      <c r="G54" s="257"/>
      <c r="H54" s="10"/>
      <c r="I54" s="11"/>
      <c r="J54" s="11"/>
      <c r="K54" s="11"/>
      <c r="L54" s="11"/>
      <c r="M54" s="11"/>
      <c r="N54" s="11"/>
      <c r="O54" s="12"/>
      <c r="P54" s="11"/>
      <c r="Q54" s="13"/>
      <c r="R54" s="14"/>
    </row>
    <row r="55" spans="1:18" ht="15" customHeight="1" x14ac:dyDescent="0.3">
      <c r="A55" s="17" t="s">
        <v>51</v>
      </c>
      <c r="B55" s="17" t="s">
        <v>608</v>
      </c>
      <c r="C55" s="18">
        <v>0.44444444444444442</v>
      </c>
      <c r="D55" s="17" t="s">
        <v>56</v>
      </c>
      <c r="E55" s="17" t="s">
        <v>94</v>
      </c>
      <c r="F55" s="17" t="s">
        <v>609</v>
      </c>
      <c r="G55" s="257"/>
      <c r="H55" s="10"/>
      <c r="I55" s="11"/>
      <c r="J55" s="11"/>
      <c r="K55" s="11"/>
      <c r="L55" s="11"/>
      <c r="M55" s="11"/>
      <c r="N55" s="11"/>
      <c r="O55" s="12"/>
      <c r="P55" s="11"/>
      <c r="Q55" s="13"/>
      <c r="R55" s="14"/>
    </row>
    <row r="56" spans="1:18" ht="15" customHeight="1" x14ac:dyDescent="0.3">
      <c r="A56" s="17" t="s">
        <v>51</v>
      </c>
      <c r="B56" s="17" t="s">
        <v>610</v>
      </c>
      <c r="C56" s="18">
        <v>0.82986111111111116</v>
      </c>
      <c r="D56" s="17" t="s">
        <v>56</v>
      </c>
      <c r="E56" s="17" t="s">
        <v>72</v>
      </c>
      <c r="F56" s="17" t="s">
        <v>609</v>
      </c>
      <c r="G56" s="257"/>
      <c r="H56" s="10"/>
      <c r="I56" s="11"/>
      <c r="J56" s="11"/>
      <c r="K56" s="11"/>
      <c r="L56" s="11"/>
      <c r="M56" s="11"/>
      <c r="N56" s="11"/>
      <c r="O56" s="12"/>
      <c r="P56" s="11"/>
      <c r="Q56" s="13"/>
      <c r="R56" s="14"/>
    </row>
    <row r="57" spans="1:18" ht="15" customHeight="1" thickBot="1" x14ac:dyDescent="0.35">
      <c r="A57" s="39" t="s">
        <v>51</v>
      </c>
      <c r="B57" s="39" t="s">
        <v>611</v>
      </c>
      <c r="C57" s="40">
        <v>0.62847222222222221</v>
      </c>
      <c r="D57" s="39" t="s">
        <v>56</v>
      </c>
      <c r="E57" s="39" t="s">
        <v>72</v>
      </c>
      <c r="F57" s="39" t="s">
        <v>609</v>
      </c>
      <c r="G57" s="258"/>
      <c r="H57" s="41"/>
      <c r="I57" s="42"/>
      <c r="J57" s="42"/>
      <c r="K57" s="42"/>
      <c r="L57" s="42"/>
      <c r="M57" s="42"/>
      <c r="N57" s="42"/>
      <c r="O57" s="43"/>
      <c r="P57" s="42"/>
      <c r="Q57" s="44"/>
      <c r="R57" s="45"/>
    </row>
    <row r="58" spans="1:18" ht="17.399999999999999" customHeight="1" thickBot="1" x14ac:dyDescent="0.35">
      <c r="A58" s="285"/>
      <c r="B58" s="286"/>
      <c r="C58" s="286"/>
      <c r="D58" s="286"/>
      <c r="E58" s="286"/>
      <c r="F58" s="286"/>
      <c r="G58" s="286"/>
      <c r="H58" s="286"/>
      <c r="I58" s="286"/>
      <c r="J58" s="286"/>
      <c r="K58" s="286"/>
      <c r="L58" s="286"/>
      <c r="M58" s="286"/>
      <c r="N58" s="286"/>
      <c r="O58" s="286"/>
      <c r="P58" s="286"/>
      <c r="Q58" s="286"/>
      <c r="R58" s="287"/>
    </row>
    <row r="59" spans="1:18" ht="22.05" customHeight="1" thickTop="1" thickBot="1" x14ac:dyDescent="0.35">
      <c r="A59" s="259" t="s">
        <v>6</v>
      </c>
      <c r="B59" s="254"/>
      <c r="C59" s="254"/>
      <c r="D59" s="254"/>
      <c r="E59" s="254"/>
      <c r="F59" s="255"/>
      <c r="G59" s="31">
        <v>45982</v>
      </c>
      <c r="H59" s="253" t="s">
        <v>7</v>
      </c>
      <c r="I59" s="254"/>
      <c r="J59" s="254"/>
      <c r="K59" s="254"/>
      <c r="L59" s="254"/>
      <c r="M59" s="254"/>
      <c r="N59" s="254"/>
      <c r="O59" s="254"/>
      <c r="P59" s="254"/>
      <c r="Q59" s="254"/>
      <c r="R59" s="255"/>
    </row>
    <row r="60" spans="1:18" ht="24" customHeight="1" x14ac:dyDescent="0.3">
      <c r="A60" s="32" t="s">
        <v>8</v>
      </c>
      <c r="B60" s="32" t="s">
        <v>9</v>
      </c>
      <c r="C60" s="33" t="s">
        <v>10</v>
      </c>
      <c r="D60" s="32" t="s">
        <v>11</v>
      </c>
      <c r="E60" s="32" t="s">
        <v>12</v>
      </c>
      <c r="F60" s="34" t="s">
        <v>13</v>
      </c>
      <c r="G60" s="35" t="s">
        <v>14</v>
      </c>
      <c r="H60" s="32" t="s">
        <v>15</v>
      </c>
      <c r="I60" s="36" t="s">
        <v>16</v>
      </c>
      <c r="J60" s="37" t="s">
        <v>17</v>
      </c>
      <c r="K60" s="38" t="s">
        <v>18</v>
      </c>
      <c r="L60" s="37" t="s">
        <v>19</v>
      </c>
      <c r="M60" s="37" t="s">
        <v>20</v>
      </c>
      <c r="N60" s="37" t="s">
        <v>21</v>
      </c>
      <c r="O60" s="32" t="s">
        <v>22</v>
      </c>
      <c r="P60" s="33" t="s">
        <v>23</v>
      </c>
      <c r="Q60" s="37" t="s">
        <v>24</v>
      </c>
      <c r="R60" s="32" t="s">
        <v>25</v>
      </c>
    </row>
    <row r="61" spans="1:18" ht="15" customHeight="1" x14ac:dyDescent="0.3">
      <c r="A61" s="8" t="s">
        <v>42</v>
      </c>
      <c r="B61" s="8" t="s">
        <v>570</v>
      </c>
      <c r="C61" s="9">
        <v>0.62847222222222221</v>
      </c>
      <c r="D61" s="8" t="s">
        <v>44</v>
      </c>
      <c r="E61" s="8" t="s">
        <v>612</v>
      </c>
      <c r="F61" s="8" t="s">
        <v>567</v>
      </c>
      <c r="G61" s="256"/>
      <c r="H61" s="10"/>
      <c r="I61" s="11"/>
      <c r="J61" s="11"/>
      <c r="K61" s="11"/>
      <c r="L61" s="11"/>
      <c r="M61" s="11"/>
      <c r="N61" s="11"/>
      <c r="O61" s="12"/>
      <c r="P61" s="11"/>
      <c r="Q61" s="13"/>
      <c r="R61" s="14"/>
    </row>
    <row r="62" spans="1:18" ht="15" customHeight="1" x14ac:dyDescent="0.3">
      <c r="A62" s="15" t="s">
        <v>42</v>
      </c>
      <c r="B62" s="15" t="s">
        <v>570</v>
      </c>
      <c r="C62" s="16">
        <v>0.62847222222222221</v>
      </c>
      <c r="D62" s="15" t="s">
        <v>47</v>
      </c>
      <c r="E62" s="15" t="s">
        <v>613</v>
      </c>
      <c r="F62" s="15" t="s">
        <v>462</v>
      </c>
      <c r="G62" s="257"/>
      <c r="H62" s="10"/>
      <c r="I62" s="11"/>
      <c r="J62" s="11"/>
      <c r="K62" s="11"/>
      <c r="L62" s="11"/>
      <c r="M62" s="11"/>
      <c r="N62" s="11"/>
      <c r="O62" s="12"/>
      <c r="P62" s="11"/>
      <c r="Q62" s="13"/>
      <c r="R62" s="14"/>
    </row>
    <row r="63" spans="1:18" ht="15" customHeight="1" x14ac:dyDescent="0.3">
      <c r="A63" s="15" t="s">
        <v>42</v>
      </c>
      <c r="B63" s="15" t="s">
        <v>570</v>
      </c>
      <c r="C63" s="16">
        <v>0.62847222222222221</v>
      </c>
      <c r="D63" s="15" t="s">
        <v>49</v>
      </c>
      <c r="E63" s="15" t="s">
        <v>613</v>
      </c>
      <c r="F63" s="15" t="s">
        <v>569</v>
      </c>
      <c r="G63" s="257"/>
      <c r="H63" s="10"/>
      <c r="I63" s="11"/>
      <c r="J63" s="11"/>
      <c r="K63" s="11"/>
      <c r="L63" s="11"/>
      <c r="M63" s="11"/>
      <c r="N63" s="11"/>
      <c r="O63" s="12"/>
      <c r="P63" s="11"/>
      <c r="Q63" s="13"/>
      <c r="R63" s="14"/>
    </row>
    <row r="64" spans="1:18" ht="15" customHeight="1" x14ac:dyDescent="0.3">
      <c r="A64" s="17" t="s">
        <v>42</v>
      </c>
      <c r="B64" s="17" t="s">
        <v>573</v>
      </c>
      <c r="C64" s="18">
        <v>0.57638888888888895</v>
      </c>
      <c r="D64" s="17" t="s">
        <v>44</v>
      </c>
      <c r="E64" s="17" t="s">
        <v>614</v>
      </c>
      <c r="F64" s="17" t="s">
        <v>567</v>
      </c>
      <c r="G64" s="257"/>
      <c r="H64" s="10"/>
      <c r="I64" s="11"/>
      <c r="J64" s="11"/>
      <c r="K64" s="11"/>
      <c r="L64" s="11"/>
      <c r="M64" s="11"/>
      <c r="N64" s="11"/>
      <c r="O64" s="12"/>
      <c r="P64" s="11"/>
      <c r="Q64" s="13"/>
      <c r="R64" s="14"/>
    </row>
    <row r="65" spans="1:18" ht="15" customHeight="1" x14ac:dyDescent="0.3">
      <c r="A65" s="15" t="s">
        <v>42</v>
      </c>
      <c r="B65" s="15" t="s">
        <v>573</v>
      </c>
      <c r="C65" s="16">
        <v>0.57638888888888895</v>
      </c>
      <c r="D65" s="15" t="s">
        <v>47</v>
      </c>
      <c r="E65" s="15" t="s">
        <v>615</v>
      </c>
      <c r="F65" s="15" t="s">
        <v>462</v>
      </c>
      <c r="G65" s="257"/>
      <c r="H65" s="10"/>
      <c r="I65" s="11"/>
      <c r="J65" s="11"/>
      <c r="K65" s="11"/>
      <c r="L65" s="11"/>
      <c r="M65" s="11"/>
      <c r="N65" s="11"/>
      <c r="O65" s="12"/>
      <c r="P65" s="11"/>
      <c r="Q65" s="13"/>
      <c r="R65" s="14"/>
    </row>
    <row r="66" spans="1:18" ht="15" customHeight="1" x14ac:dyDescent="0.3">
      <c r="A66" s="15" t="s">
        <v>42</v>
      </c>
      <c r="B66" s="15" t="s">
        <v>573</v>
      </c>
      <c r="C66" s="16">
        <v>0.57638888888888895</v>
      </c>
      <c r="D66" s="15" t="s">
        <v>49</v>
      </c>
      <c r="E66" s="15" t="s">
        <v>615</v>
      </c>
      <c r="F66" s="15" t="s">
        <v>569</v>
      </c>
      <c r="G66" s="257"/>
      <c r="H66" s="10"/>
      <c r="I66" s="11"/>
      <c r="J66" s="11"/>
      <c r="K66" s="11"/>
      <c r="L66" s="11"/>
      <c r="M66" s="11"/>
      <c r="N66" s="11"/>
      <c r="O66" s="12"/>
      <c r="P66" s="11"/>
      <c r="Q66" s="13"/>
      <c r="R66" s="14"/>
    </row>
    <row r="67" spans="1:18" ht="15" customHeight="1" x14ac:dyDescent="0.3">
      <c r="A67" s="17" t="s">
        <v>42</v>
      </c>
      <c r="B67" s="17" t="s">
        <v>565</v>
      </c>
      <c r="C67" s="18">
        <v>0.88888888888888884</v>
      </c>
      <c r="D67" s="17" t="s">
        <v>44</v>
      </c>
      <c r="E67" s="17" t="s">
        <v>616</v>
      </c>
      <c r="F67" s="17" t="s">
        <v>617</v>
      </c>
      <c r="G67" s="257"/>
      <c r="H67" s="10"/>
      <c r="I67" s="11"/>
      <c r="J67" s="11"/>
      <c r="K67" s="11"/>
      <c r="L67" s="11"/>
      <c r="M67" s="11"/>
      <c r="N67" s="11"/>
      <c r="O67" s="12"/>
      <c r="P67" s="11"/>
      <c r="Q67" s="13"/>
      <c r="R67" s="14"/>
    </row>
    <row r="68" spans="1:18" ht="15" customHeight="1" x14ac:dyDescent="0.3">
      <c r="A68" s="15" t="s">
        <v>42</v>
      </c>
      <c r="B68" s="15" t="s">
        <v>565</v>
      </c>
      <c r="C68" s="16">
        <v>0.88888888888888884</v>
      </c>
      <c r="D68" s="15" t="s">
        <v>47</v>
      </c>
      <c r="E68" s="15" t="s">
        <v>618</v>
      </c>
      <c r="F68" s="15" t="s">
        <v>207</v>
      </c>
      <c r="G68" s="257"/>
      <c r="H68" s="10"/>
      <c r="I68" s="11"/>
      <c r="J68" s="11"/>
      <c r="K68" s="11"/>
      <c r="L68" s="11"/>
      <c r="M68" s="11"/>
      <c r="N68" s="11"/>
      <c r="O68" s="12"/>
      <c r="P68" s="11"/>
      <c r="Q68" s="13"/>
      <c r="R68" s="14"/>
    </row>
    <row r="69" spans="1:18" ht="15" customHeight="1" x14ac:dyDescent="0.3">
      <c r="A69" s="15" t="s">
        <v>42</v>
      </c>
      <c r="B69" s="15" t="s">
        <v>565</v>
      </c>
      <c r="C69" s="16">
        <v>0.88888888888888884</v>
      </c>
      <c r="D69" s="15" t="s">
        <v>49</v>
      </c>
      <c r="E69" s="15" t="s">
        <v>618</v>
      </c>
      <c r="F69" s="15" t="s">
        <v>569</v>
      </c>
      <c r="G69" s="257"/>
      <c r="H69" s="10"/>
      <c r="I69" s="11"/>
      <c r="J69" s="11"/>
      <c r="K69" s="11"/>
      <c r="L69" s="11"/>
      <c r="M69" s="11"/>
      <c r="N69" s="11"/>
      <c r="O69" s="12"/>
      <c r="P69" s="11"/>
      <c r="Q69" s="13"/>
      <c r="R69" s="14"/>
    </row>
    <row r="70" spans="1:18" ht="15" customHeight="1" x14ac:dyDescent="0.3">
      <c r="A70" s="17" t="s">
        <v>42</v>
      </c>
      <c r="B70" s="17" t="s">
        <v>576</v>
      </c>
      <c r="C70" s="18">
        <v>0.94444444444444453</v>
      </c>
      <c r="D70" s="17" t="s">
        <v>44</v>
      </c>
      <c r="E70" s="17" t="s">
        <v>619</v>
      </c>
      <c r="F70" s="17" t="s">
        <v>617</v>
      </c>
      <c r="G70" s="257"/>
      <c r="H70" s="10"/>
      <c r="I70" s="11"/>
      <c r="J70" s="11"/>
      <c r="K70" s="11"/>
      <c r="L70" s="11"/>
      <c r="M70" s="11"/>
      <c r="N70" s="11"/>
      <c r="O70" s="12"/>
      <c r="P70" s="11"/>
      <c r="Q70" s="13"/>
      <c r="R70" s="14"/>
    </row>
    <row r="71" spans="1:18" ht="15" customHeight="1" x14ac:dyDescent="0.3">
      <c r="A71" s="15" t="s">
        <v>42</v>
      </c>
      <c r="B71" s="15" t="s">
        <v>576</v>
      </c>
      <c r="C71" s="16">
        <v>0.94444444444444453</v>
      </c>
      <c r="D71" s="15" t="s">
        <v>47</v>
      </c>
      <c r="E71" s="15" t="s">
        <v>620</v>
      </c>
      <c r="F71" s="15" t="s">
        <v>207</v>
      </c>
      <c r="G71" s="257"/>
      <c r="H71" s="10"/>
      <c r="I71" s="11"/>
      <c r="J71" s="11"/>
      <c r="K71" s="11"/>
      <c r="L71" s="11"/>
      <c r="M71" s="11"/>
      <c r="N71" s="11"/>
      <c r="O71" s="12"/>
      <c r="P71" s="11"/>
      <c r="Q71" s="13"/>
      <c r="R71" s="14"/>
    </row>
    <row r="72" spans="1:18" ht="15" customHeight="1" x14ac:dyDescent="0.3">
      <c r="A72" s="15" t="s">
        <v>42</v>
      </c>
      <c r="B72" s="15" t="s">
        <v>576</v>
      </c>
      <c r="C72" s="16">
        <v>0.94444444444444453</v>
      </c>
      <c r="D72" s="15" t="s">
        <v>49</v>
      </c>
      <c r="E72" s="15" t="s">
        <v>620</v>
      </c>
      <c r="F72" s="15" t="s">
        <v>569</v>
      </c>
      <c r="G72" s="257"/>
      <c r="H72" s="10"/>
      <c r="I72" s="11"/>
      <c r="J72" s="11"/>
      <c r="K72" s="11"/>
      <c r="L72" s="11"/>
      <c r="M72" s="11"/>
      <c r="N72" s="11"/>
      <c r="O72" s="12"/>
      <c r="P72" s="11"/>
      <c r="Q72" s="13"/>
      <c r="R72" s="14"/>
    </row>
    <row r="73" spans="1:18" ht="15" customHeight="1" x14ac:dyDescent="0.3">
      <c r="A73" s="19" t="s">
        <v>26</v>
      </c>
      <c r="B73" s="19" t="s">
        <v>558</v>
      </c>
      <c r="C73" s="20">
        <v>0.63194444444444442</v>
      </c>
      <c r="D73" s="19" t="s">
        <v>28</v>
      </c>
      <c r="E73" s="19" t="s">
        <v>99</v>
      </c>
      <c r="F73" s="19" t="s">
        <v>556</v>
      </c>
      <c r="G73" s="257"/>
      <c r="H73" s="10"/>
      <c r="I73" s="11"/>
      <c r="J73" s="11"/>
      <c r="K73" s="11"/>
      <c r="L73" s="11"/>
      <c r="M73" s="11"/>
      <c r="N73" s="11"/>
      <c r="O73" s="12"/>
      <c r="P73" s="11"/>
      <c r="Q73" s="13"/>
      <c r="R73" s="14"/>
    </row>
    <row r="74" spans="1:18" ht="15" customHeight="1" x14ac:dyDescent="0.3">
      <c r="A74" s="15" t="s">
        <v>26</v>
      </c>
      <c r="B74" s="15" t="s">
        <v>558</v>
      </c>
      <c r="C74" s="16">
        <v>0.63194444444444442</v>
      </c>
      <c r="D74" s="15" t="s">
        <v>31</v>
      </c>
      <c r="E74" s="15" t="s">
        <v>463</v>
      </c>
      <c r="F74" s="15" t="s">
        <v>557</v>
      </c>
      <c r="G74" s="257"/>
      <c r="H74" s="10"/>
      <c r="I74" s="11"/>
      <c r="J74" s="11"/>
      <c r="K74" s="11"/>
      <c r="L74" s="11"/>
      <c r="M74" s="11"/>
      <c r="N74" s="11"/>
      <c r="O74" s="12"/>
      <c r="P74" s="11"/>
      <c r="Q74" s="13"/>
      <c r="R74" s="14"/>
    </row>
    <row r="75" spans="1:18" ht="15" customHeight="1" x14ac:dyDescent="0.3">
      <c r="A75" s="15" t="s">
        <v>26</v>
      </c>
      <c r="B75" s="15" t="s">
        <v>558</v>
      </c>
      <c r="C75" s="16">
        <v>0.63194444444444442</v>
      </c>
      <c r="D75" s="15" t="s">
        <v>34</v>
      </c>
      <c r="E75" s="15" t="s">
        <v>463</v>
      </c>
      <c r="F75" s="15" t="s">
        <v>30</v>
      </c>
      <c r="G75" s="257"/>
      <c r="H75" s="10"/>
      <c r="I75" s="11"/>
      <c r="J75" s="11"/>
      <c r="K75" s="11"/>
      <c r="L75" s="11"/>
      <c r="M75" s="11"/>
      <c r="N75" s="11"/>
      <c r="O75" s="12"/>
      <c r="P75" s="11"/>
      <c r="Q75" s="13"/>
      <c r="R75" s="14"/>
    </row>
    <row r="76" spans="1:18" ht="15" customHeight="1" x14ac:dyDescent="0.3">
      <c r="A76" s="17" t="s">
        <v>26</v>
      </c>
      <c r="B76" s="17" t="s">
        <v>564</v>
      </c>
      <c r="C76" s="18">
        <v>0.50694444444444442</v>
      </c>
      <c r="D76" s="17" t="s">
        <v>28</v>
      </c>
      <c r="E76" s="17" t="s">
        <v>230</v>
      </c>
      <c r="F76" s="17" t="s">
        <v>556</v>
      </c>
      <c r="G76" s="257"/>
      <c r="H76" s="10"/>
      <c r="I76" s="11"/>
      <c r="J76" s="11"/>
      <c r="K76" s="11"/>
      <c r="L76" s="11"/>
      <c r="M76" s="11"/>
      <c r="N76" s="11"/>
      <c r="O76" s="12"/>
      <c r="P76" s="11"/>
      <c r="Q76" s="13"/>
      <c r="R76" s="14"/>
    </row>
    <row r="77" spans="1:18" ht="15" customHeight="1" x14ac:dyDescent="0.3">
      <c r="A77" s="15" t="s">
        <v>26</v>
      </c>
      <c r="B77" s="15" t="s">
        <v>564</v>
      </c>
      <c r="C77" s="16">
        <v>0.50694444444444442</v>
      </c>
      <c r="D77" s="15" t="s">
        <v>31</v>
      </c>
      <c r="E77" s="15" t="s">
        <v>48</v>
      </c>
      <c r="F77" s="15" t="s">
        <v>557</v>
      </c>
      <c r="G77" s="257"/>
      <c r="H77" s="10"/>
      <c r="I77" s="11"/>
      <c r="J77" s="11"/>
      <c r="K77" s="11"/>
      <c r="L77" s="11"/>
      <c r="M77" s="11"/>
      <c r="N77" s="11"/>
      <c r="O77" s="12"/>
      <c r="P77" s="11"/>
      <c r="Q77" s="13"/>
      <c r="R77" s="14"/>
    </row>
    <row r="78" spans="1:18" ht="15" customHeight="1" x14ac:dyDescent="0.3">
      <c r="A78" s="15" t="s">
        <v>26</v>
      </c>
      <c r="B78" s="15" t="s">
        <v>564</v>
      </c>
      <c r="C78" s="16">
        <v>0.50694444444444442</v>
      </c>
      <c r="D78" s="15" t="s">
        <v>34</v>
      </c>
      <c r="E78" s="15" t="s">
        <v>48</v>
      </c>
      <c r="F78" s="15" t="s">
        <v>30</v>
      </c>
      <c r="G78" s="257"/>
      <c r="H78" s="10"/>
      <c r="I78" s="11"/>
      <c r="J78" s="11"/>
      <c r="K78" s="11"/>
      <c r="L78" s="11"/>
      <c r="M78" s="11"/>
      <c r="N78" s="11"/>
      <c r="O78" s="12"/>
      <c r="P78" s="11"/>
      <c r="Q78" s="13"/>
      <c r="R78" s="14"/>
    </row>
    <row r="79" spans="1:18" ht="15" customHeight="1" x14ac:dyDescent="0.3">
      <c r="A79" s="17" t="s">
        <v>26</v>
      </c>
      <c r="B79" s="17" t="s">
        <v>560</v>
      </c>
      <c r="C79" s="18">
        <v>0.55902777777777779</v>
      </c>
      <c r="D79" s="17" t="s">
        <v>28</v>
      </c>
      <c r="E79" s="17" t="s">
        <v>75</v>
      </c>
      <c r="F79" s="17" t="s">
        <v>556</v>
      </c>
      <c r="G79" s="257"/>
      <c r="H79" s="10"/>
      <c r="I79" s="11"/>
      <c r="J79" s="11"/>
      <c r="K79" s="11"/>
      <c r="L79" s="11"/>
      <c r="M79" s="11"/>
      <c r="N79" s="11"/>
      <c r="O79" s="12"/>
      <c r="P79" s="11"/>
      <c r="Q79" s="13"/>
      <c r="R79" s="14"/>
    </row>
    <row r="80" spans="1:18" ht="15" customHeight="1" x14ac:dyDescent="0.3">
      <c r="A80" s="15" t="s">
        <v>26</v>
      </c>
      <c r="B80" s="15" t="s">
        <v>560</v>
      </c>
      <c r="C80" s="16">
        <v>0.55902777777777779</v>
      </c>
      <c r="D80" s="15" t="s">
        <v>31</v>
      </c>
      <c r="E80" s="15" t="s">
        <v>463</v>
      </c>
      <c r="F80" s="15" t="s">
        <v>557</v>
      </c>
      <c r="G80" s="257"/>
      <c r="H80" s="10"/>
      <c r="I80" s="11"/>
      <c r="J80" s="11"/>
      <c r="K80" s="11"/>
      <c r="L80" s="11"/>
      <c r="M80" s="11"/>
      <c r="N80" s="11"/>
      <c r="O80" s="12"/>
      <c r="P80" s="11"/>
      <c r="Q80" s="13"/>
      <c r="R80" s="14"/>
    </row>
    <row r="81" spans="1:18" ht="15" customHeight="1" x14ac:dyDescent="0.3">
      <c r="A81" s="15" t="s">
        <v>26</v>
      </c>
      <c r="B81" s="15" t="s">
        <v>560</v>
      </c>
      <c r="C81" s="16">
        <v>0.55902777777777779</v>
      </c>
      <c r="D81" s="15" t="s">
        <v>34</v>
      </c>
      <c r="E81" s="15" t="s">
        <v>463</v>
      </c>
      <c r="F81" s="15" t="s">
        <v>30</v>
      </c>
      <c r="G81" s="257"/>
      <c r="H81" s="10"/>
      <c r="I81" s="11"/>
      <c r="J81" s="11"/>
      <c r="K81" s="11"/>
      <c r="L81" s="11"/>
      <c r="M81" s="11"/>
      <c r="N81" s="11"/>
      <c r="O81" s="12"/>
      <c r="P81" s="11"/>
      <c r="Q81" s="13"/>
      <c r="R81" s="14"/>
    </row>
    <row r="82" spans="1:18" ht="15" customHeight="1" x14ac:dyDescent="0.3">
      <c r="A82" s="17" t="s">
        <v>26</v>
      </c>
      <c r="B82" s="17" t="s">
        <v>551</v>
      </c>
      <c r="C82" s="18">
        <v>0.95833333333333337</v>
      </c>
      <c r="D82" s="17" t="s">
        <v>28</v>
      </c>
      <c r="E82" s="17" t="s">
        <v>230</v>
      </c>
      <c r="F82" s="17" t="s">
        <v>562</v>
      </c>
      <c r="G82" s="257"/>
      <c r="H82" s="10"/>
      <c r="I82" s="11"/>
      <c r="J82" s="11"/>
      <c r="K82" s="11"/>
      <c r="L82" s="11"/>
      <c r="M82" s="11"/>
      <c r="N82" s="11"/>
      <c r="O82" s="12"/>
      <c r="P82" s="11"/>
      <c r="Q82" s="13"/>
      <c r="R82" s="14"/>
    </row>
    <row r="83" spans="1:18" ht="15" customHeight="1" x14ac:dyDescent="0.3">
      <c r="A83" s="15" t="s">
        <v>26</v>
      </c>
      <c r="B83" s="15" t="s">
        <v>551</v>
      </c>
      <c r="C83" s="16">
        <v>0.95833333333333337</v>
      </c>
      <c r="D83" s="15" t="s">
        <v>31</v>
      </c>
      <c r="E83" s="15" t="s">
        <v>48</v>
      </c>
      <c r="F83" s="15" t="s">
        <v>563</v>
      </c>
      <c r="G83" s="257"/>
      <c r="H83" s="10"/>
      <c r="I83" s="11"/>
      <c r="J83" s="11"/>
      <c r="K83" s="11"/>
      <c r="L83" s="11"/>
      <c r="M83" s="11"/>
      <c r="N83" s="11"/>
      <c r="O83" s="12"/>
      <c r="P83" s="11"/>
      <c r="Q83" s="13"/>
      <c r="R83" s="14"/>
    </row>
    <row r="84" spans="1:18" ht="15" customHeight="1" x14ac:dyDescent="0.3">
      <c r="A84" s="15" t="s">
        <v>26</v>
      </c>
      <c r="B84" s="15" t="s">
        <v>551</v>
      </c>
      <c r="C84" s="16">
        <v>0.95833333333333337</v>
      </c>
      <c r="D84" s="15" t="s">
        <v>34</v>
      </c>
      <c r="E84" s="15" t="s">
        <v>48</v>
      </c>
      <c r="F84" s="15" t="s">
        <v>46</v>
      </c>
      <c r="G84" s="257"/>
      <c r="H84" s="10"/>
      <c r="I84" s="11"/>
      <c r="J84" s="11"/>
      <c r="K84" s="11"/>
      <c r="L84" s="11"/>
      <c r="M84" s="11"/>
      <c r="N84" s="11"/>
      <c r="O84" s="12"/>
      <c r="P84" s="11"/>
      <c r="Q84" s="13"/>
      <c r="R84" s="14"/>
    </row>
    <row r="85" spans="1:18" ht="15" customHeight="1" x14ac:dyDescent="0.3">
      <c r="A85" s="17" t="s">
        <v>26</v>
      </c>
      <c r="B85" s="17" t="s">
        <v>555</v>
      </c>
      <c r="C85" s="18">
        <v>0.69791666666666663</v>
      </c>
      <c r="D85" s="17" t="s">
        <v>28</v>
      </c>
      <c r="E85" s="17" t="s">
        <v>223</v>
      </c>
      <c r="F85" s="17" t="s">
        <v>562</v>
      </c>
      <c r="G85" s="257"/>
      <c r="H85" s="10"/>
      <c r="I85" s="11"/>
      <c r="J85" s="11"/>
      <c r="K85" s="11"/>
      <c r="L85" s="11"/>
      <c r="M85" s="11"/>
      <c r="N85" s="11"/>
      <c r="O85" s="12"/>
      <c r="P85" s="11"/>
      <c r="Q85" s="13"/>
      <c r="R85" s="14"/>
    </row>
    <row r="86" spans="1:18" ht="15" customHeight="1" x14ac:dyDescent="0.3">
      <c r="A86" s="15" t="s">
        <v>26</v>
      </c>
      <c r="B86" s="15" t="s">
        <v>555</v>
      </c>
      <c r="C86" s="16">
        <v>0.69791666666666663</v>
      </c>
      <c r="D86" s="15" t="s">
        <v>31</v>
      </c>
      <c r="E86" s="15" t="s">
        <v>32</v>
      </c>
      <c r="F86" s="15" t="s">
        <v>563</v>
      </c>
      <c r="G86" s="257"/>
      <c r="H86" s="10"/>
      <c r="I86" s="11"/>
      <c r="J86" s="11"/>
      <c r="K86" s="11"/>
      <c r="L86" s="11"/>
      <c r="M86" s="11"/>
      <c r="N86" s="11"/>
      <c r="O86" s="12"/>
      <c r="P86" s="11"/>
      <c r="Q86" s="13"/>
      <c r="R86" s="14"/>
    </row>
    <row r="87" spans="1:18" ht="15" customHeight="1" x14ac:dyDescent="0.3">
      <c r="A87" s="15" t="s">
        <v>26</v>
      </c>
      <c r="B87" s="15" t="s">
        <v>555</v>
      </c>
      <c r="C87" s="16">
        <v>0.69791666666666663</v>
      </c>
      <c r="D87" s="15" t="s">
        <v>34</v>
      </c>
      <c r="E87" s="15" t="s">
        <v>32</v>
      </c>
      <c r="F87" s="15" t="s">
        <v>46</v>
      </c>
      <c r="G87" s="257"/>
      <c r="H87" s="10"/>
      <c r="I87" s="11"/>
      <c r="J87" s="11"/>
      <c r="K87" s="11"/>
      <c r="L87" s="11"/>
      <c r="M87" s="11"/>
      <c r="N87" s="11"/>
      <c r="O87" s="12"/>
      <c r="P87" s="11"/>
      <c r="Q87" s="13"/>
      <c r="R87" s="14"/>
    </row>
    <row r="88" spans="1:18" ht="15" customHeight="1" x14ac:dyDescent="0.3">
      <c r="A88" s="17" t="s">
        <v>26</v>
      </c>
      <c r="B88" s="17" t="s">
        <v>559</v>
      </c>
      <c r="C88" s="18">
        <v>0.81944444444444453</v>
      </c>
      <c r="D88" s="17" t="s">
        <v>28</v>
      </c>
      <c r="E88" s="17" t="s">
        <v>223</v>
      </c>
      <c r="F88" s="17" t="s">
        <v>562</v>
      </c>
      <c r="G88" s="257"/>
      <c r="H88" s="10"/>
      <c r="I88" s="11"/>
      <c r="J88" s="11"/>
      <c r="K88" s="11"/>
      <c r="L88" s="11"/>
      <c r="M88" s="11"/>
      <c r="N88" s="11"/>
      <c r="O88" s="12"/>
      <c r="P88" s="11"/>
      <c r="Q88" s="13"/>
      <c r="R88" s="14"/>
    </row>
    <row r="89" spans="1:18" ht="15" customHeight="1" x14ac:dyDescent="0.3">
      <c r="A89" s="15" t="s">
        <v>26</v>
      </c>
      <c r="B89" s="15" t="s">
        <v>559</v>
      </c>
      <c r="C89" s="16">
        <v>0.81944444444444453</v>
      </c>
      <c r="D89" s="15" t="s">
        <v>31</v>
      </c>
      <c r="E89" s="15" t="s">
        <v>32</v>
      </c>
      <c r="F89" s="15" t="s">
        <v>563</v>
      </c>
      <c r="G89" s="257"/>
      <c r="H89" s="10"/>
      <c r="I89" s="11"/>
      <c r="J89" s="11"/>
      <c r="K89" s="11"/>
      <c r="L89" s="11"/>
      <c r="M89" s="11"/>
      <c r="N89" s="11"/>
      <c r="O89" s="12"/>
      <c r="P89" s="11"/>
      <c r="Q89" s="13"/>
      <c r="R89" s="14"/>
    </row>
    <row r="90" spans="1:18" ht="15" customHeight="1" x14ac:dyDescent="0.3">
      <c r="A90" s="15" t="s">
        <v>26</v>
      </c>
      <c r="B90" s="15" t="s">
        <v>559</v>
      </c>
      <c r="C90" s="16">
        <v>0.81944444444444453</v>
      </c>
      <c r="D90" s="15" t="s">
        <v>34</v>
      </c>
      <c r="E90" s="15" t="s">
        <v>32</v>
      </c>
      <c r="F90" s="15" t="s">
        <v>46</v>
      </c>
      <c r="G90" s="257"/>
      <c r="H90" s="10"/>
      <c r="I90" s="11"/>
      <c r="J90" s="11"/>
      <c r="K90" s="11"/>
      <c r="L90" s="11"/>
      <c r="M90" s="11"/>
      <c r="N90" s="11"/>
      <c r="O90" s="12"/>
      <c r="P90" s="11"/>
      <c r="Q90" s="13"/>
      <c r="R90" s="14"/>
    </row>
    <row r="91" spans="1:18" ht="15" customHeight="1" x14ac:dyDescent="0.3">
      <c r="A91" s="17" t="s">
        <v>26</v>
      </c>
      <c r="B91" s="17" t="s">
        <v>561</v>
      </c>
      <c r="C91" s="18">
        <v>0.4375</v>
      </c>
      <c r="D91" s="17" t="s">
        <v>28</v>
      </c>
      <c r="E91" s="17" t="s">
        <v>94</v>
      </c>
      <c r="F91" s="17" t="s">
        <v>562</v>
      </c>
      <c r="G91" s="257"/>
      <c r="H91" s="10"/>
      <c r="I91" s="11"/>
      <c r="J91" s="11"/>
      <c r="K91" s="11"/>
      <c r="L91" s="11"/>
      <c r="M91" s="11"/>
      <c r="N91" s="11"/>
      <c r="O91" s="12"/>
      <c r="P91" s="11"/>
      <c r="Q91" s="13"/>
      <c r="R91" s="14"/>
    </row>
    <row r="92" spans="1:18" ht="15" customHeight="1" x14ac:dyDescent="0.3">
      <c r="A92" s="15" t="s">
        <v>26</v>
      </c>
      <c r="B92" s="15" t="s">
        <v>561</v>
      </c>
      <c r="C92" s="16">
        <v>0.4375</v>
      </c>
      <c r="D92" s="15" t="s">
        <v>31</v>
      </c>
      <c r="E92" s="15" t="s">
        <v>95</v>
      </c>
      <c r="F92" s="15" t="s">
        <v>563</v>
      </c>
      <c r="G92" s="257"/>
      <c r="H92" s="10"/>
      <c r="I92" s="11"/>
      <c r="J92" s="11"/>
      <c r="K92" s="11"/>
      <c r="L92" s="11"/>
      <c r="M92" s="11"/>
      <c r="N92" s="11"/>
      <c r="O92" s="12"/>
      <c r="P92" s="11"/>
      <c r="Q92" s="13"/>
      <c r="R92" s="14"/>
    </row>
    <row r="93" spans="1:18" ht="15" customHeight="1" x14ac:dyDescent="0.3">
      <c r="A93" s="15" t="s">
        <v>26</v>
      </c>
      <c r="B93" s="15" t="s">
        <v>561</v>
      </c>
      <c r="C93" s="16">
        <v>0.4375</v>
      </c>
      <c r="D93" s="15" t="s">
        <v>34</v>
      </c>
      <c r="E93" s="15" t="s">
        <v>95</v>
      </c>
      <c r="F93" s="15" t="s">
        <v>46</v>
      </c>
      <c r="G93" s="257"/>
      <c r="H93" s="10"/>
      <c r="I93" s="11"/>
      <c r="J93" s="11"/>
      <c r="K93" s="11"/>
      <c r="L93" s="11"/>
      <c r="M93" s="11"/>
      <c r="N93" s="11"/>
      <c r="O93" s="12"/>
      <c r="P93" s="11"/>
      <c r="Q93" s="13"/>
      <c r="R93" s="14"/>
    </row>
    <row r="94" spans="1:18" ht="15" customHeight="1" x14ac:dyDescent="0.3">
      <c r="A94" s="19" t="s">
        <v>235</v>
      </c>
      <c r="B94" s="19" t="s">
        <v>581</v>
      </c>
      <c r="C94" s="20">
        <v>0.21180555555555561</v>
      </c>
      <c r="D94" s="19" t="s">
        <v>98</v>
      </c>
      <c r="E94" s="19" t="s">
        <v>54</v>
      </c>
      <c r="F94" s="19" t="s">
        <v>583</v>
      </c>
      <c r="G94" s="257"/>
      <c r="H94" s="10"/>
      <c r="I94" s="11"/>
      <c r="J94" s="11"/>
      <c r="K94" s="11"/>
      <c r="L94" s="11"/>
      <c r="M94" s="11"/>
      <c r="N94" s="11"/>
      <c r="O94" s="12"/>
      <c r="P94" s="11"/>
      <c r="Q94" s="13"/>
      <c r="R94" s="14"/>
    </row>
    <row r="95" spans="1:18" ht="15" customHeight="1" x14ac:dyDescent="0.3">
      <c r="A95" s="19" t="s">
        <v>328</v>
      </c>
      <c r="B95" s="19" t="s">
        <v>584</v>
      </c>
      <c r="C95" s="20">
        <v>9.0277777777777776E-2</v>
      </c>
      <c r="D95" s="19" t="s">
        <v>98</v>
      </c>
      <c r="E95" s="19" t="s">
        <v>54</v>
      </c>
      <c r="F95" s="19" t="s">
        <v>587</v>
      </c>
      <c r="G95" s="257"/>
      <c r="H95" s="10"/>
      <c r="I95" s="11"/>
      <c r="J95" s="11"/>
      <c r="K95" s="11"/>
      <c r="L95" s="11"/>
      <c r="M95" s="11"/>
      <c r="N95" s="11"/>
      <c r="O95" s="12"/>
      <c r="P95" s="11"/>
      <c r="Q95" s="13"/>
      <c r="R95" s="14"/>
    </row>
    <row r="96" spans="1:18" ht="15" customHeight="1" x14ac:dyDescent="0.3">
      <c r="A96" s="104" t="s">
        <v>78</v>
      </c>
      <c r="B96" s="104" t="s">
        <v>621</v>
      </c>
      <c r="C96" s="105">
        <v>0.72569444444444453</v>
      </c>
      <c r="D96" s="104" t="s">
        <v>98</v>
      </c>
      <c r="E96" s="104" t="s">
        <v>54</v>
      </c>
      <c r="F96" s="104" t="s">
        <v>462</v>
      </c>
      <c r="G96" s="257"/>
      <c r="H96" s="106" t="s">
        <v>622</v>
      </c>
      <c r="I96" s="201">
        <v>0.44130000000000003</v>
      </c>
      <c r="J96" s="108">
        <v>79</v>
      </c>
      <c r="K96" s="109">
        <v>45980</v>
      </c>
      <c r="L96" s="108">
        <v>28</v>
      </c>
      <c r="M96" s="108">
        <v>1</v>
      </c>
      <c r="N96" s="108">
        <v>6</v>
      </c>
      <c r="O96" s="110" t="s">
        <v>185</v>
      </c>
      <c r="P96" s="111">
        <v>0.72569444444444453</v>
      </c>
      <c r="Q96" s="108">
        <v>179</v>
      </c>
      <c r="R96" s="112" t="s">
        <v>623</v>
      </c>
    </row>
    <row r="97" spans="1:18" ht="15" customHeight="1" x14ac:dyDescent="0.3">
      <c r="A97" s="136" t="s">
        <v>78</v>
      </c>
      <c r="B97" s="136" t="s">
        <v>588</v>
      </c>
      <c r="C97" s="137">
        <v>0.40625</v>
      </c>
      <c r="D97" s="136" t="s">
        <v>98</v>
      </c>
      <c r="E97" s="136" t="s">
        <v>72</v>
      </c>
      <c r="F97" s="136" t="s">
        <v>462</v>
      </c>
      <c r="G97" s="257"/>
      <c r="H97" s="139" t="s">
        <v>590</v>
      </c>
      <c r="I97" s="202">
        <v>0.51400000000000001</v>
      </c>
      <c r="J97" s="141">
        <v>92</v>
      </c>
      <c r="K97" s="142">
        <v>45979</v>
      </c>
      <c r="L97" s="141">
        <v>45</v>
      </c>
      <c r="M97" s="141">
        <v>0</v>
      </c>
      <c r="N97" s="141">
        <v>7</v>
      </c>
      <c r="O97" s="143" t="s">
        <v>185</v>
      </c>
      <c r="P97" s="144">
        <v>0.40625</v>
      </c>
      <c r="Q97" s="141">
        <v>179</v>
      </c>
      <c r="R97" s="145" t="s">
        <v>624</v>
      </c>
    </row>
    <row r="98" spans="1:18" ht="15" customHeight="1" x14ac:dyDescent="0.3">
      <c r="A98" s="19" t="s">
        <v>51</v>
      </c>
      <c r="B98" s="19" t="s">
        <v>610</v>
      </c>
      <c r="C98" s="20">
        <v>0.82986111111111116</v>
      </c>
      <c r="D98" s="19" t="s">
        <v>53</v>
      </c>
      <c r="E98" s="19" t="s">
        <v>453</v>
      </c>
      <c r="F98" s="19" t="s">
        <v>602</v>
      </c>
      <c r="G98" s="257"/>
      <c r="H98" s="10"/>
      <c r="I98" s="11"/>
      <c r="J98" s="11"/>
      <c r="K98" s="11"/>
      <c r="L98" s="11"/>
      <c r="M98" s="11"/>
      <c r="N98" s="11"/>
      <c r="O98" s="12"/>
      <c r="P98" s="11"/>
      <c r="Q98" s="13"/>
      <c r="R98" s="14"/>
    </row>
    <row r="99" spans="1:18" ht="15" customHeight="1" x14ac:dyDescent="0.3">
      <c r="A99" s="15" t="s">
        <v>51</v>
      </c>
      <c r="B99" s="15" t="s">
        <v>610</v>
      </c>
      <c r="C99" s="16">
        <v>0.82986111111111116</v>
      </c>
      <c r="D99" s="15" t="s">
        <v>56</v>
      </c>
      <c r="E99" s="15" t="s">
        <v>95</v>
      </c>
      <c r="F99" s="15" t="s">
        <v>603</v>
      </c>
      <c r="G99" s="257"/>
      <c r="H99" s="10"/>
      <c r="I99" s="11"/>
      <c r="J99" s="11"/>
      <c r="K99" s="11"/>
      <c r="L99" s="11"/>
      <c r="M99" s="11"/>
      <c r="N99" s="11"/>
      <c r="O99" s="12"/>
      <c r="P99" s="11"/>
      <c r="Q99" s="13"/>
      <c r="R99" s="14"/>
    </row>
    <row r="100" spans="1:18" ht="15" customHeight="1" x14ac:dyDescent="0.3">
      <c r="A100" s="17" t="s">
        <v>51</v>
      </c>
      <c r="B100" s="17" t="s">
        <v>604</v>
      </c>
      <c r="C100" s="18">
        <v>0.88888888888888884</v>
      </c>
      <c r="D100" s="17" t="s">
        <v>56</v>
      </c>
      <c r="E100" s="17" t="s">
        <v>62</v>
      </c>
      <c r="F100" s="17" t="s">
        <v>605</v>
      </c>
      <c r="G100" s="257"/>
      <c r="H100" s="10"/>
      <c r="I100" s="11"/>
      <c r="J100" s="11"/>
      <c r="K100" s="11"/>
      <c r="L100" s="11"/>
      <c r="M100" s="11"/>
      <c r="N100" s="11"/>
      <c r="O100" s="12"/>
      <c r="P100" s="11"/>
      <c r="Q100" s="13"/>
      <c r="R100" s="14"/>
    </row>
    <row r="101" spans="1:18" ht="15" customHeight="1" x14ac:dyDescent="0.3">
      <c r="A101" s="17" t="s">
        <v>51</v>
      </c>
      <c r="B101" s="17" t="s">
        <v>606</v>
      </c>
      <c r="C101" s="18">
        <v>0.94444444444444453</v>
      </c>
      <c r="D101" s="17" t="s">
        <v>56</v>
      </c>
      <c r="E101" s="17" t="s">
        <v>62</v>
      </c>
      <c r="F101" s="17" t="s">
        <v>605</v>
      </c>
      <c r="G101" s="257"/>
      <c r="H101" s="10"/>
      <c r="I101" s="11"/>
      <c r="J101" s="11"/>
      <c r="K101" s="11"/>
      <c r="L101" s="11"/>
      <c r="M101" s="11"/>
      <c r="N101" s="11"/>
      <c r="O101" s="12"/>
      <c r="P101" s="11"/>
      <c r="Q101" s="13"/>
      <c r="R101" s="14"/>
    </row>
    <row r="102" spans="1:18" ht="15" customHeight="1" x14ac:dyDescent="0.3">
      <c r="A102" s="17" t="s">
        <v>51</v>
      </c>
      <c r="B102" s="17" t="s">
        <v>607</v>
      </c>
      <c r="C102" s="18">
        <v>0.62847222222222221</v>
      </c>
      <c r="D102" s="17" t="s">
        <v>56</v>
      </c>
      <c r="E102" s="17" t="s">
        <v>62</v>
      </c>
      <c r="F102" s="17" t="s">
        <v>605</v>
      </c>
      <c r="G102" s="257"/>
      <c r="H102" s="10"/>
      <c r="I102" s="11"/>
      <c r="J102" s="11"/>
      <c r="K102" s="11"/>
      <c r="L102" s="11"/>
      <c r="M102" s="11"/>
      <c r="N102" s="11"/>
      <c r="O102" s="12"/>
      <c r="P102" s="11"/>
      <c r="Q102" s="13"/>
      <c r="R102" s="14"/>
    </row>
    <row r="103" spans="1:18" ht="15" customHeight="1" x14ac:dyDescent="0.3">
      <c r="A103" s="17" t="s">
        <v>51</v>
      </c>
      <c r="B103" s="17" t="s">
        <v>601</v>
      </c>
      <c r="C103" s="18">
        <v>0.98263888888888884</v>
      </c>
      <c r="D103" s="17" t="s">
        <v>56</v>
      </c>
      <c r="E103" s="17" t="s">
        <v>72</v>
      </c>
      <c r="F103" s="17" t="s">
        <v>609</v>
      </c>
      <c r="G103" s="257"/>
      <c r="H103" s="10"/>
      <c r="I103" s="11"/>
      <c r="J103" s="11"/>
      <c r="K103" s="11"/>
      <c r="L103" s="11"/>
      <c r="M103" s="11"/>
      <c r="N103" s="11"/>
      <c r="O103" s="12"/>
      <c r="P103" s="11"/>
      <c r="Q103" s="13"/>
      <c r="R103" s="14"/>
    </row>
    <row r="104" spans="1:18" ht="15" customHeight="1" x14ac:dyDescent="0.3">
      <c r="A104" s="17" t="s">
        <v>51</v>
      </c>
      <c r="B104" s="17" t="s">
        <v>611</v>
      </c>
      <c r="C104" s="18">
        <v>0.62847222222222221</v>
      </c>
      <c r="D104" s="17" t="s">
        <v>56</v>
      </c>
      <c r="E104" s="17" t="s">
        <v>72</v>
      </c>
      <c r="F104" s="17" t="s">
        <v>609</v>
      </c>
      <c r="G104" s="257"/>
      <c r="H104" s="10"/>
      <c r="I104" s="11"/>
      <c r="J104" s="11"/>
      <c r="K104" s="11"/>
      <c r="L104" s="11"/>
      <c r="M104" s="11"/>
      <c r="N104" s="11"/>
      <c r="O104" s="12"/>
      <c r="P104" s="11"/>
      <c r="Q104" s="13"/>
      <c r="R104" s="14"/>
    </row>
    <row r="105" spans="1:18" ht="15" customHeight="1" x14ac:dyDescent="0.3">
      <c r="A105" s="17" t="s">
        <v>51</v>
      </c>
      <c r="B105" s="17" t="s">
        <v>608</v>
      </c>
      <c r="C105" s="18">
        <v>0.44444444444444442</v>
      </c>
      <c r="D105" s="17" t="s">
        <v>56</v>
      </c>
      <c r="E105" s="17" t="s">
        <v>72</v>
      </c>
      <c r="F105" s="17" t="s">
        <v>625</v>
      </c>
      <c r="G105" s="257"/>
      <c r="H105" s="10"/>
      <c r="I105" s="11"/>
      <c r="J105" s="11"/>
      <c r="K105" s="11"/>
      <c r="L105" s="11"/>
      <c r="M105" s="11"/>
      <c r="N105" s="11"/>
      <c r="O105" s="12"/>
      <c r="P105" s="11"/>
      <c r="Q105" s="13"/>
      <c r="R105" s="14"/>
    </row>
    <row r="106" spans="1:18" ht="15" customHeight="1" x14ac:dyDescent="0.3">
      <c r="A106" s="19" t="s">
        <v>67</v>
      </c>
      <c r="B106" s="19" t="s">
        <v>598</v>
      </c>
      <c r="C106" s="20">
        <v>0.35416666666666669</v>
      </c>
      <c r="D106" s="19" t="s">
        <v>69</v>
      </c>
      <c r="E106" s="19" t="s">
        <v>45</v>
      </c>
      <c r="F106" s="19" t="s">
        <v>626</v>
      </c>
      <c r="G106" s="257"/>
      <c r="H106" s="10"/>
      <c r="I106" s="11"/>
      <c r="J106" s="11"/>
      <c r="K106" s="11"/>
      <c r="L106" s="11"/>
      <c r="M106" s="11"/>
      <c r="N106" s="11"/>
      <c r="O106" s="12"/>
      <c r="P106" s="11"/>
      <c r="Q106" s="13"/>
      <c r="R106" s="14"/>
    </row>
    <row r="107" spans="1:18" ht="15" customHeight="1" thickBot="1" x14ac:dyDescent="0.35">
      <c r="A107" s="39" t="s">
        <v>67</v>
      </c>
      <c r="B107" s="39" t="s">
        <v>596</v>
      </c>
      <c r="C107" s="40">
        <v>0.98263888888888884</v>
      </c>
      <c r="D107" s="39" t="s">
        <v>69</v>
      </c>
      <c r="E107" s="39" t="s">
        <v>62</v>
      </c>
      <c r="F107" s="39" t="s">
        <v>627</v>
      </c>
      <c r="G107" s="258"/>
      <c r="H107" s="41"/>
      <c r="I107" s="42"/>
      <c r="J107" s="42"/>
      <c r="K107" s="42"/>
      <c r="L107" s="42"/>
      <c r="M107" s="42"/>
      <c r="N107" s="42"/>
      <c r="O107" s="43"/>
      <c r="P107" s="42"/>
      <c r="Q107" s="44"/>
      <c r="R107" s="45"/>
    </row>
    <row r="108" spans="1:18" ht="17.399999999999999" customHeight="1" thickBot="1" x14ac:dyDescent="0.35">
      <c r="A108" s="285"/>
      <c r="B108" s="286"/>
      <c r="C108" s="286"/>
      <c r="D108" s="286"/>
      <c r="E108" s="286"/>
      <c r="F108" s="286"/>
      <c r="G108" s="286"/>
      <c r="H108" s="286"/>
      <c r="I108" s="286"/>
      <c r="J108" s="286"/>
      <c r="K108" s="286"/>
      <c r="L108" s="286"/>
      <c r="M108" s="286"/>
      <c r="N108" s="286"/>
      <c r="O108" s="286"/>
      <c r="P108" s="286"/>
      <c r="Q108" s="286"/>
      <c r="R108" s="287"/>
    </row>
    <row r="109" spans="1:18" ht="22.05" customHeight="1" thickTop="1" thickBot="1" x14ac:dyDescent="0.35">
      <c r="A109" s="259" t="s">
        <v>6</v>
      </c>
      <c r="B109" s="254"/>
      <c r="C109" s="254"/>
      <c r="D109" s="254"/>
      <c r="E109" s="254"/>
      <c r="F109" s="255"/>
      <c r="G109" s="31">
        <v>45983</v>
      </c>
      <c r="H109" s="253" t="s">
        <v>7</v>
      </c>
      <c r="I109" s="254"/>
      <c r="J109" s="254"/>
      <c r="K109" s="254"/>
      <c r="L109" s="254"/>
      <c r="M109" s="254"/>
      <c r="N109" s="254"/>
      <c r="O109" s="254"/>
      <c r="P109" s="254"/>
      <c r="Q109" s="254"/>
      <c r="R109" s="255"/>
    </row>
    <row r="110" spans="1:18" ht="24" customHeight="1" x14ac:dyDescent="0.3">
      <c r="A110" s="32" t="s">
        <v>8</v>
      </c>
      <c r="B110" s="32" t="s">
        <v>9</v>
      </c>
      <c r="C110" s="33" t="s">
        <v>10</v>
      </c>
      <c r="D110" s="32" t="s">
        <v>11</v>
      </c>
      <c r="E110" s="32" t="s">
        <v>12</v>
      </c>
      <c r="F110" s="34" t="s">
        <v>13</v>
      </c>
      <c r="G110" s="35" t="s">
        <v>14</v>
      </c>
      <c r="H110" s="32" t="s">
        <v>15</v>
      </c>
      <c r="I110" s="36" t="s">
        <v>16</v>
      </c>
      <c r="J110" s="37" t="s">
        <v>17</v>
      </c>
      <c r="K110" s="38" t="s">
        <v>18</v>
      </c>
      <c r="L110" s="37" t="s">
        <v>19</v>
      </c>
      <c r="M110" s="37" t="s">
        <v>20</v>
      </c>
      <c r="N110" s="37" t="s">
        <v>21</v>
      </c>
      <c r="O110" s="32" t="s">
        <v>22</v>
      </c>
      <c r="P110" s="33" t="s">
        <v>23</v>
      </c>
      <c r="Q110" s="37" t="s">
        <v>24</v>
      </c>
      <c r="R110" s="32" t="s">
        <v>25</v>
      </c>
    </row>
    <row r="111" spans="1:18" ht="15" customHeight="1" x14ac:dyDescent="0.3">
      <c r="A111" s="8" t="s">
        <v>26</v>
      </c>
      <c r="B111" s="8" t="s">
        <v>561</v>
      </c>
      <c r="C111" s="9">
        <v>0.4375</v>
      </c>
      <c r="D111" s="8" t="s">
        <v>28</v>
      </c>
      <c r="E111" s="8" t="s">
        <v>29</v>
      </c>
      <c r="F111" s="8" t="s">
        <v>628</v>
      </c>
      <c r="G111" s="256"/>
      <c r="H111" s="10"/>
      <c r="I111" s="11"/>
      <c r="J111" s="11"/>
      <c r="K111" s="11"/>
      <c r="L111" s="11"/>
      <c r="M111" s="11"/>
      <c r="N111" s="11"/>
      <c r="O111" s="12"/>
      <c r="P111" s="11"/>
      <c r="Q111" s="13"/>
      <c r="R111" s="14"/>
    </row>
    <row r="112" spans="1:18" ht="15" customHeight="1" x14ac:dyDescent="0.3">
      <c r="A112" s="15" t="s">
        <v>26</v>
      </c>
      <c r="B112" s="15" t="s">
        <v>561</v>
      </c>
      <c r="C112" s="16">
        <v>0.4375</v>
      </c>
      <c r="D112" s="15" t="s">
        <v>31</v>
      </c>
      <c r="E112" s="15" t="s">
        <v>32</v>
      </c>
      <c r="F112" s="15" t="s">
        <v>30</v>
      </c>
      <c r="G112" s="257"/>
      <c r="H112" s="10"/>
      <c r="I112" s="11"/>
      <c r="J112" s="11"/>
      <c r="K112" s="11"/>
      <c r="L112" s="11"/>
      <c r="M112" s="11"/>
      <c r="N112" s="11"/>
      <c r="O112" s="12"/>
      <c r="P112" s="11"/>
      <c r="Q112" s="13"/>
      <c r="R112" s="14"/>
    </row>
    <row r="113" spans="1:18" ht="15" customHeight="1" x14ac:dyDescent="0.3">
      <c r="A113" s="15" t="s">
        <v>26</v>
      </c>
      <c r="B113" s="15" t="s">
        <v>561</v>
      </c>
      <c r="C113" s="16">
        <v>0.4375</v>
      </c>
      <c r="D113" s="15" t="s">
        <v>34</v>
      </c>
      <c r="E113" s="15" t="s">
        <v>32</v>
      </c>
      <c r="F113" s="15" t="s">
        <v>220</v>
      </c>
      <c r="G113" s="257"/>
      <c r="H113" s="10"/>
      <c r="I113" s="11"/>
      <c r="J113" s="11"/>
      <c r="K113" s="11"/>
      <c r="L113" s="11"/>
      <c r="M113" s="11"/>
      <c r="N113" s="11"/>
      <c r="O113" s="12"/>
      <c r="P113" s="11"/>
      <c r="Q113" s="13"/>
      <c r="R113" s="14"/>
    </row>
    <row r="114" spans="1:18" ht="15" customHeight="1" x14ac:dyDescent="0.3">
      <c r="A114" s="17" t="s">
        <v>26</v>
      </c>
      <c r="B114" s="17" t="s">
        <v>564</v>
      </c>
      <c r="C114" s="18">
        <v>0.50694444444444442</v>
      </c>
      <c r="D114" s="17" t="s">
        <v>28</v>
      </c>
      <c r="E114" s="17" t="s">
        <v>223</v>
      </c>
      <c r="F114" s="17" t="s">
        <v>628</v>
      </c>
      <c r="G114" s="257"/>
      <c r="H114" s="10"/>
      <c r="I114" s="11"/>
      <c r="J114" s="11"/>
      <c r="K114" s="11"/>
      <c r="L114" s="11"/>
      <c r="M114" s="11"/>
      <c r="N114" s="11"/>
      <c r="O114" s="12"/>
      <c r="P114" s="11"/>
      <c r="Q114" s="13"/>
      <c r="R114" s="14"/>
    </row>
    <row r="115" spans="1:18" ht="15" customHeight="1" x14ac:dyDescent="0.3">
      <c r="A115" s="15" t="s">
        <v>26</v>
      </c>
      <c r="B115" s="15" t="s">
        <v>564</v>
      </c>
      <c r="C115" s="16">
        <v>0.50694444444444442</v>
      </c>
      <c r="D115" s="15" t="s">
        <v>31</v>
      </c>
      <c r="E115" s="15" t="s">
        <v>32</v>
      </c>
      <c r="F115" s="15" t="s">
        <v>30</v>
      </c>
      <c r="G115" s="257"/>
      <c r="H115" s="10"/>
      <c r="I115" s="11"/>
      <c r="J115" s="11"/>
      <c r="K115" s="11"/>
      <c r="L115" s="11"/>
      <c r="M115" s="11"/>
      <c r="N115" s="11"/>
      <c r="O115" s="12"/>
      <c r="P115" s="11"/>
      <c r="Q115" s="13"/>
      <c r="R115" s="14"/>
    </row>
    <row r="116" spans="1:18" ht="15" customHeight="1" x14ac:dyDescent="0.3">
      <c r="A116" s="15" t="s">
        <v>26</v>
      </c>
      <c r="B116" s="15" t="s">
        <v>564</v>
      </c>
      <c r="C116" s="16">
        <v>0.50694444444444442</v>
      </c>
      <c r="D116" s="15" t="s">
        <v>34</v>
      </c>
      <c r="E116" s="15" t="s">
        <v>32</v>
      </c>
      <c r="F116" s="15" t="s">
        <v>220</v>
      </c>
      <c r="G116" s="257"/>
      <c r="H116" s="10"/>
      <c r="I116" s="11"/>
      <c r="J116" s="11"/>
      <c r="K116" s="11"/>
      <c r="L116" s="11"/>
      <c r="M116" s="11"/>
      <c r="N116" s="11"/>
      <c r="O116" s="12"/>
      <c r="P116" s="11"/>
      <c r="Q116" s="13"/>
      <c r="R116" s="14"/>
    </row>
    <row r="117" spans="1:18" ht="15" customHeight="1" x14ac:dyDescent="0.3">
      <c r="A117" s="17" t="s">
        <v>26</v>
      </c>
      <c r="B117" s="17" t="s">
        <v>558</v>
      </c>
      <c r="C117" s="18">
        <v>0.63194444444444442</v>
      </c>
      <c r="D117" s="17" t="s">
        <v>28</v>
      </c>
      <c r="E117" s="17" t="s">
        <v>223</v>
      </c>
      <c r="F117" s="17" t="s">
        <v>563</v>
      </c>
      <c r="G117" s="257"/>
      <c r="H117" s="10"/>
      <c r="I117" s="11"/>
      <c r="J117" s="11"/>
      <c r="K117" s="11"/>
      <c r="L117" s="11"/>
      <c r="M117" s="11"/>
      <c r="N117" s="11"/>
      <c r="O117" s="12"/>
      <c r="P117" s="11"/>
      <c r="Q117" s="13"/>
      <c r="R117" s="14"/>
    </row>
    <row r="118" spans="1:18" ht="15" customHeight="1" x14ac:dyDescent="0.3">
      <c r="A118" s="15" t="s">
        <v>26</v>
      </c>
      <c r="B118" s="15" t="s">
        <v>558</v>
      </c>
      <c r="C118" s="16">
        <v>0.63194444444444442</v>
      </c>
      <c r="D118" s="15" t="s">
        <v>31</v>
      </c>
      <c r="E118" s="15" t="s">
        <v>32</v>
      </c>
      <c r="F118" s="15" t="s">
        <v>38</v>
      </c>
      <c r="G118" s="257"/>
      <c r="H118" s="10"/>
      <c r="I118" s="11"/>
      <c r="J118" s="11"/>
      <c r="K118" s="11"/>
      <c r="L118" s="11"/>
      <c r="M118" s="11"/>
      <c r="N118" s="11"/>
      <c r="O118" s="12"/>
      <c r="P118" s="11"/>
      <c r="Q118" s="13"/>
      <c r="R118" s="14"/>
    </row>
    <row r="119" spans="1:18" ht="15" customHeight="1" x14ac:dyDescent="0.3">
      <c r="A119" s="15" t="s">
        <v>26</v>
      </c>
      <c r="B119" s="15" t="s">
        <v>558</v>
      </c>
      <c r="C119" s="16">
        <v>0.63194444444444442</v>
      </c>
      <c r="D119" s="15" t="s">
        <v>34</v>
      </c>
      <c r="E119" s="15" t="s">
        <v>32</v>
      </c>
      <c r="F119" s="15" t="s">
        <v>91</v>
      </c>
      <c r="G119" s="257"/>
      <c r="H119" s="10"/>
      <c r="I119" s="11"/>
      <c r="J119" s="11"/>
      <c r="K119" s="11"/>
      <c r="L119" s="11"/>
      <c r="M119" s="11"/>
      <c r="N119" s="11"/>
      <c r="O119" s="12"/>
      <c r="P119" s="11"/>
      <c r="Q119" s="13"/>
      <c r="R119" s="14"/>
    </row>
    <row r="120" spans="1:18" ht="15" customHeight="1" x14ac:dyDescent="0.3">
      <c r="A120" s="17" t="s">
        <v>26</v>
      </c>
      <c r="B120" s="17" t="s">
        <v>560</v>
      </c>
      <c r="C120" s="18">
        <v>0.55902777777777779</v>
      </c>
      <c r="D120" s="17" t="s">
        <v>28</v>
      </c>
      <c r="E120" s="17" t="s">
        <v>223</v>
      </c>
      <c r="F120" s="17" t="s">
        <v>563</v>
      </c>
      <c r="G120" s="257"/>
      <c r="H120" s="10"/>
      <c r="I120" s="11"/>
      <c r="J120" s="11"/>
      <c r="K120" s="11"/>
      <c r="L120" s="11"/>
      <c r="M120" s="11"/>
      <c r="N120" s="11"/>
      <c r="O120" s="12"/>
      <c r="P120" s="11"/>
      <c r="Q120" s="13"/>
      <c r="R120" s="14"/>
    </row>
    <row r="121" spans="1:18" ht="15" customHeight="1" x14ac:dyDescent="0.3">
      <c r="A121" s="15" t="s">
        <v>26</v>
      </c>
      <c r="B121" s="15" t="s">
        <v>560</v>
      </c>
      <c r="C121" s="16">
        <v>0.55902777777777779</v>
      </c>
      <c r="D121" s="15" t="s">
        <v>31</v>
      </c>
      <c r="E121" s="15" t="s">
        <v>32</v>
      </c>
      <c r="F121" s="15" t="s">
        <v>38</v>
      </c>
      <c r="G121" s="257"/>
      <c r="H121" s="10"/>
      <c r="I121" s="11"/>
      <c r="J121" s="11"/>
      <c r="K121" s="11"/>
      <c r="L121" s="11"/>
      <c r="M121" s="11"/>
      <c r="N121" s="11"/>
      <c r="O121" s="12"/>
      <c r="P121" s="11"/>
      <c r="Q121" s="13"/>
      <c r="R121" s="14"/>
    </row>
    <row r="122" spans="1:18" ht="15" customHeight="1" x14ac:dyDescent="0.3">
      <c r="A122" s="15" t="s">
        <v>26</v>
      </c>
      <c r="B122" s="15" t="s">
        <v>560</v>
      </c>
      <c r="C122" s="16">
        <v>0.55902777777777779</v>
      </c>
      <c r="D122" s="15" t="s">
        <v>34</v>
      </c>
      <c r="E122" s="15" t="s">
        <v>32</v>
      </c>
      <c r="F122" s="15" t="s">
        <v>91</v>
      </c>
      <c r="G122" s="257"/>
      <c r="H122" s="10"/>
      <c r="I122" s="11"/>
      <c r="J122" s="11"/>
      <c r="K122" s="11"/>
      <c r="L122" s="11"/>
      <c r="M122" s="11"/>
      <c r="N122" s="11"/>
      <c r="O122" s="12"/>
      <c r="P122" s="11"/>
      <c r="Q122" s="13"/>
      <c r="R122" s="14"/>
    </row>
    <row r="123" spans="1:18" ht="15" customHeight="1" x14ac:dyDescent="0.3">
      <c r="A123" s="17" t="s">
        <v>26</v>
      </c>
      <c r="B123" s="17" t="s">
        <v>551</v>
      </c>
      <c r="C123" s="18">
        <v>0.95833333333333337</v>
      </c>
      <c r="D123" s="17" t="s">
        <v>28</v>
      </c>
      <c r="E123" s="17" t="s">
        <v>225</v>
      </c>
      <c r="F123" s="17" t="s">
        <v>311</v>
      </c>
      <c r="G123" s="257"/>
      <c r="H123" s="10"/>
      <c r="I123" s="11"/>
      <c r="J123" s="11"/>
      <c r="K123" s="11"/>
      <c r="L123" s="11"/>
      <c r="M123" s="11"/>
      <c r="N123" s="11"/>
      <c r="O123" s="12"/>
      <c r="P123" s="11"/>
      <c r="Q123" s="13"/>
      <c r="R123" s="14"/>
    </row>
    <row r="124" spans="1:18" ht="15" customHeight="1" x14ac:dyDescent="0.3">
      <c r="A124" s="15" t="s">
        <v>26</v>
      </c>
      <c r="B124" s="15" t="s">
        <v>551</v>
      </c>
      <c r="C124" s="16">
        <v>0.95833333333333337</v>
      </c>
      <c r="D124" s="15" t="s">
        <v>31</v>
      </c>
      <c r="E124" s="15" t="s">
        <v>226</v>
      </c>
      <c r="F124" s="15" t="s">
        <v>629</v>
      </c>
      <c r="G124" s="257"/>
      <c r="H124" s="10"/>
      <c r="I124" s="11"/>
      <c r="J124" s="11"/>
      <c r="K124" s="11"/>
      <c r="L124" s="11"/>
      <c r="M124" s="11"/>
      <c r="N124" s="11"/>
      <c r="O124" s="12"/>
      <c r="P124" s="11"/>
      <c r="Q124" s="13"/>
      <c r="R124" s="14"/>
    </row>
    <row r="125" spans="1:18" ht="15" customHeight="1" x14ac:dyDescent="0.3">
      <c r="A125" s="15" t="s">
        <v>26</v>
      </c>
      <c r="B125" s="15" t="s">
        <v>551</v>
      </c>
      <c r="C125" s="16">
        <v>0.95833333333333337</v>
      </c>
      <c r="D125" s="15" t="s">
        <v>34</v>
      </c>
      <c r="E125" s="15" t="s">
        <v>226</v>
      </c>
      <c r="F125" s="15" t="s">
        <v>630</v>
      </c>
      <c r="G125" s="257"/>
      <c r="H125" s="10"/>
      <c r="I125" s="11"/>
      <c r="J125" s="11"/>
      <c r="K125" s="11"/>
      <c r="L125" s="11"/>
      <c r="M125" s="11"/>
      <c r="N125" s="11"/>
      <c r="O125" s="12"/>
      <c r="P125" s="11"/>
      <c r="Q125" s="13"/>
      <c r="R125" s="14"/>
    </row>
    <row r="126" spans="1:18" ht="15" customHeight="1" x14ac:dyDescent="0.3">
      <c r="A126" s="17" t="s">
        <v>26</v>
      </c>
      <c r="B126" s="17" t="s">
        <v>555</v>
      </c>
      <c r="C126" s="18">
        <v>0.69791666666666663</v>
      </c>
      <c r="D126" s="17" t="s">
        <v>28</v>
      </c>
      <c r="E126" s="17" t="s">
        <v>223</v>
      </c>
      <c r="F126" s="17" t="s">
        <v>631</v>
      </c>
      <c r="G126" s="257"/>
      <c r="H126" s="10"/>
      <c r="I126" s="11"/>
      <c r="J126" s="11"/>
      <c r="K126" s="11"/>
      <c r="L126" s="11"/>
      <c r="M126" s="11"/>
      <c r="N126" s="11"/>
      <c r="O126" s="12"/>
      <c r="P126" s="11"/>
      <c r="Q126" s="13"/>
      <c r="R126" s="14"/>
    </row>
    <row r="127" spans="1:18" ht="15" customHeight="1" x14ac:dyDescent="0.3">
      <c r="A127" s="15" t="s">
        <v>26</v>
      </c>
      <c r="B127" s="15" t="s">
        <v>555</v>
      </c>
      <c r="C127" s="16">
        <v>0.69791666666666663</v>
      </c>
      <c r="D127" s="15" t="s">
        <v>31</v>
      </c>
      <c r="E127" s="15" t="s">
        <v>32</v>
      </c>
      <c r="F127" s="15" t="s">
        <v>319</v>
      </c>
      <c r="G127" s="257"/>
      <c r="H127" s="10"/>
      <c r="I127" s="11"/>
      <c r="J127" s="11"/>
      <c r="K127" s="11"/>
      <c r="L127" s="11"/>
      <c r="M127" s="11"/>
      <c r="N127" s="11"/>
      <c r="O127" s="12"/>
      <c r="P127" s="11"/>
      <c r="Q127" s="13"/>
      <c r="R127" s="14"/>
    </row>
    <row r="128" spans="1:18" ht="15" customHeight="1" x14ac:dyDescent="0.3">
      <c r="A128" s="15" t="s">
        <v>26</v>
      </c>
      <c r="B128" s="15" t="s">
        <v>555</v>
      </c>
      <c r="C128" s="16">
        <v>0.69791666666666663</v>
      </c>
      <c r="D128" s="15" t="s">
        <v>34</v>
      </c>
      <c r="E128" s="15" t="s">
        <v>32</v>
      </c>
      <c r="F128" s="15" t="s">
        <v>632</v>
      </c>
      <c r="G128" s="257"/>
      <c r="H128" s="10"/>
      <c r="I128" s="11"/>
      <c r="J128" s="11"/>
      <c r="K128" s="11"/>
      <c r="L128" s="11"/>
      <c r="M128" s="11"/>
      <c r="N128" s="11"/>
      <c r="O128" s="12"/>
      <c r="P128" s="11"/>
      <c r="Q128" s="13"/>
      <c r="R128" s="14"/>
    </row>
    <row r="129" spans="1:18" ht="15" customHeight="1" x14ac:dyDescent="0.3">
      <c r="A129" s="17" t="s">
        <v>26</v>
      </c>
      <c r="B129" s="17" t="s">
        <v>559</v>
      </c>
      <c r="C129" s="18">
        <v>0.81944444444444453</v>
      </c>
      <c r="D129" s="17" t="s">
        <v>28</v>
      </c>
      <c r="E129" s="17" t="s">
        <v>285</v>
      </c>
      <c r="F129" s="17" t="s">
        <v>631</v>
      </c>
      <c r="G129" s="257"/>
      <c r="H129" s="10"/>
      <c r="I129" s="11"/>
      <c r="J129" s="11"/>
      <c r="K129" s="11"/>
      <c r="L129" s="11"/>
      <c r="M129" s="11"/>
      <c r="N129" s="11"/>
      <c r="O129" s="12"/>
      <c r="P129" s="11"/>
      <c r="Q129" s="13"/>
      <c r="R129" s="14"/>
    </row>
    <row r="130" spans="1:18" ht="15" customHeight="1" x14ac:dyDescent="0.3">
      <c r="A130" s="15" t="s">
        <v>26</v>
      </c>
      <c r="B130" s="15" t="s">
        <v>559</v>
      </c>
      <c r="C130" s="16">
        <v>0.81944444444444453</v>
      </c>
      <c r="D130" s="15" t="s">
        <v>31</v>
      </c>
      <c r="E130" s="15" t="s">
        <v>317</v>
      </c>
      <c r="F130" s="15" t="s">
        <v>319</v>
      </c>
      <c r="G130" s="257"/>
      <c r="H130" s="10"/>
      <c r="I130" s="11"/>
      <c r="J130" s="11"/>
      <c r="K130" s="11"/>
      <c r="L130" s="11"/>
      <c r="M130" s="11"/>
      <c r="N130" s="11"/>
      <c r="O130" s="12"/>
      <c r="P130" s="11"/>
      <c r="Q130" s="13"/>
      <c r="R130" s="14"/>
    </row>
    <row r="131" spans="1:18" ht="15" customHeight="1" x14ac:dyDescent="0.3">
      <c r="A131" s="15" t="s">
        <v>26</v>
      </c>
      <c r="B131" s="15" t="s">
        <v>559</v>
      </c>
      <c r="C131" s="16">
        <v>0.81944444444444453</v>
      </c>
      <c r="D131" s="15" t="s">
        <v>34</v>
      </c>
      <c r="E131" s="15" t="s">
        <v>317</v>
      </c>
      <c r="F131" s="15" t="s">
        <v>632</v>
      </c>
      <c r="G131" s="257"/>
      <c r="H131" s="10"/>
      <c r="I131" s="11"/>
      <c r="J131" s="11"/>
      <c r="K131" s="11"/>
      <c r="L131" s="11"/>
      <c r="M131" s="11"/>
      <c r="N131" s="11"/>
      <c r="O131" s="12"/>
      <c r="P131" s="11"/>
      <c r="Q131" s="13"/>
      <c r="R131" s="14"/>
    </row>
    <row r="132" spans="1:18" ht="15" customHeight="1" x14ac:dyDescent="0.3">
      <c r="A132" s="19" t="s">
        <v>42</v>
      </c>
      <c r="B132" s="19" t="s">
        <v>570</v>
      </c>
      <c r="C132" s="20">
        <v>0.62847222222222221</v>
      </c>
      <c r="D132" s="19" t="s">
        <v>44</v>
      </c>
      <c r="E132" s="19" t="s">
        <v>633</v>
      </c>
      <c r="F132" s="19" t="s">
        <v>634</v>
      </c>
      <c r="G132" s="257"/>
      <c r="H132" s="10"/>
      <c r="I132" s="11"/>
      <c r="J132" s="11"/>
      <c r="K132" s="11"/>
      <c r="L132" s="11"/>
      <c r="M132" s="11"/>
      <c r="N132" s="11"/>
      <c r="O132" s="12"/>
      <c r="P132" s="11"/>
      <c r="Q132" s="13"/>
      <c r="R132" s="14"/>
    </row>
    <row r="133" spans="1:18" ht="15" customHeight="1" x14ac:dyDescent="0.3">
      <c r="A133" s="15" t="s">
        <v>42</v>
      </c>
      <c r="B133" s="15" t="s">
        <v>570</v>
      </c>
      <c r="C133" s="16">
        <v>0.62847222222222221</v>
      </c>
      <c r="D133" s="15" t="s">
        <v>47</v>
      </c>
      <c r="E133" s="15" t="s">
        <v>635</v>
      </c>
      <c r="F133" s="15" t="s">
        <v>631</v>
      </c>
      <c r="G133" s="257"/>
      <c r="H133" s="10"/>
      <c r="I133" s="11"/>
      <c r="J133" s="11"/>
      <c r="K133" s="11"/>
      <c r="L133" s="11"/>
      <c r="M133" s="11"/>
      <c r="N133" s="11"/>
      <c r="O133" s="12"/>
      <c r="P133" s="11"/>
      <c r="Q133" s="13"/>
      <c r="R133" s="14"/>
    </row>
    <row r="134" spans="1:18" ht="15" customHeight="1" x14ac:dyDescent="0.3">
      <c r="A134" s="15" t="s">
        <v>42</v>
      </c>
      <c r="B134" s="15" t="s">
        <v>570</v>
      </c>
      <c r="C134" s="16">
        <v>0.62847222222222221</v>
      </c>
      <c r="D134" s="15" t="s">
        <v>49</v>
      </c>
      <c r="E134" s="15" t="s">
        <v>635</v>
      </c>
      <c r="F134" s="15" t="s">
        <v>636</v>
      </c>
      <c r="G134" s="257"/>
      <c r="H134" s="10"/>
      <c r="I134" s="11"/>
      <c r="J134" s="11"/>
      <c r="K134" s="11"/>
      <c r="L134" s="11"/>
      <c r="M134" s="11"/>
      <c r="N134" s="11"/>
      <c r="O134" s="12"/>
      <c r="P134" s="11"/>
      <c r="Q134" s="13"/>
      <c r="R134" s="14"/>
    </row>
    <row r="135" spans="1:18" ht="15" customHeight="1" x14ac:dyDescent="0.3">
      <c r="A135" s="17" t="s">
        <v>42</v>
      </c>
      <c r="B135" s="17" t="s">
        <v>573</v>
      </c>
      <c r="C135" s="18">
        <v>0.57638888888888895</v>
      </c>
      <c r="D135" s="17" t="s">
        <v>44</v>
      </c>
      <c r="E135" s="17" t="s">
        <v>285</v>
      </c>
      <c r="F135" s="17" t="s">
        <v>634</v>
      </c>
      <c r="G135" s="257"/>
      <c r="H135" s="10"/>
      <c r="I135" s="11"/>
      <c r="J135" s="11"/>
      <c r="K135" s="11"/>
      <c r="L135" s="11"/>
      <c r="M135" s="11"/>
      <c r="N135" s="11"/>
      <c r="O135" s="12"/>
      <c r="P135" s="11"/>
      <c r="Q135" s="13"/>
      <c r="R135" s="14"/>
    </row>
    <row r="136" spans="1:18" ht="15" customHeight="1" x14ac:dyDescent="0.3">
      <c r="A136" s="15" t="s">
        <v>42</v>
      </c>
      <c r="B136" s="15" t="s">
        <v>573</v>
      </c>
      <c r="C136" s="16">
        <v>0.57638888888888895</v>
      </c>
      <c r="D136" s="15" t="s">
        <v>47</v>
      </c>
      <c r="E136" s="15" t="s">
        <v>317</v>
      </c>
      <c r="F136" s="15" t="s">
        <v>631</v>
      </c>
      <c r="G136" s="257"/>
      <c r="H136" s="10"/>
      <c r="I136" s="11"/>
      <c r="J136" s="11"/>
      <c r="K136" s="11"/>
      <c r="L136" s="11"/>
      <c r="M136" s="11"/>
      <c r="N136" s="11"/>
      <c r="O136" s="12"/>
      <c r="P136" s="11"/>
      <c r="Q136" s="13"/>
      <c r="R136" s="14"/>
    </row>
    <row r="137" spans="1:18" ht="15" customHeight="1" x14ac:dyDescent="0.3">
      <c r="A137" s="15" t="s">
        <v>42</v>
      </c>
      <c r="B137" s="15" t="s">
        <v>573</v>
      </c>
      <c r="C137" s="16">
        <v>0.57638888888888895</v>
      </c>
      <c r="D137" s="15" t="s">
        <v>49</v>
      </c>
      <c r="E137" s="15" t="s">
        <v>317</v>
      </c>
      <c r="F137" s="15" t="s">
        <v>636</v>
      </c>
      <c r="G137" s="257"/>
      <c r="H137" s="10"/>
      <c r="I137" s="11"/>
      <c r="J137" s="11"/>
      <c r="K137" s="11"/>
      <c r="L137" s="11"/>
      <c r="M137" s="11"/>
      <c r="N137" s="11"/>
      <c r="O137" s="12"/>
      <c r="P137" s="11"/>
      <c r="Q137" s="13"/>
      <c r="R137" s="14"/>
    </row>
    <row r="138" spans="1:18" ht="15" customHeight="1" x14ac:dyDescent="0.3">
      <c r="A138" s="17" t="s">
        <v>42</v>
      </c>
      <c r="B138" s="17" t="s">
        <v>565</v>
      </c>
      <c r="C138" s="18">
        <v>0.88888888888888884</v>
      </c>
      <c r="D138" s="17" t="s">
        <v>44</v>
      </c>
      <c r="E138" s="17" t="s">
        <v>217</v>
      </c>
      <c r="F138" s="17" t="s">
        <v>563</v>
      </c>
      <c r="G138" s="257"/>
      <c r="H138" s="10"/>
      <c r="I138" s="11"/>
      <c r="J138" s="11"/>
      <c r="K138" s="11"/>
      <c r="L138" s="11"/>
      <c r="M138" s="11"/>
      <c r="N138" s="11"/>
      <c r="O138" s="12"/>
      <c r="P138" s="11"/>
      <c r="Q138" s="13"/>
      <c r="R138" s="14"/>
    </row>
    <row r="139" spans="1:18" ht="15" customHeight="1" x14ac:dyDescent="0.3">
      <c r="A139" s="15" t="s">
        <v>42</v>
      </c>
      <c r="B139" s="15" t="s">
        <v>565</v>
      </c>
      <c r="C139" s="16">
        <v>0.88888888888888884</v>
      </c>
      <c r="D139" s="15" t="s">
        <v>47</v>
      </c>
      <c r="E139" s="15" t="s">
        <v>218</v>
      </c>
      <c r="F139" s="15" t="s">
        <v>33</v>
      </c>
      <c r="G139" s="257"/>
      <c r="H139" s="10"/>
      <c r="I139" s="11"/>
      <c r="J139" s="11"/>
      <c r="K139" s="11"/>
      <c r="L139" s="11"/>
      <c r="M139" s="11"/>
      <c r="N139" s="11"/>
      <c r="O139" s="12"/>
      <c r="P139" s="11"/>
      <c r="Q139" s="13"/>
      <c r="R139" s="14"/>
    </row>
    <row r="140" spans="1:18" ht="15" customHeight="1" x14ac:dyDescent="0.3">
      <c r="A140" s="15" t="s">
        <v>42</v>
      </c>
      <c r="B140" s="15" t="s">
        <v>565</v>
      </c>
      <c r="C140" s="16">
        <v>0.88888888888888884</v>
      </c>
      <c r="D140" s="15" t="s">
        <v>49</v>
      </c>
      <c r="E140" s="15" t="s">
        <v>218</v>
      </c>
      <c r="F140" s="15" t="s">
        <v>569</v>
      </c>
      <c r="G140" s="257"/>
      <c r="H140" s="10"/>
      <c r="I140" s="11"/>
      <c r="J140" s="11"/>
      <c r="K140" s="11"/>
      <c r="L140" s="11"/>
      <c r="M140" s="11"/>
      <c r="N140" s="11"/>
      <c r="O140" s="12"/>
      <c r="P140" s="11"/>
      <c r="Q140" s="13"/>
      <c r="R140" s="14"/>
    </row>
    <row r="141" spans="1:18" ht="15" customHeight="1" x14ac:dyDescent="0.3">
      <c r="A141" s="17" t="s">
        <v>42</v>
      </c>
      <c r="B141" s="17" t="s">
        <v>576</v>
      </c>
      <c r="C141" s="18">
        <v>0.94444444444444453</v>
      </c>
      <c r="D141" s="17" t="s">
        <v>44</v>
      </c>
      <c r="E141" s="17" t="s">
        <v>313</v>
      </c>
      <c r="F141" s="17" t="s">
        <v>637</v>
      </c>
      <c r="G141" s="257"/>
      <c r="H141" s="10"/>
      <c r="I141" s="11"/>
      <c r="J141" s="11"/>
      <c r="K141" s="11"/>
      <c r="L141" s="11"/>
      <c r="M141" s="11"/>
      <c r="N141" s="11"/>
      <c r="O141" s="12"/>
      <c r="P141" s="11"/>
      <c r="Q141" s="13"/>
      <c r="R141" s="14"/>
    </row>
    <row r="142" spans="1:18" ht="15" customHeight="1" x14ac:dyDescent="0.3">
      <c r="A142" s="15" t="s">
        <v>42</v>
      </c>
      <c r="B142" s="15" t="s">
        <v>576</v>
      </c>
      <c r="C142" s="16">
        <v>0.94444444444444453</v>
      </c>
      <c r="D142" s="15" t="s">
        <v>47</v>
      </c>
      <c r="E142" s="15" t="s">
        <v>314</v>
      </c>
      <c r="F142" s="15" t="s">
        <v>638</v>
      </c>
      <c r="G142" s="257"/>
      <c r="H142" s="10"/>
      <c r="I142" s="11"/>
      <c r="J142" s="11"/>
      <c r="K142" s="11"/>
      <c r="L142" s="11"/>
      <c r="M142" s="11"/>
      <c r="N142" s="11"/>
      <c r="O142" s="12"/>
      <c r="P142" s="11"/>
      <c r="Q142" s="13"/>
      <c r="R142" s="14"/>
    </row>
    <row r="143" spans="1:18" ht="15" customHeight="1" x14ac:dyDescent="0.3">
      <c r="A143" s="15" t="s">
        <v>42</v>
      </c>
      <c r="B143" s="15" t="s">
        <v>576</v>
      </c>
      <c r="C143" s="16">
        <v>0.94444444444444453</v>
      </c>
      <c r="D143" s="15" t="s">
        <v>49</v>
      </c>
      <c r="E143" s="15" t="s">
        <v>314</v>
      </c>
      <c r="F143" s="15" t="s">
        <v>569</v>
      </c>
      <c r="G143" s="257"/>
      <c r="H143" s="10"/>
      <c r="I143" s="11"/>
      <c r="J143" s="11"/>
      <c r="K143" s="11"/>
      <c r="L143" s="11"/>
      <c r="M143" s="11"/>
      <c r="N143" s="11"/>
      <c r="O143" s="12"/>
      <c r="P143" s="11"/>
      <c r="Q143" s="13"/>
      <c r="R143" s="14"/>
    </row>
    <row r="144" spans="1:18" ht="15" customHeight="1" x14ac:dyDescent="0.3">
      <c r="A144" s="19" t="s">
        <v>328</v>
      </c>
      <c r="B144" s="19" t="s">
        <v>584</v>
      </c>
      <c r="C144" s="20">
        <v>8.6805555555555566E-2</v>
      </c>
      <c r="D144" s="19" t="s">
        <v>98</v>
      </c>
      <c r="E144" s="19" t="s">
        <v>45</v>
      </c>
      <c r="F144" s="19" t="s">
        <v>639</v>
      </c>
      <c r="G144" s="257"/>
      <c r="H144" s="10"/>
      <c r="I144" s="11"/>
      <c r="J144" s="11"/>
      <c r="K144" s="11"/>
      <c r="L144" s="11"/>
      <c r="M144" s="11"/>
      <c r="N144" s="11"/>
      <c r="O144" s="12"/>
      <c r="P144" s="11"/>
      <c r="Q144" s="13"/>
      <c r="R144" s="14"/>
    </row>
    <row r="145" spans="1:18" ht="15" customHeight="1" x14ac:dyDescent="0.3">
      <c r="A145" s="177" t="s">
        <v>78</v>
      </c>
      <c r="B145" s="177" t="s">
        <v>588</v>
      </c>
      <c r="C145" s="178">
        <v>0.41319444444444442</v>
      </c>
      <c r="D145" s="177" t="s">
        <v>98</v>
      </c>
      <c r="E145" s="177" t="s">
        <v>435</v>
      </c>
      <c r="F145" s="177" t="s">
        <v>637</v>
      </c>
      <c r="G145" s="257"/>
      <c r="H145" s="180" t="s">
        <v>590</v>
      </c>
      <c r="I145" s="181">
        <v>0.59219999999999995</v>
      </c>
      <c r="J145" s="182">
        <v>106</v>
      </c>
      <c r="K145" s="183">
        <v>45980</v>
      </c>
      <c r="L145" s="182">
        <v>59</v>
      </c>
      <c r="M145" s="182">
        <v>2</v>
      </c>
      <c r="N145" s="182">
        <v>17</v>
      </c>
      <c r="O145" s="184" t="s">
        <v>640</v>
      </c>
      <c r="P145" s="185">
        <v>0.41319444444444442</v>
      </c>
      <c r="Q145" s="182">
        <v>179</v>
      </c>
      <c r="R145" s="186" t="s">
        <v>641</v>
      </c>
    </row>
    <row r="146" spans="1:18" ht="15" customHeight="1" x14ac:dyDescent="0.3">
      <c r="A146" s="19" t="s">
        <v>235</v>
      </c>
      <c r="B146" s="19" t="s">
        <v>642</v>
      </c>
      <c r="C146" s="20">
        <v>0.47916666666666669</v>
      </c>
      <c r="D146" s="19" t="s">
        <v>98</v>
      </c>
      <c r="E146" s="19" t="s">
        <v>54</v>
      </c>
      <c r="F146" s="19" t="s">
        <v>643</v>
      </c>
      <c r="G146" s="257"/>
      <c r="H146" s="10"/>
      <c r="I146" s="11"/>
      <c r="J146" s="11"/>
      <c r="K146" s="11"/>
      <c r="L146" s="11"/>
      <c r="M146" s="11"/>
      <c r="N146" s="11"/>
      <c r="O146" s="12"/>
      <c r="P146" s="11"/>
      <c r="Q146" s="13"/>
      <c r="R146" s="14"/>
    </row>
    <row r="147" spans="1:18" ht="15" customHeight="1" x14ac:dyDescent="0.3">
      <c r="A147" s="19" t="s">
        <v>51</v>
      </c>
      <c r="B147" s="19" t="s">
        <v>601</v>
      </c>
      <c r="C147" s="20">
        <v>0.98263888888888884</v>
      </c>
      <c r="D147" s="19" t="s">
        <v>53</v>
      </c>
      <c r="E147" s="19" t="s">
        <v>435</v>
      </c>
      <c r="F147" s="19" t="s">
        <v>602</v>
      </c>
      <c r="G147" s="257"/>
      <c r="H147" s="10"/>
      <c r="I147" s="11"/>
      <c r="J147" s="11"/>
      <c r="K147" s="11"/>
      <c r="L147" s="11"/>
      <c r="M147" s="11"/>
      <c r="N147" s="11"/>
      <c r="O147" s="12"/>
      <c r="P147" s="11"/>
      <c r="Q147" s="13"/>
      <c r="R147" s="14"/>
    </row>
    <row r="148" spans="1:18" ht="15" customHeight="1" x14ac:dyDescent="0.3">
      <c r="A148" s="15" t="s">
        <v>51</v>
      </c>
      <c r="B148" s="15" t="s">
        <v>601</v>
      </c>
      <c r="C148" s="16">
        <v>0.98263888888888884</v>
      </c>
      <c r="D148" s="15" t="s">
        <v>56</v>
      </c>
      <c r="E148" s="15" t="s">
        <v>226</v>
      </c>
      <c r="F148" s="15" t="s">
        <v>603</v>
      </c>
      <c r="G148" s="257"/>
      <c r="H148" s="10"/>
      <c r="I148" s="11"/>
      <c r="J148" s="11"/>
      <c r="K148" s="11"/>
      <c r="L148" s="11"/>
      <c r="M148" s="11"/>
      <c r="N148" s="11"/>
      <c r="O148" s="12"/>
      <c r="P148" s="11"/>
      <c r="Q148" s="13"/>
      <c r="R148" s="14"/>
    </row>
    <row r="149" spans="1:18" ht="15" customHeight="1" x14ac:dyDescent="0.3">
      <c r="A149" s="17" t="s">
        <v>51</v>
      </c>
      <c r="B149" s="17" t="s">
        <v>610</v>
      </c>
      <c r="C149" s="18">
        <v>0.82986111111111116</v>
      </c>
      <c r="D149" s="17" t="s">
        <v>53</v>
      </c>
      <c r="E149" s="17" t="s">
        <v>37</v>
      </c>
      <c r="F149" s="17" t="s">
        <v>644</v>
      </c>
      <c r="G149" s="257"/>
      <c r="H149" s="10"/>
      <c r="I149" s="11"/>
      <c r="J149" s="11"/>
      <c r="K149" s="11"/>
      <c r="L149" s="11"/>
      <c r="M149" s="11"/>
      <c r="N149" s="11"/>
      <c r="O149" s="12"/>
      <c r="P149" s="11"/>
      <c r="Q149" s="13"/>
      <c r="R149" s="14"/>
    </row>
    <row r="150" spans="1:18" ht="15" customHeight="1" x14ac:dyDescent="0.3">
      <c r="A150" s="15" t="s">
        <v>51</v>
      </c>
      <c r="B150" s="15" t="s">
        <v>610</v>
      </c>
      <c r="C150" s="16">
        <v>0.82986111111111116</v>
      </c>
      <c r="D150" s="15" t="s">
        <v>56</v>
      </c>
      <c r="E150" s="15" t="s">
        <v>39</v>
      </c>
      <c r="F150" s="15" t="s">
        <v>645</v>
      </c>
      <c r="G150" s="257"/>
      <c r="H150" s="10"/>
      <c r="I150" s="11"/>
      <c r="J150" s="11"/>
      <c r="K150" s="11"/>
      <c r="L150" s="11"/>
      <c r="M150" s="11"/>
      <c r="N150" s="11"/>
      <c r="O150" s="12"/>
      <c r="P150" s="11"/>
      <c r="Q150" s="13"/>
      <c r="R150" s="14"/>
    </row>
    <row r="151" spans="1:18" ht="15" customHeight="1" x14ac:dyDescent="0.3">
      <c r="A151" s="17" t="s">
        <v>51</v>
      </c>
      <c r="B151" s="17" t="s">
        <v>608</v>
      </c>
      <c r="C151" s="18">
        <v>0.44444444444444442</v>
      </c>
      <c r="D151" s="17" t="s">
        <v>56</v>
      </c>
      <c r="E151" s="17" t="s">
        <v>37</v>
      </c>
      <c r="F151" s="17" t="s">
        <v>646</v>
      </c>
      <c r="G151" s="257"/>
      <c r="H151" s="10"/>
      <c r="I151" s="11"/>
      <c r="J151" s="11"/>
      <c r="K151" s="11"/>
      <c r="L151" s="11"/>
      <c r="M151" s="11"/>
      <c r="N151" s="11"/>
      <c r="O151" s="12"/>
      <c r="P151" s="11"/>
      <c r="Q151" s="13"/>
      <c r="R151" s="14"/>
    </row>
    <row r="152" spans="1:18" ht="15" customHeight="1" x14ac:dyDescent="0.3">
      <c r="A152" s="17" t="s">
        <v>51</v>
      </c>
      <c r="B152" s="17" t="s">
        <v>607</v>
      </c>
      <c r="C152" s="18">
        <v>0.62847222222222221</v>
      </c>
      <c r="D152" s="17" t="s">
        <v>56</v>
      </c>
      <c r="E152" s="17" t="s">
        <v>62</v>
      </c>
      <c r="F152" s="17" t="s">
        <v>647</v>
      </c>
      <c r="G152" s="257"/>
      <c r="H152" s="10"/>
      <c r="I152" s="11"/>
      <c r="J152" s="11"/>
      <c r="K152" s="11"/>
      <c r="L152" s="11"/>
      <c r="M152" s="11"/>
      <c r="N152" s="11"/>
      <c r="O152" s="12"/>
      <c r="P152" s="11"/>
      <c r="Q152" s="13"/>
      <c r="R152" s="14"/>
    </row>
    <row r="153" spans="1:18" ht="15" customHeight="1" x14ac:dyDescent="0.3">
      <c r="A153" s="17" t="s">
        <v>51</v>
      </c>
      <c r="B153" s="17" t="s">
        <v>604</v>
      </c>
      <c r="C153" s="18">
        <v>0.88888888888888884</v>
      </c>
      <c r="D153" s="17" t="s">
        <v>56</v>
      </c>
      <c r="E153" s="17" t="s">
        <v>62</v>
      </c>
      <c r="F153" s="17" t="s">
        <v>648</v>
      </c>
      <c r="G153" s="257"/>
      <c r="H153" s="10"/>
      <c r="I153" s="11"/>
      <c r="J153" s="11"/>
      <c r="K153" s="11"/>
      <c r="L153" s="11"/>
      <c r="M153" s="11"/>
      <c r="N153" s="11"/>
      <c r="O153" s="12"/>
      <c r="P153" s="11"/>
      <c r="Q153" s="13"/>
      <c r="R153" s="14"/>
    </row>
    <row r="154" spans="1:18" ht="15" customHeight="1" x14ac:dyDescent="0.3">
      <c r="A154" s="17" t="s">
        <v>51</v>
      </c>
      <c r="B154" s="17" t="s">
        <v>606</v>
      </c>
      <c r="C154" s="18">
        <v>0.94444444444444453</v>
      </c>
      <c r="D154" s="17" t="s">
        <v>56</v>
      </c>
      <c r="E154" s="17" t="s">
        <v>62</v>
      </c>
      <c r="F154" s="17" t="s">
        <v>649</v>
      </c>
      <c r="G154" s="257"/>
      <c r="H154" s="10"/>
      <c r="I154" s="11"/>
      <c r="J154" s="11"/>
      <c r="K154" s="11"/>
      <c r="L154" s="11"/>
      <c r="M154" s="11"/>
      <c r="N154" s="11"/>
      <c r="O154" s="12"/>
      <c r="P154" s="11"/>
      <c r="Q154" s="13"/>
      <c r="R154" s="14"/>
    </row>
    <row r="155" spans="1:18" ht="15" customHeight="1" x14ac:dyDescent="0.3">
      <c r="A155" s="17" t="s">
        <v>51</v>
      </c>
      <c r="B155" s="17" t="s">
        <v>611</v>
      </c>
      <c r="C155" s="18">
        <v>0.62847222222222221</v>
      </c>
      <c r="D155" s="17" t="s">
        <v>56</v>
      </c>
      <c r="E155" s="17" t="s">
        <v>62</v>
      </c>
      <c r="F155" s="17" t="s">
        <v>650</v>
      </c>
      <c r="G155" s="257"/>
      <c r="H155" s="10"/>
      <c r="I155" s="11"/>
      <c r="J155" s="11"/>
      <c r="K155" s="11"/>
      <c r="L155" s="11"/>
      <c r="M155" s="11"/>
      <c r="N155" s="11"/>
      <c r="O155" s="12"/>
      <c r="P155" s="11"/>
      <c r="Q155" s="13"/>
      <c r="R155" s="14"/>
    </row>
    <row r="156" spans="1:18" ht="15" customHeight="1" x14ac:dyDescent="0.3">
      <c r="A156" s="19" t="s">
        <v>67</v>
      </c>
      <c r="B156" s="19" t="s">
        <v>598</v>
      </c>
      <c r="C156" s="20">
        <v>0.35416666666666669</v>
      </c>
      <c r="D156" s="19" t="s">
        <v>69</v>
      </c>
      <c r="E156" s="19" t="s">
        <v>99</v>
      </c>
      <c r="F156" s="19" t="s">
        <v>651</v>
      </c>
      <c r="G156" s="257"/>
      <c r="H156" s="10"/>
      <c r="I156" s="11"/>
      <c r="J156" s="11"/>
      <c r="K156" s="11"/>
      <c r="L156" s="11"/>
      <c r="M156" s="11"/>
      <c r="N156" s="11"/>
      <c r="O156" s="12"/>
      <c r="P156" s="11"/>
      <c r="Q156" s="13"/>
      <c r="R156" s="14"/>
    </row>
    <row r="157" spans="1:18" ht="15" customHeight="1" x14ac:dyDescent="0.3">
      <c r="A157" s="17" t="s">
        <v>67</v>
      </c>
      <c r="B157" s="17" t="s">
        <v>596</v>
      </c>
      <c r="C157" s="18">
        <v>0.98263888888888884</v>
      </c>
      <c r="D157" s="17" t="s">
        <v>69</v>
      </c>
      <c r="E157" s="17" t="s">
        <v>285</v>
      </c>
      <c r="F157" s="17" t="s">
        <v>626</v>
      </c>
      <c r="G157" s="257"/>
      <c r="H157" s="10"/>
      <c r="I157" s="11"/>
      <c r="J157" s="11"/>
      <c r="K157" s="11"/>
      <c r="L157" s="11"/>
      <c r="M157" s="11"/>
      <c r="N157" s="11"/>
      <c r="O157" s="12"/>
      <c r="P157" s="11"/>
      <c r="Q157" s="13"/>
      <c r="R157" s="14"/>
    </row>
    <row r="158" spans="1:18" ht="15" customHeight="1" x14ac:dyDescent="0.3">
      <c r="A158" s="39" t="s">
        <v>67</v>
      </c>
      <c r="B158" s="39" t="s">
        <v>599</v>
      </c>
      <c r="C158" s="40">
        <v>0.73263888888888884</v>
      </c>
      <c r="D158" s="39" t="s">
        <v>69</v>
      </c>
      <c r="E158" s="39" t="s">
        <v>75</v>
      </c>
      <c r="F158" s="39" t="s">
        <v>600</v>
      </c>
      <c r="G158" s="258"/>
      <c r="H158" s="41"/>
      <c r="I158" s="42"/>
      <c r="J158" s="42"/>
      <c r="K158" s="42"/>
      <c r="L158" s="42"/>
      <c r="M158" s="42"/>
      <c r="N158" s="42"/>
      <c r="O158" s="43"/>
      <c r="P158" s="42"/>
      <c r="Q158" s="44"/>
      <c r="R158" s="45"/>
    </row>
  </sheetData>
  <mergeCells count="18">
    <mergeCell ref="H1:L1"/>
    <mergeCell ref="A1:E1"/>
    <mergeCell ref="G2:J2"/>
    <mergeCell ref="K2:R2"/>
    <mergeCell ref="A4:F4"/>
    <mergeCell ref="H4:R4"/>
    <mergeCell ref="N1:R1"/>
    <mergeCell ref="A2:F2"/>
    <mergeCell ref="A3:R3"/>
    <mergeCell ref="G111:G158"/>
    <mergeCell ref="G61:G107"/>
    <mergeCell ref="A109:F109"/>
    <mergeCell ref="A58:R58"/>
    <mergeCell ref="H109:R109"/>
    <mergeCell ref="H59:R59"/>
    <mergeCell ref="A108:R108"/>
    <mergeCell ref="G6:G57"/>
    <mergeCell ref="A59:F59"/>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J6"/>
  <sheetViews>
    <sheetView workbookViewId="0"/>
  </sheetViews>
  <sheetFormatPr defaultRowHeight="15.6" outlineLevelCol="1" x14ac:dyDescent="0.3"/>
  <cols>
    <col min="1" max="1" width="9.88671875" style="272" bestFit="1" customWidth="1"/>
    <col min="2" max="2" width="10.44140625" style="272" bestFit="1" customWidth="1"/>
    <col min="3" max="3" width="6.77734375" style="272" bestFit="1" customWidth="1"/>
    <col min="4" max="4" width="5.5546875" style="272" bestFit="1" customWidth="1"/>
    <col min="5" max="5" width="8.33203125" style="272" bestFit="1" customWidth="1"/>
    <col min="6" max="6" width="4.21875" style="272" bestFit="1" customWidth="1"/>
    <col min="7" max="7" width="10" style="272" bestFit="1" customWidth="1"/>
    <col min="8" max="10" width="7" style="272" bestFit="1" customWidth="1"/>
    <col min="11" max="11" width="10.5546875" style="272" bestFit="1" customWidth="1"/>
    <col min="12" max="12" width="9.10937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26" width="3.88671875" style="272" bestFit="1" customWidth="1"/>
    <col min="27" max="27" width="5" style="272" bestFit="1" customWidth="1"/>
    <col min="28" max="29" width="4.21875" style="272" bestFit="1" customWidth="1"/>
    <col min="30" max="31" width="4.5546875" style="272" bestFit="1" customWidth="1"/>
    <col min="32" max="36" width="3.88671875" style="272" bestFit="1" customWidth="1"/>
    <col min="37" max="16384" width="8.88671875" style="272"/>
  </cols>
  <sheetData>
    <row r="1" spans="1:36" x14ac:dyDescent="0.3">
      <c r="A1" s="271" t="s">
        <v>103</v>
      </c>
      <c r="B1" s="271" t="s">
        <v>104</v>
      </c>
      <c r="C1" s="271" t="s">
        <v>105</v>
      </c>
      <c r="D1" s="271" t="s">
        <v>23</v>
      </c>
      <c r="E1" s="271" t="s">
        <v>106</v>
      </c>
      <c r="F1" s="271" t="s">
        <v>107</v>
      </c>
      <c r="G1" s="271" t="s">
        <v>16</v>
      </c>
      <c r="H1" s="271" t="s">
        <v>108</v>
      </c>
      <c r="I1" s="271" t="s">
        <v>109</v>
      </c>
      <c r="J1" s="271" t="s">
        <v>110</v>
      </c>
      <c r="K1" s="271" t="s">
        <v>111</v>
      </c>
      <c r="L1" s="271" t="s">
        <v>18</v>
      </c>
      <c r="M1" s="271" t="s">
        <v>20</v>
      </c>
      <c r="N1" s="271" t="s">
        <v>21</v>
      </c>
      <c r="O1" s="271" t="s">
        <v>19</v>
      </c>
      <c r="P1" s="271" t="s">
        <v>22</v>
      </c>
      <c r="Q1" s="271" t="s">
        <v>112</v>
      </c>
      <c r="R1" s="271" t="s">
        <v>113</v>
      </c>
      <c r="S1" s="271" t="s">
        <v>114</v>
      </c>
      <c r="T1" s="271" t="s">
        <v>115</v>
      </c>
      <c r="U1" s="271" t="s">
        <v>116</v>
      </c>
      <c r="V1" s="271" t="s">
        <v>117</v>
      </c>
      <c r="W1" s="271" t="s">
        <v>118</v>
      </c>
      <c r="X1" s="271" t="s">
        <v>119</v>
      </c>
      <c r="Y1" s="271" t="s">
        <v>120</v>
      </c>
      <c r="Z1" s="271" t="s">
        <v>121</v>
      </c>
      <c r="AA1" s="271" t="s">
        <v>122</v>
      </c>
      <c r="AB1" s="271" t="s">
        <v>123</v>
      </c>
      <c r="AC1" s="271" t="s">
        <v>124</v>
      </c>
      <c r="AD1" s="271" t="s">
        <v>125</v>
      </c>
      <c r="AE1" s="271" t="s">
        <v>126</v>
      </c>
      <c r="AF1" s="271" t="s">
        <v>127</v>
      </c>
      <c r="AG1" s="271" t="s">
        <v>128</v>
      </c>
      <c r="AH1" s="271" t="s">
        <v>129</v>
      </c>
      <c r="AI1" s="271" t="s">
        <v>130</v>
      </c>
      <c r="AJ1" s="271" t="s">
        <v>131</v>
      </c>
    </row>
    <row r="2" spans="1:36" x14ac:dyDescent="0.3">
      <c r="A2" s="273" t="s">
        <v>132</v>
      </c>
      <c r="B2" s="274">
        <v>45981</v>
      </c>
      <c r="C2" s="275" t="s">
        <v>590</v>
      </c>
      <c r="D2" s="276" t="s">
        <v>652</v>
      </c>
      <c r="E2" s="275" t="s">
        <v>550</v>
      </c>
      <c r="F2" s="275" t="s">
        <v>134</v>
      </c>
      <c r="G2" s="277">
        <v>0.57540000000000002</v>
      </c>
      <c r="H2" s="278">
        <v>179</v>
      </c>
      <c r="I2" s="278">
        <v>103</v>
      </c>
      <c r="J2" s="278">
        <v>0</v>
      </c>
      <c r="K2" s="275" t="s">
        <v>135</v>
      </c>
      <c r="L2" s="279">
        <v>45980</v>
      </c>
      <c r="M2" s="278">
        <v>1</v>
      </c>
      <c r="N2" s="278">
        <v>5</v>
      </c>
      <c r="O2" s="278">
        <v>45</v>
      </c>
      <c r="P2" s="275" t="s">
        <v>591</v>
      </c>
      <c r="Q2" s="271"/>
      <c r="R2" s="271"/>
      <c r="S2" s="271"/>
      <c r="T2" s="271"/>
      <c r="U2" s="271"/>
      <c r="V2" s="271"/>
      <c r="W2" s="271"/>
      <c r="X2" s="271"/>
      <c r="Y2" s="271"/>
      <c r="Z2" s="271"/>
      <c r="AA2" s="271"/>
      <c r="AB2" s="278" t="s">
        <v>653</v>
      </c>
      <c r="AC2" s="278" t="s">
        <v>654</v>
      </c>
      <c r="AD2" s="278" t="s">
        <v>655</v>
      </c>
      <c r="AE2" s="278" t="s">
        <v>356</v>
      </c>
      <c r="AF2" s="278" t="s">
        <v>656</v>
      </c>
      <c r="AG2" s="271"/>
      <c r="AH2" s="271"/>
      <c r="AI2" s="271"/>
      <c r="AJ2" s="271"/>
    </row>
    <row r="3" spans="1:36" x14ac:dyDescent="0.3">
      <c r="A3" s="273" t="s">
        <v>377</v>
      </c>
      <c r="B3" s="274">
        <v>45982</v>
      </c>
      <c r="C3" s="275" t="s">
        <v>590</v>
      </c>
      <c r="D3" s="276" t="s">
        <v>359</v>
      </c>
      <c r="E3" s="275" t="s">
        <v>550</v>
      </c>
      <c r="F3" s="275" t="s">
        <v>134</v>
      </c>
      <c r="G3" s="277">
        <v>0.51400000000000001</v>
      </c>
      <c r="H3" s="278">
        <v>179</v>
      </c>
      <c r="I3" s="278">
        <v>92</v>
      </c>
      <c r="J3" s="278">
        <v>0</v>
      </c>
      <c r="K3" s="275" t="s">
        <v>135</v>
      </c>
      <c r="L3" s="279">
        <v>45979</v>
      </c>
      <c r="M3" s="278">
        <v>0</v>
      </c>
      <c r="N3" s="278">
        <v>7</v>
      </c>
      <c r="O3" s="278">
        <v>45</v>
      </c>
      <c r="P3" s="275" t="s">
        <v>185</v>
      </c>
      <c r="Q3" s="271"/>
      <c r="R3" s="271"/>
      <c r="S3" s="271"/>
      <c r="T3" s="271"/>
      <c r="U3" s="271"/>
      <c r="V3" s="271"/>
      <c r="W3" s="271"/>
      <c r="X3" s="271"/>
      <c r="Y3" s="271"/>
      <c r="Z3" s="278" t="s">
        <v>137</v>
      </c>
      <c r="AA3" s="278" t="s">
        <v>324</v>
      </c>
      <c r="AB3" s="278" t="s">
        <v>340</v>
      </c>
      <c r="AC3" s="278" t="s">
        <v>657</v>
      </c>
      <c r="AD3" s="278" t="s">
        <v>355</v>
      </c>
      <c r="AE3" s="278" t="s">
        <v>380</v>
      </c>
      <c r="AF3" s="278" t="s">
        <v>658</v>
      </c>
      <c r="AG3" s="271"/>
      <c r="AH3" s="271"/>
      <c r="AI3" s="271"/>
      <c r="AJ3" s="271"/>
    </row>
    <row r="4" spans="1:36" x14ac:dyDescent="0.3">
      <c r="A4" s="273" t="s">
        <v>377</v>
      </c>
      <c r="B4" s="274">
        <v>45982</v>
      </c>
      <c r="C4" s="275" t="s">
        <v>622</v>
      </c>
      <c r="D4" s="276" t="s">
        <v>659</v>
      </c>
      <c r="E4" s="275" t="s">
        <v>550</v>
      </c>
      <c r="F4" s="275" t="s">
        <v>134</v>
      </c>
      <c r="G4" s="277">
        <v>0.44130000000000003</v>
      </c>
      <c r="H4" s="278">
        <v>179</v>
      </c>
      <c r="I4" s="278">
        <v>79</v>
      </c>
      <c r="J4" s="278">
        <v>0</v>
      </c>
      <c r="K4" s="275" t="s">
        <v>135</v>
      </c>
      <c r="L4" s="279">
        <v>45980</v>
      </c>
      <c r="M4" s="278">
        <v>1</v>
      </c>
      <c r="N4" s="278">
        <v>6</v>
      </c>
      <c r="O4" s="278">
        <v>28</v>
      </c>
      <c r="P4" s="275" t="s">
        <v>185</v>
      </c>
      <c r="Q4" s="271"/>
      <c r="R4" s="271"/>
      <c r="S4" s="271"/>
      <c r="T4" s="271"/>
      <c r="U4" s="271"/>
      <c r="V4" s="271"/>
      <c r="W4" s="271"/>
      <c r="X4" s="271"/>
      <c r="Y4" s="271"/>
      <c r="Z4" s="271"/>
      <c r="AA4" s="278" t="s">
        <v>324</v>
      </c>
      <c r="AB4" s="278" t="s">
        <v>493</v>
      </c>
      <c r="AC4" s="278" t="s">
        <v>138</v>
      </c>
      <c r="AD4" s="278" t="s">
        <v>660</v>
      </c>
      <c r="AE4" s="278" t="s">
        <v>388</v>
      </c>
      <c r="AF4" s="278" t="s">
        <v>661</v>
      </c>
      <c r="AG4" s="271"/>
      <c r="AH4" s="271"/>
      <c r="AI4" s="271"/>
      <c r="AJ4" s="271"/>
    </row>
    <row r="5" spans="1:36" x14ac:dyDescent="0.3">
      <c r="A5" s="273" t="s">
        <v>144</v>
      </c>
      <c r="B5" s="274">
        <v>45983</v>
      </c>
      <c r="C5" s="275" t="s">
        <v>590</v>
      </c>
      <c r="D5" s="276" t="s">
        <v>652</v>
      </c>
      <c r="E5" s="275" t="s">
        <v>550</v>
      </c>
      <c r="F5" s="275" t="s">
        <v>134</v>
      </c>
      <c r="G5" s="277">
        <v>0.59219999999999995</v>
      </c>
      <c r="H5" s="278">
        <v>179</v>
      </c>
      <c r="I5" s="278">
        <v>106</v>
      </c>
      <c r="J5" s="278">
        <v>0</v>
      </c>
      <c r="K5" s="275" t="s">
        <v>135</v>
      </c>
      <c r="L5" s="279">
        <v>45980</v>
      </c>
      <c r="M5" s="278">
        <v>2</v>
      </c>
      <c r="N5" s="278">
        <v>17</v>
      </c>
      <c r="O5" s="278">
        <v>59</v>
      </c>
      <c r="P5" s="275" t="s">
        <v>640</v>
      </c>
      <c r="Q5" s="271"/>
      <c r="R5" s="271"/>
      <c r="S5" s="271"/>
      <c r="T5" s="271"/>
      <c r="U5" s="271"/>
      <c r="V5" s="271"/>
      <c r="W5" s="271"/>
      <c r="X5" s="271"/>
      <c r="Y5" s="271"/>
      <c r="Z5" s="278" t="s">
        <v>352</v>
      </c>
      <c r="AA5" s="278" t="s">
        <v>373</v>
      </c>
      <c r="AB5" s="278" t="s">
        <v>662</v>
      </c>
      <c r="AC5" s="278" t="s">
        <v>138</v>
      </c>
      <c r="AD5" s="278" t="s">
        <v>663</v>
      </c>
      <c r="AE5" s="278" t="s">
        <v>388</v>
      </c>
      <c r="AF5" s="278" t="s">
        <v>664</v>
      </c>
      <c r="AG5" s="271"/>
      <c r="AH5" s="271"/>
      <c r="AI5" s="271"/>
      <c r="AJ5" s="271"/>
    </row>
    <row r="6" spans="1:36" ht="21" x14ac:dyDescent="0.3">
      <c r="A6" s="280" t="s">
        <v>932</v>
      </c>
      <c r="B6" s="281"/>
      <c r="C6" s="280">
        <f>SUBTOTAL(103,CAI_RUH_LF_LEGACY[Flt])</f>
        <v>4</v>
      </c>
      <c r="D6" s="280"/>
      <c r="E6" s="280">
        <f>SUBTOTAL(103,CAI_RUH_LF_LEGACY[Brd-Off])</f>
        <v>4</v>
      </c>
      <c r="F6" s="280"/>
      <c r="G6" s="282">
        <f>SUBTOTAL(101,CAI_RUH_LF_LEGACY[LF%])</f>
        <v>0.530725</v>
      </c>
      <c r="H6" s="283">
        <f>SUBTOTAL(109,CAI_RUH_LF_LEGACY[CAP])</f>
        <v>716</v>
      </c>
      <c r="I6" s="283">
        <f>SUBTOTAL(109,CAI_RUH_LF_LEGACY[BKG(Y)])</f>
        <v>380</v>
      </c>
      <c r="J6" s="283">
        <f>SUBTOTAL(109,CAI_RUH_LF_LEGACY[GRP(Y)])</f>
        <v>0</v>
      </c>
      <c r="K6" s="280"/>
      <c r="L6" s="281"/>
      <c r="M6" s="283">
        <f>SUBTOTAL(109,CAI_RUH_LF_LEGACY[TO-DAY])</f>
        <v>4</v>
      </c>
      <c r="N6" s="283">
        <f>SUBTOTAL(109,CAI_RUH_LF_LEGACY[Y-DAY])</f>
        <v>35</v>
      </c>
      <c r="O6" s="283">
        <f>SUBTOTAL(109,CAI_RUH_LF_LEGACY[WEEKLY])</f>
        <v>177</v>
      </c>
      <c r="P6" s="284"/>
      <c r="Q6" s="283">
        <f>SUBTOTAL(109,CAI_RUH_LF_LEGACY[Y])</f>
        <v>0</v>
      </c>
      <c r="R6" s="283">
        <f>SUBTOTAL(109,CAI_RUH_LF_LEGACY[B])</f>
        <v>0</v>
      </c>
      <c r="S6" s="283">
        <f>SUBTOTAL(109,CAI_RUH_LF_LEGACY[M])</f>
        <v>0</v>
      </c>
      <c r="T6" s="283">
        <f>SUBTOTAL(109,CAI_RUH_LF_LEGACY[H])</f>
        <v>0</v>
      </c>
      <c r="U6" s="283">
        <f>SUBTOTAL(109,CAI_RUH_LF_LEGACY[Q])</f>
        <v>0</v>
      </c>
      <c r="V6" s="283">
        <f>SUBTOTAL(109,CAI_RUH_LF_LEGACY[K])</f>
        <v>0</v>
      </c>
      <c r="W6" s="283">
        <f>SUBTOTAL(109,CAI_RUH_LF_LEGACY[V])</f>
        <v>0</v>
      </c>
      <c r="X6" s="283">
        <f>SUBTOTAL(109,CAI_RUH_LF_LEGACY[L])</f>
        <v>0</v>
      </c>
      <c r="Y6" s="283">
        <f>SUBTOTAL(109,CAI_RUH_LF_LEGACY[G])</f>
        <v>0</v>
      </c>
      <c r="Z6" s="283">
        <f>SUBTOTAL(109,CAI_RUH_LF_LEGACY[S])</f>
        <v>0</v>
      </c>
      <c r="AA6" s="283">
        <f>SUBTOTAL(109,CAI_RUH_LF_LEGACY[W])</f>
        <v>0</v>
      </c>
      <c r="AB6" s="283">
        <f>SUBTOTAL(109,CAI_RUH_LF_LEGACY[T])</f>
        <v>0</v>
      </c>
      <c r="AC6" s="283">
        <f>SUBTOTAL(109,CAI_RUH_LF_LEGACY[X])</f>
        <v>0</v>
      </c>
      <c r="AD6" s="283">
        <f>SUBTOTAL(109,CAI_RUH_LF_LEGACY[U])</f>
        <v>0</v>
      </c>
      <c r="AE6" s="283">
        <f>SUBTOTAL(109,CAI_RUH_LF_LEGACY[O])</f>
        <v>0</v>
      </c>
      <c r="AF6" s="283">
        <f>SUBTOTAL(109,CAI_RUH_LF_LEGACY[I])</f>
        <v>0</v>
      </c>
      <c r="AG6" s="283">
        <f>SUBTOTAL(109,CAI_RUH_LF_LEGACY[E])</f>
        <v>0</v>
      </c>
      <c r="AH6" s="283">
        <f>SUBTOTAL(109,CAI_RUH_LF_LEGACY[A])</f>
        <v>0</v>
      </c>
      <c r="AI6" s="283">
        <f>SUBTOTAL(109,CAI_RUH_LF_LEGACY[P])</f>
        <v>0</v>
      </c>
      <c r="AJ6" s="283">
        <f>SUBTOTAL(103,CAI_RUH_LF_LEGACY[N])</f>
        <v>0</v>
      </c>
    </row>
  </sheetData>
  <pageMargins left="0.75" right="0.75" top="1" bottom="1" header="0.5" footer="0.5"/>
  <tableParts count="1">
    <tablePart r:id="rId1"/>
  </tableParts>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148"/>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84.21875" hidden="1" customWidth="1"/>
  </cols>
  <sheetData>
    <row r="1" spans="1:8" ht="18" x14ac:dyDescent="0.3">
      <c r="A1" s="56" t="s">
        <v>149</v>
      </c>
      <c r="B1" s="57" t="s">
        <v>8</v>
      </c>
      <c r="C1" s="57" t="s">
        <v>9</v>
      </c>
      <c r="D1" s="57" t="s">
        <v>150</v>
      </c>
      <c r="E1" s="57" t="s">
        <v>10</v>
      </c>
      <c r="F1" s="57" t="s">
        <v>11</v>
      </c>
      <c r="G1" s="57" t="s">
        <v>12</v>
      </c>
      <c r="H1" s="58" t="s">
        <v>13</v>
      </c>
    </row>
    <row r="2" spans="1:8" ht="19.8" customHeight="1" x14ac:dyDescent="0.3">
      <c r="A2" s="59" t="s">
        <v>151</v>
      </c>
      <c r="B2" s="60" t="s">
        <v>26</v>
      </c>
      <c r="C2" s="61" t="s">
        <v>551</v>
      </c>
      <c r="D2" s="60" t="s">
        <v>550</v>
      </c>
      <c r="E2" s="60" t="s">
        <v>665</v>
      </c>
      <c r="F2" s="60" t="s">
        <v>28</v>
      </c>
      <c r="G2" s="62">
        <v>9</v>
      </c>
      <c r="H2" s="63" t="s">
        <v>552</v>
      </c>
    </row>
    <row r="3" spans="1:8" ht="19.8" customHeight="1" x14ac:dyDescent="0.3">
      <c r="A3" s="59" t="s">
        <v>151</v>
      </c>
      <c r="B3" s="60" t="s">
        <v>42</v>
      </c>
      <c r="C3" s="61" t="s">
        <v>565</v>
      </c>
      <c r="D3" s="60" t="s">
        <v>550</v>
      </c>
      <c r="E3" s="60" t="s">
        <v>418</v>
      </c>
      <c r="F3" s="60" t="s">
        <v>44</v>
      </c>
      <c r="G3" s="62">
        <v>82</v>
      </c>
      <c r="H3" s="63" t="s">
        <v>567</v>
      </c>
    </row>
    <row r="4" spans="1:8" ht="19.8" customHeight="1" x14ac:dyDescent="0.3">
      <c r="A4" s="59" t="s">
        <v>151</v>
      </c>
      <c r="B4" s="60" t="s">
        <v>42</v>
      </c>
      <c r="C4" s="61" t="s">
        <v>570</v>
      </c>
      <c r="D4" s="60" t="s">
        <v>550</v>
      </c>
      <c r="E4" s="60" t="s">
        <v>666</v>
      </c>
      <c r="F4" s="60" t="s">
        <v>44</v>
      </c>
      <c r="G4" s="62">
        <v>68</v>
      </c>
      <c r="H4" s="63" t="s">
        <v>567</v>
      </c>
    </row>
    <row r="5" spans="1:8" ht="19.8" customHeight="1" x14ac:dyDescent="0.3">
      <c r="A5" s="59" t="s">
        <v>151</v>
      </c>
      <c r="B5" s="60" t="s">
        <v>42</v>
      </c>
      <c r="C5" s="61" t="s">
        <v>573</v>
      </c>
      <c r="D5" s="60" t="s">
        <v>550</v>
      </c>
      <c r="E5" s="60" t="s">
        <v>667</v>
      </c>
      <c r="F5" s="60" t="s">
        <v>44</v>
      </c>
      <c r="G5" s="62">
        <v>58</v>
      </c>
      <c r="H5" s="63" t="s">
        <v>567</v>
      </c>
    </row>
    <row r="6" spans="1:8" ht="19.8" customHeight="1" x14ac:dyDescent="0.3">
      <c r="A6" s="59" t="s">
        <v>151</v>
      </c>
      <c r="B6" s="60" t="s">
        <v>42</v>
      </c>
      <c r="C6" s="61" t="s">
        <v>576</v>
      </c>
      <c r="D6" s="60" t="s">
        <v>550</v>
      </c>
      <c r="E6" s="60" t="s">
        <v>419</v>
      </c>
      <c r="F6" s="60" t="s">
        <v>44</v>
      </c>
      <c r="G6" s="62">
        <v>79</v>
      </c>
      <c r="H6" s="63" t="s">
        <v>567</v>
      </c>
    </row>
    <row r="7" spans="1:8" ht="19.8" customHeight="1" x14ac:dyDescent="0.3">
      <c r="A7" s="59" t="s">
        <v>151</v>
      </c>
      <c r="B7" s="60" t="s">
        <v>26</v>
      </c>
      <c r="C7" s="61" t="s">
        <v>555</v>
      </c>
      <c r="D7" s="60" t="s">
        <v>550</v>
      </c>
      <c r="E7" s="60" t="s">
        <v>202</v>
      </c>
      <c r="F7" s="60" t="s">
        <v>28</v>
      </c>
      <c r="G7" s="62">
        <v>9</v>
      </c>
      <c r="H7" s="63" t="s">
        <v>556</v>
      </c>
    </row>
    <row r="8" spans="1:8" ht="19.8" customHeight="1" x14ac:dyDescent="0.3">
      <c r="A8" s="59" t="s">
        <v>151</v>
      </c>
      <c r="B8" s="60" t="s">
        <v>26</v>
      </c>
      <c r="C8" s="61" t="s">
        <v>558</v>
      </c>
      <c r="D8" s="60" t="s">
        <v>550</v>
      </c>
      <c r="E8" s="60" t="s">
        <v>668</v>
      </c>
      <c r="F8" s="60" t="s">
        <v>28</v>
      </c>
      <c r="G8" s="62">
        <v>9</v>
      </c>
      <c r="H8" s="63" t="s">
        <v>556</v>
      </c>
    </row>
    <row r="9" spans="1:8" ht="19.8" customHeight="1" x14ac:dyDescent="0.3">
      <c r="A9" s="59" t="s">
        <v>151</v>
      </c>
      <c r="B9" s="60" t="s">
        <v>26</v>
      </c>
      <c r="C9" s="61" t="s">
        <v>559</v>
      </c>
      <c r="D9" s="60" t="s">
        <v>550</v>
      </c>
      <c r="E9" s="60" t="s">
        <v>498</v>
      </c>
      <c r="F9" s="60" t="s">
        <v>28</v>
      </c>
      <c r="G9" s="62">
        <v>9</v>
      </c>
      <c r="H9" s="63" t="s">
        <v>556</v>
      </c>
    </row>
    <row r="10" spans="1:8" ht="19.8" customHeight="1" x14ac:dyDescent="0.3">
      <c r="A10" s="59" t="s">
        <v>151</v>
      </c>
      <c r="B10" s="60" t="s">
        <v>26</v>
      </c>
      <c r="C10" s="61" t="s">
        <v>560</v>
      </c>
      <c r="D10" s="60" t="s">
        <v>550</v>
      </c>
      <c r="E10" s="60" t="s">
        <v>391</v>
      </c>
      <c r="F10" s="60" t="s">
        <v>28</v>
      </c>
      <c r="G10" s="62">
        <v>6</v>
      </c>
      <c r="H10" s="63" t="s">
        <v>556</v>
      </c>
    </row>
    <row r="11" spans="1:8" ht="19.8" customHeight="1" x14ac:dyDescent="0.3">
      <c r="A11" s="59" t="s">
        <v>151</v>
      </c>
      <c r="B11" s="60" t="s">
        <v>235</v>
      </c>
      <c r="C11" s="61" t="s">
        <v>579</v>
      </c>
      <c r="D11" s="60" t="s">
        <v>550</v>
      </c>
      <c r="E11" s="60" t="s">
        <v>192</v>
      </c>
      <c r="F11" s="60" t="s">
        <v>98</v>
      </c>
      <c r="G11" s="62">
        <v>7</v>
      </c>
      <c r="H11" s="63" t="s">
        <v>580</v>
      </c>
    </row>
    <row r="12" spans="1:8" ht="19.8" customHeight="1" x14ac:dyDescent="0.3">
      <c r="A12" s="59" t="s">
        <v>151</v>
      </c>
      <c r="B12" s="60" t="s">
        <v>235</v>
      </c>
      <c r="C12" s="61" t="s">
        <v>581</v>
      </c>
      <c r="D12" s="60" t="s">
        <v>550</v>
      </c>
      <c r="E12" s="60" t="s">
        <v>669</v>
      </c>
      <c r="F12" s="60" t="s">
        <v>98</v>
      </c>
      <c r="G12" s="62">
        <v>9</v>
      </c>
      <c r="H12" s="63" t="s">
        <v>580</v>
      </c>
    </row>
    <row r="13" spans="1:8" ht="19.8" customHeight="1" x14ac:dyDescent="0.3">
      <c r="A13" s="59" t="s">
        <v>151</v>
      </c>
      <c r="B13" s="60" t="s">
        <v>328</v>
      </c>
      <c r="C13" s="61" t="s">
        <v>584</v>
      </c>
      <c r="D13" s="60" t="s">
        <v>550</v>
      </c>
      <c r="E13" s="60" t="s">
        <v>670</v>
      </c>
      <c r="F13" s="60" t="s">
        <v>98</v>
      </c>
      <c r="G13" s="62">
        <v>5</v>
      </c>
      <c r="H13" s="63" t="s">
        <v>585</v>
      </c>
    </row>
    <row r="14" spans="1:8" ht="19.8" customHeight="1" x14ac:dyDescent="0.3">
      <c r="A14" s="59" t="s">
        <v>151</v>
      </c>
      <c r="B14" s="60" t="s">
        <v>26</v>
      </c>
      <c r="C14" s="61" t="s">
        <v>561</v>
      </c>
      <c r="D14" s="60" t="s">
        <v>550</v>
      </c>
      <c r="E14" s="60" t="s">
        <v>387</v>
      </c>
      <c r="F14" s="60" t="s">
        <v>28</v>
      </c>
      <c r="G14" s="62">
        <v>9</v>
      </c>
      <c r="H14" s="63" t="s">
        <v>562</v>
      </c>
    </row>
    <row r="15" spans="1:8" ht="19.8" customHeight="1" x14ac:dyDescent="0.3">
      <c r="A15" s="59" t="s">
        <v>151</v>
      </c>
      <c r="B15" s="60" t="s">
        <v>26</v>
      </c>
      <c r="C15" s="61" t="s">
        <v>564</v>
      </c>
      <c r="D15" s="60" t="s">
        <v>550</v>
      </c>
      <c r="E15" s="60" t="s">
        <v>671</v>
      </c>
      <c r="F15" s="60" t="s">
        <v>28</v>
      </c>
      <c r="G15" s="62">
        <v>9</v>
      </c>
      <c r="H15" s="63" t="s">
        <v>562</v>
      </c>
    </row>
    <row r="16" spans="1:8" ht="19.8" customHeight="1" x14ac:dyDescent="0.3">
      <c r="A16" s="59" t="s">
        <v>151</v>
      </c>
      <c r="B16" s="60" t="s">
        <v>26</v>
      </c>
      <c r="C16" s="61" t="s">
        <v>551</v>
      </c>
      <c r="D16" s="60" t="s">
        <v>550</v>
      </c>
      <c r="E16" s="60" t="s">
        <v>665</v>
      </c>
      <c r="F16" s="60" t="s">
        <v>31</v>
      </c>
      <c r="G16" s="62">
        <v>9</v>
      </c>
      <c r="H16" s="63" t="s">
        <v>553</v>
      </c>
    </row>
    <row r="17" spans="1:8" ht="19.8" customHeight="1" x14ac:dyDescent="0.3">
      <c r="A17" s="99" t="s">
        <v>151</v>
      </c>
      <c r="B17" s="77" t="s">
        <v>78</v>
      </c>
      <c r="C17" s="78" t="s">
        <v>588</v>
      </c>
      <c r="D17" s="77" t="s">
        <v>550</v>
      </c>
      <c r="E17" s="77" t="s">
        <v>652</v>
      </c>
      <c r="F17" s="77" t="s">
        <v>98</v>
      </c>
      <c r="G17" s="80">
        <v>9</v>
      </c>
      <c r="H17" s="81" t="s">
        <v>589</v>
      </c>
    </row>
    <row r="18" spans="1:8" ht="19.8" customHeight="1" x14ac:dyDescent="0.3">
      <c r="A18" s="68">
        <v>45981</v>
      </c>
      <c r="B18" s="60" t="s">
        <v>235</v>
      </c>
      <c r="C18" s="61" t="s">
        <v>582</v>
      </c>
      <c r="D18" s="60" t="s">
        <v>550</v>
      </c>
      <c r="E18" s="69">
        <v>1.614583333333333</v>
      </c>
      <c r="F18" s="60" t="s">
        <v>98</v>
      </c>
      <c r="G18" s="62">
        <v>9</v>
      </c>
      <c r="H18" s="63" t="s">
        <v>583</v>
      </c>
    </row>
    <row r="19" spans="1:8" ht="19.8" customHeight="1" x14ac:dyDescent="0.3">
      <c r="A19" s="68">
        <v>45981</v>
      </c>
      <c r="B19" s="60" t="s">
        <v>328</v>
      </c>
      <c r="C19" s="61" t="s">
        <v>586</v>
      </c>
      <c r="D19" s="60" t="s">
        <v>550</v>
      </c>
      <c r="E19" s="69">
        <v>1.6909722222222221</v>
      </c>
      <c r="F19" s="60" t="s">
        <v>98</v>
      </c>
      <c r="G19" s="62">
        <v>9</v>
      </c>
      <c r="H19" s="63" t="s">
        <v>587</v>
      </c>
    </row>
    <row r="20" spans="1:8" ht="19.8" customHeight="1" x14ac:dyDescent="0.3">
      <c r="A20" s="68">
        <v>45981</v>
      </c>
      <c r="B20" s="60" t="s">
        <v>26</v>
      </c>
      <c r="C20" s="61" t="s">
        <v>555</v>
      </c>
      <c r="D20" s="60" t="s">
        <v>550</v>
      </c>
      <c r="E20" s="69">
        <v>1.697916666666667</v>
      </c>
      <c r="F20" s="60" t="s">
        <v>31</v>
      </c>
      <c r="G20" s="62">
        <v>9</v>
      </c>
      <c r="H20" s="63" t="s">
        <v>557</v>
      </c>
    </row>
    <row r="21" spans="1:8" ht="19.8" customHeight="1" x14ac:dyDescent="0.3">
      <c r="A21" s="68">
        <v>45981</v>
      </c>
      <c r="B21" s="60" t="s">
        <v>26</v>
      </c>
      <c r="C21" s="61" t="s">
        <v>558</v>
      </c>
      <c r="D21" s="60" t="s">
        <v>550</v>
      </c>
      <c r="E21" s="69">
        <v>1.631944444444444</v>
      </c>
      <c r="F21" s="60" t="s">
        <v>31</v>
      </c>
      <c r="G21" s="62">
        <v>9</v>
      </c>
      <c r="H21" s="63" t="s">
        <v>557</v>
      </c>
    </row>
    <row r="22" spans="1:8" ht="19.8" customHeight="1" x14ac:dyDescent="0.3">
      <c r="A22" s="68">
        <v>45981</v>
      </c>
      <c r="B22" s="60" t="s">
        <v>26</v>
      </c>
      <c r="C22" s="61" t="s">
        <v>559</v>
      </c>
      <c r="D22" s="60" t="s">
        <v>550</v>
      </c>
      <c r="E22" s="69">
        <v>1.819444444444444</v>
      </c>
      <c r="F22" s="60" t="s">
        <v>31</v>
      </c>
      <c r="G22" s="62">
        <v>9</v>
      </c>
      <c r="H22" s="63" t="s">
        <v>557</v>
      </c>
    </row>
    <row r="23" spans="1:8" ht="19.8" customHeight="1" x14ac:dyDescent="0.3">
      <c r="A23" s="68">
        <v>45981</v>
      </c>
      <c r="B23" s="60" t="s">
        <v>26</v>
      </c>
      <c r="C23" s="61" t="s">
        <v>560</v>
      </c>
      <c r="D23" s="60" t="s">
        <v>550</v>
      </c>
      <c r="E23" s="69">
        <v>1.5590277777777779</v>
      </c>
      <c r="F23" s="60" t="s">
        <v>31</v>
      </c>
      <c r="G23" s="62">
        <v>6</v>
      </c>
      <c r="H23" s="63" t="s">
        <v>557</v>
      </c>
    </row>
    <row r="24" spans="1:8" ht="19.8" customHeight="1" x14ac:dyDescent="0.3">
      <c r="A24" s="68">
        <v>45981</v>
      </c>
      <c r="B24" s="60" t="s">
        <v>42</v>
      </c>
      <c r="C24" s="61" t="s">
        <v>565</v>
      </c>
      <c r="D24" s="60" t="s">
        <v>550</v>
      </c>
      <c r="E24" s="69">
        <v>1.8888888888888891</v>
      </c>
      <c r="F24" s="60" t="s">
        <v>47</v>
      </c>
      <c r="G24" s="62">
        <v>82</v>
      </c>
      <c r="H24" s="63" t="s">
        <v>462</v>
      </c>
    </row>
    <row r="25" spans="1:8" ht="19.8" customHeight="1" x14ac:dyDescent="0.3">
      <c r="A25" s="68">
        <v>45981</v>
      </c>
      <c r="B25" s="60" t="s">
        <v>42</v>
      </c>
      <c r="C25" s="61" t="s">
        <v>570</v>
      </c>
      <c r="D25" s="60" t="s">
        <v>550</v>
      </c>
      <c r="E25" s="69">
        <v>1.6284722222222221</v>
      </c>
      <c r="F25" s="60" t="s">
        <v>47</v>
      </c>
      <c r="G25" s="62">
        <v>68</v>
      </c>
      <c r="H25" s="63" t="s">
        <v>462</v>
      </c>
    </row>
    <row r="26" spans="1:8" ht="19.8" customHeight="1" x14ac:dyDescent="0.3">
      <c r="A26" s="68">
        <v>45981</v>
      </c>
      <c r="B26" s="60" t="s">
        <v>42</v>
      </c>
      <c r="C26" s="61" t="s">
        <v>573</v>
      </c>
      <c r="D26" s="60" t="s">
        <v>550</v>
      </c>
      <c r="E26" s="69">
        <v>1.5763888888888891</v>
      </c>
      <c r="F26" s="60" t="s">
        <v>47</v>
      </c>
      <c r="G26" s="62">
        <v>58</v>
      </c>
      <c r="H26" s="63" t="s">
        <v>462</v>
      </c>
    </row>
    <row r="27" spans="1:8" ht="19.8" customHeight="1" x14ac:dyDescent="0.3">
      <c r="A27" s="68">
        <v>45981</v>
      </c>
      <c r="B27" s="60" t="s">
        <v>42</v>
      </c>
      <c r="C27" s="61" t="s">
        <v>576</v>
      </c>
      <c r="D27" s="60" t="s">
        <v>550</v>
      </c>
      <c r="E27" s="69">
        <v>1.944444444444444</v>
      </c>
      <c r="F27" s="60" t="s">
        <v>47</v>
      </c>
      <c r="G27" s="62">
        <v>79</v>
      </c>
      <c r="H27" s="63" t="s">
        <v>462</v>
      </c>
    </row>
    <row r="28" spans="1:8" ht="19.8" customHeight="1" x14ac:dyDescent="0.3">
      <c r="A28" s="68">
        <v>45981</v>
      </c>
      <c r="B28" s="60" t="s">
        <v>26</v>
      </c>
      <c r="C28" s="61" t="s">
        <v>561</v>
      </c>
      <c r="D28" s="60" t="s">
        <v>550</v>
      </c>
      <c r="E28" s="69">
        <v>1.4375</v>
      </c>
      <c r="F28" s="60" t="s">
        <v>31</v>
      </c>
      <c r="G28" s="62">
        <v>9</v>
      </c>
      <c r="H28" s="63" t="s">
        <v>563</v>
      </c>
    </row>
    <row r="29" spans="1:8" ht="19.8" customHeight="1" x14ac:dyDescent="0.3">
      <c r="A29" s="68">
        <v>45981</v>
      </c>
      <c r="B29" s="60" t="s">
        <v>26</v>
      </c>
      <c r="C29" s="61" t="s">
        <v>564</v>
      </c>
      <c r="D29" s="60" t="s">
        <v>550</v>
      </c>
      <c r="E29" s="69">
        <v>1.506944444444444</v>
      </c>
      <c r="F29" s="60" t="s">
        <v>31</v>
      </c>
      <c r="G29" s="62">
        <v>9</v>
      </c>
      <c r="H29" s="63" t="s">
        <v>563</v>
      </c>
    </row>
    <row r="30" spans="1:8" ht="19.8" customHeight="1" x14ac:dyDescent="0.3">
      <c r="A30" s="68">
        <v>45981</v>
      </c>
      <c r="B30" s="60" t="s">
        <v>26</v>
      </c>
      <c r="C30" s="61" t="s">
        <v>551</v>
      </c>
      <c r="D30" s="60" t="s">
        <v>550</v>
      </c>
      <c r="E30" s="69">
        <v>1.958333333333333</v>
      </c>
      <c r="F30" s="60" t="s">
        <v>34</v>
      </c>
      <c r="G30" s="62">
        <v>9</v>
      </c>
      <c r="H30" s="63" t="s">
        <v>554</v>
      </c>
    </row>
    <row r="31" spans="1:8" ht="19.8" customHeight="1" x14ac:dyDescent="0.3">
      <c r="A31" s="68">
        <v>45981</v>
      </c>
      <c r="B31" s="60" t="s">
        <v>26</v>
      </c>
      <c r="C31" s="61" t="s">
        <v>555</v>
      </c>
      <c r="D31" s="60" t="s">
        <v>550</v>
      </c>
      <c r="E31" s="69">
        <v>1.697916666666667</v>
      </c>
      <c r="F31" s="60" t="s">
        <v>34</v>
      </c>
      <c r="G31" s="62">
        <v>9</v>
      </c>
      <c r="H31" s="63" t="s">
        <v>30</v>
      </c>
    </row>
    <row r="32" spans="1:8" ht="19.8" customHeight="1" x14ac:dyDescent="0.3">
      <c r="A32" s="68">
        <v>45981</v>
      </c>
      <c r="B32" s="60" t="s">
        <v>26</v>
      </c>
      <c r="C32" s="61" t="s">
        <v>558</v>
      </c>
      <c r="D32" s="60" t="s">
        <v>550</v>
      </c>
      <c r="E32" s="69">
        <v>1.631944444444444</v>
      </c>
      <c r="F32" s="60" t="s">
        <v>34</v>
      </c>
      <c r="G32" s="62">
        <v>9</v>
      </c>
      <c r="H32" s="63" t="s">
        <v>30</v>
      </c>
    </row>
    <row r="33" spans="1:8" ht="19.8" customHeight="1" x14ac:dyDescent="0.3">
      <c r="A33" s="68">
        <v>45981</v>
      </c>
      <c r="B33" s="60" t="s">
        <v>26</v>
      </c>
      <c r="C33" s="61" t="s">
        <v>559</v>
      </c>
      <c r="D33" s="60" t="s">
        <v>550</v>
      </c>
      <c r="E33" s="69">
        <v>1.819444444444444</v>
      </c>
      <c r="F33" s="60" t="s">
        <v>34</v>
      </c>
      <c r="G33" s="62">
        <v>9</v>
      </c>
      <c r="H33" s="63" t="s">
        <v>30</v>
      </c>
    </row>
    <row r="34" spans="1:8" ht="19.8" customHeight="1" x14ac:dyDescent="0.3">
      <c r="A34" s="68">
        <v>45981</v>
      </c>
      <c r="B34" s="60" t="s">
        <v>26</v>
      </c>
      <c r="C34" s="61" t="s">
        <v>560</v>
      </c>
      <c r="D34" s="60" t="s">
        <v>550</v>
      </c>
      <c r="E34" s="69">
        <v>1.5590277777777779</v>
      </c>
      <c r="F34" s="60" t="s">
        <v>34</v>
      </c>
      <c r="G34" s="62">
        <v>6</v>
      </c>
      <c r="H34" s="63" t="s">
        <v>30</v>
      </c>
    </row>
    <row r="35" spans="1:8" ht="19.8" customHeight="1" x14ac:dyDescent="0.3">
      <c r="A35" s="68">
        <v>45981</v>
      </c>
      <c r="B35" s="60" t="s">
        <v>26</v>
      </c>
      <c r="C35" s="61" t="s">
        <v>561</v>
      </c>
      <c r="D35" s="60" t="s">
        <v>550</v>
      </c>
      <c r="E35" s="69">
        <v>1.4375</v>
      </c>
      <c r="F35" s="60" t="s">
        <v>34</v>
      </c>
      <c r="G35" s="62">
        <v>9</v>
      </c>
      <c r="H35" s="63" t="s">
        <v>46</v>
      </c>
    </row>
    <row r="36" spans="1:8" ht="19.8" customHeight="1" x14ac:dyDescent="0.3">
      <c r="A36" s="68">
        <v>45981</v>
      </c>
      <c r="B36" s="60" t="s">
        <v>26</v>
      </c>
      <c r="C36" s="61" t="s">
        <v>564</v>
      </c>
      <c r="D36" s="60" t="s">
        <v>550</v>
      </c>
      <c r="E36" s="69">
        <v>1.506944444444444</v>
      </c>
      <c r="F36" s="60" t="s">
        <v>34</v>
      </c>
      <c r="G36" s="62">
        <v>9</v>
      </c>
      <c r="H36" s="63" t="s">
        <v>46</v>
      </c>
    </row>
    <row r="37" spans="1:8" ht="19.8" customHeight="1" x14ac:dyDescent="0.3">
      <c r="A37" s="68">
        <v>45981</v>
      </c>
      <c r="B37" s="60" t="s">
        <v>260</v>
      </c>
      <c r="C37" s="61" t="s">
        <v>593</v>
      </c>
      <c r="D37" s="60" t="s">
        <v>550</v>
      </c>
      <c r="E37" s="69">
        <v>1.4375</v>
      </c>
      <c r="F37" s="60" t="s">
        <v>262</v>
      </c>
      <c r="G37" s="62">
        <v>5</v>
      </c>
      <c r="H37" s="63" t="s">
        <v>594</v>
      </c>
    </row>
    <row r="38" spans="1:8" ht="19.8" customHeight="1" x14ac:dyDescent="0.3">
      <c r="A38" s="68">
        <v>45981</v>
      </c>
      <c r="B38" s="60" t="s">
        <v>67</v>
      </c>
      <c r="C38" s="61" t="s">
        <v>596</v>
      </c>
      <c r="D38" s="60" t="s">
        <v>550</v>
      </c>
      <c r="E38" s="69">
        <v>1.9826388888888891</v>
      </c>
      <c r="F38" s="60" t="s">
        <v>69</v>
      </c>
      <c r="G38" s="62">
        <v>9</v>
      </c>
      <c r="H38" s="63" t="s">
        <v>597</v>
      </c>
    </row>
    <row r="39" spans="1:8" ht="19.8" customHeight="1" x14ac:dyDescent="0.3">
      <c r="A39" s="68">
        <v>45981</v>
      </c>
      <c r="B39" s="60" t="s">
        <v>67</v>
      </c>
      <c r="C39" s="61" t="s">
        <v>598</v>
      </c>
      <c r="D39" s="60" t="s">
        <v>550</v>
      </c>
      <c r="E39" s="69">
        <v>1.354166666666667</v>
      </c>
      <c r="F39" s="60" t="s">
        <v>69</v>
      </c>
      <c r="G39" s="62">
        <v>6</v>
      </c>
      <c r="H39" s="63" t="s">
        <v>597</v>
      </c>
    </row>
    <row r="40" spans="1:8" ht="19.8" customHeight="1" x14ac:dyDescent="0.3">
      <c r="A40" s="68">
        <v>45981</v>
      </c>
      <c r="B40" s="60" t="s">
        <v>51</v>
      </c>
      <c r="C40" s="61" t="s">
        <v>601</v>
      </c>
      <c r="D40" s="60" t="s">
        <v>550</v>
      </c>
      <c r="E40" s="69">
        <v>1.9826388888888891</v>
      </c>
      <c r="F40" s="60" t="s">
        <v>53</v>
      </c>
      <c r="G40" s="62">
        <v>9</v>
      </c>
      <c r="H40" s="63" t="s">
        <v>602</v>
      </c>
    </row>
    <row r="41" spans="1:8" ht="19.8" customHeight="1" x14ac:dyDescent="0.3">
      <c r="A41" s="68">
        <v>45981</v>
      </c>
      <c r="B41" s="60" t="s">
        <v>260</v>
      </c>
      <c r="C41" s="61" t="s">
        <v>593</v>
      </c>
      <c r="D41" s="60" t="s">
        <v>550</v>
      </c>
      <c r="E41" s="69">
        <v>1.4375</v>
      </c>
      <c r="F41" s="60" t="s">
        <v>49</v>
      </c>
      <c r="G41" s="62">
        <v>5</v>
      </c>
      <c r="H41" s="63" t="s">
        <v>595</v>
      </c>
    </row>
    <row r="42" spans="1:8" ht="19.8" customHeight="1" x14ac:dyDescent="0.3">
      <c r="A42" s="68">
        <v>45981</v>
      </c>
      <c r="B42" s="60" t="s">
        <v>51</v>
      </c>
      <c r="C42" s="61" t="s">
        <v>601</v>
      </c>
      <c r="D42" s="60" t="s">
        <v>550</v>
      </c>
      <c r="E42" s="69">
        <v>1.9826388888888891</v>
      </c>
      <c r="F42" s="60" t="s">
        <v>56</v>
      </c>
      <c r="G42" s="62">
        <v>9</v>
      </c>
      <c r="H42" s="63" t="s">
        <v>603</v>
      </c>
    </row>
    <row r="43" spans="1:8" ht="19.8" customHeight="1" x14ac:dyDescent="0.3">
      <c r="A43" s="68">
        <v>45981</v>
      </c>
      <c r="B43" s="60" t="s">
        <v>42</v>
      </c>
      <c r="C43" s="61" t="s">
        <v>565</v>
      </c>
      <c r="D43" s="60" t="s">
        <v>550</v>
      </c>
      <c r="E43" s="69">
        <v>1.8888888888888891</v>
      </c>
      <c r="F43" s="60" t="s">
        <v>49</v>
      </c>
      <c r="G43" s="62">
        <v>82</v>
      </c>
      <c r="H43" s="63" t="s">
        <v>569</v>
      </c>
    </row>
    <row r="44" spans="1:8" ht="19.8" customHeight="1" x14ac:dyDescent="0.3">
      <c r="A44" s="68">
        <v>45981</v>
      </c>
      <c r="B44" s="60" t="s">
        <v>42</v>
      </c>
      <c r="C44" s="61" t="s">
        <v>570</v>
      </c>
      <c r="D44" s="60" t="s">
        <v>550</v>
      </c>
      <c r="E44" s="69">
        <v>1.6284722222222221</v>
      </c>
      <c r="F44" s="60" t="s">
        <v>49</v>
      </c>
      <c r="G44" s="62">
        <v>68</v>
      </c>
      <c r="H44" s="63" t="s">
        <v>569</v>
      </c>
    </row>
    <row r="45" spans="1:8" ht="19.8" customHeight="1" x14ac:dyDescent="0.3">
      <c r="A45" s="68">
        <v>45981</v>
      </c>
      <c r="B45" s="60" t="s">
        <v>42</v>
      </c>
      <c r="C45" s="61" t="s">
        <v>573</v>
      </c>
      <c r="D45" s="60" t="s">
        <v>550</v>
      </c>
      <c r="E45" s="69">
        <v>1.5763888888888891</v>
      </c>
      <c r="F45" s="60" t="s">
        <v>49</v>
      </c>
      <c r="G45" s="62">
        <v>58</v>
      </c>
      <c r="H45" s="63" t="s">
        <v>569</v>
      </c>
    </row>
    <row r="46" spans="1:8" ht="19.8" customHeight="1" x14ac:dyDescent="0.3">
      <c r="A46" s="68">
        <v>45981</v>
      </c>
      <c r="B46" s="60" t="s">
        <v>42</v>
      </c>
      <c r="C46" s="61" t="s">
        <v>576</v>
      </c>
      <c r="D46" s="60" t="s">
        <v>550</v>
      </c>
      <c r="E46" s="69">
        <v>1.944444444444444</v>
      </c>
      <c r="F46" s="60" t="s">
        <v>49</v>
      </c>
      <c r="G46" s="62">
        <v>79</v>
      </c>
      <c r="H46" s="63" t="s">
        <v>569</v>
      </c>
    </row>
    <row r="47" spans="1:8" ht="19.8" customHeight="1" x14ac:dyDescent="0.3">
      <c r="A47" s="68">
        <v>45981</v>
      </c>
      <c r="B47" s="60" t="s">
        <v>51</v>
      </c>
      <c r="C47" s="61" t="s">
        <v>604</v>
      </c>
      <c r="D47" s="60" t="s">
        <v>550</v>
      </c>
      <c r="E47" s="69">
        <v>1.8888888888888891</v>
      </c>
      <c r="F47" s="60" t="s">
        <v>56</v>
      </c>
      <c r="G47" s="62">
        <v>4</v>
      </c>
      <c r="H47" s="63" t="s">
        <v>605</v>
      </c>
    </row>
    <row r="48" spans="1:8" ht="19.8" customHeight="1" x14ac:dyDescent="0.3">
      <c r="A48" s="68">
        <v>45981</v>
      </c>
      <c r="B48" s="60" t="s">
        <v>51</v>
      </c>
      <c r="C48" s="61" t="s">
        <v>606</v>
      </c>
      <c r="D48" s="60" t="s">
        <v>550</v>
      </c>
      <c r="E48" s="69">
        <v>1.944444444444444</v>
      </c>
      <c r="F48" s="60" t="s">
        <v>56</v>
      </c>
      <c r="G48" s="62">
        <v>4</v>
      </c>
      <c r="H48" s="63" t="s">
        <v>605</v>
      </c>
    </row>
    <row r="49" spans="1:8" ht="19.8" customHeight="1" x14ac:dyDescent="0.3">
      <c r="A49" s="68">
        <v>45981</v>
      </c>
      <c r="B49" s="60" t="s">
        <v>51</v>
      </c>
      <c r="C49" s="61" t="s">
        <v>607</v>
      </c>
      <c r="D49" s="60" t="s">
        <v>550</v>
      </c>
      <c r="E49" s="69">
        <v>1.6284722222222221</v>
      </c>
      <c r="F49" s="60" t="s">
        <v>56</v>
      </c>
      <c r="G49" s="62">
        <v>4</v>
      </c>
      <c r="H49" s="63" t="s">
        <v>605</v>
      </c>
    </row>
    <row r="50" spans="1:8" ht="19.8" customHeight="1" x14ac:dyDescent="0.3">
      <c r="A50" s="68">
        <v>45981</v>
      </c>
      <c r="B50" s="60" t="s">
        <v>51</v>
      </c>
      <c r="C50" s="61" t="s">
        <v>608</v>
      </c>
      <c r="D50" s="60" t="s">
        <v>550</v>
      </c>
      <c r="E50" s="69">
        <v>1.444444444444444</v>
      </c>
      <c r="F50" s="60" t="s">
        <v>56</v>
      </c>
      <c r="G50" s="62">
        <v>7</v>
      </c>
      <c r="H50" s="63" t="s">
        <v>609</v>
      </c>
    </row>
    <row r="51" spans="1:8" ht="19.8" customHeight="1" x14ac:dyDescent="0.3">
      <c r="A51" s="68">
        <v>45981</v>
      </c>
      <c r="B51" s="60" t="s">
        <v>51</v>
      </c>
      <c r="C51" s="61" t="s">
        <v>610</v>
      </c>
      <c r="D51" s="60" t="s">
        <v>550</v>
      </c>
      <c r="E51" s="69">
        <v>1.8298611111111109</v>
      </c>
      <c r="F51" s="60" t="s">
        <v>56</v>
      </c>
      <c r="G51" s="62">
        <v>9</v>
      </c>
      <c r="H51" s="63" t="s">
        <v>609</v>
      </c>
    </row>
    <row r="52" spans="1:8" ht="19.8" customHeight="1" x14ac:dyDescent="0.3">
      <c r="A52" s="68">
        <v>45981</v>
      </c>
      <c r="B52" s="60" t="s">
        <v>51</v>
      </c>
      <c r="C52" s="61" t="s">
        <v>611</v>
      </c>
      <c r="D52" s="60" t="s">
        <v>550</v>
      </c>
      <c r="E52" s="69">
        <v>1.6284722222222221</v>
      </c>
      <c r="F52" s="60" t="s">
        <v>56</v>
      </c>
      <c r="G52" s="62">
        <v>9</v>
      </c>
      <c r="H52" s="63" t="s">
        <v>609</v>
      </c>
    </row>
    <row r="53" spans="1:8" ht="19.8" customHeight="1" x14ac:dyDescent="0.3">
      <c r="A53" s="70">
        <v>45981</v>
      </c>
      <c r="B53" s="71" t="s">
        <v>67</v>
      </c>
      <c r="C53" s="72" t="s">
        <v>599</v>
      </c>
      <c r="D53" s="71" t="s">
        <v>550</v>
      </c>
      <c r="E53" s="73">
        <v>1.729166666666667</v>
      </c>
      <c r="F53" s="71" t="s">
        <v>69</v>
      </c>
      <c r="G53" s="74">
        <v>3</v>
      </c>
      <c r="H53" s="75" t="s">
        <v>600</v>
      </c>
    </row>
    <row r="54" spans="1:8" ht="19.8" customHeight="1" x14ac:dyDescent="0.3">
      <c r="A54" s="68">
        <v>45982</v>
      </c>
      <c r="B54" s="60" t="s">
        <v>42</v>
      </c>
      <c r="C54" s="61" t="s">
        <v>570</v>
      </c>
      <c r="D54" s="60" t="s">
        <v>550</v>
      </c>
      <c r="E54" s="69">
        <v>1.6284722222222221</v>
      </c>
      <c r="F54" s="60" t="s">
        <v>44</v>
      </c>
      <c r="G54" s="62">
        <v>41</v>
      </c>
      <c r="H54" s="63" t="s">
        <v>567</v>
      </c>
    </row>
    <row r="55" spans="1:8" ht="19.8" customHeight="1" x14ac:dyDescent="0.3">
      <c r="A55" s="68">
        <v>45982</v>
      </c>
      <c r="B55" s="60" t="s">
        <v>42</v>
      </c>
      <c r="C55" s="61" t="s">
        <v>573</v>
      </c>
      <c r="D55" s="60" t="s">
        <v>550</v>
      </c>
      <c r="E55" s="69">
        <v>1.5763888888888891</v>
      </c>
      <c r="F55" s="60" t="s">
        <v>44</v>
      </c>
      <c r="G55" s="62">
        <v>25</v>
      </c>
      <c r="H55" s="63" t="s">
        <v>567</v>
      </c>
    </row>
    <row r="56" spans="1:8" ht="19.8" customHeight="1" x14ac:dyDescent="0.3">
      <c r="A56" s="68">
        <v>45982</v>
      </c>
      <c r="B56" s="60" t="s">
        <v>26</v>
      </c>
      <c r="C56" s="61" t="s">
        <v>558</v>
      </c>
      <c r="D56" s="60" t="s">
        <v>550</v>
      </c>
      <c r="E56" s="69">
        <v>1.631944444444444</v>
      </c>
      <c r="F56" s="60" t="s">
        <v>28</v>
      </c>
      <c r="G56" s="62">
        <v>2</v>
      </c>
      <c r="H56" s="63" t="s">
        <v>556</v>
      </c>
    </row>
    <row r="57" spans="1:8" ht="19.8" customHeight="1" x14ac:dyDescent="0.3">
      <c r="A57" s="68">
        <v>45982</v>
      </c>
      <c r="B57" s="60" t="s">
        <v>26</v>
      </c>
      <c r="C57" s="61" t="s">
        <v>564</v>
      </c>
      <c r="D57" s="60" t="s">
        <v>550</v>
      </c>
      <c r="E57" s="69">
        <v>1.506944444444444</v>
      </c>
      <c r="F57" s="60" t="s">
        <v>28</v>
      </c>
      <c r="G57" s="62">
        <v>5</v>
      </c>
      <c r="H57" s="63" t="s">
        <v>556</v>
      </c>
    </row>
    <row r="58" spans="1:8" ht="19.8" customHeight="1" x14ac:dyDescent="0.3">
      <c r="A58" s="68">
        <v>45982</v>
      </c>
      <c r="B58" s="60" t="s">
        <v>26</v>
      </c>
      <c r="C58" s="61" t="s">
        <v>560</v>
      </c>
      <c r="D58" s="60" t="s">
        <v>550</v>
      </c>
      <c r="E58" s="69">
        <v>1.5590277777777779</v>
      </c>
      <c r="F58" s="60" t="s">
        <v>28</v>
      </c>
      <c r="G58" s="62">
        <v>2</v>
      </c>
      <c r="H58" s="63" t="s">
        <v>556</v>
      </c>
    </row>
    <row r="59" spans="1:8" ht="19.8" customHeight="1" x14ac:dyDescent="0.3">
      <c r="A59" s="68">
        <v>45982</v>
      </c>
      <c r="B59" s="60" t="s">
        <v>42</v>
      </c>
      <c r="C59" s="61" t="s">
        <v>565</v>
      </c>
      <c r="D59" s="60" t="s">
        <v>550</v>
      </c>
      <c r="E59" s="69">
        <v>1.8888888888888891</v>
      </c>
      <c r="F59" s="60" t="s">
        <v>44</v>
      </c>
      <c r="G59" s="62">
        <v>35</v>
      </c>
      <c r="H59" s="63" t="s">
        <v>617</v>
      </c>
    </row>
    <row r="60" spans="1:8" ht="19.8" customHeight="1" x14ac:dyDescent="0.3">
      <c r="A60" s="68">
        <v>45982</v>
      </c>
      <c r="B60" s="60" t="s">
        <v>42</v>
      </c>
      <c r="C60" s="61" t="s">
        <v>576</v>
      </c>
      <c r="D60" s="60" t="s">
        <v>550</v>
      </c>
      <c r="E60" s="69">
        <v>1.944444444444444</v>
      </c>
      <c r="F60" s="60" t="s">
        <v>44</v>
      </c>
      <c r="G60" s="62">
        <v>54</v>
      </c>
      <c r="H60" s="63" t="s">
        <v>617</v>
      </c>
    </row>
    <row r="61" spans="1:8" ht="19.8" customHeight="1" x14ac:dyDescent="0.3">
      <c r="A61" s="68">
        <v>45982</v>
      </c>
      <c r="B61" s="60" t="s">
        <v>26</v>
      </c>
      <c r="C61" s="61" t="s">
        <v>551</v>
      </c>
      <c r="D61" s="60" t="s">
        <v>550</v>
      </c>
      <c r="E61" s="69">
        <v>1.958333333333333</v>
      </c>
      <c r="F61" s="60" t="s">
        <v>28</v>
      </c>
      <c r="G61" s="62">
        <v>5</v>
      </c>
      <c r="H61" s="63" t="s">
        <v>562</v>
      </c>
    </row>
    <row r="62" spans="1:8" ht="19.8" customHeight="1" x14ac:dyDescent="0.3">
      <c r="A62" s="68">
        <v>45982</v>
      </c>
      <c r="B62" s="60" t="s">
        <v>26</v>
      </c>
      <c r="C62" s="61" t="s">
        <v>555</v>
      </c>
      <c r="D62" s="60" t="s">
        <v>550</v>
      </c>
      <c r="E62" s="69">
        <v>1.697916666666667</v>
      </c>
      <c r="F62" s="60" t="s">
        <v>28</v>
      </c>
      <c r="G62" s="62">
        <v>9</v>
      </c>
      <c r="H62" s="63" t="s">
        <v>562</v>
      </c>
    </row>
    <row r="63" spans="1:8" ht="19.8" customHeight="1" x14ac:dyDescent="0.3">
      <c r="A63" s="68">
        <v>45982</v>
      </c>
      <c r="B63" s="60" t="s">
        <v>26</v>
      </c>
      <c r="C63" s="61" t="s">
        <v>559</v>
      </c>
      <c r="D63" s="60" t="s">
        <v>550</v>
      </c>
      <c r="E63" s="69">
        <v>1.819444444444444</v>
      </c>
      <c r="F63" s="60" t="s">
        <v>28</v>
      </c>
      <c r="G63" s="62">
        <v>9</v>
      </c>
      <c r="H63" s="63" t="s">
        <v>562</v>
      </c>
    </row>
    <row r="64" spans="1:8" ht="19.8" customHeight="1" x14ac:dyDescent="0.3">
      <c r="A64" s="68">
        <v>45982</v>
      </c>
      <c r="B64" s="60" t="s">
        <v>26</v>
      </c>
      <c r="C64" s="61" t="s">
        <v>561</v>
      </c>
      <c r="D64" s="60" t="s">
        <v>550</v>
      </c>
      <c r="E64" s="69">
        <v>1.4375</v>
      </c>
      <c r="F64" s="60" t="s">
        <v>28</v>
      </c>
      <c r="G64" s="62">
        <v>7</v>
      </c>
      <c r="H64" s="63" t="s">
        <v>562</v>
      </c>
    </row>
    <row r="65" spans="1:8" ht="19.8" customHeight="1" x14ac:dyDescent="0.3">
      <c r="A65" s="68">
        <v>45982</v>
      </c>
      <c r="B65" s="60" t="s">
        <v>235</v>
      </c>
      <c r="C65" s="61" t="s">
        <v>581</v>
      </c>
      <c r="D65" s="60" t="s">
        <v>550</v>
      </c>
      <c r="E65" s="69">
        <v>1.211805555555556</v>
      </c>
      <c r="F65" s="60" t="s">
        <v>98</v>
      </c>
      <c r="G65" s="62">
        <v>9</v>
      </c>
      <c r="H65" s="63" t="s">
        <v>583</v>
      </c>
    </row>
    <row r="66" spans="1:8" ht="19.8" customHeight="1" x14ac:dyDescent="0.3">
      <c r="A66" s="68">
        <v>45982</v>
      </c>
      <c r="B66" s="60" t="s">
        <v>328</v>
      </c>
      <c r="C66" s="61" t="s">
        <v>584</v>
      </c>
      <c r="D66" s="60" t="s">
        <v>550</v>
      </c>
      <c r="E66" s="69">
        <v>1.0902777777777779</v>
      </c>
      <c r="F66" s="60" t="s">
        <v>98</v>
      </c>
      <c r="G66" s="62">
        <v>9</v>
      </c>
      <c r="H66" s="63" t="s">
        <v>587</v>
      </c>
    </row>
    <row r="67" spans="1:8" ht="19.8" customHeight="1" x14ac:dyDescent="0.3">
      <c r="A67" s="68">
        <v>45982</v>
      </c>
      <c r="B67" s="60" t="s">
        <v>26</v>
      </c>
      <c r="C67" s="61" t="s">
        <v>558</v>
      </c>
      <c r="D67" s="60" t="s">
        <v>550</v>
      </c>
      <c r="E67" s="69">
        <v>1.631944444444444</v>
      </c>
      <c r="F67" s="60" t="s">
        <v>31</v>
      </c>
      <c r="G67" s="62">
        <v>2</v>
      </c>
      <c r="H67" s="63" t="s">
        <v>557</v>
      </c>
    </row>
    <row r="68" spans="1:8" ht="19.8" customHeight="1" x14ac:dyDescent="0.3">
      <c r="A68" s="68">
        <v>45982</v>
      </c>
      <c r="B68" s="60" t="s">
        <v>26</v>
      </c>
      <c r="C68" s="61" t="s">
        <v>564</v>
      </c>
      <c r="D68" s="60" t="s">
        <v>550</v>
      </c>
      <c r="E68" s="69">
        <v>1.506944444444444</v>
      </c>
      <c r="F68" s="60" t="s">
        <v>31</v>
      </c>
      <c r="G68" s="62">
        <v>5</v>
      </c>
      <c r="H68" s="63" t="s">
        <v>557</v>
      </c>
    </row>
    <row r="69" spans="1:8" ht="19.8" customHeight="1" x14ac:dyDescent="0.3">
      <c r="A69" s="68">
        <v>45982</v>
      </c>
      <c r="B69" s="60" t="s">
        <v>26</v>
      </c>
      <c r="C69" s="61" t="s">
        <v>560</v>
      </c>
      <c r="D69" s="60" t="s">
        <v>550</v>
      </c>
      <c r="E69" s="69">
        <v>1.5590277777777779</v>
      </c>
      <c r="F69" s="60" t="s">
        <v>31</v>
      </c>
      <c r="G69" s="62">
        <v>2</v>
      </c>
      <c r="H69" s="63" t="s">
        <v>557</v>
      </c>
    </row>
    <row r="70" spans="1:8" ht="19.8" customHeight="1" x14ac:dyDescent="0.3">
      <c r="A70" s="68">
        <v>45982</v>
      </c>
      <c r="B70" s="60" t="s">
        <v>42</v>
      </c>
      <c r="C70" s="61" t="s">
        <v>570</v>
      </c>
      <c r="D70" s="60" t="s">
        <v>550</v>
      </c>
      <c r="E70" s="69">
        <v>1.6284722222222221</v>
      </c>
      <c r="F70" s="60" t="s">
        <v>47</v>
      </c>
      <c r="G70" s="62">
        <v>41</v>
      </c>
      <c r="H70" s="63" t="s">
        <v>462</v>
      </c>
    </row>
    <row r="71" spans="1:8" ht="19.8" customHeight="1" x14ac:dyDescent="0.3">
      <c r="A71" s="68">
        <v>45982</v>
      </c>
      <c r="B71" s="60" t="s">
        <v>42</v>
      </c>
      <c r="C71" s="61" t="s">
        <v>573</v>
      </c>
      <c r="D71" s="60" t="s">
        <v>550</v>
      </c>
      <c r="E71" s="69">
        <v>1.5763888888888891</v>
      </c>
      <c r="F71" s="60" t="s">
        <v>47</v>
      </c>
      <c r="G71" s="62">
        <v>25</v>
      </c>
      <c r="H71" s="63" t="s">
        <v>462</v>
      </c>
    </row>
    <row r="72" spans="1:8" ht="19.8" customHeight="1" x14ac:dyDescent="0.3">
      <c r="A72" s="76">
        <v>45982</v>
      </c>
      <c r="B72" s="77" t="s">
        <v>78</v>
      </c>
      <c r="C72" s="78" t="s">
        <v>621</v>
      </c>
      <c r="D72" s="77" t="s">
        <v>550</v>
      </c>
      <c r="E72" s="79">
        <v>1.725694444444444</v>
      </c>
      <c r="F72" s="77" t="s">
        <v>98</v>
      </c>
      <c r="G72" s="80">
        <v>9</v>
      </c>
      <c r="H72" s="81" t="s">
        <v>462</v>
      </c>
    </row>
    <row r="73" spans="1:8" ht="19.8" customHeight="1" x14ac:dyDescent="0.3">
      <c r="A73" s="76">
        <v>45982</v>
      </c>
      <c r="B73" s="77" t="s">
        <v>78</v>
      </c>
      <c r="C73" s="78" t="s">
        <v>588</v>
      </c>
      <c r="D73" s="77" t="s">
        <v>550</v>
      </c>
      <c r="E73" s="79">
        <v>1.40625</v>
      </c>
      <c r="F73" s="77" t="s">
        <v>98</v>
      </c>
      <c r="G73" s="80">
        <v>9</v>
      </c>
      <c r="H73" s="81" t="s">
        <v>462</v>
      </c>
    </row>
    <row r="74" spans="1:8" ht="19.8" customHeight="1" x14ac:dyDescent="0.3">
      <c r="A74" s="68">
        <v>45982</v>
      </c>
      <c r="B74" s="60" t="s">
        <v>26</v>
      </c>
      <c r="C74" s="61" t="s">
        <v>551</v>
      </c>
      <c r="D74" s="60" t="s">
        <v>550</v>
      </c>
      <c r="E74" s="69">
        <v>1.958333333333333</v>
      </c>
      <c r="F74" s="60" t="s">
        <v>31</v>
      </c>
      <c r="G74" s="62">
        <v>5</v>
      </c>
      <c r="H74" s="63" t="s">
        <v>563</v>
      </c>
    </row>
    <row r="75" spans="1:8" ht="19.8" customHeight="1" x14ac:dyDescent="0.3">
      <c r="A75" s="68">
        <v>45982</v>
      </c>
      <c r="B75" s="60" t="s">
        <v>26</v>
      </c>
      <c r="C75" s="61" t="s">
        <v>555</v>
      </c>
      <c r="D75" s="60" t="s">
        <v>550</v>
      </c>
      <c r="E75" s="69">
        <v>1.697916666666667</v>
      </c>
      <c r="F75" s="60" t="s">
        <v>31</v>
      </c>
      <c r="G75" s="62">
        <v>9</v>
      </c>
      <c r="H75" s="63" t="s">
        <v>563</v>
      </c>
    </row>
    <row r="76" spans="1:8" ht="19.8" customHeight="1" x14ac:dyDescent="0.3">
      <c r="A76" s="68">
        <v>45982</v>
      </c>
      <c r="B76" s="60" t="s">
        <v>26</v>
      </c>
      <c r="C76" s="61" t="s">
        <v>559</v>
      </c>
      <c r="D76" s="60" t="s">
        <v>550</v>
      </c>
      <c r="E76" s="69">
        <v>1.819444444444444</v>
      </c>
      <c r="F76" s="60" t="s">
        <v>31</v>
      </c>
      <c r="G76" s="62">
        <v>9</v>
      </c>
      <c r="H76" s="63" t="s">
        <v>563</v>
      </c>
    </row>
    <row r="77" spans="1:8" ht="19.8" customHeight="1" x14ac:dyDescent="0.3">
      <c r="A77" s="68">
        <v>45982</v>
      </c>
      <c r="B77" s="60" t="s">
        <v>26</v>
      </c>
      <c r="C77" s="61" t="s">
        <v>561</v>
      </c>
      <c r="D77" s="60" t="s">
        <v>550</v>
      </c>
      <c r="E77" s="69">
        <v>1.4375</v>
      </c>
      <c r="F77" s="60" t="s">
        <v>31</v>
      </c>
      <c r="G77" s="62">
        <v>7</v>
      </c>
      <c r="H77" s="63" t="s">
        <v>563</v>
      </c>
    </row>
    <row r="78" spans="1:8" ht="19.8" customHeight="1" x14ac:dyDescent="0.3">
      <c r="A78" s="68">
        <v>45982</v>
      </c>
      <c r="B78" s="60" t="s">
        <v>42</v>
      </c>
      <c r="C78" s="61" t="s">
        <v>565</v>
      </c>
      <c r="D78" s="60" t="s">
        <v>550</v>
      </c>
      <c r="E78" s="69">
        <v>1.8888888888888891</v>
      </c>
      <c r="F78" s="60" t="s">
        <v>47</v>
      </c>
      <c r="G78" s="62">
        <v>35</v>
      </c>
      <c r="H78" s="63" t="s">
        <v>207</v>
      </c>
    </row>
    <row r="79" spans="1:8" ht="19.8" customHeight="1" x14ac:dyDescent="0.3">
      <c r="A79" s="68">
        <v>45982</v>
      </c>
      <c r="B79" s="60" t="s">
        <v>42</v>
      </c>
      <c r="C79" s="61" t="s">
        <v>576</v>
      </c>
      <c r="D79" s="60" t="s">
        <v>550</v>
      </c>
      <c r="E79" s="69">
        <v>1.944444444444444</v>
      </c>
      <c r="F79" s="60" t="s">
        <v>47</v>
      </c>
      <c r="G79" s="62">
        <v>54</v>
      </c>
      <c r="H79" s="63" t="s">
        <v>207</v>
      </c>
    </row>
    <row r="80" spans="1:8" ht="19.8" customHeight="1" x14ac:dyDescent="0.3">
      <c r="A80" s="68">
        <v>45982</v>
      </c>
      <c r="B80" s="60" t="s">
        <v>26</v>
      </c>
      <c r="C80" s="61" t="s">
        <v>558</v>
      </c>
      <c r="D80" s="60" t="s">
        <v>550</v>
      </c>
      <c r="E80" s="69">
        <v>1.631944444444444</v>
      </c>
      <c r="F80" s="60" t="s">
        <v>34</v>
      </c>
      <c r="G80" s="62">
        <v>2</v>
      </c>
      <c r="H80" s="63" t="s">
        <v>30</v>
      </c>
    </row>
    <row r="81" spans="1:8" ht="19.8" customHeight="1" x14ac:dyDescent="0.3">
      <c r="A81" s="68">
        <v>45982</v>
      </c>
      <c r="B81" s="60" t="s">
        <v>26</v>
      </c>
      <c r="C81" s="61" t="s">
        <v>564</v>
      </c>
      <c r="D81" s="60" t="s">
        <v>550</v>
      </c>
      <c r="E81" s="69">
        <v>1.506944444444444</v>
      </c>
      <c r="F81" s="60" t="s">
        <v>34</v>
      </c>
      <c r="G81" s="62">
        <v>5</v>
      </c>
      <c r="H81" s="63" t="s">
        <v>30</v>
      </c>
    </row>
    <row r="82" spans="1:8" ht="19.8" customHeight="1" x14ac:dyDescent="0.3">
      <c r="A82" s="68">
        <v>45982</v>
      </c>
      <c r="B82" s="60" t="s">
        <v>26</v>
      </c>
      <c r="C82" s="61" t="s">
        <v>560</v>
      </c>
      <c r="D82" s="60" t="s">
        <v>550</v>
      </c>
      <c r="E82" s="69">
        <v>1.5590277777777779</v>
      </c>
      <c r="F82" s="60" t="s">
        <v>34</v>
      </c>
      <c r="G82" s="62">
        <v>2</v>
      </c>
      <c r="H82" s="63" t="s">
        <v>30</v>
      </c>
    </row>
    <row r="83" spans="1:8" ht="19.8" customHeight="1" x14ac:dyDescent="0.3">
      <c r="A83" s="68">
        <v>45982</v>
      </c>
      <c r="B83" s="60" t="s">
        <v>26</v>
      </c>
      <c r="C83" s="61" t="s">
        <v>551</v>
      </c>
      <c r="D83" s="60" t="s">
        <v>550</v>
      </c>
      <c r="E83" s="69">
        <v>1.958333333333333</v>
      </c>
      <c r="F83" s="60" t="s">
        <v>34</v>
      </c>
      <c r="G83" s="62">
        <v>5</v>
      </c>
      <c r="H83" s="63" t="s">
        <v>46</v>
      </c>
    </row>
    <row r="84" spans="1:8" ht="19.8" customHeight="1" x14ac:dyDescent="0.3">
      <c r="A84" s="68">
        <v>45982</v>
      </c>
      <c r="B84" s="60" t="s">
        <v>26</v>
      </c>
      <c r="C84" s="61" t="s">
        <v>555</v>
      </c>
      <c r="D84" s="60" t="s">
        <v>550</v>
      </c>
      <c r="E84" s="69">
        <v>1.697916666666667</v>
      </c>
      <c r="F84" s="60" t="s">
        <v>34</v>
      </c>
      <c r="G84" s="62">
        <v>9</v>
      </c>
      <c r="H84" s="63" t="s">
        <v>46</v>
      </c>
    </row>
    <row r="85" spans="1:8" ht="19.8" customHeight="1" x14ac:dyDescent="0.3">
      <c r="A85" s="68">
        <v>45982</v>
      </c>
      <c r="B85" s="60" t="s">
        <v>26</v>
      </c>
      <c r="C85" s="61" t="s">
        <v>559</v>
      </c>
      <c r="D85" s="60" t="s">
        <v>550</v>
      </c>
      <c r="E85" s="69">
        <v>1.819444444444444</v>
      </c>
      <c r="F85" s="60" t="s">
        <v>34</v>
      </c>
      <c r="G85" s="62">
        <v>9</v>
      </c>
      <c r="H85" s="63" t="s">
        <v>46</v>
      </c>
    </row>
    <row r="86" spans="1:8" ht="19.8" customHeight="1" x14ac:dyDescent="0.3">
      <c r="A86" s="68">
        <v>45982</v>
      </c>
      <c r="B86" s="60" t="s">
        <v>26</v>
      </c>
      <c r="C86" s="61" t="s">
        <v>561</v>
      </c>
      <c r="D86" s="60" t="s">
        <v>550</v>
      </c>
      <c r="E86" s="69">
        <v>1.4375</v>
      </c>
      <c r="F86" s="60" t="s">
        <v>34</v>
      </c>
      <c r="G86" s="62">
        <v>7</v>
      </c>
      <c r="H86" s="63" t="s">
        <v>46</v>
      </c>
    </row>
    <row r="87" spans="1:8" ht="19.8" customHeight="1" x14ac:dyDescent="0.3">
      <c r="A87" s="68">
        <v>45982</v>
      </c>
      <c r="B87" s="60" t="s">
        <v>51</v>
      </c>
      <c r="C87" s="61" t="s">
        <v>610</v>
      </c>
      <c r="D87" s="60" t="s">
        <v>550</v>
      </c>
      <c r="E87" s="69">
        <v>1.8298611111111109</v>
      </c>
      <c r="F87" s="60" t="s">
        <v>53</v>
      </c>
      <c r="G87" s="62">
        <v>7</v>
      </c>
      <c r="H87" s="63" t="s">
        <v>602</v>
      </c>
    </row>
    <row r="88" spans="1:8" ht="19.8" customHeight="1" x14ac:dyDescent="0.3">
      <c r="A88" s="68">
        <v>45982</v>
      </c>
      <c r="B88" s="60" t="s">
        <v>51</v>
      </c>
      <c r="C88" s="61" t="s">
        <v>610</v>
      </c>
      <c r="D88" s="60" t="s">
        <v>550</v>
      </c>
      <c r="E88" s="69">
        <v>1.8298611111111109</v>
      </c>
      <c r="F88" s="60" t="s">
        <v>56</v>
      </c>
      <c r="G88" s="62">
        <v>7</v>
      </c>
      <c r="H88" s="63" t="s">
        <v>603</v>
      </c>
    </row>
    <row r="89" spans="1:8" ht="19.8" customHeight="1" x14ac:dyDescent="0.3">
      <c r="A89" s="68">
        <v>45982</v>
      </c>
      <c r="B89" s="60" t="s">
        <v>42</v>
      </c>
      <c r="C89" s="61" t="s">
        <v>565</v>
      </c>
      <c r="D89" s="60" t="s">
        <v>550</v>
      </c>
      <c r="E89" s="69">
        <v>1.8888888888888891</v>
      </c>
      <c r="F89" s="60" t="s">
        <v>49</v>
      </c>
      <c r="G89" s="62">
        <v>35</v>
      </c>
      <c r="H89" s="63" t="s">
        <v>569</v>
      </c>
    </row>
    <row r="90" spans="1:8" ht="19.8" customHeight="1" x14ac:dyDescent="0.3">
      <c r="A90" s="68">
        <v>45982</v>
      </c>
      <c r="B90" s="60" t="s">
        <v>42</v>
      </c>
      <c r="C90" s="61" t="s">
        <v>570</v>
      </c>
      <c r="D90" s="60" t="s">
        <v>550</v>
      </c>
      <c r="E90" s="69">
        <v>1.6284722222222221</v>
      </c>
      <c r="F90" s="60" t="s">
        <v>49</v>
      </c>
      <c r="G90" s="62">
        <v>41</v>
      </c>
      <c r="H90" s="63" t="s">
        <v>569</v>
      </c>
    </row>
    <row r="91" spans="1:8" ht="19.8" customHeight="1" x14ac:dyDescent="0.3">
      <c r="A91" s="68">
        <v>45982</v>
      </c>
      <c r="B91" s="60" t="s">
        <v>42</v>
      </c>
      <c r="C91" s="61" t="s">
        <v>573</v>
      </c>
      <c r="D91" s="60" t="s">
        <v>550</v>
      </c>
      <c r="E91" s="69">
        <v>1.5763888888888891</v>
      </c>
      <c r="F91" s="60" t="s">
        <v>49</v>
      </c>
      <c r="G91" s="62">
        <v>25</v>
      </c>
      <c r="H91" s="63" t="s">
        <v>569</v>
      </c>
    </row>
    <row r="92" spans="1:8" ht="19.8" customHeight="1" x14ac:dyDescent="0.3">
      <c r="A92" s="68">
        <v>45982</v>
      </c>
      <c r="B92" s="60" t="s">
        <v>42</v>
      </c>
      <c r="C92" s="61" t="s">
        <v>576</v>
      </c>
      <c r="D92" s="60" t="s">
        <v>550</v>
      </c>
      <c r="E92" s="69">
        <v>1.944444444444444</v>
      </c>
      <c r="F92" s="60" t="s">
        <v>49</v>
      </c>
      <c r="G92" s="62">
        <v>54</v>
      </c>
      <c r="H92" s="63" t="s">
        <v>569</v>
      </c>
    </row>
    <row r="93" spans="1:8" ht="19.8" customHeight="1" x14ac:dyDescent="0.3">
      <c r="A93" s="68">
        <v>45982</v>
      </c>
      <c r="B93" s="60" t="s">
        <v>51</v>
      </c>
      <c r="C93" s="61" t="s">
        <v>604</v>
      </c>
      <c r="D93" s="60" t="s">
        <v>550</v>
      </c>
      <c r="E93" s="69">
        <v>1.8888888888888891</v>
      </c>
      <c r="F93" s="60" t="s">
        <v>56</v>
      </c>
      <c r="G93" s="62">
        <v>4</v>
      </c>
      <c r="H93" s="63" t="s">
        <v>605</v>
      </c>
    </row>
    <row r="94" spans="1:8" ht="19.8" customHeight="1" x14ac:dyDescent="0.3">
      <c r="A94" s="68">
        <v>45982</v>
      </c>
      <c r="B94" s="60" t="s">
        <v>51</v>
      </c>
      <c r="C94" s="61" t="s">
        <v>606</v>
      </c>
      <c r="D94" s="60" t="s">
        <v>550</v>
      </c>
      <c r="E94" s="69">
        <v>1.944444444444444</v>
      </c>
      <c r="F94" s="60" t="s">
        <v>56</v>
      </c>
      <c r="G94" s="62">
        <v>4</v>
      </c>
      <c r="H94" s="63" t="s">
        <v>605</v>
      </c>
    </row>
    <row r="95" spans="1:8" ht="19.8" customHeight="1" x14ac:dyDescent="0.3">
      <c r="A95" s="68">
        <v>45982</v>
      </c>
      <c r="B95" s="60" t="s">
        <v>51</v>
      </c>
      <c r="C95" s="61" t="s">
        <v>607</v>
      </c>
      <c r="D95" s="60" t="s">
        <v>550</v>
      </c>
      <c r="E95" s="69">
        <v>1.6284722222222221</v>
      </c>
      <c r="F95" s="60" t="s">
        <v>56</v>
      </c>
      <c r="G95" s="62">
        <v>4</v>
      </c>
      <c r="H95" s="63" t="s">
        <v>605</v>
      </c>
    </row>
    <row r="96" spans="1:8" ht="19.8" customHeight="1" x14ac:dyDescent="0.3">
      <c r="A96" s="68">
        <v>45982</v>
      </c>
      <c r="B96" s="60" t="s">
        <v>51</v>
      </c>
      <c r="C96" s="61" t="s">
        <v>601</v>
      </c>
      <c r="D96" s="60" t="s">
        <v>550</v>
      </c>
      <c r="E96" s="69">
        <v>1.9826388888888891</v>
      </c>
      <c r="F96" s="60" t="s">
        <v>56</v>
      </c>
      <c r="G96" s="62">
        <v>9</v>
      </c>
      <c r="H96" s="63" t="s">
        <v>609</v>
      </c>
    </row>
    <row r="97" spans="1:8" ht="19.8" customHeight="1" x14ac:dyDescent="0.3">
      <c r="A97" s="68">
        <v>45982</v>
      </c>
      <c r="B97" s="60" t="s">
        <v>51</v>
      </c>
      <c r="C97" s="61" t="s">
        <v>611</v>
      </c>
      <c r="D97" s="60" t="s">
        <v>550</v>
      </c>
      <c r="E97" s="69">
        <v>1.6284722222222221</v>
      </c>
      <c r="F97" s="60" t="s">
        <v>56</v>
      </c>
      <c r="G97" s="62">
        <v>9</v>
      </c>
      <c r="H97" s="63" t="s">
        <v>609</v>
      </c>
    </row>
    <row r="98" spans="1:8" ht="19.8" customHeight="1" x14ac:dyDescent="0.3">
      <c r="A98" s="68">
        <v>45982</v>
      </c>
      <c r="B98" s="60" t="s">
        <v>67</v>
      </c>
      <c r="C98" s="61" t="s">
        <v>598</v>
      </c>
      <c r="D98" s="60" t="s">
        <v>550</v>
      </c>
      <c r="E98" s="69">
        <v>1.354166666666667</v>
      </c>
      <c r="F98" s="60" t="s">
        <v>69</v>
      </c>
      <c r="G98" s="62">
        <v>5</v>
      </c>
      <c r="H98" s="63" t="s">
        <v>626</v>
      </c>
    </row>
    <row r="99" spans="1:8" ht="19.8" customHeight="1" x14ac:dyDescent="0.3">
      <c r="A99" s="68">
        <v>45982</v>
      </c>
      <c r="B99" s="60" t="s">
        <v>67</v>
      </c>
      <c r="C99" s="61" t="s">
        <v>596</v>
      </c>
      <c r="D99" s="60" t="s">
        <v>550</v>
      </c>
      <c r="E99" s="69">
        <v>1.9826388888888891</v>
      </c>
      <c r="F99" s="60" t="s">
        <v>69</v>
      </c>
      <c r="G99" s="62">
        <v>4</v>
      </c>
      <c r="H99" s="63" t="s">
        <v>627</v>
      </c>
    </row>
    <row r="100" spans="1:8" ht="19.8" customHeight="1" x14ac:dyDescent="0.3">
      <c r="A100" s="70">
        <v>45982</v>
      </c>
      <c r="B100" s="71" t="s">
        <v>51</v>
      </c>
      <c r="C100" s="72" t="s">
        <v>608</v>
      </c>
      <c r="D100" s="71" t="s">
        <v>550</v>
      </c>
      <c r="E100" s="73">
        <v>1.444444444444444</v>
      </c>
      <c r="F100" s="71" t="s">
        <v>56</v>
      </c>
      <c r="G100" s="74">
        <v>9</v>
      </c>
      <c r="H100" s="75" t="s">
        <v>625</v>
      </c>
    </row>
    <row r="101" spans="1:8" ht="19.8" customHeight="1" x14ac:dyDescent="0.3">
      <c r="A101" s="68">
        <v>45983</v>
      </c>
      <c r="B101" s="60" t="s">
        <v>26</v>
      </c>
      <c r="C101" s="61" t="s">
        <v>561</v>
      </c>
      <c r="D101" s="60" t="s">
        <v>550</v>
      </c>
      <c r="E101" s="69">
        <v>1.4375</v>
      </c>
      <c r="F101" s="60" t="s">
        <v>28</v>
      </c>
      <c r="G101" s="62">
        <v>9</v>
      </c>
      <c r="H101" s="63" t="s">
        <v>628</v>
      </c>
    </row>
    <row r="102" spans="1:8" ht="19.8" customHeight="1" x14ac:dyDescent="0.3">
      <c r="A102" s="68">
        <v>45983</v>
      </c>
      <c r="B102" s="60" t="s">
        <v>26</v>
      </c>
      <c r="C102" s="61" t="s">
        <v>564</v>
      </c>
      <c r="D102" s="60" t="s">
        <v>550</v>
      </c>
      <c r="E102" s="69">
        <v>1.506944444444444</v>
      </c>
      <c r="F102" s="60" t="s">
        <v>28</v>
      </c>
      <c r="G102" s="62">
        <v>9</v>
      </c>
      <c r="H102" s="63" t="s">
        <v>628</v>
      </c>
    </row>
    <row r="103" spans="1:8" ht="19.8" customHeight="1" x14ac:dyDescent="0.3">
      <c r="A103" s="68">
        <v>45983</v>
      </c>
      <c r="B103" s="60" t="s">
        <v>42</v>
      </c>
      <c r="C103" s="61" t="s">
        <v>570</v>
      </c>
      <c r="D103" s="60" t="s">
        <v>550</v>
      </c>
      <c r="E103" s="69">
        <v>1.6284722222222221</v>
      </c>
      <c r="F103" s="60" t="s">
        <v>44</v>
      </c>
      <c r="G103" s="62">
        <v>17</v>
      </c>
      <c r="H103" s="63" t="s">
        <v>634</v>
      </c>
    </row>
    <row r="104" spans="1:8" ht="19.8" customHeight="1" x14ac:dyDescent="0.3">
      <c r="A104" s="68">
        <v>45983</v>
      </c>
      <c r="B104" s="60" t="s">
        <v>42</v>
      </c>
      <c r="C104" s="61" t="s">
        <v>573</v>
      </c>
      <c r="D104" s="60" t="s">
        <v>550</v>
      </c>
      <c r="E104" s="69">
        <v>1.5763888888888891</v>
      </c>
      <c r="F104" s="60" t="s">
        <v>44</v>
      </c>
      <c r="G104" s="62">
        <v>8</v>
      </c>
      <c r="H104" s="63" t="s">
        <v>634</v>
      </c>
    </row>
    <row r="105" spans="1:8" ht="19.8" customHeight="1" x14ac:dyDescent="0.3">
      <c r="A105" s="68">
        <v>45983</v>
      </c>
      <c r="B105" s="60" t="s">
        <v>42</v>
      </c>
      <c r="C105" s="61" t="s">
        <v>565</v>
      </c>
      <c r="D105" s="60" t="s">
        <v>550</v>
      </c>
      <c r="E105" s="69">
        <v>1.8888888888888891</v>
      </c>
      <c r="F105" s="60" t="s">
        <v>44</v>
      </c>
      <c r="G105" s="62">
        <v>15</v>
      </c>
      <c r="H105" s="63" t="s">
        <v>563</v>
      </c>
    </row>
    <row r="106" spans="1:8" ht="19.8" customHeight="1" x14ac:dyDescent="0.3">
      <c r="A106" s="68">
        <v>45983</v>
      </c>
      <c r="B106" s="60" t="s">
        <v>26</v>
      </c>
      <c r="C106" s="61" t="s">
        <v>558</v>
      </c>
      <c r="D106" s="60" t="s">
        <v>550</v>
      </c>
      <c r="E106" s="69">
        <v>1.631944444444444</v>
      </c>
      <c r="F106" s="60" t="s">
        <v>28</v>
      </c>
      <c r="G106" s="62">
        <v>9</v>
      </c>
      <c r="H106" s="63" t="s">
        <v>563</v>
      </c>
    </row>
    <row r="107" spans="1:8" ht="19.8" customHeight="1" x14ac:dyDescent="0.3">
      <c r="A107" s="68">
        <v>45983</v>
      </c>
      <c r="B107" s="60" t="s">
        <v>26</v>
      </c>
      <c r="C107" s="61" t="s">
        <v>560</v>
      </c>
      <c r="D107" s="60" t="s">
        <v>550</v>
      </c>
      <c r="E107" s="69">
        <v>1.5590277777777779</v>
      </c>
      <c r="F107" s="60" t="s">
        <v>28</v>
      </c>
      <c r="G107" s="62">
        <v>9</v>
      </c>
      <c r="H107" s="63" t="s">
        <v>563</v>
      </c>
    </row>
    <row r="108" spans="1:8" ht="19.8" customHeight="1" x14ac:dyDescent="0.3">
      <c r="A108" s="68">
        <v>45983</v>
      </c>
      <c r="B108" s="60" t="s">
        <v>328</v>
      </c>
      <c r="C108" s="61" t="s">
        <v>584</v>
      </c>
      <c r="D108" s="60" t="s">
        <v>550</v>
      </c>
      <c r="E108" s="69">
        <v>1.086805555555556</v>
      </c>
      <c r="F108" s="60" t="s">
        <v>98</v>
      </c>
      <c r="G108" s="62">
        <v>5</v>
      </c>
      <c r="H108" s="63" t="s">
        <v>639</v>
      </c>
    </row>
    <row r="109" spans="1:8" ht="19.8" customHeight="1" x14ac:dyDescent="0.3">
      <c r="A109" s="68">
        <v>45983</v>
      </c>
      <c r="B109" s="60" t="s">
        <v>42</v>
      </c>
      <c r="C109" s="61" t="s">
        <v>576</v>
      </c>
      <c r="D109" s="60" t="s">
        <v>550</v>
      </c>
      <c r="E109" s="69">
        <v>1.944444444444444</v>
      </c>
      <c r="F109" s="60" t="s">
        <v>44</v>
      </c>
      <c r="G109" s="62">
        <v>13</v>
      </c>
      <c r="H109" s="63" t="s">
        <v>637</v>
      </c>
    </row>
    <row r="110" spans="1:8" ht="19.8" customHeight="1" x14ac:dyDescent="0.3">
      <c r="A110" s="76">
        <v>45983</v>
      </c>
      <c r="B110" s="77" t="s">
        <v>78</v>
      </c>
      <c r="C110" s="78" t="s">
        <v>588</v>
      </c>
      <c r="D110" s="77" t="s">
        <v>550</v>
      </c>
      <c r="E110" s="79">
        <v>1.413194444444444</v>
      </c>
      <c r="F110" s="77" t="s">
        <v>98</v>
      </c>
      <c r="G110" s="80">
        <v>6</v>
      </c>
      <c r="H110" s="81" t="s">
        <v>637</v>
      </c>
    </row>
    <row r="111" spans="1:8" ht="19.8" customHeight="1" x14ac:dyDescent="0.3">
      <c r="A111" s="68">
        <v>45983</v>
      </c>
      <c r="B111" s="60" t="s">
        <v>26</v>
      </c>
      <c r="C111" s="61" t="s">
        <v>561</v>
      </c>
      <c r="D111" s="60" t="s">
        <v>550</v>
      </c>
      <c r="E111" s="69">
        <v>1.4375</v>
      </c>
      <c r="F111" s="60" t="s">
        <v>31</v>
      </c>
      <c r="G111" s="62">
        <v>9</v>
      </c>
      <c r="H111" s="63" t="s">
        <v>30</v>
      </c>
    </row>
    <row r="112" spans="1:8" ht="19.8" customHeight="1" x14ac:dyDescent="0.3">
      <c r="A112" s="68">
        <v>45983</v>
      </c>
      <c r="B112" s="60" t="s">
        <v>26</v>
      </c>
      <c r="C112" s="61" t="s">
        <v>564</v>
      </c>
      <c r="D112" s="60" t="s">
        <v>550</v>
      </c>
      <c r="E112" s="69">
        <v>1.506944444444444</v>
      </c>
      <c r="F112" s="60" t="s">
        <v>31</v>
      </c>
      <c r="G112" s="62">
        <v>9</v>
      </c>
      <c r="H112" s="63" t="s">
        <v>30</v>
      </c>
    </row>
    <row r="113" spans="1:8" ht="19.8" customHeight="1" x14ac:dyDescent="0.3">
      <c r="A113" s="68">
        <v>45983</v>
      </c>
      <c r="B113" s="60" t="s">
        <v>26</v>
      </c>
      <c r="C113" s="61" t="s">
        <v>551</v>
      </c>
      <c r="D113" s="60" t="s">
        <v>550</v>
      </c>
      <c r="E113" s="69">
        <v>1.958333333333333</v>
      </c>
      <c r="F113" s="60" t="s">
        <v>28</v>
      </c>
      <c r="G113" s="62">
        <v>6</v>
      </c>
      <c r="H113" s="63" t="s">
        <v>311</v>
      </c>
    </row>
    <row r="114" spans="1:8" ht="19.8" customHeight="1" x14ac:dyDescent="0.3">
      <c r="A114" s="68">
        <v>45983</v>
      </c>
      <c r="B114" s="60" t="s">
        <v>235</v>
      </c>
      <c r="C114" s="61" t="s">
        <v>642</v>
      </c>
      <c r="D114" s="60" t="s">
        <v>550</v>
      </c>
      <c r="E114" s="69">
        <v>1.479166666666667</v>
      </c>
      <c r="F114" s="60" t="s">
        <v>98</v>
      </c>
      <c r="G114" s="62">
        <v>9</v>
      </c>
      <c r="H114" s="63" t="s">
        <v>643</v>
      </c>
    </row>
    <row r="115" spans="1:8" ht="19.8" customHeight="1" x14ac:dyDescent="0.3">
      <c r="A115" s="68">
        <v>45983</v>
      </c>
      <c r="B115" s="60" t="s">
        <v>26</v>
      </c>
      <c r="C115" s="61" t="s">
        <v>558</v>
      </c>
      <c r="D115" s="60" t="s">
        <v>550</v>
      </c>
      <c r="E115" s="69">
        <v>1.631944444444444</v>
      </c>
      <c r="F115" s="60" t="s">
        <v>31</v>
      </c>
      <c r="G115" s="62">
        <v>9</v>
      </c>
      <c r="H115" s="63" t="s">
        <v>38</v>
      </c>
    </row>
    <row r="116" spans="1:8" ht="19.8" customHeight="1" x14ac:dyDescent="0.3">
      <c r="A116" s="68">
        <v>45983</v>
      </c>
      <c r="B116" s="60" t="s">
        <v>26</v>
      </c>
      <c r="C116" s="61" t="s">
        <v>560</v>
      </c>
      <c r="D116" s="60" t="s">
        <v>550</v>
      </c>
      <c r="E116" s="69">
        <v>1.5590277777777779</v>
      </c>
      <c r="F116" s="60" t="s">
        <v>31</v>
      </c>
      <c r="G116" s="62">
        <v>9</v>
      </c>
      <c r="H116" s="63" t="s">
        <v>38</v>
      </c>
    </row>
    <row r="117" spans="1:8" ht="19.8" customHeight="1" x14ac:dyDescent="0.3">
      <c r="A117" s="68">
        <v>45983</v>
      </c>
      <c r="B117" s="60" t="s">
        <v>42</v>
      </c>
      <c r="C117" s="61" t="s">
        <v>570</v>
      </c>
      <c r="D117" s="60" t="s">
        <v>550</v>
      </c>
      <c r="E117" s="69">
        <v>1.6284722222222221</v>
      </c>
      <c r="F117" s="60" t="s">
        <v>47</v>
      </c>
      <c r="G117" s="62">
        <v>17</v>
      </c>
      <c r="H117" s="63" t="s">
        <v>631</v>
      </c>
    </row>
    <row r="118" spans="1:8" ht="19.8" customHeight="1" x14ac:dyDescent="0.3">
      <c r="A118" s="68">
        <v>45983</v>
      </c>
      <c r="B118" s="60" t="s">
        <v>42</v>
      </c>
      <c r="C118" s="61" t="s">
        <v>573</v>
      </c>
      <c r="D118" s="60" t="s">
        <v>550</v>
      </c>
      <c r="E118" s="69">
        <v>1.5763888888888891</v>
      </c>
      <c r="F118" s="60" t="s">
        <v>47</v>
      </c>
      <c r="G118" s="62">
        <v>8</v>
      </c>
      <c r="H118" s="63" t="s">
        <v>631</v>
      </c>
    </row>
    <row r="119" spans="1:8" ht="19.8" customHeight="1" x14ac:dyDescent="0.3">
      <c r="A119" s="68">
        <v>45983</v>
      </c>
      <c r="B119" s="60" t="s">
        <v>26</v>
      </c>
      <c r="C119" s="61" t="s">
        <v>555</v>
      </c>
      <c r="D119" s="60" t="s">
        <v>550</v>
      </c>
      <c r="E119" s="69">
        <v>1.697916666666667</v>
      </c>
      <c r="F119" s="60" t="s">
        <v>28</v>
      </c>
      <c r="G119" s="62">
        <v>9</v>
      </c>
      <c r="H119" s="63" t="s">
        <v>631</v>
      </c>
    </row>
    <row r="120" spans="1:8" ht="19.8" customHeight="1" x14ac:dyDescent="0.3">
      <c r="A120" s="68">
        <v>45983</v>
      </c>
      <c r="B120" s="60" t="s">
        <v>26</v>
      </c>
      <c r="C120" s="61" t="s">
        <v>559</v>
      </c>
      <c r="D120" s="60" t="s">
        <v>550</v>
      </c>
      <c r="E120" s="69">
        <v>1.819444444444444</v>
      </c>
      <c r="F120" s="60" t="s">
        <v>28</v>
      </c>
      <c r="G120" s="62">
        <v>8</v>
      </c>
      <c r="H120" s="63" t="s">
        <v>631</v>
      </c>
    </row>
    <row r="121" spans="1:8" ht="19.8" customHeight="1" x14ac:dyDescent="0.3">
      <c r="A121" s="68">
        <v>45983</v>
      </c>
      <c r="B121" s="60" t="s">
        <v>26</v>
      </c>
      <c r="C121" s="61" t="s">
        <v>561</v>
      </c>
      <c r="D121" s="60" t="s">
        <v>550</v>
      </c>
      <c r="E121" s="69">
        <v>1.4375</v>
      </c>
      <c r="F121" s="60" t="s">
        <v>34</v>
      </c>
      <c r="G121" s="62">
        <v>9</v>
      </c>
      <c r="H121" s="63" t="s">
        <v>220</v>
      </c>
    </row>
    <row r="122" spans="1:8" ht="19.8" customHeight="1" x14ac:dyDescent="0.3">
      <c r="A122" s="68">
        <v>45983</v>
      </c>
      <c r="B122" s="60" t="s">
        <v>26</v>
      </c>
      <c r="C122" s="61" t="s">
        <v>564</v>
      </c>
      <c r="D122" s="60" t="s">
        <v>550</v>
      </c>
      <c r="E122" s="69">
        <v>1.506944444444444</v>
      </c>
      <c r="F122" s="60" t="s">
        <v>34</v>
      </c>
      <c r="G122" s="62">
        <v>9</v>
      </c>
      <c r="H122" s="63" t="s">
        <v>220</v>
      </c>
    </row>
    <row r="123" spans="1:8" ht="19.8" customHeight="1" x14ac:dyDescent="0.3">
      <c r="A123" s="68">
        <v>45983</v>
      </c>
      <c r="B123" s="60" t="s">
        <v>42</v>
      </c>
      <c r="C123" s="61" t="s">
        <v>565</v>
      </c>
      <c r="D123" s="60" t="s">
        <v>550</v>
      </c>
      <c r="E123" s="69">
        <v>1.8888888888888891</v>
      </c>
      <c r="F123" s="60" t="s">
        <v>47</v>
      </c>
      <c r="G123" s="62">
        <v>15</v>
      </c>
      <c r="H123" s="63" t="s">
        <v>33</v>
      </c>
    </row>
    <row r="124" spans="1:8" ht="19.8" customHeight="1" x14ac:dyDescent="0.3">
      <c r="A124" s="68">
        <v>45983</v>
      </c>
      <c r="B124" s="60" t="s">
        <v>26</v>
      </c>
      <c r="C124" s="61" t="s">
        <v>551</v>
      </c>
      <c r="D124" s="60" t="s">
        <v>550</v>
      </c>
      <c r="E124" s="69">
        <v>1.958333333333333</v>
      </c>
      <c r="F124" s="60" t="s">
        <v>31</v>
      </c>
      <c r="G124" s="62">
        <v>6</v>
      </c>
      <c r="H124" s="63" t="s">
        <v>629</v>
      </c>
    </row>
    <row r="125" spans="1:8" ht="19.8" customHeight="1" x14ac:dyDescent="0.3">
      <c r="A125" s="68">
        <v>45983</v>
      </c>
      <c r="B125" s="60" t="s">
        <v>42</v>
      </c>
      <c r="C125" s="61" t="s">
        <v>576</v>
      </c>
      <c r="D125" s="60" t="s">
        <v>550</v>
      </c>
      <c r="E125" s="69">
        <v>1.944444444444444</v>
      </c>
      <c r="F125" s="60" t="s">
        <v>47</v>
      </c>
      <c r="G125" s="62">
        <v>13</v>
      </c>
      <c r="H125" s="63" t="s">
        <v>638</v>
      </c>
    </row>
    <row r="126" spans="1:8" ht="19.8" customHeight="1" x14ac:dyDescent="0.3">
      <c r="A126" s="68">
        <v>45983</v>
      </c>
      <c r="B126" s="60" t="s">
        <v>26</v>
      </c>
      <c r="C126" s="61" t="s">
        <v>558</v>
      </c>
      <c r="D126" s="60" t="s">
        <v>550</v>
      </c>
      <c r="E126" s="69">
        <v>1.631944444444444</v>
      </c>
      <c r="F126" s="60" t="s">
        <v>34</v>
      </c>
      <c r="G126" s="62">
        <v>9</v>
      </c>
      <c r="H126" s="63" t="s">
        <v>91</v>
      </c>
    </row>
    <row r="127" spans="1:8" ht="19.8" customHeight="1" x14ac:dyDescent="0.3">
      <c r="A127" s="68">
        <v>45983</v>
      </c>
      <c r="B127" s="60" t="s">
        <v>26</v>
      </c>
      <c r="C127" s="61" t="s">
        <v>560</v>
      </c>
      <c r="D127" s="60" t="s">
        <v>550</v>
      </c>
      <c r="E127" s="69">
        <v>1.5590277777777779</v>
      </c>
      <c r="F127" s="60" t="s">
        <v>34</v>
      </c>
      <c r="G127" s="62">
        <v>9</v>
      </c>
      <c r="H127" s="63" t="s">
        <v>91</v>
      </c>
    </row>
    <row r="128" spans="1:8" ht="19.8" customHeight="1" x14ac:dyDescent="0.3">
      <c r="A128" s="68">
        <v>45983</v>
      </c>
      <c r="B128" s="60" t="s">
        <v>51</v>
      </c>
      <c r="C128" s="61" t="s">
        <v>601</v>
      </c>
      <c r="D128" s="60" t="s">
        <v>550</v>
      </c>
      <c r="E128" s="69">
        <v>1.9826388888888891</v>
      </c>
      <c r="F128" s="60" t="s">
        <v>53</v>
      </c>
      <c r="G128" s="62">
        <v>6</v>
      </c>
      <c r="H128" s="63" t="s">
        <v>602</v>
      </c>
    </row>
    <row r="129" spans="1:8" ht="19.8" customHeight="1" x14ac:dyDescent="0.3">
      <c r="A129" s="68">
        <v>45983</v>
      </c>
      <c r="B129" s="60" t="s">
        <v>26</v>
      </c>
      <c r="C129" s="61" t="s">
        <v>555</v>
      </c>
      <c r="D129" s="60" t="s">
        <v>550</v>
      </c>
      <c r="E129" s="69">
        <v>1.697916666666667</v>
      </c>
      <c r="F129" s="60" t="s">
        <v>31</v>
      </c>
      <c r="G129" s="62">
        <v>9</v>
      </c>
      <c r="H129" s="63" t="s">
        <v>319</v>
      </c>
    </row>
    <row r="130" spans="1:8" ht="19.8" customHeight="1" x14ac:dyDescent="0.3">
      <c r="A130" s="68">
        <v>45983</v>
      </c>
      <c r="B130" s="60" t="s">
        <v>26</v>
      </c>
      <c r="C130" s="61" t="s">
        <v>559</v>
      </c>
      <c r="D130" s="60" t="s">
        <v>550</v>
      </c>
      <c r="E130" s="69">
        <v>1.819444444444444</v>
      </c>
      <c r="F130" s="60" t="s">
        <v>31</v>
      </c>
      <c r="G130" s="62">
        <v>8</v>
      </c>
      <c r="H130" s="63" t="s">
        <v>319</v>
      </c>
    </row>
    <row r="131" spans="1:8" ht="19.8" customHeight="1" x14ac:dyDescent="0.3">
      <c r="A131" s="68">
        <v>45983</v>
      </c>
      <c r="B131" s="60" t="s">
        <v>26</v>
      </c>
      <c r="C131" s="61" t="s">
        <v>551</v>
      </c>
      <c r="D131" s="60" t="s">
        <v>550</v>
      </c>
      <c r="E131" s="69">
        <v>1.958333333333333</v>
      </c>
      <c r="F131" s="60" t="s">
        <v>34</v>
      </c>
      <c r="G131" s="62">
        <v>6</v>
      </c>
      <c r="H131" s="63" t="s">
        <v>630</v>
      </c>
    </row>
    <row r="132" spans="1:8" ht="19.8" customHeight="1" x14ac:dyDescent="0.3">
      <c r="A132" s="68">
        <v>45983</v>
      </c>
      <c r="B132" s="60" t="s">
        <v>26</v>
      </c>
      <c r="C132" s="61" t="s">
        <v>555</v>
      </c>
      <c r="D132" s="60" t="s">
        <v>550</v>
      </c>
      <c r="E132" s="69">
        <v>1.697916666666667</v>
      </c>
      <c r="F132" s="60" t="s">
        <v>34</v>
      </c>
      <c r="G132" s="62">
        <v>9</v>
      </c>
      <c r="H132" s="63" t="s">
        <v>632</v>
      </c>
    </row>
    <row r="133" spans="1:8" ht="19.8" customHeight="1" x14ac:dyDescent="0.3">
      <c r="A133" s="68">
        <v>45983</v>
      </c>
      <c r="B133" s="60" t="s">
        <v>26</v>
      </c>
      <c r="C133" s="61" t="s">
        <v>559</v>
      </c>
      <c r="D133" s="60" t="s">
        <v>550</v>
      </c>
      <c r="E133" s="69">
        <v>1.819444444444444</v>
      </c>
      <c r="F133" s="60" t="s">
        <v>34</v>
      </c>
      <c r="G133" s="62">
        <v>8</v>
      </c>
      <c r="H133" s="63" t="s">
        <v>632</v>
      </c>
    </row>
    <row r="134" spans="1:8" ht="19.8" customHeight="1" x14ac:dyDescent="0.3">
      <c r="A134" s="68">
        <v>45983</v>
      </c>
      <c r="B134" s="60" t="s">
        <v>51</v>
      </c>
      <c r="C134" s="61" t="s">
        <v>601</v>
      </c>
      <c r="D134" s="60" t="s">
        <v>550</v>
      </c>
      <c r="E134" s="69">
        <v>1.9826388888888891</v>
      </c>
      <c r="F134" s="60" t="s">
        <v>56</v>
      </c>
      <c r="G134" s="62">
        <v>6</v>
      </c>
      <c r="H134" s="63" t="s">
        <v>603</v>
      </c>
    </row>
    <row r="135" spans="1:8" ht="19.8" customHeight="1" x14ac:dyDescent="0.3">
      <c r="A135" s="68">
        <v>45983</v>
      </c>
      <c r="B135" s="60" t="s">
        <v>67</v>
      </c>
      <c r="C135" s="61" t="s">
        <v>598</v>
      </c>
      <c r="D135" s="60" t="s">
        <v>550</v>
      </c>
      <c r="E135" s="69">
        <v>1.354166666666667</v>
      </c>
      <c r="F135" s="60" t="s">
        <v>69</v>
      </c>
      <c r="G135" s="62">
        <v>2</v>
      </c>
      <c r="H135" s="63" t="s">
        <v>651</v>
      </c>
    </row>
    <row r="136" spans="1:8" ht="19.8" customHeight="1" x14ac:dyDescent="0.3">
      <c r="A136" s="68">
        <v>45983</v>
      </c>
      <c r="B136" s="60" t="s">
        <v>51</v>
      </c>
      <c r="C136" s="61" t="s">
        <v>610</v>
      </c>
      <c r="D136" s="60" t="s">
        <v>550</v>
      </c>
      <c r="E136" s="69">
        <v>1.8298611111111109</v>
      </c>
      <c r="F136" s="60" t="s">
        <v>53</v>
      </c>
      <c r="G136" s="62">
        <v>1</v>
      </c>
      <c r="H136" s="63" t="s">
        <v>644</v>
      </c>
    </row>
    <row r="137" spans="1:8" ht="19.8" customHeight="1" x14ac:dyDescent="0.3">
      <c r="A137" s="68">
        <v>45983</v>
      </c>
      <c r="B137" s="60" t="s">
        <v>51</v>
      </c>
      <c r="C137" s="61" t="s">
        <v>608</v>
      </c>
      <c r="D137" s="60" t="s">
        <v>550</v>
      </c>
      <c r="E137" s="69">
        <v>1.444444444444444</v>
      </c>
      <c r="F137" s="60" t="s">
        <v>56</v>
      </c>
      <c r="G137" s="62">
        <v>1</v>
      </c>
      <c r="H137" s="63" t="s">
        <v>646</v>
      </c>
    </row>
    <row r="138" spans="1:8" ht="19.8" customHeight="1" x14ac:dyDescent="0.3">
      <c r="A138" s="68">
        <v>45983</v>
      </c>
      <c r="B138" s="60" t="s">
        <v>42</v>
      </c>
      <c r="C138" s="61" t="s">
        <v>565</v>
      </c>
      <c r="D138" s="60" t="s">
        <v>550</v>
      </c>
      <c r="E138" s="69">
        <v>1.8888888888888891</v>
      </c>
      <c r="F138" s="60" t="s">
        <v>49</v>
      </c>
      <c r="G138" s="62">
        <v>15</v>
      </c>
      <c r="H138" s="63" t="s">
        <v>569</v>
      </c>
    </row>
    <row r="139" spans="1:8" ht="19.8" customHeight="1" x14ac:dyDescent="0.3">
      <c r="A139" s="68">
        <v>45983</v>
      </c>
      <c r="B139" s="60" t="s">
        <v>42</v>
      </c>
      <c r="C139" s="61" t="s">
        <v>576</v>
      </c>
      <c r="D139" s="60" t="s">
        <v>550</v>
      </c>
      <c r="E139" s="69">
        <v>1.944444444444444</v>
      </c>
      <c r="F139" s="60" t="s">
        <v>49</v>
      </c>
      <c r="G139" s="62">
        <v>13</v>
      </c>
      <c r="H139" s="63" t="s">
        <v>569</v>
      </c>
    </row>
    <row r="140" spans="1:8" ht="19.8" customHeight="1" x14ac:dyDescent="0.3">
      <c r="A140" s="68">
        <v>45983</v>
      </c>
      <c r="B140" s="60" t="s">
        <v>51</v>
      </c>
      <c r="C140" s="61" t="s">
        <v>610</v>
      </c>
      <c r="D140" s="60" t="s">
        <v>550</v>
      </c>
      <c r="E140" s="69">
        <v>1.8298611111111109</v>
      </c>
      <c r="F140" s="60" t="s">
        <v>56</v>
      </c>
      <c r="G140" s="62">
        <v>1</v>
      </c>
      <c r="H140" s="63" t="s">
        <v>645</v>
      </c>
    </row>
    <row r="141" spans="1:8" ht="19.8" customHeight="1" x14ac:dyDescent="0.3">
      <c r="A141" s="68">
        <v>45983</v>
      </c>
      <c r="B141" s="60" t="s">
        <v>67</v>
      </c>
      <c r="C141" s="61" t="s">
        <v>596</v>
      </c>
      <c r="D141" s="60" t="s">
        <v>550</v>
      </c>
      <c r="E141" s="69">
        <v>1.9826388888888891</v>
      </c>
      <c r="F141" s="60" t="s">
        <v>69</v>
      </c>
      <c r="G141" s="62">
        <v>8</v>
      </c>
      <c r="H141" s="63" t="s">
        <v>626</v>
      </c>
    </row>
    <row r="142" spans="1:8" ht="19.8" customHeight="1" x14ac:dyDescent="0.3">
      <c r="A142" s="68">
        <v>45983</v>
      </c>
      <c r="B142" s="60" t="s">
        <v>51</v>
      </c>
      <c r="C142" s="61" t="s">
        <v>607</v>
      </c>
      <c r="D142" s="60" t="s">
        <v>550</v>
      </c>
      <c r="E142" s="69">
        <v>1.6284722222222221</v>
      </c>
      <c r="F142" s="60" t="s">
        <v>56</v>
      </c>
      <c r="G142" s="62">
        <v>4</v>
      </c>
      <c r="H142" s="63" t="s">
        <v>647</v>
      </c>
    </row>
    <row r="143" spans="1:8" ht="19.8" customHeight="1" x14ac:dyDescent="0.3">
      <c r="A143" s="68">
        <v>45983</v>
      </c>
      <c r="B143" s="60" t="s">
        <v>51</v>
      </c>
      <c r="C143" s="61" t="s">
        <v>604</v>
      </c>
      <c r="D143" s="60" t="s">
        <v>550</v>
      </c>
      <c r="E143" s="69">
        <v>1.8888888888888891</v>
      </c>
      <c r="F143" s="60" t="s">
        <v>56</v>
      </c>
      <c r="G143" s="62">
        <v>4</v>
      </c>
      <c r="H143" s="63" t="s">
        <v>648</v>
      </c>
    </row>
    <row r="144" spans="1:8" ht="19.8" customHeight="1" x14ac:dyDescent="0.3">
      <c r="A144" s="68">
        <v>45983</v>
      </c>
      <c r="B144" s="60" t="s">
        <v>51</v>
      </c>
      <c r="C144" s="61" t="s">
        <v>606</v>
      </c>
      <c r="D144" s="60" t="s">
        <v>550</v>
      </c>
      <c r="E144" s="69">
        <v>1.944444444444444</v>
      </c>
      <c r="F144" s="60" t="s">
        <v>56</v>
      </c>
      <c r="G144" s="62">
        <v>4</v>
      </c>
      <c r="H144" s="63" t="s">
        <v>649</v>
      </c>
    </row>
    <row r="145" spans="1:8" ht="19.8" customHeight="1" x14ac:dyDescent="0.3">
      <c r="A145" s="68">
        <v>45983</v>
      </c>
      <c r="B145" s="60" t="s">
        <v>42</v>
      </c>
      <c r="C145" s="61" t="s">
        <v>570</v>
      </c>
      <c r="D145" s="60" t="s">
        <v>550</v>
      </c>
      <c r="E145" s="69">
        <v>1.6284722222222221</v>
      </c>
      <c r="F145" s="60" t="s">
        <v>49</v>
      </c>
      <c r="G145" s="62">
        <v>17</v>
      </c>
      <c r="H145" s="63" t="s">
        <v>636</v>
      </c>
    </row>
    <row r="146" spans="1:8" ht="19.8" customHeight="1" x14ac:dyDescent="0.3">
      <c r="A146" s="68">
        <v>45983</v>
      </c>
      <c r="B146" s="60" t="s">
        <v>42</v>
      </c>
      <c r="C146" s="61" t="s">
        <v>573</v>
      </c>
      <c r="D146" s="60" t="s">
        <v>550</v>
      </c>
      <c r="E146" s="69">
        <v>1.5763888888888891</v>
      </c>
      <c r="F146" s="60" t="s">
        <v>49</v>
      </c>
      <c r="G146" s="62">
        <v>8</v>
      </c>
      <c r="H146" s="63" t="s">
        <v>636</v>
      </c>
    </row>
    <row r="147" spans="1:8" ht="19.8" customHeight="1" x14ac:dyDescent="0.3">
      <c r="A147" s="68">
        <v>45983</v>
      </c>
      <c r="B147" s="60" t="s">
        <v>67</v>
      </c>
      <c r="C147" s="61" t="s">
        <v>599</v>
      </c>
      <c r="D147" s="60" t="s">
        <v>550</v>
      </c>
      <c r="E147" s="69">
        <v>1.7326388888888891</v>
      </c>
      <c r="F147" s="60" t="s">
        <v>69</v>
      </c>
      <c r="G147" s="62">
        <v>2</v>
      </c>
      <c r="H147" s="63" t="s">
        <v>600</v>
      </c>
    </row>
    <row r="148" spans="1:8" ht="19.8" customHeight="1" x14ac:dyDescent="0.3">
      <c r="A148" s="70">
        <v>45983</v>
      </c>
      <c r="B148" s="71" t="s">
        <v>51</v>
      </c>
      <c r="C148" s="72" t="s">
        <v>611</v>
      </c>
      <c r="D148" s="71" t="s">
        <v>550</v>
      </c>
      <c r="E148" s="73">
        <v>1.6284722222222221</v>
      </c>
      <c r="F148" s="71" t="s">
        <v>56</v>
      </c>
      <c r="G148" s="74">
        <v>4</v>
      </c>
      <c r="H148" s="75" t="s">
        <v>650</v>
      </c>
    </row>
  </sheetData>
  <pageMargins left="0.75" right="0.75" top="1" bottom="1" header="0.5" footer="0.5"/>
  <legacyDrawing r:id="rId1"/>
  <tableParts count="1">
    <tablePart r:id="rId2"/>
  </tablePart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7"/>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5546875" bestFit="1" customWidth="1"/>
    <col min="7" max="7" width="20" bestFit="1" customWidth="1"/>
    <col min="8" max="8" width="23.6640625" bestFit="1" customWidth="1"/>
    <col min="9" max="9" width="184.21875" hidden="1" customWidth="1"/>
  </cols>
  <sheetData>
    <row r="1" spans="1:8" ht="18" x14ac:dyDescent="0.3">
      <c r="A1" s="56" t="s">
        <v>149</v>
      </c>
      <c r="B1" s="57" t="s">
        <v>8</v>
      </c>
      <c r="C1" s="57" t="s">
        <v>9</v>
      </c>
      <c r="D1" s="57" t="s">
        <v>150</v>
      </c>
      <c r="E1" s="57" t="s">
        <v>10</v>
      </c>
      <c r="F1" s="57" t="s">
        <v>11</v>
      </c>
      <c r="G1" s="57" t="s">
        <v>12</v>
      </c>
      <c r="H1" s="58" t="s">
        <v>13</v>
      </c>
    </row>
    <row r="2" spans="1:8" ht="19.8" customHeight="1" x14ac:dyDescent="0.3">
      <c r="A2" s="64" t="s">
        <v>151</v>
      </c>
      <c r="B2" s="65" t="s">
        <v>78</v>
      </c>
      <c r="C2" s="66" t="s">
        <v>588</v>
      </c>
      <c r="D2" s="65" t="s">
        <v>550</v>
      </c>
      <c r="E2" s="65" t="s">
        <v>652</v>
      </c>
      <c r="F2" s="65" t="s">
        <v>98</v>
      </c>
      <c r="G2" s="84">
        <v>9</v>
      </c>
      <c r="H2" s="67" t="s">
        <v>589</v>
      </c>
    </row>
    <row r="3" spans="1:8" ht="19.8" customHeight="1" x14ac:dyDescent="0.3">
      <c r="A3" s="76">
        <v>45982</v>
      </c>
      <c r="B3" s="77" t="s">
        <v>78</v>
      </c>
      <c r="C3" s="78" t="s">
        <v>621</v>
      </c>
      <c r="D3" s="77" t="s">
        <v>550</v>
      </c>
      <c r="E3" s="79">
        <v>1.725694444444444</v>
      </c>
      <c r="F3" s="77" t="s">
        <v>98</v>
      </c>
      <c r="G3" s="80">
        <v>9</v>
      </c>
      <c r="H3" s="81" t="s">
        <v>462</v>
      </c>
    </row>
    <row r="4" spans="1:8" ht="19.8" customHeight="1" x14ac:dyDescent="0.3">
      <c r="A4" s="76">
        <v>45982</v>
      </c>
      <c r="B4" s="77" t="s">
        <v>78</v>
      </c>
      <c r="C4" s="78" t="s">
        <v>588</v>
      </c>
      <c r="D4" s="77" t="s">
        <v>550</v>
      </c>
      <c r="E4" s="79">
        <v>1.40625</v>
      </c>
      <c r="F4" s="77" t="s">
        <v>98</v>
      </c>
      <c r="G4" s="80">
        <v>9</v>
      </c>
      <c r="H4" s="81" t="s">
        <v>462</v>
      </c>
    </row>
    <row r="5" spans="1:8" ht="19.8" customHeight="1" x14ac:dyDescent="0.3">
      <c r="A5" s="68">
        <v>45982</v>
      </c>
      <c r="B5" s="60" t="s">
        <v>42</v>
      </c>
      <c r="C5" s="61" t="s">
        <v>570</v>
      </c>
      <c r="D5" s="60" t="s">
        <v>550</v>
      </c>
      <c r="E5" s="69">
        <v>1.6284722222222221</v>
      </c>
      <c r="F5" s="60" t="s">
        <v>47</v>
      </c>
      <c r="G5" s="62">
        <v>41</v>
      </c>
      <c r="H5" s="63" t="s">
        <v>462</v>
      </c>
    </row>
    <row r="6" spans="1:8" ht="19.8" customHeight="1" x14ac:dyDescent="0.3">
      <c r="A6" s="70">
        <v>45982</v>
      </c>
      <c r="B6" s="71" t="s">
        <v>42</v>
      </c>
      <c r="C6" s="72" t="s">
        <v>573</v>
      </c>
      <c r="D6" s="71" t="s">
        <v>550</v>
      </c>
      <c r="E6" s="73">
        <v>1.5763888888888891</v>
      </c>
      <c r="F6" s="71" t="s">
        <v>47</v>
      </c>
      <c r="G6" s="74">
        <v>25</v>
      </c>
      <c r="H6" s="75" t="s">
        <v>462</v>
      </c>
    </row>
    <row r="7" spans="1:8" ht="19.8" customHeight="1" x14ac:dyDescent="0.3">
      <c r="A7" s="82">
        <v>45983</v>
      </c>
      <c r="B7" s="65" t="s">
        <v>78</v>
      </c>
      <c r="C7" s="66" t="s">
        <v>588</v>
      </c>
      <c r="D7" s="65" t="s">
        <v>550</v>
      </c>
      <c r="E7" s="83">
        <v>1.413194444444444</v>
      </c>
      <c r="F7" s="65" t="s">
        <v>98</v>
      </c>
      <c r="G7" s="84">
        <v>6</v>
      </c>
      <c r="H7" s="67" t="s">
        <v>637</v>
      </c>
    </row>
  </sheetData>
  <pageMargins left="0.75" right="0.75" top="1" bottom="1" header="0.5" footer="0.5"/>
  <legacyDrawing r:id="rId1"/>
  <tableParts count="1">
    <tablePart r:id="rId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N36"/>
  <sheetViews>
    <sheetView workbookViewId="0"/>
  </sheetViews>
  <sheetFormatPr defaultRowHeight="14.4" x14ac:dyDescent="0.3"/>
  <cols>
    <col min="1" max="1" width="15.77734375" bestFit="1" customWidth="1"/>
    <col min="2" max="2" width="15.6640625" bestFit="1" customWidth="1"/>
    <col min="3" max="3" width="14.77734375" bestFit="1" customWidth="1"/>
    <col min="4" max="4" width="31.77734375" bestFit="1" customWidth="1"/>
    <col min="5" max="5" width="20.109375" bestFit="1" customWidth="1"/>
    <col min="6" max="6" width="23.44140625" bestFit="1" customWidth="1"/>
    <col min="7" max="7" width="49.109375" bestFit="1" customWidth="1"/>
    <col min="8" max="8" width="9.44140625" bestFit="1" customWidth="1"/>
    <col min="9" max="9" width="6.109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6.109375" bestFit="1" customWidth="1"/>
    <col min="17" max="17" width="12.21875" bestFit="1" customWidth="1"/>
    <col min="18" max="18" width="10.77734375" bestFit="1" customWidth="1"/>
  </cols>
  <sheetData>
    <row r="1" spans="1:92" ht="28.8" customHeight="1" x14ac:dyDescent="0.3">
      <c r="A1" s="261" t="s">
        <v>0</v>
      </c>
      <c r="B1" s="251"/>
      <c r="C1" s="251"/>
      <c r="D1" s="251"/>
      <c r="E1" s="251"/>
      <c r="F1" s="1" t="s">
        <v>672</v>
      </c>
      <c r="G1" s="2" t="s">
        <v>2</v>
      </c>
      <c r="H1" s="260">
        <v>45981</v>
      </c>
      <c r="I1" s="251"/>
      <c r="J1" s="251"/>
      <c r="K1" s="251"/>
      <c r="L1" s="251"/>
      <c r="M1" s="1" t="s">
        <v>3</v>
      </c>
      <c r="N1" s="266">
        <v>45983</v>
      </c>
      <c r="O1" s="251"/>
      <c r="P1" s="251"/>
      <c r="Q1" s="251"/>
      <c r="R1" s="251"/>
      <c r="CA1" s="3"/>
      <c r="CB1" s="3"/>
      <c r="CC1" s="3"/>
      <c r="CD1" s="3"/>
      <c r="CE1" s="3"/>
      <c r="CF1" s="3"/>
      <c r="CG1" s="3"/>
      <c r="CH1" s="3"/>
      <c r="CI1" s="3"/>
      <c r="CJ1" s="3"/>
      <c r="CK1" s="3"/>
      <c r="CL1" s="3"/>
      <c r="CM1" s="3"/>
      <c r="CN1" s="3"/>
    </row>
    <row r="2" spans="1:92" ht="23.4" customHeight="1" x14ac:dyDescent="0.3">
      <c r="A2" s="250" t="s">
        <v>4</v>
      </c>
      <c r="B2" s="251"/>
      <c r="C2" s="251"/>
      <c r="D2" s="251"/>
      <c r="E2" s="251"/>
      <c r="F2" s="251"/>
      <c r="G2" s="262">
        <v>45980.493089093601</v>
      </c>
      <c r="H2" s="251"/>
      <c r="I2" s="251"/>
      <c r="J2" s="251"/>
      <c r="K2" s="263">
        <v>45980.493089093907</v>
      </c>
      <c r="L2" s="251"/>
      <c r="M2" s="251"/>
      <c r="N2" s="251"/>
      <c r="O2" s="251"/>
      <c r="P2" s="251"/>
      <c r="Q2" s="251"/>
      <c r="R2" s="251"/>
      <c r="CA2" s="3"/>
      <c r="CB2" s="3"/>
      <c r="CC2" s="3"/>
      <c r="CD2" s="3"/>
      <c r="CE2" s="3"/>
      <c r="CF2" s="3"/>
      <c r="CG2" s="3"/>
      <c r="CH2" s="3"/>
      <c r="CI2" s="3"/>
      <c r="CJ2" s="3"/>
      <c r="CK2" s="3"/>
      <c r="CL2" s="3"/>
      <c r="CM2" s="3"/>
      <c r="CN2" s="3"/>
    </row>
    <row r="3" spans="1:92" ht="24" customHeight="1" x14ac:dyDescent="0.3">
      <c r="A3" s="252" t="s">
        <v>5</v>
      </c>
      <c r="B3" s="251"/>
      <c r="C3" s="251"/>
      <c r="D3" s="251"/>
      <c r="E3" s="251"/>
      <c r="F3" s="251"/>
      <c r="G3" s="251"/>
      <c r="H3" s="251"/>
      <c r="I3" s="251"/>
      <c r="J3" s="251"/>
      <c r="K3" s="251"/>
      <c r="L3" s="251"/>
      <c r="M3" s="251"/>
      <c r="N3" s="251"/>
      <c r="O3" s="251"/>
      <c r="P3" s="251"/>
      <c r="Q3" s="251"/>
      <c r="R3" s="251"/>
      <c r="CA3" s="3"/>
      <c r="CB3" s="3"/>
      <c r="CC3" s="3"/>
      <c r="CD3" s="3"/>
      <c r="CE3" s="3"/>
      <c r="CF3" s="3"/>
      <c r="CG3" s="3"/>
      <c r="CH3" s="3"/>
      <c r="CI3" s="3"/>
      <c r="CJ3" s="3"/>
      <c r="CK3" s="3"/>
      <c r="CL3" s="3"/>
      <c r="CM3" s="3"/>
      <c r="CN3" s="3"/>
    </row>
    <row r="4" spans="1:92" ht="22.05" customHeight="1" x14ac:dyDescent="0.3">
      <c r="A4" s="264" t="s">
        <v>6</v>
      </c>
      <c r="B4" s="254"/>
      <c r="C4" s="254"/>
      <c r="D4" s="254"/>
      <c r="E4" s="254"/>
      <c r="F4" s="255"/>
      <c r="G4" s="4">
        <v>45981</v>
      </c>
      <c r="H4" s="265" t="s">
        <v>7</v>
      </c>
      <c r="I4" s="254"/>
      <c r="J4" s="254"/>
      <c r="K4" s="254"/>
      <c r="L4" s="254"/>
      <c r="M4" s="254"/>
      <c r="N4" s="254"/>
      <c r="O4" s="254"/>
      <c r="P4" s="254"/>
      <c r="Q4" s="254"/>
      <c r="R4" s="25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673</v>
      </c>
      <c r="C6" s="9">
        <v>0.3611111111111111</v>
      </c>
      <c r="D6" s="8" t="s">
        <v>674</v>
      </c>
      <c r="E6" s="8" t="s">
        <v>29</v>
      </c>
      <c r="F6" s="8" t="s">
        <v>675</v>
      </c>
      <c r="G6" s="256"/>
      <c r="H6" s="10"/>
      <c r="I6" s="11"/>
      <c r="J6" s="11"/>
      <c r="K6" s="11"/>
      <c r="L6" s="11"/>
      <c r="M6" s="11"/>
      <c r="N6" s="11"/>
      <c r="O6" s="12"/>
      <c r="P6" s="11"/>
      <c r="Q6" s="13"/>
      <c r="R6" s="14"/>
    </row>
    <row r="7" spans="1:92" ht="15" customHeight="1" x14ac:dyDescent="0.3">
      <c r="A7" s="15" t="s">
        <v>26</v>
      </c>
      <c r="B7" s="15" t="s">
        <v>673</v>
      </c>
      <c r="C7" s="16">
        <v>0.3611111111111111</v>
      </c>
      <c r="D7" s="15" t="s">
        <v>31</v>
      </c>
      <c r="E7" s="15" t="s">
        <v>32</v>
      </c>
      <c r="F7" s="15" t="s">
        <v>676</v>
      </c>
      <c r="G7" s="257"/>
      <c r="H7" s="10"/>
      <c r="I7" s="11"/>
      <c r="J7" s="11"/>
      <c r="K7" s="11"/>
      <c r="L7" s="11"/>
      <c r="M7" s="11"/>
      <c r="N7" s="11"/>
      <c r="O7" s="12"/>
      <c r="P7" s="11"/>
      <c r="Q7" s="13"/>
      <c r="R7" s="14"/>
    </row>
    <row r="8" spans="1:92" ht="15" customHeight="1" x14ac:dyDescent="0.3">
      <c r="A8" s="15" t="s">
        <v>26</v>
      </c>
      <c r="B8" s="15" t="s">
        <v>673</v>
      </c>
      <c r="C8" s="16">
        <v>0.3611111111111111</v>
      </c>
      <c r="D8" s="15" t="s">
        <v>34</v>
      </c>
      <c r="E8" s="15" t="s">
        <v>32</v>
      </c>
      <c r="F8" s="15" t="s">
        <v>677</v>
      </c>
      <c r="G8" s="257"/>
      <c r="H8" s="10"/>
      <c r="I8" s="11"/>
      <c r="J8" s="11"/>
      <c r="K8" s="11"/>
      <c r="L8" s="11"/>
      <c r="M8" s="11"/>
      <c r="N8" s="11"/>
      <c r="O8" s="12"/>
      <c r="P8" s="11"/>
      <c r="Q8" s="13"/>
      <c r="R8" s="14"/>
    </row>
    <row r="9" spans="1:92" ht="18" x14ac:dyDescent="0.3">
      <c r="A9" s="267" t="s">
        <v>678</v>
      </c>
      <c r="B9" s="268"/>
      <c r="C9" s="268"/>
      <c r="D9" s="268"/>
      <c r="E9" s="268"/>
      <c r="F9" s="269"/>
      <c r="G9" s="257"/>
      <c r="H9" s="94"/>
      <c r="I9" s="94"/>
      <c r="J9" s="94"/>
      <c r="K9" s="94"/>
      <c r="L9" s="94"/>
      <c r="M9" s="94"/>
      <c r="N9" s="94"/>
      <c r="O9" s="95"/>
      <c r="P9" s="94"/>
      <c r="Q9" s="55"/>
      <c r="R9" s="55"/>
    </row>
    <row r="10" spans="1:92" ht="15" customHeight="1" x14ac:dyDescent="0.3">
      <c r="A10" s="17" t="s">
        <v>26</v>
      </c>
      <c r="B10" s="17" t="s">
        <v>551</v>
      </c>
      <c r="C10" s="18" t="s">
        <v>665</v>
      </c>
      <c r="D10" s="17" t="s">
        <v>28</v>
      </c>
      <c r="E10" s="17" t="s">
        <v>169</v>
      </c>
      <c r="F10" s="17" t="s">
        <v>552</v>
      </c>
      <c r="G10" s="257"/>
      <c r="H10" s="94"/>
      <c r="I10" s="94"/>
      <c r="J10" s="94"/>
      <c r="K10" s="94"/>
      <c r="L10" s="94"/>
      <c r="M10" s="94"/>
      <c r="N10" s="94"/>
      <c r="O10" s="95"/>
      <c r="P10" s="94"/>
      <c r="Q10" s="55"/>
      <c r="R10" s="55"/>
    </row>
    <row r="11" spans="1:92" ht="15" customHeight="1" x14ac:dyDescent="0.3">
      <c r="A11" s="17" t="s">
        <v>42</v>
      </c>
      <c r="B11" s="17" t="s">
        <v>565</v>
      </c>
      <c r="C11" s="18" t="s">
        <v>418</v>
      </c>
      <c r="D11" s="17" t="s">
        <v>44</v>
      </c>
      <c r="E11" s="17" t="s">
        <v>679</v>
      </c>
      <c r="F11" s="17" t="s">
        <v>567</v>
      </c>
      <c r="G11" s="257"/>
      <c r="H11" s="94"/>
      <c r="I11" s="94"/>
      <c r="J11" s="94"/>
      <c r="K11" s="94"/>
      <c r="L11" s="94"/>
      <c r="M11" s="94"/>
      <c r="N11" s="94"/>
      <c r="O11" s="95"/>
      <c r="P11" s="94"/>
      <c r="Q11" s="55"/>
      <c r="R11" s="55"/>
    </row>
    <row r="12" spans="1:92" ht="15" customHeight="1" x14ac:dyDescent="0.3">
      <c r="A12" s="17" t="s">
        <v>42</v>
      </c>
      <c r="B12" s="17" t="s">
        <v>570</v>
      </c>
      <c r="C12" s="18" t="s">
        <v>666</v>
      </c>
      <c r="D12" s="17" t="s">
        <v>44</v>
      </c>
      <c r="E12" s="17" t="s">
        <v>680</v>
      </c>
      <c r="F12" s="17" t="s">
        <v>567</v>
      </c>
      <c r="G12" s="257"/>
      <c r="H12" s="94"/>
      <c r="I12" s="94"/>
      <c r="J12" s="94"/>
      <c r="K12" s="94"/>
      <c r="L12" s="94"/>
      <c r="M12" s="94"/>
      <c r="N12" s="94"/>
      <c r="O12" s="95"/>
      <c r="P12" s="94"/>
      <c r="Q12" s="55"/>
      <c r="R12" s="55"/>
    </row>
    <row r="13" spans="1:92" ht="15" customHeight="1" x14ac:dyDescent="0.3">
      <c r="A13" s="17" t="s">
        <v>42</v>
      </c>
      <c r="B13" s="17" t="s">
        <v>573</v>
      </c>
      <c r="C13" s="18" t="s">
        <v>667</v>
      </c>
      <c r="D13" s="17" t="s">
        <v>44</v>
      </c>
      <c r="E13" s="17" t="s">
        <v>681</v>
      </c>
      <c r="F13" s="17" t="s">
        <v>567</v>
      </c>
      <c r="G13" s="257"/>
      <c r="H13" s="94"/>
      <c r="I13" s="94"/>
      <c r="J13" s="94"/>
      <c r="K13" s="94"/>
      <c r="L13" s="94"/>
      <c r="M13" s="94"/>
      <c r="N13" s="94"/>
      <c r="O13" s="95"/>
      <c r="P13" s="94"/>
      <c r="Q13" s="55"/>
      <c r="R13" s="55"/>
    </row>
    <row r="14" spans="1:92" ht="15" customHeight="1" x14ac:dyDescent="0.3">
      <c r="A14" s="17" t="s">
        <v>42</v>
      </c>
      <c r="B14" s="17" t="s">
        <v>576</v>
      </c>
      <c r="C14" s="18" t="s">
        <v>419</v>
      </c>
      <c r="D14" s="17" t="s">
        <v>44</v>
      </c>
      <c r="E14" s="17" t="s">
        <v>682</v>
      </c>
      <c r="F14" s="17" t="s">
        <v>567</v>
      </c>
      <c r="G14" s="257"/>
      <c r="H14" s="94"/>
      <c r="I14" s="94"/>
      <c r="J14" s="94"/>
      <c r="K14" s="94"/>
      <c r="L14" s="94"/>
      <c r="M14" s="94"/>
      <c r="N14" s="94"/>
      <c r="O14" s="95"/>
      <c r="P14" s="94"/>
      <c r="Q14" s="55"/>
      <c r="R14" s="55"/>
    </row>
    <row r="15" spans="1:92" ht="15" customHeight="1" x14ac:dyDescent="0.3">
      <c r="A15" s="17" t="s">
        <v>26</v>
      </c>
      <c r="B15" s="17" t="s">
        <v>555</v>
      </c>
      <c r="C15" s="18" t="s">
        <v>202</v>
      </c>
      <c r="D15" s="17" t="s">
        <v>28</v>
      </c>
      <c r="E15" s="17" t="s">
        <v>169</v>
      </c>
      <c r="F15" s="17" t="s">
        <v>556</v>
      </c>
      <c r="G15" s="257"/>
      <c r="H15" s="94"/>
      <c r="I15" s="94"/>
      <c r="J15" s="94"/>
      <c r="K15" s="94"/>
      <c r="L15" s="94"/>
      <c r="M15" s="94"/>
      <c r="N15" s="94"/>
      <c r="O15" s="95"/>
      <c r="P15" s="94"/>
      <c r="Q15" s="55"/>
      <c r="R15" s="55"/>
    </row>
    <row r="16" spans="1:92" ht="15" customHeight="1" x14ac:dyDescent="0.3">
      <c r="A16" s="17" t="s">
        <v>26</v>
      </c>
      <c r="B16" s="17" t="s">
        <v>558</v>
      </c>
      <c r="C16" s="18" t="s">
        <v>668</v>
      </c>
      <c r="D16" s="17" t="s">
        <v>28</v>
      </c>
      <c r="E16" s="17" t="s">
        <v>169</v>
      </c>
      <c r="F16" s="17" t="s">
        <v>556</v>
      </c>
      <c r="G16" s="257"/>
      <c r="H16" s="94"/>
      <c r="I16" s="94"/>
      <c r="J16" s="94"/>
      <c r="K16" s="94"/>
      <c r="L16" s="94"/>
      <c r="M16" s="94"/>
      <c r="N16" s="94"/>
      <c r="O16" s="95"/>
      <c r="P16" s="94"/>
      <c r="Q16" s="55"/>
      <c r="R16" s="55"/>
    </row>
    <row r="17" spans="1:18" ht="15" customHeight="1" x14ac:dyDescent="0.3">
      <c r="A17" s="17" t="s">
        <v>26</v>
      </c>
      <c r="B17" s="17" t="s">
        <v>559</v>
      </c>
      <c r="C17" s="18" t="s">
        <v>498</v>
      </c>
      <c r="D17" s="17" t="s">
        <v>28</v>
      </c>
      <c r="E17" s="17" t="s">
        <v>169</v>
      </c>
      <c r="F17" s="17" t="s">
        <v>556</v>
      </c>
      <c r="G17" s="257"/>
      <c r="H17" s="94"/>
      <c r="I17" s="94"/>
      <c r="J17" s="94"/>
      <c r="K17" s="94"/>
      <c r="L17" s="94"/>
      <c r="M17" s="94"/>
      <c r="N17" s="94"/>
      <c r="O17" s="95"/>
      <c r="P17" s="94"/>
      <c r="Q17" s="55"/>
      <c r="R17" s="55"/>
    </row>
    <row r="18" spans="1:18" ht="15" customHeight="1" x14ac:dyDescent="0.3">
      <c r="A18" s="17" t="s">
        <v>26</v>
      </c>
      <c r="B18" s="17" t="s">
        <v>560</v>
      </c>
      <c r="C18" s="18" t="s">
        <v>391</v>
      </c>
      <c r="D18" s="17" t="s">
        <v>28</v>
      </c>
      <c r="E18" s="17" t="s">
        <v>444</v>
      </c>
      <c r="F18" s="17" t="s">
        <v>556</v>
      </c>
      <c r="G18" s="257"/>
      <c r="H18" s="94"/>
      <c r="I18" s="94"/>
      <c r="J18" s="94"/>
      <c r="K18" s="94"/>
      <c r="L18" s="94"/>
      <c r="M18" s="94"/>
      <c r="N18" s="94"/>
      <c r="O18" s="95"/>
      <c r="P18" s="94"/>
      <c r="Q18" s="55"/>
      <c r="R18" s="55"/>
    </row>
    <row r="19" spans="1:18" ht="15" customHeight="1" thickBot="1" x14ac:dyDescent="0.35">
      <c r="A19" s="39" t="s">
        <v>235</v>
      </c>
      <c r="B19" s="39" t="s">
        <v>579</v>
      </c>
      <c r="C19" s="40" t="s">
        <v>192</v>
      </c>
      <c r="D19" s="39" t="s">
        <v>98</v>
      </c>
      <c r="E19" s="39" t="s">
        <v>189</v>
      </c>
      <c r="F19" s="39" t="s">
        <v>580</v>
      </c>
      <c r="G19" s="258"/>
      <c r="H19" s="96"/>
      <c r="I19" s="96"/>
      <c r="J19" s="96"/>
      <c r="K19" s="96"/>
      <c r="L19" s="96"/>
      <c r="M19" s="96"/>
      <c r="N19" s="96"/>
      <c r="O19" s="97"/>
      <c r="P19" s="96"/>
      <c r="Q19" s="98"/>
      <c r="R19" s="98"/>
    </row>
    <row r="20" spans="1:18" ht="17.399999999999999" customHeight="1" thickBot="1" x14ac:dyDescent="0.35">
      <c r="A20" s="285"/>
      <c r="B20" s="286"/>
      <c r="C20" s="286"/>
      <c r="D20" s="286"/>
      <c r="E20" s="286"/>
      <c r="F20" s="286"/>
      <c r="G20" s="286"/>
      <c r="H20" s="286"/>
      <c r="I20" s="286"/>
      <c r="J20" s="286"/>
      <c r="K20" s="286"/>
      <c r="L20" s="286"/>
      <c r="M20" s="286"/>
      <c r="N20" s="286"/>
      <c r="O20" s="286"/>
      <c r="P20" s="286"/>
      <c r="Q20" s="286"/>
      <c r="R20" s="287"/>
    </row>
    <row r="21" spans="1:18" ht="22.05" customHeight="1" thickTop="1" thickBot="1" x14ac:dyDescent="0.35">
      <c r="A21" s="259" t="s">
        <v>6</v>
      </c>
      <c r="B21" s="254"/>
      <c r="C21" s="254"/>
      <c r="D21" s="254"/>
      <c r="E21" s="254"/>
      <c r="F21" s="255"/>
      <c r="G21" s="31">
        <v>45983</v>
      </c>
      <c r="H21" s="253" t="s">
        <v>7</v>
      </c>
      <c r="I21" s="254"/>
      <c r="J21" s="254"/>
      <c r="K21" s="254"/>
      <c r="L21" s="254"/>
      <c r="M21" s="254"/>
      <c r="N21" s="254"/>
      <c r="O21" s="254"/>
      <c r="P21" s="254"/>
      <c r="Q21" s="254"/>
      <c r="R21" s="255"/>
    </row>
    <row r="22" spans="1:18" ht="24" customHeight="1" x14ac:dyDescent="0.3">
      <c r="A22" s="32" t="s">
        <v>8</v>
      </c>
      <c r="B22" s="32" t="s">
        <v>9</v>
      </c>
      <c r="C22" s="33" t="s">
        <v>10</v>
      </c>
      <c r="D22" s="32" t="s">
        <v>11</v>
      </c>
      <c r="E22" s="32" t="s">
        <v>12</v>
      </c>
      <c r="F22" s="34" t="s">
        <v>13</v>
      </c>
      <c r="G22" s="35" t="s">
        <v>14</v>
      </c>
      <c r="H22" s="32" t="s">
        <v>15</v>
      </c>
      <c r="I22" s="36" t="s">
        <v>16</v>
      </c>
      <c r="J22" s="37" t="s">
        <v>17</v>
      </c>
      <c r="K22" s="38" t="s">
        <v>18</v>
      </c>
      <c r="L22" s="37" t="s">
        <v>19</v>
      </c>
      <c r="M22" s="37" t="s">
        <v>20</v>
      </c>
      <c r="N22" s="37" t="s">
        <v>21</v>
      </c>
      <c r="O22" s="32" t="s">
        <v>22</v>
      </c>
      <c r="P22" s="33" t="s">
        <v>23</v>
      </c>
      <c r="Q22" s="37" t="s">
        <v>24</v>
      </c>
      <c r="R22" s="32" t="s">
        <v>25</v>
      </c>
    </row>
    <row r="23" spans="1:18" ht="15" customHeight="1" x14ac:dyDescent="0.3">
      <c r="A23" s="8" t="s">
        <v>26</v>
      </c>
      <c r="B23" s="8" t="s">
        <v>673</v>
      </c>
      <c r="C23" s="9">
        <v>0.3611111111111111</v>
      </c>
      <c r="D23" s="8" t="s">
        <v>674</v>
      </c>
      <c r="E23" s="8" t="s">
        <v>29</v>
      </c>
      <c r="F23" s="8" t="s">
        <v>305</v>
      </c>
      <c r="G23" s="256"/>
      <c r="H23" s="10"/>
      <c r="I23" s="11"/>
      <c r="J23" s="11"/>
      <c r="K23" s="11"/>
      <c r="L23" s="11"/>
      <c r="M23" s="11"/>
      <c r="N23" s="11"/>
      <c r="O23" s="12"/>
      <c r="P23" s="11"/>
      <c r="Q23" s="13"/>
      <c r="R23" s="14"/>
    </row>
    <row r="24" spans="1:18" ht="15" customHeight="1" x14ac:dyDescent="0.3">
      <c r="A24" s="15" t="s">
        <v>26</v>
      </c>
      <c r="B24" s="15" t="s">
        <v>673</v>
      </c>
      <c r="C24" s="16">
        <v>0.3611111111111111</v>
      </c>
      <c r="D24" s="15" t="s">
        <v>31</v>
      </c>
      <c r="E24" s="15" t="s">
        <v>32</v>
      </c>
      <c r="F24" s="15" t="s">
        <v>683</v>
      </c>
      <c r="G24" s="257"/>
      <c r="H24" s="10"/>
      <c r="I24" s="11"/>
      <c r="J24" s="11"/>
      <c r="K24" s="11"/>
      <c r="L24" s="11"/>
      <c r="M24" s="11"/>
      <c r="N24" s="11"/>
      <c r="O24" s="12"/>
      <c r="P24" s="11"/>
      <c r="Q24" s="13"/>
      <c r="R24" s="14"/>
    </row>
    <row r="25" spans="1:18" ht="15" customHeight="1" x14ac:dyDescent="0.3">
      <c r="A25" s="15" t="s">
        <v>26</v>
      </c>
      <c r="B25" s="15" t="s">
        <v>673</v>
      </c>
      <c r="C25" s="16">
        <v>0.3611111111111111</v>
      </c>
      <c r="D25" s="15" t="s">
        <v>34</v>
      </c>
      <c r="E25" s="15" t="s">
        <v>32</v>
      </c>
      <c r="F25" s="15" t="s">
        <v>684</v>
      </c>
      <c r="G25" s="257"/>
      <c r="H25" s="10"/>
      <c r="I25" s="11"/>
      <c r="J25" s="11"/>
      <c r="K25" s="11"/>
      <c r="L25" s="11"/>
      <c r="M25" s="11"/>
      <c r="N25" s="11"/>
      <c r="O25" s="12"/>
      <c r="P25" s="11"/>
      <c r="Q25" s="13"/>
      <c r="R25" s="14"/>
    </row>
    <row r="26" spans="1:18" ht="18" x14ac:dyDescent="0.3">
      <c r="A26" s="267" t="s">
        <v>678</v>
      </c>
      <c r="B26" s="268"/>
      <c r="C26" s="268"/>
      <c r="D26" s="268"/>
      <c r="E26" s="268"/>
      <c r="F26" s="269"/>
      <c r="G26" s="257"/>
      <c r="H26" s="94"/>
      <c r="I26" s="94"/>
      <c r="J26" s="94"/>
      <c r="K26" s="94"/>
      <c r="L26" s="94"/>
      <c r="M26" s="94"/>
      <c r="N26" s="94"/>
      <c r="O26" s="95"/>
      <c r="P26" s="94"/>
      <c r="Q26" s="55"/>
      <c r="R26" s="55"/>
    </row>
    <row r="27" spans="1:18" ht="15" customHeight="1" x14ac:dyDescent="0.3">
      <c r="A27" s="17" t="s">
        <v>26</v>
      </c>
      <c r="B27" s="17" t="s">
        <v>561</v>
      </c>
      <c r="C27" s="18" t="s">
        <v>387</v>
      </c>
      <c r="D27" s="17" t="s">
        <v>28</v>
      </c>
      <c r="E27" s="17" t="s">
        <v>169</v>
      </c>
      <c r="F27" s="17" t="s">
        <v>628</v>
      </c>
      <c r="G27" s="257"/>
      <c r="H27" s="94"/>
      <c r="I27" s="94"/>
      <c r="J27" s="94"/>
      <c r="K27" s="94"/>
      <c r="L27" s="94"/>
      <c r="M27" s="94"/>
      <c r="N27" s="94"/>
      <c r="O27" s="95"/>
      <c r="P27" s="94"/>
      <c r="Q27" s="55"/>
      <c r="R27" s="55"/>
    </row>
    <row r="28" spans="1:18" ht="15" customHeight="1" x14ac:dyDescent="0.3">
      <c r="A28" s="17" t="s">
        <v>26</v>
      </c>
      <c r="B28" s="17" t="s">
        <v>564</v>
      </c>
      <c r="C28" s="18" t="s">
        <v>671</v>
      </c>
      <c r="D28" s="17" t="s">
        <v>28</v>
      </c>
      <c r="E28" s="17" t="s">
        <v>169</v>
      </c>
      <c r="F28" s="17" t="s">
        <v>628</v>
      </c>
      <c r="G28" s="257"/>
      <c r="H28" s="94"/>
      <c r="I28" s="94"/>
      <c r="J28" s="94"/>
      <c r="K28" s="94"/>
      <c r="L28" s="94"/>
      <c r="M28" s="94"/>
      <c r="N28" s="94"/>
      <c r="O28" s="95"/>
      <c r="P28" s="94"/>
      <c r="Q28" s="55"/>
      <c r="R28" s="55"/>
    </row>
    <row r="29" spans="1:18" ht="15" customHeight="1" x14ac:dyDescent="0.3">
      <c r="A29" s="17" t="s">
        <v>42</v>
      </c>
      <c r="B29" s="17" t="s">
        <v>570</v>
      </c>
      <c r="C29" s="18" t="s">
        <v>666</v>
      </c>
      <c r="D29" s="17" t="s">
        <v>44</v>
      </c>
      <c r="E29" s="17" t="s">
        <v>685</v>
      </c>
      <c r="F29" s="17" t="s">
        <v>634</v>
      </c>
      <c r="G29" s="257"/>
      <c r="H29" s="94"/>
      <c r="I29" s="94"/>
      <c r="J29" s="94"/>
      <c r="K29" s="94"/>
      <c r="L29" s="94"/>
      <c r="M29" s="94"/>
      <c r="N29" s="94"/>
      <c r="O29" s="95"/>
      <c r="P29" s="94"/>
      <c r="Q29" s="55"/>
      <c r="R29" s="55"/>
    </row>
    <row r="30" spans="1:18" ht="15" customHeight="1" x14ac:dyDescent="0.3">
      <c r="A30" s="17" t="s">
        <v>42</v>
      </c>
      <c r="B30" s="17" t="s">
        <v>573</v>
      </c>
      <c r="C30" s="18" t="s">
        <v>667</v>
      </c>
      <c r="D30" s="17" t="s">
        <v>44</v>
      </c>
      <c r="E30" s="17" t="s">
        <v>482</v>
      </c>
      <c r="F30" s="17" t="s">
        <v>634</v>
      </c>
      <c r="G30" s="257"/>
      <c r="H30" s="94"/>
      <c r="I30" s="94"/>
      <c r="J30" s="94"/>
      <c r="K30" s="94"/>
      <c r="L30" s="94"/>
      <c r="M30" s="94"/>
      <c r="N30" s="94"/>
      <c r="O30" s="95"/>
      <c r="P30" s="94"/>
      <c r="Q30" s="55"/>
      <c r="R30" s="55"/>
    </row>
    <row r="31" spans="1:18" ht="15" customHeight="1" x14ac:dyDescent="0.3">
      <c r="A31" s="17" t="s">
        <v>42</v>
      </c>
      <c r="B31" s="17" t="s">
        <v>565</v>
      </c>
      <c r="C31" s="18" t="s">
        <v>418</v>
      </c>
      <c r="D31" s="17" t="s">
        <v>44</v>
      </c>
      <c r="E31" s="17" t="s">
        <v>443</v>
      </c>
      <c r="F31" s="17" t="s">
        <v>563</v>
      </c>
      <c r="G31" s="257"/>
      <c r="H31" s="94"/>
      <c r="I31" s="94"/>
      <c r="J31" s="94"/>
      <c r="K31" s="94"/>
      <c r="L31" s="94"/>
      <c r="M31" s="94"/>
      <c r="N31" s="94"/>
      <c r="O31" s="95"/>
      <c r="P31" s="94"/>
      <c r="Q31" s="55"/>
      <c r="R31" s="55"/>
    </row>
    <row r="32" spans="1:18" ht="15" customHeight="1" x14ac:dyDescent="0.3">
      <c r="A32" s="17" t="s">
        <v>26</v>
      </c>
      <c r="B32" s="17" t="s">
        <v>558</v>
      </c>
      <c r="C32" s="18" t="s">
        <v>668</v>
      </c>
      <c r="D32" s="17" t="s">
        <v>28</v>
      </c>
      <c r="E32" s="17" t="s">
        <v>169</v>
      </c>
      <c r="F32" s="17" t="s">
        <v>563</v>
      </c>
      <c r="G32" s="257"/>
      <c r="H32" s="94"/>
      <c r="I32" s="94"/>
      <c r="J32" s="94"/>
      <c r="K32" s="94"/>
      <c r="L32" s="94"/>
      <c r="M32" s="94"/>
      <c r="N32" s="94"/>
      <c r="O32" s="95"/>
      <c r="P32" s="94"/>
      <c r="Q32" s="55"/>
      <c r="R32" s="55"/>
    </row>
    <row r="33" spans="1:18" ht="15" customHeight="1" x14ac:dyDescent="0.3">
      <c r="A33" s="17" t="s">
        <v>26</v>
      </c>
      <c r="B33" s="17" t="s">
        <v>560</v>
      </c>
      <c r="C33" s="18" t="s">
        <v>391</v>
      </c>
      <c r="D33" s="17" t="s">
        <v>28</v>
      </c>
      <c r="E33" s="17" t="s">
        <v>169</v>
      </c>
      <c r="F33" s="17" t="s">
        <v>563</v>
      </c>
      <c r="G33" s="257"/>
      <c r="H33" s="94"/>
      <c r="I33" s="94"/>
      <c r="J33" s="94"/>
      <c r="K33" s="94"/>
      <c r="L33" s="94"/>
      <c r="M33" s="94"/>
      <c r="N33" s="94"/>
      <c r="O33" s="95"/>
      <c r="P33" s="94"/>
      <c r="Q33" s="55"/>
      <c r="R33" s="55"/>
    </row>
    <row r="34" spans="1:18" ht="15" customHeight="1" x14ac:dyDescent="0.3">
      <c r="A34" s="17" t="s">
        <v>328</v>
      </c>
      <c r="B34" s="17" t="s">
        <v>584</v>
      </c>
      <c r="C34" s="18" t="s">
        <v>483</v>
      </c>
      <c r="D34" s="17" t="s">
        <v>98</v>
      </c>
      <c r="E34" s="17" t="s">
        <v>170</v>
      </c>
      <c r="F34" s="17" t="s">
        <v>639</v>
      </c>
      <c r="G34" s="257"/>
      <c r="H34" s="94"/>
      <c r="I34" s="94"/>
      <c r="J34" s="94"/>
      <c r="K34" s="94"/>
      <c r="L34" s="94"/>
      <c r="M34" s="94"/>
      <c r="N34" s="94"/>
      <c r="O34" s="95"/>
      <c r="P34" s="94"/>
      <c r="Q34" s="55"/>
      <c r="R34" s="55"/>
    </row>
    <row r="35" spans="1:18" ht="15" customHeight="1" x14ac:dyDescent="0.3">
      <c r="A35" s="17" t="s">
        <v>42</v>
      </c>
      <c r="B35" s="17" t="s">
        <v>576</v>
      </c>
      <c r="C35" s="18" t="s">
        <v>419</v>
      </c>
      <c r="D35" s="17" t="s">
        <v>44</v>
      </c>
      <c r="E35" s="17" t="s">
        <v>480</v>
      </c>
      <c r="F35" s="17" t="s">
        <v>637</v>
      </c>
      <c r="G35" s="257"/>
      <c r="H35" s="94"/>
      <c r="I35" s="94"/>
      <c r="J35" s="94"/>
      <c r="K35" s="94"/>
      <c r="L35" s="94"/>
      <c r="M35" s="94"/>
      <c r="N35" s="94"/>
      <c r="O35" s="95"/>
      <c r="P35" s="94"/>
      <c r="Q35" s="55"/>
      <c r="R35" s="55"/>
    </row>
    <row r="36" spans="1:18" ht="15" customHeight="1" x14ac:dyDescent="0.3">
      <c r="A36" s="39" t="s">
        <v>78</v>
      </c>
      <c r="B36" s="39" t="s">
        <v>588</v>
      </c>
      <c r="C36" s="40" t="s">
        <v>652</v>
      </c>
      <c r="D36" s="39" t="s">
        <v>98</v>
      </c>
      <c r="E36" s="39" t="s">
        <v>444</v>
      </c>
      <c r="F36" s="39" t="s">
        <v>637</v>
      </c>
      <c r="G36" s="258"/>
      <c r="H36" s="96"/>
      <c r="I36" s="96"/>
      <c r="J36" s="96"/>
      <c r="K36" s="96"/>
      <c r="L36" s="96"/>
      <c r="M36" s="96"/>
      <c r="N36" s="96"/>
      <c r="O36" s="97"/>
      <c r="P36" s="96"/>
      <c r="Q36" s="98"/>
      <c r="R36" s="98"/>
    </row>
  </sheetData>
  <mergeCells count="16">
    <mergeCell ref="H1:L1"/>
    <mergeCell ref="A1:E1"/>
    <mergeCell ref="G2:J2"/>
    <mergeCell ref="K2:R2"/>
    <mergeCell ref="A4:F4"/>
    <mergeCell ref="H4:R4"/>
    <mergeCell ref="N1:R1"/>
    <mergeCell ref="A2:F2"/>
    <mergeCell ref="A3:R3"/>
    <mergeCell ref="A20:R20"/>
    <mergeCell ref="G23:G36"/>
    <mergeCell ref="A9:F9"/>
    <mergeCell ref="H21:R21"/>
    <mergeCell ref="G6:G19"/>
    <mergeCell ref="A26:F26"/>
    <mergeCell ref="A21:F21"/>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J1"/>
  <sheetViews>
    <sheetView workbookViewId="0"/>
  </sheetViews>
  <sheetFormatPr defaultRowHeight="15.6" outlineLevelCol="1" x14ac:dyDescent="0.3"/>
  <cols>
    <col min="1" max="1" width="4.109375" style="272" bestFit="1" customWidth="1"/>
    <col min="2" max="2" width="5.33203125" style="272" bestFit="1" customWidth="1"/>
    <col min="3" max="3" width="3" style="272" bestFit="1" customWidth="1"/>
    <col min="4" max="4" width="4.21875" style="272" bestFit="1" customWidth="1"/>
    <col min="5" max="5" width="7.109375" style="272" bestFit="1" customWidth="1"/>
    <col min="6" max="6" width="4" style="272" bestFit="1" customWidth="1"/>
    <col min="7" max="8" width="4.21875" style="272" bestFit="1" customWidth="1"/>
    <col min="9" max="10" width="6.44140625" style="272" bestFit="1" customWidth="1"/>
    <col min="11" max="11" width="6.109375" style="272" bestFit="1" customWidth="1"/>
    <col min="12" max="12" width="8.77734375" style="272" bestFit="1" customWidth="1"/>
    <col min="13" max="13" width="7.33203125" style="272" bestFit="1" customWidth="1" outlineLevel="1"/>
    <col min="14" max="14" width="6" style="272" bestFit="1" customWidth="1" outlineLevel="1"/>
    <col min="15" max="15" width="7.6640625" style="272" bestFit="1" customWidth="1" outlineLevel="1"/>
    <col min="16" max="16" width="13.21875" style="272" bestFit="1" customWidth="1"/>
    <col min="17" max="17" width="2" style="272" bestFit="1" customWidth="1"/>
    <col min="18" max="18" width="2.109375" style="272" bestFit="1" customWidth="1"/>
    <col min="19" max="19" width="2.6640625" style="272" bestFit="1" customWidth="1"/>
    <col min="20" max="20" width="2.21875" style="272" bestFit="1" customWidth="1"/>
    <col min="21" max="21" width="2.33203125" style="272" bestFit="1" customWidth="1"/>
    <col min="22" max="22" width="2" style="272" bestFit="1" customWidth="1"/>
    <col min="23" max="23" width="2.109375" style="272" bestFit="1" customWidth="1"/>
    <col min="24" max="24" width="1.88671875" style="272" bestFit="1" customWidth="1"/>
    <col min="25" max="25" width="2.21875" style="272" bestFit="1" customWidth="1"/>
    <col min="26" max="26" width="1.88671875" style="272" bestFit="1" customWidth="1"/>
    <col min="27" max="27" width="2.77734375" style="272" bestFit="1" customWidth="1"/>
    <col min="28" max="29" width="2" style="272" bestFit="1" customWidth="1"/>
    <col min="30" max="31" width="2.33203125" style="272" bestFit="1" customWidth="1"/>
    <col min="32" max="32" width="1.5546875" style="272" bestFit="1" customWidth="1"/>
    <col min="33" max="33" width="2" style="272" bestFit="1" customWidth="1"/>
    <col min="34" max="34" width="2.109375" style="272" bestFit="1" customWidth="1"/>
    <col min="35" max="35" width="2" style="272" bestFit="1" customWidth="1"/>
    <col min="36" max="36" width="2.33203125" style="272" bestFit="1" customWidth="1"/>
    <col min="37" max="16384" width="8.88671875" style="272"/>
  </cols>
  <sheetData>
    <row r="1" spans="1:36" x14ac:dyDescent="0.3">
      <c r="A1" s="271" t="s">
        <v>103</v>
      </c>
      <c r="B1" s="271" t="s">
        <v>104</v>
      </c>
      <c r="C1" s="271" t="s">
        <v>105</v>
      </c>
      <c r="D1" s="271" t="s">
        <v>23</v>
      </c>
      <c r="E1" s="271" t="s">
        <v>106</v>
      </c>
      <c r="F1" s="271" t="s">
        <v>107</v>
      </c>
      <c r="G1" s="271" t="s">
        <v>16</v>
      </c>
      <c r="H1" s="271" t="s">
        <v>108</v>
      </c>
      <c r="I1" s="271" t="s">
        <v>109</v>
      </c>
      <c r="J1" s="271" t="s">
        <v>110</v>
      </c>
      <c r="K1" s="271" t="s">
        <v>111</v>
      </c>
      <c r="L1" s="271" t="s">
        <v>18</v>
      </c>
      <c r="M1" s="271" t="s">
        <v>20</v>
      </c>
      <c r="N1" s="271" t="s">
        <v>21</v>
      </c>
      <c r="O1" s="271" t="s">
        <v>19</v>
      </c>
      <c r="P1" s="271" t="s">
        <v>22</v>
      </c>
      <c r="Q1" s="271" t="s">
        <v>112</v>
      </c>
      <c r="R1" s="271" t="s">
        <v>113</v>
      </c>
      <c r="S1" s="271" t="s">
        <v>114</v>
      </c>
      <c r="T1" s="271" t="s">
        <v>115</v>
      </c>
      <c r="U1" s="271" t="s">
        <v>116</v>
      </c>
      <c r="V1" s="271" t="s">
        <v>117</v>
      </c>
      <c r="W1" s="271" t="s">
        <v>118</v>
      </c>
      <c r="X1" s="271" t="s">
        <v>119</v>
      </c>
      <c r="Y1" s="271" t="s">
        <v>120</v>
      </c>
      <c r="Z1" s="271" t="s">
        <v>121</v>
      </c>
      <c r="AA1" s="271" t="s">
        <v>122</v>
      </c>
      <c r="AB1" s="271" t="s">
        <v>123</v>
      </c>
      <c r="AC1" s="271" t="s">
        <v>124</v>
      </c>
      <c r="AD1" s="271" t="s">
        <v>125</v>
      </c>
      <c r="AE1" s="271" t="s">
        <v>126</v>
      </c>
      <c r="AF1" s="271" t="s">
        <v>127</v>
      </c>
      <c r="AG1" s="271" t="s">
        <v>128</v>
      </c>
      <c r="AH1" s="271" t="s">
        <v>129</v>
      </c>
      <c r="AI1" s="271" t="s">
        <v>130</v>
      </c>
      <c r="AJ1" s="271" t="s">
        <v>131</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40"/>
  <sheetViews>
    <sheetView workbookViewId="0"/>
  </sheetViews>
  <sheetFormatPr defaultRowHeight="14.4" x14ac:dyDescent="0.3"/>
  <cols>
    <col min="1" max="1" width="11.88671875" bestFit="1" customWidth="1"/>
    <col min="2" max="2" width="15.55468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0" hidden="1" customWidth="1"/>
  </cols>
  <sheetData>
    <row r="1" spans="1:8" ht="18" x14ac:dyDescent="0.3">
      <c r="A1" s="56" t="s">
        <v>149</v>
      </c>
      <c r="B1" s="57" t="s">
        <v>8</v>
      </c>
      <c r="C1" s="57" t="s">
        <v>9</v>
      </c>
      <c r="D1" s="57" t="s">
        <v>150</v>
      </c>
      <c r="E1" s="57" t="s">
        <v>10</v>
      </c>
      <c r="F1" s="57" t="s">
        <v>11</v>
      </c>
      <c r="G1" s="57" t="s">
        <v>12</v>
      </c>
      <c r="H1" s="58" t="s">
        <v>13</v>
      </c>
    </row>
    <row r="2" spans="1:8" ht="19.8" customHeight="1" x14ac:dyDescent="0.3">
      <c r="A2" s="59" t="s">
        <v>151</v>
      </c>
      <c r="B2" s="60" t="s">
        <v>26</v>
      </c>
      <c r="C2" s="61" t="s">
        <v>673</v>
      </c>
      <c r="D2" s="60" t="s">
        <v>672</v>
      </c>
      <c r="E2" s="60" t="s">
        <v>496</v>
      </c>
      <c r="F2" s="60" t="s">
        <v>674</v>
      </c>
      <c r="G2" s="62">
        <v>9</v>
      </c>
      <c r="H2" s="63" t="s">
        <v>675</v>
      </c>
    </row>
    <row r="3" spans="1:8" ht="19.8" customHeight="1" x14ac:dyDescent="0.3">
      <c r="A3" s="59" t="s">
        <v>151</v>
      </c>
      <c r="B3" s="60" t="s">
        <v>26</v>
      </c>
      <c r="C3" s="61" t="s">
        <v>673</v>
      </c>
      <c r="D3" s="60" t="s">
        <v>672</v>
      </c>
      <c r="E3" s="60" t="s">
        <v>496</v>
      </c>
      <c r="F3" s="60" t="s">
        <v>31</v>
      </c>
      <c r="G3" s="62">
        <v>9</v>
      </c>
      <c r="H3" s="63" t="s">
        <v>676</v>
      </c>
    </row>
    <row r="4" spans="1:8" ht="19.8" customHeight="1" x14ac:dyDescent="0.3">
      <c r="A4" s="59" t="s">
        <v>151</v>
      </c>
      <c r="B4" s="60" t="s">
        <v>26</v>
      </c>
      <c r="C4" s="61" t="s">
        <v>673</v>
      </c>
      <c r="D4" s="60" t="s">
        <v>672</v>
      </c>
      <c r="E4" s="60" t="s">
        <v>496</v>
      </c>
      <c r="F4" s="60" t="s">
        <v>34</v>
      </c>
      <c r="G4" s="62">
        <v>9</v>
      </c>
      <c r="H4" s="63" t="s">
        <v>677</v>
      </c>
    </row>
    <row r="5" spans="1:8" ht="19.8" customHeight="1" x14ac:dyDescent="0.3">
      <c r="A5" s="100"/>
      <c r="B5" s="101"/>
      <c r="C5" s="101"/>
      <c r="D5" s="101"/>
      <c r="E5" s="101"/>
      <c r="F5" s="102" t="s">
        <v>686</v>
      </c>
      <c r="G5" s="101"/>
      <c r="H5" s="103"/>
    </row>
    <row r="6" spans="1:8" ht="19.8" customHeight="1" x14ac:dyDescent="0.3">
      <c r="A6" s="59" t="s">
        <v>151</v>
      </c>
      <c r="B6" s="60" t="s">
        <v>26</v>
      </c>
      <c r="C6" s="61" t="s">
        <v>551</v>
      </c>
      <c r="D6" s="60" t="s">
        <v>550</v>
      </c>
      <c r="E6" s="60" t="s">
        <v>665</v>
      </c>
      <c r="F6" s="60" t="s">
        <v>28</v>
      </c>
      <c r="G6" s="62">
        <v>9</v>
      </c>
      <c r="H6" s="63" t="s">
        <v>552</v>
      </c>
    </row>
    <row r="7" spans="1:8" ht="19.8" customHeight="1" x14ac:dyDescent="0.3">
      <c r="A7" s="59" t="s">
        <v>151</v>
      </c>
      <c r="B7" s="60" t="s">
        <v>42</v>
      </c>
      <c r="C7" s="61" t="s">
        <v>565</v>
      </c>
      <c r="D7" s="60" t="s">
        <v>550</v>
      </c>
      <c r="E7" s="60" t="s">
        <v>418</v>
      </c>
      <c r="F7" s="60" t="s">
        <v>44</v>
      </c>
      <c r="G7" s="62">
        <v>82</v>
      </c>
      <c r="H7" s="63" t="s">
        <v>567</v>
      </c>
    </row>
    <row r="8" spans="1:8" ht="19.8" customHeight="1" x14ac:dyDescent="0.3">
      <c r="A8" s="59" t="s">
        <v>151</v>
      </c>
      <c r="B8" s="60" t="s">
        <v>42</v>
      </c>
      <c r="C8" s="61" t="s">
        <v>570</v>
      </c>
      <c r="D8" s="60" t="s">
        <v>550</v>
      </c>
      <c r="E8" s="60" t="s">
        <v>666</v>
      </c>
      <c r="F8" s="60" t="s">
        <v>44</v>
      </c>
      <c r="G8" s="62">
        <v>68</v>
      </c>
      <c r="H8" s="63" t="s">
        <v>567</v>
      </c>
    </row>
    <row r="9" spans="1:8" ht="19.8" customHeight="1" x14ac:dyDescent="0.3">
      <c r="A9" s="59" t="s">
        <v>151</v>
      </c>
      <c r="B9" s="60" t="s">
        <v>42</v>
      </c>
      <c r="C9" s="61" t="s">
        <v>573</v>
      </c>
      <c r="D9" s="60" t="s">
        <v>550</v>
      </c>
      <c r="E9" s="60" t="s">
        <v>667</v>
      </c>
      <c r="F9" s="60" t="s">
        <v>44</v>
      </c>
      <c r="G9" s="62">
        <v>58</v>
      </c>
      <c r="H9" s="63" t="s">
        <v>567</v>
      </c>
    </row>
    <row r="10" spans="1:8" ht="19.8" customHeight="1" x14ac:dyDescent="0.3">
      <c r="A10" s="59" t="s">
        <v>151</v>
      </c>
      <c r="B10" s="60" t="s">
        <v>42</v>
      </c>
      <c r="C10" s="61" t="s">
        <v>576</v>
      </c>
      <c r="D10" s="60" t="s">
        <v>550</v>
      </c>
      <c r="E10" s="60" t="s">
        <v>419</v>
      </c>
      <c r="F10" s="60" t="s">
        <v>44</v>
      </c>
      <c r="G10" s="62">
        <v>79</v>
      </c>
      <c r="H10" s="63" t="s">
        <v>567</v>
      </c>
    </row>
    <row r="11" spans="1:8" ht="19.8" customHeight="1" x14ac:dyDescent="0.3">
      <c r="A11" s="59" t="s">
        <v>151</v>
      </c>
      <c r="B11" s="60" t="s">
        <v>26</v>
      </c>
      <c r="C11" s="61" t="s">
        <v>555</v>
      </c>
      <c r="D11" s="60" t="s">
        <v>550</v>
      </c>
      <c r="E11" s="60" t="s">
        <v>202</v>
      </c>
      <c r="F11" s="60" t="s">
        <v>28</v>
      </c>
      <c r="G11" s="62">
        <v>9</v>
      </c>
      <c r="H11" s="63" t="s">
        <v>556</v>
      </c>
    </row>
    <row r="12" spans="1:8" ht="19.8" customHeight="1" x14ac:dyDescent="0.3">
      <c r="A12" s="59" t="s">
        <v>151</v>
      </c>
      <c r="B12" s="60" t="s">
        <v>26</v>
      </c>
      <c r="C12" s="61" t="s">
        <v>558</v>
      </c>
      <c r="D12" s="60" t="s">
        <v>550</v>
      </c>
      <c r="E12" s="60" t="s">
        <v>668</v>
      </c>
      <c r="F12" s="60" t="s">
        <v>28</v>
      </c>
      <c r="G12" s="62">
        <v>9</v>
      </c>
      <c r="H12" s="63" t="s">
        <v>556</v>
      </c>
    </row>
    <row r="13" spans="1:8" ht="19.8" customHeight="1" x14ac:dyDescent="0.3">
      <c r="A13" s="59" t="s">
        <v>151</v>
      </c>
      <c r="B13" s="60" t="s">
        <v>26</v>
      </c>
      <c r="C13" s="61" t="s">
        <v>559</v>
      </c>
      <c r="D13" s="60" t="s">
        <v>550</v>
      </c>
      <c r="E13" s="60" t="s">
        <v>498</v>
      </c>
      <c r="F13" s="60" t="s">
        <v>28</v>
      </c>
      <c r="G13" s="62">
        <v>9</v>
      </c>
      <c r="H13" s="63" t="s">
        <v>556</v>
      </c>
    </row>
    <row r="14" spans="1:8" ht="19.8" customHeight="1" x14ac:dyDescent="0.3">
      <c r="A14" s="59" t="s">
        <v>151</v>
      </c>
      <c r="B14" s="60" t="s">
        <v>26</v>
      </c>
      <c r="C14" s="61" t="s">
        <v>560</v>
      </c>
      <c r="D14" s="60" t="s">
        <v>550</v>
      </c>
      <c r="E14" s="60" t="s">
        <v>391</v>
      </c>
      <c r="F14" s="60" t="s">
        <v>28</v>
      </c>
      <c r="G14" s="62">
        <v>6</v>
      </c>
      <c r="H14" s="63" t="s">
        <v>556</v>
      </c>
    </row>
    <row r="15" spans="1:8" ht="19.8" customHeight="1" x14ac:dyDescent="0.3">
      <c r="A15" s="113" t="s">
        <v>151</v>
      </c>
      <c r="B15" s="71" t="s">
        <v>235</v>
      </c>
      <c r="C15" s="72" t="s">
        <v>579</v>
      </c>
      <c r="D15" s="71" t="s">
        <v>550</v>
      </c>
      <c r="E15" s="71" t="s">
        <v>192</v>
      </c>
      <c r="F15" s="71" t="s">
        <v>98</v>
      </c>
      <c r="G15" s="74">
        <v>7</v>
      </c>
      <c r="H15" s="75" t="s">
        <v>580</v>
      </c>
    </row>
    <row r="16" spans="1:8" ht="19.8" customHeight="1" x14ac:dyDescent="0.3">
      <c r="A16" s="100"/>
      <c r="B16" s="101"/>
      <c r="C16" s="101"/>
      <c r="D16" s="101"/>
      <c r="E16" s="101"/>
      <c r="F16" s="102" t="s">
        <v>686</v>
      </c>
      <c r="G16" s="101"/>
      <c r="H16" s="103"/>
    </row>
    <row r="17" spans="1:8" ht="19.8" customHeight="1" x14ac:dyDescent="0.3">
      <c r="A17" s="59" t="s">
        <v>201</v>
      </c>
      <c r="B17" s="60" t="s">
        <v>42</v>
      </c>
      <c r="C17" s="61" t="s">
        <v>570</v>
      </c>
      <c r="D17" s="60" t="s">
        <v>550</v>
      </c>
      <c r="E17" s="60" t="s">
        <v>666</v>
      </c>
      <c r="F17" s="60" t="s">
        <v>44</v>
      </c>
      <c r="G17" s="62">
        <v>41</v>
      </c>
      <c r="H17" s="63" t="s">
        <v>567</v>
      </c>
    </row>
    <row r="18" spans="1:8" ht="19.8" customHeight="1" x14ac:dyDescent="0.3">
      <c r="A18" s="59" t="s">
        <v>201</v>
      </c>
      <c r="B18" s="60" t="s">
        <v>42</v>
      </c>
      <c r="C18" s="61" t="s">
        <v>573</v>
      </c>
      <c r="D18" s="60" t="s">
        <v>550</v>
      </c>
      <c r="E18" s="60" t="s">
        <v>667</v>
      </c>
      <c r="F18" s="60" t="s">
        <v>44</v>
      </c>
      <c r="G18" s="62">
        <v>25</v>
      </c>
      <c r="H18" s="63" t="s">
        <v>567</v>
      </c>
    </row>
    <row r="19" spans="1:8" ht="19.8" customHeight="1" x14ac:dyDescent="0.3">
      <c r="A19" s="59" t="s">
        <v>201</v>
      </c>
      <c r="B19" s="60" t="s">
        <v>26</v>
      </c>
      <c r="C19" s="61" t="s">
        <v>558</v>
      </c>
      <c r="D19" s="60" t="s">
        <v>550</v>
      </c>
      <c r="E19" s="60" t="s">
        <v>668</v>
      </c>
      <c r="F19" s="60" t="s">
        <v>28</v>
      </c>
      <c r="G19" s="62">
        <v>2</v>
      </c>
      <c r="H19" s="63" t="s">
        <v>556</v>
      </c>
    </row>
    <row r="20" spans="1:8" ht="19.8" customHeight="1" x14ac:dyDescent="0.3">
      <c r="A20" s="59" t="s">
        <v>201</v>
      </c>
      <c r="B20" s="60" t="s">
        <v>26</v>
      </c>
      <c r="C20" s="61" t="s">
        <v>564</v>
      </c>
      <c r="D20" s="60" t="s">
        <v>550</v>
      </c>
      <c r="E20" s="60" t="s">
        <v>671</v>
      </c>
      <c r="F20" s="60" t="s">
        <v>28</v>
      </c>
      <c r="G20" s="62">
        <v>5</v>
      </c>
      <c r="H20" s="63" t="s">
        <v>556</v>
      </c>
    </row>
    <row r="21" spans="1:8" ht="19.8" customHeight="1" x14ac:dyDescent="0.3">
      <c r="A21" s="59" t="s">
        <v>201</v>
      </c>
      <c r="B21" s="60" t="s">
        <v>26</v>
      </c>
      <c r="C21" s="61" t="s">
        <v>560</v>
      </c>
      <c r="D21" s="60" t="s">
        <v>550</v>
      </c>
      <c r="E21" s="60" t="s">
        <v>391</v>
      </c>
      <c r="F21" s="60" t="s">
        <v>28</v>
      </c>
      <c r="G21" s="62">
        <v>2</v>
      </c>
      <c r="H21" s="63" t="s">
        <v>556</v>
      </c>
    </row>
    <row r="22" spans="1:8" ht="19.8" customHeight="1" x14ac:dyDescent="0.3">
      <c r="A22" s="59" t="s">
        <v>201</v>
      </c>
      <c r="B22" s="60" t="s">
        <v>42</v>
      </c>
      <c r="C22" s="61" t="s">
        <v>565</v>
      </c>
      <c r="D22" s="60" t="s">
        <v>550</v>
      </c>
      <c r="E22" s="60" t="s">
        <v>418</v>
      </c>
      <c r="F22" s="60" t="s">
        <v>44</v>
      </c>
      <c r="G22" s="62">
        <v>35</v>
      </c>
      <c r="H22" s="63" t="s">
        <v>617</v>
      </c>
    </row>
    <row r="23" spans="1:8" ht="19.8" customHeight="1" x14ac:dyDescent="0.3">
      <c r="A23" s="59" t="s">
        <v>201</v>
      </c>
      <c r="B23" s="60" t="s">
        <v>42</v>
      </c>
      <c r="C23" s="61" t="s">
        <v>576</v>
      </c>
      <c r="D23" s="60" t="s">
        <v>550</v>
      </c>
      <c r="E23" s="60" t="s">
        <v>419</v>
      </c>
      <c r="F23" s="60" t="s">
        <v>44</v>
      </c>
      <c r="G23" s="62">
        <v>54</v>
      </c>
      <c r="H23" s="63" t="s">
        <v>617</v>
      </c>
    </row>
    <row r="24" spans="1:8" ht="19.8" customHeight="1" x14ac:dyDescent="0.3">
      <c r="A24" s="59" t="s">
        <v>201</v>
      </c>
      <c r="B24" s="60" t="s">
        <v>26</v>
      </c>
      <c r="C24" s="61" t="s">
        <v>551</v>
      </c>
      <c r="D24" s="60" t="s">
        <v>550</v>
      </c>
      <c r="E24" s="60" t="s">
        <v>665</v>
      </c>
      <c r="F24" s="60" t="s">
        <v>28</v>
      </c>
      <c r="G24" s="62">
        <v>5</v>
      </c>
      <c r="H24" s="63" t="s">
        <v>562</v>
      </c>
    </row>
    <row r="25" spans="1:8" ht="19.8" customHeight="1" x14ac:dyDescent="0.3">
      <c r="A25" s="59" t="s">
        <v>201</v>
      </c>
      <c r="B25" s="60" t="s">
        <v>26</v>
      </c>
      <c r="C25" s="61" t="s">
        <v>555</v>
      </c>
      <c r="D25" s="60" t="s">
        <v>550</v>
      </c>
      <c r="E25" s="60" t="s">
        <v>202</v>
      </c>
      <c r="F25" s="60" t="s">
        <v>28</v>
      </c>
      <c r="G25" s="62">
        <v>9</v>
      </c>
      <c r="H25" s="63" t="s">
        <v>562</v>
      </c>
    </row>
    <row r="26" spans="1:8" ht="19.8" customHeight="1" x14ac:dyDescent="0.3">
      <c r="A26" s="113" t="s">
        <v>201</v>
      </c>
      <c r="B26" s="71" t="s">
        <v>26</v>
      </c>
      <c r="C26" s="72" t="s">
        <v>559</v>
      </c>
      <c r="D26" s="71" t="s">
        <v>550</v>
      </c>
      <c r="E26" s="71" t="s">
        <v>498</v>
      </c>
      <c r="F26" s="71" t="s">
        <v>28</v>
      </c>
      <c r="G26" s="74">
        <v>9</v>
      </c>
      <c r="H26" s="75" t="s">
        <v>562</v>
      </c>
    </row>
    <row r="27" spans="1:8" ht="19.8" customHeight="1" x14ac:dyDescent="0.3">
      <c r="A27" s="59" t="s">
        <v>203</v>
      </c>
      <c r="B27" s="60" t="s">
        <v>26</v>
      </c>
      <c r="C27" s="61" t="s">
        <v>673</v>
      </c>
      <c r="D27" s="60" t="s">
        <v>672</v>
      </c>
      <c r="E27" s="60" t="s">
        <v>496</v>
      </c>
      <c r="F27" s="60" t="s">
        <v>674</v>
      </c>
      <c r="G27" s="62">
        <v>9</v>
      </c>
      <c r="H27" s="63" t="s">
        <v>305</v>
      </c>
    </row>
    <row r="28" spans="1:8" ht="19.8" customHeight="1" x14ac:dyDescent="0.3">
      <c r="A28" s="59" t="s">
        <v>203</v>
      </c>
      <c r="B28" s="60" t="s">
        <v>26</v>
      </c>
      <c r="C28" s="61" t="s">
        <v>673</v>
      </c>
      <c r="D28" s="60" t="s">
        <v>672</v>
      </c>
      <c r="E28" s="60" t="s">
        <v>496</v>
      </c>
      <c r="F28" s="60" t="s">
        <v>31</v>
      </c>
      <c r="G28" s="62">
        <v>9</v>
      </c>
      <c r="H28" s="63" t="s">
        <v>683</v>
      </c>
    </row>
    <row r="29" spans="1:8" ht="19.8" customHeight="1" x14ac:dyDescent="0.3">
      <c r="A29" s="59" t="s">
        <v>203</v>
      </c>
      <c r="B29" s="60" t="s">
        <v>26</v>
      </c>
      <c r="C29" s="61" t="s">
        <v>673</v>
      </c>
      <c r="D29" s="60" t="s">
        <v>672</v>
      </c>
      <c r="E29" s="60" t="s">
        <v>496</v>
      </c>
      <c r="F29" s="60" t="s">
        <v>34</v>
      </c>
      <c r="G29" s="62">
        <v>9</v>
      </c>
      <c r="H29" s="63" t="s">
        <v>684</v>
      </c>
    </row>
    <row r="30" spans="1:8" ht="19.8" customHeight="1" x14ac:dyDescent="0.3">
      <c r="A30" s="100"/>
      <c r="B30" s="101"/>
      <c r="C30" s="101"/>
      <c r="D30" s="101"/>
      <c r="E30" s="101"/>
      <c r="F30" s="102" t="s">
        <v>686</v>
      </c>
      <c r="G30" s="101"/>
      <c r="H30" s="103"/>
    </row>
    <row r="31" spans="1:8" ht="19.8" customHeight="1" x14ac:dyDescent="0.3">
      <c r="A31" s="59" t="s">
        <v>203</v>
      </c>
      <c r="B31" s="60" t="s">
        <v>26</v>
      </c>
      <c r="C31" s="61" t="s">
        <v>561</v>
      </c>
      <c r="D31" s="60" t="s">
        <v>550</v>
      </c>
      <c r="E31" s="60" t="s">
        <v>387</v>
      </c>
      <c r="F31" s="60" t="s">
        <v>28</v>
      </c>
      <c r="G31" s="62">
        <v>9</v>
      </c>
      <c r="H31" s="63" t="s">
        <v>628</v>
      </c>
    </row>
    <row r="32" spans="1:8" ht="19.8" customHeight="1" x14ac:dyDescent="0.3">
      <c r="A32" s="59" t="s">
        <v>203</v>
      </c>
      <c r="B32" s="60" t="s">
        <v>26</v>
      </c>
      <c r="C32" s="61" t="s">
        <v>564</v>
      </c>
      <c r="D32" s="60" t="s">
        <v>550</v>
      </c>
      <c r="E32" s="60" t="s">
        <v>671</v>
      </c>
      <c r="F32" s="60" t="s">
        <v>28</v>
      </c>
      <c r="G32" s="62">
        <v>9</v>
      </c>
      <c r="H32" s="63" t="s">
        <v>628</v>
      </c>
    </row>
    <row r="33" spans="1:8" ht="19.8" customHeight="1" x14ac:dyDescent="0.3">
      <c r="A33" s="59" t="s">
        <v>203</v>
      </c>
      <c r="B33" s="60" t="s">
        <v>42</v>
      </c>
      <c r="C33" s="61" t="s">
        <v>570</v>
      </c>
      <c r="D33" s="60" t="s">
        <v>550</v>
      </c>
      <c r="E33" s="60" t="s">
        <v>666</v>
      </c>
      <c r="F33" s="60" t="s">
        <v>44</v>
      </c>
      <c r="G33" s="62">
        <v>17</v>
      </c>
      <c r="H33" s="63" t="s">
        <v>634</v>
      </c>
    </row>
    <row r="34" spans="1:8" ht="19.8" customHeight="1" x14ac:dyDescent="0.3">
      <c r="A34" s="59" t="s">
        <v>203</v>
      </c>
      <c r="B34" s="60" t="s">
        <v>42</v>
      </c>
      <c r="C34" s="61" t="s">
        <v>573</v>
      </c>
      <c r="D34" s="60" t="s">
        <v>550</v>
      </c>
      <c r="E34" s="60" t="s">
        <v>667</v>
      </c>
      <c r="F34" s="60" t="s">
        <v>44</v>
      </c>
      <c r="G34" s="62">
        <v>8</v>
      </c>
      <c r="H34" s="63" t="s">
        <v>634</v>
      </c>
    </row>
    <row r="35" spans="1:8" ht="19.8" customHeight="1" x14ac:dyDescent="0.3">
      <c r="A35" s="59" t="s">
        <v>203</v>
      </c>
      <c r="B35" s="60" t="s">
        <v>42</v>
      </c>
      <c r="C35" s="61" t="s">
        <v>565</v>
      </c>
      <c r="D35" s="60" t="s">
        <v>550</v>
      </c>
      <c r="E35" s="60" t="s">
        <v>418</v>
      </c>
      <c r="F35" s="60" t="s">
        <v>44</v>
      </c>
      <c r="G35" s="62">
        <v>15</v>
      </c>
      <c r="H35" s="63" t="s">
        <v>563</v>
      </c>
    </row>
    <row r="36" spans="1:8" ht="19.8" customHeight="1" x14ac:dyDescent="0.3">
      <c r="A36" s="59" t="s">
        <v>203</v>
      </c>
      <c r="B36" s="60" t="s">
        <v>26</v>
      </c>
      <c r="C36" s="61" t="s">
        <v>558</v>
      </c>
      <c r="D36" s="60" t="s">
        <v>550</v>
      </c>
      <c r="E36" s="60" t="s">
        <v>668</v>
      </c>
      <c r="F36" s="60" t="s">
        <v>28</v>
      </c>
      <c r="G36" s="62">
        <v>9</v>
      </c>
      <c r="H36" s="63" t="s">
        <v>563</v>
      </c>
    </row>
    <row r="37" spans="1:8" ht="19.8" customHeight="1" x14ac:dyDescent="0.3">
      <c r="A37" s="59" t="s">
        <v>203</v>
      </c>
      <c r="B37" s="60" t="s">
        <v>26</v>
      </c>
      <c r="C37" s="61" t="s">
        <v>560</v>
      </c>
      <c r="D37" s="60" t="s">
        <v>550</v>
      </c>
      <c r="E37" s="60" t="s">
        <v>391</v>
      </c>
      <c r="F37" s="60" t="s">
        <v>28</v>
      </c>
      <c r="G37" s="62">
        <v>9</v>
      </c>
      <c r="H37" s="63" t="s">
        <v>563</v>
      </c>
    </row>
    <row r="38" spans="1:8" ht="19.8" customHeight="1" x14ac:dyDescent="0.3">
      <c r="A38" s="59" t="s">
        <v>203</v>
      </c>
      <c r="B38" s="60" t="s">
        <v>328</v>
      </c>
      <c r="C38" s="61" t="s">
        <v>584</v>
      </c>
      <c r="D38" s="60" t="s">
        <v>550</v>
      </c>
      <c r="E38" s="60" t="s">
        <v>483</v>
      </c>
      <c r="F38" s="60" t="s">
        <v>98</v>
      </c>
      <c r="G38" s="62">
        <v>5</v>
      </c>
      <c r="H38" s="63" t="s">
        <v>639</v>
      </c>
    </row>
    <row r="39" spans="1:8" ht="19.8" customHeight="1" x14ac:dyDescent="0.3">
      <c r="A39" s="59" t="s">
        <v>203</v>
      </c>
      <c r="B39" s="60" t="s">
        <v>42</v>
      </c>
      <c r="C39" s="61" t="s">
        <v>576</v>
      </c>
      <c r="D39" s="60" t="s">
        <v>550</v>
      </c>
      <c r="E39" s="60" t="s">
        <v>419</v>
      </c>
      <c r="F39" s="60" t="s">
        <v>44</v>
      </c>
      <c r="G39" s="62">
        <v>13</v>
      </c>
      <c r="H39" s="63" t="s">
        <v>637</v>
      </c>
    </row>
    <row r="40" spans="1:8" ht="19.8" customHeight="1" x14ac:dyDescent="0.3">
      <c r="A40" s="113" t="s">
        <v>203</v>
      </c>
      <c r="B40" s="71" t="s">
        <v>78</v>
      </c>
      <c r="C40" s="72" t="s">
        <v>588</v>
      </c>
      <c r="D40" s="71" t="s">
        <v>550</v>
      </c>
      <c r="E40" s="71" t="s">
        <v>652</v>
      </c>
      <c r="F40" s="71" t="s">
        <v>98</v>
      </c>
      <c r="G40" s="74">
        <v>6</v>
      </c>
      <c r="H40" s="75" t="s">
        <v>637</v>
      </c>
    </row>
  </sheetData>
  <pageMargins left="0.75" right="0.75" top="1" bottom="1" header="0.5" footer="0.5"/>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N41"/>
  <sheetViews>
    <sheetView workbookViewId="0"/>
  </sheetViews>
  <sheetFormatPr defaultRowHeight="14.4" x14ac:dyDescent="0.3"/>
  <cols>
    <col min="1" max="1" width="15.777343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8.88671875" bestFit="1" customWidth="1"/>
  </cols>
  <sheetData>
    <row r="1" spans="1:92" ht="28.8" customHeight="1" x14ac:dyDescent="0.3">
      <c r="A1" s="261" t="s">
        <v>0</v>
      </c>
      <c r="B1" s="251"/>
      <c r="C1" s="251"/>
      <c r="D1" s="251"/>
      <c r="E1" s="251"/>
      <c r="F1" s="1" t="s">
        <v>687</v>
      </c>
      <c r="G1" s="2" t="s">
        <v>2</v>
      </c>
      <c r="H1" s="260">
        <v>45981</v>
      </c>
      <c r="I1" s="251"/>
      <c r="J1" s="251"/>
      <c r="K1" s="251"/>
      <c r="L1" s="251"/>
      <c r="M1" s="1" t="s">
        <v>3</v>
      </c>
      <c r="N1" s="266">
        <v>45983</v>
      </c>
      <c r="O1" s="251"/>
      <c r="P1" s="251"/>
      <c r="Q1" s="251"/>
      <c r="R1" s="251"/>
      <c r="CA1" s="3"/>
      <c r="CB1" s="3"/>
      <c r="CC1" s="3"/>
      <c r="CD1" s="3"/>
      <c r="CE1" s="3"/>
      <c r="CF1" s="3"/>
      <c r="CG1" s="3"/>
      <c r="CH1" s="3"/>
      <c r="CI1" s="3"/>
      <c r="CJ1" s="3"/>
      <c r="CK1" s="3"/>
      <c r="CL1" s="3"/>
      <c r="CM1" s="3"/>
      <c r="CN1" s="3"/>
    </row>
    <row r="2" spans="1:92" ht="23.4" customHeight="1" x14ac:dyDescent="0.3">
      <c r="A2" s="250" t="s">
        <v>4</v>
      </c>
      <c r="B2" s="251"/>
      <c r="C2" s="251"/>
      <c r="D2" s="251"/>
      <c r="E2" s="251"/>
      <c r="F2" s="251"/>
      <c r="G2" s="262">
        <v>45980.493093826582</v>
      </c>
      <c r="H2" s="251"/>
      <c r="I2" s="251"/>
      <c r="J2" s="251"/>
      <c r="K2" s="263">
        <v>45980.493093826852</v>
      </c>
      <c r="L2" s="251"/>
      <c r="M2" s="251"/>
      <c r="N2" s="251"/>
      <c r="O2" s="251"/>
      <c r="P2" s="251"/>
      <c r="Q2" s="251"/>
      <c r="R2" s="251"/>
      <c r="CA2" s="3"/>
      <c r="CB2" s="3"/>
      <c r="CC2" s="3"/>
      <c r="CD2" s="3"/>
      <c r="CE2" s="3"/>
      <c r="CF2" s="3"/>
      <c r="CG2" s="3"/>
      <c r="CH2" s="3"/>
      <c r="CI2" s="3"/>
      <c r="CJ2" s="3"/>
      <c r="CK2" s="3"/>
      <c r="CL2" s="3"/>
      <c r="CM2" s="3"/>
      <c r="CN2" s="3"/>
    </row>
    <row r="3" spans="1:92" ht="24" customHeight="1" x14ac:dyDescent="0.3">
      <c r="A3" s="252" t="s">
        <v>5</v>
      </c>
      <c r="B3" s="251"/>
      <c r="C3" s="251"/>
      <c r="D3" s="251"/>
      <c r="E3" s="251"/>
      <c r="F3" s="251"/>
      <c r="G3" s="251"/>
      <c r="H3" s="251"/>
      <c r="I3" s="251"/>
      <c r="J3" s="251"/>
      <c r="K3" s="251"/>
      <c r="L3" s="251"/>
      <c r="M3" s="251"/>
      <c r="N3" s="251"/>
      <c r="O3" s="251"/>
      <c r="P3" s="251"/>
      <c r="Q3" s="251"/>
      <c r="R3" s="251"/>
      <c r="CA3" s="3"/>
      <c r="CB3" s="3"/>
      <c r="CC3" s="3"/>
      <c r="CD3" s="3"/>
      <c r="CE3" s="3"/>
      <c r="CF3" s="3"/>
      <c r="CG3" s="3"/>
      <c r="CH3" s="3"/>
      <c r="CI3" s="3"/>
      <c r="CJ3" s="3"/>
      <c r="CK3" s="3"/>
      <c r="CL3" s="3"/>
      <c r="CM3" s="3"/>
      <c r="CN3" s="3"/>
    </row>
    <row r="4" spans="1:92" ht="22.05" customHeight="1" x14ac:dyDescent="0.3">
      <c r="A4" s="264" t="s">
        <v>6</v>
      </c>
      <c r="B4" s="254"/>
      <c r="C4" s="254"/>
      <c r="D4" s="254"/>
      <c r="E4" s="254"/>
      <c r="F4" s="255"/>
      <c r="G4" s="4">
        <v>45981</v>
      </c>
      <c r="H4" s="265" t="s">
        <v>7</v>
      </c>
      <c r="I4" s="254"/>
      <c r="J4" s="254"/>
      <c r="K4" s="254"/>
      <c r="L4" s="254"/>
      <c r="M4" s="254"/>
      <c r="N4" s="254"/>
      <c r="O4" s="254"/>
      <c r="P4" s="254"/>
      <c r="Q4" s="254"/>
      <c r="R4" s="25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42</v>
      </c>
      <c r="B6" s="8" t="s">
        <v>688</v>
      </c>
      <c r="C6" s="9">
        <v>0.44791666666666669</v>
      </c>
      <c r="D6" s="8" t="s">
        <v>44</v>
      </c>
      <c r="E6" s="8" t="s">
        <v>633</v>
      </c>
      <c r="F6" s="8" t="s">
        <v>689</v>
      </c>
      <c r="G6" s="256"/>
      <c r="H6" s="10"/>
      <c r="I6" s="11"/>
      <c r="J6" s="11"/>
      <c r="K6" s="11"/>
      <c r="L6" s="11"/>
      <c r="M6" s="11"/>
      <c r="N6" s="11"/>
      <c r="O6" s="12"/>
      <c r="P6" s="11"/>
      <c r="Q6" s="13"/>
      <c r="R6" s="14"/>
    </row>
    <row r="7" spans="1:92" ht="15" customHeight="1" x14ac:dyDescent="0.3">
      <c r="A7" s="15" t="s">
        <v>42</v>
      </c>
      <c r="B7" s="15" t="s">
        <v>688</v>
      </c>
      <c r="C7" s="16">
        <v>0.44791666666666669</v>
      </c>
      <c r="D7" s="15" t="s">
        <v>47</v>
      </c>
      <c r="E7" s="15" t="s">
        <v>635</v>
      </c>
      <c r="F7" s="15" t="s">
        <v>311</v>
      </c>
      <c r="G7" s="257"/>
      <c r="H7" s="10"/>
      <c r="I7" s="11"/>
      <c r="J7" s="11"/>
      <c r="K7" s="11"/>
      <c r="L7" s="11"/>
      <c r="M7" s="11"/>
      <c r="N7" s="11"/>
      <c r="O7" s="12"/>
      <c r="P7" s="11"/>
      <c r="Q7" s="13"/>
      <c r="R7" s="14"/>
    </row>
    <row r="8" spans="1:92" ht="15" customHeight="1" x14ac:dyDescent="0.3">
      <c r="A8" s="15" t="s">
        <v>42</v>
      </c>
      <c r="B8" s="15" t="s">
        <v>688</v>
      </c>
      <c r="C8" s="16">
        <v>0.44791666666666669</v>
      </c>
      <c r="D8" s="15" t="s">
        <v>49</v>
      </c>
      <c r="E8" s="15" t="s">
        <v>635</v>
      </c>
      <c r="F8" s="15" t="s">
        <v>690</v>
      </c>
      <c r="G8" s="257"/>
      <c r="H8" s="10"/>
      <c r="I8" s="11"/>
      <c r="J8" s="11"/>
      <c r="K8" s="11"/>
      <c r="L8" s="11"/>
      <c r="M8" s="11"/>
      <c r="N8" s="11"/>
      <c r="O8" s="12"/>
      <c r="P8" s="11"/>
      <c r="Q8" s="13"/>
      <c r="R8" s="14"/>
    </row>
    <row r="9" spans="1:92" ht="15" customHeight="1" x14ac:dyDescent="0.3">
      <c r="A9" s="19" t="s">
        <v>26</v>
      </c>
      <c r="B9" s="19" t="s">
        <v>691</v>
      </c>
      <c r="C9" s="20">
        <v>0.97222222222222221</v>
      </c>
      <c r="D9" s="19" t="s">
        <v>28</v>
      </c>
      <c r="E9" s="19" t="s">
        <v>92</v>
      </c>
      <c r="F9" s="19" t="s">
        <v>692</v>
      </c>
      <c r="G9" s="257"/>
      <c r="H9" s="10"/>
      <c r="I9" s="11"/>
      <c r="J9" s="11"/>
      <c r="K9" s="11"/>
      <c r="L9" s="11"/>
      <c r="M9" s="11"/>
      <c r="N9" s="11"/>
      <c r="O9" s="12"/>
      <c r="P9" s="11"/>
      <c r="Q9" s="13"/>
      <c r="R9" s="14"/>
    </row>
    <row r="10" spans="1:92" ht="15" customHeight="1" x14ac:dyDescent="0.3">
      <c r="A10" s="15" t="s">
        <v>26</v>
      </c>
      <c r="B10" s="15" t="s">
        <v>691</v>
      </c>
      <c r="C10" s="16">
        <v>0.97222222222222221</v>
      </c>
      <c r="D10" s="15" t="s">
        <v>31</v>
      </c>
      <c r="E10" s="15" t="s">
        <v>93</v>
      </c>
      <c r="F10" s="15" t="s">
        <v>89</v>
      </c>
      <c r="G10" s="257"/>
      <c r="H10" s="10"/>
      <c r="I10" s="11"/>
      <c r="J10" s="11"/>
      <c r="K10" s="11"/>
      <c r="L10" s="11"/>
      <c r="M10" s="11"/>
      <c r="N10" s="11"/>
      <c r="O10" s="12"/>
      <c r="P10" s="11"/>
      <c r="Q10" s="13"/>
      <c r="R10" s="14"/>
    </row>
    <row r="11" spans="1:92" ht="15" customHeight="1" x14ac:dyDescent="0.3">
      <c r="A11" s="15" t="s">
        <v>26</v>
      </c>
      <c r="B11" s="15" t="s">
        <v>691</v>
      </c>
      <c r="C11" s="16">
        <v>0.97222222222222221</v>
      </c>
      <c r="D11" s="15" t="s">
        <v>34</v>
      </c>
      <c r="E11" s="15" t="s">
        <v>93</v>
      </c>
      <c r="F11" s="15" t="s">
        <v>693</v>
      </c>
      <c r="G11" s="257"/>
      <c r="H11" s="10"/>
      <c r="I11" s="11"/>
      <c r="J11" s="11"/>
      <c r="K11" s="11"/>
      <c r="L11" s="11"/>
      <c r="M11" s="11"/>
      <c r="N11" s="11"/>
      <c r="O11" s="12"/>
      <c r="P11" s="11"/>
      <c r="Q11" s="13"/>
      <c r="R11" s="14"/>
    </row>
    <row r="12" spans="1:92" ht="15" customHeight="1" x14ac:dyDescent="0.3">
      <c r="A12" s="17" t="s">
        <v>26</v>
      </c>
      <c r="B12" s="17" t="s">
        <v>694</v>
      </c>
      <c r="C12" s="18">
        <v>0.33680555555555558</v>
      </c>
      <c r="D12" s="17" t="s">
        <v>28</v>
      </c>
      <c r="E12" s="17" t="s">
        <v>223</v>
      </c>
      <c r="F12" s="17" t="s">
        <v>692</v>
      </c>
      <c r="G12" s="257"/>
      <c r="H12" s="10"/>
      <c r="I12" s="11"/>
      <c r="J12" s="11"/>
      <c r="K12" s="11"/>
      <c r="L12" s="11"/>
      <c r="M12" s="11"/>
      <c r="N12" s="11"/>
      <c r="O12" s="12"/>
      <c r="P12" s="11"/>
      <c r="Q12" s="13"/>
      <c r="R12" s="14"/>
    </row>
    <row r="13" spans="1:92" ht="15" customHeight="1" x14ac:dyDescent="0.3">
      <c r="A13" s="15" t="s">
        <v>26</v>
      </c>
      <c r="B13" s="15" t="s">
        <v>694</v>
      </c>
      <c r="C13" s="16">
        <v>0.33680555555555558</v>
      </c>
      <c r="D13" s="15" t="s">
        <v>31</v>
      </c>
      <c r="E13" s="15" t="s">
        <v>32</v>
      </c>
      <c r="F13" s="15" t="s">
        <v>89</v>
      </c>
      <c r="G13" s="257"/>
      <c r="H13" s="10"/>
      <c r="I13" s="11"/>
      <c r="J13" s="11"/>
      <c r="K13" s="11"/>
      <c r="L13" s="11"/>
      <c r="M13" s="11"/>
      <c r="N13" s="11"/>
      <c r="O13" s="12"/>
      <c r="P13" s="11"/>
      <c r="Q13" s="13"/>
      <c r="R13" s="14"/>
    </row>
    <row r="14" spans="1:92" ht="15" customHeight="1" x14ac:dyDescent="0.3">
      <c r="A14" s="15" t="s">
        <v>26</v>
      </c>
      <c r="B14" s="15" t="s">
        <v>694</v>
      </c>
      <c r="C14" s="16">
        <v>0.33680555555555558</v>
      </c>
      <c r="D14" s="15" t="s">
        <v>34</v>
      </c>
      <c r="E14" s="15" t="s">
        <v>32</v>
      </c>
      <c r="F14" s="15" t="s">
        <v>693</v>
      </c>
      <c r="G14" s="257"/>
      <c r="H14" s="10"/>
      <c r="I14" s="11"/>
      <c r="J14" s="11"/>
      <c r="K14" s="11"/>
      <c r="L14" s="11"/>
      <c r="M14" s="11"/>
      <c r="N14" s="11"/>
      <c r="O14" s="12"/>
      <c r="P14" s="11"/>
      <c r="Q14" s="13"/>
      <c r="R14" s="14"/>
    </row>
    <row r="15" spans="1:92" ht="15" customHeight="1" x14ac:dyDescent="0.3">
      <c r="A15" s="19" t="s">
        <v>328</v>
      </c>
      <c r="B15" s="19" t="s">
        <v>695</v>
      </c>
      <c r="C15" s="20">
        <v>0.68055555555555547</v>
      </c>
      <c r="D15" s="19" t="s">
        <v>98</v>
      </c>
      <c r="E15" s="19" t="s">
        <v>54</v>
      </c>
      <c r="F15" s="19" t="s">
        <v>696</v>
      </c>
      <c r="G15" s="257"/>
      <c r="H15" s="10"/>
      <c r="I15" s="11"/>
      <c r="J15" s="11"/>
      <c r="K15" s="11"/>
      <c r="L15" s="11"/>
      <c r="M15" s="11"/>
      <c r="N15" s="11"/>
      <c r="O15" s="12"/>
      <c r="P15" s="11"/>
      <c r="Q15" s="13"/>
      <c r="R15" s="14"/>
    </row>
    <row r="16" spans="1:92" ht="15" customHeight="1" x14ac:dyDescent="0.3">
      <c r="A16" s="17" t="s">
        <v>328</v>
      </c>
      <c r="B16" s="17" t="s">
        <v>697</v>
      </c>
      <c r="C16" s="18">
        <v>7.6388888888888895E-2</v>
      </c>
      <c r="D16" s="17" t="s">
        <v>98</v>
      </c>
      <c r="E16" s="17" t="s">
        <v>285</v>
      </c>
      <c r="F16" s="17" t="s">
        <v>696</v>
      </c>
      <c r="G16" s="257"/>
      <c r="H16" s="10"/>
      <c r="I16" s="11"/>
      <c r="J16" s="11"/>
      <c r="K16" s="11"/>
      <c r="L16" s="11"/>
      <c r="M16" s="11"/>
      <c r="N16" s="11"/>
      <c r="O16" s="12"/>
      <c r="P16" s="11"/>
      <c r="Q16" s="13"/>
      <c r="R16" s="14"/>
    </row>
    <row r="17" spans="1:18" ht="15" customHeight="1" x14ac:dyDescent="0.3">
      <c r="A17" s="19" t="s">
        <v>235</v>
      </c>
      <c r="B17" s="19" t="s">
        <v>698</v>
      </c>
      <c r="C17" s="20">
        <v>0.3611111111111111</v>
      </c>
      <c r="D17" s="19" t="s">
        <v>98</v>
      </c>
      <c r="E17" s="19" t="s">
        <v>54</v>
      </c>
      <c r="F17" s="19" t="s">
        <v>699</v>
      </c>
      <c r="G17" s="257"/>
      <c r="H17" s="10"/>
      <c r="I17" s="11"/>
      <c r="J17" s="11"/>
      <c r="K17" s="11"/>
      <c r="L17" s="11"/>
      <c r="M17" s="11"/>
      <c r="N17" s="11"/>
      <c r="O17" s="12"/>
      <c r="P17" s="11"/>
      <c r="Q17" s="13"/>
      <c r="R17" s="14"/>
    </row>
    <row r="18" spans="1:18" ht="15" customHeight="1" x14ac:dyDescent="0.3">
      <c r="A18" s="17" t="s">
        <v>235</v>
      </c>
      <c r="B18" s="17" t="s">
        <v>700</v>
      </c>
      <c r="C18" s="18">
        <v>0.75694444444444453</v>
      </c>
      <c r="D18" s="17" t="s">
        <v>98</v>
      </c>
      <c r="E18" s="17" t="s">
        <v>72</v>
      </c>
      <c r="F18" s="17" t="s">
        <v>701</v>
      </c>
      <c r="G18" s="257"/>
      <c r="H18" s="10"/>
      <c r="I18" s="11"/>
      <c r="J18" s="11"/>
      <c r="K18" s="11"/>
      <c r="L18" s="11"/>
      <c r="M18" s="11"/>
      <c r="N18" s="11"/>
      <c r="O18" s="12"/>
      <c r="P18" s="11"/>
      <c r="Q18" s="13"/>
      <c r="R18" s="14"/>
    </row>
    <row r="19" spans="1:18" ht="15" customHeight="1" x14ac:dyDescent="0.3">
      <c r="A19" s="19" t="s">
        <v>67</v>
      </c>
      <c r="B19" s="19" t="s">
        <v>702</v>
      </c>
      <c r="C19" s="20">
        <v>0.33680555555555558</v>
      </c>
      <c r="D19" s="19" t="s">
        <v>69</v>
      </c>
      <c r="E19" s="19" t="s">
        <v>435</v>
      </c>
      <c r="F19" s="19" t="s">
        <v>703</v>
      </c>
      <c r="G19" s="257"/>
      <c r="H19" s="10"/>
      <c r="I19" s="11"/>
      <c r="J19" s="11"/>
      <c r="K19" s="11"/>
      <c r="L19" s="11"/>
      <c r="M19" s="11"/>
      <c r="N19" s="11"/>
      <c r="O19" s="12"/>
      <c r="P19" s="11"/>
      <c r="Q19" s="13"/>
      <c r="R19" s="14"/>
    </row>
    <row r="20" spans="1:18" ht="15" customHeight="1" x14ac:dyDescent="0.3">
      <c r="A20" s="17" t="s">
        <v>67</v>
      </c>
      <c r="B20" s="17" t="s">
        <v>704</v>
      </c>
      <c r="C20" s="18">
        <v>0.97916666666666663</v>
      </c>
      <c r="D20" s="17" t="s">
        <v>69</v>
      </c>
      <c r="E20" s="17" t="s">
        <v>72</v>
      </c>
      <c r="F20" s="17" t="s">
        <v>705</v>
      </c>
      <c r="G20" s="257"/>
      <c r="H20" s="10"/>
      <c r="I20" s="11"/>
      <c r="J20" s="11"/>
      <c r="K20" s="11"/>
      <c r="L20" s="11"/>
      <c r="M20" s="11"/>
      <c r="N20" s="11"/>
      <c r="O20" s="12"/>
      <c r="P20" s="11"/>
      <c r="Q20" s="13"/>
      <c r="R20" s="14"/>
    </row>
    <row r="21" spans="1:18" ht="15" customHeight="1" x14ac:dyDescent="0.3">
      <c r="A21" s="17" t="s">
        <v>67</v>
      </c>
      <c r="B21" s="17" t="s">
        <v>706</v>
      </c>
      <c r="C21" s="18">
        <v>0.67708333333333337</v>
      </c>
      <c r="D21" s="17" t="s">
        <v>69</v>
      </c>
      <c r="E21" s="17" t="s">
        <v>72</v>
      </c>
      <c r="F21" s="17" t="s">
        <v>707</v>
      </c>
      <c r="G21" s="257"/>
      <c r="H21" s="10"/>
      <c r="I21" s="11"/>
      <c r="J21" s="11"/>
      <c r="K21" s="11"/>
      <c r="L21" s="11"/>
      <c r="M21" s="11"/>
      <c r="N21" s="11"/>
      <c r="O21" s="12"/>
      <c r="P21" s="11"/>
      <c r="Q21" s="13"/>
      <c r="R21" s="14"/>
    </row>
    <row r="22" spans="1:18" ht="15" customHeight="1" x14ac:dyDescent="0.3">
      <c r="A22" s="203" t="s">
        <v>78</v>
      </c>
      <c r="B22" s="203" t="s">
        <v>708</v>
      </c>
      <c r="C22" s="204">
        <v>0.72222222222222221</v>
      </c>
      <c r="D22" s="203" t="s">
        <v>98</v>
      </c>
      <c r="E22" s="203" t="s">
        <v>99</v>
      </c>
      <c r="F22" s="203" t="s">
        <v>209</v>
      </c>
      <c r="G22" s="257"/>
      <c r="H22" s="129" t="s">
        <v>709</v>
      </c>
      <c r="I22" s="205">
        <v>0.47870000000000001</v>
      </c>
      <c r="J22" s="131">
        <v>90</v>
      </c>
      <c r="K22" s="132">
        <v>45980</v>
      </c>
      <c r="L22" s="131">
        <v>23</v>
      </c>
      <c r="M22" s="131">
        <v>1</v>
      </c>
      <c r="N22" s="131">
        <v>1</v>
      </c>
      <c r="O22" s="133" t="s">
        <v>487</v>
      </c>
      <c r="P22" s="134">
        <v>0.72222222222222221</v>
      </c>
      <c r="Q22" s="131">
        <v>188</v>
      </c>
      <c r="R22" s="135" t="s">
        <v>710</v>
      </c>
    </row>
    <row r="23" spans="1:18" ht="15" customHeight="1" thickBot="1" x14ac:dyDescent="0.35">
      <c r="A23" s="206" t="s">
        <v>51</v>
      </c>
      <c r="B23" s="206" t="s">
        <v>711</v>
      </c>
      <c r="C23" s="207">
        <v>0.44791666666666669</v>
      </c>
      <c r="D23" s="206" t="s">
        <v>56</v>
      </c>
      <c r="E23" s="206" t="s">
        <v>332</v>
      </c>
      <c r="F23" s="206" t="s">
        <v>605</v>
      </c>
      <c r="G23" s="258"/>
      <c r="H23" s="41"/>
      <c r="I23" s="42"/>
      <c r="J23" s="42"/>
      <c r="K23" s="42"/>
      <c r="L23" s="42"/>
      <c r="M23" s="42"/>
      <c r="N23" s="42"/>
      <c r="O23" s="43"/>
      <c r="P23" s="42"/>
      <c r="Q23" s="44"/>
      <c r="R23" s="45"/>
    </row>
    <row r="24" spans="1:18" ht="17.399999999999999" customHeight="1" thickBot="1" x14ac:dyDescent="0.35">
      <c r="A24" s="285"/>
      <c r="B24" s="286"/>
      <c r="C24" s="286"/>
      <c r="D24" s="286"/>
      <c r="E24" s="286"/>
      <c r="F24" s="286"/>
      <c r="G24" s="286"/>
      <c r="H24" s="286"/>
      <c r="I24" s="286"/>
      <c r="J24" s="286"/>
      <c r="K24" s="286"/>
      <c r="L24" s="286"/>
      <c r="M24" s="286"/>
      <c r="N24" s="286"/>
      <c r="O24" s="286"/>
      <c r="P24" s="286"/>
      <c r="Q24" s="286"/>
      <c r="R24" s="287"/>
    </row>
    <row r="25" spans="1:18" ht="22.05" customHeight="1" thickTop="1" thickBot="1" x14ac:dyDescent="0.35">
      <c r="A25" s="259" t="s">
        <v>6</v>
      </c>
      <c r="B25" s="254"/>
      <c r="C25" s="254"/>
      <c r="D25" s="254"/>
      <c r="E25" s="254"/>
      <c r="F25" s="255"/>
      <c r="G25" s="31">
        <v>45982</v>
      </c>
      <c r="H25" s="253" t="s">
        <v>7</v>
      </c>
      <c r="I25" s="254"/>
      <c r="J25" s="254"/>
      <c r="K25" s="254"/>
      <c r="L25" s="254"/>
      <c r="M25" s="254"/>
      <c r="N25" s="254"/>
      <c r="O25" s="254"/>
      <c r="P25" s="254"/>
      <c r="Q25" s="254"/>
      <c r="R25" s="255"/>
    </row>
    <row r="26" spans="1:18" ht="24" customHeight="1" x14ac:dyDescent="0.3">
      <c r="A26" s="32" t="s">
        <v>8</v>
      </c>
      <c r="B26" s="32" t="s">
        <v>9</v>
      </c>
      <c r="C26" s="33" t="s">
        <v>10</v>
      </c>
      <c r="D26" s="32" t="s">
        <v>11</v>
      </c>
      <c r="E26" s="32" t="s">
        <v>12</v>
      </c>
      <c r="F26" s="34" t="s">
        <v>13</v>
      </c>
      <c r="G26" s="35" t="s">
        <v>14</v>
      </c>
      <c r="H26" s="32" t="s">
        <v>15</v>
      </c>
      <c r="I26" s="36" t="s">
        <v>16</v>
      </c>
      <c r="J26" s="37" t="s">
        <v>17</v>
      </c>
      <c r="K26" s="38" t="s">
        <v>18</v>
      </c>
      <c r="L26" s="37" t="s">
        <v>19</v>
      </c>
      <c r="M26" s="37" t="s">
        <v>20</v>
      </c>
      <c r="N26" s="37" t="s">
        <v>21</v>
      </c>
      <c r="O26" s="32" t="s">
        <v>22</v>
      </c>
      <c r="P26" s="33" t="s">
        <v>23</v>
      </c>
      <c r="Q26" s="37" t="s">
        <v>24</v>
      </c>
      <c r="R26" s="32" t="s">
        <v>25</v>
      </c>
    </row>
    <row r="27" spans="1:18" ht="15" customHeight="1" x14ac:dyDescent="0.3">
      <c r="A27" s="8" t="s">
        <v>328</v>
      </c>
      <c r="B27" s="8" t="s">
        <v>712</v>
      </c>
      <c r="C27" s="9">
        <v>6.9444444444444441E-3</v>
      </c>
      <c r="D27" s="8" t="s">
        <v>98</v>
      </c>
      <c r="E27" s="8" t="s">
        <v>84</v>
      </c>
      <c r="F27" s="8" t="s">
        <v>696</v>
      </c>
      <c r="G27" s="256"/>
      <c r="H27" s="10"/>
      <c r="I27" s="11"/>
      <c r="J27" s="11"/>
      <c r="K27" s="11"/>
      <c r="L27" s="11"/>
      <c r="M27" s="11"/>
      <c r="N27" s="11"/>
      <c r="O27" s="12"/>
      <c r="P27" s="11"/>
      <c r="Q27" s="13"/>
      <c r="R27" s="14"/>
    </row>
    <row r="28" spans="1:18" ht="15" customHeight="1" x14ac:dyDescent="0.3">
      <c r="A28" s="17" t="s">
        <v>328</v>
      </c>
      <c r="B28" s="17" t="s">
        <v>695</v>
      </c>
      <c r="C28" s="18">
        <v>0.96527777777777779</v>
      </c>
      <c r="D28" s="17" t="s">
        <v>98</v>
      </c>
      <c r="E28" s="17" t="s">
        <v>72</v>
      </c>
      <c r="F28" s="17" t="s">
        <v>713</v>
      </c>
      <c r="G28" s="257"/>
      <c r="H28" s="10"/>
      <c r="I28" s="11"/>
      <c r="J28" s="11"/>
      <c r="K28" s="11"/>
      <c r="L28" s="11"/>
      <c r="M28" s="11"/>
      <c r="N28" s="11"/>
      <c r="O28" s="12"/>
      <c r="P28" s="11"/>
      <c r="Q28" s="13"/>
      <c r="R28" s="14"/>
    </row>
    <row r="29" spans="1:18" ht="15" customHeight="1" x14ac:dyDescent="0.3">
      <c r="A29" s="19" t="s">
        <v>235</v>
      </c>
      <c r="B29" s="19" t="s">
        <v>714</v>
      </c>
      <c r="C29" s="20">
        <v>0.80555555555555547</v>
      </c>
      <c r="D29" s="19" t="s">
        <v>98</v>
      </c>
      <c r="E29" s="19" t="s">
        <v>54</v>
      </c>
      <c r="F29" s="19" t="s">
        <v>715</v>
      </c>
      <c r="G29" s="257"/>
      <c r="H29" s="10"/>
      <c r="I29" s="11"/>
      <c r="J29" s="11"/>
      <c r="K29" s="11"/>
      <c r="L29" s="11"/>
      <c r="M29" s="11"/>
      <c r="N29" s="11"/>
      <c r="O29" s="12"/>
      <c r="P29" s="11"/>
      <c r="Q29" s="13"/>
      <c r="R29" s="14"/>
    </row>
    <row r="30" spans="1:18" ht="15" customHeight="1" x14ac:dyDescent="0.3">
      <c r="A30" s="208" t="s">
        <v>78</v>
      </c>
      <c r="B30" s="208" t="s">
        <v>708</v>
      </c>
      <c r="C30" s="209">
        <v>0.38194444444444442</v>
      </c>
      <c r="D30" s="208" t="s">
        <v>98</v>
      </c>
      <c r="E30" s="208" t="s">
        <v>84</v>
      </c>
      <c r="F30" s="208" t="s">
        <v>209</v>
      </c>
      <c r="G30" s="257"/>
      <c r="H30" s="148" t="s">
        <v>709</v>
      </c>
      <c r="I30" s="149">
        <v>0.55559999999999998</v>
      </c>
      <c r="J30" s="150">
        <v>100</v>
      </c>
      <c r="K30" s="151">
        <v>45980</v>
      </c>
      <c r="L30" s="150">
        <v>56</v>
      </c>
      <c r="M30" s="150">
        <v>5</v>
      </c>
      <c r="N30" s="150">
        <v>5</v>
      </c>
      <c r="O30" s="152" t="s">
        <v>351</v>
      </c>
      <c r="P30" s="153">
        <v>0.38194444444444442</v>
      </c>
      <c r="Q30" s="150">
        <v>180</v>
      </c>
      <c r="R30" s="154" t="s">
        <v>716</v>
      </c>
    </row>
    <row r="31" spans="1:18" ht="15" customHeight="1" x14ac:dyDescent="0.3">
      <c r="A31" s="19" t="s">
        <v>67</v>
      </c>
      <c r="B31" s="19" t="s">
        <v>704</v>
      </c>
      <c r="C31" s="20">
        <v>0.97916666666666663</v>
      </c>
      <c r="D31" s="19" t="s">
        <v>69</v>
      </c>
      <c r="E31" s="19" t="s">
        <v>54</v>
      </c>
      <c r="F31" s="19" t="s">
        <v>707</v>
      </c>
      <c r="G31" s="257"/>
      <c r="H31" s="10"/>
      <c r="I31" s="11"/>
      <c r="J31" s="11"/>
      <c r="K31" s="11"/>
      <c r="L31" s="11"/>
      <c r="M31" s="11"/>
      <c r="N31" s="11"/>
      <c r="O31" s="12"/>
      <c r="P31" s="11"/>
      <c r="Q31" s="13"/>
      <c r="R31" s="14"/>
    </row>
    <row r="32" spans="1:18" ht="15" customHeight="1" x14ac:dyDescent="0.3">
      <c r="A32" s="17" t="s">
        <v>67</v>
      </c>
      <c r="B32" s="17" t="s">
        <v>702</v>
      </c>
      <c r="C32" s="18">
        <v>0.33680555555555558</v>
      </c>
      <c r="D32" s="17" t="s">
        <v>69</v>
      </c>
      <c r="E32" s="17" t="s">
        <v>72</v>
      </c>
      <c r="F32" s="17" t="s">
        <v>707</v>
      </c>
      <c r="G32" s="257"/>
      <c r="H32" s="10"/>
      <c r="I32" s="11"/>
      <c r="J32" s="11"/>
      <c r="K32" s="11"/>
      <c r="L32" s="11"/>
      <c r="M32" s="11"/>
      <c r="N32" s="11"/>
      <c r="O32" s="12"/>
      <c r="P32" s="11"/>
      <c r="Q32" s="13"/>
      <c r="R32" s="14"/>
    </row>
    <row r="33" spans="1:18" ht="15" customHeight="1" x14ac:dyDescent="0.3">
      <c r="A33" s="17" t="s">
        <v>67</v>
      </c>
      <c r="B33" s="17" t="s">
        <v>706</v>
      </c>
      <c r="C33" s="18">
        <v>0.67361111111111116</v>
      </c>
      <c r="D33" s="17" t="s">
        <v>69</v>
      </c>
      <c r="E33" s="17" t="s">
        <v>94</v>
      </c>
      <c r="F33" s="17" t="s">
        <v>717</v>
      </c>
      <c r="G33" s="257"/>
      <c r="H33" s="10"/>
      <c r="I33" s="11"/>
      <c r="J33" s="11"/>
      <c r="K33" s="11"/>
      <c r="L33" s="11"/>
      <c r="M33" s="11"/>
      <c r="N33" s="11"/>
      <c r="O33" s="12"/>
      <c r="P33" s="11"/>
      <c r="Q33" s="13"/>
      <c r="R33" s="14"/>
    </row>
    <row r="34" spans="1:18" ht="15" customHeight="1" thickBot="1" x14ac:dyDescent="0.35">
      <c r="A34" s="206" t="s">
        <v>51</v>
      </c>
      <c r="B34" s="206" t="s">
        <v>711</v>
      </c>
      <c r="C34" s="207">
        <v>0.44791666666666669</v>
      </c>
      <c r="D34" s="206" t="s">
        <v>56</v>
      </c>
      <c r="E34" s="206" t="s">
        <v>332</v>
      </c>
      <c r="F34" s="206" t="s">
        <v>649</v>
      </c>
      <c r="G34" s="258"/>
      <c r="H34" s="41"/>
      <c r="I34" s="42"/>
      <c r="J34" s="42"/>
      <c r="K34" s="42"/>
      <c r="L34" s="42"/>
      <c r="M34" s="42"/>
      <c r="N34" s="42"/>
      <c r="O34" s="43"/>
      <c r="P34" s="42"/>
      <c r="Q34" s="44"/>
      <c r="R34" s="45"/>
    </row>
    <row r="35" spans="1:18" ht="17.399999999999999" customHeight="1" thickBot="1" x14ac:dyDescent="0.35">
      <c r="A35" s="285"/>
      <c r="B35" s="286"/>
      <c r="C35" s="286"/>
      <c r="D35" s="286"/>
      <c r="E35" s="286"/>
      <c r="F35" s="286"/>
      <c r="G35" s="286"/>
      <c r="H35" s="286"/>
      <c r="I35" s="286"/>
      <c r="J35" s="286"/>
      <c r="K35" s="286"/>
      <c r="L35" s="286"/>
      <c r="M35" s="286"/>
      <c r="N35" s="286"/>
      <c r="O35" s="286"/>
      <c r="P35" s="286"/>
      <c r="Q35" s="286"/>
      <c r="R35" s="287"/>
    </row>
    <row r="36" spans="1:18" ht="22.05" customHeight="1" thickTop="1" thickBot="1" x14ac:dyDescent="0.35">
      <c r="A36" s="259" t="s">
        <v>6</v>
      </c>
      <c r="B36" s="254"/>
      <c r="C36" s="254"/>
      <c r="D36" s="254"/>
      <c r="E36" s="254"/>
      <c r="F36" s="255"/>
      <c r="G36" s="31">
        <v>45983</v>
      </c>
      <c r="H36" s="253" t="s">
        <v>7</v>
      </c>
      <c r="I36" s="254"/>
      <c r="J36" s="254"/>
      <c r="K36" s="254"/>
      <c r="L36" s="254"/>
      <c r="M36" s="254"/>
      <c r="N36" s="254"/>
      <c r="O36" s="254"/>
      <c r="P36" s="254"/>
      <c r="Q36" s="254"/>
      <c r="R36" s="255"/>
    </row>
    <row r="37" spans="1:18" ht="24" customHeight="1" x14ac:dyDescent="0.3">
      <c r="A37" s="32" t="s">
        <v>8</v>
      </c>
      <c r="B37" s="32" t="s">
        <v>9</v>
      </c>
      <c r="C37" s="33" t="s">
        <v>10</v>
      </c>
      <c r="D37" s="32" t="s">
        <v>11</v>
      </c>
      <c r="E37" s="32" t="s">
        <v>12</v>
      </c>
      <c r="F37" s="34" t="s">
        <v>13</v>
      </c>
      <c r="G37" s="35" t="s">
        <v>14</v>
      </c>
      <c r="H37" s="32" t="s">
        <v>15</v>
      </c>
      <c r="I37" s="36" t="s">
        <v>16</v>
      </c>
      <c r="J37" s="37" t="s">
        <v>17</v>
      </c>
      <c r="K37" s="38" t="s">
        <v>18</v>
      </c>
      <c r="L37" s="37" t="s">
        <v>19</v>
      </c>
      <c r="M37" s="37" t="s">
        <v>20</v>
      </c>
      <c r="N37" s="37" t="s">
        <v>21</v>
      </c>
      <c r="O37" s="32" t="s">
        <v>22</v>
      </c>
      <c r="P37" s="33" t="s">
        <v>23</v>
      </c>
      <c r="Q37" s="37" t="s">
        <v>24</v>
      </c>
      <c r="R37" s="32" t="s">
        <v>25</v>
      </c>
    </row>
    <row r="38" spans="1:18" ht="49.95" customHeight="1" x14ac:dyDescent="0.3">
      <c r="A38" s="203" t="s">
        <v>78</v>
      </c>
      <c r="B38" s="203" t="s">
        <v>708</v>
      </c>
      <c r="C38" s="204">
        <v>0.72222222222222221</v>
      </c>
      <c r="D38" s="203" t="s">
        <v>98</v>
      </c>
      <c r="E38" s="203" t="s">
        <v>84</v>
      </c>
      <c r="F38" s="203" t="s">
        <v>209</v>
      </c>
      <c r="G38" s="256"/>
      <c r="H38" s="129" t="s">
        <v>709</v>
      </c>
      <c r="I38" s="155">
        <v>0.65559999999999996</v>
      </c>
      <c r="J38" s="131">
        <v>118</v>
      </c>
      <c r="K38" s="132">
        <v>45980</v>
      </c>
      <c r="L38" s="131">
        <v>64</v>
      </c>
      <c r="M38" s="131">
        <v>10</v>
      </c>
      <c r="N38" s="131">
        <v>17</v>
      </c>
      <c r="O38" s="133" t="s">
        <v>351</v>
      </c>
      <c r="P38" s="134">
        <v>0.72222222222222221</v>
      </c>
      <c r="Q38" s="131">
        <v>180</v>
      </c>
      <c r="R38" s="135" t="s">
        <v>718</v>
      </c>
    </row>
    <row r="39" spans="1:18" ht="49.95" customHeight="1" x14ac:dyDescent="0.3">
      <c r="A39" s="19" t="s">
        <v>235</v>
      </c>
      <c r="B39" s="19" t="s">
        <v>700</v>
      </c>
      <c r="C39" s="20">
        <v>0.69444444444444453</v>
      </c>
      <c r="D39" s="19" t="s">
        <v>98</v>
      </c>
      <c r="E39" s="19" t="s">
        <v>453</v>
      </c>
      <c r="F39" s="19" t="s">
        <v>719</v>
      </c>
      <c r="G39" s="257"/>
      <c r="H39" s="10"/>
      <c r="I39" s="11"/>
      <c r="J39" s="11"/>
      <c r="K39" s="11"/>
      <c r="L39" s="11"/>
      <c r="M39" s="11"/>
      <c r="N39" s="11"/>
      <c r="O39" s="12"/>
      <c r="P39" s="11"/>
      <c r="Q39" s="13"/>
      <c r="R39" s="14"/>
    </row>
    <row r="40" spans="1:18" ht="49.95" customHeight="1" x14ac:dyDescent="0.3">
      <c r="A40" s="19" t="s">
        <v>67</v>
      </c>
      <c r="B40" s="19" t="s">
        <v>704</v>
      </c>
      <c r="C40" s="20">
        <v>0.97916666666666663</v>
      </c>
      <c r="D40" s="19" t="s">
        <v>69</v>
      </c>
      <c r="E40" s="19" t="s">
        <v>54</v>
      </c>
      <c r="F40" s="19" t="s">
        <v>720</v>
      </c>
      <c r="G40" s="257"/>
      <c r="H40" s="10"/>
      <c r="I40" s="11"/>
      <c r="J40" s="11"/>
      <c r="K40" s="11"/>
      <c r="L40" s="11"/>
      <c r="M40" s="11"/>
      <c r="N40" s="11"/>
      <c r="O40" s="12"/>
      <c r="P40" s="11"/>
      <c r="Q40" s="13"/>
      <c r="R40" s="14"/>
    </row>
    <row r="41" spans="1:18" ht="49.95" customHeight="1" x14ac:dyDescent="0.3">
      <c r="A41" s="206" t="s">
        <v>51</v>
      </c>
      <c r="B41" s="206" t="s">
        <v>711</v>
      </c>
      <c r="C41" s="207">
        <v>0.44791666666666669</v>
      </c>
      <c r="D41" s="206" t="s">
        <v>56</v>
      </c>
      <c r="E41" s="206" t="s">
        <v>332</v>
      </c>
      <c r="F41" s="206" t="s">
        <v>721</v>
      </c>
      <c r="G41" s="258"/>
      <c r="H41" s="41"/>
      <c r="I41" s="42"/>
      <c r="J41" s="42"/>
      <c r="K41" s="42"/>
      <c r="L41" s="42"/>
      <c r="M41" s="42"/>
      <c r="N41" s="42"/>
      <c r="O41" s="43"/>
      <c r="P41" s="42"/>
      <c r="Q41" s="44"/>
      <c r="R41" s="45"/>
    </row>
  </sheetData>
  <mergeCells count="18">
    <mergeCell ref="G38:G41"/>
    <mergeCell ref="A35:R35"/>
    <mergeCell ref="G27:G34"/>
    <mergeCell ref="H4:R4"/>
    <mergeCell ref="H36:R36"/>
    <mergeCell ref="A25:F25"/>
    <mergeCell ref="H1:L1"/>
    <mergeCell ref="A1:E1"/>
    <mergeCell ref="G2:J2"/>
    <mergeCell ref="K2:R2"/>
    <mergeCell ref="A4:F4"/>
    <mergeCell ref="N1:R1"/>
    <mergeCell ref="A2:F2"/>
    <mergeCell ref="A3:R3"/>
    <mergeCell ref="H25:R25"/>
    <mergeCell ref="A36:F36"/>
    <mergeCell ref="A24:R24"/>
    <mergeCell ref="G6:G23"/>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J5"/>
  <sheetViews>
    <sheetView workbookViewId="0"/>
  </sheetViews>
  <sheetFormatPr defaultRowHeight="15.6" outlineLevelCol="1" x14ac:dyDescent="0.3"/>
  <cols>
    <col min="1" max="1" width="9.88671875" style="272" bestFit="1" customWidth="1"/>
    <col min="2" max="2" width="10.44140625" style="272" bestFit="1" customWidth="1"/>
    <col min="3" max="3" width="6.77734375" style="272" bestFit="1" customWidth="1"/>
    <col min="4" max="4" width="5.5546875" style="272" bestFit="1" customWidth="1"/>
    <col min="5" max="5" width="9.21875" style="272" bestFit="1" customWidth="1"/>
    <col min="6" max="6" width="4.21875" style="272" bestFit="1" customWidth="1"/>
    <col min="7" max="7" width="10" style="272" bestFit="1" customWidth="1"/>
    <col min="8" max="10" width="7" style="272" bestFit="1" customWidth="1"/>
    <col min="11" max="11" width="10.5546875" style="272" bestFit="1" customWidth="1"/>
    <col min="12" max="12" width="9.10937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23" width="3.88671875" style="272" bestFit="1" customWidth="1"/>
    <col min="24" max="24" width="4.109375" style="272" bestFit="1" customWidth="1"/>
    <col min="25" max="25" width="4.44140625" style="272" bestFit="1" customWidth="1"/>
    <col min="26" max="26" width="4.109375" style="272" bestFit="1" customWidth="1"/>
    <col min="27" max="27" width="5" style="272" bestFit="1" customWidth="1"/>
    <col min="28" max="29" width="4.21875" style="272" bestFit="1" customWidth="1"/>
    <col min="30" max="31" width="4.5546875" style="272" bestFit="1" customWidth="1"/>
    <col min="32" max="36" width="3.88671875" style="272" bestFit="1" customWidth="1"/>
    <col min="37" max="16384" width="8.88671875" style="272"/>
  </cols>
  <sheetData>
    <row r="1" spans="1:36" x14ac:dyDescent="0.3">
      <c r="A1" s="271" t="s">
        <v>103</v>
      </c>
      <c r="B1" s="271" t="s">
        <v>104</v>
      </c>
      <c r="C1" s="271" t="s">
        <v>105</v>
      </c>
      <c r="D1" s="271" t="s">
        <v>23</v>
      </c>
      <c r="E1" s="271" t="s">
        <v>106</v>
      </c>
      <c r="F1" s="271" t="s">
        <v>107</v>
      </c>
      <c r="G1" s="271" t="s">
        <v>16</v>
      </c>
      <c r="H1" s="271" t="s">
        <v>108</v>
      </c>
      <c r="I1" s="271" t="s">
        <v>109</v>
      </c>
      <c r="J1" s="271" t="s">
        <v>110</v>
      </c>
      <c r="K1" s="271" t="s">
        <v>111</v>
      </c>
      <c r="L1" s="271" t="s">
        <v>18</v>
      </c>
      <c r="M1" s="271" t="s">
        <v>20</v>
      </c>
      <c r="N1" s="271" t="s">
        <v>21</v>
      </c>
      <c r="O1" s="271" t="s">
        <v>19</v>
      </c>
      <c r="P1" s="271" t="s">
        <v>22</v>
      </c>
      <c r="Q1" s="271" t="s">
        <v>112</v>
      </c>
      <c r="R1" s="271" t="s">
        <v>113</v>
      </c>
      <c r="S1" s="271" t="s">
        <v>114</v>
      </c>
      <c r="T1" s="271" t="s">
        <v>115</v>
      </c>
      <c r="U1" s="271" t="s">
        <v>116</v>
      </c>
      <c r="V1" s="271" t="s">
        <v>117</v>
      </c>
      <c r="W1" s="271" t="s">
        <v>118</v>
      </c>
      <c r="X1" s="271" t="s">
        <v>119</v>
      </c>
      <c r="Y1" s="271" t="s">
        <v>120</v>
      </c>
      <c r="Z1" s="271" t="s">
        <v>121</v>
      </c>
      <c r="AA1" s="271" t="s">
        <v>122</v>
      </c>
      <c r="AB1" s="271" t="s">
        <v>123</v>
      </c>
      <c r="AC1" s="271" t="s">
        <v>124</v>
      </c>
      <c r="AD1" s="271" t="s">
        <v>125</v>
      </c>
      <c r="AE1" s="271" t="s">
        <v>126</v>
      </c>
      <c r="AF1" s="271" t="s">
        <v>127</v>
      </c>
      <c r="AG1" s="271" t="s">
        <v>128</v>
      </c>
      <c r="AH1" s="271" t="s">
        <v>129</v>
      </c>
      <c r="AI1" s="271" t="s">
        <v>130</v>
      </c>
      <c r="AJ1" s="271" t="s">
        <v>131</v>
      </c>
    </row>
    <row r="2" spans="1:36" x14ac:dyDescent="0.3">
      <c r="A2" s="273" t="s">
        <v>132</v>
      </c>
      <c r="B2" s="274">
        <v>45981</v>
      </c>
      <c r="C2" s="275" t="s">
        <v>709</v>
      </c>
      <c r="D2" s="276" t="s">
        <v>722</v>
      </c>
      <c r="E2" s="275" t="s">
        <v>687</v>
      </c>
      <c r="F2" s="275" t="s">
        <v>134</v>
      </c>
      <c r="G2" s="277">
        <v>0.47870000000000001</v>
      </c>
      <c r="H2" s="278">
        <v>188</v>
      </c>
      <c r="I2" s="278">
        <v>90</v>
      </c>
      <c r="J2" s="278">
        <v>0</v>
      </c>
      <c r="K2" s="275" t="s">
        <v>135</v>
      </c>
      <c r="L2" s="279">
        <v>45980</v>
      </c>
      <c r="M2" s="278">
        <v>1</v>
      </c>
      <c r="N2" s="278">
        <v>1</v>
      </c>
      <c r="O2" s="278">
        <v>23</v>
      </c>
      <c r="P2" s="275" t="s">
        <v>487</v>
      </c>
      <c r="Q2" s="271"/>
      <c r="R2" s="271"/>
      <c r="S2" s="271"/>
      <c r="T2" s="271"/>
      <c r="U2" s="271"/>
      <c r="V2" s="271"/>
      <c r="W2" s="278" t="s">
        <v>101</v>
      </c>
      <c r="X2" s="278" t="s">
        <v>723</v>
      </c>
      <c r="Y2" s="278" t="s">
        <v>724</v>
      </c>
      <c r="Z2" s="278" t="s">
        <v>725</v>
      </c>
      <c r="AA2" s="271"/>
      <c r="AB2" s="271"/>
      <c r="AC2" s="271"/>
      <c r="AD2" s="278" t="s">
        <v>726</v>
      </c>
      <c r="AE2" s="278" t="s">
        <v>727</v>
      </c>
      <c r="AF2" s="278" t="s">
        <v>728</v>
      </c>
      <c r="AG2" s="271"/>
      <c r="AH2" s="271"/>
      <c r="AI2" s="271"/>
      <c r="AJ2" s="271"/>
    </row>
    <row r="3" spans="1:36" x14ac:dyDescent="0.3">
      <c r="A3" s="273" t="s">
        <v>377</v>
      </c>
      <c r="B3" s="274">
        <v>45982</v>
      </c>
      <c r="C3" s="275" t="s">
        <v>709</v>
      </c>
      <c r="D3" s="276" t="s">
        <v>133</v>
      </c>
      <c r="E3" s="275" t="s">
        <v>687</v>
      </c>
      <c r="F3" s="275" t="s">
        <v>134</v>
      </c>
      <c r="G3" s="277">
        <v>0.55559999999999998</v>
      </c>
      <c r="H3" s="278">
        <v>180</v>
      </c>
      <c r="I3" s="278">
        <v>100</v>
      </c>
      <c r="J3" s="278">
        <v>0</v>
      </c>
      <c r="K3" s="275" t="s">
        <v>135</v>
      </c>
      <c r="L3" s="279">
        <v>45980</v>
      </c>
      <c r="M3" s="278">
        <v>5</v>
      </c>
      <c r="N3" s="278">
        <v>5</v>
      </c>
      <c r="O3" s="278">
        <v>56</v>
      </c>
      <c r="P3" s="275" t="s">
        <v>351</v>
      </c>
      <c r="Q3" s="271"/>
      <c r="R3" s="271"/>
      <c r="S3" s="271"/>
      <c r="T3" s="271"/>
      <c r="U3" s="271"/>
      <c r="V3" s="271"/>
      <c r="W3" s="278" t="s">
        <v>146</v>
      </c>
      <c r="X3" s="278" t="s">
        <v>729</v>
      </c>
      <c r="Y3" s="278" t="s">
        <v>724</v>
      </c>
      <c r="Z3" s="278" t="s">
        <v>730</v>
      </c>
      <c r="AA3" s="278" t="s">
        <v>353</v>
      </c>
      <c r="AB3" s="278" t="s">
        <v>354</v>
      </c>
      <c r="AC3" s="278" t="s">
        <v>657</v>
      </c>
      <c r="AD3" s="271"/>
      <c r="AE3" s="278" t="s">
        <v>731</v>
      </c>
      <c r="AF3" s="278" t="s">
        <v>369</v>
      </c>
      <c r="AG3" s="271"/>
      <c r="AH3" s="271"/>
      <c r="AI3" s="271"/>
      <c r="AJ3" s="271"/>
    </row>
    <row r="4" spans="1:36" x14ac:dyDescent="0.3">
      <c r="A4" s="273" t="s">
        <v>144</v>
      </c>
      <c r="B4" s="274">
        <v>45983</v>
      </c>
      <c r="C4" s="275" t="s">
        <v>709</v>
      </c>
      <c r="D4" s="276" t="s">
        <v>722</v>
      </c>
      <c r="E4" s="275" t="s">
        <v>687</v>
      </c>
      <c r="F4" s="275" t="s">
        <v>134</v>
      </c>
      <c r="G4" s="277">
        <v>0.65559999999999996</v>
      </c>
      <c r="H4" s="278">
        <v>180</v>
      </c>
      <c r="I4" s="278">
        <v>118</v>
      </c>
      <c r="J4" s="278">
        <v>0</v>
      </c>
      <c r="K4" s="275" t="s">
        <v>135</v>
      </c>
      <c r="L4" s="279">
        <v>45980</v>
      </c>
      <c r="M4" s="278">
        <v>10</v>
      </c>
      <c r="N4" s="278">
        <v>17</v>
      </c>
      <c r="O4" s="278">
        <v>64</v>
      </c>
      <c r="P4" s="275" t="s">
        <v>351</v>
      </c>
      <c r="Q4" s="271"/>
      <c r="R4" s="271"/>
      <c r="S4" s="271"/>
      <c r="T4" s="271"/>
      <c r="U4" s="271"/>
      <c r="V4" s="271"/>
      <c r="W4" s="278" t="s">
        <v>732</v>
      </c>
      <c r="X4" s="278" t="s">
        <v>733</v>
      </c>
      <c r="Y4" s="278" t="s">
        <v>734</v>
      </c>
      <c r="Z4" s="278" t="s">
        <v>249</v>
      </c>
      <c r="AA4" s="278" t="s">
        <v>194</v>
      </c>
      <c r="AB4" s="278" t="s">
        <v>195</v>
      </c>
      <c r="AC4" s="278" t="s">
        <v>735</v>
      </c>
      <c r="AD4" s="278" t="s">
        <v>736</v>
      </c>
      <c r="AE4" s="278" t="s">
        <v>727</v>
      </c>
      <c r="AF4" s="278" t="s">
        <v>737</v>
      </c>
      <c r="AG4" s="271"/>
      <c r="AH4" s="271"/>
      <c r="AI4" s="271"/>
      <c r="AJ4" s="271"/>
    </row>
    <row r="5" spans="1:36" ht="21" x14ac:dyDescent="0.3">
      <c r="A5" s="280" t="s">
        <v>932</v>
      </c>
      <c r="B5" s="281"/>
      <c r="C5" s="280">
        <f>SUBTOTAL(103,CAI_DMM_LF_LEGACY[Flt])</f>
        <v>3</v>
      </c>
      <c r="D5" s="280"/>
      <c r="E5" s="280">
        <f>SUBTOTAL(103,CAI_DMM_LF_LEGACY[Brd-Off])</f>
        <v>3</v>
      </c>
      <c r="F5" s="280"/>
      <c r="G5" s="282">
        <f>SUBTOTAL(101,CAI_DMM_LF_LEGACY[LF%])</f>
        <v>0.56330000000000002</v>
      </c>
      <c r="H5" s="283">
        <f>SUBTOTAL(109,CAI_DMM_LF_LEGACY[CAP])</f>
        <v>548</v>
      </c>
      <c r="I5" s="283">
        <f>SUBTOTAL(109,CAI_DMM_LF_LEGACY[BKG(Y)])</f>
        <v>308</v>
      </c>
      <c r="J5" s="283">
        <f>SUBTOTAL(109,CAI_DMM_LF_LEGACY[GRP(Y)])</f>
        <v>0</v>
      </c>
      <c r="K5" s="280"/>
      <c r="L5" s="281"/>
      <c r="M5" s="283">
        <f>SUBTOTAL(109,CAI_DMM_LF_LEGACY[TO-DAY])</f>
        <v>16</v>
      </c>
      <c r="N5" s="283">
        <f>SUBTOTAL(109,CAI_DMM_LF_LEGACY[Y-DAY])</f>
        <v>23</v>
      </c>
      <c r="O5" s="283">
        <f>SUBTOTAL(109,CAI_DMM_LF_LEGACY[WEEKLY])</f>
        <v>143</v>
      </c>
      <c r="P5" s="284"/>
      <c r="Q5" s="283">
        <f>SUBTOTAL(109,CAI_DMM_LF_LEGACY[Y])</f>
        <v>0</v>
      </c>
      <c r="R5" s="283">
        <f>SUBTOTAL(109,CAI_DMM_LF_LEGACY[B])</f>
        <v>0</v>
      </c>
      <c r="S5" s="283">
        <f>SUBTOTAL(109,CAI_DMM_LF_LEGACY[M])</f>
        <v>0</v>
      </c>
      <c r="T5" s="283">
        <f>SUBTOTAL(109,CAI_DMM_LF_LEGACY[H])</f>
        <v>0</v>
      </c>
      <c r="U5" s="283">
        <f>SUBTOTAL(109,CAI_DMM_LF_LEGACY[Q])</f>
        <v>0</v>
      </c>
      <c r="V5" s="283">
        <f>SUBTOTAL(109,CAI_DMM_LF_LEGACY[K])</f>
        <v>0</v>
      </c>
      <c r="W5" s="283">
        <f>SUBTOTAL(109,CAI_DMM_LF_LEGACY[V])</f>
        <v>0</v>
      </c>
      <c r="X5" s="283">
        <f>SUBTOTAL(109,CAI_DMM_LF_LEGACY[L])</f>
        <v>0</v>
      </c>
      <c r="Y5" s="283">
        <f>SUBTOTAL(109,CAI_DMM_LF_LEGACY[G])</f>
        <v>0</v>
      </c>
      <c r="Z5" s="283">
        <f>SUBTOTAL(109,CAI_DMM_LF_LEGACY[S])</f>
        <v>0</v>
      </c>
      <c r="AA5" s="283">
        <f>SUBTOTAL(109,CAI_DMM_LF_LEGACY[W])</f>
        <v>0</v>
      </c>
      <c r="AB5" s="283">
        <f>SUBTOTAL(109,CAI_DMM_LF_LEGACY[T])</f>
        <v>0</v>
      </c>
      <c r="AC5" s="283">
        <f>SUBTOTAL(109,CAI_DMM_LF_LEGACY[X])</f>
        <v>0</v>
      </c>
      <c r="AD5" s="283">
        <f>SUBTOTAL(109,CAI_DMM_LF_LEGACY[U])</f>
        <v>0</v>
      </c>
      <c r="AE5" s="283">
        <f>SUBTOTAL(109,CAI_DMM_LF_LEGACY[O])</f>
        <v>0</v>
      </c>
      <c r="AF5" s="283">
        <f>SUBTOTAL(109,CAI_DMM_LF_LEGACY[I])</f>
        <v>0</v>
      </c>
      <c r="AG5" s="283">
        <f>SUBTOTAL(109,CAI_DMM_LF_LEGACY[E])</f>
        <v>0</v>
      </c>
      <c r="AH5" s="283">
        <f>SUBTOTAL(109,CAI_DMM_LF_LEGACY[A])</f>
        <v>0</v>
      </c>
      <c r="AI5" s="283">
        <f>SUBTOTAL(109,CAI_DMM_LF_LEGACY[P])</f>
        <v>0</v>
      </c>
      <c r="AJ5" s="283">
        <f>SUBTOTAL(103,CAI_DMM_LF_LEGACY[N])</f>
        <v>0</v>
      </c>
    </row>
  </sheetData>
  <pageMargins left="0.75" right="0.75" top="1" bottom="1" header="0.5" footer="0.5"/>
  <tableParts count="1">
    <tablePart r:id="rId1"/>
  </tableParts>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31"/>
  <sheetViews>
    <sheetView workbookViewId="0"/>
  </sheetViews>
  <sheetFormatPr defaultRowHeight="14.4" x14ac:dyDescent="0.3"/>
  <cols>
    <col min="1" max="1" width="11.88671875" bestFit="1" customWidth="1"/>
    <col min="2" max="2" width="15.55468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4.5546875" hidden="1" customWidth="1"/>
  </cols>
  <sheetData>
    <row r="1" spans="1:8" ht="18" x14ac:dyDescent="0.3">
      <c r="A1" s="56" t="s">
        <v>149</v>
      </c>
      <c r="B1" s="57" t="s">
        <v>8</v>
      </c>
      <c r="C1" s="57" t="s">
        <v>9</v>
      </c>
      <c r="D1" s="57" t="s">
        <v>150</v>
      </c>
      <c r="E1" s="57" t="s">
        <v>10</v>
      </c>
      <c r="F1" s="57" t="s">
        <v>11</v>
      </c>
      <c r="G1" s="57" t="s">
        <v>12</v>
      </c>
      <c r="H1" s="58" t="s">
        <v>13</v>
      </c>
    </row>
    <row r="2" spans="1:8" ht="19.8" customHeight="1" x14ac:dyDescent="0.3">
      <c r="A2" s="59" t="s">
        <v>151</v>
      </c>
      <c r="B2" s="60" t="s">
        <v>42</v>
      </c>
      <c r="C2" s="61" t="s">
        <v>688</v>
      </c>
      <c r="D2" s="60" t="s">
        <v>687</v>
      </c>
      <c r="E2" s="60" t="s">
        <v>738</v>
      </c>
      <c r="F2" s="60" t="s">
        <v>44</v>
      </c>
      <c r="G2" s="62">
        <v>17</v>
      </c>
      <c r="H2" s="63" t="s">
        <v>689</v>
      </c>
    </row>
    <row r="3" spans="1:8" ht="19.8" customHeight="1" x14ac:dyDescent="0.3">
      <c r="A3" s="59" t="s">
        <v>151</v>
      </c>
      <c r="B3" s="60" t="s">
        <v>26</v>
      </c>
      <c r="C3" s="61" t="s">
        <v>691</v>
      </c>
      <c r="D3" s="60" t="s">
        <v>687</v>
      </c>
      <c r="E3" s="60" t="s">
        <v>739</v>
      </c>
      <c r="F3" s="60" t="s">
        <v>28</v>
      </c>
      <c r="G3" s="62">
        <v>3</v>
      </c>
      <c r="H3" s="63" t="s">
        <v>692</v>
      </c>
    </row>
    <row r="4" spans="1:8" ht="19.8" customHeight="1" x14ac:dyDescent="0.3">
      <c r="A4" s="59" t="s">
        <v>151</v>
      </c>
      <c r="B4" s="60" t="s">
        <v>26</v>
      </c>
      <c r="C4" s="61" t="s">
        <v>694</v>
      </c>
      <c r="D4" s="60" t="s">
        <v>687</v>
      </c>
      <c r="E4" s="60" t="s">
        <v>191</v>
      </c>
      <c r="F4" s="60" t="s">
        <v>28</v>
      </c>
      <c r="G4" s="62">
        <v>9</v>
      </c>
      <c r="H4" s="63" t="s">
        <v>692</v>
      </c>
    </row>
    <row r="5" spans="1:8" ht="19.8" customHeight="1" x14ac:dyDescent="0.3">
      <c r="A5" s="59" t="s">
        <v>151</v>
      </c>
      <c r="B5" s="60" t="s">
        <v>328</v>
      </c>
      <c r="C5" s="61" t="s">
        <v>695</v>
      </c>
      <c r="D5" s="60" t="s">
        <v>687</v>
      </c>
      <c r="E5" s="60" t="s">
        <v>740</v>
      </c>
      <c r="F5" s="60" t="s">
        <v>98</v>
      </c>
      <c r="G5" s="62">
        <v>9</v>
      </c>
      <c r="H5" s="63" t="s">
        <v>696</v>
      </c>
    </row>
    <row r="6" spans="1:8" ht="19.8" customHeight="1" x14ac:dyDescent="0.3">
      <c r="A6" s="59" t="s">
        <v>151</v>
      </c>
      <c r="B6" s="60" t="s">
        <v>328</v>
      </c>
      <c r="C6" s="61" t="s">
        <v>697</v>
      </c>
      <c r="D6" s="60" t="s">
        <v>687</v>
      </c>
      <c r="E6" s="60" t="s">
        <v>741</v>
      </c>
      <c r="F6" s="60" t="s">
        <v>98</v>
      </c>
      <c r="G6" s="62">
        <v>8</v>
      </c>
      <c r="H6" s="63" t="s">
        <v>696</v>
      </c>
    </row>
    <row r="7" spans="1:8" ht="19.8" customHeight="1" x14ac:dyDescent="0.3">
      <c r="A7" s="59" t="s">
        <v>151</v>
      </c>
      <c r="B7" s="60" t="s">
        <v>26</v>
      </c>
      <c r="C7" s="61" t="s">
        <v>691</v>
      </c>
      <c r="D7" s="60" t="s">
        <v>687</v>
      </c>
      <c r="E7" s="60" t="s">
        <v>739</v>
      </c>
      <c r="F7" s="60" t="s">
        <v>31</v>
      </c>
      <c r="G7" s="62">
        <v>3</v>
      </c>
      <c r="H7" s="63" t="s">
        <v>89</v>
      </c>
    </row>
    <row r="8" spans="1:8" ht="19.8" customHeight="1" x14ac:dyDescent="0.3">
      <c r="A8" s="59" t="s">
        <v>151</v>
      </c>
      <c r="B8" s="60" t="s">
        <v>26</v>
      </c>
      <c r="C8" s="61" t="s">
        <v>694</v>
      </c>
      <c r="D8" s="60" t="s">
        <v>687</v>
      </c>
      <c r="E8" s="60" t="s">
        <v>191</v>
      </c>
      <c r="F8" s="60" t="s">
        <v>31</v>
      </c>
      <c r="G8" s="62">
        <v>9</v>
      </c>
      <c r="H8" s="63" t="s">
        <v>89</v>
      </c>
    </row>
    <row r="9" spans="1:8" ht="19.8" customHeight="1" x14ac:dyDescent="0.3">
      <c r="A9" s="59" t="s">
        <v>151</v>
      </c>
      <c r="B9" s="60" t="s">
        <v>42</v>
      </c>
      <c r="C9" s="61" t="s">
        <v>688</v>
      </c>
      <c r="D9" s="60" t="s">
        <v>687</v>
      </c>
      <c r="E9" s="60" t="s">
        <v>738</v>
      </c>
      <c r="F9" s="60" t="s">
        <v>47</v>
      </c>
      <c r="G9" s="62">
        <v>17</v>
      </c>
      <c r="H9" s="63" t="s">
        <v>311</v>
      </c>
    </row>
    <row r="10" spans="1:8" ht="19.8" customHeight="1" x14ac:dyDescent="0.3">
      <c r="A10" s="59" t="s">
        <v>151</v>
      </c>
      <c r="B10" s="60" t="s">
        <v>235</v>
      </c>
      <c r="C10" s="61" t="s">
        <v>698</v>
      </c>
      <c r="D10" s="60" t="s">
        <v>687</v>
      </c>
      <c r="E10" s="60" t="s">
        <v>496</v>
      </c>
      <c r="F10" s="60" t="s">
        <v>98</v>
      </c>
      <c r="G10" s="62">
        <v>9</v>
      </c>
      <c r="H10" s="63" t="s">
        <v>699</v>
      </c>
    </row>
    <row r="11" spans="1:8" ht="19.8" customHeight="1" x14ac:dyDescent="0.3">
      <c r="A11" s="59" t="s">
        <v>151</v>
      </c>
      <c r="B11" s="60" t="s">
        <v>67</v>
      </c>
      <c r="C11" s="61" t="s">
        <v>702</v>
      </c>
      <c r="D11" s="60" t="s">
        <v>687</v>
      </c>
      <c r="E11" s="60" t="s">
        <v>191</v>
      </c>
      <c r="F11" s="60" t="s">
        <v>69</v>
      </c>
      <c r="G11" s="62">
        <v>6</v>
      </c>
      <c r="H11" s="63" t="s">
        <v>703</v>
      </c>
    </row>
    <row r="12" spans="1:8" ht="19.8" customHeight="1" x14ac:dyDescent="0.3">
      <c r="A12" s="59" t="s">
        <v>151</v>
      </c>
      <c r="B12" s="60" t="s">
        <v>235</v>
      </c>
      <c r="C12" s="61" t="s">
        <v>700</v>
      </c>
      <c r="D12" s="60" t="s">
        <v>687</v>
      </c>
      <c r="E12" s="60" t="s">
        <v>742</v>
      </c>
      <c r="F12" s="60" t="s">
        <v>98</v>
      </c>
      <c r="G12" s="62">
        <v>9</v>
      </c>
      <c r="H12" s="63" t="s">
        <v>701</v>
      </c>
    </row>
    <row r="13" spans="1:8" ht="19.8" customHeight="1" x14ac:dyDescent="0.3">
      <c r="A13" s="59" t="s">
        <v>151</v>
      </c>
      <c r="B13" s="60" t="s">
        <v>26</v>
      </c>
      <c r="C13" s="61" t="s">
        <v>691</v>
      </c>
      <c r="D13" s="60" t="s">
        <v>687</v>
      </c>
      <c r="E13" s="60" t="s">
        <v>739</v>
      </c>
      <c r="F13" s="60" t="s">
        <v>34</v>
      </c>
      <c r="G13" s="62">
        <v>3</v>
      </c>
      <c r="H13" s="63" t="s">
        <v>693</v>
      </c>
    </row>
    <row r="14" spans="1:8" ht="19.8" customHeight="1" x14ac:dyDescent="0.3">
      <c r="A14" s="59" t="s">
        <v>151</v>
      </c>
      <c r="B14" s="60" t="s">
        <v>26</v>
      </c>
      <c r="C14" s="61" t="s">
        <v>694</v>
      </c>
      <c r="D14" s="60" t="s">
        <v>687</v>
      </c>
      <c r="E14" s="60" t="s">
        <v>191</v>
      </c>
      <c r="F14" s="60" t="s">
        <v>34</v>
      </c>
      <c r="G14" s="62">
        <v>9</v>
      </c>
      <c r="H14" s="63" t="s">
        <v>693</v>
      </c>
    </row>
    <row r="15" spans="1:8" ht="19.8" customHeight="1" x14ac:dyDescent="0.3">
      <c r="A15" s="99" t="s">
        <v>151</v>
      </c>
      <c r="B15" s="77" t="s">
        <v>78</v>
      </c>
      <c r="C15" s="78" t="s">
        <v>708</v>
      </c>
      <c r="D15" s="77" t="s">
        <v>687</v>
      </c>
      <c r="E15" s="77" t="s">
        <v>722</v>
      </c>
      <c r="F15" s="77" t="s">
        <v>98</v>
      </c>
      <c r="G15" s="80">
        <v>2</v>
      </c>
      <c r="H15" s="81" t="s">
        <v>209</v>
      </c>
    </row>
    <row r="16" spans="1:8" ht="19.8" customHeight="1" x14ac:dyDescent="0.3">
      <c r="A16" s="68">
        <v>45981</v>
      </c>
      <c r="B16" s="60" t="s">
        <v>67</v>
      </c>
      <c r="C16" s="61" t="s">
        <v>704</v>
      </c>
      <c r="D16" s="60" t="s">
        <v>687</v>
      </c>
      <c r="E16" s="69">
        <v>1.979166666666667</v>
      </c>
      <c r="F16" s="60" t="s">
        <v>69</v>
      </c>
      <c r="G16" s="62">
        <v>9</v>
      </c>
      <c r="H16" s="63" t="s">
        <v>705</v>
      </c>
    </row>
    <row r="17" spans="1:8" ht="19.8" customHeight="1" x14ac:dyDescent="0.3">
      <c r="A17" s="68">
        <v>45981</v>
      </c>
      <c r="B17" s="60" t="s">
        <v>42</v>
      </c>
      <c r="C17" s="61" t="s">
        <v>688</v>
      </c>
      <c r="D17" s="60" t="s">
        <v>687</v>
      </c>
      <c r="E17" s="69">
        <v>1.447916666666667</v>
      </c>
      <c r="F17" s="60" t="s">
        <v>49</v>
      </c>
      <c r="G17" s="62">
        <v>17</v>
      </c>
      <c r="H17" s="63" t="s">
        <v>690</v>
      </c>
    </row>
    <row r="18" spans="1:8" ht="19.8" customHeight="1" x14ac:dyDescent="0.3">
      <c r="A18" s="68">
        <v>45981</v>
      </c>
      <c r="B18" s="60" t="s">
        <v>51</v>
      </c>
      <c r="C18" s="61" t="s">
        <v>711</v>
      </c>
      <c r="D18" s="60" t="s">
        <v>687</v>
      </c>
      <c r="E18" s="69">
        <v>1.447916666666667</v>
      </c>
      <c r="F18" s="60" t="s">
        <v>56</v>
      </c>
      <c r="G18" s="62">
        <v>4</v>
      </c>
      <c r="H18" s="63" t="s">
        <v>605</v>
      </c>
    </row>
    <row r="19" spans="1:8" ht="19.8" customHeight="1" x14ac:dyDescent="0.3">
      <c r="A19" s="70">
        <v>45981</v>
      </c>
      <c r="B19" s="71" t="s">
        <v>67</v>
      </c>
      <c r="C19" s="72" t="s">
        <v>706</v>
      </c>
      <c r="D19" s="71" t="s">
        <v>687</v>
      </c>
      <c r="E19" s="73">
        <v>1.677083333333333</v>
      </c>
      <c r="F19" s="71" t="s">
        <v>69</v>
      </c>
      <c r="G19" s="74">
        <v>9</v>
      </c>
      <c r="H19" s="75" t="s">
        <v>707</v>
      </c>
    </row>
    <row r="20" spans="1:8" ht="19.8" customHeight="1" x14ac:dyDescent="0.3">
      <c r="A20" s="68">
        <v>45982</v>
      </c>
      <c r="B20" s="60" t="s">
        <v>328</v>
      </c>
      <c r="C20" s="61" t="s">
        <v>712</v>
      </c>
      <c r="D20" s="60" t="s">
        <v>687</v>
      </c>
      <c r="E20" s="69">
        <v>1.006944444444444</v>
      </c>
      <c r="F20" s="60" t="s">
        <v>98</v>
      </c>
      <c r="G20" s="62">
        <v>1</v>
      </c>
      <c r="H20" s="63" t="s">
        <v>696</v>
      </c>
    </row>
    <row r="21" spans="1:8" ht="19.8" customHeight="1" x14ac:dyDescent="0.3">
      <c r="A21" s="68">
        <v>45982</v>
      </c>
      <c r="B21" s="60" t="s">
        <v>328</v>
      </c>
      <c r="C21" s="61" t="s">
        <v>695</v>
      </c>
      <c r="D21" s="60" t="s">
        <v>687</v>
      </c>
      <c r="E21" s="69">
        <v>1.9652777777777779</v>
      </c>
      <c r="F21" s="60" t="s">
        <v>98</v>
      </c>
      <c r="G21" s="62">
        <v>9</v>
      </c>
      <c r="H21" s="63" t="s">
        <v>713</v>
      </c>
    </row>
    <row r="22" spans="1:8" ht="19.8" customHeight="1" x14ac:dyDescent="0.3">
      <c r="A22" s="68">
        <v>45982</v>
      </c>
      <c r="B22" s="60" t="s">
        <v>235</v>
      </c>
      <c r="C22" s="61" t="s">
        <v>714</v>
      </c>
      <c r="D22" s="60" t="s">
        <v>687</v>
      </c>
      <c r="E22" s="69">
        <v>1.805555555555556</v>
      </c>
      <c r="F22" s="60" t="s">
        <v>98</v>
      </c>
      <c r="G22" s="62">
        <v>9</v>
      </c>
      <c r="H22" s="63" t="s">
        <v>715</v>
      </c>
    </row>
    <row r="23" spans="1:8" ht="19.8" customHeight="1" x14ac:dyDescent="0.3">
      <c r="A23" s="76">
        <v>45982</v>
      </c>
      <c r="B23" s="77" t="s">
        <v>78</v>
      </c>
      <c r="C23" s="78" t="s">
        <v>708</v>
      </c>
      <c r="D23" s="77" t="s">
        <v>687</v>
      </c>
      <c r="E23" s="79">
        <v>1.381944444444444</v>
      </c>
      <c r="F23" s="77" t="s">
        <v>98</v>
      </c>
      <c r="G23" s="80">
        <v>1</v>
      </c>
      <c r="H23" s="81" t="s">
        <v>209</v>
      </c>
    </row>
    <row r="24" spans="1:8" ht="19.8" customHeight="1" x14ac:dyDescent="0.3">
      <c r="A24" s="68">
        <v>45982</v>
      </c>
      <c r="B24" s="60" t="s">
        <v>67</v>
      </c>
      <c r="C24" s="61" t="s">
        <v>704</v>
      </c>
      <c r="D24" s="60" t="s">
        <v>687</v>
      </c>
      <c r="E24" s="69">
        <v>1.979166666666667</v>
      </c>
      <c r="F24" s="60" t="s">
        <v>69</v>
      </c>
      <c r="G24" s="62">
        <v>9</v>
      </c>
      <c r="H24" s="63" t="s">
        <v>707</v>
      </c>
    </row>
    <row r="25" spans="1:8" ht="19.8" customHeight="1" x14ac:dyDescent="0.3">
      <c r="A25" s="68">
        <v>45982</v>
      </c>
      <c r="B25" s="60" t="s">
        <v>67</v>
      </c>
      <c r="C25" s="61" t="s">
        <v>702</v>
      </c>
      <c r="D25" s="60" t="s">
        <v>687</v>
      </c>
      <c r="E25" s="69">
        <v>1.336805555555556</v>
      </c>
      <c r="F25" s="60" t="s">
        <v>69</v>
      </c>
      <c r="G25" s="62">
        <v>9</v>
      </c>
      <c r="H25" s="63" t="s">
        <v>707</v>
      </c>
    </row>
    <row r="26" spans="1:8" ht="19.8" customHeight="1" x14ac:dyDescent="0.3">
      <c r="A26" s="68">
        <v>45982</v>
      </c>
      <c r="B26" s="60" t="s">
        <v>51</v>
      </c>
      <c r="C26" s="61" t="s">
        <v>711</v>
      </c>
      <c r="D26" s="60" t="s">
        <v>687</v>
      </c>
      <c r="E26" s="69">
        <v>1.447916666666667</v>
      </c>
      <c r="F26" s="60" t="s">
        <v>56</v>
      </c>
      <c r="G26" s="62">
        <v>4</v>
      </c>
      <c r="H26" s="63" t="s">
        <v>649</v>
      </c>
    </row>
    <row r="27" spans="1:8" ht="19.8" customHeight="1" x14ac:dyDescent="0.3">
      <c r="A27" s="70">
        <v>45982</v>
      </c>
      <c r="B27" s="71" t="s">
        <v>67</v>
      </c>
      <c r="C27" s="72" t="s">
        <v>706</v>
      </c>
      <c r="D27" s="71" t="s">
        <v>687</v>
      </c>
      <c r="E27" s="73">
        <v>1.6736111111111109</v>
      </c>
      <c r="F27" s="71" t="s">
        <v>69</v>
      </c>
      <c r="G27" s="74">
        <v>7</v>
      </c>
      <c r="H27" s="75" t="s">
        <v>717</v>
      </c>
    </row>
    <row r="28" spans="1:8" ht="19.8" customHeight="1" x14ac:dyDescent="0.3">
      <c r="A28" s="76">
        <v>45983</v>
      </c>
      <c r="B28" s="77" t="s">
        <v>78</v>
      </c>
      <c r="C28" s="78" t="s">
        <v>708</v>
      </c>
      <c r="D28" s="77" t="s">
        <v>687</v>
      </c>
      <c r="E28" s="79">
        <v>1.7222222222222221</v>
      </c>
      <c r="F28" s="77" t="s">
        <v>98</v>
      </c>
      <c r="G28" s="80">
        <v>1</v>
      </c>
      <c r="H28" s="81" t="s">
        <v>209</v>
      </c>
    </row>
    <row r="29" spans="1:8" ht="19.8" customHeight="1" x14ac:dyDescent="0.3">
      <c r="A29" s="68">
        <v>45983</v>
      </c>
      <c r="B29" s="60" t="s">
        <v>235</v>
      </c>
      <c r="C29" s="61" t="s">
        <v>700</v>
      </c>
      <c r="D29" s="60" t="s">
        <v>687</v>
      </c>
      <c r="E29" s="69">
        <v>1.694444444444444</v>
      </c>
      <c r="F29" s="60" t="s">
        <v>98</v>
      </c>
      <c r="G29" s="62">
        <v>7</v>
      </c>
      <c r="H29" s="63" t="s">
        <v>719</v>
      </c>
    </row>
    <row r="30" spans="1:8" ht="19.8" customHeight="1" x14ac:dyDescent="0.3">
      <c r="A30" s="68">
        <v>45983</v>
      </c>
      <c r="B30" s="60" t="s">
        <v>67</v>
      </c>
      <c r="C30" s="61" t="s">
        <v>704</v>
      </c>
      <c r="D30" s="60" t="s">
        <v>687</v>
      </c>
      <c r="E30" s="69">
        <v>1.979166666666667</v>
      </c>
      <c r="F30" s="60" t="s">
        <v>69</v>
      </c>
      <c r="G30" s="62">
        <v>9</v>
      </c>
      <c r="H30" s="63" t="s">
        <v>720</v>
      </c>
    </row>
    <row r="31" spans="1:8" ht="19.8" customHeight="1" x14ac:dyDescent="0.3">
      <c r="A31" s="70">
        <v>45983</v>
      </c>
      <c r="B31" s="71" t="s">
        <v>51</v>
      </c>
      <c r="C31" s="72" t="s">
        <v>711</v>
      </c>
      <c r="D31" s="71" t="s">
        <v>687</v>
      </c>
      <c r="E31" s="73">
        <v>1.447916666666667</v>
      </c>
      <c r="F31" s="71" t="s">
        <v>56</v>
      </c>
      <c r="G31" s="74">
        <v>4</v>
      </c>
      <c r="H31" s="75" t="s">
        <v>721</v>
      </c>
    </row>
  </sheetData>
  <pageMargins left="0.75" right="0.75" top="1" bottom="1" header="0.5" footer="0.5"/>
  <legacyDrawing r:id="rId1"/>
  <tableParts count="1">
    <tablePart r:id="rId2"/>
  </tableParts>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4"/>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94.5546875" hidden="1" customWidth="1"/>
  </cols>
  <sheetData>
    <row r="1" spans="1:8" ht="18" x14ac:dyDescent="0.3">
      <c r="A1" s="56" t="s">
        <v>149</v>
      </c>
      <c r="B1" s="57" t="s">
        <v>8</v>
      </c>
      <c r="C1" s="57" t="s">
        <v>9</v>
      </c>
      <c r="D1" s="57" t="s">
        <v>150</v>
      </c>
      <c r="E1" s="57" t="s">
        <v>10</v>
      </c>
      <c r="F1" s="57" t="s">
        <v>11</v>
      </c>
      <c r="G1" s="57" t="s">
        <v>12</v>
      </c>
      <c r="H1" s="58" t="s">
        <v>13</v>
      </c>
    </row>
    <row r="2" spans="1:8" ht="19.8" customHeight="1" x14ac:dyDescent="0.3">
      <c r="A2" s="64" t="s">
        <v>151</v>
      </c>
      <c r="B2" s="65" t="s">
        <v>78</v>
      </c>
      <c r="C2" s="66" t="s">
        <v>708</v>
      </c>
      <c r="D2" s="65" t="s">
        <v>687</v>
      </c>
      <c r="E2" s="65" t="s">
        <v>722</v>
      </c>
      <c r="F2" s="65" t="s">
        <v>98</v>
      </c>
      <c r="G2" s="84">
        <v>2</v>
      </c>
      <c r="H2" s="67" t="s">
        <v>209</v>
      </c>
    </row>
    <row r="3" spans="1:8" ht="19.8" customHeight="1" x14ac:dyDescent="0.3">
      <c r="A3" s="82">
        <v>45982</v>
      </c>
      <c r="B3" s="65" t="s">
        <v>78</v>
      </c>
      <c r="C3" s="66" t="s">
        <v>708</v>
      </c>
      <c r="D3" s="65" t="s">
        <v>687</v>
      </c>
      <c r="E3" s="83">
        <v>1.381944444444444</v>
      </c>
      <c r="F3" s="65" t="s">
        <v>98</v>
      </c>
      <c r="G3" s="84">
        <v>1</v>
      </c>
      <c r="H3" s="67" t="s">
        <v>209</v>
      </c>
    </row>
    <row r="4" spans="1:8" ht="19.8" customHeight="1" x14ac:dyDescent="0.3">
      <c r="A4" s="82">
        <v>45983</v>
      </c>
      <c r="B4" s="65" t="s">
        <v>78</v>
      </c>
      <c r="C4" s="66" t="s">
        <v>708</v>
      </c>
      <c r="D4" s="65" t="s">
        <v>687</v>
      </c>
      <c r="E4" s="83">
        <v>1.7222222222222221</v>
      </c>
      <c r="F4" s="65" t="s">
        <v>98</v>
      </c>
      <c r="G4" s="84">
        <v>1</v>
      </c>
      <c r="H4" s="67" t="s">
        <v>209</v>
      </c>
    </row>
  </sheetData>
  <pageMargins left="0.75" right="0.75" top="1" bottom="1" header="0.5" footer="0.5"/>
  <legacyDrawing r:id="rId1"/>
  <tableParts count="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N17"/>
  <sheetViews>
    <sheetView workbookViewId="0"/>
  </sheetViews>
  <sheetFormatPr defaultRowHeight="14.4" x14ac:dyDescent="0.3"/>
  <cols>
    <col min="1" max="1" width="15.77734375" bestFit="1" customWidth="1"/>
    <col min="2" max="2" width="15.6640625" bestFit="1" customWidth="1"/>
    <col min="3" max="3" width="14.77734375" bestFit="1" customWidth="1"/>
    <col min="4" max="4" width="33" bestFit="1" customWidth="1"/>
    <col min="5" max="5" width="20.1093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6.21875" bestFit="1" customWidth="1"/>
    <col min="17" max="17" width="12.21875" bestFit="1" customWidth="1"/>
    <col min="18" max="18" width="67" bestFit="1" customWidth="1"/>
  </cols>
  <sheetData>
    <row r="1" spans="1:92" ht="28.8" customHeight="1" x14ac:dyDescent="0.3">
      <c r="A1" s="261" t="s">
        <v>0</v>
      </c>
      <c r="B1" s="251"/>
      <c r="C1" s="251"/>
      <c r="D1" s="251"/>
      <c r="E1" s="251"/>
      <c r="F1" s="1" t="s">
        <v>743</v>
      </c>
      <c r="G1" s="2" t="s">
        <v>2</v>
      </c>
      <c r="H1" s="260">
        <v>45981</v>
      </c>
      <c r="I1" s="251"/>
      <c r="J1" s="251"/>
      <c r="K1" s="251"/>
      <c r="L1" s="251"/>
      <c r="M1" s="1" t="s">
        <v>3</v>
      </c>
      <c r="N1" s="266">
        <v>45983</v>
      </c>
      <c r="O1" s="251"/>
      <c r="P1" s="251"/>
      <c r="Q1" s="251"/>
      <c r="R1" s="251"/>
      <c r="CA1" s="3"/>
      <c r="CB1" s="3"/>
      <c r="CC1" s="3"/>
      <c r="CD1" s="3"/>
      <c r="CE1" s="3"/>
      <c r="CF1" s="3"/>
      <c r="CG1" s="3"/>
      <c r="CH1" s="3"/>
      <c r="CI1" s="3"/>
      <c r="CJ1" s="3"/>
      <c r="CK1" s="3"/>
      <c r="CL1" s="3"/>
      <c r="CM1" s="3"/>
      <c r="CN1" s="3"/>
    </row>
    <row r="2" spans="1:92" ht="23.4" customHeight="1" x14ac:dyDescent="0.3">
      <c r="A2" s="250" t="s">
        <v>4</v>
      </c>
      <c r="B2" s="251"/>
      <c r="C2" s="251"/>
      <c r="D2" s="251"/>
      <c r="E2" s="251"/>
      <c r="F2" s="251"/>
      <c r="G2" s="262">
        <v>45980.493099239378</v>
      </c>
      <c r="H2" s="251"/>
      <c r="I2" s="251"/>
      <c r="J2" s="251"/>
      <c r="K2" s="263">
        <v>45980.493099239597</v>
      </c>
      <c r="L2" s="251"/>
      <c r="M2" s="251"/>
      <c r="N2" s="251"/>
      <c r="O2" s="251"/>
      <c r="P2" s="251"/>
      <c r="Q2" s="251"/>
      <c r="R2" s="251"/>
      <c r="CA2" s="3"/>
      <c r="CB2" s="3"/>
      <c r="CC2" s="3"/>
      <c r="CD2" s="3"/>
      <c r="CE2" s="3"/>
      <c r="CF2" s="3"/>
      <c r="CG2" s="3"/>
      <c r="CH2" s="3"/>
      <c r="CI2" s="3"/>
      <c r="CJ2" s="3"/>
      <c r="CK2" s="3"/>
      <c r="CL2" s="3"/>
      <c r="CM2" s="3"/>
      <c r="CN2" s="3"/>
    </row>
    <row r="3" spans="1:92" ht="24" customHeight="1" x14ac:dyDescent="0.3">
      <c r="A3" s="252" t="s">
        <v>5</v>
      </c>
      <c r="B3" s="251"/>
      <c r="C3" s="251"/>
      <c r="D3" s="251"/>
      <c r="E3" s="251"/>
      <c r="F3" s="251"/>
      <c r="G3" s="251"/>
      <c r="H3" s="251"/>
      <c r="I3" s="251"/>
      <c r="J3" s="251"/>
      <c r="K3" s="251"/>
      <c r="L3" s="251"/>
      <c r="M3" s="251"/>
      <c r="N3" s="251"/>
      <c r="O3" s="251"/>
      <c r="P3" s="251"/>
      <c r="Q3" s="251"/>
      <c r="R3" s="251"/>
      <c r="CA3" s="3"/>
      <c r="CB3" s="3"/>
      <c r="CC3" s="3"/>
      <c r="CD3" s="3"/>
      <c r="CE3" s="3"/>
      <c r="CF3" s="3"/>
      <c r="CG3" s="3"/>
      <c r="CH3" s="3"/>
      <c r="CI3" s="3"/>
      <c r="CJ3" s="3"/>
      <c r="CK3" s="3"/>
      <c r="CL3" s="3"/>
      <c r="CM3" s="3"/>
      <c r="CN3" s="3"/>
    </row>
    <row r="4" spans="1:92" ht="22.05" customHeight="1" x14ac:dyDescent="0.3">
      <c r="A4" s="264" t="s">
        <v>6</v>
      </c>
      <c r="B4" s="254"/>
      <c r="C4" s="254"/>
      <c r="D4" s="254"/>
      <c r="E4" s="254"/>
      <c r="F4" s="255"/>
      <c r="G4" s="4">
        <v>45982</v>
      </c>
      <c r="H4" s="265" t="s">
        <v>7</v>
      </c>
      <c r="I4" s="254"/>
      <c r="J4" s="254"/>
      <c r="K4" s="254"/>
      <c r="L4" s="254"/>
      <c r="M4" s="254"/>
      <c r="N4" s="254"/>
      <c r="O4" s="254"/>
      <c r="P4" s="254"/>
      <c r="Q4" s="254"/>
      <c r="R4" s="25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203" t="s">
        <v>78</v>
      </c>
      <c r="B6" s="203" t="s">
        <v>744</v>
      </c>
      <c r="C6" s="204">
        <v>7.2916666666666671E-2</v>
      </c>
      <c r="D6" s="203" t="s">
        <v>80</v>
      </c>
      <c r="E6" s="210"/>
      <c r="F6" s="203" t="s">
        <v>81</v>
      </c>
      <c r="G6" s="256"/>
      <c r="H6" s="129" t="s">
        <v>744</v>
      </c>
      <c r="I6" s="130">
        <v>0.98329999999999995</v>
      </c>
      <c r="J6" s="131">
        <v>177</v>
      </c>
      <c r="K6" s="132">
        <v>45980</v>
      </c>
      <c r="L6" s="131">
        <v>25</v>
      </c>
      <c r="M6" s="131">
        <v>4</v>
      </c>
      <c r="N6" s="131">
        <v>3</v>
      </c>
      <c r="O6" s="133" t="s">
        <v>82</v>
      </c>
      <c r="P6" s="134">
        <v>7.2916666666666671E-2</v>
      </c>
      <c r="Q6" s="131">
        <v>180</v>
      </c>
      <c r="R6" s="135" t="s">
        <v>745</v>
      </c>
    </row>
    <row r="7" spans="1:92" ht="18" x14ac:dyDescent="0.3">
      <c r="A7" s="267" t="s">
        <v>746</v>
      </c>
      <c r="B7" s="268"/>
      <c r="C7" s="268"/>
      <c r="D7" s="268"/>
      <c r="E7" s="268"/>
      <c r="F7" s="269"/>
      <c r="G7" s="257"/>
      <c r="H7" s="94"/>
      <c r="I7" s="94"/>
      <c r="J7" s="94"/>
      <c r="K7" s="94"/>
      <c r="L7" s="94"/>
      <c r="M7" s="94"/>
      <c r="N7" s="94"/>
      <c r="O7" s="95"/>
      <c r="P7" s="94"/>
      <c r="Q7" s="55"/>
      <c r="R7" s="55"/>
    </row>
    <row r="8" spans="1:92" ht="15" customHeight="1" x14ac:dyDescent="0.3">
      <c r="A8" s="17" t="s">
        <v>328</v>
      </c>
      <c r="B8" s="17" t="s">
        <v>712</v>
      </c>
      <c r="C8" s="18" t="s">
        <v>747</v>
      </c>
      <c r="D8" s="17" t="s">
        <v>98</v>
      </c>
      <c r="E8" s="17" t="s">
        <v>171</v>
      </c>
      <c r="F8" s="17" t="s">
        <v>696</v>
      </c>
      <c r="G8" s="257"/>
      <c r="H8" s="94"/>
      <c r="I8" s="94"/>
      <c r="J8" s="94"/>
      <c r="K8" s="94"/>
      <c r="L8" s="94"/>
      <c r="M8" s="94"/>
      <c r="N8" s="94"/>
      <c r="O8" s="95"/>
      <c r="P8" s="94"/>
      <c r="Q8" s="55"/>
      <c r="R8" s="55"/>
    </row>
    <row r="9" spans="1:92" ht="15" customHeight="1" x14ac:dyDescent="0.3">
      <c r="A9" s="17" t="s">
        <v>328</v>
      </c>
      <c r="B9" s="17" t="s">
        <v>695</v>
      </c>
      <c r="C9" s="18" t="s">
        <v>748</v>
      </c>
      <c r="D9" s="17" t="s">
        <v>98</v>
      </c>
      <c r="E9" s="17" t="s">
        <v>172</v>
      </c>
      <c r="F9" s="17" t="s">
        <v>713</v>
      </c>
      <c r="G9" s="257"/>
      <c r="H9" s="94"/>
      <c r="I9" s="94"/>
      <c r="J9" s="94"/>
      <c r="K9" s="94"/>
      <c r="L9" s="94"/>
      <c r="M9" s="94"/>
      <c r="N9" s="94"/>
      <c r="O9" s="95"/>
      <c r="P9" s="94"/>
      <c r="Q9" s="55"/>
      <c r="R9" s="55"/>
    </row>
    <row r="10" spans="1:92" ht="15" customHeight="1" x14ac:dyDescent="0.3">
      <c r="A10" s="17" t="s">
        <v>235</v>
      </c>
      <c r="B10" s="17" t="s">
        <v>714</v>
      </c>
      <c r="C10" s="18" t="s">
        <v>749</v>
      </c>
      <c r="D10" s="17" t="s">
        <v>98</v>
      </c>
      <c r="E10" s="17" t="s">
        <v>172</v>
      </c>
      <c r="F10" s="17" t="s">
        <v>715</v>
      </c>
      <c r="G10" s="257"/>
      <c r="H10" s="94"/>
      <c r="I10" s="94"/>
      <c r="J10" s="94"/>
      <c r="K10" s="94"/>
      <c r="L10" s="94"/>
      <c r="M10" s="94"/>
      <c r="N10" s="94"/>
      <c r="O10" s="95"/>
      <c r="P10" s="94"/>
      <c r="Q10" s="55"/>
      <c r="R10" s="55"/>
    </row>
    <row r="11" spans="1:92" ht="15" customHeight="1" x14ac:dyDescent="0.3">
      <c r="A11" s="17" t="s">
        <v>78</v>
      </c>
      <c r="B11" s="17" t="s">
        <v>708</v>
      </c>
      <c r="C11" s="18" t="s">
        <v>133</v>
      </c>
      <c r="D11" s="17" t="s">
        <v>98</v>
      </c>
      <c r="E11" s="17" t="s">
        <v>171</v>
      </c>
      <c r="F11" s="17" t="s">
        <v>209</v>
      </c>
      <c r="G11" s="257"/>
      <c r="H11" s="94"/>
      <c r="I11" s="94"/>
      <c r="J11" s="94"/>
      <c r="K11" s="94"/>
      <c r="L11" s="94"/>
      <c r="M11" s="94"/>
      <c r="N11" s="94"/>
      <c r="O11" s="95"/>
      <c r="P11" s="94"/>
      <c r="Q11" s="55"/>
      <c r="R11" s="55"/>
    </row>
    <row r="12" spans="1:92" ht="15" customHeight="1" x14ac:dyDescent="0.3">
      <c r="A12" s="17" t="s">
        <v>67</v>
      </c>
      <c r="B12" s="17" t="s">
        <v>704</v>
      </c>
      <c r="C12" s="18" t="s">
        <v>750</v>
      </c>
      <c r="D12" s="17" t="s">
        <v>69</v>
      </c>
      <c r="E12" s="17" t="s">
        <v>172</v>
      </c>
      <c r="F12" s="17" t="s">
        <v>707</v>
      </c>
      <c r="G12" s="257"/>
      <c r="H12" s="94"/>
      <c r="I12" s="94"/>
      <c r="J12" s="94"/>
      <c r="K12" s="94"/>
      <c r="L12" s="94"/>
      <c r="M12" s="94"/>
      <c r="N12" s="94"/>
      <c r="O12" s="95"/>
      <c r="P12" s="94"/>
      <c r="Q12" s="55"/>
      <c r="R12" s="55"/>
    </row>
    <row r="13" spans="1:92" ht="15" customHeight="1" x14ac:dyDescent="0.3">
      <c r="A13" s="17" t="s">
        <v>67</v>
      </c>
      <c r="B13" s="17" t="s">
        <v>702</v>
      </c>
      <c r="C13" s="18" t="s">
        <v>191</v>
      </c>
      <c r="D13" s="17" t="s">
        <v>69</v>
      </c>
      <c r="E13" s="17" t="s">
        <v>172</v>
      </c>
      <c r="F13" s="17" t="s">
        <v>707</v>
      </c>
      <c r="G13" s="257"/>
      <c r="H13" s="94"/>
      <c r="I13" s="94"/>
      <c r="J13" s="94"/>
      <c r="K13" s="94"/>
      <c r="L13" s="94"/>
      <c r="M13" s="94"/>
      <c r="N13" s="94"/>
      <c r="O13" s="95"/>
      <c r="P13" s="94"/>
      <c r="Q13" s="55"/>
      <c r="R13" s="55"/>
    </row>
    <row r="14" spans="1:92" ht="15" customHeight="1" x14ac:dyDescent="0.3">
      <c r="A14" s="17" t="s">
        <v>51</v>
      </c>
      <c r="B14" s="17" t="s">
        <v>711</v>
      </c>
      <c r="C14" s="18" t="s">
        <v>738</v>
      </c>
      <c r="D14" s="17" t="s">
        <v>56</v>
      </c>
      <c r="E14" s="17" t="s">
        <v>457</v>
      </c>
      <c r="F14" s="17" t="s">
        <v>649</v>
      </c>
      <c r="G14" s="257"/>
      <c r="H14" s="94"/>
      <c r="I14" s="94"/>
      <c r="J14" s="94"/>
      <c r="K14" s="94"/>
      <c r="L14" s="94"/>
      <c r="M14" s="94"/>
      <c r="N14" s="94"/>
      <c r="O14" s="95"/>
      <c r="P14" s="94"/>
      <c r="Q14" s="55"/>
      <c r="R14" s="55"/>
    </row>
    <row r="15" spans="1:92" ht="15" customHeight="1" thickBot="1" x14ac:dyDescent="0.35">
      <c r="A15" s="39" t="s">
        <v>67</v>
      </c>
      <c r="B15" s="39" t="s">
        <v>706</v>
      </c>
      <c r="C15" s="40" t="s">
        <v>751</v>
      </c>
      <c r="D15" s="39" t="s">
        <v>69</v>
      </c>
      <c r="E15" s="39" t="s">
        <v>189</v>
      </c>
      <c r="F15" s="39" t="s">
        <v>717</v>
      </c>
      <c r="G15" s="258"/>
      <c r="H15" s="96"/>
      <c r="I15" s="96"/>
      <c r="J15" s="96"/>
      <c r="K15" s="96"/>
      <c r="L15" s="96"/>
      <c r="M15" s="96"/>
      <c r="N15" s="96"/>
      <c r="O15" s="97"/>
      <c r="P15" s="96"/>
      <c r="Q15" s="98"/>
      <c r="R15" s="98"/>
    </row>
    <row r="16" spans="1:92" ht="17.399999999999999" customHeight="1" thickBot="1" x14ac:dyDescent="0.35">
      <c r="A16" s="285"/>
      <c r="B16" s="286"/>
      <c r="C16" s="286"/>
      <c r="D16" s="286"/>
      <c r="E16" s="286"/>
      <c r="F16" s="286"/>
      <c r="G16" s="286"/>
      <c r="H16" s="286"/>
      <c r="I16" s="286"/>
      <c r="J16" s="286"/>
      <c r="K16" s="286"/>
      <c r="L16" s="286"/>
      <c r="M16" s="286"/>
      <c r="N16" s="286"/>
      <c r="O16" s="286"/>
      <c r="P16" s="286"/>
      <c r="Q16" s="286"/>
      <c r="R16" s="287"/>
    </row>
    <row r="17" ht="15" thickTop="1" x14ac:dyDescent="0.3"/>
  </sheetData>
  <mergeCells count="12">
    <mergeCell ref="A2:F2"/>
    <mergeCell ref="A3:R3"/>
    <mergeCell ref="A16:R16"/>
    <mergeCell ref="H1:L1"/>
    <mergeCell ref="A1:E1"/>
    <mergeCell ref="G2:J2"/>
    <mergeCell ref="K2:R2"/>
    <mergeCell ref="A4:F4"/>
    <mergeCell ref="G6:G15"/>
    <mergeCell ref="H4:R4"/>
    <mergeCell ref="A7:F7"/>
    <mergeCell ref="N1:R1"/>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J3"/>
  <sheetViews>
    <sheetView workbookViewId="0"/>
  </sheetViews>
  <sheetFormatPr defaultRowHeight="15.6" outlineLevelCol="1" x14ac:dyDescent="0.3"/>
  <cols>
    <col min="1" max="1" width="6.88671875" style="272" bestFit="1" customWidth="1"/>
    <col min="2" max="2" width="10.44140625" style="272" bestFit="1" customWidth="1"/>
    <col min="3" max="3" width="6.77734375" style="272" bestFit="1" customWidth="1"/>
    <col min="4" max="4" width="5.5546875" style="272" bestFit="1" customWidth="1"/>
    <col min="5" max="5" width="9.44140625" style="272" bestFit="1" customWidth="1"/>
    <col min="6" max="6" width="4.21875" style="272" bestFit="1" customWidth="1"/>
    <col min="7" max="7" width="10" style="272" bestFit="1" customWidth="1"/>
    <col min="8" max="10" width="7" style="272" bestFit="1" customWidth="1"/>
    <col min="11" max="11" width="10.5546875" style="272" bestFit="1" customWidth="1"/>
    <col min="12" max="12" width="9.10937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22" width="3.88671875" style="272" bestFit="1" customWidth="1"/>
    <col min="23" max="23" width="4.33203125" style="272" bestFit="1" customWidth="1"/>
    <col min="24" max="24" width="4.109375" style="272" bestFit="1" customWidth="1"/>
    <col min="25" max="25" width="4.44140625" style="272" bestFit="1" customWidth="1"/>
    <col min="26" max="26" width="4.109375" style="272" bestFit="1" customWidth="1"/>
    <col min="27" max="27" width="5" style="272" bestFit="1" customWidth="1"/>
    <col min="28" max="29" width="4.21875" style="272" bestFit="1" customWidth="1"/>
    <col min="30" max="31" width="4.5546875" style="272" bestFit="1" customWidth="1"/>
    <col min="32" max="36" width="3.88671875" style="272" bestFit="1" customWidth="1"/>
    <col min="37" max="16384" width="8.88671875" style="272"/>
  </cols>
  <sheetData>
    <row r="1" spans="1:36" x14ac:dyDescent="0.3">
      <c r="A1" s="271" t="s">
        <v>103</v>
      </c>
      <c r="B1" s="271" t="s">
        <v>104</v>
      </c>
      <c r="C1" s="271" t="s">
        <v>105</v>
      </c>
      <c r="D1" s="271" t="s">
        <v>23</v>
      </c>
      <c r="E1" s="271" t="s">
        <v>106</v>
      </c>
      <c r="F1" s="271" t="s">
        <v>107</v>
      </c>
      <c r="G1" s="271" t="s">
        <v>16</v>
      </c>
      <c r="H1" s="271" t="s">
        <v>108</v>
      </c>
      <c r="I1" s="271" t="s">
        <v>109</v>
      </c>
      <c r="J1" s="271" t="s">
        <v>110</v>
      </c>
      <c r="K1" s="271" t="s">
        <v>111</v>
      </c>
      <c r="L1" s="271" t="s">
        <v>18</v>
      </c>
      <c r="M1" s="271" t="s">
        <v>20</v>
      </c>
      <c r="N1" s="271" t="s">
        <v>21</v>
      </c>
      <c r="O1" s="271" t="s">
        <v>19</v>
      </c>
      <c r="P1" s="271" t="s">
        <v>22</v>
      </c>
      <c r="Q1" s="271" t="s">
        <v>112</v>
      </c>
      <c r="R1" s="271" t="s">
        <v>113</v>
      </c>
      <c r="S1" s="271" t="s">
        <v>114</v>
      </c>
      <c r="T1" s="271" t="s">
        <v>115</v>
      </c>
      <c r="U1" s="271" t="s">
        <v>116</v>
      </c>
      <c r="V1" s="271" t="s">
        <v>117</v>
      </c>
      <c r="W1" s="271" t="s">
        <v>118</v>
      </c>
      <c r="X1" s="271" t="s">
        <v>119</v>
      </c>
      <c r="Y1" s="271" t="s">
        <v>120</v>
      </c>
      <c r="Z1" s="271" t="s">
        <v>121</v>
      </c>
      <c r="AA1" s="271" t="s">
        <v>122</v>
      </c>
      <c r="AB1" s="271" t="s">
        <v>123</v>
      </c>
      <c r="AC1" s="271" t="s">
        <v>124</v>
      </c>
      <c r="AD1" s="271" t="s">
        <v>125</v>
      </c>
      <c r="AE1" s="271" t="s">
        <v>126</v>
      </c>
      <c r="AF1" s="271" t="s">
        <v>127</v>
      </c>
      <c r="AG1" s="271" t="s">
        <v>128</v>
      </c>
      <c r="AH1" s="271" t="s">
        <v>129</v>
      </c>
      <c r="AI1" s="271" t="s">
        <v>130</v>
      </c>
      <c r="AJ1" s="271" t="s">
        <v>131</v>
      </c>
    </row>
    <row r="2" spans="1:36" x14ac:dyDescent="0.3">
      <c r="A2" s="273" t="s">
        <v>377</v>
      </c>
      <c r="B2" s="274">
        <v>45982</v>
      </c>
      <c r="C2" s="275" t="s">
        <v>744</v>
      </c>
      <c r="D2" s="276" t="s">
        <v>752</v>
      </c>
      <c r="E2" s="275" t="s">
        <v>743</v>
      </c>
      <c r="F2" s="275" t="s">
        <v>134</v>
      </c>
      <c r="G2" s="277">
        <v>0.98329999999999995</v>
      </c>
      <c r="H2" s="278">
        <v>180</v>
      </c>
      <c r="I2" s="278">
        <v>177</v>
      </c>
      <c r="J2" s="278">
        <v>0</v>
      </c>
      <c r="K2" s="275" t="s">
        <v>135</v>
      </c>
      <c r="L2" s="279">
        <v>45980</v>
      </c>
      <c r="M2" s="278">
        <v>4</v>
      </c>
      <c r="N2" s="278">
        <v>3</v>
      </c>
      <c r="O2" s="278">
        <v>25</v>
      </c>
      <c r="P2" s="275" t="s">
        <v>82</v>
      </c>
      <c r="Q2" s="278" t="s">
        <v>536</v>
      </c>
      <c r="R2" s="271"/>
      <c r="S2" s="271"/>
      <c r="T2" s="271"/>
      <c r="U2" s="271"/>
      <c r="V2" s="271"/>
      <c r="W2" s="278" t="s">
        <v>753</v>
      </c>
      <c r="X2" s="278" t="s">
        <v>754</v>
      </c>
      <c r="Y2" s="278" t="s">
        <v>755</v>
      </c>
      <c r="Z2" s="278" t="s">
        <v>756</v>
      </c>
      <c r="AA2" s="278" t="s">
        <v>757</v>
      </c>
      <c r="AB2" s="278" t="s">
        <v>758</v>
      </c>
      <c r="AC2" s="278" t="s">
        <v>759</v>
      </c>
      <c r="AD2" s="278" t="s">
        <v>760</v>
      </c>
      <c r="AE2" s="278" t="s">
        <v>761</v>
      </c>
      <c r="AF2" s="271"/>
      <c r="AG2" s="271"/>
      <c r="AH2" s="271"/>
      <c r="AI2" s="271"/>
      <c r="AJ2" s="271"/>
    </row>
    <row r="3" spans="1:36" ht="21" x14ac:dyDescent="0.3">
      <c r="A3" s="280" t="s">
        <v>932</v>
      </c>
      <c r="B3" s="281"/>
      <c r="C3" s="280">
        <f>SUBTOTAL(103,ATZ_DMM_LF_LEGACY[Flt])</f>
        <v>1</v>
      </c>
      <c r="D3" s="280"/>
      <c r="E3" s="280">
        <f>SUBTOTAL(103,ATZ_DMM_LF_LEGACY[Brd-Off])</f>
        <v>1</v>
      </c>
      <c r="F3" s="280"/>
      <c r="G3" s="282">
        <f>SUBTOTAL(101,ATZ_DMM_LF_LEGACY[LF%])</f>
        <v>0.98329999999999995</v>
      </c>
      <c r="H3" s="283">
        <f>SUBTOTAL(109,ATZ_DMM_LF_LEGACY[CAP])</f>
        <v>180</v>
      </c>
      <c r="I3" s="283">
        <f>SUBTOTAL(109,ATZ_DMM_LF_LEGACY[BKG(Y)])</f>
        <v>177</v>
      </c>
      <c r="J3" s="283">
        <f>SUBTOTAL(109,ATZ_DMM_LF_LEGACY[GRP(Y)])</f>
        <v>0</v>
      </c>
      <c r="K3" s="280"/>
      <c r="L3" s="281"/>
      <c r="M3" s="283">
        <f>SUBTOTAL(109,ATZ_DMM_LF_LEGACY[TO-DAY])</f>
        <v>4</v>
      </c>
      <c r="N3" s="283">
        <f>SUBTOTAL(109,ATZ_DMM_LF_LEGACY[Y-DAY])</f>
        <v>3</v>
      </c>
      <c r="O3" s="283">
        <f>SUBTOTAL(109,ATZ_DMM_LF_LEGACY[WEEKLY])</f>
        <v>25</v>
      </c>
      <c r="P3" s="284"/>
      <c r="Q3" s="283">
        <f>SUBTOTAL(109,ATZ_DMM_LF_LEGACY[Y])</f>
        <v>0</v>
      </c>
      <c r="R3" s="283">
        <f>SUBTOTAL(109,ATZ_DMM_LF_LEGACY[B])</f>
        <v>0</v>
      </c>
      <c r="S3" s="283">
        <f>SUBTOTAL(109,ATZ_DMM_LF_LEGACY[M])</f>
        <v>0</v>
      </c>
      <c r="T3" s="283">
        <f>SUBTOTAL(109,ATZ_DMM_LF_LEGACY[H])</f>
        <v>0</v>
      </c>
      <c r="U3" s="283">
        <f>SUBTOTAL(109,ATZ_DMM_LF_LEGACY[Q])</f>
        <v>0</v>
      </c>
      <c r="V3" s="283">
        <f>SUBTOTAL(109,ATZ_DMM_LF_LEGACY[K])</f>
        <v>0</v>
      </c>
      <c r="W3" s="283">
        <f>SUBTOTAL(109,ATZ_DMM_LF_LEGACY[V])</f>
        <v>0</v>
      </c>
      <c r="X3" s="283">
        <f>SUBTOTAL(109,ATZ_DMM_LF_LEGACY[L])</f>
        <v>0</v>
      </c>
      <c r="Y3" s="283">
        <f>SUBTOTAL(109,ATZ_DMM_LF_LEGACY[G])</f>
        <v>0</v>
      </c>
      <c r="Z3" s="283">
        <f>SUBTOTAL(109,ATZ_DMM_LF_LEGACY[S])</f>
        <v>0</v>
      </c>
      <c r="AA3" s="283">
        <f>SUBTOTAL(109,ATZ_DMM_LF_LEGACY[W])</f>
        <v>0</v>
      </c>
      <c r="AB3" s="283">
        <f>SUBTOTAL(109,ATZ_DMM_LF_LEGACY[T])</f>
        <v>0</v>
      </c>
      <c r="AC3" s="283">
        <f>SUBTOTAL(109,ATZ_DMM_LF_LEGACY[X])</f>
        <v>0</v>
      </c>
      <c r="AD3" s="283">
        <f>SUBTOTAL(109,ATZ_DMM_LF_LEGACY[U])</f>
        <v>0</v>
      </c>
      <c r="AE3" s="283">
        <f>SUBTOTAL(109,ATZ_DMM_LF_LEGACY[O])</f>
        <v>0</v>
      </c>
      <c r="AF3" s="283">
        <f>SUBTOTAL(109,ATZ_DMM_LF_LEGACY[I])</f>
        <v>0</v>
      </c>
      <c r="AG3" s="283">
        <f>SUBTOTAL(109,ATZ_DMM_LF_LEGACY[E])</f>
        <v>0</v>
      </c>
      <c r="AH3" s="283">
        <f>SUBTOTAL(109,ATZ_DMM_LF_LEGACY[A])</f>
        <v>0</v>
      </c>
      <c r="AI3" s="283">
        <f>SUBTOTAL(109,ATZ_DMM_LF_LEGACY[P])</f>
        <v>0</v>
      </c>
      <c r="AJ3" s="283">
        <f>SUBTOTAL(103,ATZ_DMM_LF_LEGACY[N])</f>
        <v>0</v>
      </c>
    </row>
  </sheetData>
  <pageMargins left="0.75" right="0.75" top="1" bottom="1" header="0.5" footer="0.5"/>
  <tableParts count="1">
    <tablePart r:id="rId1"/>
  </tableParts>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27"/>
  <sheetViews>
    <sheetView workbookViewId="0"/>
  </sheetViews>
  <sheetFormatPr defaultRowHeight="14.4" x14ac:dyDescent="0.3"/>
  <cols>
    <col min="1" max="1" width="11.88671875" bestFit="1" customWidth="1"/>
    <col min="2" max="2" width="15.5546875" bestFit="1" customWidth="1"/>
    <col min="3" max="3" width="19.21875" bestFit="1" customWidth="1"/>
    <col min="4" max="4" width="12.77734375" bestFit="1" customWidth="1"/>
    <col min="5" max="5" width="18.33203125" bestFit="1" customWidth="1"/>
    <col min="6" max="6" width="34.109375" bestFit="1" customWidth="1"/>
    <col min="7" max="7" width="20" bestFit="1" customWidth="1"/>
    <col min="8" max="8" width="23.6640625" bestFit="1" customWidth="1"/>
    <col min="9" max="9" width="203.77734375" hidden="1" customWidth="1"/>
  </cols>
  <sheetData>
    <row r="1" spans="1:8" ht="18" x14ac:dyDescent="0.3">
      <c r="A1" s="56" t="s">
        <v>149</v>
      </c>
      <c r="B1" s="57" t="s">
        <v>8</v>
      </c>
      <c r="C1" s="57" t="s">
        <v>9</v>
      </c>
      <c r="D1" s="57" t="s">
        <v>150</v>
      </c>
      <c r="E1" s="57" t="s">
        <v>10</v>
      </c>
      <c r="F1" s="57" t="s">
        <v>11</v>
      </c>
      <c r="G1" s="57" t="s">
        <v>12</v>
      </c>
      <c r="H1" s="58" t="s">
        <v>13</v>
      </c>
    </row>
    <row r="2" spans="1:8" ht="19.8" customHeight="1" x14ac:dyDescent="0.3">
      <c r="A2" s="100"/>
      <c r="B2" s="101"/>
      <c r="C2" s="101"/>
      <c r="D2" s="101"/>
      <c r="E2" s="101"/>
      <c r="F2" s="102" t="s">
        <v>762</v>
      </c>
      <c r="G2" s="101"/>
      <c r="H2" s="103"/>
    </row>
    <row r="3" spans="1:8" ht="19.8" customHeight="1" x14ac:dyDescent="0.3">
      <c r="A3" s="59" t="s">
        <v>151</v>
      </c>
      <c r="B3" s="60" t="s">
        <v>42</v>
      </c>
      <c r="C3" s="61" t="s">
        <v>688</v>
      </c>
      <c r="D3" s="60" t="s">
        <v>687</v>
      </c>
      <c r="E3" s="60" t="s">
        <v>738</v>
      </c>
      <c r="F3" s="60" t="s">
        <v>44</v>
      </c>
      <c r="G3" s="62">
        <v>17</v>
      </c>
      <c r="H3" s="63" t="s">
        <v>689</v>
      </c>
    </row>
    <row r="4" spans="1:8" ht="19.8" customHeight="1" x14ac:dyDescent="0.3">
      <c r="A4" s="59" t="s">
        <v>151</v>
      </c>
      <c r="B4" s="60" t="s">
        <v>26</v>
      </c>
      <c r="C4" s="61" t="s">
        <v>691</v>
      </c>
      <c r="D4" s="60" t="s">
        <v>687</v>
      </c>
      <c r="E4" s="60" t="s">
        <v>739</v>
      </c>
      <c r="F4" s="60" t="s">
        <v>28</v>
      </c>
      <c r="G4" s="62">
        <v>3</v>
      </c>
      <c r="H4" s="63" t="s">
        <v>692</v>
      </c>
    </row>
    <row r="5" spans="1:8" ht="19.8" customHeight="1" x14ac:dyDescent="0.3">
      <c r="A5" s="59" t="s">
        <v>151</v>
      </c>
      <c r="B5" s="60" t="s">
        <v>26</v>
      </c>
      <c r="C5" s="61" t="s">
        <v>694</v>
      </c>
      <c r="D5" s="60" t="s">
        <v>687</v>
      </c>
      <c r="E5" s="60" t="s">
        <v>191</v>
      </c>
      <c r="F5" s="60" t="s">
        <v>28</v>
      </c>
      <c r="G5" s="62">
        <v>9</v>
      </c>
      <c r="H5" s="63" t="s">
        <v>692</v>
      </c>
    </row>
    <row r="6" spans="1:8" ht="19.8" customHeight="1" x14ac:dyDescent="0.3">
      <c r="A6" s="59" t="s">
        <v>151</v>
      </c>
      <c r="B6" s="60" t="s">
        <v>328</v>
      </c>
      <c r="C6" s="61" t="s">
        <v>695</v>
      </c>
      <c r="D6" s="60" t="s">
        <v>687</v>
      </c>
      <c r="E6" s="60" t="s">
        <v>740</v>
      </c>
      <c r="F6" s="60" t="s">
        <v>98</v>
      </c>
      <c r="G6" s="62">
        <v>9</v>
      </c>
      <c r="H6" s="63" t="s">
        <v>696</v>
      </c>
    </row>
    <row r="7" spans="1:8" ht="19.8" customHeight="1" x14ac:dyDescent="0.3">
      <c r="A7" s="59" t="s">
        <v>151</v>
      </c>
      <c r="B7" s="60" t="s">
        <v>328</v>
      </c>
      <c r="C7" s="61" t="s">
        <v>697</v>
      </c>
      <c r="D7" s="60" t="s">
        <v>687</v>
      </c>
      <c r="E7" s="60" t="s">
        <v>741</v>
      </c>
      <c r="F7" s="60" t="s">
        <v>98</v>
      </c>
      <c r="G7" s="62">
        <v>8</v>
      </c>
      <c r="H7" s="63" t="s">
        <v>696</v>
      </c>
    </row>
    <row r="8" spans="1:8" ht="19.8" customHeight="1" x14ac:dyDescent="0.3">
      <c r="A8" s="59" t="s">
        <v>151</v>
      </c>
      <c r="B8" s="60" t="s">
        <v>26</v>
      </c>
      <c r="C8" s="61" t="s">
        <v>691</v>
      </c>
      <c r="D8" s="60" t="s">
        <v>687</v>
      </c>
      <c r="E8" s="60" t="s">
        <v>739</v>
      </c>
      <c r="F8" s="60" t="s">
        <v>31</v>
      </c>
      <c r="G8" s="62">
        <v>3</v>
      </c>
      <c r="H8" s="63" t="s">
        <v>89</v>
      </c>
    </row>
    <row r="9" spans="1:8" ht="19.8" customHeight="1" x14ac:dyDescent="0.3">
      <c r="A9" s="59" t="s">
        <v>151</v>
      </c>
      <c r="B9" s="60" t="s">
        <v>26</v>
      </c>
      <c r="C9" s="61" t="s">
        <v>694</v>
      </c>
      <c r="D9" s="60" t="s">
        <v>687</v>
      </c>
      <c r="E9" s="60" t="s">
        <v>191</v>
      </c>
      <c r="F9" s="60" t="s">
        <v>31</v>
      </c>
      <c r="G9" s="62">
        <v>9</v>
      </c>
      <c r="H9" s="63" t="s">
        <v>89</v>
      </c>
    </row>
    <row r="10" spans="1:8" ht="19.8" customHeight="1" x14ac:dyDescent="0.3">
      <c r="A10" s="59" t="s">
        <v>151</v>
      </c>
      <c r="B10" s="60" t="s">
        <v>42</v>
      </c>
      <c r="C10" s="61" t="s">
        <v>688</v>
      </c>
      <c r="D10" s="60" t="s">
        <v>687</v>
      </c>
      <c r="E10" s="60" t="s">
        <v>738</v>
      </c>
      <c r="F10" s="60" t="s">
        <v>47</v>
      </c>
      <c r="G10" s="62">
        <v>17</v>
      </c>
      <c r="H10" s="63" t="s">
        <v>311</v>
      </c>
    </row>
    <row r="11" spans="1:8" ht="19.8" customHeight="1" x14ac:dyDescent="0.3">
      <c r="A11" s="59" t="s">
        <v>151</v>
      </c>
      <c r="B11" s="60" t="s">
        <v>235</v>
      </c>
      <c r="C11" s="61" t="s">
        <v>698</v>
      </c>
      <c r="D11" s="60" t="s">
        <v>687</v>
      </c>
      <c r="E11" s="60" t="s">
        <v>496</v>
      </c>
      <c r="F11" s="60" t="s">
        <v>98</v>
      </c>
      <c r="G11" s="62">
        <v>9</v>
      </c>
      <c r="H11" s="63" t="s">
        <v>699</v>
      </c>
    </row>
    <row r="12" spans="1:8" ht="19.8" customHeight="1" x14ac:dyDescent="0.3">
      <c r="A12" s="113" t="s">
        <v>151</v>
      </c>
      <c r="B12" s="71" t="s">
        <v>67</v>
      </c>
      <c r="C12" s="72" t="s">
        <v>702</v>
      </c>
      <c r="D12" s="71" t="s">
        <v>687</v>
      </c>
      <c r="E12" s="71" t="s">
        <v>191</v>
      </c>
      <c r="F12" s="71" t="s">
        <v>69</v>
      </c>
      <c r="G12" s="74">
        <v>6</v>
      </c>
      <c r="H12" s="75" t="s">
        <v>703</v>
      </c>
    </row>
    <row r="13" spans="1:8" ht="19.8" customHeight="1" x14ac:dyDescent="0.3">
      <c r="A13" s="99" t="s">
        <v>201</v>
      </c>
      <c r="B13" s="77" t="s">
        <v>78</v>
      </c>
      <c r="C13" s="78" t="s">
        <v>763</v>
      </c>
      <c r="D13" s="77" t="s">
        <v>743</v>
      </c>
      <c r="E13" s="77" t="s">
        <v>752</v>
      </c>
      <c r="F13" s="77"/>
      <c r="G13" s="77"/>
      <c r="H13" s="81" t="s">
        <v>81</v>
      </c>
    </row>
    <row r="14" spans="1:8" ht="19.8" customHeight="1" x14ac:dyDescent="0.3">
      <c r="A14" s="100"/>
      <c r="B14" s="101"/>
      <c r="C14" s="101"/>
      <c r="D14" s="101"/>
      <c r="E14" s="101"/>
      <c r="F14" s="102" t="s">
        <v>762</v>
      </c>
      <c r="G14" s="101"/>
      <c r="H14" s="103"/>
    </row>
    <row r="15" spans="1:8" ht="19.8" customHeight="1" x14ac:dyDescent="0.3">
      <c r="A15" s="68">
        <v>45982</v>
      </c>
      <c r="B15" s="60" t="s">
        <v>328</v>
      </c>
      <c r="C15" s="61" t="s">
        <v>712</v>
      </c>
      <c r="D15" s="60" t="s">
        <v>687</v>
      </c>
      <c r="E15" s="69">
        <v>1.006944444444444</v>
      </c>
      <c r="F15" s="60" t="s">
        <v>98</v>
      </c>
      <c r="G15" s="62">
        <v>1</v>
      </c>
      <c r="H15" s="63" t="s">
        <v>696</v>
      </c>
    </row>
    <row r="16" spans="1:8" ht="19.8" customHeight="1" x14ac:dyDescent="0.3">
      <c r="A16" s="68">
        <v>45982</v>
      </c>
      <c r="B16" s="60" t="s">
        <v>328</v>
      </c>
      <c r="C16" s="61" t="s">
        <v>695</v>
      </c>
      <c r="D16" s="60" t="s">
        <v>687</v>
      </c>
      <c r="E16" s="69">
        <v>1.9652777777777779</v>
      </c>
      <c r="F16" s="60" t="s">
        <v>98</v>
      </c>
      <c r="G16" s="62">
        <v>9</v>
      </c>
      <c r="H16" s="63" t="s">
        <v>713</v>
      </c>
    </row>
    <row r="17" spans="1:8" ht="19.8" customHeight="1" x14ac:dyDescent="0.3">
      <c r="A17" s="68">
        <v>45982</v>
      </c>
      <c r="B17" s="60" t="s">
        <v>235</v>
      </c>
      <c r="C17" s="61" t="s">
        <v>714</v>
      </c>
      <c r="D17" s="60" t="s">
        <v>687</v>
      </c>
      <c r="E17" s="69">
        <v>1.805555555555556</v>
      </c>
      <c r="F17" s="60" t="s">
        <v>98</v>
      </c>
      <c r="G17" s="62">
        <v>9</v>
      </c>
      <c r="H17" s="63" t="s">
        <v>715</v>
      </c>
    </row>
    <row r="18" spans="1:8" ht="19.8" customHeight="1" x14ac:dyDescent="0.3">
      <c r="A18" s="68">
        <v>45982</v>
      </c>
      <c r="B18" s="60" t="s">
        <v>78</v>
      </c>
      <c r="C18" s="61" t="s">
        <v>708</v>
      </c>
      <c r="D18" s="60" t="s">
        <v>687</v>
      </c>
      <c r="E18" s="69">
        <v>1.381944444444444</v>
      </c>
      <c r="F18" s="60" t="s">
        <v>98</v>
      </c>
      <c r="G18" s="62">
        <v>1</v>
      </c>
      <c r="H18" s="63" t="s">
        <v>209</v>
      </c>
    </row>
    <row r="19" spans="1:8" ht="19.8" customHeight="1" x14ac:dyDescent="0.3">
      <c r="A19" s="68">
        <v>45982</v>
      </c>
      <c r="B19" s="60" t="s">
        <v>67</v>
      </c>
      <c r="C19" s="61" t="s">
        <v>704</v>
      </c>
      <c r="D19" s="60" t="s">
        <v>687</v>
      </c>
      <c r="E19" s="69">
        <v>1.979166666666667</v>
      </c>
      <c r="F19" s="60" t="s">
        <v>69</v>
      </c>
      <c r="G19" s="62">
        <v>9</v>
      </c>
      <c r="H19" s="63" t="s">
        <v>707</v>
      </c>
    </row>
    <row r="20" spans="1:8" ht="19.8" customHeight="1" x14ac:dyDescent="0.3">
      <c r="A20" s="68">
        <v>45982</v>
      </c>
      <c r="B20" s="60" t="s">
        <v>67</v>
      </c>
      <c r="C20" s="61" t="s">
        <v>702</v>
      </c>
      <c r="D20" s="60" t="s">
        <v>687</v>
      </c>
      <c r="E20" s="69">
        <v>1.336805555555556</v>
      </c>
      <c r="F20" s="60" t="s">
        <v>69</v>
      </c>
      <c r="G20" s="62">
        <v>9</v>
      </c>
      <c r="H20" s="63" t="s">
        <v>707</v>
      </c>
    </row>
    <row r="21" spans="1:8" ht="19.8" customHeight="1" x14ac:dyDescent="0.3">
      <c r="A21" s="68">
        <v>45982</v>
      </c>
      <c r="B21" s="60" t="s">
        <v>51</v>
      </c>
      <c r="C21" s="61" t="s">
        <v>711</v>
      </c>
      <c r="D21" s="60" t="s">
        <v>687</v>
      </c>
      <c r="E21" s="69">
        <v>1.447916666666667</v>
      </c>
      <c r="F21" s="60" t="s">
        <v>56</v>
      </c>
      <c r="G21" s="62">
        <v>4</v>
      </c>
      <c r="H21" s="63" t="s">
        <v>649</v>
      </c>
    </row>
    <row r="22" spans="1:8" ht="19.8" customHeight="1" x14ac:dyDescent="0.3">
      <c r="A22" s="70">
        <v>45982</v>
      </c>
      <c r="B22" s="71" t="s">
        <v>67</v>
      </c>
      <c r="C22" s="72" t="s">
        <v>706</v>
      </c>
      <c r="D22" s="71" t="s">
        <v>687</v>
      </c>
      <c r="E22" s="73">
        <v>1.6736111111111109</v>
      </c>
      <c r="F22" s="71" t="s">
        <v>69</v>
      </c>
      <c r="G22" s="74">
        <v>7</v>
      </c>
      <c r="H22" s="75" t="s">
        <v>717</v>
      </c>
    </row>
    <row r="23" spans="1:8" ht="19.8" customHeight="1" x14ac:dyDescent="0.3">
      <c r="A23" s="100"/>
      <c r="B23" s="101"/>
      <c r="C23" s="101"/>
      <c r="D23" s="101"/>
      <c r="E23" s="101"/>
      <c r="F23" s="102" t="s">
        <v>762</v>
      </c>
      <c r="G23" s="101"/>
      <c r="H23" s="103"/>
    </row>
    <row r="24" spans="1:8" ht="19.8" customHeight="1" x14ac:dyDescent="0.3">
      <c r="A24" s="68">
        <v>45983</v>
      </c>
      <c r="B24" s="60" t="s">
        <v>78</v>
      </c>
      <c r="C24" s="61" t="s">
        <v>708</v>
      </c>
      <c r="D24" s="60" t="s">
        <v>687</v>
      </c>
      <c r="E24" s="69">
        <v>1.7222222222222221</v>
      </c>
      <c r="F24" s="60" t="s">
        <v>98</v>
      </c>
      <c r="G24" s="62">
        <v>1</v>
      </c>
      <c r="H24" s="63" t="s">
        <v>209</v>
      </c>
    </row>
    <row r="25" spans="1:8" ht="19.8" customHeight="1" x14ac:dyDescent="0.3">
      <c r="A25" s="68">
        <v>45983</v>
      </c>
      <c r="B25" s="60" t="s">
        <v>235</v>
      </c>
      <c r="C25" s="61" t="s">
        <v>700</v>
      </c>
      <c r="D25" s="60" t="s">
        <v>687</v>
      </c>
      <c r="E25" s="69">
        <v>1.694444444444444</v>
      </c>
      <c r="F25" s="60" t="s">
        <v>98</v>
      </c>
      <c r="G25" s="62">
        <v>7</v>
      </c>
      <c r="H25" s="63" t="s">
        <v>719</v>
      </c>
    </row>
    <row r="26" spans="1:8" ht="19.8" customHeight="1" x14ac:dyDescent="0.3">
      <c r="A26" s="68">
        <v>45983</v>
      </c>
      <c r="B26" s="60" t="s">
        <v>67</v>
      </c>
      <c r="C26" s="61" t="s">
        <v>704</v>
      </c>
      <c r="D26" s="60" t="s">
        <v>687</v>
      </c>
      <c r="E26" s="69">
        <v>1.979166666666667</v>
      </c>
      <c r="F26" s="60" t="s">
        <v>69</v>
      </c>
      <c r="G26" s="62">
        <v>9</v>
      </c>
      <c r="H26" s="63" t="s">
        <v>720</v>
      </c>
    </row>
    <row r="27" spans="1:8" ht="19.8" customHeight="1" x14ac:dyDescent="0.3">
      <c r="A27" s="70">
        <v>45983</v>
      </c>
      <c r="B27" s="71" t="s">
        <v>51</v>
      </c>
      <c r="C27" s="72" t="s">
        <v>711</v>
      </c>
      <c r="D27" s="71" t="s">
        <v>687</v>
      </c>
      <c r="E27" s="73">
        <v>1.447916666666667</v>
      </c>
      <c r="F27" s="71" t="s">
        <v>56</v>
      </c>
      <c r="G27" s="74">
        <v>4</v>
      </c>
      <c r="H27" s="75" t="s">
        <v>721</v>
      </c>
    </row>
  </sheetData>
  <pageMargins left="0.75" right="0.75" top="1" bottom="1" header="0.5" footer="0.5"/>
  <legacyDrawing r:id="rId1"/>
  <tableParts count="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N21"/>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23.21875" bestFit="1" customWidth="1"/>
  </cols>
  <sheetData>
    <row r="1" spans="1:92" ht="28.8" customHeight="1" x14ac:dyDescent="0.3">
      <c r="A1" s="261" t="s">
        <v>0</v>
      </c>
      <c r="B1" s="251"/>
      <c r="C1" s="251"/>
      <c r="D1" s="251"/>
      <c r="E1" s="251"/>
      <c r="F1" s="1" t="s">
        <v>764</v>
      </c>
      <c r="G1" s="2" t="s">
        <v>2</v>
      </c>
      <c r="H1" s="260">
        <v>45981</v>
      </c>
      <c r="I1" s="251"/>
      <c r="J1" s="251"/>
      <c r="K1" s="251"/>
      <c r="L1" s="251"/>
      <c r="M1" s="1" t="s">
        <v>3</v>
      </c>
      <c r="N1" s="266">
        <v>45983</v>
      </c>
      <c r="O1" s="251"/>
      <c r="P1" s="251"/>
      <c r="Q1" s="251"/>
      <c r="R1" s="251"/>
      <c r="CA1" s="3"/>
      <c r="CB1" s="3"/>
      <c r="CC1" s="3"/>
      <c r="CD1" s="3"/>
      <c r="CE1" s="3"/>
      <c r="CF1" s="3"/>
      <c r="CG1" s="3"/>
      <c r="CH1" s="3"/>
      <c r="CI1" s="3"/>
      <c r="CJ1" s="3"/>
      <c r="CK1" s="3"/>
      <c r="CL1" s="3"/>
      <c r="CM1" s="3"/>
      <c r="CN1" s="3"/>
    </row>
    <row r="2" spans="1:92" ht="23.4" customHeight="1" x14ac:dyDescent="0.3">
      <c r="A2" s="250" t="s">
        <v>4</v>
      </c>
      <c r="B2" s="251"/>
      <c r="C2" s="251"/>
      <c r="D2" s="251"/>
      <c r="E2" s="251"/>
      <c r="F2" s="251"/>
      <c r="G2" s="262">
        <v>45980.493101874446</v>
      </c>
      <c r="H2" s="251"/>
      <c r="I2" s="251"/>
      <c r="J2" s="251"/>
      <c r="K2" s="263">
        <v>45980.493101874723</v>
      </c>
      <c r="L2" s="251"/>
      <c r="M2" s="251"/>
      <c r="N2" s="251"/>
      <c r="O2" s="251"/>
      <c r="P2" s="251"/>
      <c r="Q2" s="251"/>
      <c r="R2" s="251"/>
      <c r="CA2" s="3"/>
      <c r="CB2" s="3"/>
      <c r="CC2" s="3"/>
      <c r="CD2" s="3"/>
      <c r="CE2" s="3"/>
      <c r="CF2" s="3"/>
      <c r="CG2" s="3"/>
      <c r="CH2" s="3"/>
      <c r="CI2" s="3"/>
      <c r="CJ2" s="3"/>
      <c r="CK2" s="3"/>
      <c r="CL2" s="3"/>
      <c r="CM2" s="3"/>
      <c r="CN2" s="3"/>
    </row>
    <row r="3" spans="1:92" ht="24" customHeight="1" x14ac:dyDescent="0.3">
      <c r="A3" s="252" t="s">
        <v>5</v>
      </c>
      <c r="B3" s="251"/>
      <c r="C3" s="251"/>
      <c r="D3" s="251"/>
      <c r="E3" s="251"/>
      <c r="F3" s="251"/>
      <c r="G3" s="251"/>
      <c r="H3" s="251"/>
      <c r="I3" s="251"/>
      <c r="J3" s="251"/>
      <c r="K3" s="251"/>
      <c r="L3" s="251"/>
      <c r="M3" s="251"/>
      <c r="N3" s="251"/>
      <c r="O3" s="251"/>
      <c r="P3" s="251"/>
      <c r="Q3" s="251"/>
      <c r="R3" s="251"/>
      <c r="CA3" s="3"/>
      <c r="CB3" s="3"/>
      <c r="CC3" s="3"/>
      <c r="CD3" s="3"/>
      <c r="CE3" s="3"/>
      <c r="CF3" s="3"/>
      <c r="CG3" s="3"/>
      <c r="CH3" s="3"/>
      <c r="CI3" s="3"/>
      <c r="CJ3" s="3"/>
      <c r="CK3" s="3"/>
      <c r="CL3" s="3"/>
      <c r="CM3" s="3"/>
      <c r="CN3" s="3"/>
    </row>
    <row r="4" spans="1:92" ht="22.05" customHeight="1" x14ac:dyDescent="0.3">
      <c r="A4" s="264" t="s">
        <v>6</v>
      </c>
      <c r="B4" s="254"/>
      <c r="C4" s="254"/>
      <c r="D4" s="254"/>
      <c r="E4" s="254"/>
      <c r="F4" s="255"/>
      <c r="G4" s="4">
        <v>45981</v>
      </c>
      <c r="H4" s="265" t="s">
        <v>7</v>
      </c>
      <c r="I4" s="254"/>
      <c r="J4" s="254"/>
      <c r="K4" s="254"/>
      <c r="L4" s="254"/>
      <c r="M4" s="254"/>
      <c r="N4" s="254"/>
      <c r="O4" s="254"/>
      <c r="P4" s="254"/>
      <c r="Q4" s="254"/>
      <c r="R4" s="25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235</v>
      </c>
      <c r="B6" s="8" t="s">
        <v>765</v>
      </c>
      <c r="C6" s="9">
        <v>0.75694444444444453</v>
      </c>
      <c r="D6" s="8" t="s">
        <v>98</v>
      </c>
      <c r="E6" s="8" t="s">
        <v>54</v>
      </c>
      <c r="F6" s="8" t="s">
        <v>766</v>
      </c>
      <c r="G6" s="256"/>
      <c r="H6" s="10"/>
      <c r="I6" s="11"/>
      <c r="J6" s="11"/>
      <c r="K6" s="11"/>
      <c r="L6" s="11"/>
      <c r="M6" s="11"/>
      <c r="N6" s="11"/>
      <c r="O6" s="12"/>
      <c r="P6" s="11"/>
      <c r="Q6" s="13"/>
      <c r="R6" s="14"/>
    </row>
    <row r="7" spans="1:92" ht="49.95" customHeight="1" x14ac:dyDescent="0.3">
      <c r="A7" s="172" t="s">
        <v>78</v>
      </c>
      <c r="B7" s="172" t="s">
        <v>767</v>
      </c>
      <c r="C7" s="173">
        <v>0.71180555555555547</v>
      </c>
      <c r="D7" s="172" t="s">
        <v>98</v>
      </c>
      <c r="E7" s="172" t="s">
        <v>54</v>
      </c>
      <c r="F7" s="172" t="s">
        <v>637</v>
      </c>
      <c r="G7" s="257"/>
      <c r="H7" s="118" t="s">
        <v>768</v>
      </c>
      <c r="I7" s="211">
        <v>0.35749999999999998</v>
      </c>
      <c r="J7" s="120">
        <v>64</v>
      </c>
      <c r="K7" s="121">
        <v>45979</v>
      </c>
      <c r="L7" s="120">
        <v>33</v>
      </c>
      <c r="M7" s="120">
        <v>0</v>
      </c>
      <c r="N7" s="120">
        <v>5</v>
      </c>
      <c r="O7" s="122" t="s">
        <v>199</v>
      </c>
      <c r="P7" s="123">
        <v>0.71180555555555547</v>
      </c>
      <c r="Q7" s="120">
        <v>179</v>
      </c>
      <c r="R7" s="124" t="s">
        <v>769</v>
      </c>
    </row>
    <row r="8" spans="1:92" ht="49.95" customHeight="1" thickBot="1" x14ac:dyDescent="0.35">
      <c r="A8" s="206" t="s">
        <v>67</v>
      </c>
      <c r="B8" s="206" t="s">
        <v>770</v>
      </c>
      <c r="C8" s="207">
        <v>0.98263888888888884</v>
      </c>
      <c r="D8" s="206" t="s">
        <v>69</v>
      </c>
      <c r="E8" s="206" t="s">
        <v>54</v>
      </c>
      <c r="F8" s="206" t="s">
        <v>771</v>
      </c>
      <c r="G8" s="258"/>
      <c r="H8" s="41"/>
      <c r="I8" s="42"/>
      <c r="J8" s="42"/>
      <c r="K8" s="42"/>
      <c r="L8" s="42"/>
      <c r="M8" s="42"/>
      <c r="N8" s="42"/>
      <c r="O8" s="43"/>
      <c r="P8" s="42"/>
      <c r="Q8" s="44"/>
      <c r="R8" s="45"/>
    </row>
    <row r="9" spans="1:92" ht="17.399999999999999" customHeight="1" thickBot="1" x14ac:dyDescent="0.35">
      <c r="A9" s="285"/>
      <c r="B9" s="286"/>
      <c r="C9" s="286"/>
      <c r="D9" s="286"/>
      <c r="E9" s="286"/>
      <c r="F9" s="286"/>
      <c r="G9" s="286"/>
      <c r="H9" s="286"/>
      <c r="I9" s="286"/>
      <c r="J9" s="286"/>
      <c r="K9" s="286"/>
      <c r="L9" s="286"/>
      <c r="M9" s="286"/>
      <c r="N9" s="286"/>
      <c r="O9" s="286"/>
      <c r="P9" s="286"/>
      <c r="Q9" s="286"/>
      <c r="R9" s="287"/>
    </row>
    <row r="10" spans="1:92" ht="22.05" customHeight="1" thickTop="1" thickBot="1" x14ac:dyDescent="0.35">
      <c r="A10" s="259" t="s">
        <v>6</v>
      </c>
      <c r="B10" s="254"/>
      <c r="C10" s="254"/>
      <c r="D10" s="254"/>
      <c r="E10" s="254"/>
      <c r="F10" s="255"/>
      <c r="G10" s="31">
        <v>45982</v>
      </c>
      <c r="H10" s="253" t="s">
        <v>7</v>
      </c>
      <c r="I10" s="254"/>
      <c r="J10" s="254"/>
      <c r="K10" s="254"/>
      <c r="L10" s="254"/>
      <c r="M10" s="254"/>
      <c r="N10" s="254"/>
      <c r="O10" s="254"/>
      <c r="P10" s="254"/>
      <c r="Q10" s="254"/>
      <c r="R10" s="255"/>
    </row>
    <row r="11" spans="1:92" ht="24" customHeight="1" x14ac:dyDescent="0.3">
      <c r="A11" s="32" t="s">
        <v>8</v>
      </c>
      <c r="B11" s="32" t="s">
        <v>9</v>
      </c>
      <c r="C11" s="33" t="s">
        <v>10</v>
      </c>
      <c r="D11" s="32" t="s">
        <v>11</v>
      </c>
      <c r="E11" s="32" t="s">
        <v>12</v>
      </c>
      <c r="F11" s="34" t="s">
        <v>13</v>
      </c>
      <c r="G11" s="35" t="s">
        <v>14</v>
      </c>
      <c r="H11" s="32" t="s">
        <v>15</v>
      </c>
      <c r="I11" s="36" t="s">
        <v>16</v>
      </c>
      <c r="J11" s="37" t="s">
        <v>17</v>
      </c>
      <c r="K11" s="38" t="s">
        <v>18</v>
      </c>
      <c r="L11" s="37" t="s">
        <v>19</v>
      </c>
      <c r="M11" s="37" t="s">
        <v>20</v>
      </c>
      <c r="N11" s="37" t="s">
        <v>21</v>
      </c>
      <c r="O11" s="32" t="s">
        <v>22</v>
      </c>
      <c r="P11" s="33" t="s">
        <v>23</v>
      </c>
      <c r="Q11" s="37" t="s">
        <v>24</v>
      </c>
      <c r="R11" s="32" t="s">
        <v>25</v>
      </c>
    </row>
    <row r="12" spans="1:92" ht="49.95" customHeight="1" x14ac:dyDescent="0.3">
      <c r="A12" s="8" t="s">
        <v>260</v>
      </c>
      <c r="B12" s="8" t="s">
        <v>772</v>
      </c>
      <c r="C12" s="9">
        <v>0.49652777777777768</v>
      </c>
      <c r="D12" s="8" t="s">
        <v>262</v>
      </c>
      <c r="E12" s="8" t="s">
        <v>29</v>
      </c>
      <c r="F12" s="8" t="s">
        <v>773</v>
      </c>
      <c r="G12" s="256"/>
      <c r="H12" s="10"/>
      <c r="I12" s="11"/>
      <c r="J12" s="11"/>
      <c r="K12" s="11"/>
      <c r="L12" s="11"/>
      <c r="M12" s="11"/>
      <c r="N12" s="11"/>
      <c r="O12" s="12"/>
      <c r="P12" s="11"/>
      <c r="Q12" s="13"/>
      <c r="R12" s="14"/>
    </row>
    <row r="13" spans="1:92" ht="49.95" customHeight="1" x14ac:dyDescent="0.3">
      <c r="A13" s="15" t="s">
        <v>260</v>
      </c>
      <c r="B13" s="15" t="s">
        <v>772</v>
      </c>
      <c r="C13" s="16">
        <v>0.49652777777777768</v>
      </c>
      <c r="D13" s="15" t="s">
        <v>49</v>
      </c>
      <c r="E13" s="15" t="s">
        <v>32</v>
      </c>
      <c r="F13" s="15" t="s">
        <v>774</v>
      </c>
      <c r="G13" s="257"/>
      <c r="H13" s="10"/>
      <c r="I13" s="11"/>
      <c r="J13" s="11"/>
      <c r="K13" s="11"/>
      <c r="L13" s="11"/>
      <c r="M13" s="11"/>
      <c r="N13" s="11"/>
      <c r="O13" s="12"/>
      <c r="P13" s="11"/>
      <c r="Q13" s="13"/>
      <c r="R13" s="14"/>
    </row>
    <row r="14" spans="1:92" ht="49.95" customHeight="1" x14ac:dyDescent="0.3">
      <c r="A14" s="19" t="s">
        <v>328</v>
      </c>
      <c r="B14" s="19" t="s">
        <v>775</v>
      </c>
      <c r="C14" s="20">
        <v>0.98611111111111116</v>
      </c>
      <c r="D14" s="19" t="s">
        <v>98</v>
      </c>
      <c r="E14" s="19" t="s">
        <v>54</v>
      </c>
      <c r="F14" s="19" t="s">
        <v>637</v>
      </c>
      <c r="G14" s="257"/>
      <c r="H14" s="10"/>
      <c r="I14" s="11"/>
      <c r="J14" s="11"/>
      <c r="K14" s="11"/>
      <c r="L14" s="11"/>
      <c r="M14" s="11"/>
      <c r="N14" s="11"/>
      <c r="O14" s="12"/>
      <c r="P14" s="11"/>
      <c r="Q14" s="13"/>
      <c r="R14" s="14"/>
    </row>
    <row r="15" spans="1:92" ht="49.95" customHeight="1" x14ac:dyDescent="0.3">
      <c r="A15" s="19" t="s">
        <v>67</v>
      </c>
      <c r="B15" s="19" t="s">
        <v>770</v>
      </c>
      <c r="C15" s="20">
        <v>0.98263888888888884</v>
      </c>
      <c r="D15" s="19" t="s">
        <v>69</v>
      </c>
      <c r="E15" s="19" t="s">
        <v>54</v>
      </c>
      <c r="F15" s="19" t="s">
        <v>771</v>
      </c>
      <c r="G15" s="257"/>
      <c r="H15" s="10"/>
      <c r="I15" s="11"/>
      <c r="J15" s="11"/>
      <c r="K15" s="11"/>
      <c r="L15" s="11"/>
      <c r="M15" s="11"/>
      <c r="N15" s="11"/>
      <c r="O15" s="12"/>
      <c r="P15" s="11"/>
      <c r="Q15" s="13"/>
      <c r="R15" s="14"/>
    </row>
    <row r="16" spans="1:92" ht="49.95" customHeight="1" thickBot="1" x14ac:dyDescent="0.35">
      <c r="A16" s="206" t="s">
        <v>235</v>
      </c>
      <c r="B16" s="206" t="s">
        <v>776</v>
      </c>
      <c r="C16" s="207">
        <v>0.75694444444444453</v>
      </c>
      <c r="D16" s="206" t="s">
        <v>98</v>
      </c>
      <c r="E16" s="206" t="s">
        <v>92</v>
      </c>
      <c r="F16" s="206" t="s">
        <v>777</v>
      </c>
      <c r="G16" s="258"/>
      <c r="H16" s="41"/>
      <c r="I16" s="42"/>
      <c r="J16" s="42"/>
      <c r="K16" s="42"/>
      <c r="L16" s="42"/>
      <c r="M16" s="42"/>
      <c r="N16" s="42"/>
      <c r="O16" s="43"/>
      <c r="P16" s="42"/>
      <c r="Q16" s="44"/>
      <c r="R16" s="45"/>
    </row>
    <row r="17" spans="1:18" ht="17.399999999999999" customHeight="1" thickBot="1" x14ac:dyDescent="0.35">
      <c r="A17" s="285"/>
      <c r="B17" s="286"/>
      <c r="C17" s="286"/>
      <c r="D17" s="286"/>
      <c r="E17" s="286"/>
      <c r="F17" s="286"/>
      <c r="G17" s="286"/>
      <c r="H17" s="286"/>
      <c r="I17" s="286"/>
      <c r="J17" s="286"/>
      <c r="K17" s="286"/>
      <c r="L17" s="286"/>
      <c r="M17" s="286"/>
      <c r="N17" s="286"/>
      <c r="O17" s="286"/>
      <c r="P17" s="286"/>
      <c r="Q17" s="286"/>
      <c r="R17" s="287"/>
    </row>
    <row r="18" spans="1:18" ht="22.05" customHeight="1" thickTop="1" thickBot="1" x14ac:dyDescent="0.35">
      <c r="A18" s="259" t="s">
        <v>6</v>
      </c>
      <c r="B18" s="254"/>
      <c r="C18" s="254"/>
      <c r="D18" s="254"/>
      <c r="E18" s="254"/>
      <c r="F18" s="255"/>
      <c r="G18" s="31">
        <v>45983</v>
      </c>
      <c r="H18" s="253" t="s">
        <v>7</v>
      </c>
      <c r="I18" s="254"/>
      <c r="J18" s="254"/>
      <c r="K18" s="254"/>
      <c r="L18" s="254"/>
      <c r="M18" s="254"/>
      <c r="N18" s="254"/>
      <c r="O18" s="254"/>
      <c r="P18" s="254"/>
      <c r="Q18" s="254"/>
      <c r="R18" s="255"/>
    </row>
    <row r="19" spans="1:18" ht="24" customHeight="1" x14ac:dyDescent="0.3">
      <c r="A19" s="32" t="s">
        <v>8</v>
      </c>
      <c r="B19" s="32" t="s">
        <v>9</v>
      </c>
      <c r="C19" s="33" t="s">
        <v>10</v>
      </c>
      <c r="D19" s="32" t="s">
        <v>11</v>
      </c>
      <c r="E19" s="32" t="s">
        <v>12</v>
      </c>
      <c r="F19" s="34" t="s">
        <v>13</v>
      </c>
      <c r="G19" s="35" t="s">
        <v>14</v>
      </c>
      <c r="H19" s="32" t="s">
        <v>15</v>
      </c>
      <c r="I19" s="36" t="s">
        <v>16</v>
      </c>
      <c r="J19" s="37" t="s">
        <v>17</v>
      </c>
      <c r="K19" s="38" t="s">
        <v>18</v>
      </c>
      <c r="L19" s="37" t="s">
        <v>19</v>
      </c>
      <c r="M19" s="37" t="s">
        <v>20</v>
      </c>
      <c r="N19" s="37" t="s">
        <v>21</v>
      </c>
      <c r="O19" s="32" t="s">
        <v>22</v>
      </c>
      <c r="P19" s="33" t="s">
        <v>23</v>
      </c>
      <c r="Q19" s="37" t="s">
        <v>24</v>
      </c>
      <c r="R19" s="32" t="s">
        <v>25</v>
      </c>
    </row>
    <row r="20" spans="1:18" ht="49.95" customHeight="1" x14ac:dyDescent="0.3">
      <c r="A20" s="177" t="s">
        <v>78</v>
      </c>
      <c r="B20" s="177" t="s">
        <v>767</v>
      </c>
      <c r="C20" s="178">
        <v>0.83680555555555547</v>
      </c>
      <c r="D20" s="177" t="s">
        <v>98</v>
      </c>
      <c r="E20" s="177" t="s">
        <v>54</v>
      </c>
      <c r="F20" s="177" t="s">
        <v>778</v>
      </c>
      <c r="G20" s="256"/>
      <c r="H20" s="180" t="s">
        <v>768</v>
      </c>
      <c r="I20" s="181">
        <v>0.67889999999999995</v>
      </c>
      <c r="J20" s="182">
        <v>74</v>
      </c>
      <c r="K20" s="183">
        <v>45980</v>
      </c>
      <c r="L20" s="182">
        <v>41</v>
      </c>
      <c r="M20" s="182">
        <v>1</v>
      </c>
      <c r="N20" s="182">
        <v>14</v>
      </c>
      <c r="O20" s="184" t="s">
        <v>198</v>
      </c>
      <c r="P20" s="185">
        <v>0.83680555555555547</v>
      </c>
      <c r="Q20" s="182">
        <v>109</v>
      </c>
      <c r="R20" s="186" t="s">
        <v>779</v>
      </c>
    </row>
    <row r="21" spans="1:18" ht="49.95" customHeight="1" x14ac:dyDescent="0.3">
      <c r="A21" s="206" t="s">
        <v>235</v>
      </c>
      <c r="B21" s="206" t="s">
        <v>765</v>
      </c>
      <c r="C21" s="207">
        <v>0.75694444444444453</v>
      </c>
      <c r="D21" s="206" t="s">
        <v>98</v>
      </c>
      <c r="E21" s="206" t="s">
        <v>92</v>
      </c>
      <c r="F21" s="206" t="s">
        <v>777</v>
      </c>
      <c r="G21" s="258"/>
      <c r="H21" s="41"/>
      <c r="I21" s="42"/>
      <c r="J21" s="42"/>
      <c r="K21" s="42"/>
      <c r="L21" s="42"/>
      <c r="M21" s="42"/>
      <c r="N21" s="42"/>
      <c r="O21" s="43"/>
      <c r="P21" s="42"/>
      <c r="Q21" s="44"/>
      <c r="R21" s="45"/>
    </row>
  </sheetData>
  <mergeCells count="18">
    <mergeCell ref="G20:G21"/>
    <mergeCell ref="N1:R1"/>
    <mergeCell ref="G12:G16"/>
    <mergeCell ref="H18:R18"/>
    <mergeCell ref="H4:R4"/>
    <mergeCell ref="A17:R17"/>
    <mergeCell ref="A18:F18"/>
    <mergeCell ref="A2:F2"/>
    <mergeCell ref="A3:R3"/>
    <mergeCell ref="A10:F10"/>
    <mergeCell ref="A9:R9"/>
    <mergeCell ref="H1:L1"/>
    <mergeCell ref="A1:E1"/>
    <mergeCell ref="G2:J2"/>
    <mergeCell ref="K2:R2"/>
    <mergeCell ref="A4:F4"/>
    <mergeCell ref="H10:R10"/>
    <mergeCell ref="G6:G8"/>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J4"/>
  <sheetViews>
    <sheetView workbookViewId="0"/>
  </sheetViews>
  <sheetFormatPr defaultRowHeight="15.6" outlineLevelCol="1" x14ac:dyDescent="0.3"/>
  <cols>
    <col min="1" max="1" width="9.88671875" style="272" bestFit="1" customWidth="1"/>
    <col min="2" max="2" width="10.44140625" style="272" bestFit="1" customWidth="1"/>
    <col min="3" max="3" width="6.77734375" style="272" bestFit="1" customWidth="1"/>
    <col min="4" max="4" width="5.5546875" style="272" bestFit="1" customWidth="1"/>
    <col min="5" max="5" width="8.33203125" style="272" bestFit="1" customWidth="1"/>
    <col min="6" max="6" width="4.21875" style="272" bestFit="1" customWidth="1"/>
    <col min="7" max="7" width="10" style="272" bestFit="1" customWidth="1"/>
    <col min="8" max="10" width="7" style="272" bestFit="1" customWidth="1"/>
    <col min="11" max="11" width="10.5546875" style="272" bestFit="1" customWidth="1"/>
    <col min="12" max="12" width="9.10937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30" width="3.88671875" style="272" bestFit="1" customWidth="1"/>
    <col min="31" max="31" width="4.5546875" style="272" bestFit="1" customWidth="1"/>
    <col min="32" max="36" width="3.88671875" style="272" bestFit="1" customWidth="1"/>
    <col min="37" max="16384" width="8.88671875" style="272"/>
  </cols>
  <sheetData>
    <row r="1" spans="1:36" x14ac:dyDescent="0.3">
      <c r="A1" s="271" t="s">
        <v>103</v>
      </c>
      <c r="B1" s="271" t="s">
        <v>104</v>
      </c>
      <c r="C1" s="271" t="s">
        <v>105</v>
      </c>
      <c r="D1" s="271" t="s">
        <v>23</v>
      </c>
      <c r="E1" s="271" t="s">
        <v>106</v>
      </c>
      <c r="F1" s="271" t="s">
        <v>107</v>
      </c>
      <c r="G1" s="271" t="s">
        <v>16</v>
      </c>
      <c r="H1" s="271" t="s">
        <v>108</v>
      </c>
      <c r="I1" s="271" t="s">
        <v>109</v>
      </c>
      <c r="J1" s="271" t="s">
        <v>110</v>
      </c>
      <c r="K1" s="271" t="s">
        <v>111</v>
      </c>
      <c r="L1" s="271" t="s">
        <v>18</v>
      </c>
      <c r="M1" s="271" t="s">
        <v>20</v>
      </c>
      <c r="N1" s="271" t="s">
        <v>21</v>
      </c>
      <c r="O1" s="271" t="s">
        <v>19</v>
      </c>
      <c r="P1" s="271" t="s">
        <v>22</v>
      </c>
      <c r="Q1" s="271" t="s">
        <v>112</v>
      </c>
      <c r="R1" s="271" t="s">
        <v>113</v>
      </c>
      <c r="S1" s="271" t="s">
        <v>114</v>
      </c>
      <c r="T1" s="271" t="s">
        <v>115</v>
      </c>
      <c r="U1" s="271" t="s">
        <v>116</v>
      </c>
      <c r="V1" s="271" t="s">
        <v>117</v>
      </c>
      <c r="W1" s="271" t="s">
        <v>118</v>
      </c>
      <c r="X1" s="271" t="s">
        <v>119</v>
      </c>
      <c r="Y1" s="271" t="s">
        <v>120</v>
      </c>
      <c r="Z1" s="271" t="s">
        <v>121</v>
      </c>
      <c r="AA1" s="271" t="s">
        <v>122</v>
      </c>
      <c r="AB1" s="271" t="s">
        <v>123</v>
      </c>
      <c r="AC1" s="271" t="s">
        <v>124</v>
      </c>
      <c r="AD1" s="271" t="s">
        <v>125</v>
      </c>
      <c r="AE1" s="271" t="s">
        <v>126</v>
      </c>
      <c r="AF1" s="271" t="s">
        <v>127</v>
      </c>
      <c r="AG1" s="271" t="s">
        <v>128</v>
      </c>
      <c r="AH1" s="271" t="s">
        <v>129</v>
      </c>
      <c r="AI1" s="271" t="s">
        <v>130</v>
      </c>
      <c r="AJ1" s="271" t="s">
        <v>131</v>
      </c>
    </row>
    <row r="2" spans="1:36" x14ac:dyDescent="0.3">
      <c r="A2" s="273" t="s">
        <v>132</v>
      </c>
      <c r="B2" s="274">
        <v>45981</v>
      </c>
      <c r="C2" s="275" t="s">
        <v>768</v>
      </c>
      <c r="D2" s="276" t="s">
        <v>780</v>
      </c>
      <c r="E2" s="275" t="s">
        <v>764</v>
      </c>
      <c r="F2" s="275" t="s">
        <v>134</v>
      </c>
      <c r="G2" s="277">
        <v>0.35749999999999998</v>
      </c>
      <c r="H2" s="278">
        <v>179</v>
      </c>
      <c r="I2" s="278">
        <v>64</v>
      </c>
      <c r="J2" s="278">
        <v>0</v>
      </c>
      <c r="K2" s="275" t="s">
        <v>135</v>
      </c>
      <c r="L2" s="279">
        <v>45979</v>
      </c>
      <c r="M2" s="278">
        <v>0</v>
      </c>
      <c r="N2" s="278">
        <v>5</v>
      </c>
      <c r="O2" s="278">
        <v>33</v>
      </c>
      <c r="P2" s="275" t="s">
        <v>199</v>
      </c>
      <c r="Q2" s="271"/>
      <c r="R2" s="271"/>
      <c r="S2" s="271"/>
      <c r="T2" s="271"/>
      <c r="U2" s="271"/>
      <c r="V2" s="271"/>
      <c r="W2" s="271"/>
      <c r="X2" s="271"/>
      <c r="Y2" s="271"/>
      <c r="Z2" s="278" t="s">
        <v>137</v>
      </c>
      <c r="AA2" s="271"/>
      <c r="AB2" s="271"/>
      <c r="AC2" s="271"/>
      <c r="AD2" s="278" t="s">
        <v>781</v>
      </c>
      <c r="AE2" s="278" t="s">
        <v>727</v>
      </c>
      <c r="AF2" s="278" t="s">
        <v>782</v>
      </c>
      <c r="AG2" s="271"/>
      <c r="AH2" s="271"/>
      <c r="AI2" s="271"/>
      <c r="AJ2" s="271"/>
    </row>
    <row r="3" spans="1:36" x14ac:dyDescent="0.3">
      <c r="A3" s="273" t="s">
        <v>144</v>
      </c>
      <c r="B3" s="274">
        <v>45983</v>
      </c>
      <c r="C3" s="275" t="s">
        <v>768</v>
      </c>
      <c r="D3" s="276" t="s">
        <v>422</v>
      </c>
      <c r="E3" s="275" t="s">
        <v>764</v>
      </c>
      <c r="F3" s="275" t="s">
        <v>783</v>
      </c>
      <c r="G3" s="277">
        <v>0.67889999999999995</v>
      </c>
      <c r="H3" s="278">
        <v>109</v>
      </c>
      <c r="I3" s="278">
        <v>74</v>
      </c>
      <c r="J3" s="278">
        <v>0</v>
      </c>
      <c r="K3" s="275" t="s">
        <v>135</v>
      </c>
      <c r="L3" s="279">
        <v>45980</v>
      </c>
      <c r="M3" s="278">
        <v>1</v>
      </c>
      <c r="N3" s="278">
        <v>14</v>
      </c>
      <c r="O3" s="278">
        <v>41</v>
      </c>
      <c r="P3" s="275" t="s">
        <v>198</v>
      </c>
      <c r="Q3" s="271"/>
      <c r="R3" s="271"/>
      <c r="S3" s="271"/>
      <c r="T3" s="271"/>
      <c r="U3" s="271"/>
      <c r="V3" s="271"/>
      <c r="W3" s="271"/>
      <c r="X3" s="271"/>
      <c r="Y3" s="271"/>
      <c r="Z3" s="278" t="s">
        <v>249</v>
      </c>
      <c r="AA3" s="271"/>
      <c r="AB3" s="271"/>
      <c r="AC3" s="271"/>
      <c r="AD3" s="278" t="s">
        <v>781</v>
      </c>
      <c r="AE3" s="278" t="s">
        <v>403</v>
      </c>
      <c r="AF3" s="278" t="s">
        <v>782</v>
      </c>
      <c r="AG3" s="271"/>
      <c r="AH3" s="271"/>
      <c r="AI3" s="271"/>
      <c r="AJ3" s="271"/>
    </row>
    <row r="4" spans="1:36" ht="21" x14ac:dyDescent="0.3">
      <c r="A4" s="280" t="s">
        <v>932</v>
      </c>
      <c r="B4" s="281"/>
      <c r="C4" s="280">
        <f>SUBTOTAL(103,CAI_TUU_LF_LEGACY[Flt])</f>
        <v>2</v>
      </c>
      <c r="D4" s="280"/>
      <c r="E4" s="280">
        <f>SUBTOTAL(103,CAI_TUU_LF_LEGACY[Brd-Off])</f>
        <v>2</v>
      </c>
      <c r="F4" s="280"/>
      <c r="G4" s="282">
        <f>SUBTOTAL(101,CAI_TUU_LF_LEGACY[LF%])</f>
        <v>0.51819999999999999</v>
      </c>
      <c r="H4" s="283">
        <f>SUBTOTAL(109,CAI_TUU_LF_LEGACY[CAP])</f>
        <v>288</v>
      </c>
      <c r="I4" s="283">
        <f>SUBTOTAL(109,CAI_TUU_LF_LEGACY[BKG(Y)])</f>
        <v>138</v>
      </c>
      <c r="J4" s="283">
        <f>SUBTOTAL(109,CAI_TUU_LF_LEGACY[GRP(Y)])</f>
        <v>0</v>
      </c>
      <c r="K4" s="280"/>
      <c r="L4" s="281"/>
      <c r="M4" s="283">
        <f>SUBTOTAL(109,CAI_TUU_LF_LEGACY[TO-DAY])</f>
        <v>1</v>
      </c>
      <c r="N4" s="283">
        <f>SUBTOTAL(109,CAI_TUU_LF_LEGACY[Y-DAY])</f>
        <v>19</v>
      </c>
      <c r="O4" s="283">
        <f>SUBTOTAL(109,CAI_TUU_LF_LEGACY[WEEKLY])</f>
        <v>74</v>
      </c>
      <c r="P4" s="284"/>
      <c r="Q4" s="283">
        <f>SUBTOTAL(109,CAI_TUU_LF_LEGACY[Y])</f>
        <v>0</v>
      </c>
      <c r="R4" s="283">
        <f>SUBTOTAL(109,CAI_TUU_LF_LEGACY[B])</f>
        <v>0</v>
      </c>
      <c r="S4" s="283">
        <f>SUBTOTAL(109,CAI_TUU_LF_LEGACY[M])</f>
        <v>0</v>
      </c>
      <c r="T4" s="283">
        <f>SUBTOTAL(109,CAI_TUU_LF_LEGACY[H])</f>
        <v>0</v>
      </c>
      <c r="U4" s="283">
        <f>SUBTOTAL(109,CAI_TUU_LF_LEGACY[Q])</f>
        <v>0</v>
      </c>
      <c r="V4" s="283">
        <f>SUBTOTAL(109,CAI_TUU_LF_LEGACY[K])</f>
        <v>0</v>
      </c>
      <c r="W4" s="283">
        <f>SUBTOTAL(109,CAI_TUU_LF_LEGACY[V])</f>
        <v>0</v>
      </c>
      <c r="X4" s="283">
        <f>SUBTOTAL(109,CAI_TUU_LF_LEGACY[L])</f>
        <v>0</v>
      </c>
      <c r="Y4" s="283">
        <f>SUBTOTAL(109,CAI_TUU_LF_LEGACY[G])</f>
        <v>0</v>
      </c>
      <c r="Z4" s="283">
        <f>SUBTOTAL(109,CAI_TUU_LF_LEGACY[S])</f>
        <v>0</v>
      </c>
      <c r="AA4" s="283">
        <f>SUBTOTAL(109,CAI_TUU_LF_LEGACY[W])</f>
        <v>0</v>
      </c>
      <c r="AB4" s="283">
        <f>SUBTOTAL(109,CAI_TUU_LF_LEGACY[T])</f>
        <v>0</v>
      </c>
      <c r="AC4" s="283">
        <f>SUBTOTAL(109,CAI_TUU_LF_LEGACY[X])</f>
        <v>0</v>
      </c>
      <c r="AD4" s="283">
        <f>SUBTOTAL(109,CAI_TUU_LF_LEGACY[U])</f>
        <v>0</v>
      </c>
      <c r="AE4" s="283">
        <f>SUBTOTAL(109,CAI_TUU_LF_LEGACY[O])</f>
        <v>0</v>
      </c>
      <c r="AF4" s="283">
        <f>SUBTOTAL(109,CAI_TUU_LF_LEGACY[I])</f>
        <v>0</v>
      </c>
      <c r="AG4" s="283">
        <f>SUBTOTAL(109,CAI_TUU_LF_LEGACY[E])</f>
        <v>0</v>
      </c>
      <c r="AH4" s="283">
        <f>SUBTOTAL(109,CAI_TUU_LF_LEGACY[A])</f>
        <v>0</v>
      </c>
      <c r="AI4" s="283">
        <f>SUBTOTAL(109,CAI_TUU_LF_LEGACY[P])</f>
        <v>0</v>
      </c>
      <c r="AJ4" s="283">
        <f>SUBTOTAL(103,CAI_TUU_LF_LEGACY[N])</f>
        <v>0</v>
      </c>
    </row>
  </sheetData>
  <pageMargins left="0.75" right="0.75" top="1" bottom="1" header="0.5" footer="0.5"/>
  <tableParts count="1">
    <tablePart r:id="rId1"/>
  </tableParts>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I11"/>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64.77734375" hidden="1" customWidth="1"/>
  </cols>
  <sheetData>
    <row r="1" spans="1:8" ht="18" x14ac:dyDescent="0.3">
      <c r="A1" s="56" t="s">
        <v>149</v>
      </c>
      <c r="B1" s="57" t="s">
        <v>8</v>
      </c>
      <c r="C1" s="57" t="s">
        <v>9</v>
      </c>
      <c r="D1" s="57" t="s">
        <v>150</v>
      </c>
      <c r="E1" s="57" t="s">
        <v>10</v>
      </c>
      <c r="F1" s="57" t="s">
        <v>11</v>
      </c>
      <c r="G1" s="57" t="s">
        <v>12</v>
      </c>
      <c r="H1" s="58" t="s">
        <v>13</v>
      </c>
    </row>
    <row r="2" spans="1:8" ht="19.8" customHeight="1" x14ac:dyDescent="0.3">
      <c r="A2" s="59" t="s">
        <v>151</v>
      </c>
      <c r="B2" s="60" t="s">
        <v>235</v>
      </c>
      <c r="C2" s="61" t="s">
        <v>765</v>
      </c>
      <c r="D2" s="60" t="s">
        <v>764</v>
      </c>
      <c r="E2" s="60" t="s">
        <v>742</v>
      </c>
      <c r="F2" s="60" t="s">
        <v>98</v>
      </c>
      <c r="G2" s="62">
        <v>9</v>
      </c>
      <c r="H2" s="63" t="s">
        <v>766</v>
      </c>
    </row>
    <row r="3" spans="1:8" ht="19.8" customHeight="1" x14ac:dyDescent="0.3">
      <c r="A3" s="99" t="s">
        <v>151</v>
      </c>
      <c r="B3" s="77" t="s">
        <v>78</v>
      </c>
      <c r="C3" s="78" t="s">
        <v>767</v>
      </c>
      <c r="D3" s="77" t="s">
        <v>764</v>
      </c>
      <c r="E3" s="77" t="s">
        <v>780</v>
      </c>
      <c r="F3" s="77" t="s">
        <v>98</v>
      </c>
      <c r="G3" s="80">
        <v>9</v>
      </c>
      <c r="H3" s="81" t="s">
        <v>637</v>
      </c>
    </row>
    <row r="4" spans="1:8" ht="19.8" customHeight="1" x14ac:dyDescent="0.3">
      <c r="A4" s="70">
        <v>45981</v>
      </c>
      <c r="B4" s="71" t="s">
        <v>67</v>
      </c>
      <c r="C4" s="72" t="s">
        <v>770</v>
      </c>
      <c r="D4" s="71" t="s">
        <v>764</v>
      </c>
      <c r="E4" s="73">
        <v>1.9826388888888891</v>
      </c>
      <c r="F4" s="71" t="s">
        <v>69</v>
      </c>
      <c r="G4" s="74">
        <v>9</v>
      </c>
      <c r="H4" s="75" t="s">
        <v>771</v>
      </c>
    </row>
    <row r="5" spans="1:8" ht="19.8" customHeight="1" x14ac:dyDescent="0.3">
      <c r="A5" s="68">
        <v>45982</v>
      </c>
      <c r="B5" s="60" t="s">
        <v>260</v>
      </c>
      <c r="C5" s="61" t="s">
        <v>772</v>
      </c>
      <c r="D5" s="60" t="s">
        <v>764</v>
      </c>
      <c r="E5" s="69">
        <v>1.4965277777777779</v>
      </c>
      <c r="F5" s="60" t="s">
        <v>262</v>
      </c>
      <c r="G5" s="62">
        <v>9</v>
      </c>
      <c r="H5" s="63" t="s">
        <v>773</v>
      </c>
    </row>
    <row r="6" spans="1:8" ht="19.8" customHeight="1" x14ac:dyDescent="0.3">
      <c r="A6" s="68">
        <v>45982</v>
      </c>
      <c r="B6" s="60" t="s">
        <v>328</v>
      </c>
      <c r="C6" s="61" t="s">
        <v>775</v>
      </c>
      <c r="D6" s="60" t="s">
        <v>764</v>
      </c>
      <c r="E6" s="69">
        <v>1.9861111111111109</v>
      </c>
      <c r="F6" s="60" t="s">
        <v>98</v>
      </c>
      <c r="G6" s="62">
        <v>9</v>
      </c>
      <c r="H6" s="63" t="s">
        <v>637</v>
      </c>
    </row>
    <row r="7" spans="1:8" ht="19.8" customHeight="1" x14ac:dyDescent="0.3">
      <c r="A7" s="68">
        <v>45982</v>
      </c>
      <c r="B7" s="60" t="s">
        <v>67</v>
      </c>
      <c r="C7" s="61" t="s">
        <v>770</v>
      </c>
      <c r="D7" s="60" t="s">
        <v>764</v>
      </c>
      <c r="E7" s="69">
        <v>1.9826388888888891</v>
      </c>
      <c r="F7" s="60" t="s">
        <v>69</v>
      </c>
      <c r="G7" s="62">
        <v>9</v>
      </c>
      <c r="H7" s="63" t="s">
        <v>771</v>
      </c>
    </row>
    <row r="8" spans="1:8" ht="19.8" customHeight="1" x14ac:dyDescent="0.3">
      <c r="A8" s="68">
        <v>45982</v>
      </c>
      <c r="B8" s="60" t="s">
        <v>235</v>
      </c>
      <c r="C8" s="61" t="s">
        <v>776</v>
      </c>
      <c r="D8" s="60" t="s">
        <v>764</v>
      </c>
      <c r="E8" s="69">
        <v>1.756944444444444</v>
      </c>
      <c r="F8" s="60" t="s">
        <v>98</v>
      </c>
      <c r="G8" s="62">
        <v>3</v>
      </c>
      <c r="H8" s="63" t="s">
        <v>777</v>
      </c>
    </row>
    <row r="9" spans="1:8" ht="19.8" customHeight="1" x14ac:dyDescent="0.3">
      <c r="A9" s="70">
        <v>45982</v>
      </c>
      <c r="B9" s="71" t="s">
        <v>260</v>
      </c>
      <c r="C9" s="72" t="s">
        <v>772</v>
      </c>
      <c r="D9" s="71" t="s">
        <v>764</v>
      </c>
      <c r="E9" s="73">
        <v>1.4965277777777779</v>
      </c>
      <c r="F9" s="71" t="s">
        <v>49</v>
      </c>
      <c r="G9" s="74">
        <v>9</v>
      </c>
      <c r="H9" s="75" t="s">
        <v>774</v>
      </c>
    </row>
    <row r="10" spans="1:8" ht="19.8" customHeight="1" x14ac:dyDescent="0.3">
      <c r="A10" s="76">
        <v>45983</v>
      </c>
      <c r="B10" s="77" t="s">
        <v>78</v>
      </c>
      <c r="C10" s="78" t="s">
        <v>767</v>
      </c>
      <c r="D10" s="77" t="s">
        <v>764</v>
      </c>
      <c r="E10" s="79">
        <v>1.836805555555556</v>
      </c>
      <c r="F10" s="77" t="s">
        <v>98</v>
      </c>
      <c r="G10" s="80">
        <v>9</v>
      </c>
      <c r="H10" s="81" t="s">
        <v>778</v>
      </c>
    </row>
    <row r="11" spans="1:8" ht="19.8" customHeight="1" x14ac:dyDescent="0.3">
      <c r="A11" s="70">
        <v>45983</v>
      </c>
      <c r="B11" s="71" t="s">
        <v>235</v>
      </c>
      <c r="C11" s="72" t="s">
        <v>765</v>
      </c>
      <c r="D11" s="71" t="s">
        <v>764</v>
      </c>
      <c r="E11" s="73">
        <v>1.756944444444444</v>
      </c>
      <c r="F11" s="71" t="s">
        <v>98</v>
      </c>
      <c r="G11" s="74">
        <v>3</v>
      </c>
      <c r="H11" s="75" t="s">
        <v>777</v>
      </c>
    </row>
  </sheetData>
  <pageMargins left="0.75" right="0.75" top="1" bottom="1" header="0.5" footer="0.5"/>
  <legacyDrawing r:id="rId1"/>
  <tableParts count="1">
    <tablePart r:id="rId2"/>
  </tableParts>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I9"/>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64.77734375" hidden="1" customWidth="1"/>
  </cols>
  <sheetData>
    <row r="1" spans="1:8" ht="18" x14ac:dyDescent="0.3">
      <c r="A1" s="56" t="s">
        <v>149</v>
      </c>
      <c r="B1" s="57" t="s">
        <v>8</v>
      </c>
      <c r="C1" s="57" t="s">
        <v>9</v>
      </c>
      <c r="D1" s="57" t="s">
        <v>150</v>
      </c>
      <c r="E1" s="57" t="s">
        <v>10</v>
      </c>
      <c r="F1" s="57" t="s">
        <v>11</v>
      </c>
      <c r="G1" s="57" t="s">
        <v>12</v>
      </c>
      <c r="H1" s="58" t="s">
        <v>13</v>
      </c>
    </row>
    <row r="2" spans="1:8" ht="19.8" customHeight="1" x14ac:dyDescent="0.3">
      <c r="A2" s="59" t="s">
        <v>151</v>
      </c>
      <c r="B2" s="60" t="s">
        <v>235</v>
      </c>
      <c r="C2" s="61" t="s">
        <v>765</v>
      </c>
      <c r="D2" s="60" t="s">
        <v>764</v>
      </c>
      <c r="E2" s="60" t="s">
        <v>742</v>
      </c>
      <c r="F2" s="60" t="s">
        <v>98</v>
      </c>
      <c r="G2" s="62">
        <v>9</v>
      </c>
      <c r="H2" s="63" t="s">
        <v>766</v>
      </c>
    </row>
    <row r="3" spans="1:8" ht="19.8" customHeight="1" x14ac:dyDescent="0.3">
      <c r="A3" s="64" t="s">
        <v>151</v>
      </c>
      <c r="B3" s="65" t="s">
        <v>78</v>
      </c>
      <c r="C3" s="66" t="s">
        <v>767</v>
      </c>
      <c r="D3" s="65" t="s">
        <v>764</v>
      </c>
      <c r="E3" s="65" t="s">
        <v>780</v>
      </c>
      <c r="F3" s="65" t="s">
        <v>98</v>
      </c>
      <c r="G3" s="84">
        <v>9</v>
      </c>
      <c r="H3" s="67" t="s">
        <v>637</v>
      </c>
    </row>
    <row r="4" spans="1:8" ht="19.8" customHeight="1" x14ac:dyDescent="0.3">
      <c r="A4" s="68">
        <v>45982</v>
      </c>
      <c r="B4" s="60" t="s">
        <v>260</v>
      </c>
      <c r="C4" s="61" t="s">
        <v>772</v>
      </c>
      <c r="D4" s="60" t="s">
        <v>764</v>
      </c>
      <c r="E4" s="69">
        <v>1.4965277777777779</v>
      </c>
      <c r="F4" s="60" t="s">
        <v>262</v>
      </c>
      <c r="G4" s="62">
        <v>9</v>
      </c>
      <c r="H4" s="63" t="s">
        <v>773</v>
      </c>
    </row>
    <row r="5" spans="1:8" ht="19.8" customHeight="1" x14ac:dyDescent="0.3">
      <c r="A5" s="68">
        <v>45982</v>
      </c>
      <c r="B5" s="60" t="s">
        <v>328</v>
      </c>
      <c r="C5" s="61" t="s">
        <v>775</v>
      </c>
      <c r="D5" s="60" t="s">
        <v>764</v>
      </c>
      <c r="E5" s="69">
        <v>1.9861111111111109</v>
      </c>
      <c r="F5" s="60" t="s">
        <v>98</v>
      </c>
      <c r="G5" s="62">
        <v>9</v>
      </c>
      <c r="H5" s="63" t="s">
        <v>637</v>
      </c>
    </row>
    <row r="6" spans="1:8" ht="19.8" customHeight="1" x14ac:dyDescent="0.3">
      <c r="A6" s="68">
        <v>45982</v>
      </c>
      <c r="B6" s="60" t="s">
        <v>67</v>
      </c>
      <c r="C6" s="61" t="s">
        <v>770</v>
      </c>
      <c r="D6" s="60" t="s">
        <v>764</v>
      </c>
      <c r="E6" s="69">
        <v>1.9826388888888891</v>
      </c>
      <c r="F6" s="60" t="s">
        <v>69</v>
      </c>
      <c r="G6" s="62">
        <v>9</v>
      </c>
      <c r="H6" s="63" t="s">
        <v>771</v>
      </c>
    </row>
    <row r="7" spans="1:8" ht="19.8" customHeight="1" x14ac:dyDescent="0.3">
      <c r="A7" s="68">
        <v>45982</v>
      </c>
      <c r="B7" s="60" t="s">
        <v>235</v>
      </c>
      <c r="C7" s="61" t="s">
        <v>776</v>
      </c>
      <c r="D7" s="60" t="s">
        <v>764</v>
      </c>
      <c r="E7" s="69">
        <v>1.756944444444444</v>
      </c>
      <c r="F7" s="60" t="s">
        <v>98</v>
      </c>
      <c r="G7" s="62">
        <v>3</v>
      </c>
      <c r="H7" s="63" t="s">
        <v>777</v>
      </c>
    </row>
    <row r="8" spans="1:8" ht="19.8" customHeight="1" x14ac:dyDescent="0.3">
      <c r="A8" s="70">
        <v>45982</v>
      </c>
      <c r="B8" s="71" t="s">
        <v>260</v>
      </c>
      <c r="C8" s="72" t="s">
        <v>772</v>
      </c>
      <c r="D8" s="71" t="s">
        <v>764</v>
      </c>
      <c r="E8" s="73">
        <v>1.4965277777777779</v>
      </c>
      <c r="F8" s="71" t="s">
        <v>49</v>
      </c>
      <c r="G8" s="74">
        <v>9</v>
      </c>
      <c r="H8" s="75" t="s">
        <v>774</v>
      </c>
    </row>
    <row r="9" spans="1:8" ht="19.8" customHeight="1" x14ac:dyDescent="0.3">
      <c r="A9" s="82">
        <v>45983</v>
      </c>
      <c r="B9" s="65" t="s">
        <v>78</v>
      </c>
      <c r="C9" s="66" t="s">
        <v>767</v>
      </c>
      <c r="D9" s="65" t="s">
        <v>764</v>
      </c>
      <c r="E9" s="83">
        <v>1.836805555555556</v>
      </c>
      <c r="F9" s="65" t="s">
        <v>98</v>
      </c>
      <c r="G9" s="84">
        <v>9</v>
      </c>
      <c r="H9" s="67" t="s">
        <v>778</v>
      </c>
    </row>
  </sheetData>
  <pageMargins left="0.75" right="0.75" top="1" bottom="1" header="0.5" footer="0.5"/>
  <legacyDrawing r:id="rId1"/>
  <tableParts count="1">
    <tablePart r:id="rId2"/>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CN14"/>
  <sheetViews>
    <sheetView workbookViewId="0"/>
  </sheetViews>
  <sheetFormatPr defaultRowHeight="14.4" x14ac:dyDescent="0.3"/>
  <cols>
    <col min="1" max="1" width="17.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6.21875" bestFit="1" customWidth="1"/>
    <col min="17" max="17" width="12.21875" bestFit="1" customWidth="1"/>
    <col min="18" max="18" width="10.77734375" bestFit="1" customWidth="1"/>
  </cols>
  <sheetData>
    <row r="1" spans="1:92" ht="28.8" customHeight="1" x14ac:dyDescent="0.3">
      <c r="A1" s="261" t="s">
        <v>0</v>
      </c>
      <c r="B1" s="251"/>
      <c r="C1" s="251"/>
      <c r="D1" s="251"/>
      <c r="E1" s="251"/>
      <c r="F1" s="1" t="s">
        <v>784</v>
      </c>
      <c r="G1" s="2" t="s">
        <v>2</v>
      </c>
      <c r="H1" s="260">
        <v>45981</v>
      </c>
      <c r="I1" s="251"/>
      <c r="J1" s="251"/>
      <c r="K1" s="251"/>
      <c r="L1" s="251"/>
      <c r="M1" s="1" t="s">
        <v>3</v>
      </c>
      <c r="N1" s="266">
        <v>45983</v>
      </c>
      <c r="O1" s="251"/>
      <c r="P1" s="251"/>
      <c r="Q1" s="251"/>
      <c r="R1" s="251"/>
      <c r="CA1" s="3"/>
      <c r="CB1" s="3"/>
      <c r="CC1" s="3"/>
      <c r="CD1" s="3"/>
      <c r="CE1" s="3"/>
      <c r="CF1" s="3"/>
      <c r="CG1" s="3"/>
      <c r="CH1" s="3"/>
      <c r="CI1" s="3"/>
      <c r="CJ1" s="3"/>
      <c r="CK1" s="3"/>
      <c r="CL1" s="3"/>
      <c r="CM1" s="3"/>
      <c r="CN1" s="3"/>
    </row>
    <row r="2" spans="1:92" ht="23.4" customHeight="1" x14ac:dyDescent="0.3">
      <c r="A2" s="250" t="s">
        <v>4</v>
      </c>
      <c r="B2" s="251"/>
      <c r="C2" s="251"/>
      <c r="D2" s="251"/>
      <c r="E2" s="251"/>
      <c r="F2" s="251"/>
      <c r="G2" s="262">
        <v>45980.493105081332</v>
      </c>
      <c r="H2" s="251"/>
      <c r="I2" s="251"/>
      <c r="J2" s="251"/>
      <c r="K2" s="263">
        <v>45980.493105081652</v>
      </c>
      <c r="L2" s="251"/>
      <c r="M2" s="251"/>
      <c r="N2" s="251"/>
      <c r="O2" s="251"/>
      <c r="P2" s="251"/>
      <c r="Q2" s="251"/>
      <c r="R2" s="251"/>
      <c r="CA2" s="3"/>
      <c r="CB2" s="3"/>
      <c r="CC2" s="3"/>
      <c r="CD2" s="3"/>
      <c r="CE2" s="3"/>
      <c r="CF2" s="3"/>
      <c r="CG2" s="3"/>
      <c r="CH2" s="3"/>
      <c r="CI2" s="3"/>
      <c r="CJ2" s="3"/>
      <c r="CK2" s="3"/>
      <c r="CL2" s="3"/>
      <c r="CM2" s="3"/>
      <c r="CN2" s="3"/>
    </row>
    <row r="3" spans="1:92" ht="24" customHeight="1" x14ac:dyDescent="0.3">
      <c r="A3" s="252" t="s">
        <v>5</v>
      </c>
      <c r="B3" s="251"/>
      <c r="C3" s="251"/>
      <c r="D3" s="251"/>
      <c r="E3" s="251"/>
      <c r="F3" s="251"/>
      <c r="G3" s="251"/>
      <c r="H3" s="251"/>
      <c r="I3" s="251"/>
      <c r="J3" s="251"/>
      <c r="K3" s="251"/>
      <c r="L3" s="251"/>
      <c r="M3" s="251"/>
      <c r="N3" s="251"/>
      <c r="O3" s="251"/>
      <c r="P3" s="251"/>
      <c r="Q3" s="251"/>
      <c r="R3" s="251"/>
      <c r="CA3" s="3"/>
      <c r="CB3" s="3"/>
      <c r="CC3" s="3"/>
      <c r="CD3" s="3"/>
      <c r="CE3" s="3"/>
      <c r="CF3" s="3"/>
      <c r="CG3" s="3"/>
      <c r="CH3" s="3"/>
      <c r="CI3" s="3"/>
      <c r="CJ3" s="3"/>
      <c r="CK3" s="3"/>
      <c r="CL3" s="3"/>
      <c r="CM3" s="3"/>
      <c r="CN3" s="3"/>
    </row>
    <row r="4" spans="1:92" ht="22.05" customHeight="1" x14ac:dyDescent="0.3">
      <c r="A4" s="264" t="s">
        <v>6</v>
      </c>
      <c r="B4" s="254"/>
      <c r="C4" s="254"/>
      <c r="D4" s="254"/>
      <c r="E4" s="254"/>
      <c r="F4" s="255"/>
      <c r="G4" s="4">
        <v>45982</v>
      </c>
      <c r="H4" s="265" t="s">
        <v>7</v>
      </c>
      <c r="I4" s="254"/>
      <c r="J4" s="254"/>
      <c r="K4" s="254"/>
      <c r="L4" s="254"/>
      <c r="M4" s="254"/>
      <c r="N4" s="254"/>
      <c r="O4" s="254"/>
      <c r="P4" s="254"/>
      <c r="Q4" s="254"/>
      <c r="R4" s="25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65" t="s">
        <v>78</v>
      </c>
      <c r="B6" s="165" t="s">
        <v>785</v>
      </c>
      <c r="C6" s="166">
        <v>0.37847222222222232</v>
      </c>
      <c r="D6" s="165" t="s">
        <v>98</v>
      </c>
      <c r="E6" s="165" t="s">
        <v>54</v>
      </c>
      <c r="F6" s="165" t="s">
        <v>786</v>
      </c>
      <c r="G6" s="256"/>
      <c r="H6" s="139" t="s">
        <v>787</v>
      </c>
      <c r="I6" s="202">
        <v>0.44690000000000002</v>
      </c>
      <c r="J6" s="141">
        <v>80</v>
      </c>
      <c r="K6" s="142">
        <v>45980</v>
      </c>
      <c r="L6" s="141">
        <v>50</v>
      </c>
      <c r="M6" s="141">
        <v>5</v>
      </c>
      <c r="N6" s="141">
        <v>6</v>
      </c>
      <c r="O6" s="143" t="s">
        <v>198</v>
      </c>
      <c r="P6" s="144">
        <v>0.37847222222222232</v>
      </c>
      <c r="Q6" s="141">
        <v>179</v>
      </c>
      <c r="R6" s="145" t="s">
        <v>788</v>
      </c>
    </row>
    <row r="7" spans="1:92" ht="18" x14ac:dyDescent="0.3">
      <c r="A7" s="267" t="s">
        <v>789</v>
      </c>
      <c r="B7" s="268"/>
      <c r="C7" s="268"/>
      <c r="D7" s="268"/>
      <c r="E7" s="268"/>
      <c r="F7" s="269"/>
      <c r="G7" s="257"/>
      <c r="H7" s="94"/>
      <c r="I7" s="94"/>
      <c r="J7" s="94"/>
      <c r="K7" s="94"/>
      <c r="L7" s="94"/>
      <c r="M7" s="94"/>
      <c r="N7" s="94"/>
      <c r="O7" s="95"/>
      <c r="P7" s="94"/>
      <c r="Q7" s="55"/>
      <c r="R7" s="55"/>
    </row>
    <row r="8" spans="1:92" ht="15" customHeight="1" x14ac:dyDescent="0.3">
      <c r="A8" s="17" t="s">
        <v>260</v>
      </c>
      <c r="B8" s="17" t="s">
        <v>772</v>
      </c>
      <c r="C8" s="18" t="s">
        <v>790</v>
      </c>
      <c r="D8" s="17" t="s">
        <v>262</v>
      </c>
      <c r="E8" s="17" t="s">
        <v>169</v>
      </c>
      <c r="F8" s="17" t="s">
        <v>773</v>
      </c>
      <c r="G8" s="257"/>
      <c r="H8" s="94"/>
      <c r="I8" s="94"/>
      <c r="J8" s="94"/>
      <c r="K8" s="94"/>
      <c r="L8" s="94"/>
      <c r="M8" s="94"/>
      <c r="N8" s="94"/>
      <c r="O8" s="95"/>
      <c r="P8" s="94"/>
      <c r="Q8" s="55"/>
      <c r="R8" s="55"/>
    </row>
    <row r="9" spans="1:92" ht="15" customHeight="1" x14ac:dyDescent="0.3">
      <c r="A9" s="17" t="s">
        <v>328</v>
      </c>
      <c r="B9" s="17" t="s">
        <v>775</v>
      </c>
      <c r="C9" s="18" t="s">
        <v>791</v>
      </c>
      <c r="D9" s="17" t="s">
        <v>98</v>
      </c>
      <c r="E9" s="17" t="s">
        <v>172</v>
      </c>
      <c r="F9" s="17" t="s">
        <v>637</v>
      </c>
      <c r="G9" s="257"/>
      <c r="H9" s="94"/>
      <c r="I9" s="94"/>
      <c r="J9" s="94"/>
      <c r="K9" s="94"/>
      <c r="L9" s="94"/>
      <c r="M9" s="94"/>
      <c r="N9" s="94"/>
      <c r="O9" s="95"/>
      <c r="P9" s="94"/>
      <c r="Q9" s="55"/>
      <c r="R9" s="55"/>
    </row>
    <row r="10" spans="1:92" ht="15" customHeight="1" x14ac:dyDescent="0.3">
      <c r="A10" s="17" t="s">
        <v>67</v>
      </c>
      <c r="B10" s="17" t="s">
        <v>770</v>
      </c>
      <c r="C10" s="18" t="s">
        <v>792</v>
      </c>
      <c r="D10" s="17" t="s">
        <v>69</v>
      </c>
      <c r="E10" s="17" t="s">
        <v>172</v>
      </c>
      <c r="F10" s="17" t="s">
        <v>771</v>
      </c>
      <c r="G10" s="257"/>
      <c r="H10" s="94"/>
      <c r="I10" s="94"/>
      <c r="J10" s="94"/>
      <c r="K10" s="94"/>
      <c r="L10" s="94"/>
      <c r="M10" s="94"/>
      <c r="N10" s="94"/>
      <c r="O10" s="95"/>
      <c r="P10" s="94"/>
      <c r="Q10" s="55"/>
      <c r="R10" s="55"/>
    </row>
    <row r="11" spans="1:92" ht="15" customHeight="1" x14ac:dyDescent="0.3">
      <c r="A11" s="17" t="s">
        <v>235</v>
      </c>
      <c r="B11" s="17" t="s">
        <v>776</v>
      </c>
      <c r="C11" s="18" t="s">
        <v>742</v>
      </c>
      <c r="D11" s="17" t="s">
        <v>98</v>
      </c>
      <c r="E11" s="17" t="s">
        <v>188</v>
      </c>
      <c r="F11" s="17" t="s">
        <v>777</v>
      </c>
      <c r="G11" s="257"/>
      <c r="H11" s="94"/>
      <c r="I11" s="94"/>
      <c r="J11" s="94"/>
      <c r="K11" s="94"/>
      <c r="L11" s="94"/>
      <c r="M11" s="94"/>
      <c r="N11" s="94"/>
      <c r="O11" s="95"/>
      <c r="P11" s="94"/>
      <c r="Q11" s="55"/>
      <c r="R11" s="55"/>
    </row>
    <row r="12" spans="1:92" ht="15" customHeight="1" thickBot="1" x14ac:dyDescent="0.35">
      <c r="A12" s="39" t="s">
        <v>260</v>
      </c>
      <c r="B12" s="39" t="s">
        <v>772</v>
      </c>
      <c r="C12" s="40" t="s">
        <v>790</v>
      </c>
      <c r="D12" s="39" t="s">
        <v>49</v>
      </c>
      <c r="E12" s="39" t="s">
        <v>169</v>
      </c>
      <c r="F12" s="39" t="s">
        <v>774</v>
      </c>
      <c r="G12" s="258"/>
      <c r="H12" s="96"/>
      <c r="I12" s="96"/>
      <c r="J12" s="96"/>
      <c r="K12" s="96"/>
      <c r="L12" s="96"/>
      <c r="M12" s="96"/>
      <c r="N12" s="96"/>
      <c r="O12" s="97"/>
      <c r="P12" s="96"/>
      <c r="Q12" s="98"/>
      <c r="R12" s="98"/>
    </row>
    <row r="13" spans="1:92" ht="17.399999999999999" customHeight="1" thickBot="1" x14ac:dyDescent="0.35">
      <c r="A13" s="285"/>
      <c r="B13" s="286"/>
      <c r="C13" s="286"/>
      <c r="D13" s="286"/>
      <c r="E13" s="286"/>
      <c r="F13" s="286"/>
      <c r="G13" s="286"/>
      <c r="H13" s="286"/>
      <c r="I13" s="286"/>
      <c r="J13" s="286"/>
      <c r="K13" s="286"/>
      <c r="L13" s="286"/>
      <c r="M13" s="286"/>
      <c r="N13" s="286"/>
      <c r="O13" s="286"/>
      <c r="P13" s="286"/>
      <c r="Q13" s="286"/>
      <c r="R13" s="287"/>
    </row>
    <row r="14" spans="1:92" ht="15" thickTop="1" x14ac:dyDescent="0.3"/>
  </sheetData>
  <mergeCells count="12">
    <mergeCell ref="A2:F2"/>
    <mergeCell ref="A3:R3"/>
    <mergeCell ref="G6:G12"/>
    <mergeCell ref="A13:R13"/>
    <mergeCell ref="H1:L1"/>
    <mergeCell ref="A1:E1"/>
    <mergeCell ref="G2:J2"/>
    <mergeCell ref="K2:R2"/>
    <mergeCell ref="A4:F4"/>
    <mergeCell ref="H4:R4"/>
    <mergeCell ref="A7:F7"/>
    <mergeCell ref="N1:R1"/>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J3"/>
  <sheetViews>
    <sheetView workbookViewId="0"/>
  </sheetViews>
  <sheetFormatPr defaultRowHeight="15.6" outlineLevelCol="1" x14ac:dyDescent="0.3"/>
  <cols>
    <col min="1" max="1" width="6.88671875" style="272" bestFit="1" customWidth="1"/>
    <col min="2" max="2" width="10.44140625" style="272" bestFit="1" customWidth="1"/>
    <col min="3" max="3" width="6.77734375" style="272" bestFit="1" customWidth="1"/>
    <col min="4" max="4" width="5.5546875" style="272" bestFit="1" customWidth="1"/>
    <col min="5" max="5" width="8.5546875" style="272" bestFit="1" customWidth="1"/>
    <col min="6" max="6" width="4.21875" style="272" bestFit="1" customWidth="1"/>
    <col min="7" max="7" width="10" style="272" bestFit="1" customWidth="1"/>
    <col min="8" max="10" width="7" style="272" bestFit="1" customWidth="1"/>
    <col min="11" max="11" width="10.5546875" style="272" bestFit="1" customWidth="1"/>
    <col min="12" max="12" width="9.10937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36" width="3.88671875" style="272" bestFit="1" customWidth="1"/>
    <col min="37" max="16384" width="8.88671875" style="272"/>
  </cols>
  <sheetData>
    <row r="1" spans="1:36" x14ac:dyDescent="0.3">
      <c r="A1" s="271" t="s">
        <v>103</v>
      </c>
      <c r="B1" s="271" t="s">
        <v>104</v>
      </c>
      <c r="C1" s="271" t="s">
        <v>105</v>
      </c>
      <c r="D1" s="271" t="s">
        <v>23</v>
      </c>
      <c r="E1" s="271" t="s">
        <v>106</v>
      </c>
      <c r="F1" s="271" t="s">
        <v>107</v>
      </c>
      <c r="G1" s="271" t="s">
        <v>16</v>
      </c>
      <c r="H1" s="271" t="s">
        <v>108</v>
      </c>
      <c r="I1" s="271" t="s">
        <v>109</v>
      </c>
      <c r="J1" s="271" t="s">
        <v>110</v>
      </c>
      <c r="K1" s="271" t="s">
        <v>111</v>
      </c>
      <c r="L1" s="271" t="s">
        <v>18</v>
      </c>
      <c r="M1" s="271" t="s">
        <v>20</v>
      </c>
      <c r="N1" s="271" t="s">
        <v>21</v>
      </c>
      <c r="O1" s="271" t="s">
        <v>19</v>
      </c>
      <c r="P1" s="271" t="s">
        <v>22</v>
      </c>
      <c r="Q1" s="271" t="s">
        <v>112</v>
      </c>
      <c r="R1" s="271" t="s">
        <v>113</v>
      </c>
      <c r="S1" s="271" t="s">
        <v>114</v>
      </c>
      <c r="T1" s="271" t="s">
        <v>115</v>
      </c>
      <c r="U1" s="271" t="s">
        <v>116</v>
      </c>
      <c r="V1" s="271" t="s">
        <v>117</v>
      </c>
      <c r="W1" s="271" t="s">
        <v>118</v>
      </c>
      <c r="X1" s="271" t="s">
        <v>119</v>
      </c>
      <c r="Y1" s="271" t="s">
        <v>120</v>
      </c>
      <c r="Z1" s="271" t="s">
        <v>121</v>
      </c>
      <c r="AA1" s="271" t="s">
        <v>122</v>
      </c>
      <c r="AB1" s="271" t="s">
        <v>123</v>
      </c>
      <c r="AC1" s="271" t="s">
        <v>124</v>
      </c>
      <c r="AD1" s="271" t="s">
        <v>125</v>
      </c>
      <c r="AE1" s="271" t="s">
        <v>126</v>
      </c>
      <c r="AF1" s="271" t="s">
        <v>127</v>
      </c>
      <c r="AG1" s="271" t="s">
        <v>128</v>
      </c>
      <c r="AH1" s="271" t="s">
        <v>129</v>
      </c>
      <c r="AI1" s="271" t="s">
        <v>130</v>
      </c>
      <c r="AJ1" s="271" t="s">
        <v>131</v>
      </c>
    </row>
    <row r="2" spans="1:36" x14ac:dyDescent="0.3">
      <c r="A2" s="273" t="s">
        <v>377</v>
      </c>
      <c r="B2" s="274">
        <v>45982</v>
      </c>
      <c r="C2" s="275" t="s">
        <v>787</v>
      </c>
      <c r="D2" s="276" t="s">
        <v>793</v>
      </c>
      <c r="E2" s="275" t="s">
        <v>784</v>
      </c>
      <c r="F2" s="275" t="s">
        <v>134</v>
      </c>
      <c r="G2" s="277">
        <v>0.44690000000000002</v>
      </c>
      <c r="H2" s="278">
        <v>179</v>
      </c>
      <c r="I2" s="278">
        <v>80</v>
      </c>
      <c r="J2" s="278">
        <v>0</v>
      </c>
      <c r="K2" s="275" t="s">
        <v>135</v>
      </c>
      <c r="L2" s="279">
        <v>45980</v>
      </c>
      <c r="M2" s="278">
        <v>5</v>
      </c>
      <c r="N2" s="278">
        <v>6</v>
      </c>
      <c r="O2" s="278">
        <v>50</v>
      </c>
      <c r="P2" s="275" t="s">
        <v>198</v>
      </c>
      <c r="Q2" s="271"/>
      <c r="R2" s="271"/>
      <c r="S2" s="271"/>
      <c r="T2" s="271"/>
      <c r="U2" s="271"/>
      <c r="V2" s="271"/>
      <c r="W2" s="271"/>
      <c r="X2" s="271"/>
      <c r="Y2" s="271"/>
      <c r="Z2" s="271"/>
      <c r="AA2" s="271"/>
      <c r="AB2" s="271"/>
      <c r="AC2" s="271"/>
      <c r="AD2" s="271"/>
      <c r="AE2" s="271"/>
      <c r="AF2" s="278" t="s">
        <v>788</v>
      </c>
      <c r="AG2" s="271"/>
      <c r="AH2" s="271"/>
      <c r="AI2" s="271"/>
      <c r="AJ2" s="271"/>
    </row>
    <row r="3" spans="1:36" ht="21" x14ac:dyDescent="0.3">
      <c r="A3" s="280" t="s">
        <v>932</v>
      </c>
      <c r="B3" s="281"/>
      <c r="C3" s="280">
        <f>SUBTOTAL(103,ATZ_TUU_LF_LEGACY[Flt])</f>
        <v>1</v>
      </c>
      <c r="D3" s="280"/>
      <c r="E3" s="280">
        <f>SUBTOTAL(103,ATZ_TUU_LF_LEGACY[Brd-Off])</f>
        <v>1</v>
      </c>
      <c r="F3" s="280"/>
      <c r="G3" s="282">
        <f>SUBTOTAL(101,ATZ_TUU_LF_LEGACY[LF%])</f>
        <v>0.44690000000000002</v>
      </c>
      <c r="H3" s="283">
        <f>SUBTOTAL(109,ATZ_TUU_LF_LEGACY[CAP])</f>
        <v>179</v>
      </c>
      <c r="I3" s="283">
        <f>SUBTOTAL(109,ATZ_TUU_LF_LEGACY[BKG(Y)])</f>
        <v>80</v>
      </c>
      <c r="J3" s="283">
        <f>SUBTOTAL(109,ATZ_TUU_LF_LEGACY[GRP(Y)])</f>
        <v>0</v>
      </c>
      <c r="K3" s="280"/>
      <c r="L3" s="281"/>
      <c r="M3" s="283">
        <f>SUBTOTAL(109,ATZ_TUU_LF_LEGACY[TO-DAY])</f>
        <v>5</v>
      </c>
      <c r="N3" s="283">
        <f>SUBTOTAL(109,ATZ_TUU_LF_LEGACY[Y-DAY])</f>
        <v>6</v>
      </c>
      <c r="O3" s="283">
        <f>SUBTOTAL(109,ATZ_TUU_LF_LEGACY[WEEKLY])</f>
        <v>50</v>
      </c>
      <c r="P3" s="284"/>
      <c r="Q3" s="283">
        <f>SUBTOTAL(109,ATZ_TUU_LF_LEGACY[Y])</f>
        <v>0</v>
      </c>
      <c r="R3" s="283">
        <f>SUBTOTAL(109,ATZ_TUU_LF_LEGACY[B])</f>
        <v>0</v>
      </c>
      <c r="S3" s="283">
        <f>SUBTOTAL(109,ATZ_TUU_LF_LEGACY[M])</f>
        <v>0</v>
      </c>
      <c r="T3" s="283">
        <f>SUBTOTAL(109,ATZ_TUU_LF_LEGACY[H])</f>
        <v>0</v>
      </c>
      <c r="U3" s="283">
        <f>SUBTOTAL(109,ATZ_TUU_LF_LEGACY[Q])</f>
        <v>0</v>
      </c>
      <c r="V3" s="283">
        <f>SUBTOTAL(109,ATZ_TUU_LF_LEGACY[K])</f>
        <v>0</v>
      </c>
      <c r="W3" s="283">
        <f>SUBTOTAL(109,ATZ_TUU_LF_LEGACY[V])</f>
        <v>0</v>
      </c>
      <c r="X3" s="283">
        <f>SUBTOTAL(109,ATZ_TUU_LF_LEGACY[L])</f>
        <v>0</v>
      </c>
      <c r="Y3" s="283">
        <f>SUBTOTAL(109,ATZ_TUU_LF_LEGACY[G])</f>
        <v>0</v>
      </c>
      <c r="Z3" s="283">
        <f>SUBTOTAL(109,ATZ_TUU_LF_LEGACY[S])</f>
        <v>0</v>
      </c>
      <c r="AA3" s="283">
        <f>SUBTOTAL(109,ATZ_TUU_LF_LEGACY[W])</f>
        <v>0</v>
      </c>
      <c r="AB3" s="283">
        <f>SUBTOTAL(109,ATZ_TUU_LF_LEGACY[T])</f>
        <v>0</v>
      </c>
      <c r="AC3" s="283">
        <f>SUBTOTAL(109,ATZ_TUU_LF_LEGACY[X])</f>
        <v>0</v>
      </c>
      <c r="AD3" s="283">
        <f>SUBTOTAL(109,ATZ_TUU_LF_LEGACY[U])</f>
        <v>0</v>
      </c>
      <c r="AE3" s="283">
        <f>SUBTOTAL(109,ATZ_TUU_LF_LEGACY[O])</f>
        <v>0</v>
      </c>
      <c r="AF3" s="283">
        <f>SUBTOTAL(109,ATZ_TUU_LF_LEGACY[I])</f>
        <v>0</v>
      </c>
      <c r="AG3" s="283">
        <f>SUBTOTAL(109,ATZ_TUU_LF_LEGACY[E])</f>
        <v>0</v>
      </c>
      <c r="AH3" s="283">
        <f>SUBTOTAL(109,ATZ_TUU_LF_LEGACY[A])</f>
        <v>0</v>
      </c>
      <c r="AI3" s="283">
        <f>SUBTOTAL(109,ATZ_TUU_LF_LEGACY[P])</f>
        <v>0</v>
      </c>
      <c r="AJ3" s="283">
        <f>SUBTOTAL(103,ATZ_TUU_LF_LEGACY[N])</f>
        <v>0</v>
      </c>
    </row>
  </sheetData>
  <pageMargins left="0.75" right="0.75" top="1" bottom="1" header="0.5" footer="0.5"/>
  <tableParts count="1">
    <tablePart r:id="rId1"/>
  </tableParts>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I15"/>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49.21875" hidden="1" customWidth="1"/>
  </cols>
  <sheetData>
    <row r="1" spans="1:8" ht="18" x14ac:dyDescent="0.3">
      <c r="A1" s="56" t="s">
        <v>149</v>
      </c>
      <c r="B1" s="57" t="s">
        <v>8</v>
      </c>
      <c r="C1" s="57" t="s">
        <v>9</v>
      </c>
      <c r="D1" s="57" t="s">
        <v>150</v>
      </c>
      <c r="E1" s="57" t="s">
        <v>10</v>
      </c>
      <c r="F1" s="57" t="s">
        <v>11</v>
      </c>
      <c r="G1" s="57" t="s">
        <v>12</v>
      </c>
      <c r="H1" s="58" t="s">
        <v>13</v>
      </c>
    </row>
    <row r="2" spans="1:8" ht="19.8" customHeight="1" x14ac:dyDescent="0.3">
      <c r="A2" s="100"/>
      <c r="B2" s="101"/>
      <c r="C2" s="101"/>
      <c r="D2" s="101"/>
      <c r="E2" s="101"/>
      <c r="F2" s="102" t="s">
        <v>794</v>
      </c>
      <c r="G2" s="101"/>
      <c r="H2" s="103"/>
    </row>
    <row r="3" spans="1:8" ht="19.8" customHeight="1" x14ac:dyDescent="0.3">
      <c r="A3" s="59" t="s">
        <v>151</v>
      </c>
      <c r="B3" s="60" t="s">
        <v>235</v>
      </c>
      <c r="C3" s="61" t="s">
        <v>765</v>
      </c>
      <c r="D3" s="60" t="s">
        <v>764</v>
      </c>
      <c r="E3" s="60" t="s">
        <v>742</v>
      </c>
      <c r="F3" s="60" t="s">
        <v>98</v>
      </c>
      <c r="G3" s="62">
        <v>9</v>
      </c>
      <c r="H3" s="63" t="s">
        <v>766</v>
      </c>
    </row>
    <row r="4" spans="1:8" ht="19.8" customHeight="1" x14ac:dyDescent="0.3">
      <c r="A4" s="59" t="s">
        <v>151</v>
      </c>
      <c r="B4" s="60" t="s">
        <v>78</v>
      </c>
      <c r="C4" s="61" t="s">
        <v>767</v>
      </c>
      <c r="D4" s="60" t="s">
        <v>764</v>
      </c>
      <c r="E4" s="60" t="s">
        <v>780</v>
      </c>
      <c r="F4" s="60" t="s">
        <v>98</v>
      </c>
      <c r="G4" s="62">
        <v>9</v>
      </c>
      <c r="H4" s="63" t="s">
        <v>637</v>
      </c>
    </row>
    <row r="5" spans="1:8" ht="19.8" customHeight="1" x14ac:dyDescent="0.3">
      <c r="A5" s="113" t="s">
        <v>151</v>
      </c>
      <c r="B5" s="71" t="s">
        <v>67</v>
      </c>
      <c r="C5" s="72" t="s">
        <v>770</v>
      </c>
      <c r="D5" s="71" t="s">
        <v>764</v>
      </c>
      <c r="E5" s="71" t="s">
        <v>792</v>
      </c>
      <c r="F5" s="71" t="s">
        <v>69</v>
      </c>
      <c r="G5" s="74">
        <v>9</v>
      </c>
      <c r="H5" s="75" t="s">
        <v>771</v>
      </c>
    </row>
    <row r="6" spans="1:8" ht="19.8" customHeight="1" x14ac:dyDescent="0.3">
      <c r="A6" s="99" t="s">
        <v>201</v>
      </c>
      <c r="B6" s="77" t="s">
        <v>78</v>
      </c>
      <c r="C6" s="78" t="s">
        <v>785</v>
      </c>
      <c r="D6" s="77" t="s">
        <v>784</v>
      </c>
      <c r="E6" s="77" t="s">
        <v>793</v>
      </c>
      <c r="F6" s="77" t="s">
        <v>98</v>
      </c>
      <c r="G6" s="80">
        <v>9</v>
      </c>
      <c r="H6" s="81" t="s">
        <v>786</v>
      </c>
    </row>
    <row r="7" spans="1:8" ht="19.8" customHeight="1" x14ac:dyDescent="0.3">
      <c r="A7" s="100"/>
      <c r="B7" s="101"/>
      <c r="C7" s="101"/>
      <c r="D7" s="101"/>
      <c r="E7" s="101"/>
      <c r="F7" s="102" t="s">
        <v>794</v>
      </c>
      <c r="G7" s="101"/>
      <c r="H7" s="103"/>
    </row>
    <row r="8" spans="1:8" ht="19.8" customHeight="1" x14ac:dyDescent="0.3">
      <c r="A8" s="68">
        <v>45982</v>
      </c>
      <c r="B8" s="60" t="s">
        <v>260</v>
      </c>
      <c r="C8" s="61" t="s">
        <v>772</v>
      </c>
      <c r="D8" s="60" t="s">
        <v>764</v>
      </c>
      <c r="E8" s="69">
        <v>1.4965277777777779</v>
      </c>
      <c r="F8" s="60" t="s">
        <v>262</v>
      </c>
      <c r="G8" s="62">
        <v>9</v>
      </c>
      <c r="H8" s="63" t="s">
        <v>773</v>
      </c>
    </row>
    <row r="9" spans="1:8" ht="19.8" customHeight="1" x14ac:dyDescent="0.3">
      <c r="A9" s="68">
        <v>45982</v>
      </c>
      <c r="B9" s="60" t="s">
        <v>328</v>
      </c>
      <c r="C9" s="61" t="s">
        <v>775</v>
      </c>
      <c r="D9" s="60" t="s">
        <v>764</v>
      </c>
      <c r="E9" s="69">
        <v>1.9861111111111109</v>
      </c>
      <c r="F9" s="60" t="s">
        <v>98</v>
      </c>
      <c r="G9" s="62">
        <v>9</v>
      </c>
      <c r="H9" s="63" t="s">
        <v>637</v>
      </c>
    </row>
    <row r="10" spans="1:8" ht="19.8" customHeight="1" x14ac:dyDescent="0.3">
      <c r="A10" s="68">
        <v>45982</v>
      </c>
      <c r="B10" s="60" t="s">
        <v>67</v>
      </c>
      <c r="C10" s="61" t="s">
        <v>770</v>
      </c>
      <c r="D10" s="60" t="s">
        <v>764</v>
      </c>
      <c r="E10" s="69">
        <v>1.9826388888888891</v>
      </c>
      <c r="F10" s="60" t="s">
        <v>69</v>
      </c>
      <c r="G10" s="62">
        <v>9</v>
      </c>
      <c r="H10" s="63" t="s">
        <v>771</v>
      </c>
    </row>
    <row r="11" spans="1:8" ht="19.8" customHeight="1" x14ac:dyDescent="0.3">
      <c r="A11" s="68">
        <v>45982</v>
      </c>
      <c r="B11" s="60" t="s">
        <v>235</v>
      </c>
      <c r="C11" s="61" t="s">
        <v>776</v>
      </c>
      <c r="D11" s="60" t="s">
        <v>764</v>
      </c>
      <c r="E11" s="69">
        <v>1.756944444444444</v>
      </c>
      <c r="F11" s="60" t="s">
        <v>98</v>
      </c>
      <c r="G11" s="62">
        <v>3</v>
      </c>
      <c r="H11" s="63" t="s">
        <v>777</v>
      </c>
    </row>
    <row r="12" spans="1:8" ht="19.8" customHeight="1" x14ac:dyDescent="0.3">
      <c r="A12" s="70">
        <v>45982</v>
      </c>
      <c r="B12" s="71" t="s">
        <v>260</v>
      </c>
      <c r="C12" s="72" t="s">
        <v>772</v>
      </c>
      <c r="D12" s="71" t="s">
        <v>764</v>
      </c>
      <c r="E12" s="73">
        <v>1.4965277777777779</v>
      </c>
      <c r="F12" s="71" t="s">
        <v>49</v>
      </c>
      <c r="G12" s="74">
        <v>9</v>
      </c>
      <c r="H12" s="75" t="s">
        <v>774</v>
      </c>
    </row>
    <row r="13" spans="1:8" ht="19.8" customHeight="1" x14ac:dyDescent="0.3">
      <c r="A13" s="100"/>
      <c r="B13" s="101"/>
      <c r="C13" s="101"/>
      <c r="D13" s="101"/>
      <c r="E13" s="101"/>
      <c r="F13" s="102" t="s">
        <v>794</v>
      </c>
      <c r="G13" s="101"/>
      <c r="H13" s="103"/>
    </row>
    <row r="14" spans="1:8" ht="19.8" customHeight="1" x14ac:dyDescent="0.3">
      <c r="A14" s="68">
        <v>45983</v>
      </c>
      <c r="B14" s="60" t="s">
        <v>78</v>
      </c>
      <c r="C14" s="61" t="s">
        <v>767</v>
      </c>
      <c r="D14" s="60" t="s">
        <v>764</v>
      </c>
      <c r="E14" s="69">
        <v>1.836805555555556</v>
      </c>
      <c r="F14" s="60" t="s">
        <v>98</v>
      </c>
      <c r="G14" s="62">
        <v>9</v>
      </c>
      <c r="H14" s="63" t="s">
        <v>778</v>
      </c>
    </row>
    <row r="15" spans="1:8" ht="19.8" customHeight="1" x14ac:dyDescent="0.3">
      <c r="A15" s="70">
        <v>45983</v>
      </c>
      <c r="B15" s="71" t="s">
        <v>235</v>
      </c>
      <c r="C15" s="72" t="s">
        <v>765</v>
      </c>
      <c r="D15" s="71" t="s">
        <v>764</v>
      </c>
      <c r="E15" s="73">
        <v>1.756944444444444</v>
      </c>
      <c r="F15" s="71" t="s">
        <v>98</v>
      </c>
      <c r="G15" s="74">
        <v>3</v>
      </c>
      <c r="H15" s="75" t="s">
        <v>777</v>
      </c>
    </row>
  </sheetData>
  <pageMargins left="0.75" right="0.75" top="1" bottom="1" header="0.5" footer="0.5"/>
  <legacyDrawing r:id="rId1"/>
  <tableParts count="1">
    <tablePart r:id="rId2"/>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N11"/>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30.109375" bestFit="1" customWidth="1"/>
  </cols>
  <sheetData>
    <row r="1" spans="1:92" ht="28.8" customHeight="1" x14ac:dyDescent="0.3">
      <c r="A1" s="261" t="s">
        <v>0</v>
      </c>
      <c r="B1" s="251"/>
      <c r="C1" s="251"/>
      <c r="D1" s="251"/>
      <c r="E1" s="251"/>
      <c r="F1" s="1" t="s">
        <v>795</v>
      </c>
      <c r="G1" s="2" t="s">
        <v>2</v>
      </c>
      <c r="H1" s="260">
        <v>45981</v>
      </c>
      <c r="I1" s="251"/>
      <c r="J1" s="251"/>
      <c r="K1" s="251"/>
      <c r="L1" s="251"/>
      <c r="M1" s="1" t="s">
        <v>3</v>
      </c>
      <c r="N1" s="266">
        <v>45983</v>
      </c>
      <c r="O1" s="251"/>
      <c r="P1" s="251"/>
      <c r="Q1" s="251"/>
      <c r="R1" s="251"/>
      <c r="CA1" s="3"/>
      <c r="CB1" s="3"/>
      <c r="CC1" s="3"/>
      <c r="CD1" s="3"/>
      <c r="CE1" s="3"/>
      <c r="CF1" s="3"/>
      <c r="CG1" s="3"/>
      <c r="CH1" s="3"/>
      <c r="CI1" s="3"/>
      <c r="CJ1" s="3"/>
      <c r="CK1" s="3"/>
      <c r="CL1" s="3"/>
      <c r="CM1" s="3"/>
      <c r="CN1" s="3"/>
    </row>
    <row r="2" spans="1:92" ht="23.4" customHeight="1" x14ac:dyDescent="0.3">
      <c r="A2" s="250" t="s">
        <v>4</v>
      </c>
      <c r="B2" s="251"/>
      <c r="C2" s="251"/>
      <c r="D2" s="251"/>
      <c r="E2" s="251"/>
      <c r="F2" s="251"/>
      <c r="G2" s="262">
        <v>45980.493107183604</v>
      </c>
      <c r="H2" s="251"/>
      <c r="I2" s="251"/>
      <c r="J2" s="251"/>
      <c r="K2" s="263">
        <v>45980.493107183902</v>
      </c>
      <c r="L2" s="251"/>
      <c r="M2" s="251"/>
      <c r="N2" s="251"/>
      <c r="O2" s="251"/>
      <c r="P2" s="251"/>
      <c r="Q2" s="251"/>
      <c r="R2" s="251"/>
      <c r="CA2" s="3"/>
      <c r="CB2" s="3"/>
      <c r="CC2" s="3"/>
      <c r="CD2" s="3"/>
      <c r="CE2" s="3"/>
      <c r="CF2" s="3"/>
      <c r="CG2" s="3"/>
      <c r="CH2" s="3"/>
      <c r="CI2" s="3"/>
      <c r="CJ2" s="3"/>
      <c r="CK2" s="3"/>
      <c r="CL2" s="3"/>
      <c r="CM2" s="3"/>
      <c r="CN2" s="3"/>
    </row>
    <row r="3" spans="1:92" ht="24" customHeight="1" x14ac:dyDescent="0.3">
      <c r="A3" s="252" t="s">
        <v>5</v>
      </c>
      <c r="B3" s="251"/>
      <c r="C3" s="251"/>
      <c r="D3" s="251"/>
      <c r="E3" s="251"/>
      <c r="F3" s="251"/>
      <c r="G3" s="251"/>
      <c r="H3" s="251"/>
      <c r="I3" s="251"/>
      <c r="J3" s="251"/>
      <c r="K3" s="251"/>
      <c r="L3" s="251"/>
      <c r="M3" s="251"/>
      <c r="N3" s="251"/>
      <c r="O3" s="251"/>
      <c r="P3" s="251"/>
      <c r="Q3" s="251"/>
      <c r="R3" s="251"/>
      <c r="CA3" s="3"/>
      <c r="CB3" s="3"/>
      <c r="CC3" s="3"/>
      <c r="CD3" s="3"/>
      <c r="CE3" s="3"/>
      <c r="CF3" s="3"/>
      <c r="CG3" s="3"/>
      <c r="CH3" s="3"/>
      <c r="CI3" s="3"/>
      <c r="CJ3" s="3"/>
      <c r="CK3" s="3"/>
      <c r="CL3" s="3"/>
      <c r="CM3" s="3"/>
      <c r="CN3" s="3"/>
    </row>
    <row r="4" spans="1:92" ht="22.05" customHeight="1" x14ac:dyDescent="0.3">
      <c r="A4" s="264" t="s">
        <v>6</v>
      </c>
      <c r="B4" s="254"/>
      <c r="C4" s="254"/>
      <c r="D4" s="254"/>
      <c r="E4" s="254"/>
      <c r="F4" s="255"/>
      <c r="G4" s="4">
        <v>45981</v>
      </c>
      <c r="H4" s="265" t="s">
        <v>7</v>
      </c>
      <c r="I4" s="254"/>
      <c r="J4" s="254"/>
      <c r="K4" s="254"/>
      <c r="L4" s="254"/>
      <c r="M4" s="254"/>
      <c r="N4" s="254"/>
      <c r="O4" s="254"/>
      <c r="P4" s="254"/>
      <c r="Q4" s="254"/>
      <c r="R4" s="25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235</v>
      </c>
      <c r="B6" s="8" t="s">
        <v>796</v>
      </c>
      <c r="C6" s="9">
        <v>0.70138888888888884</v>
      </c>
      <c r="D6" s="8" t="s">
        <v>98</v>
      </c>
      <c r="E6" s="8" t="s">
        <v>453</v>
      </c>
      <c r="F6" s="8" t="s">
        <v>797</v>
      </c>
      <c r="G6" s="256"/>
      <c r="H6" s="10"/>
      <c r="I6" s="11"/>
      <c r="J6" s="11"/>
      <c r="K6" s="11"/>
      <c r="L6" s="11"/>
      <c r="M6" s="11"/>
      <c r="N6" s="11"/>
      <c r="O6" s="12"/>
      <c r="P6" s="11"/>
      <c r="Q6" s="13"/>
      <c r="R6" s="14"/>
    </row>
    <row r="7" spans="1:92" ht="49.95" customHeight="1" thickTop="1" thickBot="1" x14ac:dyDescent="0.35">
      <c r="A7" s="212" t="s">
        <v>78</v>
      </c>
      <c r="B7" s="212" t="s">
        <v>798</v>
      </c>
      <c r="C7" s="213">
        <v>0.76736111111111116</v>
      </c>
      <c r="D7" s="212" t="s">
        <v>98</v>
      </c>
      <c r="E7" s="212" t="s">
        <v>54</v>
      </c>
      <c r="F7" s="212" t="s">
        <v>799</v>
      </c>
      <c r="G7" s="258"/>
      <c r="H7" s="214" t="s">
        <v>800</v>
      </c>
      <c r="I7" s="215">
        <v>0.29609999999999997</v>
      </c>
      <c r="J7" s="216">
        <v>53</v>
      </c>
      <c r="K7" s="217">
        <v>45980</v>
      </c>
      <c r="L7" s="216">
        <v>32</v>
      </c>
      <c r="M7" s="216">
        <v>1</v>
      </c>
      <c r="N7" s="216">
        <v>8</v>
      </c>
      <c r="O7" s="218" t="s">
        <v>367</v>
      </c>
      <c r="P7" s="219">
        <v>0.76736111111111116</v>
      </c>
      <c r="Q7" s="216">
        <v>179</v>
      </c>
      <c r="R7" s="220" t="s">
        <v>801</v>
      </c>
    </row>
    <row r="8" spans="1:92" ht="17.399999999999999" customHeight="1" thickBot="1" x14ac:dyDescent="0.35">
      <c r="A8" s="285"/>
      <c r="B8" s="286"/>
      <c r="C8" s="286"/>
      <c r="D8" s="286"/>
      <c r="E8" s="286"/>
      <c r="F8" s="286"/>
      <c r="G8" s="286"/>
      <c r="H8" s="286"/>
      <c r="I8" s="286"/>
      <c r="J8" s="286"/>
      <c r="K8" s="286"/>
      <c r="L8" s="286"/>
      <c r="M8" s="286"/>
      <c r="N8" s="286"/>
      <c r="O8" s="286"/>
      <c r="P8" s="286"/>
      <c r="Q8" s="286"/>
      <c r="R8" s="287"/>
    </row>
    <row r="9" spans="1:92" ht="22.05" customHeight="1" thickTop="1" thickBot="1" x14ac:dyDescent="0.35">
      <c r="A9" s="259" t="s">
        <v>6</v>
      </c>
      <c r="B9" s="254"/>
      <c r="C9" s="254"/>
      <c r="D9" s="254"/>
      <c r="E9" s="254"/>
      <c r="F9" s="255"/>
      <c r="G9" s="31">
        <v>45983</v>
      </c>
      <c r="H9" s="253" t="s">
        <v>7</v>
      </c>
      <c r="I9" s="254"/>
      <c r="J9" s="254"/>
      <c r="K9" s="254"/>
      <c r="L9" s="254"/>
      <c r="M9" s="254"/>
      <c r="N9" s="254"/>
      <c r="O9" s="254"/>
      <c r="P9" s="254"/>
      <c r="Q9" s="254"/>
      <c r="R9" s="255"/>
    </row>
    <row r="10" spans="1:92" ht="24" customHeight="1" x14ac:dyDescent="0.3">
      <c r="A10" s="32" t="s">
        <v>8</v>
      </c>
      <c r="B10" s="32" t="s">
        <v>9</v>
      </c>
      <c r="C10" s="33" t="s">
        <v>10</v>
      </c>
      <c r="D10" s="32" t="s">
        <v>11</v>
      </c>
      <c r="E10" s="32" t="s">
        <v>12</v>
      </c>
      <c r="F10" s="34" t="s">
        <v>13</v>
      </c>
      <c r="G10" s="35" t="s">
        <v>14</v>
      </c>
      <c r="H10" s="32" t="s">
        <v>15</v>
      </c>
      <c r="I10" s="36" t="s">
        <v>16</v>
      </c>
      <c r="J10" s="37" t="s">
        <v>17</v>
      </c>
      <c r="K10" s="38" t="s">
        <v>18</v>
      </c>
      <c r="L10" s="37" t="s">
        <v>19</v>
      </c>
      <c r="M10" s="37" t="s">
        <v>20</v>
      </c>
      <c r="N10" s="37" t="s">
        <v>21</v>
      </c>
      <c r="O10" s="32" t="s">
        <v>22</v>
      </c>
      <c r="P10" s="33" t="s">
        <v>23</v>
      </c>
      <c r="Q10" s="37" t="s">
        <v>24</v>
      </c>
      <c r="R10" s="32" t="s">
        <v>25</v>
      </c>
    </row>
    <row r="11" spans="1:92" ht="49.95" customHeight="1" x14ac:dyDescent="0.45">
      <c r="A11" s="208" t="s">
        <v>78</v>
      </c>
      <c r="B11" s="208" t="s">
        <v>798</v>
      </c>
      <c r="C11" s="209">
        <v>0.71875</v>
      </c>
      <c r="D11" s="208" t="s">
        <v>98</v>
      </c>
      <c r="E11" s="208" t="s">
        <v>54</v>
      </c>
      <c r="F11" s="208" t="s">
        <v>802</v>
      </c>
      <c r="G11" s="256"/>
      <c r="H11" s="221" t="s">
        <v>800</v>
      </c>
      <c r="I11" s="222">
        <v>0.60340000000000005</v>
      </c>
      <c r="J11" s="223">
        <v>108</v>
      </c>
      <c r="K11" s="224">
        <v>45980</v>
      </c>
      <c r="L11" s="223">
        <v>58</v>
      </c>
      <c r="M11" s="223">
        <v>6</v>
      </c>
      <c r="N11" s="223">
        <v>22</v>
      </c>
      <c r="O11" s="225" t="s">
        <v>254</v>
      </c>
      <c r="P11" s="226">
        <v>0.71875</v>
      </c>
      <c r="Q11" s="223">
        <v>179</v>
      </c>
      <c r="R11" s="227" t="s">
        <v>803</v>
      </c>
    </row>
  </sheetData>
  <mergeCells count="14">
    <mergeCell ref="G11"/>
    <mergeCell ref="A8:R8"/>
    <mergeCell ref="H4:R4"/>
    <mergeCell ref="N1:R1"/>
    <mergeCell ref="H1:L1"/>
    <mergeCell ref="A1:E1"/>
    <mergeCell ref="G2:J2"/>
    <mergeCell ref="K2:R2"/>
    <mergeCell ref="A4:F4"/>
    <mergeCell ref="A2:F2"/>
    <mergeCell ref="A3:R3"/>
    <mergeCell ref="H9:R9"/>
    <mergeCell ref="A9:F9"/>
    <mergeCell ref="G6:G7"/>
  </mergeCell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J4"/>
  <sheetViews>
    <sheetView workbookViewId="0"/>
  </sheetViews>
  <sheetFormatPr defaultRowHeight="15.6" outlineLevelCol="1" x14ac:dyDescent="0.3"/>
  <cols>
    <col min="1" max="1" width="9.88671875" style="272" bestFit="1" customWidth="1"/>
    <col min="2" max="2" width="10.44140625" style="272" bestFit="1" customWidth="1"/>
    <col min="3" max="3" width="6.77734375" style="272" bestFit="1" customWidth="1"/>
    <col min="4" max="4" width="5.5546875" style="272" bestFit="1" customWidth="1"/>
    <col min="5" max="5" width="7.44140625" style="272" bestFit="1" customWidth="1"/>
    <col min="6" max="6" width="4.21875" style="272" bestFit="1" customWidth="1"/>
    <col min="7" max="7" width="10" style="272" bestFit="1" customWidth="1"/>
    <col min="8" max="10" width="7" style="272" bestFit="1" customWidth="1"/>
    <col min="11" max="11" width="10.5546875" style="272" bestFit="1" customWidth="1"/>
    <col min="12" max="12" width="9.10937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25" width="3.88671875" style="272" bestFit="1" customWidth="1"/>
    <col min="26" max="26" width="4.109375" style="272" bestFit="1" customWidth="1"/>
    <col min="27" max="28" width="3.88671875" style="272" bestFit="1" customWidth="1"/>
    <col min="29" max="29" width="4.21875" style="272" bestFit="1" customWidth="1"/>
    <col min="30" max="30" width="4.5546875" style="272" bestFit="1" customWidth="1"/>
    <col min="31" max="36" width="3.88671875" style="272" bestFit="1" customWidth="1"/>
    <col min="37" max="16384" width="8.88671875" style="272"/>
  </cols>
  <sheetData>
    <row r="1" spans="1:36" x14ac:dyDescent="0.3">
      <c r="A1" s="271" t="s">
        <v>103</v>
      </c>
      <c r="B1" s="271" t="s">
        <v>104</v>
      </c>
      <c r="C1" s="271" t="s">
        <v>105</v>
      </c>
      <c r="D1" s="271" t="s">
        <v>23</v>
      </c>
      <c r="E1" s="271" t="s">
        <v>106</v>
      </c>
      <c r="F1" s="271" t="s">
        <v>107</v>
      </c>
      <c r="G1" s="271" t="s">
        <v>16</v>
      </c>
      <c r="H1" s="271" t="s">
        <v>108</v>
      </c>
      <c r="I1" s="271" t="s">
        <v>109</v>
      </c>
      <c r="J1" s="271" t="s">
        <v>110</v>
      </c>
      <c r="K1" s="271" t="s">
        <v>111</v>
      </c>
      <c r="L1" s="271" t="s">
        <v>18</v>
      </c>
      <c r="M1" s="271" t="s">
        <v>20</v>
      </c>
      <c r="N1" s="271" t="s">
        <v>21</v>
      </c>
      <c r="O1" s="271" t="s">
        <v>19</v>
      </c>
      <c r="P1" s="271" t="s">
        <v>22</v>
      </c>
      <c r="Q1" s="271" t="s">
        <v>112</v>
      </c>
      <c r="R1" s="271" t="s">
        <v>113</v>
      </c>
      <c r="S1" s="271" t="s">
        <v>114</v>
      </c>
      <c r="T1" s="271" t="s">
        <v>115</v>
      </c>
      <c r="U1" s="271" t="s">
        <v>116</v>
      </c>
      <c r="V1" s="271" t="s">
        <v>117</v>
      </c>
      <c r="W1" s="271" t="s">
        <v>118</v>
      </c>
      <c r="X1" s="271" t="s">
        <v>119</v>
      </c>
      <c r="Y1" s="271" t="s">
        <v>120</v>
      </c>
      <c r="Z1" s="271" t="s">
        <v>121</v>
      </c>
      <c r="AA1" s="271" t="s">
        <v>122</v>
      </c>
      <c r="AB1" s="271" t="s">
        <v>123</v>
      </c>
      <c r="AC1" s="271" t="s">
        <v>124</v>
      </c>
      <c r="AD1" s="271" t="s">
        <v>125</v>
      </c>
      <c r="AE1" s="271" t="s">
        <v>126</v>
      </c>
      <c r="AF1" s="271" t="s">
        <v>127</v>
      </c>
      <c r="AG1" s="271" t="s">
        <v>128</v>
      </c>
      <c r="AH1" s="271" t="s">
        <v>129</v>
      </c>
      <c r="AI1" s="271" t="s">
        <v>130</v>
      </c>
      <c r="AJ1" s="271" t="s">
        <v>131</v>
      </c>
    </row>
    <row r="2" spans="1:36" x14ac:dyDescent="0.3">
      <c r="A2" s="273" t="s">
        <v>132</v>
      </c>
      <c r="B2" s="274">
        <v>45981</v>
      </c>
      <c r="C2" s="275" t="s">
        <v>800</v>
      </c>
      <c r="D2" s="276" t="s">
        <v>804</v>
      </c>
      <c r="E2" s="275" t="s">
        <v>795</v>
      </c>
      <c r="F2" s="275" t="s">
        <v>134</v>
      </c>
      <c r="G2" s="277">
        <v>0.29609999999999997</v>
      </c>
      <c r="H2" s="278">
        <v>179</v>
      </c>
      <c r="I2" s="278">
        <v>53</v>
      </c>
      <c r="J2" s="278">
        <v>0</v>
      </c>
      <c r="K2" s="275" t="s">
        <v>135</v>
      </c>
      <c r="L2" s="279">
        <v>45980</v>
      </c>
      <c r="M2" s="278">
        <v>1</v>
      </c>
      <c r="N2" s="278">
        <v>8</v>
      </c>
      <c r="O2" s="278">
        <v>32</v>
      </c>
      <c r="P2" s="275" t="s">
        <v>367</v>
      </c>
      <c r="Q2" s="271"/>
      <c r="R2" s="271"/>
      <c r="S2" s="271"/>
      <c r="T2" s="271"/>
      <c r="U2" s="271"/>
      <c r="V2" s="271"/>
      <c r="W2" s="271"/>
      <c r="X2" s="271"/>
      <c r="Y2" s="271"/>
      <c r="Z2" s="278" t="s">
        <v>805</v>
      </c>
      <c r="AA2" s="271"/>
      <c r="AB2" s="271"/>
      <c r="AC2" s="278" t="s">
        <v>806</v>
      </c>
      <c r="AD2" s="278" t="s">
        <v>139</v>
      </c>
      <c r="AE2" s="278" t="s">
        <v>727</v>
      </c>
      <c r="AF2" s="278" t="s">
        <v>807</v>
      </c>
      <c r="AG2" s="271"/>
      <c r="AH2" s="271"/>
      <c r="AI2" s="271"/>
      <c r="AJ2" s="271"/>
    </row>
    <row r="3" spans="1:36" x14ac:dyDescent="0.3">
      <c r="A3" s="273" t="s">
        <v>144</v>
      </c>
      <c r="B3" s="274">
        <v>45983</v>
      </c>
      <c r="C3" s="275" t="s">
        <v>800</v>
      </c>
      <c r="D3" s="276" t="s">
        <v>808</v>
      </c>
      <c r="E3" s="275" t="s">
        <v>795</v>
      </c>
      <c r="F3" s="275" t="s">
        <v>134</v>
      </c>
      <c r="G3" s="277">
        <v>0.60340000000000005</v>
      </c>
      <c r="H3" s="278">
        <v>179</v>
      </c>
      <c r="I3" s="278">
        <v>108</v>
      </c>
      <c r="J3" s="278">
        <v>0</v>
      </c>
      <c r="K3" s="275" t="s">
        <v>135</v>
      </c>
      <c r="L3" s="279">
        <v>45980</v>
      </c>
      <c r="M3" s="278">
        <v>6</v>
      </c>
      <c r="N3" s="278">
        <v>22</v>
      </c>
      <c r="O3" s="278">
        <v>58</v>
      </c>
      <c r="P3" s="275" t="s">
        <v>254</v>
      </c>
      <c r="Q3" s="271"/>
      <c r="R3" s="271"/>
      <c r="S3" s="271"/>
      <c r="T3" s="271"/>
      <c r="U3" s="271"/>
      <c r="V3" s="271"/>
      <c r="W3" s="271"/>
      <c r="X3" s="271"/>
      <c r="Y3" s="278" t="s">
        <v>451</v>
      </c>
      <c r="Z3" s="278" t="s">
        <v>809</v>
      </c>
      <c r="AA3" s="271"/>
      <c r="AB3" s="271"/>
      <c r="AC3" s="278" t="s">
        <v>810</v>
      </c>
      <c r="AD3" s="271"/>
      <c r="AE3" s="271"/>
      <c r="AF3" s="278" t="s">
        <v>362</v>
      </c>
      <c r="AG3" s="271"/>
      <c r="AH3" s="271"/>
      <c r="AI3" s="271"/>
      <c r="AJ3" s="271"/>
    </row>
    <row r="4" spans="1:36" ht="21" x14ac:dyDescent="0.3">
      <c r="A4" s="280" t="s">
        <v>932</v>
      </c>
      <c r="B4" s="281"/>
      <c r="C4" s="280">
        <f>SUBTOTAL(103,CAI_AJF_LF_LEGACY[Flt])</f>
        <v>2</v>
      </c>
      <c r="D4" s="280"/>
      <c r="E4" s="280">
        <f>SUBTOTAL(103,CAI_AJF_LF_LEGACY[Brd-Off])</f>
        <v>2</v>
      </c>
      <c r="F4" s="280"/>
      <c r="G4" s="282">
        <f>SUBTOTAL(101,CAI_AJF_LF_LEGACY[LF%])</f>
        <v>0.44974999999999998</v>
      </c>
      <c r="H4" s="283">
        <f>SUBTOTAL(109,CAI_AJF_LF_LEGACY[CAP])</f>
        <v>358</v>
      </c>
      <c r="I4" s="283">
        <f>SUBTOTAL(109,CAI_AJF_LF_LEGACY[BKG(Y)])</f>
        <v>161</v>
      </c>
      <c r="J4" s="283">
        <f>SUBTOTAL(109,CAI_AJF_LF_LEGACY[GRP(Y)])</f>
        <v>0</v>
      </c>
      <c r="K4" s="280"/>
      <c r="L4" s="281"/>
      <c r="M4" s="283">
        <f>SUBTOTAL(109,CAI_AJF_LF_LEGACY[TO-DAY])</f>
        <v>7</v>
      </c>
      <c r="N4" s="283">
        <f>SUBTOTAL(109,CAI_AJF_LF_LEGACY[Y-DAY])</f>
        <v>30</v>
      </c>
      <c r="O4" s="283">
        <f>SUBTOTAL(109,CAI_AJF_LF_LEGACY[WEEKLY])</f>
        <v>90</v>
      </c>
      <c r="P4" s="284"/>
      <c r="Q4" s="283">
        <f>SUBTOTAL(109,CAI_AJF_LF_LEGACY[Y])</f>
        <v>0</v>
      </c>
      <c r="R4" s="283">
        <f>SUBTOTAL(109,CAI_AJF_LF_LEGACY[B])</f>
        <v>0</v>
      </c>
      <c r="S4" s="283">
        <f>SUBTOTAL(109,CAI_AJF_LF_LEGACY[M])</f>
        <v>0</v>
      </c>
      <c r="T4" s="283">
        <f>SUBTOTAL(109,CAI_AJF_LF_LEGACY[H])</f>
        <v>0</v>
      </c>
      <c r="U4" s="283">
        <f>SUBTOTAL(109,CAI_AJF_LF_LEGACY[Q])</f>
        <v>0</v>
      </c>
      <c r="V4" s="283">
        <f>SUBTOTAL(109,CAI_AJF_LF_LEGACY[K])</f>
        <v>0</v>
      </c>
      <c r="W4" s="283">
        <f>SUBTOTAL(109,CAI_AJF_LF_LEGACY[V])</f>
        <v>0</v>
      </c>
      <c r="X4" s="283">
        <f>SUBTOTAL(109,CAI_AJF_LF_LEGACY[L])</f>
        <v>0</v>
      </c>
      <c r="Y4" s="283">
        <f>SUBTOTAL(109,CAI_AJF_LF_LEGACY[G])</f>
        <v>0</v>
      </c>
      <c r="Z4" s="283">
        <f>SUBTOTAL(109,CAI_AJF_LF_LEGACY[S])</f>
        <v>0</v>
      </c>
      <c r="AA4" s="283">
        <f>SUBTOTAL(109,CAI_AJF_LF_LEGACY[W])</f>
        <v>0</v>
      </c>
      <c r="AB4" s="283">
        <f>SUBTOTAL(109,CAI_AJF_LF_LEGACY[T])</f>
        <v>0</v>
      </c>
      <c r="AC4" s="283">
        <f>SUBTOTAL(109,CAI_AJF_LF_LEGACY[X])</f>
        <v>0</v>
      </c>
      <c r="AD4" s="283">
        <f>SUBTOTAL(109,CAI_AJF_LF_LEGACY[U])</f>
        <v>0</v>
      </c>
      <c r="AE4" s="283">
        <f>SUBTOTAL(109,CAI_AJF_LF_LEGACY[O])</f>
        <v>0</v>
      </c>
      <c r="AF4" s="283">
        <f>SUBTOTAL(109,CAI_AJF_LF_LEGACY[I])</f>
        <v>0</v>
      </c>
      <c r="AG4" s="283">
        <f>SUBTOTAL(109,CAI_AJF_LF_LEGACY[E])</f>
        <v>0</v>
      </c>
      <c r="AH4" s="283">
        <f>SUBTOTAL(109,CAI_AJF_LF_LEGACY[A])</f>
        <v>0</v>
      </c>
      <c r="AI4" s="283">
        <f>SUBTOTAL(109,CAI_AJF_LF_LEGACY[P])</f>
        <v>0</v>
      </c>
      <c r="AJ4" s="283">
        <f>SUBTOTAL(103,CAI_AJF_LF_LEGACY[N])</f>
        <v>0</v>
      </c>
    </row>
  </sheetData>
  <pageMargins left="0.75" right="0.75" top="1" bottom="1" header="0.5" footer="0.5"/>
  <tableParts count="1">
    <tablePart r:id="rId1"/>
  </tableParts>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I4"/>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68.77734375" hidden="1" customWidth="1"/>
  </cols>
  <sheetData>
    <row r="1" spans="1:8" ht="18" x14ac:dyDescent="0.3">
      <c r="A1" s="56" t="s">
        <v>149</v>
      </c>
      <c r="B1" s="57" t="s">
        <v>8</v>
      </c>
      <c r="C1" s="57" t="s">
        <v>9</v>
      </c>
      <c r="D1" s="57" t="s">
        <v>150</v>
      </c>
      <c r="E1" s="57" t="s">
        <v>10</v>
      </c>
      <c r="F1" s="57" t="s">
        <v>11</v>
      </c>
      <c r="G1" s="57" t="s">
        <v>12</v>
      </c>
      <c r="H1" s="58" t="s">
        <v>13</v>
      </c>
    </row>
    <row r="2" spans="1:8" ht="19.8" customHeight="1" x14ac:dyDescent="0.3">
      <c r="A2" s="59" t="s">
        <v>151</v>
      </c>
      <c r="B2" s="60" t="s">
        <v>235</v>
      </c>
      <c r="C2" s="61" t="s">
        <v>796</v>
      </c>
      <c r="D2" s="60" t="s">
        <v>795</v>
      </c>
      <c r="E2" s="60" t="s">
        <v>811</v>
      </c>
      <c r="F2" s="60" t="s">
        <v>98</v>
      </c>
      <c r="G2" s="62">
        <v>7</v>
      </c>
      <c r="H2" s="63" t="s">
        <v>797</v>
      </c>
    </row>
    <row r="3" spans="1:8" ht="19.8" customHeight="1" x14ac:dyDescent="0.3">
      <c r="A3" s="64" t="s">
        <v>151</v>
      </c>
      <c r="B3" s="65" t="s">
        <v>78</v>
      </c>
      <c r="C3" s="66" t="s">
        <v>798</v>
      </c>
      <c r="D3" s="65" t="s">
        <v>795</v>
      </c>
      <c r="E3" s="65" t="s">
        <v>804</v>
      </c>
      <c r="F3" s="65" t="s">
        <v>98</v>
      </c>
      <c r="G3" s="84">
        <v>9</v>
      </c>
      <c r="H3" s="67" t="s">
        <v>799</v>
      </c>
    </row>
    <row r="4" spans="1:8" ht="19.8" customHeight="1" x14ac:dyDescent="0.3">
      <c r="A4" s="82">
        <v>45983</v>
      </c>
      <c r="B4" s="65" t="s">
        <v>78</v>
      </c>
      <c r="C4" s="66" t="s">
        <v>798</v>
      </c>
      <c r="D4" s="65" t="s">
        <v>795</v>
      </c>
      <c r="E4" s="83">
        <v>1.71875</v>
      </c>
      <c r="F4" s="65" t="s">
        <v>98</v>
      </c>
      <c r="G4" s="84">
        <v>9</v>
      </c>
      <c r="H4" s="67" t="s">
        <v>802</v>
      </c>
    </row>
  </sheetData>
  <pageMargins left="0.75" right="0.75" top="1" bottom="1" header="0.5" footer="0.5"/>
  <legacyDrawing r:id="rId1"/>
  <tableParts count="1">
    <tablePart r:id="rId2"/>
  </tableParts>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I3"/>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68.77734375" hidden="1" customWidth="1"/>
  </cols>
  <sheetData>
    <row r="1" spans="1:8" ht="18" x14ac:dyDescent="0.3">
      <c r="A1" s="56" t="s">
        <v>149</v>
      </c>
      <c r="B1" s="57" t="s">
        <v>8</v>
      </c>
      <c r="C1" s="57" t="s">
        <v>9</v>
      </c>
      <c r="D1" s="57" t="s">
        <v>150</v>
      </c>
      <c r="E1" s="57" t="s">
        <v>10</v>
      </c>
      <c r="F1" s="57" t="s">
        <v>11</v>
      </c>
      <c r="G1" s="57" t="s">
        <v>12</v>
      </c>
      <c r="H1" s="58" t="s">
        <v>13</v>
      </c>
    </row>
    <row r="2" spans="1:8" ht="19.8" customHeight="1" x14ac:dyDescent="0.3">
      <c r="A2" s="64" t="s">
        <v>151</v>
      </c>
      <c r="B2" s="65" t="s">
        <v>78</v>
      </c>
      <c r="C2" s="66" t="s">
        <v>798</v>
      </c>
      <c r="D2" s="65" t="s">
        <v>795</v>
      </c>
      <c r="E2" s="65" t="s">
        <v>804</v>
      </c>
      <c r="F2" s="65" t="s">
        <v>98</v>
      </c>
      <c r="G2" s="84">
        <v>9</v>
      </c>
      <c r="H2" s="67" t="s">
        <v>799</v>
      </c>
    </row>
    <row r="3" spans="1:8" ht="19.8" customHeight="1" x14ac:dyDescent="0.3">
      <c r="A3" s="82">
        <v>45983</v>
      </c>
      <c r="B3" s="65" t="s">
        <v>78</v>
      </c>
      <c r="C3" s="66" t="s">
        <v>798</v>
      </c>
      <c r="D3" s="65" t="s">
        <v>795</v>
      </c>
      <c r="E3" s="83">
        <v>1.71875</v>
      </c>
      <c r="F3" s="65" t="s">
        <v>98</v>
      </c>
      <c r="G3" s="84">
        <v>9</v>
      </c>
      <c r="H3" s="67" t="s">
        <v>802</v>
      </c>
    </row>
  </sheetData>
  <pageMargins left="0.75" right="0.75" top="1" bottom="1" header="0.5" footer="0.5"/>
  <legacyDrawing r:id="rId1"/>
  <tableParts count="1">
    <tablePart r:id="rId2"/>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CN8"/>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7.218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24.6640625" bestFit="1" customWidth="1"/>
  </cols>
  <sheetData>
    <row r="1" spans="1:92" ht="28.8" customHeight="1" x14ac:dyDescent="0.3">
      <c r="A1" s="261" t="s">
        <v>0</v>
      </c>
      <c r="B1" s="251"/>
      <c r="C1" s="251"/>
      <c r="D1" s="251"/>
      <c r="E1" s="251"/>
      <c r="F1" s="1" t="s">
        <v>812</v>
      </c>
      <c r="G1" s="2" t="s">
        <v>2</v>
      </c>
      <c r="H1" s="260">
        <v>45981</v>
      </c>
      <c r="I1" s="251"/>
      <c r="J1" s="251"/>
      <c r="K1" s="251"/>
      <c r="L1" s="251"/>
      <c r="M1" s="1" t="s">
        <v>3</v>
      </c>
      <c r="N1" s="266">
        <v>45983</v>
      </c>
      <c r="O1" s="251"/>
      <c r="P1" s="251"/>
      <c r="Q1" s="251"/>
      <c r="R1" s="251"/>
      <c r="CA1" s="3"/>
      <c r="CB1" s="3"/>
      <c r="CC1" s="3"/>
      <c r="CD1" s="3"/>
      <c r="CE1" s="3"/>
      <c r="CF1" s="3"/>
      <c r="CG1" s="3"/>
      <c r="CH1" s="3"/>
      <c r="CI1" s="3"/>
      <c r="CJ1" s="3"/>
      <c r="CK1" s="3"/>
      <c r="CL1" s="3"/>
      <c r="CM1" s="3"/>
      <c r="CN1" s="3"/>
    </row>
    <row r="2" spans="1:92" ht="23.4" customHeight="1" x14ac:dyDescent="0.3">
      <c r="A2" s="250" t="s">
        <v>4</v>
      </c>
      <c r="B2" s="251"/>
      <c r="C2" s="251"/>
      <c r="D2" s="251"/>
      <c r="E2" s="251"/>
      <c r="F2" s="251"/>
      <c r="G2" s="262">
        <v>45980.493109126743</v>
      </c>
      <c r="H2" s="251"/>
      <c r="I2" s="251"/>
      <c r="J2" s="251"/>
      <c r="K2" s="263">
        <v>45980.49310912699</v>
      </c>
      <c r="L2" s="251"/>
      <c r="M2" s="251"/>
      <c r="N2" s="251"/>
      <c r="O2" s="251"/>
      <c r="P2" s="251"/>
      <c r="Q2" s="251"/>
      <c r="R2" s="251"/>
      <c r="CA2" s="3"/>
      <c r="CB2" s="3"/>
      <c r="CC2" s="3"/>
      <c r="CD2" s="3"/>
      <c r="CE2" s="3"/>
      <c r="CF2" s="3"/>
      <c r="CG2" s="3"/>
      <c r="CH2" s="3"/>
      <c r="CI2" s="3"/>
      <c r="CJ2" s="3"/>
      <c r="CK2" s="3"/>
      <c r="CL2" s="3"/>
      <c r="CM2" s="3"/>
      <c r="CN2" s="3"/>
    </row>
    <row r="3" spans="1:92" ht="24" customHeight="1" x14ac:dyDescent="0.3">
      <c r="A3" s="252" t="s">
        <v>5</v>
      </c>
      <c r="B3" s="251"/>
      <c r="C3" s="251"/>
      <c r="D3" s="251"/>
      <c r="E3" s="251"/>
      <c r="F3" s="251"/>
      <c r="G3" s="251"/>
      <c r="H3" s="251"/>
      <c r="I3" s="251"/>
      <c r="J3" s="251"/>
      <c r="K3" s="251"/>
      <c r="L3" s="251"/>
      <c r="M3" s="251"/>
      <c r="N3" s="251"/>
      <c r="O3" s="251"/>
      <c r="P3" s="251"/>
      <c r="Q3" s="251"/>
      <c r="R3" s="251"/>
      <c r="CA3" s="3"/>
      <c r="CB3" s="3"/>
      <c r="CC3" s="3"/>
      <c r="CD3" s="3"/>
      <c r="CE3" s="3"/>
      <c r="CF3" s="3"/>
      <c r="CG3" s="3"/>
      <c r="CH3" s="3"/>
      <c r="CI3" s="3"/>
      <c r="CJ3" s="3"/>
      <c r="CK3" s="3"/>
      <c r="CL3" s="3"/>
      <c r="CM3" s="3"/>
      <c r="CN3" s="3"/>
    </row>
    <row r="4" spans="1:92" ht="22.05" customHeight="1" x14ac:dyDescent="0.3">
      <c r="A4" s="264" t="s">
        <v>6</v>
      </c>
      <c r="B4" s="254"/>
      <c r="C4" s="254"/>
      <c r="D4" s="254"/>
      <c r="E4" s="254"/>
      <c r="F4" s="255"/>
      <c r="G4" s="4">
        <v>45982</v>
      </c>
      <c r="H4" s="265" t="s">
        <v>7</v>
      </c>
      <c r="I4" s="254"/>
      <c r="J4" s="254"/>
      <c r="K4" s="254"/>
      <c r="L4" s="254"/>
      <c r="M4" s="254"/>
      <c r="N4" s="254"/>
      <c r="O4" s="254"/>
      <c r="P4" s="254"/>
      <c r="Q4" s="254"/>
      <c r="R4" s="25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thickTop="1" thickBot="1" x14ac:dyDescent="0.5">
      <c r="A6" s="177" t="s">
        <v>78</v>
      </c>
      <c r="B6" s="177" t="s">
        <v>813</v>
      </c>
      <c r="C6" s="178">
        <v>0.47916666666666669</v>
      </c>
      <c r="D6" s="177" t="s">
        <v>98</v>
      </c>
      <c r="E6" s="177" t="s">
        <v>92</v>
      </c>
      <c r="F6" s="177" t="s">
        <v>814</v>
      </c>
      <c r="G6" s="256"/>
      <c r="H6" s="214" t="s">
        <v>815</v>
      </c>
      <c r="I6" s="215">
        <v>0.51959999999999995</v>
      </c>
      <c r="J6" s="216">
        <v>93</v>
      </c>
      <c r="K6" s="217">
        <v>45980</v>
      </c>
      <c r="L6" s="216">
        <v>57</v>
      </c>
      <c r="M6" s="216">
        <v>1</v>
      </c>
      <c r="N6" s="216">
        <v>7</v>
      </c>
      <c r="O6" s="218" t="s">
        <v>485</v>
      </c>
      <c r="P6" s="219">
        <v>0.47916666666666669</v>
      </c>
      <c r="Q6" s="216">
        <v>179</v>
      </c>
      <c r="R6" s="220" t="s">
        <v>816</v>
      </c>
    </row>
    <row r="7" spans="1:92" ht="17.399999999999999" customHeight="1" thickBot="1" x14ac:dyDescent="0.35">
      <c r="A7" s="285"/>
      <c r="B7" s="286"/>
      <c r="C7" s="286"/>
      <c r="D7" s="286"/>
      <c r="E7" s="286"/>
      <c r="F7" s="286"/>
      <c r="G7" s="286"/>
      <c r="H7" s="286"/>
      <c r="I7" s="286"/>
      <c r="J7" s="286"/>
      <c r="K7" s="286"/>
      <c r="L7" s="286"/>
      <c r="M7" s="286"/>
      <c r="N7" s="286"/>
      <c r="O7" s="286"/>
      <c r="P7" s="286"/>
      <c r="Q7" s="286"/>
      <c r="R7" s="287"/>
    </row>
    <row r="8" spans="1:92" ht="15" thickTop="1" x14ac:dyDescent="0.3"/>
  </sheetData>
  <mergeCells count="11">
    <mergeCell ref="A2:F2"/>
    <mergeCell ref="A3:R3"/>
    <mergeCell ref="A7:R7"/>
    <mergeCell ref="H1:L1"/>
    <mergeCell ref="A1:E1"/>
    <mergeCell ref="G2:J2"/>
    <mergeCell ref="K2:R2"/>
    <mergeCell ref="A4:F4"/>
    <mergeCell ref="H4:R4"/>
    <mergeCell ref="G6"/>
    <mergeCell ref="N1:R1"/>
  </mergeCell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J3"/>
  <sheetViews>
    <sheetView workbookViewId="0"/>
  </sheetViews>
  <sheetFormatPr defaultRowHeight="15.6" outlineLevelCol="1" x14ac:dyDescent="0.3"/>
  <cols>
    <col min="1" max="1" width="6.88671875" style="272" bestFit="1" customWidth="1"/>
    <col min="2" max="2" width="10.44140625" style="272" bestFit="1" customWidth="1"/>
    <col min="3" max="3" width="6.77734375" style="272" bestFit="1" customWidth="1"/>
    <col min="4" max="4" width="5.5546875" style="272" bestFit="1" customWidth="1"/>
    <col min="5" max="5" width="7.5546875" style="272" bestFit="1" customWidth="1"/>
    <col min="6" max="6" width="4.21875" style="272" bestFit="1" customWidth="1"/>
    <col min="7" max="7" width="10" style="272" bestFit="1" customWidth="1"/>
    <col min="8" max="10" width="7" style="272" bestFit="1" customWidth="1"/>
    <col min="11" max="11" width="10.5546875" style="272" bestFit="1" customWidth="1"/>
    <col min="12" max="12" width="9.10937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29" width="3.88671875" style="272" bestFit="1" customWidth="1"/>
    <col min="30" max="31" width="4.5546875" style="272" bestFit="1" customWidth="1"/>
    <col min="32" max="36" width="3.88671875" style="272" bestFit="1" customWidth="1"/>
    <col min="37" max="16384" width="8.88671875" style="272"/>
  </cols>
  <sheetData>
    <row r="1" spans="1:36" x14ac:dyDescent="0.3">
      <c r="A1" s="271" t="s">
        <v>103</v>
      </c>
      <c r="B1" s="271" t="s">
        <v>104</v>
      </c>
      <c r="C1" s="271" t="s">
        <v>105</v>
      </c>
      <c r="D1" s="271" t="s">
        <v>23</v>
      </c>
      <c r="E1" s="271" t="s">
        <v>106</v>
      </c>
      <c r="F1" s="271" t="s">
        <v>107</v>
      </c>
      <c r="G1" s="271" t="s">
        <v>16</v>
      </c>
      <c r="H1" s="271" t="s">
        <v>108</v>
      </c>
      <c r="I1" s="271" t="s">
        <v>109</v>
      </c>
      <c r="J1" s="271" t="s">
        <v>110</v>
      </c>
      <c r="K1" s="271" t="s">
        <v>111</v>
      </c>
      <c r="L1" s="271" t="s">
        <v>18</v>
      </c>
      <c r="M1" s="271" t="s">
        <v>20</v>
      </c>
      <c r="N1" s="271" t="s">
        <v>21</v>
      </c>
      <c r="O1" s="271" t="s">
        <v>19</v>
      </c>
      <c r="P1" s="271" t="s">
        <v>22</v>
      </c>
      <c r="Q1" s="271" t="s">
        <v>112</v>
      </c>
      <c r="R1" s="271" t="s">
        <v>113</v>
      </c>
      <c r="S1" s="271" t="s">
        <v>114</v>
      </c>
      <c r="T1" s="271" t="s">
        <v>115</v>
      </c>
      <c r="U1" s="271" t="s">
        <v>116</v>
      </c>
      <c r="V1" s="271" t="s">
        <v>117</v>
      </c>
      <c r="W1" s="271" t="s">
        <v>118</v>
      </c>
      <c r="X1" s="271" t="s">
        <v>119</v>
      </c>
      <c r="Y1" s="271" t="s">
        <v>120</v>
      </c>
      <c r="Z1" s="271" t="s">
        <v>121</v>
      </c>
      <c r="AA1" s="271" t="s">
        <v>122</v>
      </c>
      <c r="AB1" s="271" t="s">
        <v>123</v>
      </c>
      <c r="AC1" s="271" t="s">
        <v>124</v>
      </c>
      <c r="AD1" s="271" t="s">
        <v>125</v>
      </c>
      <c r="AE1" s="271" t="s">
        <v>126</v>
      </c>
      <c r="AF1" s="271" t="s">
        <v>127</v>
      </c>
      <c r="AG1" s="271" t="s">
        <v>128</v>
      </c>
      <c r="AH1" s="271" t="s">
        <v>129</v>
      </c>
      <c r="AI1" s="271" t="s">
        <v>130</v>
      </c>
      <c r="AJ1" s="271" t="s">
        <v>131</v>
      </c>
    </row>
    <row r="2" spans="1:36" x14ac:dyDescent="0.3">
      <c r="A2" s="273" t="s">
        <v>377</v>
      </c>
      <c r="B2" s="274">
        <v>45982</v>
      </c>
      <c r="C2" s="275" t="s">
        <v>815</v>
      </c>
      <c r="D2" s="276" t="s">
        <v>173</v>
      </c>
      <c r="E2" s="275" t="s">
        <v>812</v>
      </c>
      <c r="F2" s="275" t="s">
        <v>134</v>
      </c>
      <c r="G2" s="277">
        <v>0.51959999999999995</v>
      </c>
      <c r="H2" s="278">
        <v>179</v>
      </c>
      <c r="I2" s="278">
        <v>93</v>
      </c>
      <c r="J2" s="278">
        <v>0</v>
      </c>
      <c r="K2" s="275" t="s">
        <v>135</v>
      </c>
      <c r="L2" s="279">
        <v>45980</v>
      </c>
      <c r="M2" s="278">
        <v>1</v>
      </c>
      <c r="N2" s="278">
        <v>7</v>
      </c>
      <c r="O2" s="278">
        <v>57</v>
      </c>
      <c r="P2" s="275" t="s">
        <v>485</v>
      </c>
      <c r="Q2" s="271"/>
      <c r="R2" s="271"/>
      <c r="S2" s="271"/>
      <c r="T2" s="271"/>
      <c r="U2" s="271"/>
      <c r="V2" s="271"/>
      <c r="W2" s="271"/>
      <c r="X2" s="271"/>
      <c r="Y2" s="271"/>
      <c r="Z2" s="271"/>
      <c r="AA2" s="271"/>
      <c r="AB2" s="271"/>
      <c r="AC2" s="278" t="s">
        <v>519</v>
      </c>
      <c r="AD2" s="278" t="s">
        <v>139</v>
      </c>
      <c r="AE2" s="278" t="s">
        <v>817</v>
      </c>
      <c r="AF2" s="278" t="s">
        <v>374</v>
      </c>
      <c r="AG2" s="271"/>
      <c r="AH2" s="271"/>
      <c r="AI2" s="271"/>
      <c r="AJ2" s="271"/>
    </row>
    <row r="3" spans="1:36" ht="21" x14ac:dyDescent="0.3">
      <c r="A3" s="280" t="s">
        <v>932</v>
      </c>
      <c r="B3" s="281"/>
      <c r="C3" s="280">
        <f>SUBTOTAL(103,ATZ_AJF_LF_LEGACY[Flt])</f>
        <v>1</v>
      </c>
      <c r="D3" s="280"/>
      <c r="E3" s="280">
        <f>SUBTOTAL(103,ATZ_AJF_LF_LEGACY[Brd-Off])</f>
        <v>1</v>
      </c>
      <c r="F3" s="280"/>
      <c r="G3" s="282">
        <f>SUBTOTAL(101,ATZ_AJF_LF_LEGACY[LF%])</f>
        <v>0.51959999999999995</v>
      </c>
      <c r="H3" s="283">
        <f>SUBTOTAL(109,ATZ_AJF_LF_LEGACY[CAP])</f>
        <v>179</v>
      </c>
      <c r="I3" s="283">
        <f>SUBTOTAL(109,ATZ_AJF_LF_LEGACY[BKG(Y)])</f>
        <v>93</v>
      </c>
      <c r="J3" s="283">
        <f>SUBTOTAL(109,ATZ_AJF_LF_LEGACY[GRP(Y)])</f>
        <v>0</v>
      </c>
      <c r="K3" s="280"/>
      <c r="L3" s="281"/>
      <c r="M3" s="283">
        <f>SUBTOTAL(109,ATZ_AJF_LF_LEGACY[TO-DAY])</f>
        <v>1</v>
      </c>
      <c r="N3" s="283">
        <f>SUBTOTAL(109,ATZ_AJF_LF_LEGACY[Y-DAY])</f>
        <v>7</v>
      </c>
      <c r="O3" s="283">
        <f>SUBTOTAL(109,ATZ_AJF_LF_LEGACY[WEEKLY])</f>
        <v>57</v>
      </c>
      <c r="P3" s="284"/>
      <c r="Q3" s="283">
        <f>SUBTOTAL(109,ATZ_AJF_LF_LEGACY[Y])</f>
        <v>0</v>
      </c>
      <c r="R3" s="283">
        <f>SUBTOTAL(109,ATZ_AJF_LF_LEGACY[B])</f>
        <v>0</v>
      </c>
      <c r="S3" s="283">
        <f>SUBTOTAL(109,ATZ_AJF_LF_LEGACY[M])</f>
        <v>0</v>
      </c>
      <c r="T3" s="283">
        <f>SUBTOTAL(109,ATZ_AJF_LF_LEGACY[H])</f>
        <v>0</v>
      </c>
      <c r="U3" s="283">
        <f>SUBTOTAL(109,ATZ_AJF_LF_LEGACY[Q])</f>
        <v>0</v>
      </c>
      <c r="V3" s="283">
        <f>SUBTOTAL(109,ATZ_AJF_LF_LEGACY[K])</f>
        <v>0</v>
      </c>
      <c r="W3" s="283">
        <f>SUBTOTAL(109,ATZ_AJF_LF_LEGACY[V])</f>
        <v>0</v>
      </c>
      <c r="X3" s="283">
        <f>SUBTOTAL(109,ATZ_AJF_LF_LEGACY[L])</f>
        <v>0</v>
      </c>
      <c r="Y3" s="283">
        <f>SUBTOTAL(109,ATZ_AJF_LF_LEGACY[G])</f>
        <v>0</v>
      </c>
      <c r="Z3" s="283">
        <f>SUBTOTAL(109,ATZ_AJF_LF_LEGACY[S])</f>
        <v>0</v>
      </c>
      <c r="AA3" s="283">
        <f>SUBTOTAL(109,ATZ_AJF_LF_LEGACY[W])</f>
        <v>0</v>
      </c>
      <c r="AB3" s="283">
        <f>SUBTOTAL(109,ATZ_AJF_LF_LEGACY[T])</f>
        <v>0</v>
      </c>
      <c r="AC3" s="283">
        <f>SUBTOTAL(109,ATZ_AJF_LF_LEGACY[X])</f>
        <v>0</v>
      </c>
      <c r="AD3" s="283">
        <f>SUBTOTAL(109,ATZ_AJF_LF_LEGACY[U])</f>
        <v>0</v>
      </c>
      <c r="AE3" s="283">
        <f>SUBTOTAL(109,ATZ_AJF_LF_LEGACY[O])</f>
        <v>0</v>
      </c>
      <c r="AF3" s="283">
        <f>SUBTOTAL(109,ATZ_AJF_LF_LEGACY[I])</f>
        <v>0</v>
      </c>
      <c r="AG3" s="283">
        <f>SUBTOTAL(109,ATZ_AJF_LF_LEGACY[E])</f>
        <v>0</v>
      </c>
      <c r="AH3" s="283">
        <f>SUBTOTAL(109,ATZ_AJF_LF_LEGACY[A])</f>
        <v>0</v>
      </c>
      <c r="AI3" s="283">
        <f>SUBTOTAL(109,ATZ_AJF_LF_LEGACY[P])</f>
        <v>0</v>
      </c>
      <c r="AJ3" s="283">
        <f>SUBTOTAL(103,ATZ_AJF_LF_LEGACY[N])</f>
        <v>0</v>
      </c>
    </row>
  </sheetData>
  <pageMargins left="0.75" right="0.75" top="1" bottom="1" header="0.5" footer="0.5"/>
  <tableParts count="1">
    <tablePart r:id="rId1"/>
  </tableParts>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I7"/>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1.88671875" bestFit="1" customWidth="1"/>
    <col min="7" max="7" width="20" bestFit="1" customWidth="1"/>
    <col min="8" max="8" width="23.6640625" bestFit="1" customWidth="1"/>
    <col min="9" max="9" width="164.88671875" hidden="1" customWidth="1"/>
  </cols>
  <sheetData>
    <row r="1" spans="1:8" ht="18" x14ac:dyDescent="0.3">
      <c r="A1" s="56" t="s">
        <v>149</v>
      </c>
      <c r="B1" s="57" t="s">
        <v>8</v>
      </c>
      <c r="C1" s="57" t="s">
        <v>9</v>
      </c>
      <c r="D1" s="57" t="s">
        <v>150</v>
      </c>
      <c r="E1" s="57" t="s">
        <v>10</v>
      </c>
      <c r="F1" s="57" t="s">
        <v>11</v>
      </c>
      <c r="G1" s="57" t="s">
        <v>12</v>
      </c>
      <c r="H1" s="58" t="s">
        <v>13</v>
      </c>
    </row>
    <row r="2" spans="1:8" ht="19.8" customHeight="1" x14ac:dyDescent="0.3">
      <c r="A2" s="100"/>
      <c r="B2" s="101"/>
      <c r="C2" s="101"/>
      <c r="D2" s="101"/>
      <c r="E2" s="101"/>
      <c r="F2" s="102" t="s">
        <v>818</v>
      </c>
      <c r="G2" s="101"/>
      <c r="H2" s="103"/>
    </row>
    <row r="3" spans="1:8" ht="19.8" customHeight="1" x14ac:dyDescent="0.3">
      <c r="A3" s="59" t="s">
        <v>151</v>
      </c>
      <c r="B3" s="60" t="s">
        <v>235</v>
      </c>
      <c r="C3" s="61" t="s">
        <v>796</v>
      </c>
      <c r="D3" s="60" t="s">
        <v>795</v>
      </c>
      <c r="E3" s="60" t="s">
        <v>811</v>
      </c>
      <c r="F3" s="60" t="s">
        <v>98</v>
      </c>
      <c r="G3" s="62">
        <v>7</v>
      </c>
      <c r="H3" s="63" t="s">
        <v>797</v>
      </c>
    </row>
    <row r="4" spans="1:8" ht="19.8" customHeight="1" x14ac:dyDescent="0.3">
      <c r="A4" s="113" t="s">
        <v>151</v>
      </c>
      <c r="B4" s="71" t="s">
        <v>78</v>
      </c>
      <c r="C4" s="72" t="s">
        <v>798</v>
      </c>
      <c r="D4" s="71" t="s">
        <v>795</v>
      </c>
      <c r="E4" s="71" t="s">
        <v>804</v>
      </c>
      <c r="F4" s="71" t="s">
        <v>98</v>
      </c>
      <c r="G4" s="74">
        <v>9</v>
      </c>
      <c r="H4" s="75" t="s">
        <v>799</v>
      </c>
    </row>
    <row r="5" spans="1:8" ht="19.8" customHeight="1" x14ac:dyDescent="0.3">
      <c r="A5" s="64" t="s">
        <v>201</v>
      </c>
      <c r="B5" s="65" t="s">
        <v>78</v>
      </c>
      <c r="C5" s="66" t="s">
        <v>813</v>
      </c>
      <c r="D5" s="65" t="s">
        <v>812</v>
      </c>
      <c r="E5" s="65" t="s">
        <v>173</v>
      </c>
      <c r="F5" s="65" t="s">
        <v>98</v>
      </c>
      <c r="G5" s="84">
        <v>3</v>
      </c>
      <c r="H5" s="67" t="s">
        <v>814</v>
      </c>
    </row>
    <row r="6" spans="1:8" ht="19.8" customHeight="1" x14ac:dyDescent="0.3">
      <c r="A6" s="100"/>
      <c r="B6" s="101"/>
      <c r="C6" s="101"/>
      <c r="D6" s="101"/>
      <c r="E6" s="101"/>
      <c r="F6" s="102" t="s">
        <v>818</v>
      </c>
      <c r="G6" s="101"/>
      <c r="H6" s="103"/>
    </row>
    <row r="7" spans="1:8" ht="19.8" customHeight="1" x14ac:dyDescent="0.3">
      <c r="A7" s="70">
        <v>45983</v>
      </c>
      <c r="B7" s="71" t="s">
        <v>78</v>
      </c>
      <c r="C7" s="72" t="s">
        <v>798</v>
      </c>
      <c r="D7" s="71" t="s">
        <v>795</v>
      </c>
      <c r="E7" s="73">
        <v>1.71875</v>
      </c>
      <c r="F7" s="71" t="s">
        <v>98</v>
      </c>
      <c r="G7" s="74">
        <v>9</v>
      </c>
      <c r="H7" s="75" t="s">
        <v>802</v>
      </c>
    </row>
  </sheetData>
  <pageMargins left="0.75" right="0.75" top="1" bottom="1" header="0.5" footer="0.5"/>
  <legacyDrawing r:id="rId1"/>
  <tableParts count="1">
    <tablePart r:id="rId2"/>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CN15"/>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8.5546875" bestFit="1" customWidth="1"/>
    <col min="6" max="6" width="23.44140625" bestFit="1" customWidth="1"/>
    <col min="7" max="7" width="49.1093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2.88671875" bestFit="1" customWidth="1"/>
  </cols>
  <sheetData>
    <row r="1" spans="1:92" ht="28.8" customHeight="1" x14ac:dyDescent="0.3">
      <c r="A1" s="261" t="s">
        <v>0</v>
      </c>
      <c r="B1" s="251"/>
      <c r="C1" s="251"/>
      <c r="D1" s="251"/>
      <c r="E1" s="251"/>
      <c r="F1" s="1" t="s">
        <v>819</v>
      </c>
      <c r="G1" s="2" t="s">
        <v>2</v>
      </c>
      <c r="H1" s="260">
        <v>45981</v>
      </c>
      <c r="I1" s="251"/>
      <c r="J1" s="251"/>
      <c r="K1" s="251"/>
      <c r="L1" s="251"/>
      <c r="M1" s="1" t="s">
        <v>3</v>
      </c>
      <c r="N1" s="266">
        <v>45983</v>
      </c>
      <c r="O1" s="251"/>
      <c r="P1" s="251"/>
      <c r="Q1" s="251"/>
      <c r="R1" s="251"/>
      <c r="CA1" s="3"/>
      <c r="CB1" s="3"/>
      <c r="CC1" s="3"/>
      <c r="CD1" s="3"/>
      <c r="CE1" s="3"/>
      <c r="CF1" s="3"/>
      <c r="CG1" s="3"/>
      <c r="CH1" s="3"/>
      <c r="CI1" s="3"/>
      <c r="CJ1" s="3"/>
      <c r="CK1" s="3"/>
      <c r="CL1" s="3"/>
      <c r="CM1" s="3"/>
      <c r="CN1" s="3"/>
    </row>
    <row r="2" spans="1:92" ht="23.4" customHeight="1" x14ac:dyDescent="0.3">
      <c r="A2" s="250" t="s">
        <v>4</v>
      </c>
      <c r="B2" s="251"/>
      <c r="C2" s="251"/>
      <c r="D2" s="251"/>
      <c r="E2" s="251"/>
      <c r="F2" s="251"/>
      <c r="G2" s="262">
        <v>45980.493110389827</v>
      </c>
      <c r="H2" s="251"/>
      <c r="I2" s="251"/>
      <c r="J2" s="251"/>
      <c r="K2" s="263">
        <v>45980.493110390104</v>
      </c>
      <c r="L2" s="251"/>
      <c r="M2" s="251"/>
      <c r="N2" s="251"/>
      <c r="O2" s="251"/>
      <c r="P2" s="251"/>
      <c r="Q2" s="251"/>
      <c r="R2" s="251"/>
      <c r="CA2" s="3"/>
      <c r="CB2" s="3"/>
      <c r="CC2" s="3"/>
      <c r="CD2" s="3"/>
      <c r="CE2" s="3"/>
      <c r="CF2" s="3"/>
      <c r="CG2" s="3"/>
      <c r="CH2" s="3"/>
      <c r="CI2" s="3"/>
      <c r="CJ2" s="3"/>
      <c r="CK2" s="3"/>
      <c r="CL2" s="3"/>
      <c r="CM2" s="3"/>
      <c r="CN2" s="3"/>
    </row>
    <row r="3" spans="1:92" ht="24" customHeight="1" x14ac:dyDescent="0.3">
      <c r="A3" s="252" t="s">
        <v>5</v>
      </c>
      <c r="B3" s="251"/>
      <c r="C3" s="251"/>
      <c r="D3" s="251"/>
      <c r="E3" s="251"/>
      <c r="F3" s="251"/>
      <c r="G3" s="251"/>
      <c r="H3" s="251"/>
      <c r="I3" s="251"/>
      <c r="J3" s="251"/>
      <c r="K3" s="251"/>
      <c r="L3" s="251"/>
      <c r="M3" s="251"/>
      <c r="N3" s="251"/>
      <c r="O3" s="251"/>
      <c r="P3" s="251"/>
      <c r="Q3" s="251"/>
      <c r="R3" s="251"/>
      <c r="CA3" s="3"/>
      <c r="CB3" s="3"/>
      <c r="CC3" s="3"/>
      <c r="CD3" s="3"/>
      <c r="CE3" s="3"/>
      <c r="CF3" s="3"/>
      <c r="CG3" s="3"/>
      <c r="CH3" s="3"/>
      <c r="CI3" s="3"/>
      <c r="CJ3" s="3"/>
      <c r="CK3" s="3"/>
      <c r="CL3" s="3"/>
      <c r="CM3" s="3"/>
      <c r="CN3" s="3"/>
    </row>
    <row r="4" spans="1:92" ht="22.05" customHeight="1" x14ac:dyDescent="0.3">
      <c r="A4" s="264" t="s">
        <v>6</v>
      </c>
      <c r="B4" s="254"/>
      <c r="C4" s="254"/>
      <c r="D4" s="254"/>
      <c r="E4" s="254"/>
      <c r="F4" s="255"/>
      <c r="G4" s="4">
        <v>45981</v>
      </c>
      <c r="H4" s="265" t="s">
        <v>7</v>
      </c>
      <c r="I4" s="254"/>
      <c r="J4" s="254"/>
      <c r="K4" s="254"/>
      <c r="L4" s="254"/>
      <c r="M4" s="254"/>
      <c r="N4" s="254"/>
      <c r="O4" s="254"/>
      <c r="P4" s="254"/>
      <c r="Q4" s="254"/>
      <c r="R4" s="25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165" t="s">
        <v>78</v>
      </c>
      <c r="B6" s="165" t="s">
        <v>820</v>
      </c>
      <c r="C6" s="166">
        <v>0.4375</v>
      </c>
      <c r="D6" s="165" t="s">
        <v>98</v>
      </c>
      <c r="E6" s="165" t="s">
        <v>450</v>
      </c>
      <c r="F6" s="165" t="s">
        <v>821</v>
      </c>
      <c r="G6" s="256"/>
      <c r="H6" s="139" t="s">
        <v>822</v>
      </c>
      <c r="I6" s="140">
        <v>0.89939999999999998</v>
      </c>
      <c r="J6" s="141">
        <v>161</v>
      </c>
      <c r="K6" s="142">
        <v>45979</v>
      </c>
      <c r="L6" s="141">
        <v>31</v>
      </c>
      <c r="M6" s="141">
        <v>0</v>
      </c>
      <c r="N6" s="141">
        <v>11</v>
      </c>
      <c r="O6" s="143" t="s">
        <v>407</v>
      </c>
      <c r="P6" s="144">
        <v>0.4375</v>
      </c>
      <c r="Q6" s="141">
        <v>179</v>
      </c>
      <c r="R6" s="145" t="s">
        <v>823</v>
      </c>
    </row>
    <row r="7" spans="1:92" ht="49.95" customHeight="1" thickBot="1" x14ac:dyDescent="0.35">
      <c r="A7" s="206" t="s">
        <v>235</v>
      </c>
      <c r="B7" s="206" t="s">
        <v>824</v>
      </c>
      <c r="C7" s="207">
        <v>2.0833333333333329E-2</v>
      </c>
      <c r="D7" s="206" t="s">
        <v>98</v>
      </c>
      <c r="E7" s="206" t="s">
        <v>92</v>
      </c>
      <c r="F7" s="206" t="s">
        <v>825</v>
      </c>
      <c r="G7" s="258"/>
      <c r="H7" s="41"/>
      <c r="I7" s="42"/>
      <c r="J7" s="42"/>
      <c r="K7" s="42"/>
      <c r="L7" s="42"/>
      <c r="M7" s="42"/>
      <c r="N7" s="42"/>
      <c r="O7" s="43"/>
      <c r="P7" s="42"/>
      <c r="Q7" s="44"/>
      <c r="R7" s="45"/>
    </row>
    <row r="8" spans="1:92" ht="17.399999999999999" customHeight="1" thickBot="1" x14ac:dyDescent="0.35">
      <c r="A8" s="285"/>
      <c r="B8" s="286"/>
      <c r="C8" s="286"/>
      <c r="D8" s="286"/>
      <c r="E8" s="286"/>
      <c r="F8" s="286"/>
      <c r="G8" s="286"/>
      <c r="H8" s="286"/>
      <c r="I8" s="286"/>
      <c r="J8" s="286"/>
      <c r="K8" s="286"/>
      <c r="L8" s="286"/>
      <c r="M8" s="286"/>
      <c r="N8" s="286"/>
      <c r="O8" s="286"/>
      <c r="P8" s="286"/>
      <c r="Q8" s="286"/>
      <c r="R8" s="287"/>
    </row>
    <row r="9" spans="1:92" ht="22.05" customHeight="1" thickTop="1" thickBot="1" x14ac:dyDescent="0.35">
      <c r="A9" s="259" t="s">
        <v>6</v>
      </c>
      <c r="B9" s="254"/>
      <c r="C9" s="254"/>
      <c r="D9" s="254"/>
      <c r="E9" s="254"/>
      <c r="F9" s="255"/>
      <c r="G9" s="31">
        <v>45982</v>
      </c>
      <c r="H9" s="253" t="s">
        <v>7</v>
      </c>
      <c r="I9" s="254"/>
      <c r="J9" s="254"/>
      <c r="K9" s="254"/>
      <c r="L9" s="254"/>
      <c r="M9" s="254"/>
      <c r="N9" s="254"/>
      <c r="O9" s="254"/>
      <c r="P9" s="254"/>
      <c r="Q9" s="254"/>
      <c r="R9" s="255"/>
    </row>
    <row r="10" spans="1:92" ht="24" customHeight="1" x14ac:dyDescent="0.3">
      <c r="A10" s="32" t="s">
        <v>8</v>
      </c>
      <c r="B10" s="32" t="s">
        <v>9</v>
      </c>
      <c r="C10" s="33" t="s">
        <v>10</v>
      </c>
      <c r="D10" s="32" t="s">
        <v>11</v>
      </c>
      <c r="E10" s="32" t="s">
        <v>12</v>
      </c>
      <c r="F10" s="34" t="s">
        <v>13</v>
      </c>
      <c r="G10" s="35" t="s">
        <v>14</v>
      </c>
      <c r="H10" s="32" t="s">
        <v>15</v>
      </c>
      <c r="I10" s="36" t="s">
        <v>16</v>
      </c>
      <c r="J10" s="37" t="s">
        <v>17</v>
      </c>
      <c r="K10" s="38" t="s">
        <v>18</v>
      </c>
      <c r="L10" s="37" t="s">
        <v>19</v>
      </c>
      <c r="M10" s="37" t="s">
        <v>20</v>
      </c>
      <c r="N10" s="37" t="s">
        <v>21</v>
      </c>
      <c r="O10" s="32" t="s">
        <v>22</v>
      </c>
      <c r="P10" s="33" t="s">
        <v>23</v>
      </c>
      <c r="Q10" s="37" t="s">
        <v>24</v>
      </c>
      <c r="R10" s="32" t="s">
        <v>25</v>
      </c>
    </row>
    <row r="11" spans="1:92" ht="49.95" customHeight="1" thickTop="1" thickBot="1" x14ac:dyDescent="0.5">
      <c r="A11" s="208" t="s">
        <v>78</v>
      </c>
      <c r="B11" s="208" t="s">
        <v>820</v>
      </c>
      <c r="C11" s="209">
        <v>0.16666666666666671</v>
      </c>
      <c r="D11" s="208" t="s">
        <v>98</v>
      </c>
      <c r="E11" s="208" t="s">
        <v>54</v>
      </c>
      <c r="F11" s="208" t="s">
        <v>826</v>
      </c>
      <c r="G11" s="256"/>
      <c r="H11" s="221" t="s">
        <v>822</v>
      </c>
      <c r="I11" s="222">
        <v>0.81010000000000004</v>
      </c>
      <c r="J11" s="223">
        <v>145</v>
      </c>
      <c r="K11" s="224">
        <v>45980</v>
      </c>
      <c r="L11" s="223">
        <v>47</v>
      </c>
      <c r="M11" s="223">
        <v>1</v>
      </c>
      <c r="N11" s="223">
        <v>4</v>
      </c>
      <c r="O11" s="225" t="s">
        <v>254</v>
      </c>
      <c r="P11" s="226">
        <v>0.16666666666666671</v>
      </c>
      <c r="Q11" s="223">
        <v>179</v>
      </c>
      <c r="R11" s="227" t="s">
        <v>827</v>
      </c>
    </row>
    <row r="12" spans="1:92" ht="17.399999999999999" customHeight="1" thickBot="1" x14ac:dyDescent="0.35">
      <c r="A12" s="285"/>
      <c r="B12" s="286"/>
      <c r="C12" s="286"/>
      <c r="D12" s="286"/>
      <c r="E12" s="286"/>
      <c r="F12" s="286"/>
      <c r="G12" s="286"/>
      <c r="H12" s="286"/>
      <c r="I12" s="286"/>
      <c r="J12" s="286"/>
      <c r="K12" s="286"/>
      <c r="L12" s="286"/>
      <c r="M12" s="286"/>
      <c r="N12" s="286"/>
      <c r="O12" s="286"/>
      <c r="P12" s="286"/>
      <c r="Q12" s="286"/>
      <c r="R12" s="287"/>
    </row>
    <row r="13" spans="1:92" ht="22.05" customHeight="1" thickTop="1" thickBot="1" x14ac:dyDescent="0.35">
      <c r="A13" s="259" t="s">
        <v>6</v>
      </c>
      <c r="B13" s="254"/>
      <c r="C13" s="254"/>
      <c r="D13" s="254"/>
      <c r="E13" s="254"/>
      <c r="F13" s="255"/>
      <c r="G13" s="31">
        <v>45983</v>
      </c>
      <c r="H13" s="253" t="s">
        <v>7</v>
      </c>
      <c r="I13" s="254"/>
      <c r="J13" s="254"/>
      <c r="K13" s="254"/>
      <c r="L13" s="254"/>
      <c r="M13" s="254"/>
      <c r="N13" s="254"/>
      <c r="O13" s="254"/>
      <c r="P13" s="254"/>
      <c r="Q13" s="254"/>
      <c r="R13" s="255"/>
    </row>
    <row r="14" spans="1:92" ht="24" customHeight="1" x14ac:dyDescent="0.3">
      <c r="A14" s="32" t="s">
        <v>8</v>
      </c>
      <c r="B14" s="32" t="s">
        <v>9</v>
      </c>
      <c r="C14" s="33" t="s">
        <v>10</v>
      </c>
      <c r="D14" s="32" t="s">
        <v>11</v>
      </c>
      <c r="E14" s="32" t="s">
        <v>12</v>
      </c>
      <c r="F14" s="34" t="s">
        <v>13</v>
      </c>
      <c r="G14" s="35" t="s">
        <v>14</v>
      </c>
      <c r="H14" s="32" t="s">
        <v>15</v>
      </c>
      <c r="I14" s="36" t="s">
        <v>16</v>
      </c>
      <c r="J14" s="37" t="s">
        <v>17</v>
      </c>
      <c r="K14" s="38" t="s">
        <v>18</v>
      </c>
      <c r="L14" s="37" t="s">
        <v>19</v>
      </c>
      <c r="M14" s="37" t="s">
        <v>20</v>
      </c>
      <c r="N14" s="37" t="s">
        <v>21</v>
      </c>
      <c r="O14" s="32" t="s">
        <v>22</v>
      </c>
      <c r="P14" s="33" t="s">
        <v>23</v>
      </c>
      <c r="Q14" s="37" t="s">
        <v>24</v>
      </c>
      <c r="R14" s="32" t="s">
        <v>25</v>
      </c>
    </row>
    <row r="15" spans="1:92" ht="49.95" customHeight="1" x14ac:dyDescent="0.45">
      <c r="A15" s="203" t="s">
        <v>78</v>
      </c>
      <c r="B15" s="203" t="s">
        <v>822</v>
      </c>
      <c r="C15" s="204">
        <v>0.125</v>
      </c>
      <c r="D15" s="203" t="s">
        <v>80</v>
      </c>
      <c r="E15" s="210"/>
      <c r="F15" s="203" t="s">
        <v>81</v>
      </c>
      <c r="G15" s="256"/>
      <c r="H15" s="228" t="s">
        <v>822</v>
      </c>
      <c r="I15" s="229">
        <v>1</v>
      </c>
      <c r="J15" s="230">
        <v>179</v>
      </c>
      <c r="K15" s="231">
        <v>45978</v>
      </c>
      <c r="L15" s="230">
        <v>10</v>
      </c>
      <c r="M15" s="230">
        <v>0</v>
      </c>
      <c r="N15" s="230">
        <v>0</v>
      </c>
      <c r="O15" s="232" t="s">
        <v>82</v>
      </c>
      <c r="P15" s="233">
        <v>0.125</v>
      </c>
      <c r="Q15" s="230">
        <v>179</v>
      </c>
      <c r="R15" s="234" t="s">
        <v>828</v>
      </c>
    </row>
  </sheetData>
  <mergeCells count="18">
    <mergeCell ref="G15"/>
    <mergeCell ref="A8:R8"/>
    <mergeCell ref="H4:R4"/>
    <mergeCell ref="A12:R12"/>
    <mergeCell ref="N1:R1"/>
    <mergeCell ref="H1:L1"/>
    <mergeCell ref="A1:E1"/>
    <mergeCell ref="G2:J2"/>
    <mergeCell ref="K2:R2"/>
    <mergeCell ref="A4:F4"/>
    <mergeCell ref="A2:F2"/>
    <mergeCell ref="A3:R3"/>
    <mergeCell ref="H9:R9"/>
    <mergeCell ref="A13:F13"/>
    <mergeCell ref="H13:R13"/>
    <mergeCell ref="A9:F9"/>
    <mergeCell ref="G6:G7"/>
    <mergeCell ref="G11"/>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J5"/>
  <sheetViews>
    <sheetView workbookViewId="0"/>
  </sheetViews>
  <sheetFormatPr defaultRowHeight="15.6" outlineLevelCol="1" x14ac:dyDescent="0.3"/>
  <cols>
    <col min="1" max="1" width="9.88671875" style="272" bestFit="1" customWidth="1"/>
    <col min="2" max="2" width="10.44140625" style="272" bestFit="1" customWidth="1"/>
    <col min="3" max="3" width="6.77734375" style="272" bestFit="1" customWidth="1"/>
    <col min="4" max="4" width="5.5546875" style="272" bestFit="1" customWidth="1"/>
    <col min="5" max="5" width="8.109375" style="272" bestFit="1" customWidth="1"/>
    <col min="6" max="6" width="4.21875" style="272" bestFit="1" customWidth="1"/>
    <col min="7" max="7" width="10" style="272" bestFit="1" customWidth="1"/>
    <col min="8" max="10" width="7" style="272" bestFit="1" customWidth="1"/>
    <col min="11" max="11" width="10.5546875" style="272" bestFit="1" customWidth="1"/>
    <col min="12" max="12" width="9.10937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24" width="3.88671875" style="272" bestFit="1" customWidth="1"/>
    <col min="25" max="25" width="4.44140625" style="272" bestFit="1" customWidth="1"/>
    <col min="26" max="26" width="4.109375" style="272" bestFit="1" customWidth="1"/>
    <col min="27" max="27" width="5" style="272" bestFit="1" customWidth="1"/>
    <col min="28" max="29" width="4.21875" style="272" bestFit="1" customWidth="1"/>
    <col min="30" max="30" width="4.5546875" style="272" bestFit="1" customWidth="1"/>
    <col min="31" max="34" width="3.88671875" style="272" bestFit="1" customWidth="1"/>
    <col min="35" max="35" width="5.21875" style="272" bestFit="1" customWidth="1"/>
    <col min="36" max="36" width="3.88671875" style="272" bestFit="1" customWidth="1"/>
    <col min="37" max="16384" width="8.88671875" style="272"/>
  </cols>
  <sheetData>
    <row r="1" spans="1:36" x14ac:dyDescent="0.3">
      <c r="A1" s="271" t="s">
        <v>103</v>
      </c>
      <c r="B1" s="271" t="s">
        <v>104</v>
      </c>
      <c r="C1" s="271" t="s">
        <v>105</v>
      </c>
      <c r="D1" s="271" t="s">
        <v>23</v>
      </c>
      <c r="E1" s="271" t="s">
        <v>106</v>
      </c>
      <c r="F1" s="271" t="s">
        <v>107</v>
      </c>
      <c r="G1" s="271" t="s">
        <v>16</v>
      </c>
      <c r="H1" s="271" t="s">
        <v>108</v>
      </c>
      <c r="I1" s="271" t="s">
        <v>109</v>
      </c>
      <c r="J1" s="271" t="s">
        <v>110</v>
      </c>
      <c r="K1" s="271" t="s">
        <v>111</v>
      </c>
      <c r="L1" s="271" t="s">
        <v>18</v>
      </c>
      <c r="M1" s="271" t="s">
        <v>20</v>
      </c>
      <c r="N1" s="271" t="s">
        <v>21</v>
      </c>
      <c r="O1" s="271" t="s">
        <v>19</v>
      </c>
      <c r="P1" s="271" t="s">
        <v>22</v>
      </c>
      <c r="Q1" s="271" t="s">
        <v>112</v>
      </c>
      <c r="R1" s="271" t="s">
        <v>113</v>
      </c>
      <c r="S1" s="271" t="s">
        <v>114</v>
      </c>
      <c r="T1" s="271" t="s">
        <v>115</v>
      </c>
      <c r="U1" s="271" t="s">
        <v>116</v>
      </c>
      <c r="V1" s="271" t="s">
        <v>117</v>
      </c>
      <c r="W1" s="271" t="s">
        <v>118</v>
      </c>
      <c r="X1" s="271" t="s">
        <v>119</v>
      </c>
      <c r="Y1" s="271" t="s">
        <v>120</v>
      </c>
      <c r="Z1" s="271" t="s">
        <v>121</v>
      </c>
      <c r="AA1" s="271" t="s">
        <v>122</v>
      </c>
      <c r="AB1" s="271" t="s">
        <v>123</v>
      </c>
      <c r="AC1" s="271" t="s">
        <v>124</v>
      </c>
      <c r="AD1" s="271" t="s">
        <v>125</v>
      </c>
      <c r="AE1" s="271" t="s">
        <v>126</v>
      </c>
      <c r="AF1" s="271" t="s">
        <v>127</v>
      </c>
      <c r="AG1" s="271" t="s">
        <v>128</v>
      </c>
      <c r="AH1" s="271" t="s">
        <v>129</v>
      </c>
      <c r="AI1" s="271" t="s">
        <v>130</v>
      </c>
      <c r="AJ1" s="271" t="s">
        <v>131</v>
      </c>
    </row>
    <row r="2" spans="1:36" x14ac:dyDescent="0.3">
      <c r="A2" s="273" t="s">
        <v>132</v>
      </c>
      <c r="B2" s="274">
        <v>45981</v>
      </c>
      <c r="C2" s="275" t="s">
        <v>822</v>
      </c>
      <c r="D2" s="276" t="s">
        <v>387</v>
      </c>
      <c r="E2" s="275" t="s">
        <v>819</v>
      </c>
      <c r="F2" s="275" t="s">
        <v>134</v>
      </c>
      <c r="G2" s="277">
        <v>0.89939999999999998</v>
      </c>
      <c r="H2" s="278">
        <v>179</v>
      </c>
      <c r="I2" s="278">
        <v>161</v>
      </c>
      <c r="J2" s="278">
        <v>91</v>
      </c>
      <c r="K2" s="275" t="s">
        <v>135</v>
      </c>
      <c r="L2" s="279">
        <v>45979</v>
      </c>
      <c r="M2" s="278">
        <v>0</v>
      </c>
      <c r="N2" s="278">
        <v>11</v>
      </c>
      <c r="O2" s="278">
        <v>31</v>
      </c>
      <c r="P2" s="275" t="s">
        <v>407</v>
      </c>
      <c r="Q2" s="271"/>
      <c r="R2" s="271"/>
      <c r="S2" s="271"/>
      <c r="T2" s="271"/>
      <c r="U2" s="271"/>
      <c r="V2" s="271"/>
      <c r="W2" s="271"/>
      <c r="X2" s="271"/>
      <c r="Y2" s="278" t="s">
        <v>346</v>
      </c>
      <c r="Z2" s="278" t="s">
        <v>193</v>
      </c>
      <c r="AA2" s="278" t="s">
        <v>829</v>
      </c>
      <c r="AB2" s="278" t="s">
        <v>195</v>
      </c>
      <c r="AC2" s="278" t="s">
        <v>537</v>
      </c>
      <c r="AD2" s="278" t="s">
        <v>781</v>
      </c>
      <c r="AE2" s="271"/>
      <c r="AF2" s="271"/>
      <c r="AG2" s="271"/>
      <c r="AH2" s="271"/>
      <c r="AI2" s="278" t="s">
        <v>830</v>
      </c>
      <c r="AJ2" s="271"/>
    </row>
    <row r="3" spans="1:36" x14ac:dyDescent="0.3">
      <c r="A3" s="273" t="s">
        <v>377</v>
      </c>
      <c r="B3" s="274">
        <v>45982</v>
      </c>
      <c r="C3" s="275" t="s">
        <v>822</v>
      </c>
      <c r="D3" s="276" t="s">
        <v>831</v>
      </c>
      <c r="E3" s="275" t="s">
        <v>819</v>
      </c>
      <c r="F3" s="275" t="s">
        <v>134</v>
      </c>
      <c r="G3" s="277">
        <v>0.81010000000000004</v>
      </c>
      <c r="H3" s="278">
        <v>179</v>
      </c>
      <c r="I3" s="278">
        <v>145</v>
      </c>
      <c r="J3" s="278">
        <v>41</v>
      </c>
      <c r="K3" s="275" t="s">
        <v>135</v>
      </c>
      <c r="L3" s="279">
        <v>45980</v>
      </c>
      <c r="M3" s="278">
        <v>1</v>
      </c>
      <c r="N3" s="278">
        <v>4</v>
      </c>
      <c r="O3" s="278">
        <v>47</v>
      </c>
      <c r="P3" s="275" t="s">
        <v>254</v>
      </c>
      <c r="Q3" s="271"/>
      <c r="R3" s="271"/>
      <c r="S3" s="271"/>
      <c r="T3" s="271"/>
      <c r="U3" s="271"/>
      <c r="V3" s="271"/>
      <c r="W3" s="271"/>
      <c r="X3" s="278" t="s">
        <v>351</v>
      </c>
      <c r="Y3" s="278" t="s">
        <v>832</v>
      </c>
      <c r="Z3" s="278" t="s">
        <v>833</v>
      </c>
      <c r="AA3" s="278" t="s">
        <v>834</v>
      </c>
      <c r="AB3" s="278" t="s">
        <v>835</v>
      </c>
      <c r="AC3" s="278" t="s">
        <v>836</v>
      </c>
      <c r="AD3" s="278" t="s">
        <v>837</v>
      </c>
      <c r="AE3" s="271"/>
      <c r="AF3" s="271"/>
      <c r="AG3" s="271"/>
      <c r="AH3" s="271"/>
      <c r="AI3" s="278" t="s">
        <v>386</v>
      </c>
      <c r="AJ3" s="271"/>
    </row>
    <row r="4" spans="1:36" x14ac:dyDescent="0.3">
      <c r="A4" s="273" t="s">
        <v>144</v>
      </c>
      <c r="B4" s="274">
        <v>45983</v>
      </c>
      <c r="C4" s="275" t="s">
        <v>822</v>
      </c>
      <c r="D4" s="276" t="s">
        <v>838</v>
      </c>
      <c r="E4" s="275" t="s">
        <v>819</v>
      </c>
      <c r="F4" s="275" t="s">
        <v>134</v>
      </c>
      <c r="G4" s="277">
        <v>1</v>
      </c>
      <c r="H4" s="278">
        <v>179</v>
      </c>
      <c r="I4" s="278">
        <v>179</v>
      </c>
      <c r="J4" s="278">
        <v>146</v>
      </c>
      <c r="K4" s="275" t="s">
        <v>135</v>
      </c>
      <c r="L4" s="279">
        <v>45978</v>
      </c>
      <c r="M4" s="278">
        <v>0</v>
      </c>
      <c r="N4" s="278">
        <v>0</v>
      </c>
      <c r="O4" s="278">
        <v>10</v>
      </c>
      <c r="P4" s="275" t="s">
        <v>82</v>
      </c>
      <c r="Q4" s="271"/>
      <c r="R4" s="271"/>
      <c r="S4" s="271"/>
      <c r="T4" s="271"/>
      <c r="U4" s="271"/>
      <c r="V4" s="271"/>
      <c r="W4" s="278" t="s">
        <v>839</v>
      </c>
      <c r="X4" s="271"/>
      <c r="Y4" s="271"/>
      <c r="Z4" s="278" t="s">
        <v>249</v>
      </c>
      <c r="AA4" s="278" t="s">
        <v>294</v>
      </c>
      <c r="AB4" s="278" t="s">
        <v>401</v>
      </c>
      <c r="AC4" s="278" t="s">
        <v>402</v>
      </c>
      <c r="AD4" s="271"/>
      <c r="AE4" s="271"/>
      <c r="AF4" s="271"/>
      <c r="AG4" s="271"/>
      <c r="AH4" s="271"/>
      <c r="AI4" s="278" t="s">
        <v>840</v>
      </c>
      <c r="AJ4" s="278" t="s">
        <v>376</v>
      </c>
    </row>
    <row r="5" spans="1:36" ht="21" x14ac:dyDescent="0.3">
      <c r="A5" s="280" t="s">
        <v>932</v>
      </c>
      <c r="B5" s="281"/>
      <c r="C5" s="280">
        <f>SUBTOTAL(103,CAI_YNB_LF_LEGACY[Flt])</f>
        <v>3</v>
      </c>
      <c r="D5" s="280"/>
      <c r="E5" s="280">
        <f>SUBTOTAL(103,CAI_YNB_LF_LEGACY[Brd-Off])</f>
        <v>3</v>
      </c>
      <c r="F5" s="280"/>
      <c r="G5" s="282">
        <f>SUBTOTAL(101,CAI_YNB_LF_LEGACY[LF%])</f>
        <v>0.90316666666666678</v>
      </c>
      <c r="H5" s="283">
        <f>SUBTOTAL(109,CAI_YNB_LF_LEGACY[CAP])</f>
        <v>537</v>
      </c>
      <c r="I5" s="283">
        <f>SUBTOTAL(109,CAI_YNB_LF_LEGACY[BKG(Y)])</f>
        <v>485</v>
      </c>
      <c r="J5" s="283">
        <f>SUBTOTAL(109,CAI_YNB_LF_LEGACY[GRP(Y)])</f>
        <v>278</v>
      </c>
      <c r="K5" s="280"/>
      <c r="L5" s="281"/>
      <c r="M5" s="283">
        <f>SUBTOTAL(109,CAI_YNB_LF_LEGACY[TO-DAY])</f>
        <v>1</v>
      </c>
      <c r="N5" s="283">
        <f>SUBTOTAL(109,CAI_YNB_LF_LEGACY[Y-DAY])</f>
        <v>15</v>
      </c>
      <c r="O5" s="283">
        <f>SUBTOTAL(109,CAI_YNB_LF_LEGACY[WEEKLY])</f>
        <v>88</v>
      </c>
      <c r="P5" s="284"/>
      <c r="Q5" s="283">
        <f>SUBTOTAL(109,CAI_YNB_LF_LEGACY[Y])</f>
        <v>0</v>
      </c>
      <c r="R5" s="283">
        <f>SUBTOTAL(109,CAI_YNB_LF_LEGACY[B])</f>
        <v>0</v>
      </c>
      <c r="S5" s="283">
        <f>SUBTOTAL(109,CAI_YNB_LF_LEGACY[M])</f>
        <v>0</v>
      </c>
      <c r="T5" s="283">
        <f>SUBTOTAL(109,CAI_YNB_LF_LEGACY[H])</f>
        <v>0</v>
      </c>
      <c r="U5" s="283">
        <f>SUBTOTAL(109,CAI_YNB_LF_LEGACY[Q])</f>
        <v>0</v>
      </c>
      <c r="V5" s="283">
        <f>SUBTOTAL(109,CAI_YNB_LF_LEGACY[K])</f>
        <v>0</v>
      </c>
      <c r="W5" s="283">
        <f>SUBTOTAL(109,CAI_YNB_LF_LEGACY[V])</f>
        <v>0</v>
      </c>
      <c r="X5" s="283">
        <f>SUBTOTAL(109,CAI_YNB_LF_LEGACY[L])</f>
        <v>0</v>
      </c>
      <c r="Y5" s="283">
        <f>SUBTOTAL(109,CAI_YNB_LF_LEGACY[G])</f>
        <v>0</v>
      </c>
      <c r="Z5" s="283">
        <f>SUBTOTAL(109,CAI_YNB_LF_LEGACY[S])</f>
        <v>0</v>
      </c>
      <c r="AA5" s="283">
        <f>SUBTOTAL(109,CAI_YNB_LF_LEGACY[W])</f>
        <v>0</v>
      </c>
      <c r="AB5" s="283">
        <f>SUBTOTAL(109,CAI_YNB_LF_LEGACY[T])</f>
        <v>0</v>
      </c>
      <c r="AC5" s="283">
        <f>SUBTOTAL(109,CAI_YNB_LF_LEGACY[X])</f>
        <v>0</v>
      </c>
      <c r="AD5" s="283">
        <f>SUBTOTAL(109,CAI_YNB_LF_LEGACY[U])</f>
        <v>0</v>
      </c>
      <c r="AE5" s="283">
        <f>SUBTOTAL(109,CAI_YNB_LF_LEGACY[O])</f>
        <v>0</v>
      </c>
      <c r="AF5" s="283">
        <f>SUBTOTAL(109,CAI_YNB_LF_LEGACY[I])</f>
        <v>0</v>
      </c>
      <c r="AG5" s="283">
        <f>SUBTOTAL(109,CAI_YNB_LF_LEGACY[E])</f>
        <v>0</v>
      </c>
      <c r="AH5" s="283">
        <f>SUBTOTAL(109,CAI_YNB_LF_LEGACY[A])</f>
        <v>0</v>
      </c>
      <c r="AI5" s="283">
        <f>SUBTOTAL(109,CAI_YNB_LF_LEGACY[P])</f>
        <v>0</v>
      </c>
      <c r="AJ5" s="283">
        <f>SUBTOTAL(103,CAI_YNB_LF_LEGACY[N])</f>
        <v>1</v>
      </c>
    </row>
  </sheetData>
  <pageMargins left="0.75" right="0.75" top="1" bottom="1" header="0.5" footer="0.5"/>
  <tableParts count="1">
    <tablePart r:id="rId1"/>
  </tableParts>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I5"/>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88.21875" hidden="1" customWidth="1"/>
  </cols>
  <sheetData>
    <row r="1" spans="1:8" ht="18" x14ac:dyDescent="0.3">
      <c r="A1" s="56" t="s">
        <v>149</v>
      </c>
      <c r="B1" s="57" t="s">
        <v>8</v>
      </c>
      <c r="C1" s="57" t="s">
        <v>9</v>
      </c>
      <c r="D1" s="57" t="s">
        <v>150</v>
      </c>
      <c r="E1" s="57" t="s">
        <v>10</v>
      </c>
      <c r="F1" s="57" t="s">
        <v>11</v>
      </c>
      <c r="G1" s="57" t="s">
        <v>12</v>
      </c>
      <c r="H1" s="58" t="s">
        <v>13</v>
      </c>
    </row>
    <row r="2" spans="1:8" ht="19.8" customHeight="1" x14ac:dyDescent="0.3">
      <c r="A2" s="99" t="s">
        <v>151</v>
      </c>
      <c r="B2" s="77" t="s">
        <v>78</v>
      </c>
      <c r="C2" s="78" t="s">
        <v>820</v>
      </c>
      <c r="D2" s="77" t="s">
        <v>819</v>
      </c>
      <c r="E2" s="77" t="s">
        <v>387</v>
      </c>
      <c r="F2" s="77" t="s">
        <v>98</v>
      </c>
      <c r="G2" s="80">
        <v>8</v>
      </c>
      <c r="H2" s="81" t="s">
        <v>821</v>
      </c>
    </row>
    <row r="3" spans="1:8" ht="19.8" customHeight="1" x14ac:dyDescent="0.3">
      <c r="A3" s="70">
        <v>45981</v>
      </c>
      <c r="B3" s="71" t="s">
        <v>235</v>
      </c>
      <c r="C3" s="72" t="s">
        <v>824</v>
      </c>
      <c r="D3" s="71" t="s">
        <v>819</v>
      </c>
      <c r="E3" s="73">
        <v>1.020833333333333</v>
      </c>
      <c r="F3" s="71" t="s">
        <v>98</v>
      </c>
      <c r="G3" s="74">
        <v>3</v>
      </c>
      <c r="H3" s="75" t="s">
        <v>825</v>
      </c>
    </row>
    <row r="4" spans="1:8" ht="19.8" customHeight="1" x14ac:dyDescent="0.3">
      <c r="A4" s="82">
        <v>45982</v>
      </c>
      <c r="B4" s="65" t="s">
        <v>78</v>
      </c>
      <c r="C4" s="66" t="s">
        <v>820</v>
      </c>
      <c r="D4" s="65" t="s">
        <v>819</v>
      </c>
      <c r="E4" s="83">
        <v>1.166666666666667</v>
      </c>
      <c r="F4" s="65" t="s">
        <v>98</v>
      </c>
      <c r="G4" s="84">
        <v>9</v>
      </c>
      <c r="H4" s="67" t="s">
        <v>826</v>
      </c>
    </row>
    <row r="5" spans="1:8" ht="19.8" customHeight="1" x14ac:dyDescent="0.3">
      <c r="A5" s="82">
        <v>45983</v>
      </c>
      <c r="B5" s="65" t="s">
        <v>78</v>
      </c>
      <c r="C5" s="66" t="s">
        <v>820</v>
      </c>
      <c r="D5" s="65" t="s">
        <v>819</v>
      </c>
      <c r="E5" s="83">
        <v>1.125</v>
      </c>
      <c r="F5" s="65"/>
      <c r="G5" s="65"/>
      <c r="H5" s="67" t="s">
        <v>81</v>
      </c>
    </row>
  </sheetData>
  <pageMargins left="0.75" right="0.75" top="1" bottom="1" header="0.5" footer="0.5"/>
  <legacyDrawing r:id="rId1"/>
  <tableParts count="1">
    <tablePart r:id="rId2"/>
  </tableParts>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I4"/>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88.21875" hidden="1" customWidth="1"/>
  </cols>
  <sheetData>
    <row r="1" spans="1:8" ht="18" x14ac:dyDescent="0.3">
      <c r="A1" s="56" t="s">
        <v>149</v>
      </c>
      <c r="B1" s="57" t="s">
        <v>8</v>
      </c>
      <c r="C1" s="57" t="s">
        <v>9</v>
      </c>
      <c r="D1" s="57" t="s">
        <v>150</v>
      </c>
      <c r="E1" s="57" t="s">
        <v>10</v>
      </c>
      <c r="F1" s="57" t="s">
        <v>11</v>
      </c>
      <c r="G1" s="57" t="s">
        <v>12</v>
      </c>
      <c r="H1" s="58" t="s">
        <v>13</v>
      </c>
    </row>
    <row r="2" spans="1:8" ht="19.8" customHeight="1" x14ac:dyDescent="0.3">
      <c r="A2" s="64" t="s">
        <v>151</v>
      </c>
      <c r="B2" s="65" t="s">
        <v>78</v>
      </c>
      <c r="C2" s="66" t="s">
        <v>820</v>
      </c>
      <c r="D2" s="65" t="s">
        <v>819</v>
      </c>
      <c r="E2" s="65" t="s">
        <v>387</v>
      </c>
      <c r="F2" s="65" t="s">
        <v>98</v>
      </c>
      <c r="G2" s="84">
        <v>8</v>
      </c>
      <c r="H2" s="67" t="s">
        <v>821</v>
      </c>
    </row>
    <row r="3" spans="1:8" ht="19.8" customHeight="1" x14ac:dyDescent="0.3">
      <c r="A3" s="82">
        <v>45982</v>
      </c>
      <c r="B3" s="65" t="s">
        <v>78</v>
      </c>
      <c r="C3" s="66" t="s">
        <v>820</v>
      </c>
      <c r="D3" s="65" t="s">
        <v>819</v>
      </c>
      <c r="E3" s="83">
        <v>1.166666666666667</v>
      </c>
      <c r="F3" s="65" t="s">
        <v>98</v>
      </c>
      <c r="G3" s="84">
        <v>9</v>
      </c>
      <c r="H3" s="67" t="s">
        <v>826</v>
      </c>
    </row>
    <row r="4" spans="1:8" ht="19.8" customHeight="1" x14ac:dyDescent="0.3">
      <c r="A4" s="82">
        <v>45983</v>
      </c>
      <c r="B4" s="65" t="s">
        <v>78</v>
      </c>
      <c r="C4" s="66" t="s">
        <v>820</v>
      </c>
      <c r="D4" s="65" t="s">
        <v>819</v>
      </c>
      <c r="E4" s="83">
        <v>1.125</v>
      </c>
      <c r="F4" s="65"/>
      <c r="G4" s="65"/>
      <c r="H4" s="67" t="s">
        <v>81</v>
      </c>
    </row>
  </sheetData>
  <pageMargins left="0.75" right="0.75" top="1" bottom="1" header="0.5" footer="0.5"/>
  <legacyDrawing r:id="rId1"/>
  <tableParts count="1">
    <tablePart r:id="rId2"/>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N12"/>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93.21875" bestFit="1" customWidth="1"/>
  </cols>
  <sheetData>
    <row r="1" spans="1:92" ht="28.8" customHeight="1" x14ac:dyDescent="0.3">
      <c r="A1" s="261" t="s">
        <v>0</v>
      </c>
      <c r="B1" s="251"/>
      <c r="C1" s="251"/>
      <c r="D1" s="251"/>
      <c r="E1" s="251"/>
      <c r="F1" s="1" t="s">
        <v>841</v>
      </c>
      <c r="G1" s="2" t="s">
        <v>2</v>
      </c>
      <c r="H1" s="260">
        <v>45981</v>
      </c>
      <c r="I1" s="251"/>
      <c r="J1" s="251"/>
      <c r="K1" s="251"/>
      <c r="L1" s="251"/>
      <c r="M1" s="1" t="s">
        <v>3</v>
      </c>
      <c r="N1" s="266">
        <v>45983</v>
      </c>
      <c r="O1" s="251"/>
      <c r="P1" s="251"/>
      <c r="Q1" s="251"/>
      <c r="R1" s="251"/>
      <c r="CA1" s="3"/>
      <c r="CB1" s="3"/>
      <c r="CC1" s="3"/>
      <c r="CD1" s="3"/>
      <c r="CE1" s="3"/>
      <c r="CF1" s="3"/>
      <c r="CG1" s="3"/>
      <c r="CH1" s="3"/>
      <c r="CI1" s="3"/>
      <c r="CJ1" s="3"/>
      <c r="CK1" s="3"/>
      <c r="CL1" s="3"/>
      <c r="CM1" s="3"/>
      <c r="CN1" s="3"/>
    </row>
    <row r="2" spans="1:92" ht="23.4" customHeight="1" x14ac:dyDescent="0.3">
      <c r="A2" s="250" t="s">
        <v>4</v>
      </c>
      <c r="B2" s="251"/>
      <c r="C2" s="251"/>
      <c r="D2" s="251"/>
      <c r="E2" s="251"/>
      <c r="F2" s="251"/>
      <c r="G2" s="262">
        <v>45980.493112706383</v>
      </c>
      <c r="H2" s="251"/>
      <c r="I2" s="251"/>
      <c r="J2" s="251"/>
      <c r="K2" s="263">
        <v>45980.493112706608</v>
      </c>
      <c r="L2" s="251"/>
      <c r="M2" s="251"/>
      <c r="N2" s="251"/>
      <c r="O2" s="251"/>
      <c r="P2" s="251"/>
      <c r="Q2" s="251"/>
      <c r="R2" s="251"/>
      <c r="CA2" s="3"/>
      <c r="CB2" s="3"/>
      <c r="CC2" s="3"/>
      <c r="CD2" s="3"/>
      <c r="CE2" s="3"/>
      <c r="CF2" s="3"/>
      <c r="CG2" s="3"/>
      <c r="CH2" s="3"/>
      <c r="CI2" s="3"/>
      <c r="CJ2" s="3"/>
      <c r="CK2" s="3"/>
      <c r="CL2" s="3"/>
      <c r="CM2" s="3"/>
      <c r="CN2" s="3"/>
    </row>
    <row r="3" spans="1:92" ht="24" customHeight="1" x14ac:dyDescent="0.3">
      <c r="A3" s="252" t="s">
        <v>5</v>
      </c>
      <c r="B3" s="251"/>
      <c r="C3" s="251"/>
      <c r="D3" s="251"/>
      <c r="E3" s="251"/>
      <c r="F3" s="251"/>
      <c r="G3" s="251"/>
      <c r="H3" s="251"/>
      <c r="I3" s="251"/>
      <c r="J3" s="251"/>
      <c r="K3" s="251"/>
      <c r="L3" s="251"/>
      <c r="M3" s="251"/>
      <c r="N3" s="251"/>
      <c r="O3" s="251"/>
      <c r="P3" s="251"/>
      <c r="Q3" s="251"/>
      <c r="R3" s="251"/>
      <c r="CA3" s="3"/>
      <c r="CB3" s="3"/>
      <c r="CC3" s="3"/>
      <c r="CD3" s="3"/>
      <c r="CE3" s="3"/>
      <c r="CF3" s="3"/>
      <c r="CG3" s="3"/>
      <c r="CH3" s="3"/>
      <c r="CI3" s="3"/>
      <c r="CJ3" s="3"/>
      <c r="CK3" s="3"/>
      <c r="CL3" s="3"/>
      <c r="CM3" s="3"/>
      <c r="CN3" s="3"/>
    </row>
    <row r="4" spans="1:92" ht="22.05" customHeight="1" x14ac:dyDescent="0.3">
      <c r="A4" s="264" t="s">
        <v>6</v>
      </c>
      <c r="B4" s="254"/>
      <c r="C4" s="254"/>
      <c r="D4" s="254"/>
      <c r="E4" s="254"/>
      <c r="F4" s="255"/>
      <c r="G4" s="4">
        <v>45981</v>
      </c>
      <c r="H4" s="265" t="s">
        <v>7</v>
      </c>
      <c r="I4" s="254"/>
      <c r="J4" s="254"/>
      <c r="K4" s="254"/>
      <c r="L4" s="254"/>
      <c r="M4" s="254"/>
      <c r="N4" s="254"/>
      <c r="O4" s="254"/>
      <c r="P4" s="254"/>
      <c r="Q4" s="254"/>
      <c r="R4" s="25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235</v>
      </c>
      <c r="B6" s="8" t="s">
        <v>842</v>
      </c>
      <c r="C6" s="9">
        <v>0.91666666666666663</v>
      </c>
      <c r="D6" s="8" t="s">
        <v>98</v>
      </c>
      <c r="E6" s="8" t="s">
        <v>45</v>
      </c>
      <c r="F6" s="8" t="s">
        <v>843</v>
      </c>
      <c r="G6" s="256"/>
      <c r="H6" s="10"/>
      <c r="I6" s="11"/>
      <c r="J6" s="11"/>
      <c r="K6" s="11"/>
      <c r="L6" s="11"/>
      <c r="M6" s="11"/>
      <c r="N6" s="11"/>
      <c r="O6" s="12"/>
      <c r="P6" s="11"/>
      <c r="Q6" s="13"/>
      <c r="R6" s="14"/>
    </row>
    <row r="7" spans="1:92" ht="49.95" customHeight="1" thickTop="1" thickBot="1" x14ac:dyDescent="0.35">
      <c r="A7" s="46" t="s">
        <v>78</v>
      </c>
      <c r="B7" s="46" t="s">
        <v>844</v>
      </c>
      <c r="C7" s="47">
        <v>0.80208333333333337</v>
      </c>
      <c r="D7" s="46" t="s">
        <v>98</v>
      </c>
      <c r="E7" s="46" t="s">
        <v>84</v>
      </c>
      <c r="F7" s="46" t="s">
        <v>845</v>
      </c>
      <c r="G7" s="258"/>
      <c r="H7" s="48" t="s">
        <v>846</v>
      </c>
      <c r="I7" s="49">
        <v>0.96089999999999998</v>
      </c>
      <c r="J7" s="50">
        <v>172</v>
      </c>
      <c r="K7" s="51">
        <v>45979</v>
      </c>
      <c r="L7" s="50">
        <v>64</v>
      </c>
      <c r="M7" s="50">
        <v>0</v>
      </c>
      <c r="N7" s="50">
        <v>9</v>
      </c>
      <c r="O7" s="52" t="s">
        <v>847</v>
      </c>
      <c r="P7" s="53">
        <v>0.80208333333333337</v>
      </c>
      <c r="Q7" s="50">
        <v>179</v>
      </c>
      <c r="R7" s="54" t="s">
        <v>848</v>
      </c>
    </row>
    <row r="8" spans="1:92" ht="17.399999999999999" customHeight="1" thickBot="1" x14ac:dyDescent="0.35">
      <c r="A8" s="285"/>
      <c r="B8" s="286"/>
      <c r="C8" s="286"/>
      <c r="D8" s="286"/>
      <c r="E8" s="286"/>
      <c r="F8" s="286"/>
      <c r="G8" s="286"/>
      <c r="H8" s="286"/>
      <c r="I8" s="286"/>
      <c r="J8" s="286"/>
      <c r="K8" s="286"/>
      <c r="L8" s="286"/>
      <c r="M8" s="286"/>
      <c r="N8" s="286"/>
      <c r="O8" s="286"/>
      <c r="P8" s="286"/>
      <c r="Q8" s="286"/>
      <c r="R8" s="287"/>
    </row>
    <row r="9" spans="1:92" ht="22.05" customHeight="1" thickTop="1" thickBot="1" x14ac:dyDescent="0.35">
      <c r="A9" s="259" t="s">
        <v>6</v>
      </c>
      <c r="B9" s="254"/>
      <c r="C9" s="254"/>
      <c r="D9" s="254"/>
      <c r="E9" s="254"/>
      <c r="F9" s="255"/>
      <c r="G9" s="31">
        <v>45983</v>
      </c>
      <c r="H9" s="253" t="s">
        <v>7</v>
      </c>
      <c r="I9" s="254"/>
      <c r="J9" s="254"/>
      <c r="K9" s="254"/>
      <c r="L9" s="254"/>
      <c r="M9" s="254"/>
      <c r="N9" s="254"/>
      <c r="O9" s="254"/>
      <c r="P9" s="254"/>
      <c r="Q9" s="254"/>
      <c r="R9" s="255"/>
    </row>
    <row r="10" spans="1:92" ht="24" customHeight="1" x14ac:dyDescent="0.3">
      <c r="A10" s="32" t="s">
        <v>8</v>
      </c>
      <c r="B10" s="32" t="s">
        <v>9</v>
      </c>
      <c r="C10" s="33" t="s">
        <v>10</v>
      </c>
      <c r="D10" s="32" t="s">
        <v>11</v>
      </c>
      <c r="E10" s="32" t="s">
        <v>12</v>
      </c>
      <c r="F10" s="34" t="s">
        <v>13</v>
      </c>
      <c r="G10" s="35" t="s">
        <v>14</v>
      </c>
      <c r="H10" s="32" t="s">
        <v>15</v>
      </c>
      <c r="I10" s="36" t="s">
        <v>16</v>
      </c>
      <c r="J10" s="37" t="s">
        <v>17</v>
      </c>
      <c r="K10" s="38" t="s">
        <v>18</v>
      </c>
      <c r="L10" s="37" t="s">
        <v>19</v>
      </c>
      <c r="M10" s="37" t="s">
        <v>20</v>
      </c>
      <c r="N10" s="37" t="s">
        <v>21</v>
      </c>
      <c r="O10" s="32" t="s">
        <v>22</v>
      </c>
      <c r="P10" s="33" t="s">
        <v>23</v>
      </c>
      <c r="Q10" s="37" t="s">
        <v>24</v>
      </c>
      <c r="R10" s="32" t="s">
        <v>25</v>
      </c>
    </row>
    <row r="11" spans="1:92" ht="49.95" customHeight="1" x14ac:dyDescent="0.3">
      <c r="A11" s="8" t="s">
        <v>235</v>
      </c>
      <c r="B11" s="8" t="s">
        <v>849</v>
      </c>
      <c r="C11" s="9">
        <v>3.472222222222222E-3</v>
      </c>
      <c r="D11" s="8" t="s">
        <v>98</v>
      </c>
      <c r="E11" s="8" t="s">
        <v>450</v>
      </c>
      <c r="F11" s="8" t="s">
        <v>843</v>
      </c>
      <c r="G11" s="256"/>
      <c r="H11" s="10"/>
      <c r="I11" s="11"/>
      <c r="J11" s="11"/>
      <c r="K11" s="11"/>
      <c r="L11" s="11"/>
      <c r="M11" s="11"/>
      <c r="N11" s="11"/>
      <c r="O11" s="12"/>
      <c r="P11" s="11"/>
      <c r="Q11" s="13"/>
      <c r="R11" s="14"/>
    </row>
    <row r="12" spans="1:92" ht="49.95" customHeight="1" x14ac:dyDescent="0.3">
      <c r="A12" s="235" t="s">
        <v>78</v>
      </c>
      <c r="B12" s="235" t="s">
        <v>844</v>
      </c>
      <c r="C12" s="236">
        <v>0.80208333333333337</v>
      </c>
      <c r="D12" s="235" t="s">
        <v>98</v>
      </c>
      <c r="E12" s="235" t="s">
        <v>54</v>
      </c>
      <c r="F12" s="235" t="s">
        <v>845</v>
      </c>
      <c r="G12" s="258"/>
      <c r="H12" s="237" t="s">
        <v>846</v>
      </c>
      <c r="I12" s="238">
        <v>0.84360000000000002</v>
      </c>
      <c r="J12" s="239">
        <v>151</v>
      </c>
      <c r="K12" s="240">
        <v>45979</v>
      </c>
      <c r="L12" s="239">
        <v>55</v>
      </c>
      <c r="M12" s="239">
        <v>0</v>
      </c>
      <c r="N12" s="239">
        <v>5</v>
      </c>
      <c r="O12" s="241" t="s">
        <v>850</v>
      </c>
      <c r="P12" s="242">
        <v>0.80208333333333337</v>
      </c>
      <c r="Q12" s="239">
        <v>179</v>
      </c>
      <c r="R12" s="243" t="s">
        <v>851</v>
      </c>
    </row>
  </sheetData>
  <mergeCells count="14">
    <mergeCell ref="G11:G12"/>
    <mergeCell ref="A8:R8"/>
    <mergeCell ref="H4:R4"/>
    <mergeCell ref="N1:R1"/>
    <mergeCell ref="H1:L1"/>
    <mergeCell ref="A1:E1"/>
    <mergeCell ref="G2:J2"/>
    <mergeCell ref="K2:R2"/>
    <mergeCell ref="A4:F4"/>
    <mergeCell ref="A2:F2"/>
    <mergeCell ref="A3:R3"/>
    <mergeCell ref="H9:R9"/>
    <mergeCell ref="A9:F9"/>
    <mergeCell ref="G6:G7"/>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J4"/>
  <sheetViews>
    <sheetView workbookViewId="0"/>
  </sheetViews>
  <sheetFormatPr defaultRowHeight="15.6" outlineLevelCol="1" x14ac:dyDescent="0.3"/>
  <cols>
    <col min="1" max="1" width="9.88671875" style="272" bestFit="1" customWidth="1"/>
    <col min="2" max="2" width="10.44140625" style="272" bestFit="1" customWidth="1"/>
    <col min="3" max="3" width="6.77734375" style="272" bestFit="1" customWidth="1"/>
    <col min="4" max="4" width="5.5546875" style="272" bestFit="1" customWidth="1"/>
    <col min="5" max="5" width="8.109375" style="272" bestFit="1" customWidth="1"/>
    <col min="6" max="6" width="4.21875" style="272" bestFit="1" customWidth="1"/>
    <col min="7" max="7" width="10" style="272" bestFit="1" customWidth="1"/>
    <col min="8" max="10" width="7" style="272" bestFit="1" customWidth="1"/>
    <col min="11" max="11" width="10.5546875" style="272" bestFit="1" customWidth="1"/>
    <col min="12" max="12" width="9.10937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19" width="3.88671875" style="272" bestFit="1" customWidth="1"/>
    <col min="20" max="20" width="4.44140625" style="272" bestFit="1" customWidth="1"/>
    <col min="21" max="21" width="4.5546875" style="272" bestFit="1" customWidth="1"/>
    <col min="22" max="22" width="4.21875" style="272" bestFit="1" customWidth="1"/>
    <col min="23" max="23" width="4.33203125" style="272" bestFit="1" customWidth="1"/>
    <col min="24" max="24" width="4.109375" style="272" bestFit="1" customWidth="1"/>
    <col min="25" max="25" width="4.44140625" style="272" bestFit="1" customWidth="1"/>
    <col min="26" max="26" width="3.88671875" style="272" bestFit="1" customWidth="1"/>
    <col min="27" max="27" width="4" style="272" bestFit="1" customWidth="1"/>
    <col min="28" max="28" width="4.21875" style="272" bestFit="1" customWidth="1"/>
    <col min="29" max="30" width="3.88671875" style="272" bestFit="1" customWidth="1"/>
    <col min="31" max="31" width="4.5546875" style="272" bestFit="1" customWidth="1"/>
    <col min="32" max="36" width="3.88671875" style="272" bestFit="1" customWidth="1"/>
    <col min="37" max="16384" width="8.88671875" style="272"/>
  </cols>
  <sheetData>
    <row r="1" spans="1:36" x14ac:dyDescent="0.3">
      <c r="A1" s="271" t="s">
        <v>103</v>
      </c>
      <c r="B1" s="271" t="s">
        <v>104</v>
      </c>
      <c r="C1" s="271" t="s">
        <v>105</v>
      </c>
      <c r="D1" s="271" t="s">
        <v>23</v>
      </c>
      <c r="E1" s="271" t="s">
        <v>106</v>
      </c>
      <c r="F1" s="271" t="s">
        <v>107</v>
      </c>
      <c r="G1" s="271" t="s">
        <v>16</v>
      </c>
      <c r="H1" s="271" t="s">
        <v>108</v>
      </c>
      <c r="I1" s="271" t="s">
        <v>109</v>
      </c>
      <c r="J1" s="271" t="s">
        <v>110</v>
      </c>
      <c r="K1" s="271" t="s">
        <v>111</v>
      </c>
      <c r="L1" s="271" t="s">
        <v>18</v>
      </c>
      <c r="M1" s="271" t="s">
        <v>20</v>
      </c>
      <c r="N1" s="271" t="s">
        <v>21</v>
      </c>
      <c r="O1" s="271" t="s">
        <v>19</v>
      </c>
      <c r="P1" s="271" t="s">
        <v>22</v>
      </c>
      <c r="Q1" s="271" t="s">
        <v>112</v>
      </c>
      <c r="R1" s="271" t="s">
        <v>113</v>
      </c>
      <c r="S1" s="271" t="s">
        <v>114</v>
      </c>
      <c r="T1" s="271" t="s">
        <v>115</v>
      </c>
      <c r="U1" s="271" t="s">
        <v>116</v>
      </c>
      <c r="V1" s="271" t="s">
        <v>117</v>
      </c>
      <c r="W1" s="271" t="s">
        <v>118</v>
      </c>
      <c r="X1" s="271" t="s">
        <v>119</v>
      </c>
      <c r="Y1" s="271" t="s">
        <v>120</v>
      </c>
      <c r="Z1" s="271" t="s">
        <v>121</v>
      </c>
      <c r="AA1" s="271" t="s">
        <v>122</v>
      </c>
      <c r="AB1" s="271" t="s">
        <v>123</v>
      </c>
      <c r="AC1" s="271" t="s">
        <v>124</v>
      </c>
      <c r="AD1" s="271" t="s">
        <v>125</v>
      </c>
      <c r="AE1" s="271" t="s">
        <v>126</v>
      </c>
      <c r="AF1" s="271" t="s">
        <v>127</v>
      </c>
      <c r="AG1" s="271" t="s">
        <v>128</v>
      </c>
      <c r="AH1" s="271" t="s">
        <v>129</v>
      </c>
      <c r="AI1" s="271" t="s">
        <v>130</v>
      </c>
      <c r="AJ1" s="271" t="s">
        <v>131</v>
      </c>
    </row>
    <row r="2" spans="1:36" x14ac:dyDescent="0.3">
      <c r="A2" s="273" t="s">
        <v>132</v>
      </c>
      <c r="B2" s="274">
        <v>45981</v>
      </c>
      <c r="C2" s="275" t="s">
        <v>846</v>
      </c>
      <c r="D2" s="276" t="s">
        <v>192</v>
      </c>
      <c r="E2" s="275" t="s">
        <v>841</v>
      </c>
      <c r="F2" s="275" t="s">
        <v>134</v>
      </c>
      <c r="G2" s="277">
        <v>0.96089999999999998</v>
      </c>
      <c r="H2" s="278">
        <v>179</v>
      </c>
      <c r="I2" s="278">
        <v>172</v>
      </c>
      <c r="J2" s="278">
        <v>0</v>
      </c>
      <c r="K2" s="275" t="s">
        <v>135</v>
      </c>
      <c r="L2" s="279">
        <v>45979</v>
      </c>
      <c r="M2" s="278">
        <v>0</v>
      </c>
      <c r="N2" s="278">
        <v>9</v>
      </c>
      <c r="O2" s="278">
        <v>64</v>
      </c>
      <c r="P2" s="275" t="s">
        <v>847</v>
      </c>
      <c r="Q2" s="271"/>
      <c r="R2" s="278" t="s">
        <v>852</v>
      </c>
      <c r="S2" s="278" t="s">
        <v>853</v>
      </c>
      <c r="T2" s="278" t="s">
        <v>854</v>
      </c>
      <c r="U2" s="278" t="s">
        <v>855</v>
      </c>
      <c r="V2" s="278" t="s">
        <v>856</v>
      </c>
      <c r="W2" s="278" t="s">
        <v>857</v>
      </c>
      <c r="X2" s="278" t="s">
        <v>858</v>
      </c>
      <c r="Y2" s="278" t="s">
        <v>859</v>
      </c>
      <c r="Z2" s="278" t="s">
        <v>347</v>
      </c>
      <c r="AA2" s="278" t="s">
        <v>324</v>
      </c>
      <c r="AB2" s="278" t="s">
        <v>758</v>
      </c>
      <c r="AC2" s="278" t="s">
        <v>367</v>
      </c>
      <c r="AD2" s="278" t="s">
        <v>591</v>
      </c>
      <c r="AE2" s="278" t="s">
        <v>178</v>
      </c>
      <c r="AF2" s="278" t="s">
        <v>539</v>
      </c>
      <c r="AG2" s="271"/>
      <c r="AH2" s="271"/>
      <c r="AI2" s="271"/>
      <c r="AJ2" s="271"/>
    </row>
    <row r="3" spans="1:36" x14ac:dyDescent="0.3">
      <c r="A3" s="273" t="s">
        <v>144</v>
      </c>
      <c r="B3" s="274">
        <v>45983</v>
      </c>
      <c r="C3" s="275" t="s">
        <v>846</v>
      </c>
      <c r="D3" s="276" t="s">
        <v>192</v>
      </c>
      <c r="E3" s="275" t="s">
        <v>841</v>
      </c>
      <c r="F3" s="275" t="s">
        <v>134</v>
      </c>
      <c r="G3" s="277">
        <v>0.84360000000000002</v>
      </c>
      <c r="H3" s="278">
        <v>179</v>
      </c>
      <c r="I3" s="278">
        <v>151</v>
      </c>
      <c r="J3" s="278">
        <v>0</v>
      </c>
      <c r="K3" s="275" t="s">
        <v>135</v>
      </c>
      <c r="L3" s="279">
        <v>45979</v>
      </c>
      <c r="M3" s="278">
        <v>0</v>
      </c>
      <c r="N3" s="278">
        <v>5</v>
      </c>
      <c r="O3" s="278">
        <v>55</v>
      </c>
      <c r="P3" s="275" t="s">
        <v>850</v>
      </c>
      <c r="Q3" s="271"/>
      <c r="R3" s="271"/>
      <c r="S3" s="278" t="s">
        <v>847</v>
      </c>
      <c r="T3" s="278" t="s">
        <v>860</v>
      </c>
      <c r="U3" s="278" t="s">
        <v>861</v>
      </c>
      <c r="V3" s="278" t="s">
        <v>862</v>
      </c>
      <c r="W3" s="278" t="s">
        <v>863</v>
      </c>
      <c r="X3" s="278" t="s">
        <v>864</v>
      </c>
      <c r="Y3" s="278" t="s">
        <v>865</v>
      </c>
      <c r="Z3" s="278" t="s">
        <v>352</v>
      </c>
      <c r="AA3" s="278" t="s">
        <v>322</v>
      </c>
      <c r="AB3" s="278" t="s">
        <v>866</v>
      </c>
      <c r="AC3" s="278" t="s">
        <v>735</v>
      </c>
      <c r="AD3" s="278" t="s">
        <v>867</v>
      </c>
      <c r="AE3" s="278" t="s">
        <v>140</v>
      </c>
      <c r="AF3" s="278" t="s">
        <v>369</v>
      </c>
      <c r="AG3" s="271"/>
      <c r="AH3" s="271"/>
      <c r="AI3" s="271"/>
      <c r="AJ3" s="271"/>
    </row>
    <row r="4" spans="1:36" ht="21" x14ac:dyDescent="0.3">
      <c r="A4" s="280" t="s">
        <v>932</v>
      </c>
      <c r="B4" s="281"/>
      <c r="C4" s="280">
        <f>SUBTOTAL(103,CAI_AHB_LF_LEGACY[Flt])</f>
        <v>2</v>
      </c>
      <c r="D4" s="280"/>
      <c r="E4" s="280">
        <f>SUBTOTAL(103,CAI_AHB_LF_LEGACY[Brd-Off])</f>
        <v>2</v>
      </c>
      <c r="F4" s="280"/>
      <c r="G4" s="282">
        <f>SUBTOTAL(101,CAI_AHB_LF_LEGACY[LF%])</f>
        <v>0.90225</v>
      </c>
      <c r="H4" s="283">
        <f>SUBTOTAL(109,CAI_AHB_LF_LEGACY[CAP])</f>
        <v>358</v>
      </c>
      <c r="I4" s="283">
        <f>SUBTOTAL(109,CAI_AHB_LF_LEGACY[BKG(Y)])</f>
        <v>323</v>
      </c>
      <c r="J4" s="283">
        <f>SUBTOTAL(109,CAI_AHB_LF_LEGACY[GRP(Y)])</f>
        <v>0</v>
      </c>
      <c r="K4" s="280"/>
      <c r="L4" s="281"/>
      <c r="M4" s="283">
        <f>SUBTOTAL(109,CAI_AHB_LF_LEGACY[TO-DAY])</f>
        <v>0</v>
      </c>
      <c r="N4" s="283">
        <f>SUBTOTAL(109,CAI_AHB_LF_LEGACY[Y-DAY])</f>
        <v>14</v>
      </c>
      <c r="O4" s="283">
        <f>SUBTOTAL(109,CAI_AHB_LF_LEGACY[WEEKLY])</f>
        <v>119</v>
      </c>
      <c r="P4" s="284"/>
      <c r="Q4" s="283">
        <f>SUBTOTAL(109,CAI_AHB_LF_LEGACY[Y])</f>
        <v>0</v>
      </c>
      <c r="R4" s="283">
        <f>SUBTOTAL(109,CAI_AHB_LF_LEGACY[B])</f>
        <v>0</v>
      </c>
      <c r="S4" s="283">
        <f>SUBTOTAL(109,CAI_AHB_LF_LEGACY[M])</f>
        <v>0</v>
      </c>
      <c r="T4" s="283">
        <f>SUBTOTAL(109,CAI_AHB_LF_LEGACY[H])</f>
        <v>0</v>
      </c>
      <c r="U4" s="283">
        <f>SUBTOTAL(109,CAI_AHB_LF_LEGACY[Q])</f>
        <v>0</v>
      </c>
      <c r="V4" s="283">
        <f>SUBTOTAL(109,CAI_AHB_LF_LEGACY[K])</f>
        <v>0</v>
      </c>
      <c r="W4" s="283">
        <f>SUBTOTAL(109,CAI_AHB_LF_LEGACY[V])</f>
        <v>0</v>
      </c>
      <c r="X4" s="283">
        <f>SUBTOTAL(109,CAI_AHB_LF_LEGACY[L])</f>
        <v>0</v>
      </c>
      <c r="Y4" s="283">
        <f>SUBTOTAL(109,CAI_AHB_LF_LEGACY[G])</f>
        <v>0</v>
      </c>
      <c r="Z4" s="283">
        <f>SUBTOTAL(109,CAI_AHB_LF_LEGACY[S])</f>
        <v>0</v>
      </c>
      <c r="AA4" s="283">
        <f>SUBTOTAL(109,CAI_AHB_LF_LEGACY[W])</f>
        <v>0</v>
      </c>
      <c r="AB4" s="283">
        <f>SUBTOTAL(109,CAI_AHB_LF_LEGACY[T])</f>
        <v>0</v>
      </c>
      <c r="AC4" s="283">
        <f>SUBTOTAL(109,CAI_AHB_LF_LEGACY[X])</f>
        <v>0</v>
      </c>
      <c r="AD4" s="283">
        <f>SUBTOTAL(109,CAI_AHB_LF_LEGACY[U])</f>
        <v>0</v>
      </c>
      <c r="AE4" s="283">
        <f>SUBTOTAL(109,CAI_AHB_LF_LEGACY[O])</f>
        <v>0</v>
      </c>
      <c r="AF4" s="283">
        <f>SUBTOTAL(109,CAI_AHB_LF_LEGACY[I])</f>
        <v>0</v>
      </c>
      <c r="AG4" s="283">
        <f>SUBTOTAL(109,CAI_AHB_LF_LEGACY[E])</f>
        <v>0</v>
      </c>
      <c r="AH4" s="283">
        <f>SUBTOTAL(109,CAI_AHB_LF_LEGACY[A])</f>
        <v>0</v>
      </c>
      <c r="AI4" s="283">
        <f>SUBTOTAL(109,CAI_AHB_LF_LEGACY[P])</f>
        <v>0</v>
      </c>
      <c r="AJ4" s="283">
        <f>SUBTOTAL(103,CAI_AHB_LF_LEGACY[N])</f>
        <v>0</v>
      </c>
    </row>
  </sheetData>
  <pageMargins left="0.75" right="0.75" top="1" bottom="1" header="0.5" footer="0.5"/>
  <tableParts count="1">
    <tablePart r:id="rId1"/>
  </tableParts>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I5"/>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218.77734375" hidden="1" customWidth="1"/>
  </cols>
  <sheetData>
    <row r="1" spans="1:8" ht="18" x14ac:dyDescent="0.3">
      <c r="A1" s="56" t="s">
        <v>149</v>
      </c>
      <c r="B1" s="57" t="s">
        <v>8</v>
      </c>
      <c r="C1" s="57" t="s">
        <v>9</v>
      </c>
      <c r="D1" s="57" t="s">
        <v>150</v>
      </c>
      <c r="E1" s="57" t="s">
        <v>10</v>
      </c>
      <c r="F1" s="57" t="s">
        <v>11</v>
      </c>
      <c r="G1" s="57" t="s">
        <v>12</v>
      </c>
      <c r="H1" s="58" t="s">
        <v>13</v>
      </c>
    </row>
    <row r="2" spans="1:8" ht="19.8" customHeight="1" x14ac:dyDescent="0.3">
      <c r="A2" s="59" t="s">
        <v>151</v>
      </c>
      <c r="B2" s="60" t="s">
        <v>235</v>
      </c>
      <c r="C2" s="61" t="s">
        <v>842</v>
      </c>
      <c r="D2" s="60" t="s">
        <v>841</v>
      </c>
      <c r="E2" s="60" t="s">
        <v>868</v>
      </c>
      <c r="F2" s="60" t="s">
        <v>98</v>
      </c>
      <c r="G2" s="62">
        <v>5</v>
      </c>
      <c r="H2" s="63" t="s">
        <v>843</v>
      </c>
    </row>
    <row r="3" spans="1:8" ht="19.8" customHeight="1" x14ac:dyDescent="0.3">
      <c r="A3" s="64" t="s">
        <v>151</v>
      </c>
      <c r="B3" s="65" t="s">
        <v>78</v>
      </c>
      <c r="C3" s="66" t="s">
        <v>844</v>
      </c>
      <c r="D3" s="65" t="s">
        <v>841</v>
      </c>
      <c r="E3" s="65" t="s">
        <v>192</v>
      </c>
      <c r="F3" s="65" t="s">
        <v>98</v>
      </c>
      <c r="G3" s="84">
        <v>1</v>
      </c>
      <c r="H3" s="67" t="s">
        <v>845</v>
      </c>
    </row>
    <row r="4" spans="1:8" ht="19.8" customHeight="1" x14ac:dyDescent="0.3">
      <c r="A4" s="68">
        <v>45983</v>
      </c>
      <c r="B4" s="60" t="s">
        <v>235</v>
      </c>
      <c r="C4" s="61" t="s">
        <v>849</v>
      </c>
      <c r="D4" s="60" t="s">
        <v>841</v>
      </c>
      <c r="E4" s="69">
        <v>1.0034722222222221</v>
      </c>
      <c r="F4" s="60" t="s">
        <v>98</v>
      </c>
      <c r="G4" s="62">
        <v>8</v>
      </c>
      <c r="H4" s="63" t="s">
        <v>843</v>
      </c>
    </row>
    <row r="5" spans="1:8" ht="19.8" customHeight="1" x14ac:dyDescent="0.3">
      <c r="A5" s="82">
        <v>45983</v>
      </c>
      <c r="B5" s="65" t="s">
        <v>78</v>
      </c>
      <c r="C5" s="66" t="s">
        <v>844</v>
      </c>
      <c r="D5" s="65" t="s">
        <v>841</v>
      </c>
      <c r="E5" s="83">
        <v>1.802083333333333</v>
      </c>
      <c r="F5" s="65" t="s">
        <v>98</v>
      </c>
      <c r="G5" s="84">
        <v>9</v>
      </c>
      <c r="H5" s="67" t="s">
        <v>845</v>
      </c>
    </row>
  </sheetData>
  <pageMargins left="0.75" right="0.75" top="1" bottom="1" header="0.5" footer="0.5"/>
  <legacyDrawing r:id="rId1"/>
  <tableParts count="1">
    <tablePart r:id="rId2"/>
  </tableParts>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I3"/>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218.77734375" hidden="1" customWidth="1"/>
  </cols>
  <sheetData>
    <row r="1" spans="1:8" ht="18" x14ac:dyDescent="0.3">
      <c r="A1" s="56" t="s">
        <v>149</v>
      </c>
      <c r="B1" s="57" t="s">
        <v>8</v>
      </c>
      <c r="C1" s="57" t="s">
        <v>9</v>
      </c>
      <c r="D1" s="57" t="s">
        <v>150</v>
      </c>
      <c r="E1" s="57" t="s">
        <v>10</v>
      </c>
      <c r="F1" s="57" t="s">
        <v>11</v>
      </c>
      <c r="G1" s="57" t="s">
        <v>12</v>
      </c>
      <c r="H1" s="58" t="s">
        <v>13</v>
      </c>
    </row>
    <row r="2" spans="1:8" ht="19.8" customHeight="1" x14ac:dyDescent="0.3">
      <c r="A2" s="64" t="s">
        <v>151</v>
      </c>
      <c r="B2" s="65" t="s">
        <v>78</v>
      </c>
      <c r="C2" s="66" t="s">
        <v>844</v>
      </c>
      <c r="D2" s="65" t="s">
        <v>841</v>
      </c>
      <c r="E2" s="65" t="s">
        <v>192</v>
      </c>
      <c r="F2" s="65" t="s">
        <v>98</v>
      </c>
      <c r="G2" s="84">
        <v>1</v>
      </c>
      <c r="H2" s="67" t="s">
        <v>845</v>
      </c>
    </row>
    <row r="3" spans="1:8" ht="19.8" customHeight="1" x14ac:dyDescent="0.3">
      <c r="A3" s="82">
        <v>45983</v>
      </c>
      <c r="B3" s="65" t="s">
        <v>78</v>
      </c>
      <c r="C3" s="66" t="s">
        <v>844</v>
      </c>
      <c r="D3" s="65" t="s">
        <v>841</v>
      </c>
      <c r="E3" s="83">
        <v>1.802083333333333</v>
      </c>
      <c r="F3" s="65" t="s">
        <v>98</v>
      </c>
      <c r="G3" s="84">
        <v>9</v>
      </c>
      <c r="H3" s="67" t="s">
        <v>845</v>
      </c>
    </row>
  </sheetData>
  <pageMargins left="0.75" right="0.75" top="1" bottom="1" header="0.5" footer="0.5"/>
  <legacyDrawing r:id="rId1"/>
  <tableParts count="1">
    <tablePart r:id="rId2"/>
  </tablePart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CN8"/>
  <sheetViews>
    <sheetView workbookViewId="0"/>
  </sheetViews>
  <sheetFormatPr defaultRowHeight="14.4" x14ac:dyDescent="0.3"/>
  <cols>
    <col min="1" max="1" width="10.21875" bestFit="1" customWidth="1"/>
    <col min="2" max="2" width="15.6640625" bestFit="1" customWidth="1"/>
    <col min="3" max="3" width="14.77734375" bestFit="1" customWidth="1"/>
    <col min="4" max="4" width="19" bestFit="1" customWidth="1"/>
    <col min="5" max="5" width="16.4414062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3.21875" bestFit="1" customWidth="1"/>
  </cols>
  <sheetData>
    <row r="1" spans="1:92" ht="28.8" customHeight="1" x14ac:dyDescent="0.3">
      <c r="A1" s="261" t="s">
        <v>0</v>
      </c>
      <c r="B1" s="251"/>
      <c r="C1" s="251"/>
      <c r="D1" s="251"/>
      <c r="E1" s="251"/>
      <c r="F1" s="1" t="s">
        <v>869</v>
      </c>
      <c r="G1" s="2" t="s">
        <v>2</v>
      </c>
      <c r="H1" s="260">
        <v>45981</v>
      </c>
      <c r="I1" s="251"/>
      <c r="J1" s="251"/>
      <c r="K1" s="251"/>
      <c r="L1" s="251"/>
      <c r="M1" s="1" t="s">
        <v>3</v>
      </c>
      <c r="N1" s="266">
        <v>45983</v>
      </c>
      <c r="O1" s="251"/>
      <c r="P1" s="251"/>
      <c r="Q1" s="251"/>
      <c r="R1" s="251"/>
      <c r="CA1" s="3"/>
      <c r="CB1" s="3"/>
      <c r="CC1" s="3"/>
      <c r="CD1" s="3"/>
      <c r="CE1" s="3"/>
      <c r="CF1" s="3"/>
      <c r="CG1" s="3"/>
      <c r="CH1" s="3"/>
      <c r="CI1" s="3"/>
      <c r="CJ1" s="3"/>
      <c r="CK1" s="3"/>
      <c r="CL1" s="3"/>
      <c r="CM1" s="3"/>
      <c r="CN1" s="3"/>
    </row>
    <row r="2" spans="1:92" ht="23.4" customHeight="1" x14ac:dyDescent="0.3">
      <c r="A2" s="250" t="s">
        <v>4</v>
      </c>
      <c r="B2" s="251"/>
      <c r="C2" s="251"/>
      <c r="D2" s="251"/>
      <c r="E2" s="251"/>
      <c r="F2" s="251"/>
      <c r="G2" s="262">
        <v>45980.49311450035</v>
      </c>
      <c r="H2" s="251"/>
      <c r="I2" s="251"/>
      <c r="J2" s="251"/>
      <c r="K2" s="263">
        <v>45980.493114500568</v>
      </c>
      <c r="L2" s="251"/>
      <c r="M2" s="251"/>
      <c r="N2" s="251"/>
      <c r="O2" s="251"/>
      <c r="P2" s="251"/>
      <c r="Q2" s="251"/>
      <c r="R2" s="251"/>
      <c r="CA2" s="3"/>
      <c r="CB2" s="3"/>
      <c r="CC2" s="3"/>
      <c r="CD2" s="3"/>
      <c r="CE2" s="3"/>
      <c r="CF2" s="3"/>
      <c r="CG2" s="3"/>
      <c r="CH2" s="3"/>
      <c r="CI2" s="3"/>
      <c r="CJ2" s="3"/>
      <c r="CK2" s="3"/>
      <c r="CL2" s="3"/>
      <c r="CM2" s="3"/>
      <c r="CN2" s="3"/>
    </row>
    <row r="3" spans="1:92" ht="24" customHeight="1" x14ac:dyDescent="0.3">
      <c r="A3" s="252" t="s">
        <v>5</v>
      </c>
      <c r="B3" s="251"/>
      <c r="C3" s="251"/>
      <c r="D3" s="251"/>
      <c r="E3" s="251"/>
      <c r="F3" s="251"/>
      <c r="G3" s="251"/>
      <c r="H3" s="251"/>
      <c r="I3" s="251"/>
      <c r="J3" s="251"/>
      <c r="K3" s="251"/>
      <c r="L3" s="251"/>
      <c r="M3" s="251"/>
      <c r="N3" s="251"/>
      <c r="O3" s="251"/>
      <c r="P3" s="251"/>
      <c r="Q3" s="251"/>
      <c r="R3" s="251"/>
      <c r="CA3" s="3"/>
      <c r="CB3" s="3"/>
      <c r="CC3" s="3"/>
      <c r="CD3" s="3"/>
      <c r="CE3" s="3"/>
      <c r="CF3" s="3"/>
      <c r="CG3" s="3"/>
      <c r="CH3" s="3"/>
      <c r="CI3" s="3"/>
      <c r="CJ3" s="3"/>
      <c r="CK3" s="3"/>
      <c r="CL3" s="3"/>
      <c r="CM3" s="3"/>
      <c r="CN3" s="3"/>
    </row>
    <row r="4" spans="1:92" ht="22.05" customHeight="1" x14ac:dyDescent="0.3">
      <c r="A4" s="264" t="s">
        <v>6</v>
      </c>
      <c r="B4" s="254"/>
      <c r="C4" s="254"/>
      <c r="D4" s="254"/>
      <c r="E4" s="254"/>
      <c r="F4" s="255"/>
      <c r="G4" s="4">
        <v>45982</v>
      </c>
      <c r="H4" s="265" t="s">
        <v>7</v>
      </c>
      <c r="I4" s="254"/>
      <c r="J4" s="254"/>
      <c r="K4" s="254"/>
      <c r="L4" s="254"/>
      <c r="M4" s="254"/>
      <c r="N4" s="254"/>
      <c r="O4" s="254"/>
      <c r="P4" s="254"/>
      <c r="Q4" s="254"/>
      <c r="R4" s="25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thickTop="1" thickBot="1" x14ac:dyDescent="0.5">
      <c r="A6" s="208" t="s">
        <v>78</v>
      </c>
      <c r="B6" s="208" t="s">
        <v>870</v>
      </c>
      <c r="C6" s="209">
        <v>0.58333333333333337</v>
      </c>
      <c r="D6" s="208" t="s">
        <v>80</v>
      </c>
      <c r="E6" s="244"/>
      <c r="F6" s="208" t="s">
        <v>513</v>
      </c>
      <c r="G6" s="256"/>
      <c r="H6" s="221" t="s">
        <v>870</v>
      </c>
      <c r="I6" s="245">
        <v>0.92179999999999995</v>
      </c>
      <c r="J6" s="223">
        <v>165</v>
      </c>
      <c r="K6" s="224">
        <v>45980</v>
      </c>
      <c r="L6" s="223">
        <v>53</v>
      </c>
      <c r="M6" s="223">
        <v>5</v>
      </c>
      <c r="N6" s="223">
        <v>3</v>
      </c>
      <c r="O6" s="225" t="s">
        <v>729</v>
      </c>
      <c r="P6" s="226">
        <v>0.58333333333333337</v>
      </c>
      <c r="Q6" s="223">
        <v>179</v>
      </c>
      <c r="R6" s="227" t="s">
        <v>871</v>
      </c>
    </row>
    <row r="7" spans="1:92" ht="17.399999999999999" customHeight="1" thickBot="1" x14ac:dyDescent="0.35">
      <c r="A7" s="285"/>
      <c r="B7" s="286"/>
      <c r="C7" s="286"/>
      <c r="D7" s="286"/>
      <c r="E7" s="286"/>
      <c r="F7" s="286"/>
      <c r="G7" s="286"/>
      <c r="H7" s="286"/>
      <c r="I7" s="286"/>
      <c r="J7" s="286"/>
      <c r="K7" s="286"/>
      <c r="L7" s="286"/>
      <c r="M7" s="286"/>
      <c r="N7" s="286"/>
      <c r="O7" s="286"/>
      <c r="P7" s="286"/>
      <c r="Q7" s="286"/>
      <c r="R7" s="287"/>
    </row>
    <row r="8" spans="1:92" ht="15" thickTop="1" x14ac:dyDescent="0.3"/>
  </sheetData>
  <mergeCells count="11">
    <mergeCell ref="A2:F2"/>
    <mergeCell ref="A3:R3"/>
    <mergeCell ref="A7:R7"/>
    <mergeCell ref="H1:L1"/>
    <mergeCell ref="A1:E1"/>
    <mergeCell ref="G2:J2"/>
    <mergeCell ref="K2:R2"/>
    <mergeCell ref="A4:F4"/>
    <mergeCell ref="H4:R4"/>
    <mergeCell ref="G6"/>
    <mergeCell ref="N1:R1"/>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J3"/>
  <sheetViews>
    <sheetView workbookViewId="0"/>
  </sheetViews>
  <sheetFormatPr defaultRowHeight="15.6" outlineLevelCol="1" x14ac:dyDescent="0.3"/>
  <cols>
    <col min="1" max="1" width="6.88671875" style="272" bestFit="1" customWidth="1"/>
    <col min="2" max="2" width="10.44140625" style="272" bestFit="1" customWidth="1"/>
    <col min="3" max="3" width="6.77734375" style="272" bestFit="1" customWidth="1"/>
    <col min="4" max="4" width="5.5546875" style="272" bestFit="1" customWidth="1"/>
    <col min="5" max="5" width="8.33203125" style="272" bestFit="1" customWidth="1"/>
    <col min="6" max="6" width="4.21875" style="272" bestFit="1" customWidth="1"/>
    <col min="7" max="7" width="10" style="272" bestFit="1" customWidth="1"/>
    <col min="8" max="10" width="7" style="272" bestFit="1" customWidth="1"/>
    <col min="11" max="11" width="10.5546875" style="272" bestFit="1" customWidth="1"/>
    <col min="12" max="12" width="9.10937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24" width="3.88671875" style="272" bestFit="1" customWidth="1"/>
    <col min="25" max="25" width="4.44140625" style="272" bestFit="1" customWidth="1"/>
    <col min="26" max="26" width="4.109375" style="272" bestFit="1" customWidth="1"/>
    <col min="27" max="27" width="5" style="272" bestFit="1" customWidth="1"/>
    <col min="28" max="29" width="4.21875" style="272" bestFit="1" customWidth="1"/>
    <col min="30" max="31" width="4.5546875" style="272" bestFit="1" customWidth="1"/>
    <col min="32" max="36" width="3.88671875" style="272" bestFit="1" customWidth="1"/>
    <col min="37" max="16384" width="8.88671875" style="272"/>
  </cols>
  <sheetData>
    <row r="1" spans="1:36" x14ac:dyDescent="0.3">
      <c r="A1" s="271" t="s">
        <v>103</v>
      </c>
      <c r="B1" s="271" t="s">
        <v>104</v>
      </c>
      <c r="C1" s="271" t="s">
        <v>105</v>
      </c>
      <c r="D1" s="271" t="s">
        <v>23</v>
      </c>
      <c r="E1" s="271" t="s">
        <v>106</v>
      </c>
      <c r="F1" s="271" t="s">
        <v>107</v>
      </c>
      <c r="G1" s="271" t="s">
        <v>16</v>
      </c>
      <c r="H1" s="271" t="s">
        <v>108</v>
      </c>
      <c r="I1" s="271" t="s">
        <v>109</v>
      </c>
      <c r="J1" s="271" t="s">
        <v>110</v>
      </c>
      <c r="K1" s="271" t="s">
        <v>111</v>
      </c>
      <c r="L1" s="271" t="s">
        <v>18</v>
      </c>
      <c r="M1" s="271" t="s">
        <v>20</v>
      </c>
      <c r="N1" s="271" t="s">
        <v>21</v>
      </c>
      <c r="O1" s="271" t="s">
        <v>19</v>
      </c>
      <c r="P1" s="271" t="s">
        <v>22</v>
      </c>
      <c r="Q1" s="271" t="s">
        <v>112</v>
      </c>
      <c r="R1" s="271" t="s">
        <v>113</v>
      </c>
      <c r="S1" s="271" t="s">
        <v>114</v>
      </c>
      <c r="T1" s="271" t="s">
        <v>115</v>
      </c>
      <c r="U1" s="271" t="s">
        <v>116</v>
      </c>
      <c r="V1" s="271" t="s">
        <v>117</v>
      </c>
      <c r="W1" s="271" t="s">
        <v>118</v>
      </c>
      <c r="X1" s="271" t="s">
        <v>119</v>
      </c>
      <c r="Y1" s="271" t="s">
        <v>120</v>
      </c>
      <c r="Z1" s="271" t="s">
        <v>121</v>
      </c>
      <c r="AA1" s="271" t="s">
        <v>122</v>
      </c>
      <c r="AB1" s="271" t="s">
        <v>123</v>
      </c>
      <c r="AC1" s="271" t="s">
        <v>124</v>
      </c>
      <c r="AD1" s="271" t="s">
        <v>125</v>
      </c>
      <c r="AE1" s="271" t="s">
        <v>126</v>
      </c>
      <c r="AF1" s="271" t="s">
        <v>127</v>
      </c>
      <c r="AG1" s="271" t="s">
        <v>128</v>
      </c>
      <c r="AH1" s="271" t="s">
        <v>129</v>
      </c>
      <c r="AI1" s="271" t="s">
        <v>130</v>
      </c>
      <c r="AJ1" s="271" t="s">
        <v>131</v>
      </c>
    </row>
    <row r="2" spans="1:36" x14ac:dyDescent="0.3">
      <c r="A2" s="273" t="s">
        <v>377</v>
      </c>
      <c r="B2" s="274">
        <v>45982</v>
      </c>
      <c r="C2" s="275" t="s">
        <v>870</v>
      </c>
      <c r="D2" s="276" t="s">
        <v>872</v>
      </c>
      <c r="E2" s="275" t="s">
        <v>869</v>
      </c>
      <c r="F2" s="275" t="s">
        <v>134</v>
      </c>
      <c r="G2" s="277">
        <v>0.92179999999999995</v>
      </c>
      <c r="H2" s="278">
        <v>179</v>
      </c>
      <c r="I2" s="278">
        <v>165</v>
      </c>
      <c r="J2" s="278">
        <v>0</v>
      </c>
      <c r="K2" s="275" t="s">
        <v>135</v>
      </c>
      <c r="L2" s="279">
        <v>45980</v>
      </c>
      <c r="M2" s="278">
        <v>5</v>
      </c>
      <c r="N2" s="278">
        <v>3</v>
      </c>
      <c r="O2" s="278">
        <v>53</v>
      </c>
      <c r="P2" s="275" t="s">
        <v>729</v>
      </c>
      <c r="Q2" s="271"/>
      <c r="R2" s="271"/>
      <c r="S2" s="271"/>
      <c r="T2" s="271"/>
      <c r="U2" s="271"/>
      <c r="V2" s="271"/>
      <c r="W2" s="271"/>
      <c r="X2" s="278" t="s">
        <v>873</v>
      </c>
      <c r="Y2" s="278" t="s">
        <v>874</v>
      </c>
      <c r="Z2" s="278" t="s">
        <v>488</v>
      </c>
      <c r="AA2" s="278" t="s">
        <v>875</v>
      </c>
      <c r="AB2" s="278" t="s">
        <v>876</v>
      </c>
      <c r="AC2" s="278" t="s">
        <v>537</v>
      </c>
      <c r="AD2" s="278" t="s">
        <v>530</v>
      </c>
      <c r="AE2" s="278" t="s">
        <v>877</v>
      </c>
      <c r="AF2" s="271"/>
      <c r="AG2" s="271"/>
      <c r="AH2" s="271"/>
      <c r="AI2" s="271"/>
      <c r="AJ2" s="271"/>
    </row>
    <row r="3" spans="1:36" ht="21" x14ac:dyDescent="0.3">
      <c r="A3" s="280" t="s">
        <v>932</v>
      </c>
      <c r="B3" s="281"/>
      <c r="C3" s="280">
        <f>SUBTOTAL(103,ATZ_AHB_LF_LEGACY[Flt])</f>
        <v>1</v>
      </c>
      <c r="D3" s="280"/>
      <c r="E3" s="280">
        <f>SUBTOTAL(103,ATZ_AHB_LF_LEGACY[Brd-Off])</f>
        <v>1</v>
      </c>
      <c r="F3" s="280"/>
      <c r="G3" s="282">
        <f>SUBTOTAL(101,ATZ_AHB_LF_LEGACY[LF%])</f>
        <v>0.92179999999999995</v>
      </c>
      <c r="H3" s="283">
        <f>SUBTOTAL(109,ATZ_AHB_LF_LEGACY[CAP])</f>
        <v>179</v>
      </c>
      <c r="I3" s="283">
        <f>SUBTOTAL(109,ATZ_AHB_LF_LEGACY[BKG(Y)])</f>
        <v>165</v>
      </c>
      <c r="J3" s="283">
        <f>SUBTOTAL(109,ATZ_AHB_LF_LEGACY[GRP(Y)])</f>
        <v>0</v>
      </c>
      <c r="K3" s="280"/>
      <c r="L3" s="281"/>
      <c r="M3" s="283">
        <f>SUBTOTAL(109,ATZ_AHB_LF_LEGACY[TO-DAY])</f>
        <v>5</v>
      </c>
      <c r="N3" s="283">
        <f>SUBTOTAL(109,ATZ_AHB_LF_LEGACY[Y-DAY])</f>
        <v>3</v>
      </c>
      <c r="O3" s="283">
        <f>SUBTOTAL(109,ATZ_AHB_LF_LEGACY[WEEKLY])</f>
        <v>53</v>
      </c>
      <c r="P3" s="284"/>
      <c r="Q3" s="283">
        <f>SUBTOTAL(109,ATZ_AHB_LF_LEGACY[Y])</f>
        <v>0</v>
      </c>
      <c r="R3" s="283">
        <f>SUBTOTAL(109,ATZ_AHB_LF_LEGACY[B])</f>
        <v>0</v>
      </c>
      <c r="S3" s="283">
        <f>SUBTOTAL(109,ATZ_AHB_LF_LEGACY[M])</f>
        <v>0</v>
      </c>
      <c r="T3" s="283">
        <f>SUBTOTAL(109,ATZ_AHB_LF_LEGACY[H])</f>
        <v>0</v>
      </c>
      <c r="U3" s="283">
        <f>SUBTOTAL(109,ATZ_AHB_LF_LEGACY[Q])</f>
        <v>0</v>
      </c>
      <c r="V3" s="283">
        <f>SUBTOTAL(109,ATZ_AHB_LF_LEGACY[K])</f>
        <v>0</v>
      </c>
      <c r="W3" s="283">
        <f>SUBTOTAL(109,ATZ_AHB_LF_LEGACY[V])</f>
        <v>0</v>
      </c>
      <c r="X3" s="283">
        <f>SUBTOTAL(109,ATZ_AHB_LF_LEGACY[L])</f>
        <v>0</v>
      </c>
      <c r="Y3" s="283">
        <f>SUBTOTAL(109,ATZ_AHB_LF_LEGACY[G])</f>
        <v>0</v>
      </c>
      <c r="Z3" s="283">
        <f>SUBTOTAL(109,ATZ_AHB_LF_LEGACY[S])</f>
        <v>0</v>
      </c>
      <c r="AA3" s="283">
        <f>SUBTOTAL(109,ATZ_AHB_LF_LEGACY[W])</f>
        <v>0</v>
      </c>
      <c r="AB3" s="283">
        <f>SUBTOTAL(109,ATZ_AHB_LF_LEGACY[T])</f>
        <v>0</v>
      </c>
      <c r="AC3" s="283">
        <f>SUBTOTAL(109,ATZ_AHB_LF_LEGACY[X])</f>
        <v>0</v>
      </c>
      <c r="AD3" s="283">
        <f>SUBTOTAL(109,ATZ_AHB_LF_LEGACY[U])</f>
        <v>0</v>
      </c>
      <c r="AE3" s="283">
        <f>SUBTOTAL(109,ATZ_AHB_LF_LEGACY[O])</f>
        <v>0</v>
      </c>
      <c r="AF3" s="283">
        <f>SUBTOTAL(109,ATZ_AHB_LF_LEGACY[I])</f>
        <v>0</v>
      </c>
      <c r="AG3" s="283">
        <f>SUBTOTAL(109,ATZ_AHB_LF_LEGACY[E])</f>
        <v>0</v>
      </c>
      <c r="AH3" s="283">
        <f>SUBTOTAL(109,ATZ_AHB_LF_LEGACY[A])</f>
        <v>0</v>
      </c>
      <c r="AI3" s="283">
        <f>SUBTOTAL(109,ATZ_AHB_LF_LEGACY[P])</f>
        <v>0</v>
      </c>
      <c r="AJ3" s="283">
        <f>SUBTOTAL(103,ATZ_AHB_LF_LEGACY[N])</f>
        <v>0</v>
      </c>
    </row>
  </sheetData>
  <pageMargins left="0.75" right="0.75" top="1" bottom="1" header="0.5" footer="0.5"/>
  <tableParts count="1">
    <tablePart r:id="rId1"/>
  </tableParts>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I8"/>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2.77734375" bestFit="1" customWidth="1"/>
    <col min="7" max="7" width="20" bestFit="1" customWidth="1"/>
    <col min="8" max="8" width="23.6640625" bestFit="1" customWidth="1"/>
    <col min="9" max="9" width="188.21875" hidden="1" customWidth="1"/>
  </cols>
  <sheetData>
    <row r="1" spans="1:8" ht="18" x14ac:dyDescent="0.3">
      <c r="A1" s="56" t="s">
        <v>149</v>
      </c>
      <c r="B1" s="57" t="s">
        <v>8</v>
      </c>
      <c r="C1" s="57" t="s">
        <v>9</v>
      </c>
      <c r="D1" s="57" t="s">
        <v>150</v>
      </c>
      <c r="E1" s="57" t="s">
        <v>10</v>
      </c>
      <c r="F1" s="57" t="s">
        <v>11</v>
      </c>
      <c r="G1" s="57" t="s">
        <v>12</v>
      </c>
      <c r="H1" s="58" t="s">
        <v>13</v>
      </c>
    </row>
    <row r="2" spans="1:8" ht="19.8" customHeight="1" x14ac:dyDescent="0.3">
      <c r="A2" s="100"/>
      <c r="B2" s="101"/>
      <c r="C2" s="101"/>
      <c r="D2" s="101"/>
      <c r="E2" s="101"/>
      <c r="F2" s="102" t="s">
        <v>878</v>
      </c>
      <c r="G2" s="101"/>
      <c r="H2" s="103"/>
    </row>
    <row r="3" spans="1:8" ht="19.8" customHeight="1" x14ac:dyDescent="0.3">
      <c r="A3" s="59" t="s">
        <v>151</v>
      </c>
      <c r="B3" s="60" t="s">
        <v>235</v>
      </c>
      <c r="C3" s="61" t="s">
        <v>842</v>
      </c>
      <c r="D3" s="60" t="s">
        <v>841</v>
      </c>
      <c r="E3" s="60" t="s">
        <v>868</v>
      </c>
      <c r="F3" s="60" t="s">
        <v>98</v>
      </c>
      <c r="G3" s="62">
        <v>5</v>
      </c>
      <c r="H3" s="63" t="s">
        <v>843</v>
      </c>
    </row>
    <row r="4" spans="1:8" ht="19.8" customHeight="1" x14ac:dyDescent="0.3">
      <c r="A4" s="113" t="s">
        <v>151</v>
      </c>
      <c r="B4" s="71" t="s">
        <v>78</v>
      </c>
      <c r="C4" s="72" t="s">
        <v>844</v>
      </c>
      <c r="D4" s="71" t="s">
        <v>841</v>
      </c>
      <c r="E4" s="71" t="s">
        <v>192</v>
      </c>
      <c r="F4" s="71" t="s">
        <v>98</v>
      </c>
      <c r="G4" s="74">
        <v>1</v>
      </c>
      <c r="H4" s="75" t="s">
        <v>845</v>
      </c>
    </row>
    <row r="5" spans="1:8" ht="19.8" customHeight="1" x14ac:dyDescent="0.3">
      <c r="A5" s="64" t="s">
        <v>201</v>
      </c>
      <c r="B5" s="65" t="s">
        <v>78</v>
      </c>
      <c r="C5" s="66" t="s">
        <v>879</v>
      </c>
      <c r="D5" s="65" t="s">
        <v>869</v>
      </c>
      <c r="E5" s="65" t="s">
        <v>872</v>
      </c>
      <c r="F5" s="65"/>
      <c r="G5" s="65"/>
      <c r="H5" s="67" t="s">
        <v>513</v>
      </c>
    </row>
    <row r="6" spans="1:8" ht="19.8" customHeight="1" x14ac:dyDescent="0.3">
      <c r="A6" s="100"/>
      <c r="B6" s="101"/>
      <c r="C6" s="101"/>
      <c r="D6" s="101"/>
      <c r="E6" s="101"/>
      <c r="F6" s="102" t="s">
        <v>878</v>
      </c>
      <c r="G6" s="101"/>
      <c r="H6" s="103"/>
    </row>
    <row r="7" spans="1:8" ht="19.8" customHeight="1" x14ac:dyDescent="0.3">
      <c r="A7" s="68">
        <v>45983</v>
      </c>
      <c r="B7" s="60" t="s">
        <v>235</v>
      </c>
      <c r="C7" s="61" t="s">
        <v>849</v>
      </c>
      <c r="D7" s="60" t="s">
        <v>841</v>
      </c>
      <c r="E7" s="69">
        <v>1.0034722222222221</v>
      </c>
      <c r="F7" s="60" t="s">
        <v>98</v>
      </c>
      <c r="G7" s="62">
        <v>8</v>
      </c>
      <c r="H7" s="63" t="s">
        <v>843</v>
      </c>
    </row>
    <row r="8" spans="1:8" ht="19.8" customHeight="1" x14ac:dyDescent="0.3">
      <c r="A8" s="70">
        <v>45983</v>
      </c>
      <c r="B8" s="71" t="s">
        <v>78</v>
      </c>
      <c r="C8" s="72" t="s">
        <v>844</v>
      </c>
      <c r="D8" s="71" t="s">
        <v>841</v>
      </c>
      <c r="E8" s="73">
        <v>1.802083333333333</v>
      </c>
      <c r="F8" s="71" t="s">
        <v>98</v>
      </c>
      <c r="G8" s="74">
        <v>9</v>
      </c>
      <c r="H8" s="75" t="s">
        <v>845</v>
      </c>
    </row>
  </sheetData>
  <pageMargins left="0.75" right="0.75" top="1" bottom="1" header="0.5" footer="0.5"/>
  <legacyDrawing r:id="rId1"/>
  <tableParts count="1">
    <tablePart r:id="rId2"/>
  </tablePart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CN24"/>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36.77734375" bestFit="1" customWidth="1"/>
  </cols>
  <sheetData>
    <row r="1" spans="1:92" ht="28.8" customHeight="1" x14ac:dyDescent="0.3">
      <c r="A1" s="261" t="s">
        <v>0</v>
      </c>
      <c r="B1" s="251"/>
      <c r="C1" s="251"/>
      <c r="D1" s="251"/>
      <c r="E1" s="251"/>
      <c r="F1" s="1" t="s">
        <v>880</v>
      </c>
      <c r="G1" s="2" t="s">
        <v>2</v>
      </c>
      <c r="H1" s="260">
        <v>45981</v>
      </c>
      <c r="I1" s="251"/>
      <c r="J1" s="251"/>
      <c r="K1" s="251"/>
      <c r="L1" s="251"/>
      <c r="M1" s="1" t="s">
        <v>3</v>
      </c>
      <c r="N1" s="266">
        <v>45983</v>
      </c>
      <c r="O1" s="251"/>
      <c r="P1" s="251"/>
      <c r="Q1" s="251"/>
      <c r="R1" s="251"/>
      <c r="CA1" s="3"/>
      <c r="CB1" s="3"/>
      <c r="CC1" s="3"/>
      <c r="CD1" s="3"/>
      <c r="CE1" s="3"/>
      <c r="CF1" s="3"/>
      <c r="CG1" s="3"/>
      <c r="CH1" s="3"/>
      <c r="CI1" s="3"/>
      <c r="CJ1" s="3"/>
      <c r="CK1" s="3"/>
      <c r="CL1" s="3"/>
      <c r="CM1" s="3"/>
      <c r="CN1" s="3"/>
    </row>
    <row r="2" spans="1:92" ht="23.4" customHeight="1" x14ac:dyDescent="0.3">
      <c r="A2" s="250" t="s">
        <v>4</v>
      </c>
      <c r="B2" s="251"/>
      <c r="C2" s="251"/>
      <c r="D2" s="251"/>
      <c r="E2" s="251"/>
      <c r="F2" s="251"/>
      <c r="G2" s="262">
        <v>45980.493115785022</v>
      </c>
      <c r="H2" s="251"/>
      <c r="I2" s="251"/>
      <c r="J2" s="251"/>
      <c r="K2" s="263">
        <v>45980.493115785277</v>
      </c>
      <c r="L2" s="251"/>
      <c r="M2" s="251"/>
      <c r="N2" s="251"/>
      <c r="O2" s="251"/>
      <c r="P2" s="251"/>
      <c r="Q2" s="251"/>
      <c r="R2" s="251"/>
      <c r="CA2" s="3"/>
      <c r="CB2" s="3"/>
      <c r="CC2" s="3"/>
      <c r="CD2" s="3"/>
      <c r="CE2" s="3"/>
      <c r="CF2" s="3"/>
      <c r="CG2" s="3"/>
      <c r="CH2" s="3"/>
      <c r="CI2" s="3"/>
      <c r="CJ2" s="3"/>
      <c r="CK2" s="3"/>
      <c r="CL2" s="3"/>
      <c r="CM2" s="3"/>
      <c r="CN2" s="3"/>
    </row>
    <row r="3" spans="1:92" ht="24" customHeight="1" x14ac:dyDescent="0.3">
      <c r="A3" s="252" t="s">
        <v>5</v>
      </c>
      <c r="B3" s="251"/>
      <c r="C3" s="251"/>
      <c r="D3" s="251"/>
      <c r="E3" s="251"/>
      <c r="F3" s="251"/>
      <c r="G3" s="251"/>
      <c r="H3" s="251"/>
      <c r="I3" s="251"/>
      <c r="J3" s="251"/>
      <c r="K3" s="251"/>
      <c r="L3" s="251"/>
      <c r="M3" s="251"/>
      <c r="N3" s="251"/>
      <c r="O3" s="251"/>
      <c r="P3" s="251"/>
      <c r="Q3" s="251"/>
      <c r="R3" s="251"/>
      <c r="CA3" s="3"/>
      <c r="CB3" s="3"/>
      <c r="CC3" s="3"/>
      <c r="CD3" s="3"/>
      <c r="CE3" s="3"/>
      <c r="CF3" s="3"/>
      <c r="CG3" s="3"/>
      <c r="CH3" s="3"/>
      <c r="CI3" s="3"/>
      <c r="CJ3" s="3"/>
      <c r="CK3" s="3"/>
      <c r="CL3" s="3"/>
      <c r="CM3" s="3"/>
      <c r="CN3" s="3"/>
    </row>
    <row r="4" spans="1:92" ht="22.05" customHeight="1" x14ac:dyDescent="0.3">
      <c r="A4" s="264" t="s">
        <v>6</v>
      </c>
      <c r="B4" s="254"/>
      <c r="C4" s="254"/>
      <c r="D4" s="254"/>
      <c r="E4" s="254"/>
      <c r="F4" s="255"/>
      <c r="G4" s="4">
        <v>45981</v>
      </c>
      <c r="H4" s="265" t="s">
        <v>7</v>
      </c>
      <c r="I4" s="254"/>
      <c r="J4" s="254"/>
      <c r="K4" s="254"/>
      <c r="L4" s="254"/>
      <c r="M4" s="254"/>
      <c r="N4" s="254"/>
      <c r="O4" s="254"/>
      <c r="P4" s="254"/>
      <c r="Q4" s="254"/>
      <c r="R4" s="25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235</v>
      </c>
      <c r="B6" s="8" t="s">
        <v>881</v>
      </c>
      <c r="C6" s="9">
        <v>0.48958333333333331</v>
      </c>
      <c r="D6" s="8" t="s">
        <v>98</v>
      </c>
      <c r="E6" s="8" t="s">
        <v>54</v>
      </c>
      <c r="F6" s="8" t="s">
        <v>766</v>
      </c>
      <c r="G6" s="270"/>
      <c r="H6" s="10"/>
      <c r="I6" s="11"/>
      <c r="J6" s="11"/>
      <c r="K6" s="11"/>
      <c r="L6" s="11"/>
      <c r="M6" s="11"/>
      <c r="N6" s="11"/>
      <c r="O6" s="12"/>
      <c r="P6" s="11"/>
      <c r="Q6" s="13"/>
      <c r="R6" s="14"/>
    </row>
    <row r="7" spans="1:92" ht="15" customHeight="1" x14ac:dyDescent="0.3">
      <c r="A7" s="203" t="s">
        <v>78</v>
      </c>
      <c r="B7" s="203" t="s">
        <v>882</v>
      </c>
      <c r="C7" s="204">
        <v>0.63194444444444442</v>
      </c>
      <c r="D7" s="203" t="s">
        <v>98</v>
      </c>
      <c r="E7" s="203" t="s">
        <v>54</v>
      </c>
      <c r="F7" s="203" t="s">
        <v>637</v>
      </c>
      <c r="G7" s="257"/>
      <c r="H7" s="129" t="s">
        <v>883</v>
      </c>
      <c r="I7" s="155">
        <v>0.58099999999999996</v>
      </c>
      <c r="J7" s="131">
        <v>104</v>
      </c>
      <c r="K7" s="132">
        <v>45979</v>
      </c>
      <c r="L7" s="131">
        <v>44</v>
      </c>
      <c r="M7" s="131">
        <v>0</v>
      </c>
      <c r="N7" s="131">
        <v>7</v>
      </c>
      <c r="O7" s="133" t="s">
        <v>301</v>
      </c>
      <c r="P7" s="134">
        <v>0.63194444444444442</v>
      </c>
      <c r="Q7" s="131">
        <v>179</v>
      </c>
      <c r="R7" s="135" t="s">
        <v>884</v>
      </c>
    </row>
    <row r="8" spans="1:92" ht="15" customHeight="1" x14ac:dyDescent="0.3">
      <c r="A8" s="19" t="s">
        <v>328</v>
      </c>
      <c r="B8" s="19" t="s">
        <v>885</v>
      </c>
      <c r="C8" s="20">
        <v>0.4548611111111111</v>
      </c>
      <c r="D8" s="19" t="s">
        <v>98</v>
      </c>
      <c r="E8" s="19" t="s">
        <v>54</v>
      </c>
      <c r="F8" s="19" t="s">
        <v>886</v>
      </c>
      <c r="G8" s="257"/>
      <c r="H8" s="10"/>
      <c r="I8" s="11"/>
      <c r="J8" s="11"/>
      <c r="K8" s="11"/>
      <c r="L8" s="11"/>
      <c r="M8" s="11"/>
      <c r="N8" s="11"/>
      <c r="O8" s="12"/>
      <c r="P8" s="11"/>
      <c r="Q8" s="13"/>
      <c r="R8" s="14"/>
    </row>
    <row r="9" spans="1:92" ht="15" customHeight="1" x14ac:dyDescent="0.3">
      <c r="A9" s="19" t="s">
        <v>260</v>
      </c>
      <c r="B9" s="19" t="s">
        <v>887</v>
      </c>
      <c r="C9" s="20">
        <v>0.76736111111111116</v>
      </c>
      <c r="D9" s="19" t="s">
        <v>262</v>
      </c>
      <c r="E9" s="19" t="s">
        <v>29</v>
      </c>
      <c r="F9" s="19" t="s">
        <v>888</v>
      </c>
      <c r="G9" s="257"/>
      <c r="H9" s="10"/>
      <c r="I9" s="11"/>
      <c r="J9" s="11"/>
      <c r="K9" s="11"/>
      <c r="L9" s="11"/>
      <c r="M9" s="11"/>
      <c r="N9" s="11"/>
      <c r="O9" s="12"/>
      <c r="P9" s="11"/>
      <c r="Q9" s="13"/>
      <c r="R9" s="14"/>
    </row>
    <row r="10" spans="1:92" ht="15" customHeight="1" x14ac:dyDescent="0.3">
      <c r="A10" s="15" t="s">
        <v>260</v>
      </c>
      <c r="B10" s="15" t="s">
        <v>887</v>
      </c>
      <c r="C10" s="16">
        <v>0.76736111111111116</v>
      </c>
      <c r="D10" s="15" t="s">
        <v>49</v>
      </c>
      <c r="E10" s="15" t="s">
        <v>32</v>
      </c>
      <c r="F10" s="15" t="s">
        <v>889</v>
      </c>
      <c r="G10" s="257"/>
      <c r="H10" s="10"/>
      <c r="I10" s="11"/>
      <c r="J10" s="11"/>
      <c r="K10" s="11"/>
      <c r="L10" s="11"/>
      <c r="M10" s="11"/>
      <c r="N10" s="11"/>
      <c r="O10" s="12"/>
      <c r="P10" s="11"/>
      <c r="Q10" s="13"/>
      <c r="R10" s="14"/>
    </row>
    <row r="11" spans="1:92" ht="15" customHeight="1" thickBot="1" x14ac:dyDescent="0.35">
      <c r="A11" s="206" t="s">
        <v>67</v>
      </c>
      <c r="B11" s="206" t="s">
        <v>890</v>
      </c>
      <c r="C11" s="207">
        <v>0.87152777777777779</v>
      </c>
      <c r="D11" s="206" t="s">
        <v>69</v>
      </c>
      <c r="E11" s="206" t="s">
        <v>54</v>
      </c>
      <c r="F11" s="206" t="s">
        <v>891</v>
      </c>
      <c r="G11" s="258"/>
      <c r="H11" s="41"/>
      <c r="I11" s="42"/>
      <c r="J11" s="42"/>
      <c r="K11" s="42"/>
      <c r="L11" s="42"/>
      <c r="M11" s="42"/>
      <c r="N11" s="42"/>
      <c r="O11" s="43"/>
      <c r="P11" s="42"/>
      <c r="Q11" s="44"/>
      <c r="R11" s="45"/>
    </row>
    <row r="12" spans="1:92" ht="17.399999999999999" customHeight="1" thickBot="1" x14ac:dyDescent="0.35">
      <c r="A12" s="285"/>
      <c r="B12" s="286"/>
      <c r="C12" s="286"/>
      <c r="D12" s="286"/>
      <c r="E12" s="286"/>
      <c r="F12" s="286"/>
      <c r="G12" s="286"/>
      <c r="H12" s="286"/>
      <c r="I12" s="286"/>
      <c r="J12" s="286"/>
      <c r="K12" s="286"/>
      <c r="L12" s="286"/>
      <c r="M12" s="286"/>
      <c r="N12" s="286"/>
      <c r="O12" s="286"/>
      <c r="P12" s="286"/>
      <c r="Q12" s="286"/>
      <c r="R12" s="287"/>
    </row>
    <row r="13" spans="1:92" ht="22.05" customHeight="1" thickTop="1" thickBot="1" x14ac:dyDescent="0.35">
      <c r="A13" s="259" t="s">
        <v>6</v>
      </c>
      <c r="B13" s="254"/>
      <c r="C13" s="254"/>
      <c r="D13" s="254"/>
      <c r="E13" s="254"/>
      <c r="F13" s="255"/>
      <c r="G13" s="31">
        <v>45982</v>
      </c>
      <c r="H13" s="253" t="s">
        <v>7</v>
      </c>
      <c r="I13" s="254"/>
      <c r="J13" s="254"/>
      <c r="K13" s="254"/>
      <c r="L13" s="254"/>
      <c r="M13" s="254"/>
      <c r="N13" s="254"/>
      <c r="O13" s="254"/>
      <c r="P13" s="254"/>
      <c r="Q13" s="254"/>
      <c r="R13" s="255"/>
    </row>
    <row r="14" spans="1:92" ht="24" customHeight="1" x14ac:dyDescent="0.3">
      <c r="A14" s="32" t="s">
        <v>8</v>
      </c>
      <c r="B14" s="32" t="s">
        <v>9</v>
      </c>
      <c r="C14" s="33" t="s">
        <v>10</v>
      </c>
      <c r="D14" s="32" t="s">
        <v>11</v>
      </c>
      <c r="E14" s="32" t="s">
        <v>12</v>
      </c>
      <c r="F14" s="34" t="s">
        <v>13</v>
      </c>
      <c r="G14" s="35" t="s">
        <v>14</v>
      </c>
      <c r="H14" s="32" t="s">
        <v>15</v>
      </c>
      <c r="I14" s="36" t="s">
        <v>16</v>
      </c>
      <c r="J14" s="37" t="s">
        <v>17</v>
      </c>
      <c r="K14" s="38" t="s">
        <v>18</v>
      </c>
      <c r="L14" s="37" t="s">
        <v>19</v>
      </c>
      <c r="M14" s="37" t="s">
        <v>20</v>
      </c>
      <c r="N14" s="37" t="s">
        <v>21</v>
      </c>
      <c r="O14" s="32" t="s">
        <v>22</v>
      </c>
      <c r="P14" s="33" t="s">
        <v>23</v>
      </c>
      <c r="Q14" s="37" t="s">
        <v>24</v>
      </c>
      <c r="R14" s="32" t="s">
        <v>25</v>
      </c>
    </row>
    <row r="15" spans="1:92" ht="49.95" customHeight="1" x14ac:dyDescent="0.3">
      <c r="A15" s="208" t="s">
        <v>78</v>
      </c>
      <c r="B15" s="208" t="s">
        <v>882</v>
      </c>
      <c r="C15" s="209">
        <v>0.82986111111111116</v>
      </c>
      <c r="D15" s="208" t="s">
        <v>98</v>
      </c>
      <c r="E15" s="208" t="s">
        <v>450</v>
      </c>
      <c r="F15" s="208" t="s">
        <v>637</v>
      </c>
      <c r="G15" s="256"/>
      <c r="H15" s="148" t="s">
        <v>883</v>
      </c>
      <c r="I15" s="246">
        <v>0.41899999999999998</v>
      </c>
      <c r="J15" s="150">
        <v>75</v>
      </c>
      <c r="K15" s="151">
        <v>45979</v>
      </c>
      <c r="L15" s="150">
        <v>44</v>
      </c>
      <c r="M15" s="150">
        <v>0</v>
      </c>
      <c r="N15" s="150">
        <v>9</v>
      </c>
      <c r="O15" s="152" t="s">
        <v>407</v>
      </c>
      <c r="P15" s="153">
        <v>0.82986111111111116</v>
      </c>
      <c r="Q15" s="150">
        <v>179</v>
      </c>
      <c r="R15" s="154" t="s">
        <v>892</v>
      </c>
    </row>
    <row r="16" spans="1:92" ht="49.95" customHeight="1" x14ac:dyDescent="0.3">
      <c r="A16" s="19" t="s">
        <v>328</v>
      </c>
      <c r="B16" s="19" t="s">
        <v>885</v>
      </c>
      <c r="C16" s="20">
        <v>0.69791666666666663</v>
      </c>
      <c r="D16" s="19" t="s">
        <v>98</v>
      </c>
      <c r="E16" s="19" t="s">
        <v>92</v>
      </c>
      <c r="F16" s="19" t="s">
        <v>893</v>
      </c>
      <c r="G16" s="257"/>
      <c r="H16" s="10"/>
      <c r="I16" s="11"/>
      <c r="J16" s="11"/>
      <c r="K16" s="11"/>
      <c r="L16" s="11"/>
      <c r="M16" s="11"/>
      <c r="N16" s="11"/>
      <c r="O16" s="12"/>
      <c r="P16" s="11"/>
      <c r="Q16" s="13"/>
      <c r="R16" s="14"/>
    </row>
    <row r="17" spans="1:18" ht="49.95" customHeight="1" x14ac:dyDescent="0.3">
      <c r="A17" s="19" t="s">
        <v>235</v>
      </c>
      <c r="B17" s="19" t="s">
        <v>881</v>
      </c>
      <c r="C17" s="20">
        <v>0.48958333333333331</v>
      </c>
      <c r="D17" s="19" t="s">
        <v>98</v>
      </c>
      <c r="E17" s="19" t="s">
        <v>99</v>
      </c>
      <c r="F17" s="19" t="s">
        <v>894</v>
      </c>
      <c r="G17" s="257"/>
      <c r="H17" s="10"/>
      <c r="I17" s="11"/>
      <c r="J17" s="11"/>
      <c r="K17" s="11"/>
      <c r="L17" s="11"/>
      <c r="M17" s="11"/>
      <c r="N17" s="11"/>
      <c r="O17" s="12"/>
      <c r="P17" s="11"/>
      <c r="Q17" s="13"/>
      <c r="R17" s="14"/>
    </row>
    <row r="18" spans="1:18" ht="49.95" customHeight="1" thickBot="1" x14ac:dyDescent="0.35">
      <c r="A18" s="206" t="s">
        <v>67</v>
      </c>
      <c r="B18" s="206" t="s">
        <v>890</v>
      </c>
      <c r="C18" s="207">
        <v>0.86805555555555547</v>
      </c>
      <c r="D18" s="206" t="s">
        <v>69</v>
      </c>
      <c r="E18" s="206" t="s">
        <v>54</v>
      </c>
      <c r="F18" s="206" t="s">
        <v>895</v>
      </c>
      <c r="G18" s="258"/>
      <c r="H18" s="41"/>
      <c r="I18" s="42"/>
      <c r="J18" s="42"/>
      <c r="K18" s="42"/>
      <c r="L18" s="42"/>
      <c r="M18" s="42"/>
      <c r="N18" s="42"/>
      <c r="O18" s="43"/>
      <c r="P18" s="42"/>
      <c r="Q18" s="44"/>
      <c r="R18" s="45"/>
    </row>
    <row r="19" spans="1:18" ht="17.399999999999999" customHeight="1" thickBot="1" x14ac:dyDescent="0.35">
      <c r="A19" s="285"/>
      <c r="B19" s="286"/>
      <c r="C19" s="286"/>
      <c r="D19" s="286"/>
      <c r="E19" s="286"/>
      <c r="F19" s="286"/>
      <c r="G19" s="286"/>
      <c r="H19" s="286"/>
      <c r="I19" s="286"/>
      <c r="J19" s="286"/>
      <c r="K19" s="286"/>
      <c r="L19" s="286"/>
      <c r="M19" s="286"/>
      <c r="N19" s="286"/>
      <c r="O19" s="286"/>
      <c r="P19" s="286"/>
      <c r="Q19" s="286"/>
      <c r="R19" s="287"/>
    </row>
    <row r="20" spans="1:18" ht="22.05" customHeight="1" thickTop="1" thickBot="1" x14ac:dyDescent="0.35">
      <c r="A20" s="259" t="s">
        <v>6</v>
      </c>
      <c r="B20" s="254"/>
      <c r="C20" s="254"/>
      <c r="D20" s="254"/>
      <c r="E20" s="254"/>
      <c r="F20" s="255"/>
      <c r="G20" s="31">
        <v>45983</v>
      </c>
      <c r="H20" s="253" t="s">
        <v>7</v>
      </c>
      <c r="I20" s="254"/>
      <c r="J20" s="254"/>
      <c r="K20" s="254"/>
      <c r="L20" s="254"/>
      <c r="M20" s="254"/>
      <c r="N20" s="254"/>
      <c r="O20" s="254"/>
      <c r="P20" s="254"/>
      <c r="Q20" s="254"/>
      <c r="R20" s="255"/>
    </row>
    <row r="21" spans="1:18" ht="24" customHeight="1" x14ac:dyDescent="0.3">
      <c r="A21" s="32" t="s">
        <v>8</v>
      </c>
      <c r="B21" s="32" t="s">
        <v>9</v>
      </c>
      <c r="C21" s="33" t="s">
        <v>10</v>
      </c>
      <c r="D21" s="32" t="s">
        <v>11</v>
      </c>
      <c r="E21" s="32" t="s">
        <v>12</v>
      </c>
      <c r="F21" s="34" t="s">
        <v>13</v>
      </c>
      <c r="G21" s="35" t="s">
        <v>14</v>
      </c>
      <c r="H21" s="32" t="s">
        <v>15</v>
      </c>
      <c r="I21" s="36" t="s">
        <v>16</v>
      </c>
      <c r="J21" s="37" t="s">
        <v>17</v>
      </c>
      <c r="K21" s="38" t="s">
        <v>18</v>
      </c>
      <c r="L21" s="37" t="s">
        <v>19</v>
      </c>
      <c r="M21" s="37" t="s">
        <v>20</v>
      </c>
      <c r="N21" s="37" t="s">
        <v>21</v>
      </c>
      <c r="O21" s="32" t="s">
        <v>22</v>
      </c>
      <c r="P21" s="33" t="s">
        <v>23</v>
      </c>
      <c r="Q21" s="37" t="s">
        <v>24</v>
      </c>
      <c r="R21" s="32" t="s">
        <v>25</v>
      </c>
    </row>
    <row r="22" spans="1:18" ht="49.95" customHeight="1" x14ac:dyDescent="0.3">
      <c r="A22" s="8" t="s">
        <v>328</v>
      </c>
      <c r="B22" s="8" t="s">
        <v>885</v>
      </c>
      <c r="C22" s="9">
        <v>0.4375</v>
      </c>
      <c r="D22" s="8" t="s">
        <v>98</v>
      </c>
      <c r="E22" s="8" t="s">
        <v>453</v>
      </c>
      <c r="F22" s="8" t="s">
        <v>893</v>
      </c>
      <c r="G22" s="256"/>
      <c r="H22" s="10"/>
      <c r="I22" s="11"/>
      <c r="J22" s="11"/>
      <c r="K22" s="11"/>
      <c r="L22" s="11"/>
      <c r="M22" s="11"/>
      <c r="N22" s="11"/>
      <c r="O22" s="12"/>
      <c r="P22" s="11"/>
      <c r="Q22" s="13"/>
      <c r="R22" s="14"/>
    </row>
    <row r="23" spans="1:18" ht="49.95" customHeight="1" x14ac:dyDescent="0.3">
      <c r="A23" s="19" t="s">
        <v>235</v>
      </c>
      <c r="B23" s="19" t="s">
        <v>896</v>
      </c>
      <c r="C23" s="20">
        <v>0.8125</v>
      </c>
      <c r="D23" s="19" t="s">
        <v>98</v>
      </c>
      <c r="E23" s="19" t="s">
        <v>92</v>
      </c>
      <c r="F23" s="19" t="s">
        <v>894</v>
      </c>
      <c r="G23" s="257"/>
      <c r="H23" s="10"/>
      <c r="I23" s="11"/>
      <c r="J23" s="11"/>
      <c r="K23" s="11"/>
      <c r="L23" s="11"/>
      <c r="M23" s="11"/>
      <c r="N23" s="11"/>
      <c r="O23" s="12"/>
      <c r="P23" s="11"/>
      <c r="Q23" s="13"/>
      <c r="R23" s="14"/>
    </row>
    <row r="24" spans="1:18" ht="49.95" customHeight="1" x14ac:dyDescent="0.3">
      <c r="A24" s="206" t="s">
        <v>67</v>
      </c>
      <c r="B24" s="206" t="s">
        <v>890</v>
      </c>
      <c r="C24" s="207">
        <v>0.87152777777777779</v>
      </c>
      <c r="D24" s="206" t="s">
        <v>69</v>
      </c>
      <c r="E24" s="206" t="s">
        <v>54</v>
      </c>
      <c r="F24" s="206" t="s">
        <v>897</v>
      </c>
      <c r="G24" s="258"/>
      <c r="H24" s="41"/>
      <c r="I24" s="42"/>
      <c r="J24" s="42"/>
      <c r="K24" s="42"/>
      <c r="L24" s="42"/>
      <c r="M24" s="42"/>
      <c r="N24" s="42"/>
      <c r="O24" s="43"/>
      <c r="P24" s="42"/>
      <c r="Q24" s="44"/>
      <c r="R24" s="45"/>
    </row>
  </sheetData>
  <mergeCells count="18">
    <mergeCell ref="H1:L1"/>
    <mergeCell ref="A1:E1"/>
    <mergeCell ref="G2:J2"/>
    <mergeCell ref="K2:R2"/>
    <mergeCell ref="A4:F4"/>
    <mergeCell ref="H4:R4"/>
    <mergeCell ref="N1:R1"/>
    <mergeCell ref="A2:F2"/>
    <mergeCell ref="A3:R3"/>
    <mergeCell ref="G22:G24"/>
    <mergeCell ref="A13:F13"/>
    <mergeCell ref="A19:R19"/>
    <mergeCell ref="H20:R20"/>
    <mergeCell ref="H13:R13"/>
    <mergeCell ref="G6:G11"/>
    <mergeCell ref="A20:F20"/>
    <mergeCell ref="G15:G18"/>
    <mergeCell ref="A12:R12"/>
  </mergeCells>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J4"/>
  <sheetViews>
    <sheetView workbookViewId="0"/>
  </sheetViews>
  <sheetFormatPr defaultRowHeight="15.6" outlineLevelCol="1" x14ac:dyDescent="0.3"/>
  <cols>
    <col min="1" max="1" width="9.88671875" style="272" bestFit="1" customWidth="1"/>
    <col min="2" max="2" width="10.44140625" style="272" bestFit="1" customWidth="1"/>
    <col min="3" max="3" width="6.77734375" style="272" bestFit="1" customWidth="1"/>
    <col min="4" max="4" width="5.5546875" style="272" bestFit="1" customWidth="1"/>
    <col min="5" max="5" width="7.88671875" style="272" bestFit="1" customWidth="1"/>
    <col min="6" max="6" width="4.21875" style="272" bestFit="1" customWidth="1"/>
    <col min="7" max="7" width="10" style="272" bestFit="1" customWidth="1"/>
    <col min="8" max="10" width="7" style="272" bestFit="1" customWidth="1"/>
    <col min="11" max="11" width="10.5546875" style="272" bestFit="1" customWidth="1"/>
    <col min="12" max="12" width="9.10937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25" width="3.88671875" style="272" bestFit="1" customWidth="1"/>
    <col min="26" max="26" width="4.109375" style="272" bestFit="1" customWidth="1"/>
    <col min="27" max="27" width="5" style="272" bestFit="1" customWidth="1"/>
    <col min="28" max="36" width="3.88671875" style="272" bestFit="1" customWidth="1"/>
    <col min="37" max="16384" width="8.88671875" style="272"/>
  </cols>
  <sheetData>
    <row r="1" spans="1:36" x14ac:dyDescent="0.3">
      <c r="A1" s="271" t="s">
        <v>103</v>
      </c>
      <c r="B1" s="271" t="s">
        <v>104</v>
      </c>
      <c r="C1" s="271" t="s">
        <v>105</v>
      </c>
      <c r="D1" s="271" t="s">
        <v>23</v>
      </c>
      <c r="E1" s="271" t="s">
        <v>106</v>
      </c>
      <c r="F1" s="271" t="s">
        <v>107</v>
      </c>
      <c r="G1" s="271" t="s">
        <v>16</v>
      </c>
      <c r="H1" s="271" t="s">
        <v>108</v>
      </c>
      <c r="I1" s="271" t="s">
        <v>109</v>
      </c>
      <c r="J1" s="271" t="s">
        <v>110</v>
      </c>
      <c r="K1" s="271" t="s">
        <v>111</v>
      </c>
      <c r="L1" s="271" t="s">
        <v>18</v>
      </c>
      <c r="M1" s="271" t="s">
        <v>20</v>
      </c>
      <c r="N1" s="271" t="s">
        <v>21</v>
      </c>
      <c r="O1" s="271" t="s">
        <v>19</v>
      </c>
      <c r="P1" s="271" t="s">
        <v>22</v>
      </c>
      <c r="Q1" s="271" t="s">
        <v>112</v>
      </c>
      <c r="R1" s="271" t="s">
        <v>113</v>
      </c>
      <c r="S1" s="271" t="s">
        <v>114</v>
      </c>
      <c r="T1" s="271" t="s">
        <v>115</v>
      </c>
      <c r="U1" s="271" t="s">
        <v>116</v>
      </c>
      <c r="V1" s="271" t="s">
        <v>117</v>
      </c>
      <c r="W1" s="271" t="s">
        <v>118</v>
      </c>
      <c r="X1" s="271" t="s">
        <v>119</v>
      </c>
      <c r="Y1" s="271" t="s">
        <v>120</v>
      </c>
      <c r="Z1" s="271" t="s">
        <v>121</v>
      </c>
      <c r="AA1" s="271" t="s">
        <v>122</v>
      </c>
      <c r="AB1" s="271" t="s">
        <v>123</v>
      </c>
      <c r="AC1" s="271" t="s">
        <v>124</v>
      </c>
      <c r="AD1" s="271" t="s">
        <v>125</v>
      </c>
      <c r="AE1" s="271" t="s">
        <v>126</v>
      </c>
      <c r="AF1" s="271" t="s">
        <v>127</v>
      </c>
      <c r="AG1" s="271" t="s">
        <v>128</v>
      </c>
      <c r="AH1" s="271" t="s">
        <v>129</v>
      </c>
      <c r="AI1" s="271" t="s">
        <v>130</v>
      </c>
      <c r="AJ1" s="271" t="s">
        <v>131</v>
      </c>
    </row>
    <row r="2" spans="1:36" x14ac:dyDescent="0.3">
      <c r="A2" s="273" t="s">
        <v>132</v>
      </c>
      <c r="B2" s="274">
        <v>45981</v>
      </c>
      <c r="C2" s="275" t="s">
        <v>883</v>
      </c>
      <c r="D2" s="276" t="s">
        <v>668</v>
      </c>
      <c r="E2" s="275" t="s">
        <v>880</v>
      </c>
      <c r="F2" s="275" t="s">
        <v>134</v>
      </c>
      <c r="G2" s="277">
        <v>0.58099999999999996</v>
      </c>
      <c r="H2" s="278">
        <v>179</v>
      </c>
      <c r="I2" s="278">
        <v>104</v>
      </c>
      <c r="J2" s="278">
        <v>0</v>
      </c>
      <c r="K2" s="275" t="s">
        <v>135</v>
      </c>
      <c r="L2" s="279">
        <v>45979</v>
      </c>
      <c r="M2" s="278">
        <v>0</v>
      </c>
      <c r="N2" s="278">
        <v>7</v>
      </c>
      <c r="O2" s="278">
        <v>44</v>
      </c>
      <c r="P2" s="275" t="s">
        <v>301</v>
      </c>
      <c r="Q2" s="271"/>
      <c r="R2" s="271"/>
      <c r="S2" s="271"/>
      <c r="T2" s="271"/>
      <c r="U2" s="271"/>
      <c r="V2" s="271"/>
      <c r="W2" s="271"/>
      <c r="X2" s="271"/>
      <c r="Y2" s="278" t="s">
        <v>898</v>
      </c>
      <c r="Z2" s="278" t="s">
        <v>730</v>
      </c>
      <c r="AA2" s="278" t="s">
        <v>899</v>
      </c>
      <c r="AB2" s="271"/>
      <c r="AC2" s="271"/>
      <c r="AD2" s="278" t="s">
        <v>900</v>
      </c>
      <c r="AE2" s="278" t="s">
        <v>901</v>
      </c>
      <c r="AF2" s="278" t="s">
        <v>656</v>
      </c>
      <c r="AG2" s="271"/>
      <c r="AH2" s="271"/>
      <c r="AI2" s="271"/>
      <c r="AJ2" s="271"/>
    </row>
    <row r="3" spans="1:36" x14ac:dyDescent="0.3">
      <c r="A3" s="273" t="s">
        <v>377</v>
      </c>
      <c r="B3" s="274">
        <v>45982</v>
      </c>
      <c r="C3" s="275" t="s">
        <v>883</v>
      </c>
      <c r="D3" s="276" t="s">
        <v>902</v>
      </c>
      <c r="E3" s="275" t="s">
        <v>880</v>
      </c>
      <c r="F3" s="275" t="s">
        <v>134</v>
      </c>
      <c r="G3" s="277">
        <v>0.41899999999999998</v>
      </c>
      <c r="H3" s="278">
        <v>179</v>
      </c>
      <c r="I3" s="278">
        <v>75</v>
      </c>
      <c r="J3" s="278">
        <v>0</v>
      </c>
      <c r="K3" s="275" t="s">
        <v>135</v>
      </c>
      <c r="L3" s="279">
        <v>45979</v>
      </c>
      <c r="M3" s="278">
        <v>0</v>
      </c>
      <c r="N3" s="278">
        <v>9</v>
      </c>
      <c r="O3" s="278">
        <v>44</v>
      </c>
      <c r="P3" s="275" t="s">
        <v>407</v>
      </c>
      <c r="Q3" s="271"/>
      <c r="R3" s="271"/>
      <c r="S3" s="271"/>
      <c r="T3" s="271"/>
      <c r="U3" s="271"/>
      <c r="V3" s="271"/>
      <c r="W3" s="271"/>
      <c r="X3" s="271"/>
      <c r="Y3" s="278" t="s">
        <v>903</v>
      </c>
      <c r="Z3" s="278" t="s">
        <v>360</v>
      </c>
      <c r="AA3" s="278" t="s">
        <v>904</v>
      </c>
      <c r="AB3" s="271"/>
      <c r="AC3" s="271"/>
      <c r="AD3" s="271"/>
      <c r="AE3" s="278" t="s">
        <v>368</v>
      </c>
      <c r="AF3" s="278" t="s">
        <v>362</v>
      </c>
      <c r="AG3" s="271"/>
      <c r="AH3" s="271"/>
      <c r="AI3" s="271"/>
      <c r="AJ3" s="271"/>
    </row>
    <row r="4" spans="1:36" ht="21" x14ac:dyDescent="0.3">
      <c r="A4" s="280" t="s">
        <v>932</v>
      </c>
      <c r="B4" s="281"/>
      <c r="C4" s="280">
        <f>SUBTOTAL(103,CAI_ELQ_LF_LEGACY[Flt])</f>
        <v>2</v>
      </c>
      <c r="D4" s="280"/>
      <c r="E4" s="280">
        <f>SUBTOTAL(103,CAI_ELQ_LF_LEGACY[Brd-Off])</f>
        <v>2</v>
      </c>
      <c r="F4" s="280"/>
      <c r="G4" s="282">
        <f>SUBTOTAL(101,CAI_ELQ_LF_LEGACY[LF%])</f>
        <v>0.5</v>
      </c>
      <c r="H4" s="283">
        <f>SUBTOTAL(109,CAI_ELQ_LF_LEGACY[CAP])</f>
        <v>358</v>
      </c>
      <c r="I4" s="283">
        <f>SUBTOTAL(109,CAI_ELQ_LF_LEGACY[BKG(Y)])</f>
        <v>179</v>
      </c>
      <c r="J4" s="283">
        <f>SUBTOTAL(109,CAI_ELQ_LF_LEGACY[GRP(Y)])</f>
        <v>0</v>
      </c>
      <c r="K4" s="280"/>
      <c r="L4" s="281"/>
      <c r="M4" s="283">
        <f>SUBTOTAL(109,CAI_ELQ_LF_LEGACY[TO-DAY])</f>
        <v>0</v>
      </c>
      <c r="N4" s="283">
        <f>SUBTOTAL(109,CAI_ELQ_LF_LEGACY[Y-DAY])</f>
        <v>16</v>
      </c>
      <c r="O4" s="283">
        <f>SUBTOTAL(109,CAI_ELQ_LF_LEGACY[WEEKLY])</f>
        <v>88</v>
      </c>
      <c r="P4" s="284"/>
      <c r="Q4" s="283">
        <f>SUBTOTAL(109,CAI_ELQ_LF_LEGACY[Y])</f>
        <v>0</v>
      </c>
      <c r="R4" s="283">
        <f>SUBTOTAL(109,CAI_ELQ_LF_LEGACY[B])</f>
        <v>0</v>
      </c>
      <c r="S4" s="283">
        <f>SUBTOTAL(109,CAI_ELQ_LF_LEGACY[M])</f>
        <v>0</v>
      </c>
      <c r="T4" s="283">
        <f>SUBTOTAL(109,CAI_ELQ_LF_LEGACY[H])</f>
        <v>0</v>
      </c>
      <c r="U4" s="283">
        <f>SUBTOTAL(109,CAI_ELQ_LF_LEGACY[Q])</f>
        <v>0</v>
      </c>
      <c r="V4" s="283">
        <f>SUBTOTAL(109,CAI_ELQ_LF_LEGACY[K])</f>
        <v>0</v>
      </c>
      <c r="W4" s="283">
        <f>SUBTOTAL(109,CAI_ELQ_LF_LEGACY[V])</f>
        <v>0</v>
      </c>
      <c r="X4" s="283">
        <f>SUBTOTAL(109,CAI_ELQ_LF_LEGACY[L])</f>
        <v>0</v>
      </c>
      <c r="Y4" s="283">
        <f>SUBTOTAL(109,CAI_ELQ_LF_LEGACY[G])</f>
        <v>0</v>
      </c>
      <c r="Z4" s="283">
        <f>SUBTOTAL(109,CAI_ELQ_LF_LEGACY[S])</f>
        <v>0</v>
      </c>
      <c r="AA4" s="283">
        <f>SUBTOTAL(109,CAI_ELQ_LF_LEGACY[W])</f>
        <v>0</v>
      </c>
      <c r="AB4" s="283">
        <f>SUBTOTAL(109,CAI_ELQ_LF_LEGACY[T])</f>
        <v>0</v>
      </c>
      <c r="AC4" s="283">
        <f>SUBTOTAL(109,CAI_ELQ_LF_LEGACY[X])</f>
        <v>0</v>
      </c>
      <c r="AD4" s="283">
        <f>SUBTOTAL(109,CAI_ELQ_LF_LEGACY[U])</f>
        <v>0</v>
      </c>
      <c r="AE4" s="283">
        <f>SUBTOTAL(109,CAI_ELQ_LF_LEGACY[O])</f>
        <v>0</v>
      </c>
      <c r="AF4" s="283">
        <f>SUBTOTAL(109,CAI_ELQ_LF_LEGACY[I])</f>
        <v>0</v>
      </c>
      <c r="AG4" s="283">
        <f>SUBTOTAL(109,CAI_ELQ_LF_LEGACY[E])</f>
        <v>0</v>
      </c>
      <c r="AH4" s="283">
        <f>SUBTOTAL(109,CAI_ELQ_LF_LEGACY[A])</f>
        <v>0</v>
      </c>
      <c r="AI4" s="283">
        <f>SUBTOTAL(109,CAI_ELQ_LF_LEGACY[P])</f>
        <v>0</v>
      </c>
      <c r="AJ4" s="283">
        <f>SUBTOTAL(103,CAI_ELQ_LF_LEGACY[N])</f>
        <v>0</v>
      </c>
    </row>
  </sheetData>
  <pageMargins left="0.75" right="0.75" top="1" bottom="1" header="0.5" footer="0.5"/>
  <tableParts count="1">
    <tablePart r:id="rId1"/>
  </tableParts>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I14"/>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74.33203125" hidden="1" customWidth="1"/>
  </cols>
  <sheetData>
    <row r="1" spans="1:8" ht="18" x14ac:dyDescent="0.3">
      <c r="A1" s="56" t="s">
        <v>149</v>
      </c>
      <c r="B1" s="57" t="s">
        <v>8</v>
      </c>
      <c r="C1" s="57" t="s">
        <v>9</v>
      </c>
      <c r="D1" s="57" t="s">
        <v>150</v>
      </c>
      <c r="E1" s="57" t="s">
        <v>10</v>
      </c>
      <c r="F1" s="57" t="s">
        <v>11</v>
      </c>
      <c r="G1" s="57" t="s">
        <v>12</v>
      </c>
      <c r="H1" s="58" t="s">
        <v>13</v>
      </c>
    </row>
    <row r="2" spans="1:8" ht="19.8" customHeight="1" x14ac:dyDescent="0.3">
      <c r="A2" s="59" t="s">
        <v>151</v>
      </c>
      <c r="B2" s="60" t="s">
        <v>235</v>
      </c>
      <c r="C2" s="61" t="s">
        <v>881</v>
      </c>
      <c r="D2" s="60" t="s">
        <v>880</v>
      </c>
      <c r="E2" s="60" t="s">
        <v>415</v>
      </c>
      <c r="F2" s="60" t="s">
        <v>98</v>
      </c>
      <c r="G2" s="62">
        <v>9</v>
      </c>
      <c r="H2" s="63" t="s">
        <v>766</v>
      </c>
    </row>
    <row r="3" spans="1:8" ht="19.8" customHeight="1" x14ac:dyDescent="0.3">
      <c r="A3" s="99" t="s">
        <v>151</v>
      </c>
      <c r="B3" s="77" t="s">
        <v>78</v>
      </c>
      <c r="C3" s="78" t="s">
        <v>882</v>
      </c>
      <c r="D3" s="77" t="s">
        <v>880</v>
      </c>
      <c r="E3" s="77" t="s">
        <v>668</v>
      </c>
      <c r="F3" s="77" t="s">
        <v>98</v>
      </c>
      <c r="G3" s="80">
        <v>9</v>
      </c>
      <c r="H3" s="81" t="s">
        <v>637</v>
      </c>
    </row>
    <row r="4" spans="1:8" ht="19.8" customHeight="1" x14ac:dyDescent="0.3">
      <c r="A4" s="68">
        <v>45981</v>
      </c>
      <c r="B4" s="60" t="s">
        <v>328</v>
      </c>
      <c r="C4" s="61" t="s">
        <v>885</v>
      </c>
      <c r="D4" s="60" t="s">
        <v>880</v>
      </c>
      <c r="E4" s="69">
        <v>1.4548611111111109</v>
      </c>
      <c r="F4" s="60" t="s">
        <v>98</v>
      </c>
      <c r="G4" s="62">
        <v>9</v>
      </c>
      <c r="H4" s="63" t="s">
        <v>886</v>
      </c>
    </row>
    <row r="5" spans="1:8" ht="19.8" customHeight="1" x14ac:dyDescent="0.3">
      <c r="A5" s="68">
        <v>45981</v>
      </c>
      <c r="B5" s="60" t="s">
        <v>260</v>
      </c>
      <c r="C5" s="61" t="s">
        <v>887</v>
      </c>
      <c r="D5" s="60" t="s">
        <v>880</v>
      </c>
      <c r="E5" s="69">
        <v>1.7673611111111109</v>
      </c>
      <c r="F5" s="60" t="s">
        <v>262</v>
      </c>
      <c r="G5" s="62">
        <v>9</v>
      </c>
      <c r="H5" s="63" t="s">
        <v>888</v>
      </c>
    </row>
    <row r="6" spans="1:8" ht="19.8" customHeight="1" x14ac:dyDescent="0.3">
      <c r="A6" s="68">
        <v>45981</v>
      </c>
      <c r="B6" s="60" t="s">
        <v>67</v>
      </c>
      <c r="C6" s="61" t="s">
        <v>890</v>
      </c>
      <c r="D6" s="60" t="s">
        <v>880</v>
      </c>
      <c r="E6" s="69">
        <v>1.8715277777777779</v>
      </c>
      <c r="F6" s="60" t="s">
        <v>69</v>
      </c>
      <c r="G6" s="62">
        <v>9</v>
      </c>
      <c r="H6" s="63" t="s">
        <v>891</v>
      </c>
    </row>
    <row r="7" spans="1:8" ht="19.8" customHeight="1" x14ac:dyDescent="0.3">
      <c r="A7" s="70">
        <v>45981</v>
      </c>
      <c r="B7" s="71" t="s">
        <v>260</v>
      </c>
      <c r="C7" s="72" t="s">
        <v>887</v>
      </c>
      <c r="D7" s="71" t="s">
        <v>880</v>
      </c>
      <c r="E7" s="73">
        <v>1.7673611111111109</v>
      </c>
      <c r="F7" s="71" t="s">
        <v>49</v>
      </c>
      <c r="G7" s="74">
        <v>9</v>
      </c>
      <c r="H7" s="75" t="s">
        <v>889</v>
      </c>
    </row>
    <row r="8" spans="1:8" ht="19.8" customHeight="1" x14ac:dyDescent="0.3">
      <c r="A8" s="76">
        <v>45982</v>
      </c>
      <c r="B8" s="77" t="s">
        <v>78</v>
      </c>
      <c r="C8" s="78" t="s">
        <v>882</v>
      </c>
      <c r="D8" s="77" t="s">
        <v>880</v>
      </c>
      <c r="E8" s="79">
        <v>1.8298611111111109</v>
      </c>
      <c r="F8" s="77" t="s">
        <v>98</v>
      </c>
      <c r="G8" s="80">
        <v>8</v>
      </c>
      <c r="H8" s="81" t="s">
        <v>637</v>
      </c>
    </row>
    <row r="9" spans="1:8" ht="19.8" customHeight="1" x14ac:dyDescent="0.3">
      <c r="A9" s="68">
        <v>45982</v>
      </c>
      <c r="B9" s="60" t="s">
        <v>328</v>
      </c>
      <c r="C9" s="61" t="s">
        <v>885</v>
      </c>
      <c r="D9" s="60" t="s">
        <v>880</v>
      </c>
      <c r="E9" s="69">
        <v>1.697916666666667</v>
      </c>
      <c r="F9" s="60" t="s">
        <v>98</v>
      </c>
      <c r="G9" s="62">
        <v>3</v>
      </c>
      <c r="H9" s="63" t="s">
        <v>893</v>
      </c>
    </row>
    <row r="10" spans="1:8" ht="19.8" customHeight="1" x14ac:dyDescent="0.3">
      <c r="A10" s="68">
        <v>45982</v>
      </c>
      <c r="B10" s="60" t="s">
        <v>235</v>
      </c>
      <c r="C10" s="61" t="s">
        <v>881</v>
      </c>
      <c r="D10" s="60" t="s">
        <v>880</v>
      </c>
      <c r="E10" s="69">
        <v>1.489583333333333</v>
      </c>
      <c r="F10" s="60" t="s">
        <v>98</v>
      </c>
      <c r="G10" s="62">
        <v>2</v>
      </c>
      <c r="H10" s="63" t="s">
        <v>894</v>
      </c>
    </row>
    <row r="11" spans="1:8" ht="19.8" customHeight="1" x14ac:dyDescent="0.3">
      <c r="A11" s="70">
        <v>45982</v>
      </c>
      <c r="B11" s="71" t="s">
        <v>67</v>
      </c>
      <c r="C11" s="72" t="s">
        <v>890</v>
      </c>
      <c r="D11" s="71" t="s">
        <v>880</v>
      </c>
      <c r="E11" s="73">
        <v>1.868055555555556</v>
      </c>
      <c r="F11" s="71" t="s">
        <v>69</v>
      </c>
      <c r="G11" s="74">
        <v>9</v>
      </c>
      <c r="H11" s="75" t="s">
        <v>895</v>
      </c>
    </row>
    <row r="12" spans="1:8" ht="19.8" customHeight="1" x14ac:dyDescent="0.3">
      <c r="A12" s="68">
        <v>45983</v>
      </c>
      <c r="B12" s="60" t="s">
        <v>328</v>
      </c>
      <c r="C12" s="61" t="s">
        <v>885</v>
      </c>
      <c r="D12" s="60" t="s">
        <v>880</v>
      </c>
      <c r="E12" s="69">
        <v>1.4375</v>
      </c>
      <c r="F12" s="60" t="s">
        <v>98</v>
      </c>
      <c r="G12" s="62">
        <v>7</v>
      </c>
      <c r="H12" s="63" t="s">
        <v>893</v>
      </c>
    </row>
    <row r="13" spans="1:8" ht="19.8" customHeight="1" x14ac:dyDescent="0.3">
      <c r="A13" s="68">
        <v>45983</v>
      </c>
      <c r="B13" s="60" t="s">
        <v>235</v>
      </c>
      <c r="C13" s="61" t="s">
        <v>896</v>
      </c>
      <c r="D13" s="60" t="s">
        <v>880</v>
      </c>
      <c r="E13" s="69">
        <v>1.8125</v>
      </c>
      <c r="F13" s="60" t="s">
        <v>98</v>
      </c>
      <c r="G13" s="62">
        <v>3</v>
      </c>
      <c r="H13" s="63" t="s">
        <v>894</v>
      </c>
    </row>
    <row r="14" spans="1:8" ht="19.8" customHeight="1" x14ac:dyDescent="0.3">
      <c r="A14" s="70">
        <v>45983</v>
      </c>
      <c r="B14" s="71" t="s">
        <v>67</v>
      </c>
      <c r="C14" s="72" t="s">
        <v>890</v>
      </c>
      <c r="D14" s="71" t="s">
        <v>880</v>
      </c>
      <c r="E14" s="73">
        <v>1.8715277777777779</v>
      </c>
      <c r="F14" s="71" t="s">
        <v>69</v>
      </c>
      <c r="G14" s="74">
        <v>9</v>
      </c>
      <c r="H14" s="75" t="s">
        <v>897</v>
      </c>
    </row>
  </sheetData>
  <pageMargins left="0.75" right="0.75" top="1" bottom="1" header="0.5" footer="0.5"/>
  <legacyDrawing r:id="rId1"/>
  <tableParts count="1">
    <tablePart r:id="rId2"/>
  </tableParts>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I8"/>
  <sheetViews>
    <sheetView workbookViewId="0"/>
  </sheetViews>
  <sheetFormatPr defaultRowHeight="14.4" x14ac:dyDescent="0.3"/>
  <cols>
    <col min="1" max="1" width="11.88671875" bestFit="1" customWidth="1"/>
    <col min="2" max="2" width="15.5546875" bestFit="1" customWidth="1"/>
    <col min="3" max="3" width="19.21875" bestFit="1" customWidth="1"/>
    <col min="4" max="4" width="12.77734375" bestFit="1" customWidth="1"/>
    <col min="5" max="5" width="18.33203125" bestFit="1" customWidth="1"/>
    <col min="6" max="6" width="30" bestFit="1" customWidth="1"/>
    <col min="7" max="7" width="20" bestFit="1" customWidth="1"/>
    <col min="8" max="8" width="23.6640625" bestFit="1" customWidth="1"/>
    <col min="9" max="9" width="174.33203125" hidden="1" customWidth="1"/>
  </cols>
  <sheetData>
    <row r="1" spans="1:8" ht="18" x14ac:dyDescent="0.3">
      <c r="A1" s="56" t="s">
        <v>149</v>
      </c>
      <c r="B1" s="57" t="s">
        <v>8</v>
      </c>
      <c r="C1" s="57" t="s">
        <v>9</v>
      </c>
      <c r="D1" s="57" t="s">
        <v>150</v>
      </c>
      <c r="E1" s="57" t="s">
        <v>10</v>
      </c>
      <c r="F1" s="57" t="s">
        <v>11</v>
      </c>
      <c r="G1" s="57" t="s">
        <v>12</v>
      </c>
      <c r="H1" s="58" t="s">
        <v>13</v>
      </c>
    </row>
    <row r="2" spans="1:8" ht="19.8" customHeight="1" x14ac:dyDescent="0.3">
      <c r="A2" s="59" t="s">
        <v>151</v>
      </c>
      <c r="B2" s="60" t="s">
        <v>235</v>
      </c>
      <c r="C2" s="61" t="s">
        <v>881</v>
      </c>
      <c r="D2" s="60" t="s">
        <v>880</v>
      </c>
      <c r="E2" s="60" t="s">
        <v>415</v>
      </c>
      <c r="F2" s="60" t="s">
        <v>98</v>
      </c>
      <c r="G2" s="62">
        <v>9</v>
      </c>
      <c r="H2" s="63" t="s">
        <v>766</v>
      </c>
    </row>
    <row r="3" spans="1:8" ht="19.8" customHeight="1" x14ac:dyDescent="0.3">
      <c r="A3" s="99" t="s">
        <v>151</v>
      </c>
      <c r="B3" s="77" t="s">
        <v>78</v>
      </c>
      <c r="C3" s="78" t="s">
        <v>882</v>
      </c>
      <c r="D3" s="77" t="s">
        <v>880</v>
      </c>
      <c r="E3" s="77" t="s">
        <v>668</v>
      </c>
      <c r="F3" s="77" t="s">
        <v>98</v>
      </c>
      <c r="G3" s="80">
        <v>9</v>
      </c>
      <c r="H3" s="81" t="s">
        <v>637</v>
      </c>
    </row>
    <row r="4" spans="1:8" ht="19.8" customHeight="1" x14ac:dyDescent="0.3">
      <c r="A4" s="70">
        <v>45981</v>
      </c>
      <c r="B4" s="71" t="s">
        <v>328</v>
      </c>
      <c r="C4" s="72" t="s">
        <v>885</v>
      </c>
      <c r="D4" s="71" t="s">
        <v>880</v>
      </c>
      <c r="E4" s="73">
        <v>1.4548611111111109</v>
      </c>
      <c r="F4" s="71" t="s">
        <v>98</v>
      </c>
      <c r="G4" s="74">
        <v>9</v>
      </c>
      <c r="H4" s="75" t="s">
        <v>886</v>
      </c>
    </row>
    <row r="5" spans="1:8" ht="19.8" customHeight="1" x14ac:dyDescent="0.3">
      <c r="A5" s="82">
        <v>45982</v>
      </c>
      <c r="B5" s="65" t="s">
        <v>78</v>
      </c>
      <c r="C5" s="66" t="s">
        <v>882</v>
      </c>
      <c r="D5" s="65" t="s">
        <v>880</v>
      </c>
      <c r="E5" s="83">
        <v>1.8298611111111109</v>
      </c>
      <c r="F5" s="65" t="s">
        <v>98</v>
      </c>
      <c r="G5" s="84">
        <v>8</v>
      </c>
      <c r="H5" s="67" t="s">
        <v>637</v>
      </c>
    </row>
    <row r="6" spans="1:8" ht="19.8" customHeight="1" x14ac:dyDescent="0.3">
      <c r="A6" s="68">
        <v>45983</v>
      </c>
      <c r="B6" s="60" t="s">
        <v>328</v>
      </c>
      <c r="C6" s="61" t="s">
        <v>885</v>
      </c>
      <c r="D6" s="60" t="s">
        <v>880</v>
      </c>
      <c r="E6" s="69">
        <v>1.4375</v>
      </c>
      <c r="F6" s="60" t="s">
        <v>98</v>
      </c>
      <c r="G6" s="62">
        <v>7</v>
      </c>
      <c r="H6" s="63" t="s">
        <v>893</v>
      </c>
    </row>
    <row r="7" spans="1:8" ht="19.8" customHeight="1" x14ac:dyDescent="0.3">
      <c r="A7" s="68">
        <v>45983</v>
      </c>
      <c r="B7" s="60" t="s">
        <v>235</v>
      </c>
      <c r="C7" s="61" t="s">
        <v>896</v>
      </c>
      <c r="D7" s="60" t="s">
        <v>880</v>
      </c>
      <c r="E7" s="69">
        <v>1.8125</v>
      </c>
      <c r="F7" s="60" t="s">
        <v>98</v>
      </c>
      <c r="G7" s="62">
        <v>3</v>
      </c>
      <c r="H7" s="63" t="s">
        <v>894</v>
      </c>
    </row>
    <row r="8" spans="1:8" ht="19.8" customHeight="1" x14ac:dyDescent="0.3">
      <c r="A8" s="70">
        <v>45983</v>
      </c>
      <c r="B8" s="71" t="s">
        <v>67</v>
      </c>
      <c r="C8" s="72" t="s">
        <v>890</v>
      </c>
      <c r="D8" s="71" t="s">
        <v>880</v>
      </c>
      <c r="E8" s="73">
        <v>1.8715277777777779</v>
      </c>
      <c r="F8" s="71" t="s">
        <v>69</v>
      </c>
      <c r="G8" s="74">
        <v>9</v>
      </c>
      <c r="H8" s="75" t="s">
        <v>897</v>
      </c>
    </row>
  </sheetData>
  <pageMargins left="0.75" right="0.75" top="1" bottom="1" header="0.5" footer="0.5"/>
  <legacyDrawing r:id="rId1"/>
  <tableParts count="1">
    <tablePart r:id="rId2"/>
  </tablePart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CN10"/>
  <sheetViews>
    <sheetView workbookViewId="0"/>
  </sheetViews>
  <sheetFormatPr defaultRowHeight="14.4" x14ac:dyDescent="0.3"/>
  <cols>
    <col min="1" max="1" width="15.77734375" bestFit="1" customWidth="1"/>
    <col min="2" max="2" width="15.6640625" bestFit="1" customWidth="1"/>
    <col min="3" max="3" width="14.77734375" bestFit="1" customWidth="1"/>
    <col min="4" max="4" width="31.21875" bestFit="1" customWidth="1"/>
    <col min="5" max="5" width="20.109375" bestFit="1" customWidth="1"/>
    <col min="6" max="6" width="23.44140625" bestFit="1" customWidth="1"/>
    <col min="7" max="7" width="48.77734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5.6640625" bestFit="1" customWidth="1"/>
  </cols>
  <sheetData>
    <row r="1" spans="1:92" ht="28.8" customHeight="1" x14ac:dyDescent="0.3">
      <c r="A1" s="261" t="s">
        <v>0</v>
      </c>
      <c r="B1" s="251"/>
      <c r="C1" s="251"/>
      <c r="D1" s="251"/>
      <c r="E1" s="251"/>
      <c r="F1" s="1" t="s">
        <v>905</v>
      </c>
      <c r="G1" s="2" t="s">
        <v>2</v>
      </c>
      <c r="H1" s="260">
        <v>45981</v>
      </c>
      <c r="I1" s="251"/>
      <c r="J1" s="251"/>
      <c r="K1" s="251"/>
      <c r="L1" s="251"/>
      <c r="M1" s="1" t="s">
        <v>3</v>
      </c>
      <c r="N1" s="266">
        <v>45983</v>
      </c>
      <c r="O1" s="251"/>
      <c r="P1" s="251"/>
      <c r="Q1" s="251"/>
      <c r="R1" s="251"/>
      <c r="CA1" s="3"/>
      <c r="CB1" s="3"/>
      <c r="CC1" s="3"/>
      <c r="CD1" s="3"/>
      <c r="CE1" s="3"/>
      <c r="CF1" s="3"/>
      <c r="CG1" s="3"/>
      <c r="CH1" s="3"/>
      <c r="CI1" s="3"/>
      <c r="CJ1" s="3"/>
      <c r="CK1" s="3"/>
      <c r="CL1" s="3"/>
      <c r="CM1" s="3"/>
      <c r="CN1" s="3"/>
    </row>
    <row r="2" spans="1:92" ht="23.4" customHeight="1" x14ac:dyDescent="0.3">
      <c r="A2" s="250" t="s">
        <v>4</v>
      </c>
      <c r="B2" s="251"/>
      <c r="C2" s="251"/>
      <c r="D2" s="251"/>
      <c r="E2" s="251"/>
      <c r="F2" s="251"/>
      <c r="G2" s="262">
        <v>45980.493119667939</v>
      </c>
      <c r="H2" s="251"/>
      <c r="I2" s="251"/>
      <c r="J2" s="251"/>
      <c r="K2" s="263">
        <v>45980.493119668208</v>
      </c>
      <c r="L2" s="251"/>
      <c r="M2" s="251"/>
      <c r="N2" s="251"/>
      <c r="O2" s="251"/>
      <c r="P2" s="251"/>
      <c r="Q2" s="251"/>
      <c r="R2" s="251"/>
      <c r="CA2" s="3"/>
      <c r="CB2" s="3"/>
      <c r="CC2" s="3"/>
      <c r="CD2" s="3"/>
      <c r="CE2" s="3"/>
      <c r="CF2" s="3"/>
      <c r="CG2" s="3"/>
      <c r="CH2" s="3"/>
      <c r="CI2" s="3"/>
      <c r="CJ2" s="3"/>
      <c r="CK2" s="3"/>
      <c r="CL2" s="3"/>
      <c r="CM2" s="3"/>
      <c r="CN2" s="3"/>
    </row>
    <row r="3" spans="1:92" ht="24" customHeight="1" x14ac:dyDescent="0.3">
      <c r="A3" s="252" t="s">
        <v>5</v>
      </c>
      <c r="B3" s="251"/>
      <c r="C3" s="251"/>
      <c r="D3" s="251"/>
      <c r="E3" s="251"/>
      <c r="F3" s="251"/>
      <c r="G3" s="251"/>
      <c r="H3" s="251"/>
      <c r="I3" s="251"/>
      <c r="J3" s="251"/>
      <c r="K3" s="251"/>
      <c r="L3" s="251"/>
      <c r="M3" s="251"/>
      <c r="N3" s="251"/>
      <c r="O3" s="251"/>
      <c r="P3" s="251"/>
      <c r="Q3" s="251"/>
      <c r="R3" s="251"/>
      <c r="CA3" s="3"/>
      <c r="CB3" s="3"/>
      <c r="CC3" s="3"/>
      <c r="CD3" s="3"/>
      <c r="CE3" s="3"/>
      <c r="CF3" s="3"/>
      <c r="CG3" s="3"/>
      <c r="CH3" s="3"/>
      <c r="CI3" s="3"/>
      <c r="CJ3" s="3"/>
      <c r="CK3" s="3"/>
      <c r="CL3" s="3"/>
      <c r="CM3" s="3"/>
      <c r="CN3" s="3"/>
    </row>
    <row r="4" spans="1:92" ht="22.05" customHeight="1" x14ac:dyDescent="0.3">
      <c r="A4" s="264" t="s">
        <v>6</v>
      </c>
      <c r="B4" s="254"/>
      <c r="C4" s="254"/>
      <c r="D4" s="254"/>
      <c r="E4" s="254"/>
      <c r="F4" s="255"/>
      <c r="G4" s="4">
        <v>45983</v>
      </c>
      <c r="H4" s="265" t="s">
        <v>7</v>
      </c>
      <c r="I4" s="254"/>
      <c r="J4" s="254"/>
      <c r="K4" s="254"/>
      <c r="L4" s="254"/>
      <c r="M4" s="254"/>
      <c r="N4" s="254"/>
      <c r="O4" s="254"/>
      <c r="P4" s="254"/>
      <c r="Q4" s="254"/>
      <c r="R4" s="25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208" t="s">
        <v>78</v>
      </c>
      <c r="B6" s="208" t="s">
        <v>906</v>
      </c>
      <c r="C6" s="209">
        <v>0.69097222222222221</v>
      </c>
      <c r="D6" s="208" t="s">
        <v>80</v>
      </c>
      <c r="E6" s="244"/>
      <c r="F6" s="208" t="s">
        <v>511</v>
      </c>
      <c r="G6" s="256"/>
      <c r="H6" s="148" t="s">
        <v>906</v>
      </c>
      <c r="I6" s="246">
        <v>0.51400000000000001</v>
      </c>
      <c r="J6" s="150">
        <v>92</v>
      </c>
      <c r="K6" s="151">
        <v>45979</v>
      </c>
      <c r="L6" s="150">
        <v>37</v>
      </c>
      <c r="M6" s="150">
        <v>0</v>
      </c>
      <c r="N6" s="150">
        <v>4</v>
      </c>
      <c r="O6" s="152" t="s">
        <v>729</v>
      </c>
      <c r="P6" s="153">
        <v>0.69097222222222221</v>
      </c>
      <c r="Q6" s="150">
        <v>179</v>
      </c>
      <c r="R6" s="154" t="s">
        <v>907</v>
      </c>
    </row>
    <row r="7" spans="1:92" ht="18" x14ac:dyDescent="0.3">
      <c r="A7" s="267" t="s">
        <v>908</v>
      </c>
      <c r="B7" s="268"/>
      <c r="C7" s="268"/>
      <c r="D7" s="268"/>
      <c r="E7" s="268"/>
      <c r="F7" s="269"/>
      <c r="G7" s="257"/>
      <c r="H7" s="94"/>
      <c r="I7" s="94"/>
      <c r="J7" s="94"/>
      <c r="K7" s="94"/>
      <c r="L7" s="94"/>
      <c r="M7" s="94"/>
      <c r="N7" s="94"/>
      <c r="O7" s="95"/>
      <c r="P7" s="94"/>
      <c r="Q7" s="55"/>
      <c r="R7" s="55"/>
    </row>
    <row r="8" spans="1:92" ht="49.95" customHeight="1" x14ac:dyDescent="0.3">
      <c r="A8" s="17" t="s">
        <v>328</v>
      </c>
      <c r="B8" s="17" t="s">
        <v>885</v>
      </c>
      <c r="C8" s="18" t="s">
        <v>387</v>
      </c>
      <c r="D8" s="17" t="s">
        <v>98</v>
      </c>
      <c r="E8" s="17" t="s">
        <v>189</v>
      </c>
      <c r="F8" s="17" t="s">
        <v>893</v>
      </c>
      <c r="G8" s="257"/>
      <c r="H8" s="94"/>
      <c r="I8" s="94"/>
      <c r="J8" s="94"/>
      <c r="K8" s="94"/>
      <c r="L8" s="94"/>
      <c r="M8" s="94"/>
      <c r="N8" s="94"/>
      <c r="O8" s="95"/>
      <c r="P8" s="94"/>
      <c r="Q8" s="55"/>
      <c r="R8" s="55"/>
    </row>
    <row r="9" spans="1:92" ht="49.95" customHeight="1" x14ac:dyDescent="0.3">
      <c r="A9" s="17" t="s">
        <v>235</v>
      </c>
      <c r="B9" s="17" t="s">
        <v>896</v>
      </c>
      <c r="C9" s="18" t="s">
        <v>909</v>
      </c>
      <c r="D9" s="17" t="s">
        <v>98</v>
      </c>
      <c r="E9" s="17" t="s">
        <v>188</v>
      </c>
      <c r="F9" s="17" t="s">
        <v>894</v>
      </c>
      <c r="G9" s="257"/>
      <c r="H9" s="94"/>
      <c r="I9" s="94"/>
      <c r="J9" s="94"/>
      <c r="K9" s="94"/>
      <c r="L9" s="94"/>
      <c r="M9" s="94"/>
      <c r="N9" s="94"/>
      <c r="O9" s="95"/>
      <c r="P9" s="94"/>
      <c r="Q9" s="55"/>
      <c r="R9" s="55"/>
    </row>
    <row r="10" spans="1:92" ht="49.95" customHeight="1" x14ac:dyDescent="0.3">
      <c r="A10" s="39" t="s">
        <v>67</v>
      </c>
      <c r="B10" s="39" t="s">
        <v>890</v>
      </c>
      <c r="C10" s="40" t="s">
        <v>910</v>
      </c>
      <c r="D10" s="39" t="s">
        <v>69</v>
      </c>
      <c r="E10" s="39" t="s">
        <v>172</v>
      </c>
      <c r="F10" s="39" t="s">
        <v>897</v>
      </c>
      <c r="G10" s="258"/>
      <c r="H10" s="96"/>
      <c r="I10" s="96"/>
      <c r="J10" s="96"/>
      <c r="K10" s="96"/>
      <c r="L10" s="96"/>
      <c r="M10" s="96"/>
      <c r="N10" s="96"/>
      <c r="O10" s="97"/>
      <c r="P10" s="96"/>
      <c r="Q10" s="98"/>
      <c r="R10" s="98"/>
    </row>
  </sheetData>
  <mergeCells count="11">
    <mergeCell ref="A4:F4"/>
    <mergeCell ref="G6:G10"/>
    <mergeCell ref="H4:R4"/>
    <mergeCell ref="A7:F7"/>
    <mergeCell ref="N1:R1"/>
    <mergeCell ref="A2:F2"/>
    <mergeCell ref="A3:R3"/>
    <mergeCell ref="H1:L1"/>
    <mergeCell ref="A1:E1"/>
    <mergeCell ref="G2:J2"/>
    <mergeCell ref="K2:R2"/>
  </mergeCells>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J3"/>
  <sheetViews>
    <sheetView workbookViewId="0"/>
  </sheetViews>
  <sheetFormatPr defaultRowHeight="15.6" outlineLevelCol="1" x14ac:dyDescent="0.3"/>
  <cols>
    <col min="1" max="1" width="9.77734375" style="272" bestFit="1" customWidth="1"/>
    <col min="2" max="2" width="10.44140625" style="272" bestFit="1" customWidth="1"/>
    <col min="3" max="3" width="6.77734375" style="272" bestFit="1" customWidth="1"/>
    <col min="4" max="4" width="5.5546875" style="272" bestFit="1" customWidth="1"/>
    <col min="5" max="5" width="8.109375" style="272" bestFit="1" customWidth="1"/>
    <col min="6" max="6" width="4.21875" style="272" bestFit="1" customWidth="1"/>
    <col min="7" max="7" width="10" style="272" bestFit="1" customWidth="1"/>
    <col min="8" max="10" width="7" style="272" bestFit="1" customWidth="1"/>
    <col min="11" max="11" width="10.5546875" style="272" bestFit="1" customWidth="1"/>
    <col min="12" max="12" width="9.10937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24" width="3.88671875" style="272" bestFit="1" customWidth="1"/>
    <col min="25" max="25" width="4.44140625" style="272" bestFit="1" customWidth="1"/>
    <col min="26" max="26" width="3.88671875" style="272" bestFit="1" customWidth="1"/>
    <col min="27" max="27" width="4" style="272" bestFit="1" customWidth="1"/>
    <col min="28" max="28" width="3.88671875" style="272" bestFit="1" customWidth="1"/>
    <col min="29" max="29" width="4.21875" style="272" bestFit="1" customWidth="1"/>
    <col min="30" max="31" width="4.5546875" style="272" bestFit="1" customWidth="1"/>
    <col min="32" max="36" width="3.88671875" style="272" bestFit="1" customWidth="1"/>
    <col min="37" max="16384" width="8.88671875" style="272"/>
  </cols>
  <sheetData>
    <row r="1" spans="1:36" x14ac:dyDescent="0.3">
      <c r="A1" s="271" t="s">
        <v>103</v>
      </c>
      <c r="B1" s="271" t="s">
        <v>104</v>
      </c>
      <c r="C1" s="271" t="s">
        <v>105</v>
      </c>
      <c r="D1" s="271" t="s">
        <v>23</v>
      </c>
      <c r="E1" s="271" t="s">
        <v>106</v>
      </c>
      <c r="F1" s="271" t="s">
        <v>107</v>
      </c>
      <c r="G1" s="271" t="s">
        <v>16</v>
      </c>
      <c r="H1" s="271" t="s">
        <v>108</v>
      </c>
      <c r="I1" s="271" t="s">
        <v>109</v>
      </c>
      <c r="J1" s="271" t="s">
        <v>110</v>
      </c>
      <c r="K1" s="271" t="s">
        <v>111</v>
      </c>
      <c r="L1" s="271" t="s">
        <v>18</v>
      </c>
      <c r="M1" s="271" t="s">
        <v>20</v>
      </c>
      <c r="N1" s="271" t="s">
        <v>21</v>
      </c>
      <c r="O1" s="271" t="s">
        <v>19</v>
      </c>
      <c r="P1" s="271" t="s">
        <v>22</v>
      </c>
      <c r="Q1" s="271" t="s">
        <v>112</v>
      </c>
      <c r="R1" s="271" t="s">
        <v>113</v>
      </c>
      <c r="S1" s="271" t="s">
        <v>114</v>
      </c>
      <c r="T1" s="271" t="s">
        <v>115</v>
      </c>
      <c r="U1" s="271" t="s">
        <v>116</v>
      </c>
      <c r="V1" s="271" t="s">
        <v>117</v>
      </c>
      <c r="W1" s="271" t="s">
        <v>118</v>
      </c>
      <c r="X1" s="271" t="s">
        <v>119</v>
      </c>
      <c r="Y1" s="271" t="s">
        <v>120</v>
      </c>
      <c r="Z1" s="271" t="s">
        <v>121</v>
      </c>
      <c r="AA1" s="271" t="s">
        <v>122</v>
      </c>
      <c r="AB1" s="271" t="s">
        <v>123</v>
      </c>
      <c r="AC1" s="271" t="s">
        <v>124</v>
      </c>
      <c r="AD1" s="271" t="s">
        <v>125</v>
      </c>
      <c r="AE1" s="271" t="s">
        <v>126</v>
      </c>
      <c r="AF1" s="271" t="s">
        <v>127</v>
      </c>
      <c r="AG1" s="271" t="s">
        <v>128</v>
      </c>
      <c r="AH1" s="271" t="s">
        <v>129</v>
      </c>
      <c r="AI1" s="271" t="s">
        <v>130</v>
      </c>
      <c r="AJ1" s="271" t="s">
        <v>131</v>
      </c>
    </row>
    <row r="2" spans="1:36" x14ac:dyDescent="0.3">
      <c r="A2" s="273" t="s">
        <v>144</v>
      </c>
      <c r="B2" s="274">
        <v>45983</v>
      </c>
      <c r="C2" s="275" t="s">
        <v>906</v>
      </c>
      <c r="D2" s="276" t="s">
        <v>548</v>
      </c>
      <c r="E2" s="275" t="s">
        <v>905</v>
      </c>
      <c r="F2" s="275" t="s">
        <v>134</v>
      </c>
      <c r="G2" s="277">
        <v>0.51400000000000001</v>
      </c>
      <c r="H2" s="278">
        <v>179</v>
      </c>
      <c r="I2" s="278">
        <v>92</v>
      </c>
      <c r="J2" s="278">
        <v>0</v>
      </c>
      <c r="K2" s="275" t="s">
        <v>135</v>
      </c>
      <c r="L2" s="279">
        <v>45979</v>
      </c>
      <c r="M2" s="278">
        <v>0</v>
      </c>
      <c r="N2" s="278">
        <v>4</v>
      </c>
      <c r="O2" s="278">
        <v>37</v>
      </c>
      <c r="P2" s="275" t="s">
        <v>729</v>
      </c>
      <c r="Q2" s="271"/>
      <c r="R2" s="271"/>
      <c r="S2" s="271"/>
      <c r="T2" s="271"/>
      <c r="U2" s="271"/>
      <c r="V2" s="271"/>
      <c r="W2" s="271"/>
      <c r="X2" s="278" t="s">
        <v>351</v>
      </c>
      <c r="Y2" s="278" t="s">
        <v>911</v>
      </c>
      <c r="Z2" s="278" t="s">
        <v>352</v>
      </c>
      <c r="AA2" s="278" t="s">
        <v>294</v>
      </c>
      <c r="AB2" s="278" t="s">
        <v>912</v>
      </c>
      <c r="AC2" s="278" t="s">
        <v>657</v>
      </c>
      <c r="AD2" s="278" t="s">
        <v>913</v>
      </c>
      <c r="AE2" s="278" t="s">
        <v>403</v>
      </c>
      <c r="AF2" s="278" t="s">
        <v>389</v>
      </c>
      <c r="AG2" s="271"/>
      <c r="AH2" s="271"/>
      <c r="AI2" s="271"/>
      <c r="AJ2" s="271"/>
    </row>
    <row r="3" spans="1:36" ht="21" x14ac:dyDescent="0.3">
      <c r="A3" s="280" t="s">
        <v>932</v>
      </c>
      <c r="B3" s="281"/>
      <c r="C3" s="280">
        <f>SUBTOTAL(103,ATZ_ELQ_LF_LEGACY[Flt])</f>
        <v>1</v>
      </c>
      <c r="D3" s="280"/>
      <c r="E3" s="280">
        <f>SUBTOTAL(103,ATZ_ELQ_LF_LEGACY[Brd-Off])</f>
        <v>1</v>
      </c>
      <c r="F3" s="280"/>
      <c r="G3" s="282">
        <f>SUBTOTAL(101,ATZ_ELQ_LF_LEGACY[LF%])</f>
        <v>0.51400000000000001</v>
      </c>
      <c r="H3" s="283">
        <f>SUBTOTAL(109,ATZ_ELQ_LF_LEGACY[CAP])</f>
        <v>179</v>
      </c>
      <c r="I3" s="283">
        <f>SUBTOTAL(109,ATZ_ELQ_LF_LEGACY[BKG(Y)])</f>
        <v>92</v>
      </c>
      <c r="J3" s="283">
        <f>SUBTOTAL(109,ATZ_ELQ_LF_LEGACY[GRP(Y)])</f>
        <v>0</v>
      </c>
      <c r="K3" s="280"/>
      <c r="L3" s="281"/>
      <c r="M3" s="283">
        <f>SUBTOTAL(109,ATZ_ELQ_LF_LEGACY[TO-DAY])</f>
        <v>0</v>
      </c>
      <c r="N3" s="283">
        <f>SUBTOTAL(109,ATZ_ELQ_LF_LEGACY[Y-DAY])</f>
        <v>4</v>
      </c>
      <c r="O3" s="283">
        <f>SUBTOTAL(109,ATZ_ELQ_LF_LEGACY[WEEKLY])</f>
        <v>37</v>
      </c>
      <c r="P3" s="284"/>
      <c r="Q3" s="283">
        <f>SUBTOTAL(109,ATZ_ELQ_LF_LEGACY[Y])</f>
        <v>0</v>
      </c>
      <c r="R3" s="283">
        <f>SUBTOTAL(109,ATZ_ELQ_LF_LEGACY[B])</f>
        <v>0</v>
      </c>
      <c r="S3" s="283">
        <f>SUBTOTAL(109,ATZ_ELQ_LF_LEGACY[M])</f>
        <v>0</v>
      </c>
      <c r="T3" s="283">
        <f>SUBTOTAL(109,ATZ_ELQ_LF_LEGACY[H])</f>
        <v>0</v>
      </c>
      <c r="U3" s="283">
        <f>SUBTOTAL(109,ATZ_ELQ_LF_LEGACY[Q])</f>
        <v>0</v>
      </c>
      <c r="V3" s="283">
        <f>SUBTOTAL(109,ATZ_ELQ_LF_LEGACY[K])</f>
        <v>0</v>
      </c>
      <c r="W3" s="283">
        <f>SUBTOTAL(109,ATZ_ELQ_LF_LEGACY[V])</f>
        <v>0</v>
      </c>
      <c r="X3" s="283">
        <f>SUBTOTAL(109,ATZ_ELQ_LF_LEGACY[L])</f>
        <v>0</v>
      </c>
      <c r="Y3" s="283">
        <f>SUBTOTAL(109,ATZ_ELQ_LF_LEGACY[G])</f>
        <v>0</v>
      </c>
      <c r="Z3" s="283">
        <f>SUBTOTAL(109,ATZ_ELQ_LF_LEGACY[S])</f>
        <v>0</v>
      </c>
      <c r="AA3" s="283">
        <f>SUBTOTAL(109,ATZ_ELQ_LF_LEGACY[W])</f>
        <v>0</v>
      </c>
      <c r="AB3" s="283">
        <f>SUBTOTAL(109,ATZ_ELQ_LF_LEGACY[T])</f>
        <v>0</v>
      </c>
      <c r="AC3" s="283">
        <f>SUBTOTAL(109,ATZ_ELQ_LF_LEGACY[X])</f>
        <v>0</v>
      </c>
      <c r="AD3" s="283">
        <f>SUBTOTAL(109,ATZ_ELQ_LF_LEGACY[U])</f>
        <v>0</v>
      </c>
      <c r="AE3" s="283">
        <f>SUBTOTAL(109,ATZ_ELQ_LF_LEGACY[O])</f>
        <v>0</v>
      </c>
      <c r="AF3" s="283">
        <f>SUBTOTAL(109,ATZ_ELQ_LF_LEGACY[I])</f>
        <v>0</v>
      </c>
      <c r="AG3" s="283">
        <f>SUBTOTAL(109,ATZ_ELQ_LF_LEGACY[E])</f>
        <v>0</v>
      </c>
      <c r="AH3" s="283">
        <f>SUBTOTAL(109,ATZ_ELQ_LF_LEGACY[A])</f>
        <v>0</v>
      </c>
      <c r="AI3" s="283">
        <f>SUBTOTAL(109,ATZ_ELQ_LF_LEGACY[P])</f>
        <v>0</v>
      </c>
      <c r="AJ3" s="283">
        <f>SUBTOTAL(103,ATZ_ELQ_LF_LEGACY[N])</f>
        <v>0</v>
      </c>
    </row>
  </sheetData>
  <pageMargins left="0.75" right="0.75" top="1" bottom="1" header="0.5" footer="0.5"/>
  <tableParts count="1">
    <tablePart r:id="rId1"/>
  </tableParts>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I18"/>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87.33203125" hidden="1" customWidth="1"/>
  </cols>
  <sheetData>
    <row r="1" spans="1:8" ht="18" x14ac:dyDescent="0.3">
      <c r="A1" s="56" t="s">
        <v>149</v>
      </c>
      <c r="B1" s="57" t="s">
        <v>8</v>
      </c>
      <c r="C1" s="57" t="s">
        <v>9</v>
      </c>
      <c r="D1" s="57" t="s">
        <v>150</v>
      </c>
      <c r="E1" s="57" t="s">
        <v>10</v>
      </c>
      <c r="F1" s="57" t="s">
        <v>11</v>
      </c>
      <c r="G1" s="57" t="s">
        <v>12</v>
      </c>
      <c r="H1" s="58" t="s">
        <v>13</v>
      </c>
    </row>
    <row r="2" spans="1:8" ht="19.8" customHeight="1" x14ac:dyDescent="0.3">
      <c r="A2" s="100"/>
      <c r="B2" s="101"/>
      <c r="C2" s="101"/>
      <c r="D2" s="101"/>
      <c r="E2" s="101"/>
      <c r="F2" s="102" t="s">
        <v>914</v>
      </c>
      <c r="G2" s="101"/>
      <c r="H2" s="103"/>
    </row>
    <row r="3" spans="1:8" ht="19.8" customHeight="1" x14ac:dyDescent="0.3">
      <c r="A3" s="59" t="s">
        <v>151</v>
      </c>
      <c r="B3" s="60" t="s">
        <v>235</v>
      </c>
      <c r="C3" s="61" t="s">
        <v>881</v>
      </c>
      <c r="D3" s="60" t="s">
        <v>880</v>
      </c>
      <c r="E3" s="60" t="s">
        <v>415</v>
      </c>
      <c r="F3" s="60" t="s">
        <v>98</v>
      </c>
      <c r="G3" s="62">
        <v>9</v>
      </c>
      <c r="H3" s="63" t="s">
        <v>766</v>
      </c>
    </row>
    <row r="4" spans="1:8" ht="19.8" customHeight="1" x14ac:dyDescent="0.3">
      <c r="A4" s="59" t="s">
        <v>151</v>
      </c>
      <c r="B4" s="60" t="s">
        <v>78</v>
      </c>
      <c r="C4" s="61" t="s">
        <v>882</v>
      </c>
      <c r="D4" s="60" t="s">
        <v>880</v>
      </c>
      <c r="E4" s="60" t="s">
        <v>668</v>
      </c>
      <c r="F4" s="60" t="s">
        <v>98</v>
      </c>
      <c r="G4" s="62">
        <v>9</v>
      </c>
      <c r="H4" s="63" t="s">
        <v>637</v>
      </c>
    </row>
    <row r="5" spans="1:8" ht="19.8" customHeight="1" x14ac:dyDescent="0.3">
      <c r="A5" s="59" t="s">
        <v>151</v>
      </c>
      <c r="B5" s="60" t="s">
        <v>328</v>
      </c>
      <c r="C5" s="61" t="s">
        <v>885</v>
      </c>
      <c r="D5" s="60" t="s">
        <v>880</v>
      </c>
      <c r="E5" s="60" t="s">
        <v>915</v>
      </c>
      <c r="F5" s="60" t="s">
        <v>98</v>
      </c>
      <c r="G5" s="62">
        <v>9</v>
      </c>
      <c r="H5" s="63" t="s">
        <v>886</v>
      </c>
    </row>
    <row r="6" spans="1:8" ht="19.8" customHeight="1" x14ac:dyDescent="0.3">
      <c r="A6" s="59" t="s">
        <v>151</v>
      </c>
      <c r="B6" s="60" t="s">
        <v>260</v>
      </c>
      <c r="C6" s="61" t="s">
        <v>887</v>
      </c>
      <c r="D6" s="60" t="s">
        <v>880</v>
      </c>
      <c r="E6" s="60" t="s">
        <v>804</v>
      </c>
      <c r="F6" s="60" t="s">
        <v>262</v>
      </c>
      <c r="G6" s="62">
        <v>9</v>
      </c>
      <c r="H6" s="63" t="s">
        <v>888</v>
      </c>
    </row>
    <row r="7" spans="1:8" ht="19.8" customHeight="1" x14ac:dyDescent="0.3">
      <c r="A7" s="59" t="s">
        <v>151</v>
      </c>
      <c r="B7" s="60" t="s">
        <v>67</v>
      </c>
      <c r="C7" s="61" t="s">
        <v>890</v>
      </c>
      <c r="D7" s="60" t="s">
        <v>880</v>
      </c>
      <c r="E7" s="60" t="s">
        <v>910</v>
      </c>
      <c r="F7" s="60" t="s">
        <v>69</v>
      </c>
      <c r="G7" s="62">
        <v>9</v>
      </c>
      <c r="H7" s="63" t="s">
        <v>891</v>
      </c>
    </row>
    <row r="8" spans="1:8" ht="19.8" customHeight="1" x14ac:dyDescent="0.3">
      <c r="A8" s="113" t="s">
        <v>151</v>
      </c>
      <c r="B8" s="71" t="s">
        <v>260</v>
      </c>
      <c r="C8" s="72" t="s">
        <v>887</v>
      </c>
      <c r="D8" s="71" t="s">
        <v>880</v>
      </c>
      <c r="E8" s="71" t="s">
        <v>804</v>
      </c>
      <c r="F8" s="71" t="s">
        <v>49</v>
      </c>
      <c r="G8" s="74">
        <v>9</v>
      </c>
      <c r="H8" s="75" t="s">
        <v>889</v>
      </c>
    </row>
    <row r="9" spans="1:8" ht="19.8" customHeight="1" x14ac:dyDescent="0.3">
      <c r="A9" s="100"/>
      <c r="B9" s="101"/>
      <c r="C9" s="101"/>
      <c r="D9" s="101"/>
      <c r="E9" s="101"/>
      <c r="F9" s="102" t="s">
        <v>914</v>
      </c>
      <c r="G9" s="101"/>
      <c r="H9" s="103"/>
    </row>
    <row r="10" spans="1:8" ht="19.8" customHeight="1" x14ac:dyDescent="0.3">
      <c r="A10" s="59" t="s">
        <v>201</v>
      </c>
      <c r="B10" s="60" t="s">
        <v>78</v>
      </c>
      <c r="C10" s="61" t="s">
        <v>882</v>
      </c>
      <c r="D10" s="60" t="s">
        <v>880</v>
      </c>
      <c r="E10" s="60" t="s">
        <v>902</v>
      </c>
      <c r="F10" s="60" t="s">
        <v>98</v>
      </c>
      <c r="G10" s="62">
        <v>8</v>
      </c>
      <c r="H10" s="63" t="s">
        <v>637</v>
      </c>
    </row>
    <row r="11" spans="1:8" ht="19.8" customHeight="1" x14ac:dyDescent="0.3">
      <c r="A11" s="59" t="s">
        <v>201</v>
      </c>
      <c r="B11" s="60" t="s">
        <v>328</v>
      </c>
      <c r="C11" s="61" t="s">
        <v>885</v>
      </c>
      <c r="D11" s="60" t="s">
        <v>880</v>
      </c>
      <c r="E11" s="60" t="s">
        <v>202</v>
      </c>
      <c r="F11" s="60" t="s">
        <v>98</v>
      </c>
      <c r="G11" s="62">
        <v>3</v>
      </c>
      <c r="H11" s="63" t="s">
        <v>893</v>
      </c>
    </row>
    <row r="12" spans="1:8" ht="19.8" customHeight="1" x14ac:dyDescent="0.3">
      <c r="A12" s="59" t="s">
        <v>201</v>
      </c>
      <c r="B12" s="60" t="s">
        <v>235</v>
      </c>
      <c r="C12" s="61" t="s">
        <v>881</v>
      </c>
      <c r="D12" s="60" t="s">
        <v>880</v>
      </c>
      <c r="E12" s="60" t="s">
        <v>415</v>
      </c>
      <c r="F12" s="60" t="s">
        <v>98</v>
      </c>
      <c r="G12" s="62">
        <v>2</v>
      </c>
      <c r="H12" s="63" t="s">
        <v>894</v>
      </c>
    </row>
    <row r="13" spans="1:8" ht="19.8" customHeight="1" x14ac:dyDescent="0.3">
      <c r="A13" s="113" t="s">
        <v>201</v>
      </c>
      <c r="B13" s="71" t="s">
        <v>67</v>
      </c>
      <c r="C13" s="72" t="s">
        <v>890</v>
      </c>
      <c r="D13" s="71" t="s">
        <v>880</v>
      </c>
      <c r="E13" s="71" t="s">
        <v>916</v>
      </c>
      <c r="F13" s="71" t="s">
        <v>69</v>
      </c>
      <c r="G13" s="74">
        <v>9</v>
      </c>
      <c r="H13" s="75" t="s">
        <v>895</v>
      </c>
    </row>
    <row r="14" spans="1:8" ht="19.8" customHeight="1" x14ac:dyDescent="0.3">
      <c r="A14" s="99" t="s">
        <v>203</v>
      </c>
      <c r="B14" s="77" t="s">
        <v>78</v>
      </c>
      <c r="C14" s="78" t="s">
        <v>917</v>
      </c>
      <c r="D14" s="77" t="s">
        <v>905</v>
      </c>
      <c r="E14" s="77" t="s">
        <v>548</v>
      </c>
      <c r="F14" s="77"/>
      <c r="G14" s="77"/>
      <c r="H14" s="81" t="s">
        <v>511</v>
      </c>
    </row>
    <row r="15" spans="1:8" ht="19.8" customHeight="1" x14ac:dyDescent="0.3">
      <c r="A15" s="100"/>
      <c r="B15" s="101"/>
      <c r="C15" s="101"/>
      <c r="D15" s="101"/>
      <c r="E15" s="101"/>
      <c r="F15" s="102" t="s">
        <v>914</v>
      </c>
      <c r="G15" s="101"/>
      <c r="H15" s="103"/>
    </row>
    <row r="16" spans="1:8" ht="19.8" customHeight="1" x14ac:dyDescent="0.3">
      <c r="A16" s="68">
        <v>45983</v>
      </c>
      <c r="B16" s="60" t="s">
        <v>328</v>
      </c>
      <c r="C16" s="61" t="s">
        <v>885</v>
      </c>
      <c r="D16" s="60" t="s">
        <v>880</v>
      </c>
      <c r="E16" s="69">
        <v>1.4375</v>
      </c>
      <c r="F16" s="60" t="s">
        <v>98</v>
      </c>
      <c r="G16" s="62">
        <v>7</v>
      </c>
      <c r="H16" s="63" t="s">
        <v>893</v>
      </c>
    </row>
    <row r="17" spans="1:8" ht="19.8" customHeight="1" x14ac:dyDescent="0.3">
      <c r="A17" s="68">
        <v>45983</v>
      </c>
      <c r="B17" s="60" t="s">
        <v>235</v>
      </c>
      <c r="C17" s="61" t="s">
        <v>896</v>
      </c>
      <c r="D17" s="60" t="s">
        <v>880</v>
      </c>
      <c r="E17" s="69">
        <v>1.8125</v>
      </c>
      <c r="F17" s="60" t="s">
        <v>98</v>
      </c>
      <c r="G17" s="62">
        <v>3</v>
      </c>
      <c r="H17" s="63" t="s">
        <v>894</v>
      </c>
    </row>
    <row r="18" spans="1:8" ht="19.8" customHeight="1" x14ac:dyDescent="0.3">
      <c r="A18" s="70">
        <v>45983</v>
      </c>
      <c r="B18" s="71" t="s">
        <v>67</v>
      </c>
      <c r="C18" s="72" t="s">
        <v>890</v>
      </c>
      <c r="D18" s="71" t="s">
        <v>880</v>
      </c>
      <c r="E18" s="73">
        <v>1.8715277777777779</v>
      </c>
      <c r="F18" s="71" t="s">
        <v>69</v>
      </c>
      <c r="G18" s="74">
        <v>9</v>
      </c>
      <c r="H18" s="75" t="s">
        <v>897</v>
      </c>
    </row>
  </sheetData>
  <pageMargins left="0.75" right="0.75" top="1" bottom="1" header="0.5" footer="0.5"/>
  <legacyDrawing r:id="rId1"/>
  <tableParts count="1">
    <tablePart r:id="rId2"/>
  </tablePart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CN12"/>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42" bestFit="1" customWidth="1"/>
  </cols>
  <sheetData>
    <row r="1" spans="1:92" ht="28.8" customHeight="1" x14ac:dyDescent="0.3">
      <c r="A1" s="261" t="s">
        <v>0</v>
      </c>
      <c r="B1" s="251"/>
      <c r="C1" s="251"/>
      <c r="D1" s="251"/>
      <c r="E1" s="251"/>
      <c r="F1" s="1" t="s">
        <v>918</v>
      </c>
      <c r="G1" s="2" t="s">
        <v>2</v>
      </c>
      <c r="H1" s="260">
        <v>45981</v>
      </c>
      <c r="I1" s="251"/>
      <c r="J1" s="251"/>
      <c r="K1" s="251"/>
      <c r="L1" s="251"/>
      <c r="M1" s="1" t="s">
        <v>3</v>
      </c>
      <c r="N1" s="266">
        <v>45983</v>
      </c>
      <c r="O1" s="251"/>
      <c r="P1" s="251"/>
      <c r="Q1" s="251"/>
      <c r="R1" s="251"/>
      <c r="CA1" s="3"/>
      <c r="CB1" s="3"/>
      <c r="CC1" s="3"/>
      <c r="CD1" s="3"/>
      <c r="CE1" s="3"/>
      <c r="CF1" s="3"/>
      <c r="CG1" s="3"/>
      <c r="CH1" s="3"/>
      <c r="CI1" s="3"/>
      <c r="CJ1" s="3"/>
      <c r="CK1" s="3"/>
      <c r="CL1" s="3"/>
      <c r="CM1" s="3"/>
      <c r="CN1" s="3"/>
    </row>
    <row r="2" spans="1:92" ht="23.4" customHeight="1" x14ac:dyDescent="0.3">
      <c r="A2" s="250" t="s">
        <v>4</v>
      </c>
      <c r="B2" s="251"/>
      <c r="C2" s="251"/>
      <c r="D2" s="251"/>
      <c r="E2" s="251"/>
      <c r="F2" s="251"/>
      <c r="G2" s="262">
        <v>45980.493121492902</v>
      </c>
      <c r="H2" s="251"/>
      <c r="I2" s="251"/>
      <c r="J2" s="251"/>
      <c r="K2" s="263">
        <v>45980.493121493128</v>
      </c>
      <c r="L2" s="251"/>
      <c r="M2" s="251"/>
      <c r="N2" s="251"/>
      <c r="O2" s="251"/>
      <c r="P2" s="251"/>
      <c r="Q2" s="251"/>
      <c r="R2" s="251"/>
      <c r="CA2" s="3"/>
      <c r="CB2" s="3"/>
      <c r="CC2" s="3"/>
      <c r="CD2" s="3"/>
      <c r="CE2" s="3"/>
      <c r="CF2" s="3"/>
      <c r="CG2" s="3"/>
      <c r="CH2" s="3"/>
      <c r="CI2" s="3"/>
      <c r="CJ2" s="3"/>
      <c r="CK2" s="3"/>
      <c r="CL2" s="3"/>
      <c r="CM2" s="3"/>
      <c r="CN2" s="3"/>
    </row>
    <row r="3" spans="1:92" ht="24" customHeight="1" x14ac:dyDescent="0.3">
      <c r="A3" s="252" t="s">
        <v>5</v>
      </c>
      <c r="B3" s="251"/>
      <c r="C3" s="251"/>
      <c r="D3" s="251"/>
      <c r="E3" s="251"/>
      <c r="F3" s="251"/>
      <c r="G3" s="251"/>
      <c r="H3" s="251"/>
      <c r="I3" s="251"/>
      <c r="J3" s="251"/>
      <c r="K3" s="251"/>
      <c r="L3" s="251"/>
      <c r="M3" s="251"/>
      <c r="N3" s="251"/>
      <c r="O3" s="251"/>
      <c r="P3" s="251"/>
      <c r="Q3" s="251"/>
      <c r="R3" s="251"/>
      <c r="CA3" s="3"/>
      <c r="CB3" s="3"/>
      <c r="CC3" s="3"/>
      <c r="CD3" s="3"/>
      <c r="CE3" s="3"/>
      <c r="CF3" s="3"/>
      <c r="CG3" s="3"/>
      <c r="CH3" s="3"/>
      <c r="CI3" s="3"/>
      <c r="CJ3" s="3"/>
      <c r="CK3" s="3"/>
      <c r="CL3" s="3"/>
      <c r="CM3" s="3"/>
      <c r="CN3" s="3"/>
    </row>
    <row r="4" spans="1:92" ht="22.05" customHeight="1" x14ac:dyDescent="0.3">
      <c r="A4" s="264" t="s">
        <v>6</v>
      </c>
      <c r="B4" s="254"/>
      <c r="C4" s="254"/>
      <c r="D4" s="254"/>
      <c r="E4" s="254"/>
      <c r="F4" s="255"/>
      <c r="G4" s="4">
        <v>45981</v>
      </c>
      <c r="H4" s="265" t="s">
        <v>7</v>
      </c>
      <c r="I4" s="254"/>
      <c r="J4" s="254"/>
      <c r="K4" s="254"/>
      <c r="L4" s="254"/>
      <c r="M4" s="254"/>
      <c r="N4" s="254"/>
      <c r="O4" s="254"/>
      <c r="P4" s="254"/>
      <c r="Q4" s="254"/>
      <c r="R4" s="255"/>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235</v>
      </c>
      <c r="B6" s="8" t="s">
        <v>919</v>
      </c>
      <c r="C6" s="9">
        <v>0.33680555555555558</v>
      </c>
      <c r="D6" s="8" t="s">
        <v>98</v>
      </c>
      <c r="E6" s="8" t="s">
        <v>54</v>
      </c>
      <c r="F6" s="8" t="s">
        <v>920</v>
      </c>
      <c r="G6" s="256"/>
      <c r="H6" s="10"/>
      <c r="I6" s="11"/>
      <c r="J6" s="11"/>
      <c r="K6" s="11"/>
      <c r="L6" s="11"/>
      <c r="M6" s="11"/>
      <c r="N6" s="11"/>
      <c r="O6" s="12"/>
      <c r="P6" s="11"/>
      <c r="Q6" s="13"/>
      <c r="R6" s="14"/>
    </row>
    <row r="7" spans="1:92" ht="49.95" customHeight="1" thickTop="1" thickBot="1" x14ac:dyDescent="0.35">
      <c r="A7" s="247" t="s">
        <v>78</v>
      </c>
      <c r="B7" s="247" t="s">
        <v>921</v>
      </c>
      <c r="C7" s="248">
        <v>0.8125</v>
      </c>
      <c r="D7" s="247" t="s">
        <v>98</v>
      </c>
      <c r="E7" s="247" t="s">
        <v>99</v>
      </c>
      <c r="F7" s="247" t="s">
        <v>922</v>
      </c>
      <c r="G7" s="258"/>
      <c r="H7" s="221" t="s">
        <v>923</v>
      </c>
      <c r="I7" s="222">
        <v>0.71509999999999996</v>
      </c>
      <c r="J7" s="223">
        <v>128</v>
      </c>
      <c r="K7" s="224">
        <v>45979</v>
      </c>
      <c r="L7" s="223">
        <v>32</v>
      </c>
      <c r="M7" s="223">
        <v>0</v>
      </c>
      <c r="N7" s="223">
        <v>7</v>
      </c>
      <c r="O7" s="225" t="s">
        <v>177</v>
      </c>
      <c r="P7" s="226">
        <v>0.8125</v>
      </c>
      <c r="Q7" s="223">
        <v>179</v>
      </c>
      <c r="R7" s="227" t="s">
        <v>924</v>
      </c>
    </row>
    <row r="8" spans="1:92" ht="17.399999999999999" customHeight="1" thickBot="1" x14ac:dyDescent="0.35">
      <c r="A8" s="285"/>
      <c r="B8" s="286"/>
      <c r="C8" s="286"/>
      <c r="D8" s="286"/>
      <c r="E8" s="286"/>
      <c r="F8" s="286"/>
      <c r="G8" s="286"/>
      <c r="H8" s="286"/>
      <c r="I8" s="286"/>
      <c r="J8" s="286"/>
      <c r="K8" s="286"/>
      <c r="L8" s="286"/>
      <c r="M8" s="286"/>
      <c r="N8" s="286"/>
      <c r="O8" s="286"/>
      <c r="P8" s="286"/>
      <c r="Q8" s="286"/>
      <c r="R8" s="287"/>
    </row>
    <row r="9" spans="1:92" ht="22.05" customHeight="1" thickTop="1" thickBot="1" x14ac:dyDescent="0.35">
      <c r="A9" s="259" t="s">
        <v>6</v>
      </c>
      <c r="B9" s="254"/>
      <c r="C9" s="254"/>
      <c r="D9" s="254"/>
      <c r="E9" s="254"/>
      <c r="F9" s="255"/>
      <c r="G9" s="31">
        <v>45983</v>
      </c>
      <c r="H9" s="253" t="s">
        <v>7</v>
      </c>
      <c r="I9" s="254"/>
      <c r="J9" s="254"/>
      <c r="K9" s="254"/>
      <c r="L9" s="254"/>
      <c r="M9" s="254"/>
      <c r="N9" s="254"/>
      <c r="O9" s="254"/>
      <c r="P9" s="254"/>
      <c r="Q9" s="254"/>
      <c r="R9" s="255"/>
    </row>
    <row r="10" spans="1:92" ht="24" customHeight="1" x14ac:dyDescent="0.3">
      <c r="A10" s="32" t="s">
        <v>8</v>
      </c>
      <c r="B10" s="32" t="s">
        <v>9</v>
      </c>
      <c r="C10" s="33" t="s">
        <v>10</v>
      </c>
      <c r="D10" s="32" t="s">
        <v>11</v>
      </c>
      <c r="E10" s="32" t="s">
        <v>12</v>
      </c>
      <c r="F10" s="34" t="s">
        <v>13</v>
      </c>
      <c r="G10" s="35" t="s">
        <v>14</v>
      </c>
      <c r="H10" s="32" t="s">
        <v>15</v>
      </c>
      <c r="I10" s="36" t="s">
        <v>16</v>
      </c>
      <c r="J10" s="37" t="s">
        <v>17</v>
      </c>
      <c r="K10" s="38" t="s">
        <v>18</v>
      </c>
      <c r="L10" s="37" t="s">
        <v>19</v>
      </c>
      <c r="M10" s="37" t="s">
        <v>20</v>
      </c>
      <c r="N10" s="37" t="s">
        <v>21</v>
      </c>
      <c r="O10" s="32" t="s">
        <v>22</v>
      </c>
      <c r="P10" s="33" t="s">
        <v>23</v>
      </c>
      <c r="Q10" s="37" t="s">
        <v>24</v>
      </c>
      <c r="R10" s="32" t="s">
        <v>25</v>
      </c>
    </row>
    <row r="11" spans="1:92" ht="49.95" customHeight="1" x14ac:dyDescent="0.3">
      <c r="A11" s="208" t="s">
        <v>78</v>
      </c>
      <c r="B11" s="208" t="s">
        <v>921</v>
      </c>
      <c r="C11" s="209">
        <v>0.8125</v>
      </c>
      <c r="D11" s="208" t="s">
        <v>98</v>
      </c>
      <c r="E11" s="208" t="s">
        <v>54</v>
      </c>
      <c r="F11" s="208" t="s">
        <v>922</v>
      </c>
      <c r="G11" s="256"/>
      <c r="H11" s="148" t="s">
        <v>923</v>
      </c>
      <c r="I11" s="149">
        <v>0.76539999999999997</v>
      </c>
      <c r="J11" s="150">
        <v>137</v>
      </c>
      <c r="K11" s="151">
        <v>45980</v>
      </c>
      <c r="L11" s="150">
        <v>65</v>
      </c>
      <c r="M11" s="150">
        <v>2</v>
      </c>
      <c r="N11" s="150">
        <v>5</v>
      </c>
      <c r="O11" s="152" t="s">
        <v>367</v>
      </c>
      <c r="P11" s="153">
        <v>0.8125</v>
      </c>
      <c r="Q11" s="150">
        <v>179</v>
      </c>
      <c r="R11" s="154" t="s">
        <v>925</v>
      </c>
    </row>
    <row r="12" spans="1:92" ht="49.95" customHeight="1" x14ac:dyDescent="0.3">
      <c r="A12" s="206" t="s">
        <v>235</v>
      </c>
      <c r="B12" s="206" t="s">
        <v>919</v>
      </c>
      <c r="C12" s="207">
        <v>0.33680555555555558</v>
      </c>
      <c r="D12" s="206" t="s">
        <v>98</v>
      </c>
      <c r="E12" s="206" t="s">
        <v>332</v>
      </c>
      <c r="F12" s="206" t="s">
        <v>926</v>
      </c>
      <c r="G12" s="258"/>
      <c r="H12" s="41"/>
      <c r="I12" s="42"/>
      <c r="J12" s="42"/>
      <c r="K12" s="42"/>
      <c r="L12" s="42"/>
      <c r="M12" s="42"/>
      <c r="N12" s="42"/>
      <c r="O12" s="43"/>
      <c r="P12" s="42"/>
      <c r="Q12" s="44"/>
      <c r="R12" s="45"/>
    </row>
  </sheetData>
  <mergeCells count="14">
    <mergeCell ref="G11:G12"/>
    <mergeCell ref="A8:R8"/>
    <mergeCell ref="H4:R4"/>
    <mergeCell ref="N1:R1"/>
    <mergeCell ref="H1:L1"/>
    <mergeCell ref="A1:E1"/>
    <mergeCell ref="G2:J2"/>
    <mergeCell ref="K2:R2"/>
    <mergeCell ref="A4:F4"/>
    <mergeCell ref="A2:F2"/>
    <mergeCell ref="A3:R3"/>
    <mergeCell ref="H9:R9"/>
    <mergeCell ref="A9:F9"/>
    <mergeCell ref="G6:G7"/>
  </mergeCells>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J4"/>
  <sheetViews>
    <sheetView workbookViewId="0"/>
  </sheetViews>
  <sheetFormatPr defaultRowHeight="15.6" outlineLevelCol="1" x14ac:dyDescent="0.3"/>
  <cols>
    <col min="1" max="1" width="9.88671875" style="272" bestFit="1" customWidth="1"/>
    <col min="2" max="2" width="10.44140625" style="272" bestFit="1" customWidth="1"/>
    <col min="3" max="3" width="6.77734375" style="272" bestFit="1" customWidth="1"/>
    <col min="4" max="4" width="5.5546875" style="272" bestFit="1" customWidth="1"/>
    <col min="5" max="5" width="7.44140625" style="272" bestFit="1" customWidth="1"/>
    <col min="6" max="6" width="4.21875" style="272" bestFit="1" customWidth="1"/>
    <col min="7" max="7" width="10" style="272" bestFit="1" customWidth="1"/>
    <col min="8" max="10" width="7" style="272" bestFit="1" customWidth="1"/>
    <col min="11" max="11" width="10.5546875" style="272" bestFit="1" customWidth="1"/>
    <col min="12" max="12" width="9.109375" style="272" bestFit="1" customWidth="1"/>
    <col min="13" max="13" width="7.6640625" style="272" bestFit="1" customWidth="1" outlineLevel="1"/>
    <col min="14" max="14" width="6.33203125" style="272" bestFit="1" customWidth="1" outlineLevel="1"/>
    <col min="15" max="15" width="8" style="272" bestFit="1" customWidth="1" outlineLevel="1"/>
    <col min="16" max="16" width="13.6640625" style="272" bestFit="1" customWidth="1"/>
    <col min="17" max="26" width="3.88671875" style="272" bestFit="1" customWidth="1"/>
    <col min="27" max="27" width="4" style="272" bestFit="1" customWidth="1"/>
    <col min="28" max="28" width="3.88671875" style="272" bestFit="1" customWidth="1"/>
    <col min="29" max="29" width="4.21875" style="272" bestFit="1" customWidth="1"/>
    <col min="30" max="31" width="4.5546875" style="272" bestFit="1" customWidth="1"/>
    <col min="32" max="36" width="3.88671875" style="272" bestFit="1" customWidth="1"/>
    <col min="37" max="16384" width="8.88671875" style="272"/>
  </cols>
  <sheetData>
    <row r="1" spans="1:36" x14ac:dyDescent="0.3">
      <c r="A1" s="271" t="s">
        <v>103</v>
      </c>
      <c r="B1" s="271" t="s">
        <v>104</v>
      </c>
      <c r="C1" s="271" t="s">
        <v>105</v>
      </c>
      <c r="D1" s="271" t="s">
        <v>23</v>
      </c>
      <c r="E1" s="271" t="s">
        <v>106</v>
      </c>
      <c r="F1" s="271" t="s">
        <v>107</v>
      </c>
      <c r="G1" s="271" t="s">
        <v>16</v>
      </c>
      <c r="H1" s="271" t="s">
        <v>108</v>
      </c>
      <c r="I1" s="271" t="s">
        <v>109</v>
      </c>
      <c r="J1" s="271" t="s">
        <v>110</v>
      </c>
      <c r="K1" s="271" t="s">
        <v>111</v>
      </c>
      <c r="L1" s="271" t="s">
        <v>18</v>
      </c>
      <c r="M1" s="271" t="s">
        <v>20</v>
      </c>
      <c r="N1" s="271" t="s">
        <v>21</v>
      </c>
      <c r="O1" s="271" t="s">
        <v>19</v>
      </c>
      <c r="P1" s="271" t="s">
        <v>22</v>
      </c>
      <c r="Q1" s="271" t="s">
        <v>112</v>
      </c>
      <c r="R1" s="271" t="s">
        <v>113</v>
      </c>
      <c r="S1" s="271" t="s">
        <v>114</v>
      </c>
      <c r="T1" s="271" t="s">
        <v>115</v>
      </c>
      <c r="U1" s="271" t="s">
        <v>116</v>
      </c>
      <c r="V1" s="271" t="s">
        <v>117</v>
      </c>
      <c r="W1" s="271" t="s">
        <v>118</v>
      </c>
      <c r="X1" s="271" t="s">
        <v>119</v>
      </c>
      <c r="Y1" s="271" t="s">
        <v>120</v>
      </c>
      <c r="Z1" s="271" t="s">
        <v>121</v>
      </c>
      <c r="AA1" s="271" t="s">
        <v>122</v>
      </c>
      <c r="AB1" s="271" t="s">
        <v>123</v>
      </c>
      <c r="AC1" s="271" t="s">
        <v>124</v>
      </c>
      <c r="AD1" s="271" t="s">
        <v>125</v>
      </c>
      <c r="AE1" s="271" t="s">
        <v>126</v>
      </c>
      <c r="AF1" s="271" t="s">
        <v>127</v>
      </c>
      <c r="AG1" s="271" t="s">
        <v>128</v>
      </c>
      <c r="AH1" s="271" t="s">
        <v>129</v>
      </c>
      <c r="AI1" s="271" t="s">
        <v>130</v>
      </c>
      <c r="AJ1" s="271" t="s">
        <v>131</v>
      </c>
    </row>
    <row r="2" spans="1:36" x14ac:dyDescent="0.3">
      <c r="A2" s="273" t="s">
        <v>132</v>
      </c>
      <c r="B2" s="274">
        <v>45981</v>
      </c>
      <c r="C2" s="275" t="s">
        <v>923</v>
      </c>
      <c r="D2" s="276" t="s">
        <v>909</v>
      </c>
      <c r="E2" s="275" t="s">
        <v>918</v>
      </c>
      <c r="F2" s="275" t="s">
        <v>134</v>
      </c>
      <c r="G2" s="277">
        <v>0.71509999999999996</v>
      </c>
      <c r="H2" s="278">
        <v>179</v>
      </c>
      <c r="I2" s="278">
        <v>128</v>
      </c>
      <c r="J2" s="278">
        <v>0</v>
      </c>
      <c r="K2" s="275" t="s">
        <v>135</v>
      </c>
      <c r="L2" s="279">
        <v>45979</v>
      </c>
      <c r="M2" s="278">
        <v>0</v>
      </c>
      <c r="N2" s="278">
        <v>7</v>
      </c>
      <c r="O2" s="278">
        <v>32</v>
      </c>
      <c r="P2" s="275" t="s">
        <v>177</v>
      </c>
      <c r="Q2" s="271"/>
      <c r="R2" s="271"/>
      <c r="S2" s="271"/>
      <c r="T2" s="271"/>
      <c r="U2" s="271"/>
      <c r="V2" s="271"/>
      <c r="W2" s="271"/>
      <c r="X2" s="271"/>
      <c r="Y2" s="271"/>
      <c r="Z2" s="278" t="s">
        <v>347</v>
      </c>
      <c r="AA2" s="278" t="s">
        <v>194</v>
      </c>
      <c r="AB2" s="278" t="s">
        <v>927</v>
      </c>
      <c r="AC2" s="278" t="s">
        <v>928</v>
      </c>
      <c r="AD2" s="278" t="s">
        <v>929</v>
      </c>
      <c r="AE2" s="278" t="s">
        <v>930</v>
      </c>
      <c r="AF2" s="278" t="s">
        <v>807</v>
      </c>
      <c r="AG2" s="271"/>
      <c r="AH2" s="271"/>
      <c r="AI2" s="271"/>
      <c r="AJ2" s="271"/>
    </row>
    <row r="3" spans="1:36" x14ac:dyDescent="0.3">
      <c r="A3" s="273" t="s">
        <v>144</v>
      </c>
      <c r="B3" s="274">
        <v>45983</v>
      </c>
      <c r="C3" s="275" t="s">
        <v>923</v>
      </c>
      <c r="D3" s="276" t="s">
        <v>909</v>
      </c>
      <c r="E3" s="275" t="s">
        <v>918</v>
      </c>
      <c r="F3" s="275" t="s">
        <v>134</v>
      </c>
      <c r="G3" s="277">
        <v>0.76539999999999997</v>
      </c>
      <c r="H3" s="278">
        <v>179</v>
      </c>
      <c r="I3" s="278">
        <v>137</v>
      </c>
      <c r="J3" s="278">
        <v>0</v>
      </c>
      <c r="K3" s="275" t="s">
        <v>135</v>
      </c>
      <c r="L3" s="279">
        <v>45980</v>
      </c>
      <c r="M3" s="278">
        <v>2</v>
      </c>
      <c r="N3" s="278">
        <v>5</v>
      </c>
      <c r="O3" s="278">
        <v>65</v>
      </c>
      <c r="P3" s="275" t="s">
        <v>367</v>
      </c>
      <c r="Q3" s="271"/>
      <c r="R3" s="271"/>
      <c r="S3" s="271"/>
      <c r="T3" s="271"/>
      <c r="U3" s="271"/>
      <c r="V3" s="271"/>
      <c r="W3" s="271"/>
      <c r="X3" s="271"/>
      <c r="Y3" s="271"/>
      <c r="Z3" s="271"/>
      <c r="AA3" s="278" t="s">
        <v>301</v>
      </c>
      <c r="AB3" s="278" t="s">
        <v>401</v>
      </c>
      <c r="AC3" s="278" t="s">
        <v>931</v>
      </c>
      <c r="AD3" s="278" t="s">
        <v>139</v>
      </c>
      <c r="AE3" s="278" t="s">
        <v>140</v>
      </c>
      <c r="AF3" s="278" t="s">
        <v>369</v>
      </c>
      <c r="AG3" s="271"/>
      <c r="AH3" s="271"/>
      <c r="AI3" s="271"/>
      <c r="AJ3" s="271"/>
    </row>
    <row r="4" spans="1:36" ht="21" x14ac:dyDescent="0.3">
      <c r="A4" s="280" t="s">
        <v>932</v>
      </c>
      <c r="B4" s="281"/>
      <c r="C4" s="280">
        <f>SUBTOTAL(103,CAI_GIZ_LF_LEGACY[Flt])</f>
        <v>2</v>
      </c>
      <c r="D4" s="280"/>
      <c r="E4" s="280">
        <f>SUBTOTAL(103,CAI_GIZ_LF_LEGACY[Brd-Off])</f>
        <v>2</v>
      </c>
      <c r="F4" s="280"/>
      <c r="G4" s="282">
        <f>SUBTOTAL(101,CAI_GIZ_LF_LEGACY[LF%])</f>
        <v>0.74024999999999996</v>
      </c>
      <c r="H4" s="283">
        <f>SUBTOTAL(109,CAI_GIZ_LF_LEGACY[CAP])</f>
        <v>358</v>
      </c>
      <c r="I4" s="283">
        <f>SUBTOTAL(109,CAI_GIZ_LF_LEGACY[BKG(Y)])</f>
        <v>265</v>
      </c>
      <c r="J4" s="283">
        <f>SUBTOTAL(109,CAI_GIZ_LF_LEGACY[GRP(Y)])</f>
        <v>0</v>
      </c>
      <c r="K4" s="280"/>
      <c r="L4" s="281"/>
      <c r="M4" s="283">
        <f>SUBTOTAL(109,CAI_GIZ_LF_LEGACY[TO-DAY])</f>
        <v>2</v>
      </c>
      <c r="N4" s="283">
        <f>SUBTOTAL(109,CAI_GIZ_LF_LEGACY[Y-DAY])</f>
        <v>12</v>
      </c>
      <c r="O4" s="283">
        <f>SUBTOTAL(109,CAI_GIZ_LF_LEGACY[WEEKLY])</f>
        <v>97</v>
      </c>
      <c r="P4" s="284"/>
      <c r="Q4" s="283">
        <f>SUBTOTAL(109,CAI_GIZ_LF_LEGACY[Y])</f>
        <v>0</v>
      </c>
      <c r="R4" s="283">
        <f>SUBTOTAL(109,CAI_GIZ_LF_LEGACY[B])</f>
        <v>0</v>
      </c>
      <c r="S4" s="283">
        <f>SUBTOTAL(109,CAI_GIZ_LF_LEGACY[M])</f>
        <v>0</v>
      </c>
      <c r="T4" s="283">
        <f>SUBTOTAL(109,CAI_GIZ_LF_LEGACY[H])</f>
        <v>0</v>
      </c>
      <c r="U4" s="283">
        <f>SUBTOTAL(109,CAI_GIZ_LF_LEGACY[Q])</f>
        <v>0</v>
      </c>
      <c r="V4" s="283">
        <f>SUBTOTAL(109,CAI_GIZ_LF_LEGACY[K])</f>
        <v>0</v>
      </c>
      <c r="W4" s="283">
        <f>SUBTOTAL(109,CAI_GIZ_LF_LEGACY[V])</f>
        <v>0</v>
      </c>
      <c r="X4" s="283">
        <f>SUBTOTAL(109,CAI_GIZ_LF_LEGACY[L])</f>
        <v>0</v>
      </c>
      <c r="Y4" s="283">
        <f>SUBTOTAL(109,CAI_GIZ_LF_LEGACY[G])</f>
        <v>0</v>
      </c>
      <c r="Z4" s="283">
        <f>SUBTOTAL(109,CAI_GIZ_LF_LEGACY[S])</f>
        <v>0</v>
      </c>
      <c r="AA4" s="283">
        <f>SUBTOTAL(109,CAI_GIZ_LF_LEGACY[W])</f>
        <v>0</v>
      </c>
      <c r="AB4" s="283">
        <f>SUBTOTAL(109,CAI_GIZ_LF_LEGACY[T])</f>
        <v>0</v>
      </c>
      <c r="AC4" s="283">
        <f>SUBTOTAL(109,CAI_GIZ_LF_LEGACY[X])</f>
        <v>0</v>
      </c>
      <c r="AD4" s="283">
        <f>SUBTOTAL(109,CAI_GIZ_LF_LEGACY[U])</f>
        <v>0</v>
      </c>
      <c r="AE4" s="283">
        <f>SUBTOTAL(109,CAI_GIZ_LF_LEGACY[O])</f>
        <v>0</v>
      </c>
      <c r="AF4" s="283">
        <f>SUBTOTAL(109,CAI_GIZ_LF_LEGACY[I])</f>
        <v>0</v>
      </c>
      <c r="AG4" s="283">
        <f>SUBTOTAL(109,CAI_GIZ_LF_LEGACY[E])</f>
        <v>0</v>
      </c>
      <c r="AH4" s="283">
        <f>SUBTOTAL(109,CAI_GIZ_LF_LEGACY[A])</f>
        <v>0</v>
      </c>
      <c r="AI4" s="283">
        <f>SUBTOTAL(109,CAI_GIZ_LF_LEGACY[P])</f>
        <v>0</v>
      </c>
      <c r="AJ4" s="283">
        <f>SUBTOTAL(103,CAI_GIZ_LF_LEGACY[N])</f>
        <v>0</v>
      </c>
    </row>
  </sheetData>
  <pageMargins left="0.75" right="0.75" top="1" bottom="1" header="0.5" footer="0.5"/>
  <tableParts count="1">
    <tablePart r:id="rId1"/>
  </tableParts>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I5"/>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77.6640625" hidden="1" customWidth="1"/>
  </cols>
  <sheetData>
    <row r="1" spans="1:8" ht="18" x14ac:dyDescent="0.3">
      <c r="A1" s="56" t="s">
        <v>149</v>
      </c>
      <c r="B1" s="57" t="s">
        <v>8</v>
      </c>
      <c r="C1" s="57" t="s">
        <v>9</v>
      </c>
      <c r="D1" s="57" t="s">
        <v>150</v>
      </c>
      <c r="E1" s="57" t="s">
        <v>10</v>
      </c>
      <c r="F1" s="57" t="s">
        <v>11</v>
      </c>
      <c r="G1" s="57" t="s">
        <v>12</v>
      </c>
      <c r="H1" s="58" t="s">
        <v>13</v>
      </c>
    </row>
    <row r="2" spans="1:8" ht="19.8" customHeight="1" x14ac:dyDescent="0.3">
      <c r="A2" s="59" t="s">
        <v>151</v>
      </c>
      <c r="B2" s="60" t="s">
        <v>235</v>
      </c>
      <c r="C2" s="61" t="s">
        <v>919</v>
      </c>
      <c r="D2" s="60" t="s">
        <v>918</v>
      </c>
      <c r="E2" s="60" t="s">
        <v>191</v>
      </c>
      <c r="F2" s="60" t="s">
        <v>98</v>
      </c>
      <c r="G2" s="62">
        <v>9</v>
      </c>
      <c r="H2" s="63" t="s">
        <v>920</v>
      </c>
    </row>
    <row r="3" spans="1:8" ht="19.8" customHeight="1" x14ac:dyDescent="0.3">
      <c r="A3" s="64" t="s">
        <v>151</v>
      </c>
      <c r="B3" s="65" t="s">
        <v>78</v>
      </c>
      <c r="C3" s="66" t="s">
        <v>921</v>
      </c>
      <c r="D3" s="65" t="s">
        <v>918</v>
      </c>
      <c r="E3" s="65" t="s">
        <v>909</v>
      </c>
      <c r="F3" s="65" t="s">
        <v>98</v>
      </c>
      <c r="G3" s="84">
        <v>2</v>
      </c>
      <c r="H3" s="67" t="s">
        <v>922</v>
      </c>
    </row>
    <row r="4" spans="1:8" ht="19.8" customHeight="1" x14ac:dyDescent="0.3">
      <c r="A4" s="76">
        <v>45983</v>
      </c>
      <c r="B4" s="77" t="s">
        <v>78</v>
      </c>
      <c r="C4" s="78" t="s">
        <v>921</v>
      </c>
      <c r="D4" s="77" t="s">
        <v>918</v>
      </c>
      <c r="E4" s="79">
        <v>1.8125</v>
      </c>
      <c r="F4" s="77" t="s">
        <v>98</v>
      </c>
      <c r="G4" s="80">
        <v>9</v>
      </c>
      <c r="H4" s="81" t="s">
        <v>922</v>
      </c>
    </row>
    <row r="5" spans="1:8" ht="19.8" customHeight="1" x14ac:dyDescent="0.3">
      <c r="A5" s="70">
        <v>45983</v>
      </c>
      <c r="B5" s="71" t="s">
        <v>235</v>
      </c>
      <c r="C5" s="72" t="s">
        <v>919</v>
      </c>
      <c r="D5" s="71" t="s">
        <v>918</v>
      </c>
      <c r="E5" s="73">
        <v>1.336805555555556</v>
      </c>
      <c r="F5" s="71" t="s">
        <v>98</v>
      </c>
      <c r="G5" s="74">
        <v>4</v>
      </c>
      <c r="H5" s="75" t="s">
        <v>926</v>
      </c>
    </row>
  </sheetData>
  <pageMargins left="0.75" right="0.75" top="1" bottom="1" header="0.5" footer="0.5"/>
  <legacyDrawing r:id="rId1"/>
  <tableParts count="1">
    <tablePart r:id="rId2"/>
  </tableParts>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I4"/>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77.6640625" hidden="1" customWidth="1"/>
  </cols>
  <sheetData>
    <row r="1" spans="1:8" ht="18" x14ac:dyDescent="0.3">
      <c r="A1" s="56" t="s">
        <v>149</v>
      </c>
      <c r="B1" s="57" t="s">
        <v>8</v>
      </c>
      <c r="C1" s="57" t="s">
        <v>9</v>
      </c>
      <c r="D1" s="57" t="s">
        <v>150</v>
      </c>
      <c r="E1" s="57" t="s">
        <v>10</v>
      </c>
      <c r="F1" s="57" t="s">
        <v>11</v>
      </c>
      <c r="G1" s="57" t="s">
        <v>12</v>
      </c>
      <c r="H1" s="58" t="s">
        <v>13</v>
      </c>
    </row>
    <row r="2" spans="1:8" ht="19.8" customHeight="1" x14ac:dyDescent="0.3">
      <c r="A2" s="64" t="s">
        <v>151</v>
      </c>
      <c r="B2" s="65" t="s">
        <v>78</v>
      </c>
      <c r="C2" s="66" t="s">
        <v>921</v>
      </c>
      <c r="D2" s="65" t="s">
        <v>918</v>
      </c>
      <c r="E2" s="65" t="s">
        <v>909</v>
      </c>
      <c r="F2" s="65" t="s">
        <v>98</v>
      </c>
      <c r="G2" s="84">
        <v>2</v>
      </c>
      <c r="H2" s="67" t="s">
        <v>922</v>
      </c>
    </row>
    <row r="3" spans="1:8" ht="19.8" customHeight="1" x14ac:dyDescent="0.3">
      <c r="A3" s="76">
        <v>45983</v>
      </c>
      <c r="B3" s="77" t="s">
        <v>78</v>
      </c>
      <c r="C3" s="78" t="s">
        <v>921</v>
      </c>
      <c r="D3" s="77" t="s">
        <v>918</v>
      </c>
      <c r="E3" s="79">
        <v>1.8125</v>
      </c>
      <c r="F3" s="77" t="s">
        <v>98</v>
      </c>
      <c r="G3" s="80">
        <v>9</v>
      </c>
      <c r="H3" s="81" t="s">
        <v>922</v>
      </c>
    </row>
    <row r="4" spans="1:8" ht="19.8" customHeight="1" x14ac:dyDescent="0.3">
      <c r="A4" s="70">
        <v>45983</v>
      </c>
      <c r="B4" s="71" t="s">
        <v>235</v>
      </c>
      <c r="C4" s="72" t="s">
        <v>919</v>
      </c>
      <c r="D4" s="71" t="s">
        <v>918</v>
      </c>
      <c r="E4" s="73">
        <v>1.336805555555556</v>
      </c>
      <c r="F4" s="71" t="s">
        <v>98</v>
      </c>
      <c r="G4" s="74">
        <v>4</v>
      </c>
      <c r="H4" s="75" t="s">
        <v>926</v>
      </c>
    </row>
  </sheetData>
  <pageMargins left="0.75" right="0.75" top="1" bottom="1" header="0.5" footer="0.5"/>
  <legacyDrawing r:id="rId1"/>
  <tableParts count="1">
    <tablePart r:id="rId2"/>
  </tablePart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J54"/>
  <sheetViews>
    <sheetView workbookViewId="0"/>
  </sheetViews>
  <sheetFormatPr defaultRowHeight="14.4" x14ac:dyDescent="0.3"/>
  <cols>
    <col min="1" max="1" width="9.88671875" bestFit="1" customWidth="1"/>
    <col min="2" max="2" width="17" bestFit="1" customWidth="1"/>
    <col min="3" max="3" width="6.5546875" bestFit="1" customWidth="1"/>
    <col min="4" max="4" width="5.5546875" bestFit="1" customWidth="1"/>
    <col min="5" max="5" width="9.21875" bestFit="1" customWidth="1"/>
    <col min="6" max="6" width="4.21875" bestFit="1" customWidth="1"/>
    <col min="7" max="7" width="7" bestFit="1" customWidth="1"/>
    <col min="8" max="8" width="4.44140625" bestFit="1" customWidth="1"/>
    <col min="9" max="10" width="6.77734375" bestFit="1" customWidth="1"/>
    <col min="11" max="11" width="10.5546875" bestFit="1" customWidth="1"/>
    <col min="12" max="12" width="17"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33" width="3" bestFit="1" customWidth="1"/>
    <col min="34" max="34" width="2.21875" bestFit="1" customWidth="1"/>
    <col min="35" max="35" width="4" bestFit="1" customWidth="1"/>
    <col min="36" max="36" width="2.33203125" bestFit="1" customWidth="1"/>
  </cols>
  <sheetData>
    <row r="1" spans="1:36" x14ac:dyDescent="0.3">
      <c r="A1" s="55" t="s">
        <v>103</v>
      </c>
      <c r="B1" s="55" t="s">
        <v>104</v>
      </c>
      <c r="C1" s="55" t="s">
        <v>105</v>
      </c>
      <c r="D1" s="55" t="s">
        <v>23</v>
      </c>
      <c r="E1" s="55" t="s">
        <v>106</v>
      </c>
      <c r="F1" s="55" t="s">
        <v>107</v>
      </c>
      <c r="G1" s="55" t="s">
        <v>16</v>
      </c>
      <c r="H1" s="55" t="s">
        <v>108</v>
      </c>
      <c r="I1" s="55" t="s">
        <v>109</v>
      </c>
      <c r="J1" s="55" t="s">
        <v>110</v>
      </c>
      <c r="K1" s="55" t="s">
        <v>111</v>
      </c>
      <c r="L1" s="55" t="s">
        <v>18</v>
      </c>
      <c r="M1" s="55" t="s">
        <v>20</v>
      </c>
      <c r="N1" s="55" t="s">
        <v>21</v>
      </c>
      <c r="O1" s="55" t="s">
        <v>19</v>
      </c>
      <c r="P1" s="55" t="s">
        <v>22</v>
      </c>
      <c r="Q1" s="55" t="s">
        <v>112</v>
      </c>
      <c r="R1" s="55" t="s">
        <v>113</v>
      </c>
      <c r="S1" s="55" t="s">
        <v>114</v>
      </c>
      <c r="T1" s="55" t="s">
        <v>115</v>
      </c>
      <c r="U1" s="55" t="s">
        <v>116</v>
      </c>
      <c r="V1" s="55" t="s">
        <v>117</v>
      </c>
      <c r="W1" s="55" t="s">
        <v>118</v>
      </c>
      <c r="X1" s="55" t="s">
        <v>119</v>
      </c>
      <c r="Y1" s="55" t="s">
        <v>120</v>
      </c>
      <c r="Z1" s="55" t="s">
        <v>121</v>
      </c>
      <c r="AA1" s="55" t="s">
        <v>122</v>
      </c>
      <c r="AB1" s="55" t="s">
        <v>123</v>
      </c>
      <c r="AC1" s="55" t="s">
        <v>124</v>
      </c>
      <c r="AD1" s="55" t="s">
        <v>125</v>
      </c>
      <c r="AE1" s="55" t="s">
        <v>126</v>
      </c>
      <c r="AF1" s="55" t="s">
        <v>127</v>
      </c>
      <c r="AG1" s="55" t="s">
        <v>128</v>
      </c>
      <c r="AH1" s="55" t="s">
        <v>129</v>
      </c>
      <c r="AI1" s="55" t="s">
        <v>130</v>
      </c>
      <c r="AJ1" s="55" t="s">
        <v>131</v>
      </c>
    </row>
    <row r="2" spans="1:36" x14ac:dyDescent="0.3">
      <c r="A2" t="s">
        <v>132</v>
      </c>
      <c r="B2" s="249">
        <v>45981</v>
      </c>
      <c r="C2" t="s">
        <v>506</v>
      </c>
      <c r="D2" t="s">
        <v>516</v>
      </c>
      <c r="E2" t="s">
        <v>500</v>
      </c>
      <c r="F2" t="s">
        <v>134</v>
      </c>
      <c r="G2">
        <v>0.92779999999999996</v>
      </c>
      <c r="H2">
        <v>180</v>
      </c>
      <c r="I2">
        <v>167</v>
      </c>
      <c r="J2">
        <v>133</v>
      </c>
      <c r="K2" t="s">
        <v>135</v>
      </c>
      <c r="L2" s="249">
        <v>45979</v>
      </c>
      <c r="M2">
        <v>0</v>
      </c>
      <c r="N2">
        <v>5</v>
      </c>
      <c r="O2">
        <v>22</v>
      </c>
      <c r="P2" t="s">
        <v>249</v>
      </c>
      <c r="Q2">
        <v>0</v>
      </c>
      <c r="R2">
        <v>0</v>
      </c>
      <c r="S2">
        <v>0</v>
      </c>
      <c r="T2">
        <v>0</v>
      </c>
      <c r="U2">
        <v>0</v>
      </c>
      <c r="V2">
        <v>0</v>
      </c>
      <c r="W2">
        <v>0</v>
      </c>
      <c r="X2">
        <v>0</v>
      </c>
      <c r="Y2">
        <v>0</v>
      </c>
      <c r="Z2">
        <v>9</v>
      </c>
      <c r="AA2">
        <v>24</v>
      </c>
      <c r="AB2">
        <v>0</v>
      </c>
      <c r="AC2">
        <v>1</v>
      </c>
      <c r="AD2">
        <v>0</v>
      </c>
      <c r="AE2">
        <v>0</v>
      </c>
      <c r="AF2">
        <v>0</v>
      </c>
      <c r="AG2">
        <v>47</v>
      </c>
      <c r="AH2">
        <v>0</v>
      </c>
      <c r="AI2">
        <v>86</v>
      </c>
      <c r="AJ2">
        <v>0</v>
      </c>
    </row>
    <row r="3" spans="1:36" x14ac:dyDescent="0.3">
      <c r="A3" t="s">
        <v>132</v>
      </c>
      <c r="B3" s="249">
        <v>45981</v>
      </c>
      <c r="C3" t="s">
        <v>503</v>
      </c>
      <c r="D3" t="s">
        <v>522</v>
      </c>
      <c r="E3" t="s">
        <v>500</v>
      </c>
      <c r="F3" t="s">
        <v>134</v>
      </c>
      <c r="G3">
        <v>0.82220000000000004</v>
      </c>
      <c r="H3">
        <v>180</v>
      </c>
      <c r="I3">
        <v>148</v>
      </c>
      <c r="J3">
        <v>94</v>
      </c>
      <c r="K3" t="s">
        <v>135</v>
      </c>
      <c r="L3" s="249">
        <v>45980</v>
      </c>
      <c r="M3">
        <v>1</v>
      </c>
      <c r="N3">
        <v>9</v>
      </c>
      <c r="O3">
        <v>38</v>
      </c>
      <c r="P3" t="s">
        <v>193</v>
      </c>
      <c r="Q3">
        <v>0</v>
      </c>
      <c r="R3">
        <v>0</v>
      </c>
      <c r="S3">
        <v>0</v>
      </c>
      <c r="T3">
        <v>0</v>
      </c>
      <c r="U3">
        <v>0</v>
      </c>
      <c r="V3">
        <v>0</v>
      </c>
      <c r="W3">
        <v>0</v>
      </c>
      <c r="X3">
        <v>0</v>
      </c>
      <c r="Y3">
        <v>0</v>
      </c>
      <c r="Z3">
        <v>23</v>
      </c>
      <c r="AA3">
        <v>30</v>
      </c>
      <c r="AB3">
        <v>0</v>
      </c>
      <c r="AC3">
        <v>0</v>
      </c>
      <c r="AD3">
        <v>0</v>
      </c>
      <c r="AE3">
        <v>0</v>
      </c>
      <c r="AF3">
        <v>0</v>
      </c>
      <c r="AG3">
        <v>0</v>
      </c>
      <c r="AH3">
        <v>0</v>
      </c>
      <c r="AI3">
        <v>95</v>
      </c>
      <c r="AJ3">
        <v>0</v>
      </c>
    </row>
    <row r="4" spans="1:36" x14ac:dyDescent="0.3">
      <c r="A4" t="s">
        <v>132</v>
      </c>
      <c r="B4" s="249">
        <v>45981</v>
      </c>
      <c r="C4" t="s">
        <v>846</v>
      </c>
      <c r="D4" t="s">
        <v>192</v>
      </c>
      <c r="E4" t="s">
        <v>841</v>
      </c>
      <c r="F4" t="s">
        <v>134</v>
      </c>
      <c r="G4">
        <v>0.96089999999999998</v>
      </c>
      <c r="H4">
        <v>179</v>
      </c>
      <c r="I4">
        <v>172</v>
      </c>
      <c r="J4">
        <v>0</v>
      </c>
      <c r="K4" t="s">
        <v>135</v>
      </c>
      <c r="L4" s="249">
        <v>45979</v>
      </c>
      <c r="M4">
        <v>0</v>
      </c>
      <c r="N4">
        <v>9</v>
      </c>
      <c r="O4">
        <v>64</v>
      </c>
      <c r="P4" t="s">
        <v>847</v>
      </c>
      <c r="Q4">
        <v>0</v>
      </c>
      <c r="R4">
        <v>2</v>
      </c>
      <c r="S4">
        <v>8</v>
      </c>
      <c r="T4">
        <v>18</v>
      </c>
      <c r="U4">
        <v>18</v>
      </c>
      <c r="V4">
        <v>18</v>
      </c>
      <c r="W4">
        <v>18</v>
      </c>
      <c r="X4">
        <v>23</v>
      </c>
      <c r="Y4">
        <v>12</v>
      </c>
      <c r="Z4">
        <v>8</v>
      </c>
      <c r="AA4">
        <v>4</v>
      </c>
      <c r="AB4">
        <v>16</v>
      </c>
      <c r="AC4">
        <v>9</v>
      </c>
      <c r="AD4">
        <v>9</v>
      </c>
      <c r="AE4">
        <v>7</v>
      </c>
      <c r="AF4">
        <v>2</v>
      </c>
      <c r="AG4">
        <v>0</v>
      </c>
      <c r="AH4">
        <v>0</v>
      </c>
      <c r="AI4">
        <v>0</v>
      </c>
      <c r="AJ4">
        <v>0</v>
      </c>
    </row>
    <row r="5" spans="1:36" x14ac:dyDescent="0.3">
      <c r="A5" t="s">
        <v>132</v>
      </c>
      <c r="B5" s="249">
        <v>45981</v>
      </c>
      <c r="C5" t="s">
        <v>800</v>
      </c>
      <c r="D5" t="s">
        <v>804</v>
      </c>
      <c r="E5" t="s">
        <v>795</v>
      </c>
      <c r="F5" t="s">
        <v>134</v>
      </c>
      <c r="G5">
        <v>0.29609999999999997</v>
      </c>
      <c r="H5">
        <v>179</v>
      </c>
      <c r="I5">
        <v>53</v>
      </c>
      <c r="J5">
        <v>0</v>
      </c>
      <c r="K5" t="s">
        <v>135</v>
      </c>
      <c r="L5" s="249">
        <v>45980</v>
      </c>
      <c r="M5">
        <v>1</v>
      </c>
      <c r="N5">
        <v>8</v>
      </c>
      <c r="O5">
        <v>32</v>
      </c>
      <c r="P5" t="s">
        <v>367</v>
      </c>
      <c r="Q5">
        <v>0</v>
      </c>
      <c r="R5">
        <v>0</v>
      </c>
      <c r="S5">
        <v>0</v>
      </c>
      <c r="T5">
        <v>0</v>
      </c>
      <c r="U5">
        <v>0</v>
      </c>
      <c r="V5">
        <v>0</v>
      </c>
      <c r="W5">
        <v>0</v>
      </c>
      <c r="X5">
        <v>0</v>
      </c>
      <c r="Y5">
        <v>0</v>
      </c>
      <c r="Z5">
        <v>15</v>
      </c>
      <c r="AA5">
        <v>0</v>
      </c>
      <c r="AB5">
        <v>0</v>
      </c>
      <c r="AC5">
        <v>23</v>
      </c>
      <c r="AD5">
        <v>11</v>
      </c>
      <c r="AE5">
        <v>3</v>
      </c>
      <c r="AF5">
        <v>1</v>
      </c>
      <c r="AG5">
        <v>0</v>
      </c>
      <c r="AH5">
        <v>0</v>
      </c>
      <c r="AI5">
        <v>0</v>
      </c>
      <c r="AJ5">
        <v>0</v>
      </c>
    </row>
    <row r="6" spans="1:36" x14ac:dyDescent="0.3">
      <c r="A6" t="s">
        <v>132</v>
      </c>
      <c r="B6" s="249">
        <v>45981</v>
      </c>
      <c r="C6" t="s">
        <v>709</v>
      </c>
      <c r="D6" t="s">
        <v>722</v>
      </c>
      <c r="E6" t="s">
        <v>687</v>
      </c>
      <c r="F6" t="s">
        <v>134</v>
      </c>
      <c r="G6">
        <v>0.47870000000000001</v>
      </c>
      <c r="H6">
        <v>188</v>
      </c>
      <c r="I6">
        <v>90</v>
      </c>
      <c r="J6">
        <v>0</v>
      </c>
      <c r="K6" t="s">
        <v>135</v>
      </c>
      <c r="L6" s="249">
        <v>45980</v>
      </c>
      <c r="M6">
        <v>1</v>
      </c>
      <c r="N6">
        <v>1</v>
      </c>
      <c r="O6">
        <v>23</v>
      </c>
      <c r="P6" t="s">
        <v>487</v>
      </c>
      <c r="Q6">
        <v>0</v>
      </c>
      <c r="R6">
        <v>0</v>
      </c>
      <c r="S6">
        <v>0</v>
      </c>
      <c r="T6">
        <v>0</v>
      </c>
      <c r="U6">
        <v>0</v>
      </c>
      <c r="V6">
        <v>0</v>
      </c>
      <c r="W6">
        <v>2</v>
      </c>
      <c r="X6">
        <v>8</v>
      </c>
      <c r="Y6">
        <v>10</v>
      </c>
      <c r="Z6">
        <v>27</v>
      </c>
      <c r="AA6">
        <v>0</v>
      </c>
      <c r="AB6">
        <v>0</v>
      </c>
      <c r="AC6">
        <v>0</v>
      </c>
      <c r="AD6">
        <v>36</v>
      </c>
      <c r="AE6">
        <v>3</v>
      </c>
      <c r="AF6">
        <v>4</v>
      </c>
      <c r="AG6">
        <v>0</v>
      </c>
      <c r="AH6">
        <v>0</v>
      </c>
      <c r="AI6">
        <v>0</v>
      </c>
      <c r="AJ6">
        <v>0</v>
      </c>
    </row>
    <row r="7" spans="1:36" x14ac:dyDescent="0.3">
      <c r="A7" t="s">
        <v>132</v>
      </c>
      <c r="B7" s="249">
        <v>45981</v>
      </c>
      <c r="C7" t="s">
        <v>883</v>
      </c>
      <c r="D7" t="s">
        <v>668</v>
      </c>
      <c r="E7" t="s">
        <v>880</v>
      </c>
      <c r="F7" t="s">
        <v>134</v>
      </c>
      <c r="G7">
        <v>0.58099999999999996</v>
      </c>
      <c r="H7">
        <v>179</v>
      </c>
      <c r="I7">
        <v>104</v>
      </c>
      <c r="J7">
        <v>0</v>
      </c>
      <c r="K7" t="s">
        <v>135</v>
      </c>
      <c r="L7" s="249">
        <v>45979</v>
      </c>
      <c r="M7">
        <v>0</v>
      </c>
      <c r="N7">
        <v>7</v>
      </c>
      <c r="O7">
        <v>44</v>
      </c>
      <c r="P7" t="s">
        <v>301</v>
      </c>
      <c r="Q7">
        <v>0</v>
      </c>
      <c r="R7">
        <v>0</v>
      </c>
      <c r="S7">
        <v>0</v>
      </c>
      <c r="T7">
        <v>0</v>
      </c>
      <c r="U7">
        <v>0</v>
      </c>
      <c r="V7">
        <v>0</v>
      </c>
      <c r="W7">
        <v>0</v>
      </c>
      <c r="X7">
        <v>0</v>
      </c>
      <c r="Y7">
        <v>6</v>
      </c>
      <c r="Z7">
        <v>10</v>
      </c>
      <c r="AA7">
        <v>47</v>
      </c>
      <c r="AB7">
        <v>0</v>
      </c>
      <c r="AC7">
        <v>0</v>
      </c>
      <c r="AD7">
        <v>1</v>
      </c>
      <c r="AE7">
        <v>6</v>
      </c>
      <c r="AF7">
        <v>34</v>
      </c>
      <c r="AG7">
        <v>0</v>
      </c>
      <c r="AH7">
        <v>0</v>
      </c>
      <c r="AI7">
        <v>0</v>
      </c>
      <c r="AJ7">
        <v>0</v>
      </c>
    </row>
    <row r="8" spans="1:36" x14ac:dyDescent="0.3">
      <c r="A8" t="s">
        <v>132</v>
      </c>
      <c r="B8" s="249">
        <v>45981</v>
      </c>
      <c r="C8" t="s">
        <v>923</v>
      </c>
      <c r="D8" t="s">
        <v>909</v>
      </c>
      <c r="E8" t="s">
        <v>918</v>
      </c>
      <c r="F8" t="s">
        <v>134</v>
      </c>
      <c r="G8">
        <v>0.71509999999999996</v>
      </c>
      <c r="H8">
        <v>179</v>
      </c>
      <c r="I8">
        <v>128</v>
      </c>
      <c r="J8">
        <v>0</v>
      </c>
      <c r="K8" t="s">
        <v>135</v>
      </c>
      <c r="L8" s="249">
        <v>45979</v>
      </c>
      <c r="M8">
        <v>0</v>
      </c>
      <c r="N8">
        <v>7</v>
      </c>
      <c r="O8">
        <v>32</v>
      </c>
      <c r="P8" t="s">
        <v>177</v>
      </c>
      <c r="Q8">
        <v>0</v>
      </c>
      <c r="R8">
        <v>0</v>
      </c>
      <c r="S8">
        <v>0</v>
      </c>
      <c r="T8">
        <v>0</v>
      </c>
      <c r="U8">
        <v>0</v>
      </c>
      <c r="V8">
        <v>0</v>
      </c>
      <c r="W8">
        <v>0</v>
      </c>
      <c r="X8">
        <v>0</v>
      </c>
      <c r="Y8">
        <v>0</v>
      </c>
      <c r="Z8">
        <v>8</v>
      </c>
      <c r="AA8">
        <v>1</v>
      </c>
      <c r="AB8">
        <v>1</v>
      </c>
      <c r="AC8">
        <v>57</v>
      </c>
      <c r="AD8">
        <v>38</v>
      </c>
      <c r="AE8">
        <v>22</v>
      </c>
      <c r="AF8">
        <v>1</v>
      </c>
      <c r="AG8">
        <v>0</v>
      </c>
      <c r="AH8">
        <v>0</v>
      </c>
      <c r="AI8">
        <v>0</v>
      </c>
      <c r="AJ8">
        <v>0</v>
      </c>
    </row>
    <row r="9" spans="1:36" x14ac:dyDescent="0.3">
      <c r="A9" t="s">
        <v>132</v>
      </c>
      <c r="B9" s="249">
        <v>45981</v>
      </c>
      <c r="C9" t="s">
        <v>253</v>
      </c>
      <c r="D9" t="s">
        <v>371</v>
      </c>
      <c r="E9" t="s">
        <v>204</v>
      </c>
      <c r="F9" t="s">
        <v>134</v>
      </c>
      <c r="G9">
        <v>0.82220000000000004</v>
      </c>
      <c r="H9">
        <v>180</v>
      </c>
      <c r="I9">
        <v>148</v>
      </c>
      <c r="J9">
        <v>30</v>
      </c>
      <c r="K9" t="s">
        <v>135</v>
      </c>
      <c r="L9" s="249">
        <v>45980</v>
      </c>
      <c r="M9">
        <v>1</v>
      </c>
      <c r="N9">
        <v>9</v>
      </c>
      <c r="O9">
        <v>50</v>
      </c>
      <c r="P9" t="s">
        <v>254</v>
      </c>
      <c r="Q9">
        <v>0</v>
      </c>
      <c r="R9">
        <v>0</v>
      </c>
      <c r="S9">
        <v>0</v>
      </c>
      <c r="T9">
        <v>0</v>
      </c>
      <c r="U9">
        <v>0</v>
      </c>
      <c r="V9">
        <v>0</v>
      </c>
      <c r="W9">
        <v>0</v>
      </c>
      <c r="X9">
        <v>0</v>
      </c>
      <c r="Y9">
        <v>0</v>
      </c>
      <c r="Z9">
        <v>12</v>
      </c>
      <c r="AA9">
        <v>11</v>
      </c>
      <c r="AB9">
        <v>11</v>
      </c>
      <c r="AC9">
        <v>11</v>
      </c>
      <c r="AD9">
        <v>12</v>
      </c>
      <c r="AE9">
        <v>11</v>
      </c>
      <c r="AF9">
        <v>50</v>
      </c>
      <c r="AG9">
        <v>29</v>
      </c>
      <c r="AH9">
        <v>0</v>
      </c>
      <c r="AI9">
        <v>0</v>
      </c>
      <c r="AJ9">
        <v>1</v>
      </c>
    </row>
    <row r="10" spans="1:36" x14ac:dyDescent="0.3">
      <c r="A10" t="s">
        <v>132</v>
      </c>
      <c r="B10" s="249">
        <v>45981</v>
      </c>
      <c r="C10" t="s">
        <v>244</v>
      </c>
      <c r="D10" t="s">
        <v>350</v>
      </c>
      <c r="E10" t="s">
        <v>204</v>
      </c>
      <c r="F10" t="s">
        <v>134</v>
      </c>
      <c r="G10">
        <v>0.91110000000000002</v>
      </c>
      <c r="H10">
        <v>180</v>
      </c>
      <c r="I10">
        <v>164</v>
      </c>
      <c r="J10">
        <v>92</v>
      </c>
      <c r="K10" t="s">
        <v>135</v>
      </c>
      <c r="L10" s="249">
        <v>45979</v>
      </c>
      <c r="M10">
        <v>0</v>
      </c>
      <c r="N10">
        <v>2</v>
      </c>
      <c r="O10">
        <v>49</v>
      </c>
      <c r="P10" t="s">
        <v>245</v>
      </c>
      <c r="Q10">
        <v>0</v>
      </c>
      <c r="R10">
        <v>0</v>
      </c>
      <c r="S10">
        <v>0</v>
      </c>
      <c r="T10">
        <v>0</v>
      </c>
      <c r="U10">
        <v>0</v>
      </c>
      <c r="V10">
        <v>0</v>
      </c>
      <c r="W10">
        <v>0</v>
      </c>
      <c r="X10">
        <v>1</v>
      </c>
      <c r="Y10">
        <v>0</v>
      </c>
      <c r="Z10">
        <v>4</v>
      </c>
      <c r="AA10">
        <v>10</v>
      </c>
      <c r="AB10">
        <v>10</v>
      </c>
      <c r="AC10">
        <v>10</v>
      </c>
      <c r="AD10">
        <v>10</v>
      </c>
      <c r="AE10">
        <v>15</v>
      </c>
      <c r="AF10">
        <v>10</v>
      </c>
      <c r="AG10">
        <v>0</v>
      </c>
      <c r="AH10">
        <v>0</v>
      </c>
      <c r="AI10">
        <v>92</v>
      </c>
      <c r="AJ10">
        <v>2</v>
      </c>
    </row>
    <row r="11" spans="1:36" x14ac:dyDescent="0.3">
      <c r="A11" t="s">
        <v>132</v>
      </c>
      <c r="B11" s="249">
        <v>45981</v>
      </c>
      <c r="C11" t="s">
        <v>240</v>
      </c>
      <c r="D11" t="s">
        <v>156</v>
      </c>
      <c r="E11" t="s">
        <v>204</v>
      </c>
      <c r="F11" t="s">
        <v>134</v>
      </c>
      <c r="G11">
        <v>0.9385</v>
      </c>
      <c r="H11">
        <v>179</v>
      </c>
      <c r="I11">
        <v>168</v>
      </c>
      <c r="J11">
        <v>74</v>
      </c>
      <c r="K11" t="s">
        <v>135</v>
      </c>
      <c r="L11" s="249">
        <v>45979</v>
      </c>
      <c r="M11">
        <v>0</v>
      </c>
      <c r="N11">
        <v>2</v>
      </c>
      <c r="O11">
        <v>83</v>
      </c>
      <c r="P11" t="s">
        <v>241</v>
      </c>
      <c r="Q11">
        <v>0</v>
      </c>
      <c r="R11">
        <v>0</v>
      </c>
      <c r="S11">
        <v>0</v>
      </c>
      <c r="T11">
        <v>0</v>
      </c>
      <c r="U11">
        <v>0</v>
      </c>
      <c r="V11">
        <v>0</v>
      </c>
      <c r="W11">
        <v>0</v>
      </c>
      <c r="X11">
        <v>0</v>
      </c>
      <c r="Y11">
        <v>0</v>
      </c>
      <c r="Z11">
        <v>6</v>
      </c>
      <c r="AA11">
        <v>12</v>
      </c>
      <c r="AB11">
        <v>11</v>
      </c>
      <c r="AC11">
        <v>11</v>
      </c>
      <c r="AD11">
        <v>12</v>
      </c>
      <c r="AE11">
        <v>11</v>
      </c>
      <c r="AF11">
        <v>31</v>
      </c>
      <c r="AG11">
        <v>34</v>
      </c>
      <c r="AH11">
        <v>0</v>
      </c>
      <c r="AI11">
        <v>40</v>
      </c>
      <c r="AJ11">
        <v>0</v>
      </c>
    </row>
    <row r="12" spans="1:36" x14ac:dyDescent="0.3">
      <c r="A12" t="s">
        <v>132</v>
      </c>
      <c r="B12" s="249">
        <v>45981</v>
      </c>
      <c r="C12" t="s">
        <v>248</v>
      </c>
      <c r="D12" t="s">
        <v>345</v>
      </c>
      <c r="E12" t="s">
        <v>204</v>
      </c>
      <c r="F12" t="s">
        <v>134</v>
      </c>
      <c r="G12">
        <v>0.84440000000000004</v>
      </c>
      <c r="H12">
        <v>180</v>
      </c>
      <c r="I12">
        <v>152</v>
      </c>
      <c r="J12">
        <v>46</v>
      </c>
      <c r="K12" t="s">
        <v>135</v>
      </c>
      <c r="L12" s="249">
        <v>45980</v>
      </c>
      <c r="M12">
        <v>1</v>
      </c>
      <c r="N12">
        <v>3</v>
      </c>
      <c r="O12">
        <v>93</v>
      </c>
      <c r="P12" t="s">
        <v>249</v>
      </c>
      <c r="Q12">
        <v>0</v>
      </c>
      <c r="R12">
        <v>0</v>
      </c>
      <c r="S12">
        <v>0</v>
      </c>
      <c r="T12">
        <v>0</v>
      </c>
      <c r="U12">
        <v>0</v>
      </c>
      <c r="V12">
        <v>0</v>
      </c>
      <c r="W12">
        <v>0</v>
      </c>
      <c r="X12">
        <v>0</v>
      </c>
      <c r="Y12">
        <v>1</v>
      </c>
      <c r="Z12">
        <v>8</v>
      </c>
      <c r="AA12">
        <v>12</v>
      </c>
      <c r="AB12">
        <v>11</v>
      </c>
      <c r="AC12">
        <v>11</v>
      </c>
      <c r="AD12">
        <v>12</v>
      </c>
      <c r="AE12">
        <v>11</v>
      </c>
      <c r="AF12">
        <v>40</v>
      </c>
      <c r="AG12">
        <v>0</v>
      </c>
      <c r="AH12">
        <v>0</v>
      </c>
      <c r="AI12">
        <v>46</v>
      </c>
      <c r="AJ12">
        <v>0</v>
      </c>
    </row>
    <row r="13" spans="1:36" x14ac:dyDescent="0.3">
      <c r="A13" t="s">
        <v>132</v>
      </c>
      <c r="B13" s="249">
        <v>45981</v>
      </c>
      <c r="C13" t="s">
        <v>256</v>
      </c>
      <c r="D13" t="s">
        <v>359</v>
      </c>
      <c r="E13" t="s">
        <v>204</v>
      </c>
      <c r="F13" t="s">
        <v>134</v>
      </c>
      <c r="G13">
        <v>1.0111000000000001</v>
      </c>
      <c r="H13">
        <v>180</v>
      </c>
      <c r="I13">
        <v>182</v>
      </c>
      <c r="J13">
        <v>140</v>
      </c>
      <c r="K13" t="s">
        <v>135</v>
      </c>
      <c r="L13" s="249">
        <v>45972</v>
      </c>
      <c r="M13">
        <v>0</v>
      </c>
      <c r="N13">
        <v>0</v>
      </c>
      <c r="O13">
        <v>0</v>
      </c>
      <c r="P13" t="s">
        <v>82</v>
      </c>
      <c r="Q13">
        <v>0</v>
      </c>
      <c r="R13">
        <v>0</v>
      </c>
      <c r="S13">
        <v>0</v>
      </c>
      <c r="T13">
        <v>0</v>
      </c>
      <c r="U13">
        <v>0</v>
      </c>
      <c r="V13">
        <v>0</v>
      </c>
      <c r="W13">
        <v>0</v>
      </c>
      <c r="X13">
        <v>0</v>
      </c>
      <c r="Y13">
        <v>0</v>
      </c>
      <c r="Z13">
        <v>11</v>
      </c>
      <c r="AA13">
        <v>0</v>
      </c>
      <c r="AB13">
        <v>0</v>
      </c>
      <c r="AC13">
        <v>2</v>
      </c>
      <c r="AD13">
        <v>0</v>
      </c>
      <c r="AE13">
        <v>4</v>
      </c>
      <c r="AF13">
        <v>17</v>
      </c>
      <c r="AG13">
        <v>0</v>
      </c>
      <c r="AH13">
        <v>0</v>
      </c>
      <c r="AI13">
        <v>142</v>
      </c>
      <c r="AJ13">
        <v>6</v>
      </c>
    </row>
    <row r="14" spans="1:36" x14ac:dyDescent="0.3">
      <c r="A14" t="s">
        <v>132</v>
      </c>
      <c r="B14" s="249">
        <v>45981</v>
      </c>
      <c r="C14" t="s">
        <v>258</v>
      </c>
      <c r="D14" t="s">
        <v>365</v>
      </c>
      <c r="E14" t="s">
        <v>204</v>
      </c>
      <c r="F14" t="s">
        <v>134</v>
      </c>
      <c r="G14">
        <v>0.98329999999999995</v>
      </c>
      <c r="H14">
        <v>180</v>
      </c>
      <c r="I14">
        <v>177</v>
      </c>
      <c r="J14">
        <v>135</v>
      </c>
      <c r="K14" t="s">
        <v>135</v>
      </c>
      <c r="L14" s="249">
        <v>45974</v>
      </c>
      <c r="M14">
        <v>0</v>
      </c>
      <c r="N14">
        <v>0</v>
      </c>
      <c r="O14">
        <v>52</v>
      </c>
      <c r="P14" t="s">
        <v>82</v>
      </c>
      <c r="Q14">
        <v>0</v>
      </c>
      <c r="R14">
        <v>0</v>
      </c>
      <c r="S14">
        <v>0</v>
      </c>
      <c r="T14">
        <v>0</v>
      </c>
      <c r="U14">
        <v>0</v>
      </c>
      <c r="V14">
        <v>0</v>
      </c>
      <c r="W14">
        <v>0</v>
      </c>
      <c r="X14">
        <v>0</v>
      </c>
      <c r="Y14">
        <v>0</v>
      </c>
      <c r="Z14">
        <v>7</v>
      </c>
      <c r="AA14">
        <v>0</v>
      </c>
      <c r="AB14">
        <v>4</v>
      </c>
      <c r="AC14">
        <v>9</v>
      </c>
      <c r="AD14">
        <v>10</v>
      </c>
      <c r="AE14">
        <v>5</v>
      </c>
      <c r="AF14">
        <v>5</v>
      </c>
      <c r="AG14">
        <v>0</v>
      </c>
      <c r="AH14">
        <v>0</v>
      </c>
      <c r="AI14">
        <v>137</v>
      </c>
      <c r="AJ14">
        <v>0</v>
      </c>
    </row>
    <row r="15" spans="1:36" x14ac:dyDescent="0.3">
      <c r="A15" t="s">
        <v>132</v>
      </c>
      <c r="B15" s="249">
        <v>45981</v>
      </c>
      <c r="C15" t="s">
        <v>79</v>
      </c>
      <c r="D15" t="s">
        <v>133</v>
      </c>
      <c r="E15" t="s">
        <v>1</v>
      </c>
      <c r="F15" t="s">
        <v>134</v>
      </c>
      <c r="G15">
        <v>0.97870000000000001</v>
      </c>
      <c r="H15">
        <v>188</v>
      </c>
      <c r="I15">
        <v>184</v>
      </c>
      <c r="J15">
        <v>135</v>
      </c>
      <c r="K15" t="s">
        <v>135</v>
      </c>
      <c r="L15" s="249">
        <v>45978</v>
      </c>
      <c r="M15">
        <v>0</v>
      </c>
      <c r="N15">
        <v>0</v>
      </c>
      <c r="O15">
        <v>39</v>
      </c>
      <c r="P15" t="s">
        <v>82</v>
      </c>
      <c r="Q15">
        <v>0</v>
      </c>
      <c r="R15">
        <v>0</v>
      </c>
      <c r="S15">
        <v>0</v>
      </c>
      <c r="T15">
        <v>0</v>
      </c>
      <c r="U15">
        <v>0</v>
      </c>
      <c r="V15">
        <v>0</v>
      </c>
      <c r="W15">
        <v>3</v>
      </c>
      <c r="X15">
        <v>0</v>
      </c>
      <c r="Y15">
        <v>0</v>
      </c>
      <c r="Z15">
        <v>2</v>
      </c>
      <c r="AA15">
        <v>0</v>
      </c>
      <c r="AB15">
        <v>0</v>
      </c>
      <c r="AC15">
        <v>10</v>
      </c>
      <c r="AD15">
        <v>11</v>
      </c>
      <c r="AE15">
        <v>11</v>
      </c>
      <c r="AF15">
        <v>10</v>
      </c>
      <c r="AG15">
        <v>0</v>
      </c>
      <c r="AH15">
        <v>0</v>
      </c>
      <c r="AI15">
        <v>130</v>
      </c>
      <c r="AJ15">
        <v>7</v>
      </c>
    </row>
    <row r="16" spans="1:36" x14ac:dyDescent="0.3">
      <c r="A16" t="s">
        <v>132</v>
      </c>
      <c r="B16" s="249">
        <v>45981</v>
      </c>
      <c r="C16" t="s">
        <v>590</v>
      </c>
      <c r="D16" t="s">
        <v>652</v>
      </c>
      <c r="E16" t="s">
        <v>550</v>
      </c>
      <c r="F16" t="s">
        <v>134</v>
      </c>
      <c r="G16">
        <v>0.57540000000000002</v>
      </c>
      <c r="H16">
        <v>179</v>
      </c>
      <c r="I16">
        <v>103</v>
      </c>
      <c r="J16">
        <v>0</v>
      </c>
      <c r="K16" t="s">
        <v>135</v>
      </c>
      <c r="L16" s="249">
        <v>45980</v>
      </c>
      <c r="M16">
        <v>1</v>
      </c>
      <c r="N16">
        <v>5</v>
      </c>
      <c r="O16">
        <v>45</v>
      </c>
      <c r="P16" t="s">
        <v>591</v>
      </c>
      <c r="Q16">
        <v>0</v>
      </c>
      <c r="R16">
        <v>0</v>
      </c>
      <c r="S16">
        <v>0</v>
      </c>
      <c r="T16">
        <v>0</v>
      </c>
      <c r="U16">
        <v>0</v>
      </c>
      <c r="V16">
        <v>0</v>
      </c>
      <c r="W16">
        <v>0</v>
      </c>
      <c r="X16">
        <v>0</v>
      </c>
      <c r="Y16">
        <v>0</v>
      </c>
      <c r="Z16">
        <v>0</v>
      </c>
      <c r="AA16">
        <v>0</v>
      </c>
      <c r="AB16">
        <v>3</v>
      </c>
      <c r="AC16">
        <v>31</v>
      </c>
      <c r="AD16">
        <v>20</v>
      </c>
      <c r="AE16">
        <v>15</v>
      </c>
      <c r="AF16">
        <v>34</v>
      </c>
      <c r="AG16">
        <v>0</v>
      </c>
      <c r="AH16">
        <v>0</v>
      </c>
      <c r="AI16">
        <v>0</v>
      </c>
      <c r="AJ16">
        <v>0</v>
      </c>
    </row>
    <row r="17" spans="1:36" x14ac:dyDescent="0.3">
      <c r="A17" t="s">
        <v>132</v>
      </c>
      <c r="B17" s="249">
        <v>45981</v>
      </c>
      <c r="C17" t="s">
        <v>768</v>
      </c>
      <c r="D17" t="s">
        <v>780</v>
      </c>
      <c r="E17" t="s">
        <v>764</v>
      </c>
      <c r="F17" t="s">
        <v>134</v>
      </c>
      <c r="G17">
        <v>0.35749999999999998</v>
      </c>
      <c r="H17">
        <v>179</v>
      </c>
      <c r="I17">
        <v>64</v>
      </c>
      <c r="J17">
        <v>0</v>
      </c>
      <c r="K17" t="s">
        <v>135</v>
      </c>
      <c r="L17" s="249">
        <v>45979</v>
      </c>
      <c r="M17">
        <v>0</v>
      </c>
      <c r="N17">
        <v>5</v>
      </c>
      <c r="O17">
        <v>33</v>
      </c>
      <c r="P17" t="s">
        <v>199</v>
      </c>
      <c r="Q17">
        <v>0</v>
      </c>
      <c r="R17">
        <v>0</v>
      </c>
      <c r="S17">
        <v>0</v>
      </c>
      <c r="T17">
        <v>0</v>
      </c>
      <c r="U17">
        <v>0</v>
      </c>
      <c r="V17">
        <v>0</v>
      </c>
      <c r="W17">
        <v>0</v>
      </c>
      <c r="X17">
        <v>0</v>
      </c>
      <c r="Y17">
        <v>0</v>
      </c>
      <c r="Z17">
        <v>2</v>
      </c>
      <c r="AA17">
        <v>0</v>
      </c>
      <c r="AB17">
        <v>0</v>
      </c>
      <c r="AC17">
        <v>0</v>
      </c>
      <c r="AD17">
        <v>4</v>
      </c>
      <c r="AE17">
        <v>3</v>
      </c>
      <c r="AF17">
        <v>55</v>
      </c>
      <c r="AG17">
        <v>0</v>
      </c>
      <c r="AH17">
        <v>0</v>
      </c>
      <c r="AI17">
        <v>0</v>
      </c>
      <c r="AJ17">
        <v>0</v>
      </c>
    </row>
    <row r="18" spans="1:36" x14ac:dyDescent="0.3">
      <c r="A18" t="s">
        <v>132</v>
      </c>
      <c r="B18" s="249">
        <v>45981</v>
      </c>
      <c r="C18" t="s">
        <v>822</v>
      </c>
      <c r="D18" t="s">
        <v>387</v>
      </c>
      <c r="E18" t="s">
        <v>819</v>
      </c>
      <c r="F18" t="s">
        <v>134</v>
      </c>
      <c r="G18">
        <v>0.89939999999999998</v>
      </c>
      <c r="H18">
        <v>179</v>
      </c>
      <c r="I18">
        <v>161</v>
      </c>
      <c r="J18">
        <v>91</v>
      </c>
      <c r="K18" t="s">
        <v>135</v>
      </c>
      <c r="L18" s="249">
        <v>45979</v>
      </c>
      <c r="M18">
        <v>0</v>
      </c>
      <c r="N18">
        <v>11</v>
      </c>
      <c r="O18">
        <v>31</v>
      </c>
      <c r="P18" t="s">
        <v>407</v>
      </c>
      <c r="Q18">
        <v>0</v>
      </c>
      <c r="R18">
        <v>0</v>
      </c>
      <c r="S18">
        <v>0</v>
      </c>
      <c r="T18">
        <v>0</v>
      </c>
      <c r="U18">
        <v>0</v>
      </c>
      <c r="V18">
        <v>0</v>
      </c>
      <c r="W18">
        <v>0</v>
      </c>
      <c r="X18">
        <v>0</v>
      </c>
      <c r="Y18">
        <v>1</v>
      </c>
      <c r="Z18">
        <v>7</v>
      </c>
      <c r="AA18">
        <v>35</v>
      </c>
      <c r="AB18">
        <v>6</v>
      </c>
      <c r="AC18">
        <v>17</v>
      </c>
      <c r="AD18">
        <v>4</v>
      </c>
      <c r="AE18">
        <v>0</v>
      </c>
      <c r="AF18">
        <v>0</v>
      </c>
      <c r="AG18">
        <v>0</v>
      </c>
      <c r="AH18">
        <v>0</v>
      </c>
      <c r="AI18">
        <v>91</v>
      </c>
      <c r="AJ18">
        <v>0</v>
      </c>
    </row>
    <row r="19" spans="1:36" x14ac:dyDescent="0.3">
      <c r="A19" t="s">
        <v>132</v>
      </c>
      <c r="B19" s="249">
        <v>45981</v>
      </c>
      <c r="C19" t="s">
        <v>438</v>
      </c>
      <c r="D19" t="s">
        <v>483</v>
      </c>
      <c r="E19" t="s">
        <v>427</v>
      </c>
      <c r="F19" t="s">
        <v>134</v>
      </c>
      <c r="G19">
        <v>1</v>
      </c>
      <c r="H19">
        <v>180</v>
      </c>
      <c r="I19">
        <v>180</v>
      </c>
      <c r="J19">
        <v>130</v>
      </c>
      <c r="K19" t="s">
        <v>135</v>
      </c>
      <c r="L19" s="249">
        <v>45979</v>
      </c>
      <c r="M19">
        <v>0</v>
      </c>
      <c r="N19">
        <v>2</v>
      </c>
      <c r="O19">
        <v>18</v>
      </c>
      <c r="P19" t="s">
        <v>82</v>
      </c>
      <c r="Q19">
        <v>0</v>
      </c>
      <c r="R19">
        <v>0</v>
      </c>
      <c r="S19">
        <v>0</v>
      </c>
      <c r="T19">
        <v>0</v>
      </c>
      <c r="U19">
        <v>0</v>
      </c>
      <c r="V19">
        <v>0</v>
      </c>
      <c r="W19">
        <v>0</v>
      </c>
      <c r="X19">
        <v>0</v>
      </c>
      <c r="Y19">
        <v>0</v>
      </c>
      <c r="Z19">
        <v>3</v>
      </c>
      <c r="AA19">
        <v>0</v>
      </c>
      <c r="AB19">
        <v>12</v>
      </c>
      <c r="AC19">
        <v>13</v>
      </c>
      <c r="AD19">
        <v>3</v>
      </c>
      <c r="AE19">
        <v>2</v>
      </c>
      <c r="AF19">
        <v>17</v>
      </c>
      <c r="AG19">
        <v>0</v>
      </c>
      <c r="AH19">
        <v>0</v>
      </c>
      <c r="AI19">
        <v>130</v>
      </c>
      <c r="AJ19">
        <v>0</v>
      </c>
    </row>
    <row r="20" spans="1:36" x14ac:dyDescent="0.3">
      <c r="A20" t="s">
        <v>132</v>
      </c>
      <c r="B20" s="249">
        <v>45981</v>
      </c>
      <c r="C20" t="s">
        <v>165</v>
      </c>
      <c r="D20" t="s">
        <v>173</v>
      </c>
      <c r="E20" t="s">
        <v>162</v>
      </c>
      <c r="F20" t="s">
        <v>134</v>
      </c>
      <c r="G20">
        <v>0.98329999999999995</v>
      </c>
      <c r="H20">
        <v>180</v>
      </c>
      <c r="I20">
        <v>177</v>
      </c>
      <c r="J20">
        <v>135</v>
      </c>
      <c r="K20" t="s">
        <v>135</v>
      </c>
      <c r="L20" s="249">
        <v>45974</v>
      </c>
      <c r="M20">
        <v>0</v>
      </c>
      <c r="N20">
        <v>0</v>
      </c>
      <c r="O20">
        <v>50</v>
      </c>
      <c r="P20" t="s">
        <v>166</v>
      </c>
      <c r="Q20">
        <v>0</v>
      </c>
      <c r="R20">
        <v>0</v>
      </c>
      <c r="S20">
        <v>0</v>
      </c>
      <c r="T20">
        <v>0</v>
      </c>
      <c r="U20">
        <v>3</v>
      </c>
      <c r="V20">
        <v>0</v>
      </c>
      <c r="W20">
        <v>0</v>
      </c>
      <c r="X20">
        <v>3</v>
      </c>
      <c r="Y20">
        <v>0</v>
      </c>
      <c r="Z20">
        <v>17</v>
      </c>
      <c r="AA20">
        <v>0</v>
      </c>
      <c r="AB20">
        <v>0</v>
      </c>
      <c r="AC20">
        <v>2</v>
      </c>
      <c r="AD20">
        <v>0</v>
      </c>
      <c r="AE20">
        <v>7</v>
      </c>
      <c r="AF20">
        <v>10</v>
      </c>
      <c r="AG20">
        <v>45</v>
      </c>
      <c r="AH20">
        <v>0</v>
      </c>
      <c r="AI20">
        <v>90</v>
      </c>
      <c r="AJ20">
        <v>0</v>
      </c>
    </row>
    <row r="21" spans="1:36" x14ac:dyDescent="0.3">
      <c r="A21" t="s">
        <v>377</v>
      </c>
      <c r="B21" s="249">
        <v>45982</v>
      </c>
      <c r="C21" t="s">
        <v>870</v>
      </c>
      <c r="D21" t="s">
        <v>872</v>
      </c>
      <c r="E21" t="s">
        <v>869</v>
      </c>
      <c r="F21" t="s">
        <v>134</v>
      </c>
      <c r="G21">
        <v>0.92179999999999995</v>
      </c>
      <c r="H21">
        <v>179</v>
      </c>
      <c r="I21">
        <v>165</v>
      </c>
      <c r="J21">
        <v>0</v>
      </c>
      <c r="K21" t="s">
        <v>135</v>
      </c>
      <c r="L21" s="249">
        <v>45980</v>
      </c>
      <c r="M21">
        <v>5</v>
      </c>
      <c r="N21">
        <v>3</v>
      </c>
      <c r="O21">
        <v>53</v>
      </c>
      <c r="P21" t="s">
        <v>729</v>
      </c>
      <c r="Q21">
        <v>0</v>
      </c>
      <c r="R21">
        <v>0</v>
      </c>
      <c r="S21">
        <v>0</v>
      </c>
      <c r="T21">
        <v>0</v>
      </c>
      <c r="U21">
        <v>0</v>
      </c>
      <c r="V21">
        <v>0</v>
      </c>
      <c r="W21">
        <v>0</v>
      </c>
      <c r="X21">
        <v>4</v>
      </c>
      <c r="Y21">
        <v>18</v>
      </c>
      <c r="Z21">
        <v>18</v>
      </c>
      <c r="AA21">
        <v>49</v>
      </c>
      <c r="AB21">
        <v>13</v>
      </c>
      <c r="AC21">
        <v>17</v>
      </c>
      <c r="AD21">
        <v>18</v>
      </c>
      <c r="AE21">
        <v>28</v>
      </c>
      <c r="AF21">
        <v>0</v>
      </c>
      <c r="AG21">
        <v>0</v>
      </c>
      <c r="AH21">
        <v>0</v>
      </c>
      <c r="AI21">
        <v>0</v>
      </c>
      <c r="AJ21">
        <v>0</v>
      </c>
    </row>
    <row r="22" spans="1:36" x14ac:dyDescent="0.3">
      <c r="A22" t="s">
        <v>377</v>
      </c>
      <c r="B22" s="249">
        <v>45982</v>
      </c>
      <c r="C22" t="s">
        <v>815</v>
      </c>
      <c r="D22" t="s">
        <v>173</v>
      </c>
      <c r="E22" t="s">
        <v>812</v>
      </c>
      <c r="F22" t="s">
        <v>134</v>
      </c>
      <c r="G22">
        <v>0.51959999999999995</v>
      </c>
      <c r="H22">
        <v>179</v>
      </c>
      <c r="I22">
        <v>93</v>
      </c>
      <c r="J22">
        <v>0</v>
      </c>
      <c r="K22" t="s">
        <v>135</v>
      </c>
      <c r="L22" s="249">
        <v>45980</v>
      </c>
      <c r="M22">
        <v>1</v>
      </c>
      <c r="N22">
        <v>7</v>
      </c>
      <c r="O22">
        <v>57</v>
      </c>
      <c r="P22" t="s">
        <v>485</v>
      </c>
      <c r="Q22">
        <v>0</v>
      </c>
      <c r="R22">
        <v>0</v>
      </c>
      <c r="S22">
        <v>0</v>
      </c>
      <c r="T22">
        <v>0</v>
      </c>
      <c r="U22">
        <v>0</v>
      </c>
      <c r="V22">
        <v>0</v>
      </c>
      <c r="W22">
        <v>0</v>
      </c>
      <c r="X22">
        <v>0</v>
      </c>
      <c r="Y22">
        <v>0</v>
      </c>
      <c r="Z22">
        <v>0</v>
      </c>
      <c r="AA22">
        <v>0</v>
      </c>
      <c r="AB22">
        <v>0</v>
      </c>
      <c r="AC22">
        <v>1</v>
      </c>
      <c r="AD22">
        <v>11</v>
      </c>
      <c r="AE22">
        <v>31</v>
      </c>
      <c r="AF22">
        <v>50</v>
      </c>
      <c r="AG22">
        <v>0</v>
      </c>
      <c r="AH22">
        <v>0</v>
      </c>
      <c r="AI22">
        <v>0</v>
      </c>
      <c r="AJ22">
        <v>0</v>
      </c>
    </row>
    <row r="23" spans="1:36" x14ac:dyDescent="0.3">
      <c r="A23" t="s">
        <v>377</v>
      </c>
      <c r="B23" s="249">
        <v>45982</v>
      </c>
      <c r="C23" t="s">
        <v>744</v>
      </c>
      <c r="D23" t="s">
        <v>752</v>
      </c>
      <c r="E23" t="s">
        <v>743</v>
      </c>
      <c r="F23" t="s">
        <v>134</v>
      </c>
      <c r="G23">
        <v>0.98329999999999995</v>
      </c>
      <c r="H23">
        <v>180</v>
      </c>
      <c r="I23">
        <v>177</v>
      </c>
      <c r="J23">
        <v>0</v>
      </c>
      <c r="K23" t="s">
        <v>135</v>
      </c>
      <c r="L23" s="249">
        <v>45980</v>
      </c>
      <c r="M23">
        <v>4</v>
      </c>
      <c r="N23">
        <v>3</v>
      </c>
      <c r="O23">
        <v>25</v>
      </c>
      <c r="P23" t="s">
        <v>82</v>
      </c>
      <c r="Q23">
        <v>1</v>
      </c>
      <c r="R23">
        <v>0</v>
      </c>
      <c r="S23">
        <v>0</v>
      </c>
      <c r="T23">
        <v>0</v>
      </c>
      <c r="U23">
        <v>0</v>
      </c>
      <c r="V23">
        <v>0</v>
      </c>
      <c r="W23">
        <v>10</v>
      </c>
      <c r="X23">
        <v>11</v>
      </c>
      <c r="Y23">
        <v>20</v>
      </c>
      <c r="Z23">
        <v>20</v>
      </c>
      <c r="AA23">
        <v>31</v>
      </c>
      <c r="AB23">
        <v>16</v>
      </c>
      <c r="AC23">
        <v>19</v>
      </c>
      <c r="AD23">
        <v>30</v>
      </c>
      <c r="AE23">
        <v>19</v>
      </c>
      <c r="AF23">
        <v>0</v>
      </c>
      <c r="AG23">
        <v>0</v>
      </c>
      <c r="AH23">
        <v>0</v>
      </c>
      <c r="AI23">
        <v>0</v>
      </c>
      <c r="AJ23">
        <v>0</v>
      </c>
    </row>
    <row r="24" spans="1:36" x14ac:dyDescent="0.3">
      <c r="A24" t="s">
        <v>377</v>
      </c>
      <c r="B24" s="249">
        <v>45982</v>
      </c>
      <c r="C24" t="s">
        <v>510</v>
      </c>
      <c r="D24" t="s">
        <v>526</v>
      </c>
      <c r="E24" t="s">
        <v>500</v>
      </c>
      <c r="F24" t="s">
        <v>134</v>
      </c>
      <c r="G24">
        <v>0.7278</v>
      </c>
      <c r="H24">
        <v>180</v>
      </c>
      <c r="I24">
        <v>131</v>
      </c>
      <c r="J24">
        <v>0</v>
      </c>
      <c r="K24" t="s">
        <v>135</v>
      </c>
      <c r="L24" s="249">
        <v>45980</v>
      </c>
      <c r="M24">
        <v>0</v>
      </c>
      <c r="N24">
        <v>4</v>
      </c>
      <c r="O24">
        <v>102</v>
      </c>
      <c r="P24" t="s">
        <v>254</v>
      </c>
      <c r="Q24">
        <v>0</v>
      </c>
      <c r="R24">
        <v>0</v>
      </c>
      <c r="S24">
        <v>0</v>
      </c>
      <c r="T24">
        <v>0</v>
      </c>
      <c r="U24">
        <v>0</v>
      </c>
      <c r="V24">
        <v>0</v>
      </c>
      <c r="W24">
        <v>0</v>
      </c>
      <c r="X24">
        <v>0</v>
      </c>
      <c r="Y24">
        <v>5</v>
      </c>
      <c r="Z24">
        <v>18</v>
      </c>
      <c r="AA24">
        <v>18</v>
      </c>
      <c r="AB24">
        <v>18</v>
      </c>
      <c r="AC24">
        <v>18</v>
      </c>
      <c r="AD24">
        <v>18</v>
      </c>
      <c r="AE24">
        <v>18</v>
      </c>
      <c r="AF24">
        <v>18</v>
      </c>
      <c r="AG24">
        <v>0</v>
      </c>
      <c r="AH24">
        <v>0</v>
      </c>
      <c r="AI24">
        <v>0</v>
      </c>
      <c r="AJ24">
        <v>0</v>
      </c>
    </row>
    <row r="25" spans="1:36" x14ac:dyDescent="0.3">
      <c r="A25" t="s">
        <v>377</v>
      </c>
      <c r="B25" s="249">
        <v>45982</v>
      </c>
      <c r="C25" t="s">
        <v>787</v>
      </c>
      <c r="D25" t="s">
        <v>793</v>
      </c>
      <c r="E25" t="s">
        <v>784</v>
      </c>
      <c r="F25" t="s">
        <v>134</v>
      </c>
      <c r="G25">
        <v>0.44690000000000002</v>
      </c>
      <c r="H25">
        <v>179</v>
      </c>
      <c r="I25">
        <v>80</v>
      </c>
      <c r="J25">
        <v>0</v>
      </c>
      <c r="K25" t="s">
        <v>135</v>
      </c>
      <c r="L25" s="249">
        <v>45980</v>
      </c>
      <c r="M25">
        <v>5</v>
      </c>
      <c r="N25">
        <v>6</v>
      </c>
      <c r="O25">
        <v>50</v>
      </c>
      <c r="P25" t="s">
        <v>198</v>
      </c>
      <c r="Q25">
        <v>0</v>
      </c>
      <c r="R25">
        <v>0</v>
      </c>
      <c r="S25">
        <v>0</v>
      </c>
      <c r="T25">
        <v>0</v>
      </c>
      <c r="U25">
        <v>0</v>
      </c>
      <c r="V25">
        <v>0</v>
      </c>
      <c r="W25">
        <v>0</v>
      </c>
      <c r="X25">
        <v>0</v>
      </c>
      <c r="Y25">
        <v>0</v>
      </c>
      <c r="Z25">
        <v>0</v>
      </c>
      <c r="AA25">
        <v>0</v>
      </c>
      <c r="AB25">
        <v>0</v>
      </c>
      <c r="AC25">
        <v>0</v>
      </c>
      <c r="AD25">
        <v>0</v>
      </c>
      <c r="AE25">
        <v>0</v>
      </c>
      <c r="AF25">
        <v>80</v>
      </c>
      <c r="AG25">
        <v>0</v>
      </c>
      <c r="AH25">
        <v>0</v>
      </c>
      <c r="AI25">
        <v>0</v>
      </c>
      <c r="AJ25">
        <v>0</v>
      </c>
    </row>
    <row r="26" spans="1:36" x14ac:dyDescent="0.3">
      <c r="A26" t="s">
        <v>377</v>
      </c>
      <c r="B26" s="249">
        <v>45982</v>
      </c>
      <c r="C26" t="s">
        <v>709</v>
      </c>
      <c r="D26" t="s">
        <v>133</v>
      </c>
      <c r="E26" t="s">
        <v>687</v>
      </c>
      <c r="F26" t="s">
        <v>134</v>
      </c>
      <c r="G26">
        <v>0.55559999999999998</v>
      </c>
      <c r="H26">
        <v>180</v>
      </c>
      <c r="I26">
        <v>100</v>
      </c>
      <c r="J26">
        <v>0</v>
      </c>
      <c r="K26" t="s">
        <v>135</v>
      </c>
      <c r="L26" s="249">
        <v>45980</v>
      </c>
      <c r="M26">
        <v>5</v>
      </c>
      <c r="N26">
        <v>5</v>
      </c>
      <c r="O26">
        <v>56</v>
      </c>
      <c r="P26" t="s">
        <v>351</v>
      </c>
      <c r="Q26">
        <v>0</v>
      </c>
      <c r="R26">
        <v>0</v>
      </c>
      <c r="S26">
        <v>0</v>
      </c>
      <c r="T26">
        <v>0</v>
      </c>
      <c r="U26">
        <v>0</v>
      </c>
      <c r="V26">
        <v>0</v>
      </c>
      <c r="W26">
        <v>1</v>
      </c>
      <c r="X26">
        <v>9</v>
      </c>
      <c r="Y26">
        <v>10</v>
      </c>
      <c r="Z26">
        <v>10</v>
      </c>
      <c r="AA26">
        <v>10</v>
      </c>
      <c r="AB26">
        <v>10</v>
      </c>
      <c r="AC26">
        <v>20</v>
      </c>
      <c r="AD26">
        <v>0</v>
      </c>
      <c r="AE26">
        <v>25</v>
      </c>
      <c r="AF26">
        <v>5</v>
      </c>
      <c r="AG26">
        <v>0</v>
      </c>
      <c r="AH26">
        <v>0</v>
      </c>
      <c r="AI26">
        <v>0</v>
      </c>
      <c r="AJ26">
        <v>0</v>
      </c>
    </row>
    <row r="27" spans="1:36" x14ac:dyDescent="0.3">
      <c r="A27" t="s">
        <v>377</v>
      </c>
      <c r="B27" s="249">
        <v>45982</v>
      </c>
      <c r="C27" t="s">
        <v>883</v>
      </c>
      <c r="D27" t="s">
        <v>902</v>
      </c>
      <c r="E27" t="s">
        <v>880</v>
      </c>
      <c r="F27" t="s">
        <v>134</v>
      </c>
      <c r="G27">
        <v>0.41899999999999998</v>
      </c>
      <c r="H27">
        <v>179</v>
      </c>
      <c r="I27">
        <v>75</v>
      </c>
      <c r="J27">
        <v>0</v>
      </c>
      <c r="K27" t="s">
        <v>135</v>
      </c>
      <c r="L27" s="249">
        <v>45979</v>
      </c>
      <c r="M27">
        <v>0</v>
      </c>
      <c r="N27">
        <v>9</v>
      </c>
      <c r="O27">
        <v>44</v>
      </c>
      <c r="P27" t="s">
        <v>407</v>
      </c>
      <c r="Q27">
        <v>0</v>
      </c>
      <c r="R27">
        <v>0</v>
      </c>
      <c r="S27">
        <v>0</v>
      </c>
      <c r="T27">
        <v>0</v>
      </c>
      <c r="U27">
        <v>0</v>
      </c>
      <c r="V27">
        <v>0</v>
      </c>
      <c r="W27">
        <v>0</v>
      </c>
      <c r="X27">
        <v>0</v>
      </c>
      <c r="Y27">
        <v>2</v>
      </c>
      <c r="Z27">
        <v>11</v>
      </c>
      <c r="AA27">
        <v>40</v>
      </c>
      <c r="AB27">
        <v>0</v>
      </c>
      <c r="AC27">
        <v>0</v>
      </c>
      <c r="AD27">
        <v>0</v>
      </c>
      <c r="AE27">
        <v>5</v>
      </c>
      <c r="AF27">
        <v>17</v>
      </c>
      <c r="AG27">
        <v>0</v>
      </c>
      <c r="AH27">
        <v>0</v>
      </c>
      <c r="AI27">
        <v>0</v>
      </c>
      <c r="AJ27">
        <v>0</v>
      </c>
    </row>
    <row r="28" spans="1:36" x14ac:dyDescent="0.3">
      <c r="A28" t="s">
        <v>377</v>
      </c>
      <c r="B28" s="249">
        <v>45982</v>
      </c>
      <c r="C28" t="s">
        <v>300</v>
      </c>
      <c r="D28" t="s">
        <v>396</v>
      </c>
      <c r="E28" t="s">
        <v>204</v>
      </c>
      <c r="F28" t="s">
        <v>134</v>
      </c>
      <c r="G28">
        <v>0.77969999999999995</v>
      </c>
      <c r="H28">
        <v>177</v>
      </c>
      <c r="I28">
        <v>138</v>
      </c>
      <c r="J28">
        <v>0</v>
      </c>
      <c r="K28" t="s">
        <v>135</v>
      </c>
      <c r="L28" s="249">
        <v>45980</v>
      </c>
      <c r="M28">
        <v>6</v>
      </c>
      <c r="N28">
        <v>26</v>
      </c>
      <c r="O28">
        <v>88</v>
      </c>
      <c r="P28" t="s">
        <v>301</v>
      </c>
      <c r="Q28">
        <v>0</v>
      </c>
      <c r="R28">
        <v>0</v>
      </c>
      <c r="S28">
        <v>0</v>
      </c>
      <c r="T28">
        <v>0</v>
      </c>
      <c r="U28">
        <v>0</v>
      </c>
      <c r="V28">
        <v>0</v>
      </c>
      <c r="W28">
        <v>0</v>
      </c>
      <c r="X28">
        <v>0</v>
      </c>
      <c r="Y28">
        <v>0</v>
      </c>
      <c r="Z28">
        <v>0</v>
      </c>
      <c r="AA28">
        <v>14</v>
      </c>
      <c r="AB28">
        <v>25</v>
      </c>
      <c r="AC28">
        <v>37</v>
      </c>
      <c r="AD28">
        <v>12</v>
      </c>
      <c r="AE28">
        <v>17</v>
      </c>
      <c r="AF28">
        <v>33</v>
      </c>
      <c r="AG28">
        <v>0</v>
      </c>
      <c r="AH28">
        <v>0</v>
      </c>
      <c r="AI28">
        <v>0</v>
      </c>
      <c r="AJ28">
        <v>0</v>
      </c>
    </row>
    <row r="29" spans="1:36" x14ac:dyDescent="0.3">
      <c r="A29" t="s">
        <v>377</v>
      </c>
      <c r="B29" s="249">
        <v>45982</v>
      </c>
      <c r="C29" t="s">
        <v>297</v>
      </c>
      <c r="D29" t="s">
        <v>391</v>
      </c>
      <c r="E29" t="s">
        <v>204</v>
      </c>
      <c r="F29" t="s">
        <v>134</v>
      </c>
      <c r="G29">
        <v>0.60560000000000003</v>
      </c>
      <c r="H29">
        <v>180</v>
      </c>
      <c r="I29">
        <v>109</v>
      </c>
      <c r="J29">
        <v>0</v>
      </c>
      <c r="K29" t="s">
        <v>135</v>
      </c>
      <c r="L29" s="249">
        <v>45980</v>
      </c>
      <c r="M29">
        <v>1</v>
      </c>
      <c r="N29">
        <v>4</v>
      </c>
      <c r="O29">
        <v>52</v>
      </c>
      <c r="P29" t="s">
        <v>194</v>
      </c>
      <c r="Q29">
        <v>0</v>
      </c>
      <c r="R29">
        <v>0</v>
      </c>
      <c r="S29">
        <v>0</v>
      </c>
      <c r="T29">
        <v>0</v>
      </c>
      <c r="U29">
        <v>0</v>
      </c>
      <c r="V29">
        <v>0</v>
      </c>
      <c r="W29">
        <v>0</v>
      </c>
      <c r="X29">
        <v>0</v>
      </c>
      <c r="Y29">
        <v>0</v>
      </c>
      <c r="Z29">
        <v>0</v>
      </c>
      <c r="AA29">
        <v>10</v>
      </c>
      <c r="AB29">
        <v>12</v>
      </c>
      <c r="AC29">
        <v>26</v>
      </c>
      <c r="AD29">
        <v>11</v>
      </c>
      <c r="AE29">
        <v>20</v>
      </c>
      <c r="AF29">
        <v>30</v>
      </c>
      <c r="AG29">
        <v>0</v>
      </c>
      <c r="AH29">
        <v>0</v>
      </c>
      <c r="AI29">
        <v>0</v>
      </c>
      <c r="AJ29">
        <v>0</v>
      </c>
    </row>
    <row r="30" spans="1:36" x14ac:dyDescent="0.3">
      <c r="A30" t="s">
        <v>377</v>
      </c>
      <c r="B30" s="249">
        <v>45982</v>
      </c>
      <c r="C30" t="s">
        <v>248</v>
      </c>
      <c r="D30" t="s">
        <v>378</v>
      </c>
      <c r="E30" t="s">
        <v>204</v>
      </c>
      <c r="F30" t="s">
        <v>134</v>
      </c>
      <c r="G30">
        <v>0.62780000000000002</v>
      </c>
      <c r="H30">
        <v>180</v>
      </c>
      <c r="I30">
        <v>113</v>
      </c>
      <c r="J30">
        <v>0</v>
      </c>
      <c r="K30" t="s">
        <v>135</v>
      </c>
      <c r="L30" s="249">
        <v>45980</v>
      </c>
      <c r="M30">
        <v>1</v>
      </c>
      <c r="N30">
        <v>4</v>
      </c>
      <c r="O30">
        <v>59</v>
      </c>
      <c r="P30" t="s">
        <v>294</v>
      </c>
      <c r="Q30">
        <v>0</v>
      </c>
      <c r="R30">
        <v>0</v>
      </c>
      <c r="S30">
        <v>0</v>
      </c>
      <c r="T30">
        <v>0</v>
      </c>
      <c r="U30">
        <v>0</v>
      </c>
      <c r="V30">
        <v>0</v>
      </c>
      <c r="W30">
        <v>0</v>
      </c>
      <c r="X30">
        <v>0</v>
      </c>
      <c r="Y30">
        <v>0</v>
      </c>
      <c r="Z30">
        <v>5</v>
      </c>
      <c r="AA30">
        <v>9</v>
      </c>
      <c r="AB30">
        <v>31</v>
      </c>
      <c r="AC30">
        <v>10</v>
      </c>
      <c r="AD30">
        <v>12</v>
      </c>
      <c r="AE30">
        <v>17</v>
      </c>
      <c r="AF30">
        <v>29</v>
      </c>
      <c r="AG30">
        <v>0</v>
      </c>
      <c r="AH30">
        <v>0</v>
      </c>
      <c r="AI30">
        <v>0</v>
      </c>
      <c r="AJ30">
        <v>0</v>
      </c>
    </row>
    <row r="31" spans="1:36" x14ac:dyDescent="0.3">
      <c r="A31" t="s">
        <v>377</v>
      </c>
      <c r="B31" s="249">
        <v>45982</v>
      </c>
      <c r="C31" t="s">
        <v>256</v>
      </c>
      <c r="D31" t="s">
        <v>382</v>
      </c>
      <c r="E31" t="s">
        <v>204</v>
      </c>
      <c r="F31" t="s">
        <v>134</v>
      </c>
      <c r="G31">
        <v>0.81669999999999998</v>
      </c>
      <c r="H31">
        <v>180</v>
      </c>
      <c r="I31">
        <v>147</v>
      </c>
      <c r="J31">
        <v>41</v>
      </c>
      <c r="K31" t="s">
        <v>135</v>
      </c>
      <c r="L31" s="249">
        <v>45980</v>
      </c>
      <c r="M31">
        <v>4</v>
      </c>
      <c r="N31">
        <v>65</v>
      </c>
      <c r="O31">
        <v>120</v>
      </c>
      <c r="P31" t="s">
        <v>292</v>
      </c>
      <c r="Q31">
        <v>0</v>
      </c>
      <c r="R31">
        <v>0</v>
      </c>
      <c r="S31">
        <v>0</v>
      </c>
      <c r="T31">
        <v>0</v>
      </c>
      <c r="U31">
        <v>0</v>
      </c>
      <c r="V31">
        <v>0</v>
      </c>
      <c r="W31">
        <v>0</v>
      </c>
      <c r="X31">
        <v>0</v>
      </c>
      <c r="Y31">
        <v>0</v>
      </c>
      <c r="Z31">
        <v>1</v>
      </c>
      <c r="AA31">
        <v>10</v>
      </c>
      <c r="AB31">
        <v>25</v>
      </c>
      <c r="AC31">
        <v>33</v>
      </c>
      <c r="AD31">
        <v>12</v>
      </c>
      <c r="AE31">
        <v>15</v>
      </c>
      <c r="AF31">
        <v>10</v>
      </c>
      <c r="AG31">
        <v>0</v>
      </c>
      <c r="AH31">
        <v>0</v>
      </c>
      <c r="AI31">
        <v>41</v>
      </c>
      <c r="AJ31">
        <v>0</v>
      </c>
    </row>
    <row r="32" spans="1:36" x14ac:dyDescent="0.3">
      <c r="A32" t="s">
        <v>377</v>
      </c>
      <c r="B32" s="249">
        <v>45982</v>
      </c>
      <c r="C32" t="s">
        <v>258</v>
      </c>
      <c r="D32" t="s">
        <v>387</v>
      </c>
      <c r="E32" t="s">
        <v>204</v>
      </c>
      <c r="F32" t="s">
        <v>134</v>
      </c>
      <c r="G32">
        <v>0.65559999999999996</v>
      </c>
      <c r="H32">
        <v>180</v>
      </c>
      <c r="I32">
        <v>118</v>
      </c>
      <c r="J32">
        <v>50</v>
      </c>
      <c r="K32" t="s">
        <v>135</v>
      </c>
      <c r="L32" s="249">
        <v>45980</v>
      </c>
      <c r="M32">
        <v>4</v>
      </c>
      <c r="N32">
        <v>3</v>
      </c>
      <c r="O32">
        <v>43</v>
      </c>
      <c r="P32" t="s">
        <v>193</v>
      </c>
      <c r="Q32">
        <v>0</v>
      </c>
      <c r="R32">
        <v>0</v>
      </c>
      <c r="S32">
        <v>0</v>
      </c>
      <c r="T32">
        <v>0</v>
      </c>
      <c r="U32">
        <v>0</v>
      </c>
      <c r="V32">
        <v>0</v>
      </c>
      <c r="W32">
        <v>0</v>
      </c>
      <c r="X32">
        <v>0</v>
      </c>
      <c r="Y32">
        <v>0</v>
      </c>
      <c r="Z32">
        <v>3</v>
      </c>
      <c r="AA32">
        <v>10</v>
      </c>
      <c r="AB32">
        <v>10</v>
      </c>
      <c r="AC32">
        <v>10</v>
      </c>
      <c r="AD32">
        <v>10</v>
      </c>
      <c r="AE32">
        <v>10</v>
      </c>
      <c r="AF32">
        <v>15</v>
      </c>
      <c r="AG32">
        <v>0</v>
      </c>
      <c r="AH32">
        <v>0</v>
      </c>
      <c r="AI32">
        <v>50</v>
      </c>
      <c r="AJ32">
        <v>0</v>
      </c>
    </row>
    <row r="33" spans="1:36" x14ac:dyDescent="0.3">
      <c r="A33" t="s">
        <v>377</v>
      </c>
      <c r="B33" s="249">
        <v>45982</v>
      </c>
      <c r="C33" t="s">
        <v>590</v>
      </c>
      <c r="D33" t="s">
        <v>359</v>
      </c>
      <c r="E33" t="s">
        <v>550</v>
      </c>
      <c r="F33" t="s">
        <v>134</v>
      </c>
      <c r="G33">
        <v>0.51400000000000001</v>
      </c>
      <c r="H33">
        <v>179</v>
      </c>
      <c r="I33">
        <v>92</v>
      </c>
      <c r="J33">
        <v>0</v>
      </c>
      <c r="K33" t="s">
        <v>135</v>
      </c>
      <c r="L33" s="249">
        <v>45979</v>
      </c>
      <c r="M33">
        <v>0</v>
      </c>
      <c r="N33">
        <v>7</v>
      </c>
      <c r="O33">
        <v>45</v>
      </c>
      <c r="P33" t="s">
        <v>185</v>
      </c>
      <c r="Q33">
        <v>0</v>
      </c>
      <c r="R33">
        <v>0</v>
      </c>
      <c r="S33">
        <v>0</v>
      </c>
      <c r="T33">
        <v>0</v>
      </c>
      <c r="U33">
        <v>0</v>
      </c>
      <c r="V33">
        <v>0</v>
      </c>
      <c r="W33">
        <v>0</v>
      </c>
      <c r="X33">
        <v>0</v>
      </c>
      <c r="Y33">
        <v>0</v>
      </c>
      <c r="Z33">
        <v>2</v>
      </c>
      <c r="AA33">
        <v>4</v>
      </c>
      <c r="AB33">
        <v>11</v>
      </c>
      <c r="AC33">
        <v>20</v>
      </c>
      <c r="AD33">
        <v>10</v>
      </c>
      <c r="AE33">
        <v>17</v>
      </c>
      <c r="AF33">
        <v>28</v>
      </c>
      <c r="AG33">
        <v>0</v>
      </c>
      <c r="AH33">
        <v>0</v>
      </c>
      <c r="AI33">
        <v>0</v>
      </c>
      <c r="AJ33">
        <v>0</v>
      </c>
    </row>
    <row r="34" spans="1:36" x14ac:dyDescent="0.3">
      <c r="A34" t="s">
        <v>377</v>
      </c>
      <c r="B34" s="249">
        <v>45982</v>
      </c>
      <c r="C34" t="s">
        <v>622</v>
      </c>
      <c r="D34" t="s">
        <v>659</v>
      </c>
      <c r="E34" t="s">
        <v>550</v>
      </c>
      <c r="F34" t="s">
        <v>134</v>
      </c>
      <c r="G34">
        <v>0.44130000000000003</v>
      </c>
      <c r="H34">
        <v>179</v>
      </c>
      <c r="I34">
        <v>79</v>
      </c>
      <c r="J34">
        <v>0</v>
      </c>
      <c r="K34" t="s">
        <v>135</v>
      </c>
      <c r="L34" s="249">
        <v>45980</v>
      </c>
      <c r="M34">
        <v>1</v>
      </c>
      <c r="N34">
        <v>6</v>
      </c>
      <c r="O34">
        <v>28</v>
      </c>
      <c r="P34" t="s">
        <v>185</v>
      </c>
      <c r="Q34">
        <v>0</v>
      </c>
      <c r="R34">
        <v>0</v>
      </c>
      <c r="S34">
        <v>0</v>
      </c>
      <c r="T34">
        <v>0</v>
      </c>
      <c r="U34">
        <v>0</v>
      </c>
      <c r="V34">
        <v>0</v>
      </c>
      <c r="W34">
        <v>0</v>
      </c>
      <c r="X34">
        <v>0</v>
      </c>
      <c r="Y34">
        <v>0</v>
      </c>
      <c r="Z34">
        <v>0</v>
      </c>
      <c r="AA34">
        <v>4</v>
      </c>
      <c r="AB34">
        <v>15</v>
      </c>
      <c r="AC34">
        <v>10</v>
      </c>
      <c r="AD34">
        <v>14</v>
      </c>
      <c r="AE34">
        <v>10</v>
      </c>
      <c r="AF34">
        <v>26</v>
      </c>
      <c r="AG34">
        <v>0</v>
      </c>
      <c r="AH34">
        <v>0</v>
      </c>
      <c r="AI34">
        <v>0</v>
      </c>
      <c r="AJ34">
        <v>0</v>
      </c>
    </row>
    <row r="35" spans="1:36" x14ac:dyDescent="0.3">
      <c r="A35" t="s">
        <v>377</v>
      </c>
      <c r="B35" s="249">
        <v>45982</v>
      </c>
      <c r="C35" t="s">
        <v>822</v>
      </c>
      <c r="D35" t="s">
        <v>831</v>
      </c>
      <c r="E35" t="s">
        <v>819</v>
      </c>
      <c r="F35" t="s">
        <v>134</v>
      </c>
      <c r="G35">
        <v>0.81010000000000004</v>
      </c>
      <c r="H35">
        <v>179</v>
      </c>
      <c r="I35">
        <v>145</v>
      </c>
      <c r="J35">
        <v>41</v>
      </c>
      <c r="K35" t="s">
        <v>135</v>
      </c>
      <c r="L35" s="249">
        <v>45980</v>
      </c>
      <c r="M35">
        <v>1</v>
      </c>
      <c r="N35">
        <v>4</v>
      </c>
      <c r="O35">
        <v>47</v>
      </c>
      <c r="P35" t="s">
        <v>254</v>
      </c>
      <c r="Q35">
        <v>0</v>
      </c>
      <c r="R35">
        <v>0</v>
      </c>
      <c r="S35">
        <v>0</v>
      </c>
      <c r="T35">
        <v>0</v>
      </c>
      <c r="U35">
        <v>0</v>
      </c>
      <c r="V35">
        <v>0</v>
      </c>
      <c r="W35">
        <v>0</v>
      </c>
      <c r="X35">
        <v>1</v>
      </c>
      <c r="Y35">
        <v>14</v>
      </c>
      <c r="Z35">
        <v>14</v>
      </c>
      <c r="AA35">
        <v>15</v>
      </c>
      <c r="AB35">
        <v>20</v>
      </c>
      <c r="AC35">
        <v>21</v>
      </c>
      <c r="AD35">
        <v>19</v>
      </c>
      <c r="AE35">
        <v>0</v>
      </c>
      <c r="AF35">
        <v>0</v>
      </c>
      <c r="AG35">
        <v>0</v>
      </c>
      <c r="AH35">
        <v>0</v>
      </c>
      <c r="AI35">
        <v>41</v>
      </c>
      <c r="AJ35">
        <v>0</v>
      </c>
    </row>
    <row r="36" spans="1:36" x14ac:dyDescent="0.3">
      <c r="A36" t="s">
        <v>377</v>
      </c>
      <c r="B36" s="249">
        <v>45982</v>
      </c>
      <c r="C36" t="s">
        <v>438</v>
      </c>
      <c r="D36" t="s">
        <v>153</v>
      </c>
      <c r="E36" t="s">
        <v>427</v>
      </c>
      <c r="F36" t="s">
        <v>134</v>
      </c>
      <c r="G36">
        <v>0.75</v>
      </c>
      <c r="H36">
        <v>180</v>
      </c>
      <c r="I36">
        <v>135</v>
      </c>
      <c r="J36">
        <v>45</v>
      </c>
      <c r="K36" t="s">
        <v>135</v>
      </c>
      <c r="L36" s="249">
        <v>45979</v>
      </c>
      <c r="M36">
        <v>0</v>
      </c>
      <c r="N36">
        <v>16</v>
      </c>
      <c r="O36">
        <v>60</v>
      </c>
      <c r="P36" t="s">
        <v>451</v>
      </c>
      <c r="Q36">
        <v>0</v>
      </c>
      <c r="R36">
        <v>0</v>
      </c>
      <c r="S36">
        <v>0</v>
      </c>
      <c r="T36">
        <v>0</v>
      </c>
      <c r="U36">
        <v>0</v>
      </c>
      <c r="V36">
        <v>0</v>
      </c>
      <c r="W36">
        <v>0</v>
      </c>
      <c r="X36">
        <v>2</v>
      </c>
      <c r="Y36">
        <v>1</v>
      </c>
      <c r="Z36">
        <v>18</v>
      </c>
      <c r="AA36">
        <v>18</v>
      </c>
      <c r="AB36">
        <v>9</v>
      </c>
      <c r="AC36">
        <v>27</v>
      </c>
      <c r="AD36">
        <v>5</v>
      </c>
      <c r="AE36">
        <v>5</v>
      </c>
      <c r="AF36">
        <v>5</v>
      </c>
      <c r="AG36">
        <v>0</v>
      </c>
      <c r="AH36">
        <v>0</v>
      </c>
      <c r="AI36">
        <v>45</v>
      </c>
      <c r="AJ36">
        <v>0</v>
      </c>
    </row>
    <row r="37" spans="1:36" x14ac:dyDescent="0.3">
      <c r="A37" t="s">
        <v>144</v>
      </c>
      <c r="B37" s="249">
        <v>45983</v>
      </c>
      <c r="C37" t="s">
        <v>906</v>
      </c>
      <c r="D37" t="s">
        <v>548</v>
      </c>
      <c r="E37" t="s">
        <v>905</v>
      </c>
      <c r="F37" t="s">
        <v>134</v>
      </c>
      <c r="G37">
        <v>0.51400000000000001</v>
      </c>
      <c r="H37">
        <v>179</v>
      </c>
      <c r="I37">
        <v>92</v>
      </c>
      <c r="J37">
        <v>0</v>
      </c>
      <c r="K37" t="s">
        <v>135</v>
      </c>
      <c r="L37" s="249">
        <v>45979</v>
      </c>
      <c r="M37">
        <v>0</v>
      </c>
      <c r="N37">
        <v>4</v>
      </c>
      <c r="O37">
        <v>37</v>
      </c>
      <c r="P37" t="s">
        <v>729</v>
      </c>
      <c r="Q37">
        <v>0</v>
      </c>
      <c r="R37">
        <v>0</v>
      </c>
      <c r="S37">
        <v>0</v>
      </c>
      <c r="T37">
        <v>0</v>
      </c>
      <c r="U37">
        <v>0</v>
      </c>
      <c r="V37">
        <v>0</v>
      </c>
      <c r="W37">
        <v>0</v>
      </c>
      <c r="X37">
        <v>1</v>
      </c>
      <c r="Y37">
        <v>22</v>
      </c>
      <c r="Z37">
        <v>4</v>
      </c>
      <c r="AA37">
        <v>3</v>
      </c>
      <c r="AB37">
        <v>2</v>
      </c>
      <c r="AC37">
        <v>20</v>
      </c>
      <c r="AD37">
        <v>13</v>
      </c>
      <c r="AE37">
        <v>12</v>
      </c>
      <c r="AF37">
        <v>15</v>
      </c>
      <c r="AG37">
        <v>0</v>
      </c>
      <c r="AH37">
        <v>0</v>
      </c>
      <c r="AI37">
        <v>0</v>
      </c>
      <c r="AJ37">
        <v>0</v>
      </c>
    </row>
    <row r="38" spans="1:36" x14ac:dyDescent="0.3">
      <c r="A38" t="s">
        <v>144</v>
      </c>
      <c r="B38" s="249">
        <v>45983</v>
      </c>
      <c r="C38" t="s">
        <v>506</v>
      </c>
      <c r="D38" t="s">
        <v>533</v>
      </c>
      <c r="E38" t="s">
        <v>500</v>
      </c>
      <c r="F38" t="s">
        <v>134</v>
      </c>
      <c r="G38">
        <v>0.87780000000000002</v>
      </c>
      <c r="H38">
        <v>180</v>
      </c>
      <c r="I38">
        <v>158</v>
      </c>
      <c r="J38">
        <v>90</v>
      </c>
      <c r="K38" t="s">
        <v>135</v>
      </c>
      <c r="L38" s="249">
        <v>45980</v>
      </c>
      <c r="M38">
        <v>1</v>
      </c>
      <c r="N38">
        <v>5</v>
      </c>
      <c r="O38">
        <v>36</v>
      </c>
      <c r="P38" t="s">
        <v>294</v>
      </c>
      <c r="Q38">
        <v>0</v>
      </c>
      <c r="R38">
        <v>0</v>
      </c>
      <c r="S38">
        <v>0</v>
      </c>
      <c r="T38">
        <v>0</v>
      </c>
      <c r="U38">
        <v>0</v>
      </c>
      <c r="V38">
        <v>0</v>
      </c>
      <c r="W38">
        <v>0</v>
      </c>
      <c r="X38">
        <v>0</v>
      </c>
      <c r="Y38">
        <v>0</v>
      </c>
      <c r="Z38">
        <v>2</v>
      </c>
      <c r="AA38">
        <v>12</v>
      </c>
      <c r="AB38">
        <v>10</v>
      </c>
      <c r="AC38">
        <v>10</v>
      </c>
      <c r="AD38">
        <v>24</v>
      </c>
      <c r="AE38">
        <v>5</v>
      </c>
      <c r="AF38">
        <v>5</v>
      </c>
      <c r="AG38">
        <v>0</v>
      </c>
      <c r="AH38">
        <v>0</v>
      </c>
      <c r="AI38">
        <v>90</v>
      </c>
      <c r="AJ38">
        <v>0</v>
      </c>
    </row>
    <row r="39" spans="1:36" x14ac:dyDescent="0.3">
      <c r="A39" t="s">
        <v>144</v>
      </c>
      <c r="B39" s="249">
        <v>45983</v>
      </c>
      <c r="C39" t="s">
        <v>503</v>
      </c>
      <c r="D39" t="s">
        <v>535</v>
      </c>
      <c r="E39" t="s">
        <v>500</v>
      </c>
      <c r="F39" t="s">
        <v>134</v>
      </c>
      <c r="G39">
        <v>0.99439999999999995</v>
      </c>
      <c r="H39">
        <v>180</v>
      </c>
      <c r="I39">
        <v>179</v>
      </c>
      <c r="J39">
        <v>100</v>
      </c>
      <c r="K39" t="s">
        <v>135</v>
      </c>
      <c r="L39" s="249">
        <v>45980</v>
      </c>
      <c r="M39">
        <v>2</v>
      </c>
      <c r="N39">
        <v>6</v>
      </c>
      <c r="O39">
        <v>30</v>
      </c>
      <c r="P39" t="s">
        <v>82</v>
      </c>
      <c r="Q39">
        <v>1</v>
      </c>
      <c r="R39">
        <v>0</v>
      </c>
      <c r="S39">
        <v>0</v>
      </c>
      <c r="T39">
        <v>0</v>
      </c>
      <c r="U39">
        <v>0</v>
      </c>
      <c r="V39">
        <v>0</v>
      </c>
      <c r="W39">
        <v>0</v>
      </c>
      <c r="X39">
        <v>0</v>
      </c>
      <c r="Y39">
        <v>0</v>
      </c>
      <c r="Z39">
        <v>5</v>
      </c>
      <c r="AA39">
        <v>12</v>
      </c>
      <c r="AB39">
        <v>11</v>
      </c>
      <c r="AC39">
        <v>17</v>
      </c>
      <c r="AD39">
        <v>31</v>
      </c>
      <c r="AE39">
        <v>0</v>
      </c>
      <c r="AF39">
        <v>2</v>
      </c>
      <c r="AG39">
        <v>0</v>
      </c>
      <c r="AH39">
        <v>0</v>
      </c>
      <c r="AI39">
        <v>100</v>
      </c>
      <c r="AJ39">
        <v>0</v>
      </c>
    </row>
    <row r="40" spans="1:36" x14ac:dyDescent="0.3">
      <c r="A40" t="s">
        <v>144</v>
      </c>
      <c r="B40" s="249">
        <v>45983</v>
      </c>
      <c r="C40" t="s">
        <v>184</v>
      </c>
      <c r="D40" t="s">
        <v>192</v>
      </c>
      <c r="E40" t="s">
        <v>181</v>
      </c>
      <c r="F40" t="s">
        <v>134</v>
      </c>
      <c r="G40">
        <v>0.91110000000000002</v>
      </c>
      <c r="H40">
        <v>180</v>
      </c>
      <c r="I40">
        <v>164</v>
      </c>
      <c r="J40">
        <v>105</v>
      </c>
      <c r="K40" t="s">
        <v>135</v>
      </c>
      <c r="L40" s="249">
        <v>45980</v>
      </c>
      <c r="M40">
        <v>2</v>
      </c>
      <c r="N40">
        <v>3</v>
      </c>
      <c r="O40">
        <v>21</v>
      </c>
      <c r="P40" t="s">
        <v>185</v>
      </c>
      <c r="Q40">
        <v>0</v>
      </c>
      <c r="R40">
        <v>0</v>
      </c>
      <c r="S40">
        <v>0</v>
      </c>
      <c r="T40">
        <v>0</v>
      </c>
      <c r="U40">
        <v>0</v>
      </c>
      <c r="V40">
        <v>0</v>
      </c>
      <c r="W40">
        <v>0</v>
      </c>
      <c r="X40">
        <v>0</v>
      </c>
      <c r="Y40">
        <v>0</v>
      </c>
      <c r="Z40">
        <v>7</v>
      </c>
      <c r="AA40">
        <v>1</v>
      </c>
      <c r="AB40">
        <v>6</v>
      </c>
      <c r="AC40">
        <v>15</v>
      </c>
      <c r="AD40">
        <v>12</v>
      </c>
      <c r="AE40">
        <v>9</v>
      </c>
      <c r="AF40">
        <v>9</v>
      </c>
      <c r="AG40">
        <v>0</v>
      </c>
      <c r="AH40">
        <v>0</v>
      </c>
      <c r="AI40">
        <v>105</v>
      </c>
      <c r="AJ40">
        <v>0</v>
      </c>
    </row>
    <row r="41" spans="1:36" x14ac:dyDescent="0.3">
      <c r="A41" t="s">
        <v>144</v>
      </c>
      <c r="B41" s="249">
        <v>45983</v>
      </c>
      <c r="C41" t="s">
        <v>846</v>
      </c>
      <c r="D41" t="s">
        <v>192</v>
      </c>
      <c r="E41" t="s">
        <v>841</v>
      </c>
      <c r="F41" t="s">
        <v>134</v>
      </c>
      <c r="G41">
        <v>0.84360000000000002</v>
      </c>
      <c r="H41">
        <v>179</v>
      </c>
      <c r="I41">
        <v>151</v>
      </c>
      <c r="J41">
        <v>0</v>
      </c>
      <c r="K41" t="s">
        <v>135</v>
      </c>
      <c r="L41" s="249">
        <v>45979</v>
      </c>
      <c r="M41">
        <v>0</v>
      </c>
      <c r="N41">
        <v>5</v>
      </c>
      <c r="O41">
        <v>55</v>
      </c>
      <c r="P41" t="s">
        <v>850</v>
      </c>
      <c r="Q41">
        <v>0</v>
      </c>
      <c r="R41">
        <v>0</v>
      </c>
      <c r="S41">
        <v>1</v>
      </c>
      <c r="T41">
        <v>15</v>
      </c>
      <c r="U41">
        <v>15</v>
      </c>
      <c r="V41">
        <v>15</v>
      </c>
      <c r="W41">
        <v>15</v>
      </c>
      <c r="X41">
        <v>24</v>
      </c>
      <c r="Y41">
        <v>13</v>
      </c>
      <c r="Z41">
        <v>4</v>
      </c>
      <c r="AA41">
        <v>2</v>
      </c>
      <c r="AB41">
        <v>17</v>
      </c>
      <c r="AC41">
        <v>8</v>
      </c>
      <c r="AD41">
        <v>6</v>
      </c>
      <c r="AE41">
        <v>11</v>
      </c>
      <c r="AF41">
        <v>5</v>
      </c>
      <c r="AG41">
        <v>0</v>
      </c>
      <c r="AH41">
        <v>0</v>
      </c>
      <c r="AI41">
        <v>0</v>
      </c>
      <c r="AJ41">
        <v>0</v>
      </c>
    </row>
    <row r="42" spans="1:36" x14ac:dyDescent="0.3">
      <c r="A42" t="s">
        <v>144</v>
      </c>
      <c r="B42" s="249">
        <v>45983</v>
      </c>
      <c r="C42" t="s">
        <v>800</v>
      </c>
      <c r="D42" t="s">
        <v>808</v>
      </c>
      <c r="E42" t="s">
        <v>795</v>
      </c>
      <c r="F42" t="s">
        <v>134</v>
      </c>
      <c r="G42">
        <v>0.60340000000000005</v>
      </c>
      <c r="H42">
        <v>179</v>
      </c>
      <c r="I42">
        <v>108</v>
      </c>
      <c r="J42">
        <v>0</v>
      </c>
      <c r="K42" t="s">
        <v>135</v>
      </c>
      <c r="L42" s="249">
        <v>45980</v>
      </c>
      <c r="M42">
        <v>6</v>
      </c>
      <c r="N42">
        <v>22</v>
      </c>
      <c r="O42">
        <v>58</v>
      </c>
      <c r="P42" t="s">
        <v>254</v>
      </c>
      <c r="Q42">
        <v>0</v>
      </c>
      <c r="R42">
        <v>0</v>
      </c>
      <c r="S42">
        <v>0</v>
      </c>
      <c r="T42">
        <v>0</v>
      </c>
      <c r="U42">
        <v>0</v>
      </c>
      <c r="V42">
        <v>0</v>
      </c>
      <c r="W42">
        <v>0</v>
      </c>
      <c r="X42">
        <v>0</v>
      </c>
      <c r="Y42">
        <v>8</v>
      </c>
      <c r="Z42">
        <v>76</v>
      </c>
      <c r="AA42">
        <v>0</v>
      </c>
      <c r="AB42">
        <v>0</v>
      </c>
      <c r="AC42">
        <v>7</v>
      </c>
      <c r="AD42">
        <v>0</v>
      </c>
      <c r="AE42">
        <v>0</v>
      </c>
      <c r="AF42">
        <v>17</v>
      </c>
      <c r="AG42">
        <v>0</v>
      </c>
      <c r="AH42">
        <v>0</v>
      </c>
      <c r="AI42">
        <v>0</v>
      </c>
      <c r="AJ42">
        <v>0</v>
      </c>
    </row>
    <row r="43" spans="1:36" x14ac:dyDescent="0.3">
      <c r="A43" t="s">
        <v>144</v>
      </c>
      <c r="B43" s="249">
        <v>45983</v>
      </c>
      <c r="C43" t="s">
        <v>709</v>
      </c>
      <c r="D43" t="s">
        <v>722</v>
      </c>
      <c r="E43" t="s">
        <v>687</v>
      </c>
      <c r="F43" t="s">
        <v>134</v>
      </c>
      <c r="G43">
        <v>0.65559999999999996</v>
      </c>
      <c r="H43">
        <v>180</v>
      </c>
      <c r="I43">
        <v>118</v>
      </c>
      <c r="J43">
        <v>0</v>
      </c>
      <c r="K43" t="s">
        <v>135</v>
      </c>
      <c r="L43" s="249">
        <v>45980</v>
      </c>
      <c r="M43">
        <v>10</v>
      </c>
      <c r="N43">
        <v>17</v>
      </c>
      <c r="O43">
        <v>64</v>
      </c>
      <c r="P43" t="s">
        <v>351</v>
      </c>
      <c r="Q43">
        <v>0</v>
      </c>
      <c r="R43">
        <v>0</v>
      </c>
      <c r="S43">
        <v>0</v>
      </c>
      <c r="T43">
        <v>0</v>
      </c>
      <c r="U43">
        <v>0</v>
      </c>
      <c r="V43">
        <v>0</v>
      </c>
      <c r="W43">
        <v>9</v>
      </c>
      <c r="X43">
        <v>14</v>
      </c>
      <c r="Y43">
        <v>46</v>
      </c>
      <c r="Z43">
        <v>3</v>
      </c>
      <c r="AA43">
        <v>1</v>
      </c>
      <c r="AB43">
        <v>6</v>
      </c>
      <c r="AC43">
        <v>8</v>
      </c>
      <c r="AD43">
        <v>22</v>
      </c>
      <c r="AE43">
        <v>3</v>
      </c>
      <c r="AF43">
        <v>6</v>
      </c>
      <c r="AG43">
        <v>0</v>
      </c>
      <c r="AH43">
        <v>0</v>
      </c>
      <c r="AI43">
        <v>0</v>
      </c>
      <c r="AJ43">
        <v>0</v>
      </c>
    </row>
    <row r="44" spans="1:36" x14ac:dyDescent="0.3">
      <c r="A44" t="s">
        <v>144</v>
      </c>
      <c r="B44" s="249">
        <v>45983</v>
      </c>
      <c r="C44" t="s">
        <v>923</v>
      </c>
      <c r="D44" t="s">
        <v>909</v>
      </c>
      <c r="E44" t="s">
        <v>918</v>
      </c>
      <c r="F44" t="s">
        <v>134</v>
      </c>
      <c r="G44">
        <v>0.76539999999999997</v>
      </c>
      <c r="H44">
        <v>179</v>
      </c>
      <c r="I44">
        <v>137</v>
      </c>
      <c r="J44">
        <v>0</v>
      </c>
      <c r="K44" t="s">
        <v>135</v>
      </c>
      <c r="L44" s="249">
        <v>45980</v>
      </c>
      <c r="M44">
        <v>2</v>
      </c>
      <c r="N44">
        <v>5</v>
      </c>
      <c r="O44">
        <v>65</v>
      </c>
      <c r="P44" t="s">
        <v>367</v>
      </c>
      <c r="Q44">
        <v>0</v>
      </c>
      <c r="R44">
        <v>0</v>
      </c>
      <c r="S44">
        <v>0</v>
      </c>
      <c r="T44">
        <v>0</v>
      </c>
      <c r="U44">
        <v>0</v>
      </c>
      <c r="V44">
        <v>0</v>
      </c>
      <c r="W44">
        <v>0</v>
      </c>
      <c r="X44">
        <v>0</v>
      </c>
      <c r="Y44">
        <v>0</v>
      </c>
      <c r="Z44">
        <v>0</v>
      </c>
      <c r="AA44">
        <v>9</v>
      </c>
      <c r="AB44">
        <v>8</v>
      </c>
      <c r="AC44">
        <v>93</v>
      </c>
      <c r="AD44">
        <v>11</v>
      </c>
      <c r="AE44">
        <v>11</v>
      </c>
      <c r="AF44">
        <v>5</v>
      </c>
      <c r="AG44">
        <v>0</v>
      </c>
      <c r="AH44">
        <v>0</v>
      </c>
      <c r="AI44">
        <v>0</v>
      </c>
      <c r="AJ44">
        <v>0</v>
      </c>
    </row>
    <row r="45" spans="1:36" x14ac:dyDescent="0.3">
      <c r="A45" t="s">
        <v>144</v>
      </c>
      <c r="B45" s="249">
        <v>45983</v>
      </c>
      <c r="C45" t="s">
        <v>253</v>
      </c>
      <c r="D45" t="s">
        <v>412</v>
      </c>
      <c r="E45" t="s">
        <v>204</v>
      </c>
      <c r="F45" t="s">
        <v>134</v>
      </c>
      <c r="G45">
        <v>0.86109999999999998</v>
      </c>
      <c r="H45">
        <v>180</v>
      </c>
      <c r="I45">
        <v>155</v>
      </c>
      <c r="J45">
        <v>45</v>
      </c>
      <c r="K45" t="s">
        <v>135</v>
      </c>
      <c r="L45" s="249">
        <v>45980</v>
      </c>
      <c r="M45">
        <v>1</v>
      </c>
      <c r="N45">
        <v>14</v>
      </c>
      <c r="O45">
        <v>105</v>
      </c>
      <c r="P45" t="s">
        <v>324</v>
      </c>
      <c r="Q45">
        <v>0</v>
      </c>
      <c r="R45">
        <v>0</v>
      </c>
      <c r="S45">
        <v>0</v>
      </c>
      <c r="T45">
        <v>0</v>
      </c>
      <c r="U45">
        <v>0</v>
      </c>
      <c r="V45">
        <v>0</v>
      </c>
      <c r="W45">
        <v>0</v>
      </c>
      <c r="X45">
        <v>0</v>
      </c>
      <c r="Y45">
        <v>0</v>
      </c>
      <c r="Z45">
        <v>1</v>
      </c>
      <c r="AA45">
        <v>8</v>
      </c>
      <c r="AB45">
        <v>34</v>
      </c>
      <c r="AC45">
        <v>11</v>
      </c>
      <c r="AD45">
        <v>11</v>
      </c>
      <c r="AE45">
        <v>11</v>
      </c>
      <c r="AF45">
        <v>33</v>
      </c>
      <c r="AG45">
        <v>0</v>
      </c>
      <c r="AH45">
        <v>0</v>
      </c>
      <c r="AI45">
        <v>45</v>
      </c>
      <c r="AJ45">
        <v>1</v>
      </c>
    </row>
    <row r="46" spans="1:36" x14ac:dyDescent="0.3">
      <c r="A46" t="s">
        <v>144</v>
      </c>
      <c r="B46" s="249">
        <v>45983</v>
      </c>
      <c r="C46" t="s">
        <v>240</v>
      </c>
      <c r="D46" t="s">
        <v>400</v>
      </c>
      <c r="E46" t="s">
        <v>204</v>
      </c>
      <c r="F46" t="s">
        <v>134</v>
      </c>
      <c r="G46">
        <v>1</v>
      </c>
      <c r="H46">
        <v>180</v>
      </c>
      <c r="I46">
        <v>180</v>
      </c>
      <c r="J46">
        <v>113</v>
      </c>
      <c r="K46" t="s">
        <v>135</v>
      </c>
      <c r="L46" s="249">
        <v>45980</v>
      </c>
      <c r="M46">
        <v>1</v>
      </c>
      <c r="N46">
        <v>11</v>
      </c>
      <c r="O46">
        <v>38</v>
      </c>
      <c r="P46" t="s">
        <v>82</v>
      </c>
      <c r="Q46">
        <v>0</v>
      </c>
      <c r="R46">
        <v>0</v>
      </c>
      <c r="S46">
        <v>0</v>
      </c>
      <c r="T46">
        <v>0</v>
      </c>
      <c r="U46">
        <v>0</v>
      </c>
      <c r="V46">
        <v>0</v>
      </c>
      <c r="W46">
        <v>0</v>
      </c>
      <c r="X46">
        <v>0</v>
      </c>
      <c r="Y46">
        <v>0</v>
      </c>
      <c r="Z46">
        <v>1</v>
      </c>
      <c r="AA46">
        <v>0</v>
      </c>
      <c r="AB46">
        <v>8</v>
      </c>
      <c r="AC46">
        <v>12</v>
      </c>
      <c r="AD46">
        <v>12</v>
      </c>
      <c r="AE46">
        <v>12</v>
      </c>
      <c r="AF46">
        <v>22</v>
      </c>
      <c r="AG46">
        <v>49</v>
      </c>
      <c r="AH46">
        <v>0</v>
      </c>
      <c r="AI46">
        <v>64</v>
      </c>
      <c r="AJ46">
        <v>0</v>
      </c>
    </row>
    <row r="47" spans="1:36" x14ac:dyDescent="0.3">
      <c r="A47" t="s">
        <v>144</v>
      </c>
      <c r="B47" s="249">
        <v>45983</v>
      </c>
      <c r="C47" t="s">
        <v>248</v>
      </c>
      <c r="D47" t="s">
        <v>345</v>
      </c>
      <c r="E47" t="s">
        <v>204</v>
      </c>
      <c r="F47" t="s">
        <v>134</v>
      </c>
      <c r="G47">
        <v>0.98870000000000002</v>
      </c>
      <c r="H47">
        <v>177</v>
      </c>
      <c r="I47">
        <v>175</v>
      </c>
      <c r="J47">
        <v>94</v>
      </c>
      <c r="K47" t="s">
        <v>135</v>
      </c>
      <c r="L47" s="249">
        <v>45979</v>
      </c>
      <c r="M47">
        <v>0</v>
      </c>
      <c r="N47">
        <v>1</v>
      </c>
      <c r="O47">
        <v>46</v>
      </c>
      <c r="P47" t="s">
        <v>322</v>
      </c>
      <c r="Q47">
        <v>0</v>
      </c>
      <c r="R47">
        <v>0</v>
      </c>
      <c r="S47">
        <v>0</v>
      </c>
      <c r="T47">
        <v>0</v>
      </c>
      <c r="U47">
        <v>0</v>
      </c>
      <c r="V47">
        <v>0</v>
      </c>
      <c r="W47">
        <v>0</v>
      </c>
      <c r="X47">
        <v>0</v>
      </c>
      <c r="Y47">
        <v>0</v>
      </c>
      <c r="Z47">
        <v>1</v>
      </c>
      <c r="AA47">
        <v>8</v>
      </c>
      <c r="AB47">
        <v>11</v>
      </c>
      <c r="AC47">
        <v>11</v>
      </c>
      <c r="AD47">
        <v>12</v>
      </c>
      <c r="AE47">
        <v>11</v>
      </c>
      <c r="AF47">
        <v>25</v>
      </c>
      <c r="AG47">
        <v>0</v>
      </c>
      <c r="AH47">
        <v>0</v>
      </c>
      <c r="AI47">
        <v>94</v>
      </c>
      <c r="AJ47">
        <v>2</v>
      </c>
    </row>
    <row r="48" spans="1:36" x14ac:dyDescent="0.3">
      <c r="A48" t="s">
        <v>144</v>
      </c>
      <c r="B48" s="249">
        <v>45983</v>
      </c>
      <c r="C48" t="s">
        <v>256</v>
      </c>
      <c r="D48" t="s">
        <v>410</v>
      </c>
      <c r="E48" t="s">
        <v>204</v>
      </c>
      <c r="F48" t="s">
        <v>134</v>
      </c>
      <c r="G48">
        <v>0.99439999999999995</v>
      </c>
      <c r="H48">
        <v>180</v>
      </c>
      <c r="I48">
        <v>179</v>
      </c>
      <c r="J48">
        <v>125</v>
      </c>
      <c r="K48" t="s">
        <v>135</v>
      </c>
      <c r="L48" s="249">
        <v>45977</v>
      </c>
      <c r="M48">
        <v>0</v>
      </c>
      <c r="N48">
        <v>0</v>
      </c>
      <c r="O48">
        <v>23</v>
      </c>
      <c r="P48" t="s">
        <v>82</v>
      </c>
      <c r="Q48">
        <v>0</v>
      </c>
      <c r="R48">
        <v>0</v>
      </c>
      <c r="S48">
        <v>0</v>
      </c>
      <c r="T48">
        <v>0</v>
      </c>
      <c r="U48">
        <v>0</v>
      </c>
      <c r="V48">
        <v>0</v>
      </c>
      <c r="W48">
        <v>0</v>
      </c>
      <c r="X48">
        <v>0</v>
      </c>
      <c r="Y48">
        <v>1</v>
      </c>
      <c r="Z48">
        <v>1</v>
      </c>
      <c r="AA48">
        <v>0</v>
      </c>
      <c r="AB48">
        <v>0</v>
      </c>
      <c r="AC48">
        <v>9</v>
      </c>
      <c r="AD48">
        <v>12</v>
      </c>
      <c r="AE48">
        <v>15</v>
      </c>
      <c r="AF48">
        <v>15</v>
      </c>
      <c r="AG48">
        <v>0</v>
      </c>
      <c r="AH48">
        <v>0</v>
      </c>
      <c r="AI48">
        <v>125</v>
      </c>
      <c r="AJ48">
        <v>1</v>
      </c>
    </row>
    <row r="49" spans="1:36" x14ac:dyDescent="0.3">
      <c r="A49" t="s">
        <v>144</v>
      </c>
      <c r="B49" s="249">
        <v>45983</v>
      </c>
      <c r="C49" t="s">
        <v>79</v>
      </c>
      <c r="D49" t="s">
        <v>145</v>
      </c>
      <c r="E49" t="s">
        <v>1</v>
      </c>
      <c r="F49" t="s">
        <v>134</v>
      </c>
      <c r="G49">
        <v>0.98329999999999995</v>
      </c>
      <c r="H49">
        <v>180</v>
      </c>
      <c r="I49">
        <v>177</v>
      </c>
      <c r="J49">
        <v>176</v>
      </c>
      <c r="K49" t="s">
        <v>135</v>
      </c>
      <c r="L49" s="249">
        <v>45980</v>
      </c>
      <c r="M49">
        <v>2</v>
      </c>
      <c r="N49">
        <v>46</v>
      </c>
      <c r="O49">
        <v>48</v>
      </c>
      <c r="P49" t="s">
        <v>101</v>
      </c>
      <c r="Q49">
        <v>0</v>
      </c>
      <c r="R49">
        <v>0</v>
      </c>
      <c r="S49">
        <v>0</v>
      </c>
      <c r="T49">
        <v>0</v>
      </c>
      <c r="U49">
        <v>0</v>
      </c>
      <c r="V49">
        <v>0</v>
      </c>
      <c r="W49">
        <v>1</v>
      </c>
      <c r="X49">
        <v>0</v>
      </c>
      <c r="Y49">
        <v>0</v>
      </c>
      <c r="Z49">
        <v>0</v>
      </c>
      <c r="AA49">
        <v>0</v>
      </c>
      <c r="AB49">
        <v>0</v>
      </c>
      <c r="AC49">
        <v>0</v>
      </c>
      <c r="AD49">
        <v>0</v>
      </c>
      <c r="AE49">
        <v>0</v>
      </c>
      <c r="AF49">
        <v>0</v>
      </c>
      <c r="AG49">
        <v>45</v>
      </c>
      <c r="AH49">
        <v>0</v>
      </c>
      <c r="AI49">
        <v>131</v>
      </c>
      <c r="AJ49">
        <v>0</v>
      </c>
    </row>
    <row r="50" spans="1:36" x14ac:dyDescent="0.3">
      <c r="A50" t="s">
        <v>144</v>
      </c>
      <c r="B50" s="249">
        <v>45983</v>
      </c>
      <c r="C50" t="s">
        <v>590</v>
      </c>
      <c r="D50" t="s">
        <v>652</v>
      </c>
      <c r="E50" t="s">
        <v>550</v>
      </c>
      <c r="F50" t="s">
        <v>134</v>
      </c>
      <c r="G50">
        <v>0.59219999999999995</v>
      </c>
      <c r="H50">
        <v>179</v>
      </c>
      <c r="I50">
        <v>106</v>
      </c>
      <c r="J50">
        <v>0</v>
      </c>
      <c r="K50" t="s">
        <v>135</v>
      </c>
      <c r="L50" s="249">
        <v>45980</v>
      </c>
      <c r="M50">
        <v>2</v>
      </c>
      <c r="N50">
        <v>17</v>
      </c>
      <c r="O50">
        <v>59</v>
      </c>
      <c r="P50" t="s">
        <v>640</v>
      </c>
      <c r="Q50">
        <v>0</v>
      </c>
      <c r="R50">
        <v>0</v>
      </c>
      <c r="S50">
        <v>0</v>
      </c>
      <c r="T50">
        <v>0</v>
      </c>
      <c r="U50">
        <v>0</v>
      </c>
      <c r="V50">
        <v>0</v>
      </c>
      <c r="W50">
        <v>0</v>
      </c>
      <c r="X50">
        <v>0</v>
      </c>
      <c r="Y50">
        <v>0</v>
      </c>
      <c r="Z50">
        <v>4</v>
      </c>
      <c r="AA50">
        <v>11</v>
      </c>
      <c r="AB50">
        <v>19</v>
      </c>
      <c r="AC50">
        <v>10</v>
      </c>
      <c r="AD50">
        <v>17</v>
      </c>
      <c r="AE50">
        <v>10</v>
      </c>
      <c r="AF50">
        <v>35</v>
      </c>
      <c r="AG50">
        <v>0</v>
      </c>
      <c r="AH50">
        <v>0</v>
      </c>
      <c r="AI50">
        <v>0</v>
      </c>
      <c r="AJ50">
        <v>0</v>
      </c>
    </row>
    <row r="51" spans="1:36" x14ac:dyDescent="0.3">
      <c r="A51" t="s">
        <v>144</v>
      </c>
      <c r="B51" s="249">
        <v>45983</v>
      </c>
      <c r="C51" t="s">
        <v>768</v>
      </c>
      <c r="D51" t="s">
        <v>422</v>
      </c>
      <c r="E51" t="s">
        <v>764</v>
      </c>
      <c r="F51" t="s">
        <v>783</v>
      </c>
      <c r="G51">
        <v>0.67889999999999995</v>
      </c>
      <c r="H51">
        <v>109</v>
      </c>
      <c r="I51">
        <v>74</v>
      </c>
      <c r="J51">
        <v>0</v>
      </c>
      <c r="K51" t="s">
        <v>135</v>
      </c>
      <c r="L51" s="249">
        <v>45980</v>
      </c>
      <c r="M51">
        <v>1</v>
      </c>
      <c r="N51">
        <v>14</v>
      </c>
      <c r="O51">
        <v>41</v>
      </c>
      <c r="P51" t="s">
        <v>198</v>
      </c>
      <c r="Q51">
        <v>0</v>
      </c>
      <c r="R51">
        <v>0</v>
      </c>
      <c r="S51">
        <v>0</v>
      </c>
      <c r="T51">
        <v>0</v>
      </c>
      <c r="U51">
        <v>0</v>
      </c>
      <c r="V51">
        <v>0</v>
      </c>
      <c r="W51">
        <v>0</v>
      </c>
      <c r="X51">
        <v>0</v>
      </c>
      <c r="Y51">
        <v>0</v>
      </c>
      <c r="Z51">
        <v>3</v>
      </c>
      <c r="AA51">
        <v>0</v>
      </c>
      <c r="AB51">
        <v>0</v>
      </c>
      <c r="AC51">
        <v>0</v>
      </c>
      <c r="AD51">
        <v>4</v>
      </c>
      <c r="AE51">
        <v>12</v>
      </c>
      <c r="AF51">
        <v>55</v>
      </c>
      <c r="AG51">
        <v>0</v>
      </c>
      <c r="AH51">
        <v>0</v>
      </c>
      <c r="AI51">
        <v>0</v>
      </c>
      <c r="AJ51">
        <v>0</v>
      </c>
    </row>
    <row r="52" spans="1:36" x14ac:dyDescent="0.3">
      <c r="A52" t="s">
        <v>144</v>
      </c>
      <c r="B52" s="249">
        <v>45983</v>
      </c>
      <c r="C52" t="s">
        <v>822</v>
      </c>
      <c r="D52" t="s">
        <v>838</v>
      </c>
      <c r="E52" t="s">
        <v>819</v>
      </c>
      <c r="F52" t="s">
        <v>134</v>
      </c>
      <c r="G52">
        <v>1</v>
      </c>
      <c r="H52">
        <v>179</v>
      </c>
      <c r="I52">
        <v>179</v>
      </c>
      <c r="J52">
        <v>146</v>
      </c>
      <c r="K52" t="s">
        <v>135</v>
      </c>
      <c r="L52" s="249">
        <v>45978</v>
      </c>
      <c r="M52">
        <v>0</v>
      </c>
      <c r="N52">
        <v>0</v>
      </c>
      <c r="O52">
        <v>10</v>
      </c>
      <c r="P52" t="s">
        <v>82</v>
      </c>
      <c r="Q52">
        <v>0</v>
      </c>
      <c r="R52">
        <v>0</v>
      </c>
      <c r="S52">
        <v>0</v>
      </c>
      <c r="T52">
        <v>0</v>
      </c>
      <c r="U52">
        <v>0</v>
      </c>
      <c r="V52">
        <v>0</v>
      </c>
      <c r="W52">
        <v>6</v>
      </c>
      <c r="X52">
        <v>0</v>
      </c>
      <c r="Y52">
        <v>0</v>
      </c>
      <c r="Z52">
        <v>3</v>
      </c>
      <c r="AA52">
        <v>3</v>
      </c>
      <c r="AB52">
        <v>8</v>
      </c>
      <c r="AC52">
        <v>12</v>
      </c>
      <c r="AD52">
        <v>0</v>
      </c>
      <c r="AE52">
        <v>0</v>
      </c>
      <c r="AF52">
        <v>0</v>
      </c>
      <c r="AG52">
        <v>0</v>
      </c>
      <c r="AH52">
        <v>0</v>
      </c>
      <c r="AI52">
        <v>146</v>
      </c>
      <c r="AJ52">
        <v>1</v>
      </c>
    </row>
    <row r="53" spans="1:36" x14ac:dyDescent="0.3">
      <c r="A53" t="s">
        <v>144</v>
      </c>
      <c r="B53" s="249">
        <v>45983</v>
      </c>
      <c r="C53" t="s">
        <v>438</v>
      </c>
      <c r="D53" t="s">
        <v>495</v>
      </c>
      <c r="E53" t="s">
        <v>427</v>
      </c>
      <c r="F53" t="s">
        <v>134</v>
      </c>
      <c r="G53">
        <v>0.87780000000000002</v>
      </c>
      <c r="H53">
        <v>180</v>
      </c>
      <c r="I53">
        <v>158</v>
      </c>
      <c r="J53">
        <v>90</v>
      </c>
      <c r="K53" t="s">
        <v>135</v>
      </c>
      <c r="L53" s="249">
        <v>45980</v>
      </c>
      <c r="M53">
        <v>1</v>
      </c>
      <c r="N53">
        <v>5</v>
      </c>
      <c r="O53">
        <v>35</v>
      </c>
      <c r="P53" t="s">
        <v>292</v>
      </c>
      <c r="Q53">
        <v>0</v>
      </c>
      <c r="R53">
        <v>0</v>
      </c>
      <c r="S53">
        <v>0</v>
      </c>
      <c r="T53">
        <v>0</v>
      </c>
      <c r="U53">
        <v>0</v>
      </c>
      <c r="V53">
        <v>0</v>
      </c>
      <c r="W53">
        <v>0</v>
      </c>
      <c r="X53">
        <v>0</v>
      </c>
      <c r="Y53">
        <v>0</v>
      </c>
      <c r="Z53">
        <v>8</v>
      </c>
      <c r="AA53">
        <v>10</v>
      </c>
      <c r="AB53">
        <v>15</v>
      </c>
      <c r="AC53">
        <v>15</v>
      </c>
      <c r="AD53">
        <v>10</v>
      </c>
      <c r="AE53">
        <v>10</v>
      </c>
      <c r="AF53">
        <v>0</v>
      </c>
      <c r="AG53">
        <v>0</v>
      </c>
      <c r="AH53">
        <v>0</v>
      </c>
      <c r="AI53">
        <v>90</v>
      </c>
      <c r="AJ53">
        <v>0</v>
      </c>
    </row>
    <row r="54" spans="1:36" x14ac:dyDescent="0.3">
      <c r="A54" t="s">
        <v>144</v>
      </c>
      <c r="B54" s="249">
        <v>45983</v>
      </c>
      <c r="C54" t="s">
        <v>471</v>
      </c>
      <c r="D54" t="s">
        <v>492</v>
      </c>
      <c r="E54" t="s">
        <v>427</v>
      </c>
      <c r="F54" t="s">
        <v>134</v>
      </c>
      <c r="G54">
        <v>0.9556</v>
      </c>
      <c r="H54">
        <v>180</v>
      </c>
      <c r="I54">
        <v>172</v>
      </c>
      <c r="J54">
        <v>127</v>
      </c>
      <c r="K54" t="s">
        <v>135</v>
      </c>
      <c r="L54" s="249">
        <v>45980</v>
      </c>
      <c r="M54">
        <v>1</v>
      </c>
      <c r="N54">
        <v>4</v>
      </c>
      <c r="O54">
        <v>21</v>
      </c>
      <c r="P54" t="s">
        <v>472</v>
      </c>
      <c r="Q54">
        <v>0</v>
      </c>
      <c r="R54">
        <v>0</v>
      </c>
      <c r="S54">
        <v>0</v>
      </c>
      <c r="T54">
        <v>0</v>
      </c>
      <c r="U54">
        <v>0</v>
      </c>
      <c r="V54">
        <v>0</v>
      </c>
      <c r="W54">
        <v>0</v>
      </c>
      <c r="X54">
        <v>0</v>
      </c>
      <c r="Y54">
        <v>0</v>
      </c>
      <c r="Z54">
        <v>7</v>
      </c>
      <c r="AA54">
        <v>3</v>
      </c>
      <c r="AB54">
        <v>15</v>
      </c>
      <c r="AC54">
        <v>15</v>
      </c>
      <c r="AD54">
        <v>5</v>
      </c>
      <c r="AE54">
        <v>0</v>
      </c>
      <c r="AF54">
        <v>0</v>
      </c>
      <c r="AG54">
        <v>0</v>
      </c>
      <c r="AH54">
        <v>0</v>
      </c>
      <c r="AI54">
        <v>127</v>
      </c>
      <c r="AJ54">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83</vt:i4>
      </vt:variant>
    </vt:vector>
  </HeadingPairs>
  <TitlesOfParts>
    <vt:vector size="83" baseType="lpstr">
      <vt:lpstr>CAI-MED</vt:lpstr>
      <vt:lpstr>CAI-MED LF LEGACY</vt:lpstr>
      <vt:lpstr>CAI-MED - FOCUS MODE</vt:lpstr>
      <vt:lpstr>CAI-MED - OAL Threats Alert</vt:lpstr>
      <vt:lpstr>HBE-MED</vt:lpstr>
      <vt:lpstr>HBE-MED LF LEGACY</vt:lpstr>
      <vt:lpstr>HBE-MED - FOCUS MODE</vt:lpstr>
      <vt:lpstr>ATZ-MED</vt:lpstr>
      <vt:lpstr>ATZ-MED LF LEGACY</vt:lpstr>
      <vt:lpstr>ATZ-MED - FOCUS MODE</vt:lpstr>
      <vt:lpstr>CAI-JED</vt:lpstr>
      <vt:lpstr>CAI-JED LF LEGACY</vt:lpstr>
      <vt:lpstr>CAI-JED - FOCUS MODE</vt:lpstr>
      <vt:lpstr>CAI-JED - OAL Threats Alert</vt:lpstr>
      <vt:lpstr>HBE-JED</vt:lpstr>
      <vt:lpstr>HBE-JED LF LEGACY</vt:lpstr>
      <vt:lpstr>HBE-JED - FOCUS MODE</vt:lpstr>
      <vt:lpstr>ATZ-JED</vt:lpstr>
      <vt:lpstr>ATZ-JED LF LEGACY</vt:lpstr>
      <vt:lpstr>ATZ-JED - FOCUS MODE</vt:lpstr>
      <vt:lpstr>LXR-JED</vt:lpstr>
      <vt:lpstr>LXR-JED LF LEGACY</vt:lpstr>
      <vt:lpstr>LXR-JED - FOCUS MODE</vt:lpstr>
      <vt:lpstr>ASW-JED</vt:lpstr>
      <vt:lpstr>ASW-JED LF LEGACY</vt:lpstr>
      <vt:lpstr>ASW-JED - FOCUS MODE</vt:lpstr>
      <vt:lpstr>SSH-JED</vt:lpstr>
      <vt:lpstr>SSH-JED LF LEGACY</vt:lpstr>
      <vt:lpstr>SSH-JED - FOCUS MODE</vt:lpstr>
      <vt:lpstr>HRG-JED</vt:lpstr>
      <vt:lpstr>HRG-JED LF LEGACY</vt:lpstr>
      <vt:lpstr>HRG-JED - FOCUS MODE</vt:lpstr>
      <vt:lpstr>CAI-RUH</vt:lpstr>
      <vt:lpstr>CAI-RUH LF LEGACY</vt:lpstr>
      <vt:lpstr>CAI-RUH - FOCUS MODE</vt:lpstr>
      <vt:lpstr>CAI-RUH - OAL Threats Alert</vt:lpstr>
      <vt:lpstr>ATZ-RUH</vt:lpstr>
      <vt:lpstr>ATZ-RUH LF LEGACY</vt:lpstr>
      <vt:lpstr>ATZ-RUH - FOCUS MODE</vt:lpstr>
      <vt:lpstr>CAI-DMM</vt:lpstr>
      <vt:lpstr>CAI-DMM LF LEGACY</vt:lpstr>
      <vt:lpstr>CAI-DMM - FOCUS MODE</vt:lpstr>
      <vt:lpstr>CAI-DMM - OAL Threats Alert</vt:lpstr>
      <vt:lpstr>ATZ-DMM</vt:lpstr>
      <vt:lpstr>ATZ-DMM LF LEGACY</vt:lpstr>
      <vt:lpstr>ATZ-DMM - FOCUS MODE</vt:lpstr>
      <vt:lpstr>CAI-TUU</vt:lpstr>
      <vt:lpstr>CAI-TUU LF LEGACY</vt:lpstr>
      <vt:lpstr>CAI-TUU - FOCUS MODE</vt:lpstr>
      <vt:lpstr>CAI-TUU - OAL Threats Alert</vt:lpstr>
      <vt:lpstr>ATZ-TUU</vt:lpstr>
      <vt:lpstr>ATZ-TUU LF LEGACY</vt:lpstr>
      <vt:lpstr>ATZ-TUU - FOCUS MODE</vt:lpstr>
      <vt:lpstr>CAI-AJF</vt:lpstr>
      <vt:lpstr>CAI-AJF LF LEGACY</vt:lpstr>
      <vt:lpstr>CAI-AJF - FOCUS MODE</vt:lpstr>
      <vt:lpstr>CAI-AJF - OAL Threats Alert</vt:lpstr>
      <vt:lpstr>ATZ-AJF</vt:lpstr>
      <vt:lpstr>ATZ-AJF LF LEGACY</vt:lpstr>
      <vt:lpstr>ATZ-AJF - FOCUS MODE</vt:lpstr>
      <vt:lpstr>CAI-YNB</vt:lpstr>
      <vt:lpstr>CAI-YNB LF LEGACY</vt:lpstr>
      <vt:lpstr>CAI-YNB - FOCUS MODE</vt:lpstr>
      <vt:lpstr>CAI-YNB - OAL Threats Alert</vt:lpstr>
      <vt:lpstr>CAI-AHB</vt:lpstr>
      <vt:lpstr>CAI-AHB LF LEGACY</vt:lpstr>
      <vt:lpstr>CAI-AHB - FOCUS MODE</vt:lpstr>
      <vt:lpstr>CAI-AHB - OAL Threats Alert</vt:lpstr>
      <vt:lpstr>ATZ-AHB</vt:lpstr>
      <vt:lpstr>ATZ-AHB LF LEGACY</vt:lpstr>
      <vt:lpstr>ATZ-AHB - FOCUS MODE</vt:lpstr>
      <vt:lpstr>CAI-ELQ</vt:lpstr>
      <vt:lpstr>CAI-ELQ LF LEGACY</vt:lpstr>
      <vt:lpstr>CAI-ELQ - FOCUS MODE</vt:lpstr>
      <vt:lpstr>CAI-ELQ - OAL Threats Alert</vt:lpstr>
      <vt:lpstr>ATZ-ELQ</vt:lpstr>
      <vt:lpstr>ATZ-ELQ LF LEGACY</vt:lpstr>
      <vt:lpstr>ATZ-ELQ - FOCUS MODE</vt:lpstr>
      <vt:lpstr>CAI-GIZ</vt:lpstr>
      <vt:lpstr>CAI-GIZ LF LEGACY</vt:lpstr>
      <vt:lpstr>CAI-GIZ - FOCUS MODE</vt:lpstr>
      <vt:lpstr>CAI-GIZ - OAL Threats Alert</vt:lpstr>
      <vt:lpstr>EGY_TO_KSA_ALL_ROUTES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Yanbu Office</cp:lastModifiedBy>
  <dcterms:created xsi:type="dcterms:W3CDTF">2025-11-19T08:50:05Z</dcterms:created>
  <dcterms:modified xsi:type="dcterms:W3CDTF">2025-11-19T08:50:41Z</dcterms:modified>
</cp:coreProperties>
</file>