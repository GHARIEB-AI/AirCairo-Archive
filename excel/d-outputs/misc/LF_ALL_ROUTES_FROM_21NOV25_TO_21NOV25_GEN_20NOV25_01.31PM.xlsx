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66D09625-FC4A-4620-AF51-5D63E5BF17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E9" i="1"/>
  <c r="C9" i="1"/>
  <c r="AJ9" i="1"/>
</calcChain>
</file>

<file path=xl/sharedStrings.xml><?xml version="1.0" encoding="utf-8"?>
<sst xmlns="http://schemas.openxmlformats.org/spreadsheetml/2006/main" count="86" uniqueCount="62">
  <si>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</si>
  <si>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</si>
  <si>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</si>
  <si>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</si>
  <si>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</si>
  <si>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</si>
  <si>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</si>
  <si>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</si>
  <si>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</si>
  <si>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</si>
  <si>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</si>
  <si>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</si>
  <si>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</si>
  <si>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</si>
  <si>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</si>
  <si>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</si>
  <si>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</si>
  <si>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</si>
  <si>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</si>
  <si>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</si>
  <si>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</si>
  <si>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</si>
  <si>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</si>
  <si>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</si>
  <si>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</si>
  <si>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</si>
  <si>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</si>
  <si>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</si>
  <si>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</si>
  <si>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</si>
  <si>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</si>
  <si>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</si>
  <si>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</si>
  <si>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</si>
  <si>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</si>
  <si>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</si>
  <si>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</si>
  <si>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SM424</t>
  </si>
  <si>
    <t>02:45</t>
  </si>
  <si>
    <t>JED-CAI</t>
  </si>
  <si>
    <t>320</t>
  </si>
  <si>
    <t>UPCOMING</t>
  </si>
  <si>
    <t>S9</t>
  </si>
  <si>
    <t>SM452</t>
  </si>
  <si>
    <t>10:00</t>
  </si>
  <si>
    <t>JED-HBE</t>
  </si>
  <si>
    <t>H1</t>
  </si>
  <si>
    <t>SM460</t>
  </si>
  <si>
    <t>22:30</t>
  </si>
  <si>
    <t>CLOSED</t>
  </si>
  <si>
    <t>SM472</t>
  </si>
  <si>
    <t>17:40</t>
  </si>
  <si>
    <t>SM476</t>
  </si>
  <si>
    <t>07:40</t>
  </si>
  <si>
    <t>L9</t>
  </si>
  <si>
    <t>SM478</t>
  </si>
  <si>
    <t>11:00</t>
  </si>
  <si>
    <t>S5</t>
  </si>
  <si>
    <t>SM480</t>
  </si>
  <si>
    <t>14:45</t>
  </si>
  <si>
    <t>G9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</si>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</sst>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B770FF-A9C7-48FE-8E52-2DEAF4DB630D}" name="LF_ALL_ROUTES" displayName="LF_ALL_ROUTES" ref="A1:AJ9" totalsRowCount="1" headerRowDxfId="37" totalsRowDxfId="0">
  <autoFilter ref="A1:AJ8" xr:uid="{08B770FF-A9C7-48FE-8E52-2DEAF4DB630D}"/>
  <tableColumns count="36">
    <tableColumn id="1" xr3:uid="{35D075FB-4242-403D-B9FD-449FD26F75A0}" name="Day" totalsRowLabel="TOTAL" totalsRowDxfId="36"/>
    <tableColumn id="2" xr3:uid="{15EEA986-855E-4DC6-B08C-E9079E2E4942}" name="Flt Dt" dataDxfId="39" totalsRowDxfId="35"/>
    <tableColumn id="3" xr3:uid="{BA451242-0F1E-4A62-B9DE-DF28C234CCEF}" name="Flt" totalsRowFunction="count" totalsRowDxfId="34"/>
    <tableColumn id="4" xr3:uid="{FE10FDB4-180F-49CC-B583-C6551E4F1769}" name="DEP" totalsRowDxfId="33"/>
    <tableColumn id="5" xr3:uid="{A02621E7-F07D-448D-AB95-6920993EF551}" name="Brd-Off" totalsRowFunction="count" totalsRowDxfId="32"/>
    <tableColumn id="6" xr3:uid="{51867EAC-BD15-4714-90EB-FCF158183FBA}" name="Eqp" totalsRowDxfId="31"/>
    <tableColumn id="7" xr3:uid="{065583F3-4D7A-4DD4-89F3-2F7B9EDEED70}" name="LF%" totalsRowFunction="average" totalsRowDxfId="30"/>
    <tableColumn id="8" xr3:uid="{B239D1DC-FFF0-4809-B66E-4682BFF04591}" name="CAP" totalsRowDxfId="29"/>
    <tableColumn id="9" xr3:uid="{CAF96BA7-E1E7-4C1A-A3D5-02034032DBA7}" name="BKG(Y)" totalsRowDxfId="28"/>
    <tableColumn id="10" xr3:uid="{EF9862B6-9D68-430A-B0BC-7B4DCFCF1015}" name="GRP(Y)" totalsRowDxfId="27"/>
    <tableColumn id="11" xr3:uid="{DA5E8E51-98E0-4267-AB62-04D48E1E0313}" name="FLT ST" totalsRowDxfId="26"/>
    <tableColumn id="12" xr3:uid="{B3CA8838-6944-404B-B84F-4D0147A07BF4}" name="LST-SOLD" dataDxfId="38" totalsRowDxfId="25"/>
    <tableColumn id="13" xr3:uid="{025E3AFC-107D-411C-9D38-911C9D3304E4}" name="TO-DAY" totalsRowDxfId="24"/>
    <tableColumn id="14" xr3:uid="{D680A1C7-1289-4B1D-B14B-D75C4777887B}" name="Y-DAY" totalsRowDxfId="23"/>
    <tableColumn id="15" xr3:uid="{424416DC-E4AC-44B8-BA28-7210AC6D8FDA}" name="WEEKLY" totalsRowDxfId="22"/>
    <tableColumn id="16" xr3:uid="{096ED5AD-F132-44A6-8E9E-7DCF6FB121CD}" name="LOWEST AVAIL" totalsRowDxfId="21"/>
    <tableColumn id="17" xr3:uid="{C2DDDE94-A86A-40C8-91BD-B97C99B01AF5}" name="Y" totalsRowDxfId="20"/>
    <tableColumn id="18" xr3:uid="{5195F431-830E-4191-AEEB-F2EB71A852E5}" name="B" totalsRowDxfId="19"/>
    <tableColumn id="19" xr3:uid="{8A5D9565-BED2-4CB1-AC09-2416345C1548}" name="M" totalsRowDxfId="18"/>
    <tableColumn id="20" xr3:uid="{71CD2501-522C-4D79-88E2-0758FD142FCD}" name="H" totalsRowDxfId="17"/>
    <tableColumn id="21" xr3:uid="{9894280C-955A-44CF-9E89-C325255F63D9}" name="Q" totalsRowDxfId="16"/>
    <tableColumn id="22" xr3:uid="{104C4D5E-DE37-4266-A2D1-233D3749F0A7}" name="K" totalsRowDxfId="15"/>
    <tableColumn id="23" xr3:uid="{4F1CC3F6-C458-4D82-BE0A-3F730FB4BA2F}" name="V" totalsRowDxfId="14"/>
    <tableColumn id="24" xr3:uid="{4F33FEC4-B9C2-48FF-A8D4-329A75DE1C5F}" name="L" totalsRowDxfId="13"/>
    <tableColumn id="25" xr3:uid="{94CFCBC7-DF7D-43A4-A720-2AAEE141D41B}" name="G" totalsRowDxfId="12"/>
    <tableColumn id="26" xr3:uid="{1FB7E6CD-1D6B-452C-B8D2-AA777F6F5EB8}" name="S" totalsRowDxfId="11"/>
    <tableColumn id="27" xr3:uid="{2B280967-96B4-4B01-B20A-78A86F569CB5}" name="W" totalsRowDxfId="10"/>
    <tableColumn id="28" xr3:uid="{50CE15D9-884A-4077-97AD-1D247DE40992}" name="T" totalsRowDxfId="9"/>
    <tableColumn id="29" xr3:uid="{F13A3F11-78E2-47CC-B245-CDB78BFDABCB}" name="X" totalsRowDxfId="8"/>
    <tableColumn id="30" xr3:uid="{DA478A27-3848-44FF-9830-5BAA04F6F85E}" name="U" totalsRowDxfId="7"/>
    <tableColumn id="31" xr3:uid="{846A79C5-9172-4B08-A663-E0F0FCFB7E50}" name="O" totalsRowDxfId="6"/>
    <tableColumn id="32" xr3:uid="{D1A0BE7A-8313-4FEE-A9CA-106AEE4165C0}" name="I" totalsRowDxfId="5"/>
    <tableColumn id="33" xr3:uid="{F1F3353B-5EA3-4E30-8D86-6737F0CA40A2}" name="E" totalsRowDxfId="4"/>
    <tableColumn id="34" xr3:uid="{F068706F-9C55-49D0-AAFB-BFCD7AF17422}" name="A" totalsRowDxfId="3"/>
    <tableColumn id="35" xr3:uid="{B09315C6-49CC-41F0-A0F2-524146FAF3AD}" name="P" totalsRowDxfId="2"/>
    <tableColumn id="36" xr3:uid="{B548AFFB-DE37-41C9-853B-2385069941E7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"/>
  <sheetViews>
    <sheetView tabSelected="1" workbookViewId="0"/>
  </sheetViews>
  <sheetFormatPr defaultRowHeight="14.4" outlineLevelCol="1" x14ac:dyDescent="0.3"/>
  <cols>
    <col min="1" max="1" width="8.664062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45982</v>
      </c>
      <c r="C2" t="s">
        <v>37</v>
      </c>
      <c r="D2" t="s">
        <v>38</v>
      </c>
      <c r="E2" t="s">
        <v>39</v>
      </c>
      <c r="F2" t="s">
        <v>40</v>
      </c>
      <c r="G2">
        <v>0.58099999999999996</v>
      </c>
      <c r="H2">
        <v>179</v>
      </c>
      <c r="I2">
        <v>104</v>
      </c>
      <c r="J2">
        <v>0</v>
      </c>
      <c r="K2" t="s">
        <v>41</v>
      </c>
      <c r="L2" s="2">
        <v>45981</v>
      </c>
      <c r="M2">
        <v>10</v>
      </c>
      <c r="N2">
        <v>4</v>
      </c>
      <c r="O2">
        <v>33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3</v>
      </c>
      <c r="W2">
        <v>30</v>
      </c>
      <c r="X2">
        <v>22</v>
      </c>
      <c r="Y2">
        <v>21</v>
      </c>
      <c r="Z2">
        <v>22</v>
      </c>
      <c r="AA2">
        <v>5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45982</v>
      </c>
      <c r="C3" t="s">
        <v>43</v>
      </c>
      <c r="D3" t="s">
        <v>44</v>
      </c>
      <c r="E3" t="s">
        <v>45</v>
      </c>
      <c r="F3" t="s">
        <v>40</v>
      </c>
      <c r="G3">
        <v>0.99439999999999995</v>
      </c>
      <c r="H3">
        <v>179</v>
      </c>
      <c r="I3">
        <v>178</v>
      </c>
      <c r="J3">
        <v>83</v>
      </c>
      <c r="K3" t="s">
        <v>41</v>
      </c>
      <c r="L3" s="2">
        <v>45980</v>
      </c>
      <c r="M3">
        <v>0</v>
      </c>
      <c r="N3">
        <v>1</v>
      </c>
      <c r="O3">
        <v>7</v>
      </c>
      <c r="P3" t="s">
        <v>46</v>
      </c>
      <c r="Q3">
        <v>0</v>
      </c>
      <c r="R3">
        <v>0</v>
      </c>
      <c r="S3">
        <v>0</v>
      </c>
      <c r="T3">
        <v>0</v>
      </c>
      <c r="U3">
        <v>5</v>
      </c>
      <c r="V3">
        <v>7</v>
      </c>
      <c r="W3">
        <v>0</v>
      </c>
      <c r="X3">
        <v>3</v>
      </c>
      <c r="Y3">
        <v>18</v>
      </c>
      <c r="Z3">
        <v>13</v>
      </c>
      <c r="AA3">
        <v>14</v>
      </c>
      <c r="AB3">
        <v>17</v>
      </c>
      <c r="AC3">
        <v>17</v>
      </c>
      <c r="AD3">
        <v>0</v>
      </c>
      <c r="AE3">
        <v>0</v>
      </c>
      <c r="AF3">
        <v>0</v>
      </c>
      <c r="AG3">
        <v>0</v>
      </c>
      <c r="AH3">
        <v>0</v>
      </c>
      <c r="AI3">
        <v>84</v>
      </c>
      <c r="AJ3">
        <v>0</v>
      </c>
    </row>
    <row r="4" spans="1:36" x14ac:dyDescent="0.3">
      <c r="A4" t="s">
        <v>36</v>
      </c>
      <c r="B4" s="2">
        <v>45982</v>
      </c>
      <c r="C4" t="s">
        <v>47</v>
      </c>
      <c r="D4" t="s">
        <v>48</v>
      </c>
      <c r="E4" t="s">
        <v>39</v>
      </c>
      <c r="F4" t="s">
        <v>40</v>
      </c>
      <c r="G4">
        <v>1.0115000000000001</v>
      </c>
      <c r="H4">
        <v>174</v>
      </c>
      <c r="I4">
        <v>176</v>
      </c>
      <c r="J4">
        <v>92</v>
      </c>
      <c r="K4" t="s">
        <v>41</v>
      </c>
      <c r="L4" s="2">
        <v>45979</v>
      </c>
      <c r="M4">
        <v>0</v>
      </c>
      <c r="N4">
        <v>0</v>
      </c>
      <c r="O4">
        <v>6</v>
      </c>
      <c r="P4" t="s">
        <v>49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7</v>
      </c>
      <c r="X4">
        <v>0</v>
      </c>
      <c r="Y4">
        <v>1</v>
      </c>
      <c r="Z4">
        <v>16</v>
      </c>
      <c r="AA4">
        <v>10</v>
      </c>
      <c r="AB4">
        <v>10</v>
      </c>
      <c r="AC4">
        <v>10</v>
      </c>
      <c r="AD4">
        <v>10</v>
      </c>
      <c r="AE4">
        <v>10</v>
      </c>
      <c r="AF4">
        <v>10</v>
      </c>
      <c r="AG4">
        <v>0</v>
      </c>
      <c r="AH4">
        <v>0</v>
      </c>
      <c r="AI4">
        <v>92</v>
      </c>
      <c r="AJ4">
        <v>0</v>
      </c>
    </row>
    <row r="5" spans="1:36" x14ac:dyDescent="0.3">
      <c r="A5" t="s">
        <v>36</v>
      </c>
      <c r="B5" s="2">
        <v>45982</v>
      </c>
      <c r="C5" t="s">
        <v>50</v>
      </c>
      <c r="D5" t="s">
        <v>51</v>
      </c>
      <c r="E5" t="s">
        <v>39</v>
      </c>
      <c r="F5" t="s">
        <v>40</v>
      </c>
      <c r="G5">
        <v>0.53510000000000002</v>
      </c>
      <c r="H5">
        <v>185</v>
      </c>
      <c r="I5">
        <v>99</v>
      </c>
      <c r="J5">
        <v>0</v>
      </c>
      <c r="K5" t="s">
        <v>41</v>
      </c>
      <c r="L5" s="2">
        <v>45981</v>
      </c>
      <c r="M5">
        <v>3</v>
      </c>
      <c r="N5">
        <v>1</v>
      </c>
      <c r="O5">
        <v>17</v>
      </c>
      <c r="P5" t="s">
        <v>42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21</v>
      </c>
      <c r="X5">
        <v>17</v>
      </c>
      <c r="Y5">
        <v>22</v>
      </c>
      <c r="Z5">
        <v>34</v>
      </c>
      <c r="AA5">
        <v>5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36</v>
      </c>
      <c r="B6" s="2">
        <v>45982</v>
      </c>
      <c r="C6" t="s">
        <v>52</v>
      </c>
      <c r="D6" t="s">
        <v>53</v>
      </c>
      <c r="E6" t="s">
        <v>39</v>
      </c>
      <c r="F6" t="s">
        <v>40</v>
      </c>
      <c r="G6">
        <v>0.5978</v>
      </c>
      <c r="H6">
        <v>179</v>
      </c>
      <c r="I6">
        <v>107</v>
      </c>
      <c r="J6">
        <v>1</v>
      </c>
      <c r="K6" t="s">
        <v>41</v>
      </c>
      <c r="L6" s="2">
        <v>45978</v>
      </c>
      <c r="M6">
        <v>0</v>
      </c>
      <c r="N6">
        <v>0</v>
      </c>
      <c r="O6">
        <v>12</v>
      </c>
      <c r="P6" t="s">
        <v>54</v>
      </c>
      <c r="Q6">
        <v>0</v>
      </c>
      <c r="R6">
        <v>0</v>
      </c>
      <c r="S6">
        <v>0</v>
      </c>
      <c r="T6">
        <v>0</v>
      </c>
      <c r="U6">
        <v>0</v>
      </c>
      <c r="V6">
        <v>6</v>
      </c>
      <c r="W6">
        <v>30</v>
      </c>
      <c r="X6">
        <v>15</v>
      </c>
      <c r="Y6">
        <v>17</v>
      </c>
      <c r="Z6">
        <v>11</v>
      </c>
      <c r="AA6">
        <v>5</v>
      </c>
      <c r="AB6">
        <v>2</v>
      </c>
      <c r="AC6">
        <v>5</v>
      </c>
      <c r="AD6">
        <v>6</v>
      </c>
      <c r="AE6">
        <v>4</v>
      </c>
      <c r="AF6">
        <v>5</v>
      </c>
      <c r="AG6">
        <v>0</v>
      </c>
      <c r="AH6">
        <v>0</v>
      </c>
      <c r="AI6">
        <v>1</v>
      </c>
      <c r="AJ6">
        <v>0</v>
      </c>
    </row>
    <row r="7" spans="1:36" x14ac:dyDescent="0.3">
      <c r="A7" t="s">
        <v>36</v>
      </c>
      <c r="B7" s="2">
        <v>45982</v>
      </c>
      <c r="C7" t="s">
        <v>55</v>
      </c>
      <c r="D7" t="s">
        <v>56</v>
      </c>
      <c r="E7" t="s">
        <v>39</v>
      </c>
      <c r="F7" t="s">
        <v>40</v>
      </c>
      <c r="G7">
        <v>0.6865</v>
      </c>
      <c r="H7">
        <v>185</v>
      </c>
      <c r="I7">
        <v>127</v>
      </c>
      <c r="J7">
        <v>0</v>
      </c>
      <c r="K7" t="s">
        <v>41</v>
      </c>
      <c r="L7" s="2">
        <v>45981</v>
      </c>
      <c r="M7">
        <v>23</v>
      </c>
      <c r="N7">
        <v>7</v>
      </c>
      <c r="O7">
        <v>35</v>
      </c>
      <c r="P7" t="s">
        <v>57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20</v>
      </c>
      <c r="X7">
        <v>23</v>
      </c>
      <c r="Y7">
        <v>24</v>
      </c>
      <c r="Z7">
        <v>45</v>
      </c>
      <c r="AA7">
        <v>15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45982</v>
      </c>
      <c r="C8" t="s">
        <v>58</v>
      </c>
      <c r="D8" t="s">
        <v>59</v>
      </c>
      <c r="E8" t="s">
        <v>39</v>
      </c>
      <c r="F8" t="s">
        <v>40</v>
      </c>
      <c r="G8">
        <v>0.55869999999999997</v>
      </c>
      <c r="H8">
        <v>179</v>
      </c>
      <c r="I8">
        <v>100</v>
      </c>
      <c r="J8">
        <v>0</v>
      </c>
      <c r="K8" t="s">
        <v>41</v>
      </c>
      <c r="L8" s="2">
        <v>45981</v>
      </c>
      <c r="M8">
        <v>4</v>
      </c>
      <c r="N8">
        <v>1</v>
      </c>
      <c r="O8">
        <v>24</v>
      </c>
      <c r="P8" t="s">
        <v>60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16</v>
      </c>
      <c r="X8">
        <v>45</v>
      </c>
      <c r="Y8">
        <v>21</v>
      </c>
      <c r="Z8">
        <v>13</v>
      </c>
      <c r="AA8">
        <v>5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ht="18" x14ac:dyDescent="0.35">
      <c r="A9" s="3" t="s">
        <v>61</v>
      </c>
      <c r="B9" s="4"/>
      <c r="C9" s="3">
        <f>SUBTOTAL(103,LF_ALL_ROUTES[Flt])</f>
        <v>7</v>
      </c>
      <c r="D9" s="3"/>
      <c r="E9" s="3">
        <f>SUBTOTAL(103,LF_ALL_ROUTES[Brd-Off])</f>
        <v>7</v>
      </c>
      <c r="F9" s="3"/>
      <c r="G9" s="5">
        <f>SUBTOTAL(101,LF_ALL_ROUTES[LF%])</f>
        <v>0.7092857142857143</v>
      </c>
      <c r="H9" s="3"/>
      <c r="I9" s="3"/>
      <c r="J9" s="3"/>
      <c r="K9" s="3"/>
      <c r="L9" s="4"/>
      <c r="M9" s="3"/>
      <c r="N9" s="3"/>
      <c r="O9" s="3"/>
      <c r="P9" s="3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>
        <f>SUBTOTAL(109,LF_ALL_ROUTES[N])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2025-11-20T10:31:41Z</dcterms:created>
  <dcterms:modified xsi:type="dcterms:W3CDTF">2025-11-20T10:31:41Z</dcterms:modified>
</cp:coreProperties>
</file>