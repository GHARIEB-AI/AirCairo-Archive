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389DEAC0-A0B2-4952-B6C1-01DA771730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  <sheet name="LF_ALL_ROU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5" l="1"/>
  <c r="E8" i="5"/>
  <c r="G8" i="5"/>
  <c r="H8" i="5"/>
  <c r="I8" i="5"/>
  <c r="J8" i="5"/>
  <c r="M8" i="5"/>
  <c r="N8" i="5"/>
  <c r="O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C8" i="2"/>
  <c r="E8" i="2"/>
  <c r="G8" i="2"/>
  <c r="H8" i="2"/>
  <c r="I8" i="2"/>
  <c r="J8" i="2"/>
  <c r="M8" i="2"/>
  <c r="N8" i="2"/>
  <c r="O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81A6A3FB-3359-485A-AD95-AA0FE836754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66.5%]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K6 &amp; V30 &amp; L15 &amp; G17 &amp; S11 &amp; W17 &amp; T2 &amp; X5 &amp; U6 &amp; O4 &amp; I5 &amp; P1</t>
        </r>
      </text>
    </comment>
    <comment ref="F3" authorId="0" shapeId="0" xr:uid="{4F33E867-BC41-42B3-8B18-E31314FABA64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V16 &amp; L45 &amp; G21 &amp; S13 &amp; W13</t>
        </r>
      </text>
    </comment>
    <comment ref="F7" authorId="0" shapeId="0" xr:uid="{FB50D5D1-1DC6-47D7-9440-776DA2A097E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65.4%]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25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K3 &amp; V30 &amp; L22 &amp; G22 &amp; S34 &amp; W5 &amp; X1</t>
        </r>
      </text>
    </comment>
    <comment ref="F8" authorId="0" shapeId="0" xr:uid="{E1777473-1657-4B32-8862-EA4C3E8BECD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185]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V21 &amp; L17 &amp; G22 &amp; S39 &amp; W5</t>
        </r>
      </text>
    </comment>
    <comment ref="F9" authorId="0" shapeId="0" xr:uid="{403D941C-54E6-4367-BE16-3B16D391B2C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7]_x000D_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185]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V20 &amp; L23 &amp; G24 &amp; S49 &amp; W12</t>
        </r>
      </text>
    </comment>
    <comment ref="F73" authorId="0" shapeId="0" xr:uid="{85022F5A-AC1D-46E4-8B66-4D918C24821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174]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V7 &amp; G1 &amp; S16 &amp; W10 &amp; T10 &amp; X10 &amp; U10 &amp; O10 &amp; I10 &amp; P92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A84CFA10-7A27-4EC9-9C07-16584855B132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66.5%]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119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K6 &amp; V30 &amp; L15 &amp; G17 &amp; S11 &amp; W17 &amp; T2 &amp; X5 &amp; U6 &amp; O4 &amp; I5 &amp; P1</t>
        </r>
      </text>
    </comment>
    <comment ref="F3" authorId="0" shapeId="0" xr:uid="{CB9619DC-93FD-4720-AA66-207F2126E53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SM480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W7]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V16 &amp; L45 &amp; G21 &amp; S13 &amp; W13</t>
        </r>
      </text>
    </comment>
    <comment ref="F5" authorId="0" shapeId="0" xr:uid="{7888443B-F331-4DB7-899F-1E684CB5B57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65.4%]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25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179]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K3 &amp; V30 &amp; L22 &amp; G22 &amp; S34 &amp; W5 &amp; X1</t>
        </r>
      </text>
    </comment>
    <comment ref="F6" authorId="0" shapeId="0" xr:uid="{F2F6D40C-6C3F-4FAB-9C21-6C3065B3D0D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185]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V21 &amp; L17 &amp; G22 &amp; S39 &amp; W5</t>
        </r>
      </text>
    </comment>
    <comment ref="F7" authorId="0" shapeId="0" xr:uid="{FAD5FABB-5B66-4444-BF99-830B0A4EB868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SM478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128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36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7]_x000D_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S9]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185]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V20 &amp; L23 &amp; G24 &amp; S49 &amp; W12</t>
        </r>
      </text>
    </comment>
    <comment ref="F8" authorId="0" shapeId="0" xr:uid="{C9751629-30E1-42FD-A593-A28DD913D71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SM460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CLOSED]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174]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V7 &amp; G1 &amp; S16 &amp; W10 &amp; T10 &amp; X10 &amp; U10 &amp; O10 &amp; I10 &amp; P92</t>
        </r>
      </text>
    </comment>
  </commentList>
</comments>
</file>

<file path=xl/sharedStrings.xml><?xml version="1.0" encoding="utf-8"?>
<sst xmlns="http://schemas.openxmlformats.org/spreadsheetml/2006/main" count="972" uniqueCount="226">
  <si>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</si>
  <si>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</si>
  <si>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</si>
  <si>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</si>
  <si>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</si>
  <si>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</si>
  <si>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</si>
  <si>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</si>
  <si>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</si>
  <si>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</si>
  <si>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</si>
  <si>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</si>
  <si>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</si>
  <si>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</si>
  <si>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</si>
  <si>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</si>
  <si>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</si>
  <si>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</si>
  <si>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</si>
  <si>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</si>
  <si>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</si>
  <si>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</si>
  <si>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</si>
  <si>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</si>
  <si>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</si>
  <si>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</si>
  <si>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</si>
  <si>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SM-476</t>
  </si>
  <si>
    <t>Cabin: 7 KG | Check-in: 40 KG</t>
  </si>
  <si>
    <r>
      <rPr>
        <b/>
        <i/>
        <sz val="13"/>
        <color rgb="FFBC0000"/>
        <rFont val="Calibri"/>
        <family val="2"/>
      </rPr>
      <t>+9</t>
    </r>
    <r>
      <rPr>
        <b/>
        <i/>
        <sz val="10"/>
        <color rgb="FFBC0000"/>
        <rFont val="Calibri"/>
        <family val="2"/>
      </rPr>
      <t xml:space="preserve"> FOR SAME CLASS</t>
    </r>
  </si>
  <si>
    <t>646 SAR</t>
  </si>
  <si>
    <t>SM476</t>
  </si>
  <si>
    <t>W9</t>
  </si>
  <si>
    <t>K6 &amp; V30 &amp; L15 &amp; G17 &amp; S11 &amp; W17 &amp; T2 &amp; X5 &amp; U6 &amp; O4 &amp; I5 &amp; P1</t>
  </si>
  <si>
    <t>SM-480</t>
  </si>
  <si>
    <r>
      <rPr>
        <b/>
        <i/>
        <sz val="13"/>
        <rFont val="Calibri"/>
        <family val="2"/>
      </rPr>
      <t>8</t>
    </r>
    <r>
      <rPr>
        <b/>
        <i/>
        <sz val="10"/>
        <rFont val="Calibri"/>
        <family val="2"/>
      </rPr>
      <t xml:space="preserve"> FOR SAME CLASS</t>
    </r>
  </si>
  <si>
    <t>SM480</t>
  </si>
  <si>
    <t>W7</t>
  </si>
  <si>
    <t>V16 &amp; L45 &amp; G21 &amp; S13 &amp; W13</t>
  </si>
  <si>
    <t>SM-424</t>
  </si>
  <si>
    <r>
      <rPr>
        <b/>
        <i/>
        <sz val="13"/>
        <rFont val="Calibri"/>
        <family val="2"/>
      </rPr>
      <t>+9</t>
    </r>
    <r>
      <rPr>
        <b/>
        <i/>
        <sz val="10"/>
        <rFont val="Calibri"/>
        <family val="2"/>
      </rPr>
      <t xml:space="preserve"> FOR SAME CLASS</t>
    </r>
  </si>
  <si>
    <t>706 SAR</t>
  </si>
  <si>
    <t>SM424</t>
  </si>
  <si>
    <t>S9</t>
  </si>
  <si>
    <t>K3 &amp; V30 &amp; L22 &amp; G22 &amp; S34 &amp; W5 &amp; X1</t>
  </si>
  <si>
    <t>SM-472</t>
  </si>
  <si>
    <t>SM472</t>
  </si>
  <si>
    <t>V21 &amp; L17 &amp; G22 &amp; S39 &amp; W5</t>
  </si>
  <si>
    <t>SM-478</t>
  </si>
  <si>
    <t>SM478</t>
  </si>
  <si>
    <t>V20 &amp; L23 &amp; G24 &amp; S49 &amp; W12</t>
  </si>
  <si>
    <t>SM460</t>
  </si>
  <si>
    <t>30KG + 7KG CABIN</t>
  </si>
  <si>
    <t>FULLY BOOKED</t>
  </si>
  <si>
    <t>CLOSED</t>
  </si>
  <si>
    <t>V7 &amp; G1 &amp; S16 &amp; W10 &amp; T10 &amp; X10 &amp; U10 &amp; O10 &amp; I10 &amp; P92</t>
  </si>
  <si>
    <t>EgyptAir</t>
  </si>
  <si>
    <t>MS-664</t>
  </si>
  <si>
    <t>Cabin: 7 KG | Check-in: 2 PIECE</t>
  </si>
  <si>
    <t>673 SAR</t>
  </si>
  <si>
    <t>MS-644</t>
  </si>
  <si>
    <t>974 SAR</t>
  </si>
  <si>
    <t>MS-662</t>
  </si>
  <si>
    <t>1,260 SAR</t>
  </si>
  <si>
    <t>MS-670</t>
  </si>
  <si>
    <t>MS-672</t>
  </si>
  <si>
    <t>MS-674</t>
  </si>
  <si>
    <t>1,264 SAR</t>
  </si>
  <si>
    <t>MS-666</t>
  </si>
  <si>
    <t>1,407 SAR</t>
  </si>
  <si>
    <t>flyadeal</t>
  </si>
  <si>
    <t>F3-761</t>
  </si>
  <si>
    <t>Check-in: 15 KG</t>
  </si>
  <si>
    <r>
      <rPr>
        <b/>
        <i/>
        <sz val="13"/>
        <color rgb="FFBC0000"/>
        <rFont val="Calibri"/>
        <family val="2"/>
      </rPr>
      <t>11</t>
    </r>
    <r>
      <rPr>
        <b/>
        <i/>
        <sz val="10"/>
        <color rgb="FFBC0000"/>
        <rFont val="Calibri"/>
        <family val="2"/>
      </rPr>
      <t xml:space="preserve"> FOR SAME CLASS</t>
    </r>
  </si>
  <si>
    <t>689 SAR</t>
  </si>
  <si>
    <t>Cabin: 10 KG / Check-in: 25 KG</t>
  </si>
  <si>
    <r>
      <rPr>
        <i/>
        <sz val="13"/>
        <rFont val="Calibri"/>
        <family val="2"/>
      </rPr>
      <t>11</t>
    </r>
    <r>
      <rPr>
        <i/>
        <sz val="10"/>
        <rFont val="Calibri"/>
        <family val="2"/>
      </rPr>
      <t xml:space="preserve"> FOR SAME CLASS</t>
    </r>
  </si>
  <si>
    <t>839 SAR</t>
  </si>
  <si>
    <t>Cabin: 10 KG / Check-in: 2 x 40 KG</t>
  </si>
  <si>
    <t>1,499 SAR</t>
  </si>
  <si>
    <t>F3-763</t>
  </si>
  <si>
    <r>
      <rPr>
        <b/>
        <i/>
        <sz val="13"/>
        <rFont val="Calibri"/>
        <family val="2"/>
      </rPr>
      <t>12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</si>
  <si>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12</t>
    </r>
    <r>
      <rPr>
        <i/>
        <sz val="10"/>
        <rFont val="Calibri"/>
        <family val="2"/>
      </rPr>
      <t xml:space="preserve"> FOR SAME CLASS</t>
    </r>
  </si>
  <si>
    <t>1,099 SAR</t>
  </si>
  <si>
    <t>F3-753</t>
  </si>
  <si>
    <r>
      <rPr>
        <b/>
        <i/>
        <sz val="13"/>
        <rFont val="Calibri"/>
        <family val="2"/>
      </rPr>
      <t>9</t>
    </r>
    <r>
      <rPr>
        <b/>
        <i/>
        <sz val="10"/>
        <rFont val="Calibri"/>
        <family val="2"/>
      </rPr>
      <t xml:space="preserve"> FOR SAME CLASS</t>
    </r>
  </si>
  <si>
    <t>749 SAR</t>
  </si>
  <si>
    <r>
      <rPr>
        <i/>
        <sz val="13"/>
        <rFont val="Calibri"/>
        <family val="2"/>
      </rPr>
      <t>9</t>
    </r>
    <r>
      <rPr>
        <i/>
        <sz val="10"/>
        <rFont val="Calibri"/>
        <family val="2"/>
      </rPr>
      <t xml:space="preserve"> FOR SAME CLASS</t>
    </r>
  </si>
  <si>
    <t>899 SAR</t>
  </si>
  <si>
    <t>F3-755</t>
  </si>
  <si>
    <t>Air Arabia Egypt</t>
  </si>
  <si>
    <t>E5-322</t>
  </si>
  <si>
    <t>Cabin: 10 KG / Check-in: 30 KG</t>
  </si>
  <si>
    <r>
      <rPr>
        <b/>
        <i/>
        <sz val="13"/>
        <color rgb="FFBC0000"/>
        <rFont val="Calibri"/>
        <family val="2"/>
      </rPr>
      <t>9</t>
    </r>
    <r>
      <rPr>
        <b/>
        <i/>
        <sz val="10"/>
        <color rgb="FFBC0000"/>
        <rFont val="Calibri"/>
        <family val="2"/>
      </rPr>
      <t xml:space="preserve"> FOR SAME CLASS</t>
    </r>
  </si>
  <si>
    <t>714 SAR</t>
  </si>
  <si>
    <t>837 SAR</t>
  </si>
  <si>
    <t>E5-328</t>
  </si>
  <si>
    <t>725 SAR</t>
  </si>
  <si>
    <t>849 SAR</t>
  </si>
  <si>
    <t>flynas</t>
  </si>
  <si>
    <t>XY-565</t>
  </si>
  <si>
    <t>Cabin: 7 KG / Check-in: 20 KG</t>
  </si>
  <si>
    <r>
      <rPr>
        <b/>
        <i/>
        <sz val="13"/>
        <color rgb="FFBC0000"/>
        <rFont val="Calibri"/>
        <family val="2"/>
      </rPr>
      <t>7</t>
    </r>
    <r>
      <rPr>
        <b/>
        <i/>
        <sz val="10"/>
        <color rgb="FFBC0000"/>
        <rFont val="Calibri"/>
        <family val="2"/>
      </rPr>
      <t xml:space="preserve"> FOR SAME CLASS</t>
    </r>
  </si>
  <si>
    <t>719 SAR</t>
  </si>
  <si>
    <t>Cabin: 7 KG / Check-in: 30 KG</t>
  </si>
  <si>
    <r>
      <rPr>
        <i/>
        <sz val="13"/>
        <rFont val="Calibri"/>
        <family val="2"/>
      </rPr>
      <t>7</t>
    </r>
    <r>
      <rPr>
        <i/>
        <sz val="10"/>
        <rFont val="Calibri"/>
        <family val="2"/>
      </rPr>
      <t xml:space="preserve"> FOR SAME CLASS</t>
    </r>
  </si>
  <si>
    <t>819 SAR</t>
  </si>
  <si>
    <t>Cabin: 7 KG / Check-in: 2 x 40 KG</t>
  </si>
  <si>
    <t>909 SAR</t>
  </si>
  <si>
    <t>XY-567</t>
  </si>
  <si>
    <t>XY-569</t>
  </si>
  <si>
    <t>XY-571</t>
  </si>
  <si>
    <r>
      <rPr>
        <i/>
        <sz val="13"/>
        <rFont val="Calibri"/>
        <family val="2"/>
      </rPr>
      <t>8</t>
    </r>
    <r>
      <rPr>
        <i/>
        <sz val="10"/>
        <rFont val="Calibri"/>
        <family val="2"/>
      </rPr>
      <t xml:space="preserve"> FOR SAME CLASS</t>
    </r>
  </si>
  <si>
    <t>XY-573</t>
  </si>
  <si>
    <t>XY-577</t>
  </si>
  <si>
    <t>XY-589</t>
  </si>
  <si>
    <t>Nile Air</t>
  </si>
  <si>
    <t>NP-128</t>
  </si>
  <si>
    <t>Cabin: 7 KG | Check-in: 30 KG</t>
  </si>
  <si>
    <t>NP-228</t>
  </si>
  <si>
    <r>
      <rPr>
        <b/>
        <i/>
        <sz val="13"/>
        <rFont val="Calibri"/>
        <family val="2"/>
      </rPr>
      <t>1</t>
    </r>
    <r>
      <rPr>
        <b/>
        <i/>
        <sz val="10"/>
        <rFont val="Calibri"/>
        <family val="2"/>
      </rPr>
      <t xml:space="preserve"> FOR SAME CLASS</t>
    </r>
  </si>
  <si>
    <t>Saudia</t>
  </si>
  <si>
    <t>SV-335</t>
  </si>
  <si>
    <t>Cabin: 7 KG / Check-in: 23 KG</t>
  </si>
  <si>
    <t>1,586 SAR</t>
  </si>
  <si>
    <t>Cabin: 7 KG / Check-in: 2 x 46 KG</t>
  </si>
  <si>
    <r>
      <rPr>
        <i/>
        <sz val="13"/>
        <rFont val="Calibri"/>
        <family val="2"/>
      </rPr>
      <t>+9</t>
    </r>
    <r>
      <rPr>
        <i/>
        <sz val="10"/>
        <rFont val="Calibri"/>
        <family val="2"/>
      </rPr>
      <t xml:space="preserve"> FOR SAME CLASS</t>
    </r>
  </si>
  <si>
    <t>1,719 SAR</t>
  </si>
  <si>
    <t>SV-383</t>
  </si>
  <si>
    <t>SV-387</t>
  </si>
  <si>
    <t>SV-301</t>
  </si>
  <si>
    <t>1,828 SAR</t>
  </si>
  <si>
    <t>1,961 SAR</t>
  </si>
  <si>
    <t>SV-303</t>
  </si>
  <si>
    <t>SV-305</t>
  </si>
  <si>
    <t>SV-309</t>
  </si>
  <si>
    <t>SV-389</t>
  </si>
  <si>
    <t>SV-6664</t>
  </si>
  <si>
    <r>
      <rPr>
        <b/>
        <i/>
        <sz val="13"/>
        <rFont val="Calibri"/>
        <family val="2"/>
      </rPr>
      <t>4</t>
    </r>
    <r>
      <rPr>
        <b/>
        <i/>
        <sz val="10"/>
        <rFont val="Calibri"/>
        <family val="2"/>
      </rPr>
      <t xml:space="preserve"> FOR SAME CLASS</t>
    </r>
  </si>
  <si>
    <t>1,944 SAR</t>
  </si>
  <si>
    <t>SV-6891</t>
  </si>
  <si>
    <t>SV-6893</t>
  </si>
  <si>
    <t>SV-6895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</si>
  <si>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</si>
  <si>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</si>
  <si>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</si>
  <si>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</si>
  <si>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</si>
  <si>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</si>
  <si>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</si>
  <si>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</si>
  <si>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</si>
  <si>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</si>
  <si>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</si>
  <si>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</si>
  <si>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</si>
  <si>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</si>
  <si>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</si>
  <si>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</si>
  <si>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</si>
  <si>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</si>
  <si>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</si>
  <si>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</si>
  <si>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</si>
  <si>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</si>
  <si>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</si>
  <si>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</si>
  <si>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</si>
  <si>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</si>
  <si>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</si>
  <si>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</si>
  <si>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</si>
  <si>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</si>
  <si>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02:45</t>
  </si>
  <si>
    <t>320</t>
  </si>
  <si>
    <t>UPCOMING</t>
  </si>
  <si>
    <t>K3</t>
  </si>
  <si>
    <t>V30</t>
  </si>
  <si>
    <t>L22</t>
  </si>
  <si>
    <t>G22</t>
  </si>
  <si>
    <t>S34</t>
  </si>
  <si>
    <t>W5</t>
  </si>
  <si>
    <t>X1</t>
  </si>
  <si>
    <t>07:40</t>
  </si>
  <si>
    <t>K6</t>
  </si>
  <si>
    <t>L15</t>
  </si>
  <si>
    <t>G17</t>
  </si>
  <si>
    <t>S11</t>
  </si>
  <si>
    <t>W17</t>
  </si>
  <si>
    <t>T2</t>
  </si>
  <si>
    <t>X5</t>
  </si>
  <si>
    <t>U6</t>
  </si>
  <si>
    <t>O4</t>
  </si>
  <si>
    <t>I5</t>
  </si>
  <si>
    <t>P1</t>
  </si>
  <si>
    <t>11:00</t>
  </si>
  <si>
    <t>V20</t>
  </si>
  <si>
    <t>L23</t>
  </si>
  <si>
    <t>G24</t>
  </si>
  <si>
    <t>S49</t>
  </si>
  <si>
    <t>W12</t>
  </si>
  <si>
    <t>14:45</t>
  </si>
  <si>
    <t>V16</t>
  </si>
  <si>
    <t>L45</t>
  </si>
  <si>
    <t>G21</t>
  </si>
  <si>
    <t>S13</t>
  </si>
  <si>
    <t>W13</t>
  </si>
  <si>
    <t>17:40</t>
  </si>
  <si>
    <t>V21</t>
  </si>
  <si>
    <t>L17</t>
  </si>
  <si>
    <t>S39</t>
  </si>
  <si>
    <t>22:30</t>
  </si>
  <si>
    <t>V7</t>
  </si>
  <si>
    <t>G1</t>
  </si>
  <si>
    <t>S16</t>
  </si>
  <si>
    <t>W10</t>
  </si>
  <si>
    <t>T10</t>
  </si>
  <si>
    <t>X10</t>
  </si>
  <si>
    <t>U10</t>
  </si>
  <si>
    <t>O10</t>
  </si>
  <si>
    <t>I10</t>
  </si>
  <si>
    <t>P92</t>
  </si>
  <si>
    <t>DATE</t>
  </si>
  <si>
    <t>ROUTE</t>
  </si>
  <si>
    <t>2025-11-21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</si>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</sst>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ddd"/>
    <numFmt numFmtId="172" formatCode="#,##0\ &quot;SAR&quot;"/>
    <numFmt numFmtId="173" formatCode="dd\-mmm\-yy"/>
    <numFmt numFmtId="174" formatCode="hh:mm"/>
  </numFmts>
  <fonts count="34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  <family val="2"/>
    </font>
    <font>
      <b/>
      <i/>
      <sz val="16"/>
      <color rgb="FFED7D31"/>
      <name val="Calibri"/>
      <family val="2"/>
    </font>
    <font>
      <b/>
      <i/>
      <sz val="18"/>
      <name val="Calibri"/>
      <family val="2"/>
    </font>
    <font>
      <i/>
      <sz val="13"/>
      <name val="Calibri"/>
      <family val="2"/>
    </font>
    <font>
      <b/>
      <i/>
      <sz val="18"/>
      <color rgb="FFFFFFFF"/>
      <name val="Calibri"/>
      <family val="2"/>
    </font>
    <font>
      <b/>
      <i/>
      <sz val="14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sz val="13"/>
      <name val="Calibri"/>
      <family val="2"/>
    </font>
    <font>
      <b/>
      <i/>
      <sz val="14"/>
      <name val="Calibri"/>
      <family val="2"/>
    </font>
    <font>
      <b/>
      <i/>
      <u/>
      <sz val="18"/>
      <name val="Calibri"/>
      <family val="2"/>
    </font>
    <font>
      <b/>
      <i/>
      <sz val="20"/>
      <color rgb="FFFFFFFF"/>
      <name val="Calibri"/>
      <family val="2"/>
    </font>
    <font>
      <b/>
      <i/>
      <sz val="12"/>
      <color rgb="FFBC0000"/>
      <name val="Calibri"/>
      <family val="2"/>
    </font>
    <font>
      <b/>
      <i/>
      <sz val="12"/>
      <name val="Calibri"/>
      <family val="2"/>
    </font>
    <font>
      <b/>
      <i/>
      <sz val="13"/>
      <color rgb="FF006100"/>
      <name val="Calibri"/>
      <family val="2"/>
    </font>
    <font>
      <b/>
      <sz val="13"/>
      <color theme="1"/>
      <name val="Calibri"/>
      <family val="2"/>
    </font>
    <font>
      <b/>
      <sz val="14"/>
      <color theme="1"/>
      <name val="Calibri"/>
      <family val="2"/>
    </font>
    <font>
      <i/>
      <sz val="12"/>
      <name val="Calibri"/>
      <family val="2"/>
    </font>
    <font>
      <i/>
      <sz val="18"/>
      <color rgb="FFFF0000"/>
      <name val="Calibri"/>
      <family val="2"/>
    </font>
    <font>
      <b/>
      <i/>
      <sz val="20"/>
      <color theme="1"/>
      <name val="Calibri"/>
      <family val="2"/>
    </font>
    <font>
      <b/>
      <i/>
      <sz val="20"/>
      <name val="Calibri"/>
      <family val="2"/>
    </font>
    <font>
      <b/>
      <sz val="14"/>
      <color rgb="FFFFFFFF"/>
      <name val="Calibri"/>
      <family val="2"/>
    </font>
    <font>
      <b/>
      <sz val="12"/>
      <color rgb="FF000000"/>
      <name val="Calibri"/>
      <family val="2"/>
    </font>
    <font>
      <i/>
      <sz val="12"/>
      <color rgb="FF494529"/>
      <name val="Calibri"/>
      <family val="2"/>
    </font>
    <font>
      <b/>
      <i/>
      <sz val="13"/>
      <color rgb="FFBC0000"/>
      <name val="Calibri"/>
      <family val="2"/>
    </font>
    <font>
      <b/>
      <i/>
      <sz val="10"/>
      <color rgb="FFBC0000"/>
      <name val="Calibri"/>
      <family val="2"/>
    </font>
    <font>
      <b/>
      <i/>
      <sz val="10"/>
      <name val="Calibri"/>
      <family val="2"/>
    </font>
    <font>
      <i/>
      <sz val="1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FFE4B5"/>
      </patternFill>
    </fill>
    <fill>
      <patternFill patternType="solid">
        <fgColor rgb="FFF2CA93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7" fontId="20" fillId="5" borderId="3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49" fontId="12" fillId="8" borderId="3" xfId="0" applyNumberFormat="1" applyFont="1" applyFill="1" applyBorder="1" applyAlignment="1">
      <alignment horizontal="center" vertical="center"/>
    </xf>
    <xf numFmtId="170" fontId="12" fillId="8" borderId="3" xfId="0" applyNumberFormat="1" applyFont="1" applyFill="1" applyBorder="1" applyAlignment="1">
      <alignment horizontal="center" vertical="center"/>
    </xf>
    <xf numFmtId="49" fontId="8" fillId="8" borderId="7" xfId="0" applyNumberFormat="1" applyFont="1" applyFill="1" applyBorder="1" applyAlignment="1">
      <alignment horizontal="center" vertical="center"/>
    </xf>
    <xf numFmtId="168" fontId="8" fillId="8" borderId="8" xfId="0" applyNumberFormat="1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6" fontId="8" fillId="8" borderId="8" xfId="0" applyNumberFormat="1" applyFont="1" applyFill="1" applyBorder="1" applyAlignment="1">
      <alignment horizontal="center" vertical="center"/>
    </xf>
    <xf numFmtId="49" fontId="9" fillId="8" borderId="8" xfId="0" applyNumberFormat="1" applyFont="1" applyFill="1" applyBorder="1" applyAlignment="1">
      <alignment horizontal="center" vertical="center"/>
    </xf>
    <xf numFmtId="170" fontId="8" fillId="8" borderId="8" xfId="0" applyNumberFormat="1" applyFont="1" applyFill="1" applyBorder="1" applyAlignment="1">
      <alignment horizontal="center" vertical="center"/>
    </xf>
    <xf numFmtId="49" fontId="8" fillId="8" borderId="9" xfId="0" applyNumberFormat="1" applyFont="1" applyFill="1" applyBorder="1" applyAlignment="1">
      <alignment horizontal="center" vertical="center"/>
    </xf>
    <xf numFmtId="49" fontId="13" fillId="9" borderId="3" xfId="0" applyNumberFormat="1" applyFont="1" applyFill="1" applyBorder="1" applyAlignment="1">
      <alignment horizontal="center" vertical="center"/>
    </xf>
    <xf numFmtId="170" fontId="13" fillId="9" borderId="3" xfId="0" applyNumberFormat="1" applyFont="1" applyFill="1" applyBorder="1" applyAlignment="1">
      <alignment horizontal="center" vertical="center"/>
    </xf>
    <xf numFmtId="49" fontId="8" fillId="9" borderId="7" xfId="0" applyNumberFormat="1" applyFont="1" applyFill="1" applyBorder="1" applyAlignment="1">
      <alignment horizontal="center" vertical="center"/>
    </xf>
    <xf numFmtId="168" fontId="8" fillId="9" borderId="8" xfId="0" applyNumberFormat="1" applyFont="1" applyFill="1" applyBorder="1" applyAlignment="1">
      <alignment horizontal="center" vertical="center"/>
    </xf>
    <xf numFmtId="1" fontId="8" fillId="9" borderId="8" xfId="0" applyNumberFormat="1" applyFont="1" applyFill="1" applyBorder="1" applyAlignment="1">
      <alignment horizontal="center" vertical="center"/>
    </xf>
    <xf numFmtId="16" fontId="8" fillId="9" borderId="8" xfId="0" applyNumberFormat="1" applyFont="1" applyFill="1" applyBorder="1" applyAlignment="1">
      <alignment horizontal="center" vertical="center"/>
    </xf>
    <xf numFmtId="49" fontId="9" fillId="9" borderId="8" xfId="0" applyNumberFormat="1" applyFont="1" applyFill="1" applyBorder="1" applyAlignment="1">
      <alignment horizontal="center" vertical="center"/>
    </xf>
    <xf numFmtId="170" fontId="8" fillId="9" borderId="8" xfId="0" applyNumberFormat="1" applyFont="1" applyFill="1" applyBorder="1" applyAlignment="1">
      <alignment horizontal="center" vertical="center"/>
    </xf>
    <xf numFmtId="49" fontId="8" fillId="9" borderId="9" xfId="0" applyNumberFormat="1" applyFont="1" applyFill="1" applyBorder="1" applyAlignment="1">
      <alignment horizontal="center" vertical="center"/>
    </xf>
    <xf numFmtId="49" fontId="13" fillId="8" borderId="3" xfId="0" applyNumberFormat="1" applyFont="1" applyFill="1" applyBorder="1" applyAlignment="1">
      <alignment horizontal="center" vertical="center"/>
    </xf>
    <xf numFmtId="170" fontId="13" fillId="8" borderId="3" xfId="0" applyNumberFormat="1" applyFont="1" applyFill="1" applyBorder="1" applyAlignment="1">
      <alignment horizontal="center" vertical="center"/>
    </xf>
    <xf numFmtId="49" fontId="13" fillId="10" borderId="3" xfId="0" applyNumberFormat="1" applyFont="1" applyFill="1" applyBorder="1" applyAlignment="1">
      <alignment horizontal="center" vertical="center"/>
    </xf>
    <xf numFmtId="170" fontId="13" fillId="10" borderId="3" xfId="0" applyNumberFormat="1" applyFont="1" applyFill="1" applyBorder="1" applyAlignment="1">
      <alignment horizontal="center" vertical="center"/>
    </xf>
    <xf numFmtId="49" fontId="8" fillId="10" borderId="7" xfId="0" applyNumberFormat="1" applyFont="1" applyFill="1" applyBorder="1" applyAlignment="1">
      <alignment horizontal="center" vertical="center"/>
    </xf>
    <xf numFmtId="168" fontId="8" fillId="10" borderId="8" xfId="0" applyNumberFormat="1" applyFont="1" applyFill="1" applyBorder="1" applyAlignment="1">
      <alignment horizontal="center" vertical="center"/>
    </xf>
    <xf numFmtId="1" fontId="8" fillId="10" borderId="8" xfId="0" applyNumberFormat="1" applyFont="1" applyFill="1" applyBorder="1" applyAlignment="1">
      <alignment horizontal="center" vertical="center"/>
    </xf>
    <xf numFmtId="16" fontId="8" fillId="10" borderId="8" xfId="0" applyNumberFormat="1" applyFont="1" applyFill="1" applyBorder="1" applyAlignment="1">
      <alignment horizontal="center" vertical="center"/>
    </xf>
    <xf numFmtId="49" fontId="9" fillId="10" borderId="8" xfId="0" applyNumberFormat="1" applyFont="1" applyFill="1" applyBorder="1" applyAlignment="1">
      <alignment horizontal="center" vertical="center"/>
    </xf>
    <xf numFmtId="170" fontId="8" fillId="10" borderId="8" xfId="0" applyNumberFormat="1" applyFont="1" applyFill="1" applyBorder="1" applyAlignment="1">
      <alignment horizontal="center" vertical="center"/>
    </xf>
    <xf numFmtId="49" fontId="8" fillId="10" borderId="9" xfId="0" applyNumberFormat="1" applyFont="1" applyFill="1" applyBorder="1" applyAlignment="1">
      <alignment horizontal="center" vertical="center"/>
    </xf>
    <xf numFmtId="49" fontId="13" fillId="11" borderId="3" xfId="0" applyNumberFormat="1" applyFont="1" applyFill="1" applyBorder="1" applyAlignment="1">
      <alignment horizontal="center" vertical="center"/>
    </xf>
    <xf numFmtId="170" fontId="13" fillId="11" borderId="3" xfId="0" applyNumberFormat="1" applyFont="1" applyFill="1" applyBorder="1" applyAlignment="1">
      <alignment horizontal="center" vertical="center"/>
    </xf>
    <xf numFmtId="0" fontId="13" fillId="11" borderId="3" xfId="0" applyFont="1" applyFill="1" applyBorder="1" applyAlignment="1">
      <alignment horizontal="center" vertical="center"/>
    </xf>
    <xf numFmtId="49" fontId="8" fillId="11" borderId="7" xfId="0" applyNumberFormat="1" applyFont="1" applyFill="1" applyBorder="1" applyAlignment="1">
      <alignment horizontal="center" vertical="center"/>
    </xf>
    <xf numFmtId="168" fontId="14" fillId="11" borderId="8" xfId="0" applyNumberFormat="1" applyFont="1" applyFill="1" applyBorder="1" applyAlignment="1">
      <alignment horizontal="center" vertical="center"/>
    </xf>
    <xf numFmtId="1" fontId="8" fillId="11" borderId="8" xfId="0" applyNumberFormat="1" applyFont="1" applyFill="1" applyBorder="1" applyAlignment="1">
      <alignment horizontal="center" vertical="center"/>
    </xf>
    <xf numFmtId="16" fontId="8" fillId="11" borderId="8" xfId="0" applyNumberFormat="1" applyFont="1" applyFill="1" applyBorder="1" applyAlignment="1">
      <alignment horizontal="center" vertical="center"/>
    </xf>
    <xf numFmtId="49" fontId="9" fillId="11" borderId="8" xfId="0" applyNumberFormat="1" applyFont="1" applyFill="1" applyBorder="1" applyAlignment="1">
      <alignment horizontal="center" vertical="center"/>
    </xf>
    <xf numFmtId="170" fontId="8" fillId="11" borderId="8" xfId="0" applyNumberFormat="1" applyFont="1" applyFill="1" applyBorder="1" applyAlignment="1">
      <alignment horizontal="center" vertical="center"/>
    </xf>
    <xf numFmtId="49" fontId="8" fillId="11" borderId="9" xfId="0" applyNumberFormat="1" applyFont="1" applyFill="1" applyBorder="1" applyAlignment="1">
      <alignment horizontal="center" vertical="center"/>
    </xf>
    <xf numFmtId="49" fontId="12" fillId="0" borderId="13" xfId="0" applyNumberFormat="1" applyFont="1" applyBorder="1" applyAlignment="1">
      <alignment horizontal="center" vertical="center"/>
    </xf>
    <xf numFmtId="170" fontId="12" fillId="0" borderId="13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3" fillId="0" borderId="13" xfId="0" applyNumberFormat="1" applyFont="1" applyBorder="1" applyAlignment="1">
      <alignment horizontal="center" vertical="center"/>
    </xf>
    <xf numFmtId="170" fontId="13" fillId="0" borderId="13" xfId="0" applyNumberFormat="1" applyFont="1" applyBorder="1" applyAlignment="1">
      <alignment horizontal="center" vertical="center"/>
    </xf>
    <xf numFmtId="49" fontId="17" fillId="0" borderId="13" xfId="0" applyNumberFormat="1" applyFont="1" applyBorder="1" applyAlignment="1">
      <alignment horizontal="center" vertical="center"/>
    </xf>
    <xf numFmtId="170" fontId="17" fillId="0" borderId="13" xfId="0" applyNumberFormat="1" applyFont="1" applyBorder="1" applyAlignment="1">
      <alignment horizontal="center" vertical="center"/>
    </xf>
    <xf numFmtId="49" fontId="13" fillId="0" borderId="14" xfId="0" applyNumberFormat="1" applyFont="1" applyBorder="1" applyAlignment="1">
      <alignment horizontal="center" vertical="center"/>
    </xf>
    <xf numFmtId="170" fontId="13" fillId="0" borderId="14" xfId="0" applyNumberFormat="1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21" fillId="12" borderId="21" xfId="0" applyFont="1" applyFill="1" applyBorder="1" applyAlignment="1">
      <alignment horizontal="center" vertical="center"/>
    </xf>
    <xf numFmtId="0" fontId="21" fillId="12" borderId="20" xfId="0" applyFont="1" applyFill="1" applyBorder="1" applyAlignment="1">
      <alignment horizontal="center" vertical="center"/>
    </xf>
    <xf numFmtId="0" fontId="21" fillId="12" borderId="24" xfId="0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49" fontId="22" fillId="0" borderId="18" xfId="0" applyNumberFormat="1" applyFont="1" applyBorder="1" applyAlignment="1">
      <alignment horizontal="center" vertical="center"/>
    </xf>
    <xf numFmtId="1" fontId="22" fillId="0" borderId="18" xfId="0" applyNumberFormat="1" applyFont="1" applyBorder="1" applyAlignment="1">
      <alignment horizontal="center" vertical="center"/>
    </xf>
    <xf numFmtId="172" fontId="22" fillId="0" borderId="25" xfId="0" applyNumberFormat="1" applyFont="1" applyBorder="1" applyAlignment="1">
      <alignment horizontal="center" vertical="center"/>
    </xf>
    <xf numFmtId="173" fontId="22" fillId="0" borderId="22" xfId="0" applyNumberFormat="1" applyFont="1" applyBorder="1" applyAlignment="1">
      <alignment horizontal="center" vertical="center"/>
    </xf>
    <xf numFmtId="174" fontId="22" fillId="0" borderId="18" xfId="0" applyNumberFormat="1" applyFont="1" applyBorder="1" applyAlignment="1">
      <alignment horizontal="center" vertical="center"/>
    </xf>
    <xf numFmtId="173" fontId="23" fillId="0" borderId="22" xfId="0" applyNumberFormat="1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49" fontId="23" fillId="0" borderId="18" xfId="0" applyNumberFormat="1" applyFont="1" applyBorder="1" applyAlignment="1">
      <alignment horizontal="center" vertical="center"/>
    </xf>
    <xf numFmtId="174" fontId="23" fillId="0" borderId="18" xfId="0" applyNumberFormat="1" applyFont="1" applyBorder="1" applyAlignment="1">
      <alignment horizontal="center" vertical="center"/>
    </xf>
    <xf numFmtId="1" fontId="23" fillId="0" borderId="18" xfId="0" applyNumberFormat="1" applyFont="1" applyBorder="1" applyAlignment="1">
      <alignment horizontal="center" vertical="center"/>
    </xf>
    <xf numFmtId="172" fontId="23" fillId="0" borderId="25" xfId="0" applyNumberFormat="1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173" fontId="22" fillId="0" borderId="23" xfId="0" applyNumberFormat="1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49" fontId="22" fillId="0" borderId="19" xfId="0" applyNumberFormat="1" applyFont="1" applyBorder="1" applyAlignment="1">
      <alignment horizontal="center" vertical="center"/>
    </xf>
    <xf numFmtId="174" fontId="22" fillId="0" borderId="19" xfId="0" applyNumberFormat="1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10" fillId="3" borderId="0" xfId="0" applyFont="1" applyFill="1" applyAlignment="1">
      <alignment horizontal="right" vertical="center"/>
    </xf>
    <xf numFmtId="0" fontId="10" fillId="3" borderId="0" xfId="0" applyFont="1" applyFill="1"/>
    <xf numFmtId="0" fontId="4" fillId="0" borderId="0" xfId="0" applyFont="1" applyAlignment="1">
      <alignment horizontal="left" vertical="center"/>
    </xf>
    <xf numFmtId="0" fontId="0" fillId="0" borderId="0" xfId="0"/>
    <xf numFmtId="165" fontId="2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0" fontId="3" fillId="3" borderId="0" xfId="0" applyFont="1" applyFill="1"/>
    <xf numFmtId="0" fontId="11" fillId="4" borderId="3" xfId="0" applyFont="1" applyFill="1" applyBorder="1" applyAlignment="1">
      <alignment horizontal="center" vertical="center"/>
    </xf>
    <xf numFmtId="0" fontId="19" fillId="0" borderId="3" xfId="0" applyFont="1" applyBorder="1"/>
    <xf numFmtId="0" fontId="5" fillId="4" borderId="3" xfId="0" applyFont="1" applyFill="1" applyBorder="1" applyAlignment="1">
      <alignment horizontal="center" vertical="center"/>
    </xf>
    <xf numFmtId="0" fontId="0" fillId="0" borderId="3" xfId="0" applyBorder="1"/>
    <xf numFmtId="0" fontId="18" fillId="0" borderId="15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165" fontId="2" fillId="2" borderId="0" xfId="0" applyNumberFormat="1" applyFont="1" applyFill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0" xfId="0" applyFont="1"/>
    <xf numFmtId="171" fontId="28" fillId="0" borderId="0" xfId="0" applyNumberFormat="1" applyFont="1" applyAlignment="1">
      <alignment horizontal="center" vertical="center"/>
    </xf>
    <xf numFmtId="15" fontId="28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70" fontId="28" fillId="0" borderId="0" xfId="0" applyNumberFormat="1" applyFont="1" applyAlignment="1">
      <alignment horizontal="center" vertical="center"/>
    </xf>
    <xf numFmtId="168" fontId="28" fillId="0" borderId="0" xfId="0" applyNumberFormat="1" applyFont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15" fontId="29" fillId="13" borderId="0" xfId="0" applyNumberFormat="1" applyFont="1" applyFill="1" applyAlignment="1">
      <alignment horizontal="center" vertical="center"/>
    </xf>
    <xf numFmtId="168" fontId="29" fillId="13" borderId="0" xfId="0" applyNumberFormat="1" applyFont="1" applyFill="1" applyAlignment="1">
      <alignment horizontal="center" vertical="center"/>
    </xf>
    <xf numFmtId="1" fontId="29" fillId="13" borderId="0" xfId="0" applyNumberFormat="1" applyFont="1" applyFill="1" applyAlignment="1">
      <alignment horizontal="center" vertical="center"/>
    </xf>
    <xf numFmtId="0" fontId="29" fillId="13" borderId="0" xfId="0" applyNumberFormat="1" applyFont="1" applyFill="1" applyAlignment="1">
      <alignment horizontal="center" vertical="center"/>
    </xf>
    <xf numFmtId="0" fontId="30" fillId="13" borderId="0" xfId="0" applyFont="1" applyFill="1" applyAlignment="1">
      <alignment horizontal="center"/>
    </xf>
    <xf numFmtId="15" fontId="30" fillId="13" borderId="0" xfId="0" applyNumberFormat="1" applyFont="1" applyFill="1" applyAlignment="1">
      <alignment horizontal="center"/>
    </xf>
    <xf numFmtId="168" fontId="30" fillId="13" borderId="0" xfId="0" applyNumberFormat="1" applyFont="1" applyFill="1" applyAlignment="1">
      <alignment horizontal="center"/>
    </xf>
    <xf numFmtId="1" fontId="30" fillId="13" borderId="0" xfId="0" applyNumberFormat="1" applyFont="1" applyFill="1" applyAlignment="1">
      <alignment horizontal="center"/>
    </xf>
    <xf numFmtId="0" fontId="30" fillId="13" borderId="0" xfId="0" applyNumberFormat="1" applyFont="1" applyFill="1" applyAlignment="1">
      <alignment horizontal="center"/>
    </xf>
  </cellXfs>
  <cellStyles count="1">
    <cellStyle name="Normal" xfId="0" builtinId="0"/>
  </cellStyles>
  <dxfs count="112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8" totalsRowCount="1" headerRowDxfId="111" dataDxfId="74" totalsRowDxfId="37">
  <tableColumns count="36">
    <tableColumn id="1" xr3:uid="{00000000-0010-0000-0000-000001000000}" name="Day" totalsRowLabel="TOTAL" dataDxfId="110" totalsRowDxfId="73"/>
    <tableColumn id="2" xr3:uid="{00000000-0010-0000-0000-000002000000}" name="Flt Dt" dataDxfId="109" totalsRowDxfId="72"/>
    <tableColumn id="3" xr3:uid="{00000000-0010-0000-0000-000003000000}" name="Flt" totalsRowFunction="count" dataDxfId="108" totalsRowDxfId="71"/>
    <tableColumn id="4" xr3:uid="{00000000-0010-0000-0000-000004000000}" name="DEP" dataDxfId="107" totalsRowDxfId="70"/>
    <tableColumn id="5" xr3:uid="{00000000-0010-0000-0000-000005000000}" name="Brd-Off" totalsRowFunction="count" dataDxfId="106" totalsRowDxfId="69"/>
    <tableColumn id="6" xr3:uid="{00000000-0010-0000-0000-000006000000}" name="Eqp" dataDxfId="105" totalsRowDxfId="68"/>
    <tableColumn id="7" xr3:uid="{00000000-0010-0000-0000-000007000000}" name="LF%" totalsRowFunction="average" dataDxfId="104" totalsRowDxfId="67"/>
    <tableColumn id="8" xr3:uid="{00000000-0010-0000-0000-000008000000}" name="CAP" totalsRowFunction="sum" dataDxfId="103" totalsRowDxfId="66"/>
    <tableColumn id="9" xr3:uid="{00000000-0010-0000-0000-000009000000}" name="BKG(Y)" totalsRowFunction="sum" dataDxfId="102" totalsRowDxfId="65"/>
    <tableColumn id="10" xr3:uid="{00000000-0010-0000-0000-00000A000000}" name="GRP(Y)" totalsRowFunction="sum" dataDxfId="101" totalsRowDxfId="64"/>
    <tableColumn id="11" xr3:uid="{00000000-0010-0000-0000-00000B000000}" name="FLT ST" dataDxfId="100" totalsRowDxfId="63"/>
    <tableColumn id="12" xr3:uid="{00000000-0010-0000-0000-00000C000000}" name="LST-SOLD" dataDxfId="99" totalsRowDxfId="62"/>
    <tableColumn id="13" xr3:uid="{00000000-0010-0000-0000-00000D000000}" name="TO-DAY" totalsRowFunction="sum" dataDxfId="98" totalsRowDxfId="61"/>
    <tableColumn id="14" xr3:uid="{00000000-0010-0000-0000-00000E000000}" name="Y-DAY" totalsRowFunction="sum" dataDxfId="97" totalsRowDxfId="60"/>
    <tableColumn id="15" xr3:uid="{00000000-0010-0000-0000-00000F000000}" name="WEEKLY" totalsRowFunction="sum" dataDxfId="96" totalsRowDxfId="59"/>
    <tableColumn id="16" xr3:uid="{00000000-0010-0000-0000-000010000000}" name="LOWEST AVAIL" dataDxfId="95" totalsRowDxfId="58"/>
    <tableColumn id="17" xr3:uid="{00000000-0010-0000-0000-000011000000}" name="Y" totalsRowFunction="sum" dataDxfId="94" totalsRowDxfId="57"/>
    <tableColumn id="18" xr3:uid="{00000000-0010-0000-0000-000012000000}" name="B" totalsRowFunction="sum" dataDxfId="93" totalsRowDxfId="56"/>
    <tableColumn id="19" xr3:uid="{00000000-0010-0000-0000-000013000000}" name="M" totalsRowFunction="sum" dataDxfId="92" totalsRowDxfId="55"/>
    <tableColumn id="20" xr3:uid="{00000000-0010-0000-0000-000014000000}" name="H" totalsRowFunction="sum" dataDxfId="91" totalsRowDxfId="54"/>
    <tableColumn id="21" xr3:uid="{00000000-0010-0000-0000-000015000000}" name="Q" totalsRowFunction="sum" dataDxfId="90" totalsRowDxfId="53"/>
    <tableColumn id="22" xr3:uid="{00000000-0010-0000-0000-000016000000}" name="K" totalsRowFunction="sum" dataDxfId="89" totalsRowDxfId="52"/>
    <tableColumn id="23" xr3:uid="{00000000-0010-0000-0000-000017000000}" name="V" totalsRowFunction="sum" dataDxfId="88" totalsRowDxfId="51"/>
    <tableColumn id="24" xr3:uid="{00000000-0010-0000-0000-000018000000}" name="L" totalsRowFunction="sum" dataDxfId="87" totalsRowDxfId="50"/>
    <tableColumn id="25" xr3:uid="{00000000-0010-0000-0000-000019000000}" name="G" totalsRowFunction="sum" dataDxfId="86" totalsRowDxfId="49"/>
    <tableColumn id="26" xr3:uid="{00000000-0010-0000-0000-00001A000000}" name="S" totalsRowFunction="sum" dataDxfId="85" totalsRowDxfId="48"/>
    <tableColumn id="27" xr3:uid="{00000000-0010-0000-0000-00001B000000}" name="W" totalsRowFunction="sum" dataDxfId="84" totalsRowDxfId="47"/>
    <tableColumn id="28" xr3:uid="{00000000-0010-0000-0000-00001C000000}" name="T" totalsRowFunction="sum" dataDxfId="83" totalsRowDxfId="46"/>
    <tableColumn id="29" xr3:uid="{00000000-0010-0000-0000-00001D000000}" name="X" totalsRowFunction="sum" dataDxfId="82" totalsRowDxfId="45"/>
    <tableColumn id="30" xr3:uid="{00000000-0010-0000-0000-00001E000000}" name="U" totalsRowFunction="sum" dataDxfId="81" totalsRowDxfId="44"/>
    <tableColumn id="31" xr3:uid="{00000000-0010-0000-0000-00001F000000}" name="O" totalsRowFunction="sum" dataDxfId="80" totalsRowDxfId="43"/>
    <tableColumn id="32" xr3:uid="{00000000-0010-0000-0000-000020000000}" name="I" totalsRowFunction="sum" dataDxfId="79" totalsRowDxfId="42"/>
    <tableColumn id="33" xr3:uid="{00000000-0010-0000-0000-000021000000}" name="E" totalsRowFunction="sum" dataDxfId="78" totalsRowDxfId="41"/>
    <tableColumn id="34" xr3:uid="{00000000-0010-0000-0000-000022000000}" name="A" totalsRowFunction="sum" dataDxfId="77" totalsRowDxfId="40"/>
    <tableColumn id="35" xr3:uid="{00000000-0010-0000-0000-000023000000}" name="P" totalsRowFunction="sum" dataDxfId="76" totalsRowDxfId="39"/>
    <tableColumn id="36" xr3:uid="{00000000-0010-0000-0000-000024000000}" name="N" totalsRowFunction="count" dataDxfId="75" totalsRow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73" totalsRowShown="0">
  <autoFilter ref="A1:H7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H8" totalsRowShown="0">
  <autoFilter ref="A1:H8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F_ALL_ROUTES" displayName="LF_ALL_ROUTES" ref="A1:AJ8" totalsRowCount="1" totalsRowDxfId="0">
  <tableColumns count="36">
    <tableColumn id="1" xr3:uid="{00000000-0010-0000-0300-000001000000}" name="Day" totalsRowLabel="TOTAL" totalsRowDxfId="36"/>
    <tableColumn id="2" xr3:uid="{00000000-0010-0000-0300-000002000000}" name="Flt Dt" totalsRowDxfId="35"/>
    <tableColumn id="3" xr3:uid="{00000000-0010-0000-0300-000003000000}" name="Flt" totalsRowFunction="count" totalsRowDxfId="34"/>
    <tableColumn id="4" xr3:uid="{00000000-0010-0000-0300-000004000000}" name="DEP" totalsRowDxfId="33"/>
    <tableColumn id="5" xr3:uid="{00000000-0010-0000-0300-000005000000}" name="Brd-Off" totalsRowFunction="count" totalsRowDxfId="32"/>
    <tableColumn id="6" xr3:uid="{00000000-0010-0000-0300-000006000000}" name="Eqp" totalsRowDxfId="31"/>
    <tableColumn id="7" xr3:uid="{00000000-0010-0000-0300-000007000000}" name="LF%" totalsRowFunction="average" totalsRowDxfId="30"/>
    <tableColumn id="8" xr3:uid="{00000000-0010-0000-0300-000008000000}" name="CAP" totalsRowFunction="sum" totalsRowDxfId="29"/>
    <tableColumn id="9" xr3:uid="{00000000-0010-0000-0300-000009000000}" name="BKG(Y)" totalsRowFunction="sum" totalsRowDxfId="28"/>
    <tableColumn id="10" xr3:uid="{00000000-0010-0000-0300-00000A000000}" name="GRP(Y)" totalsRowFunction="sum" totalsRowDxfId="27"/>
    <tableColumn id="11" xr3:uid="{00000000-0010-0000-0300-00000B000000}" name="FLT ST" totalsRowDxfId="26"/>
    <tableColumn id="12" xr3:uid="{00000000-0010-0000-0300-00000C000000}" name="LST-SOLD" totalsRowDxfId="25"/>
    <tableColumn id="13" xr3:uid="{00000000-0010-0000-0300-00000D000000}" name="TO-DAY" totalsRowFunction="sum" totalsRowDxfId="24"/>
    <tableColumn id="14" xr3:uid="{00000000-0010-0000-0300-00000E000000}" name="Y-DAY" totalsRowFunction="sum" totalsRowDxfId="23"/>
    <tableColumn id="15" xr3:uid="{00000000-0010-0000-0300-00000F000000}" name="WEEKLY" totalsRowFunction="sum" totalsRowDxfId="22"/>
    <tableColumn id="16" xr3:uid="{00000000-0010-0000-0300-000010000000}" name="LOWEST AVAIL" totalsRowDxfId="21"/>
    <tableColumn id="17" xr3:uid="{00000000-0010-0000-0300-000011000000}" name="Y" totalsRowFunction="sum" totalsRowDxfId="20"/>
    <tableColumn id="18" xr3:uid="{00000000-0010-0000-0300-000012000000}" name="B" totalsRowFunction="sum" totalsRowDxfId="19"/>
    <tableColumn id="19" xr3:uid="{00000000-0010-0000-0300-000013000000}" name="M" totalsRowFunction="sum" totalsRowDxfId="18"/>
    <tableColumn id="20" xr3:uid="{00000000-0010-0000-0300-000014000000}" name="H" totalsRowFunction="sum" totalsRowDxfId="17"/>
    <tableColumn id="21" xr3:uid="{00000000-0010-0000-0300-000015000000}" name="Q" totalsRowFunction="sum" totalsRowDxfId="16"/>
    <tableColumn id="22" xr3:uid="{00000000-0010-0000-0300-000016000000}" name="K" totalsRowFunction="sum" totalsRowDxfId="15"/>
    <tableColumn id="23" xr3:uid="{00000000-0010-0000-0300-000017000000}" name="V" totalsRowFunction="sum" totalsRowDxfId="14"/>
    <tableColumn id="24" xr3:uid="{00000000-0010-0000-0300-000018000000}" name="L" totalsRowFunction="sum" totalsRowDxfId="13"/>
    <tableColumn id="25" xr3:uid="{00000000-0010-0000-0300-000019000000}" name="G" totalsRowFunction="sum" totalsRowDxfId="12"/>
    <tableColumn id="26" xr3:uid="{00000000-0010-0000-0300-00001A000000}" name="S" totalsRowFunction="sum" totalsRowDxfId="11"/>
    <tableColumn id="27" xr3:uid="{00000000-0010-0000-0300-00001B000000}" name="W" totalsRowFunction="sum" totalsRowDxfId="10"/>
    <tableColumn id="28" xr3:uid="{00000000-0010-0000-0300-00001C000000}" name="T" totalsRowFunction="sum" totalsRowDxfId="9"/>
    <tableColumn id="29" xr3:uid="{00000000-0010-0000-0300-00001D000000}" name="X" totalsRowFunction="sum" totalsRowDxfId="8"/>
    <tableColumn id="30" xr3:uid="{00000000-0010-0000-0300-00001E000000}" name="U" totalsRowFunction="sum" totalsRowDxfId="7"/>
    <tableColumn id="31" xr3:uid="{00000000-0010-0000-0300-00001F000000}" name="O" totalsRowFunction="sum" totalsRowDxfId="6"/>
    <tableColumn id="32" xr3:uid="{00000000-0010-0000-0300-000020000000}" name="I" totalsRowFunction="sum" totalsRowDxfId="5"/>
    <tableColumn id="33" xr3:uid="{00000000-0010-0000-0300-000021000000}" name="E" totalsRowFunction="sum" totalsRowDxfId="4"/>
    <tableColumn id="34" xr3:uid="{00000000-0010-0000-0300-000022000000}" name="A" totalsRowFunction="sum" totalsRowDxfId="3"/>
    <tableColumn id="35" xr3:uid="{00000000-0010-0000-0300-000023000000}" name="P" totalsRowFunction="sum" totalsRowDxfId="2"/>
    <tableColumn id="36" xr3:uid="{00000000-0010-0000-0300-000024000000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77"/>
  <sheetViews>
    <sheetView tabSelected="1" zoomScale="85" workbookViewId="0">
      <selection sqref="A1:E1"/>
    </sheetView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5546875" bestFit="1" customWidth="1"/>
    <col min="6" max="6" width="23.77734375" bestFit="1" customWidth="1"/>
    <col min="7" max="7" width="44.55468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2.5546875" bestFit="1" customWidth="1"/>
  </cols>
  <sheetData>
    <row r="1" spans="1:92" ht="28.8" customHeight="1" x14ac:dyDescent="0.3">
      <c r="A1" s="101" t="s">
        <v>0</v>
      </c>
      <c r="B1" s="100"/>
      <c r="C1" s="100"/>
      <c r="D1" s="100"/>
      <c r="E1" s="100"/>
      <c r="F1" s="1" t="s">
        <v>1</v>
      </c>
      <c r="G1" s="1" t="s">
        <v>2</v>
      </c>
      <c r="H1" s="99">
        <v>45982</v>
      </c>
      <c r="I1" s="100"/>
      <c r="J1" s="100"/>
      <c r="K1" s="100"/>
      <c r="L1" s="100"/>
      <c r="M1" s="1" t="s">
        <v>3</v>
      </c>
      <c r="N1" s="112">
        <v>45982</v>
      </c>
      <c r="O1" s="100"/>
      <c r="P1" s="100"/>
      <c r="Q1" s="100"/>
      <c r="R1" s="100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95" t="s">
        <v>4</v>
      </c>
      <c r="B2" s="96"/>
      <c r="C2" s="96"/>
      <c r="D2" s="96"/>
      <c r="E2" s="96"/>
      <c r="F2" s="96"/>
      <c r="G2" s="102">
        <v>45981.70745477132</v>
      </c>
      <c r="H2" s="96"/>
      <c r="I2" s="96"/>
      <c r="J2" s="96"/>
      <c r="K2" s="103">
        <v>45981.707454771669</v>
      </c>
      <c r="L2" s="96"/>
      <c r="M2" s="96"/>
      <c r="N2" s="96"/>
      <c r="O2" s="96"/>
      <c r="P2" s="96"/>
      <c r="Q2" s="104"/>
      <c r="R2" s="10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97" t="s">
        <v>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5">
      <c r="A4" s="105" t="s">
        <v>6</v>
      </c>
      <c r="B4" s="106"/>
      <c r="C4" s="106"/>
      <c r="D4" s="106"/>
      <c r="E4" s="106"/>
      <c r="F4" s="106"/>
      <c r="G4" s="5">
        <v>45982</v>
      </c>
      <c r="H4" s="107" t="s">
        <v>7</v>
      </c>
      <c r="I4" s="108"/>
      <c r="J4" s="108"/>
      <c r="K4" s="108"/>
      <c r="L4" s="108"/>
      <c r="M4" s="108"/>
      <c r="N4" s="108"/>
      <c r="O4" s="108"/>
      <c r="P4" s="108"/>
      <c r="Q4" s="108"/>
      <c r="R4" s="108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7" t="s">
        <v>13</v>
      </c>
      <c r="G5" s="8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6" t="s">
        <v>21</v>
      </c>
      <c r="O5" s="6" t="s">
        <v>22</v>
      </c>
      <c r="P5" s="6" t="s">
        <v>23</v>
      </c>
      <c r="Q5" s="6" t="s">
        <v>24</v>
      </c>
      <c r="R5" s="6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9" t="s">
        <v>26</v>
      </c>
      <c r="B6" s="9" t="s">
        <v>27</v>
      </c>
      <c r="C6" s="10">
        <v>0.31944444444444448</v>
      </c>
      <c r="D6" s="9" t="s">
        <v>28</v>
      </c>
      <c r="E6" s="9" t="s">
        <v>29</v>
      </c>
      <c r="F6" s="9" t="s">
        <v>30</v>
      </c>
      <c r="G6" s="109"/>
      <c r="H6" s="11" t="s">
        <v>31</v>
      </c>
      <c r="I6" s="12">
        <v>0.66479999999999995</v>
      </c>
      <c r="J6" s="13">
        <v>119</v>
      </c>
      <c r="K6" s="14">
        <v>45981</v>
      </c>
      <c r="L6" s="13">
        <v>18</v>
      </c>
      <c r="M6" s="13">
        <v>6</v>
      </c>
      <c r="N6" s="13">
        <v>0</v>
      </c>
      <c r="O6" s="15" t="s">
        <v>32</v>
      </c>
      <c r="P6" s="16">
        <v>0.31944444444444448</v>
      </c>
      <c r="Q6" s="13">
        <v>179</v>
      </c>
      <c r="R6" s="17" t="s">
        <v>33</v>
      </c>
    </row>
    <row r="7" spans="1:92" ht="15" customHeight="1" x14ac:dyDescent="0.3">
      <c r="A7" s="18" t="s">
        <v>26</v>
      </c>
      <c r="B7" s="18" t="s">
        <v>34</v>
      </c>
      <c r="C7" s="19">
        <v>0.61458333333333337</v>
      </c>
      <c r="D7" s="18" t="s">
        <v>28</v>
      </c>
      <c r="E7" s="18" t="s">
        <v>35</v>
      </c>
      <c r="F7" s="18" t="s">
        <v>30</v>
      </c>
      <c r="G7" s="110"/>
      <c r="H7" s="20" t="s">
        <v>36</v>
      </c>
      <c r="I7" s="21">
        <v>0.60340000000000005</v>
      </c>
      <c r="J7" s="22">
        <v>108</v>
      </c>
      <c r="K7" s="23">
        <v>45981</v>
      </c>
      <c r="L7" s="22">
        <v>26</v>
      </c>
      <c r="M7" s="22">
        <v>6</v>
      </c>
      <c r="N7" s="22">
        <v>1</v>
      </c>
      <c r="O7" s="24" t="s">
        <v>37</v>
      </c>
      <c r="P7" s="25">
        <v>0.61458333333333337</v>
      </c>
      <c r="Q7" s="22">
        <v>179</v>
      </c>
      <c r="R7" s="26" t="s">
        <v>38</v>
      </c>
    </row>
    <row r="8" spans="1:92" ht="15" customHeight="1" x14ac:dyDescent="0.3">
      <c r="A8" s="27" t="s">
        <v>26</v>
      </c>
      <c r="B8" s="27" t="s">
        <v>39</v>
      </c>
      <c r="C8" s="28">
        <v>0.1145833333333333</v>
      </c>
      <c r="D8" s="27" t="s">
        <v>28</v>
      </c>
      <c r="E8" s="27" t="s">
        <v>40</v>
      </c>
      <c r="F8" s="27" t="s">
        <v>41</v>
      </c>
      <c r="G8" s="110"/>
      <c r="H8" s="11" t="s">
        <v>42</v>
      </c>
      <c r="I8" s="12">
        <v>0.65359999999999996</v>
      </c>
      <c r="J8" s="13">
        <v>117</v>
      </c>
      <c r="K8" s="14">
        <v>45981</v>
      </c>
      <c r="L8" s="13">
        <v>48</v>
      </c>
      <c r="M8" s="13">
        <v>25</v>
      </c>
      <c r="N8" s="13">
        <v>4</v>
      </c>
      <c r="O8" s="15" t="s">
        <v>43</v>
      </c>
      <c r="P8" s="16">
        <v>0.1145833333333333</v>
      </c>
      <c r="Q8" s="13">
        <v>179</v>
      </c>
      <c r="R8" s="17" t="s">
        <v>44</v>
      </c>
    </row>
    <row r="9" spans="1:92" ht="15" customHeight="1" x14ac:dyDescent="0.3">
      <c r="A9" s="29" t="s">
        <v>26</v>
      </c>
      <c r="B9" s="29" t="s">
        <v>45</v>
      </c>
      <c r="C9" s="30">
        <v>0.73611111111111116</v>
      </c>
      <c r="D9" s="29" t="s">
        <v>28</v>
      </c>
      <c r="E9" s="29" t="s">
        <v>40</v>
      </c>
      <c r="F9" s="29" t="s">
        <v>41</v>
      </c>
      <c r="G9" s="110"/>
      <c r="H9" s="31" t="s">
        <v>46</v>
      </c>
      <c r="I9" s="32">
        <v>0.56220000000000003</v>
      </c>
      <c r="J9" s="33">
        <v>104</v>
      </c>
      <c r="K9" s="34">
        <v>45981</v>
      </c>
      <c r="L9" s="33">
        <v>22</v>
      </c>
      <c r="M9" s="33">
        <v>8</v>
      </c>
      <c r="N9" s="33">
        <v>1</v>
      </c>
      <c r="O9" s="35" t="s">
        <v>43</v>
      </c>
      <c r="P9" s="36">
        <v>0.73611111111111116</v>
      </c>
      <c r="Q9" s="33">
        <v>185</v>
      </c>
      <c r="R9" s="37" t="s">
        <v>47</v>
      </c>
    </row>
    <row r="10" spans="1:92" ht="15" customHeight="1" x14ac:dyDescent="0.3">
      <c r="A10" s="27" t="s">
        <v>26</v>
      </c>
      <c r="B10" s="27" t="s">
        <v>48</v>
      </c>
      <c r="C10" s="28">
        <v>0.45833333333333331</v>
      </c>
      <c r="D10" s="27" t="s">
        <v>28</v>
      </c>
      <c r="E10" s="27" t="s">
        <v>40</v>
      </c>
      <c r="F10" s="27" t="s">
        <v>41</v>
      </c>
      <c r="G10" s="110"/>
      <c r="H10" s="11" t="s">
        <v>49</v>
      </c>
      <c r="I10" s="12">
        <v>0.69189999999999996</v>
      </c>
      <c r="J10" s="13">
        <v>128</v>
      </c>
      <c r="K10" s="14">
        <v>45981</v>
      </c>
      <c r="L10" s="13">
        <v>36</v>
      </c>
      <c r="M10" s="13">
        <v>24</v>
      </c>
      <c r="N10" s="13">
        <v>7</v>
      </c>
      <c r="O10" s="15" t="s">
        <v>43</v>
      </c>
      <c r="P10" s="16">
        <v>0.45833333333333331</v>
      </c>
      <c r="Q10" s="13">
        <v>185</v>
      </c>
      <c r="R10" s="17" t="s">
        <v>50</v>
      </c>
    </row>
    <row r="11" spans="1:92" ht="15" customHeight="1" x14ac:dyDescent="0.3">
      <c r="A11" s="38" t="s">
        <v>26</v>
      </c>
      <c r="B11" s="38" t="s">
        <v>51</v>
      </c>
      <c r="C11" s="39">
        <v>0.9375</v>
      </c>
      <c r="D11" s="38" t="s">
        <v>52</v>
      </c>
      <c r="E11" s="40"/>
      <c r="F11" s="38" t="s">
        <v>53</v>
      </c>
      <c r="G11" s="110"/>
      <c r="H11" s="41" t="s">
        <v>51</v>
      </c>
      <c r="I11" s="42">
        <v>1.0115000000000001</v>
      </c>
      <c r="J11" s="43">
        <v>176</v>
      </c>
      <c r="K11" s="44">
        <v>45979</v>
      </c>
      <c r="L11" s="43">
        <v>6</v>
      </c>
      <c r="M11" s="43">
        <v>0</v>
      </c>
      <c r="N11" s="43">
        <v>0</v>
      </c>
      <c r="O11" s="45" t="s">
        <v>54</v>
      </c>
      <c r="P11" s="46">
        <v>0.9375</v>
      </c>
      <c r="Q11" s="43">
        <v>174</v>
      </c>
      <c r="R11" s="47" t="s">
        <v>55</v>
      </c>
    </row>
    <row r="12" spans="1:92" ht="15" customHeight="1" x14ac:dyDescent="0.3">
      <c r="A12" s="48" t="s">
        <v>56</v>
      </c>
      <c r="B12" s="48" t="s">
        <v>57</v>
      </c>
      <c r="C12" s="49">
        <v>0.14583333333333329</v>
      </c>
      <c r="D12" s="48" t="s">
        <v>58</v>
      </c>
      <c r="E12" s="48" t="s">
        <v>29</v>
      </c>
      <c r="F12" s="48" t="s">
        <v>59</v>
      </c>
      <c r="G12" s="110"/>
      <c r="H12" s="50"/>
      <c r="I12" s="51"/>
      <c r="J12" s="51"/>
      <c r="K12" s="51"/>
      <c r="L12" s="51"/>
      <c r="M12" s="51"/>
      <c r="N12" s="51"/>
      <c r="O12" s="52"/>
      <c r="P12" s="51"/>
      <c r="Q12" s="53"/>
      <c r="R12" s="54"/>
    </row>
    <row r="13" spans="1:92" ht="15" customHeight="1" x14ac:dyDescent="0.3">
      <c r="A13" s="55" t="s">
        <v>56</v>
      </c>
      <c r="B13" s="55" t="s">
        <v>60</v>
      </c>
      <c r="C13" s="56">
        <v>1.388888888888889E-2</v>
      </c>
      <c r="D13" s="55" t="s">
        <v>58</v>
      </c>
      <c r="E13" s="55" t="s">
        <v>40</v>
      </c>
      <c r="F13" s="55" t="s">
        <v>61</v>
      </c>
      <c r="G13" s="110"/>
      <c r="H13" s="50"/>
      <c r="I13" s="51"/>
      <c r="J13" s="51"/>
      <c r="K13" s="51"/>
      <c r="L13" s="51"/>
      <c r="M13" s="51"/>
      <c r="N13" s="51"/>
      <c r="O13" s="52"/>
      <c r="P13" s="51"/>
      <c r="Q13" s="53"/>
      <c r="R13" s="54"/>
    </row>
    <row r="14" spans="1:92" ht="15" customHeight="1" x14ac:dyDescent="0.3">
      <c r="A14" s="55" t="s">
        <v>56</v>
      </c>
      <c r="B14" s="55" t="s">
        <v>62</v>
      </c>
      <c r="C14" s="56">
        <v>0.50694444444444442</v>
      </c>
      <c r="D14" s="55" t="s">
        <v>58</v>
      </c>
      <c r="E14" s="55" t="s">
        <v>40</v>
      </c>
      <c r="F14" s="55" t="s">
        <v>63</v>
      </c>
      <c r="G14" s="110"/>
      <c r="H14" s="50"/>
      <c r="I14" s="51"/>
      <c r="J14" s="51"/>
      <c r="K14" s="51"/>
      <c r="L14" s="51"/>
      <c r="M14" s="51"/>
      <c r="N14" s="51"/>
      <c r="O14" s="52"/>
      <c r="P14" s="51"/>
      <c r="Q14" s="53"/>
      <c r="R14" s="54"/>
    </row>
    <row r="15" spans="1:92" ht="15" customHeight="1" x14ac:dyDescent="0.3">
      <c r="A15" s="55" t="s">
        <v>56</v>
      </c>
      <c r="B15" s="55" t="s">
        <v>64</v>
      </c>
      <c r="C15" s="56">
        <v>0.96527777777777779</v>
      </c>
      <c r="D15" s="55" t="s">
        <v>58</v>
      </c>
      <c r="E15" s="55" t="s">
        <v>40</v>
      </c>
      <c r="F15" s="55" t="s">
        <v>63</v>
      </c>
      <c r="G15" s="110"/>
      <c r="H15" s="50"/>
      <c r="I15" s="51"/>
      <c r="J15" s="51"/>
      <c r="K15" s="51"/>
      <c r="L15" s="51"/>
      <c r="M15" s="51"/>
      <c r="N15" s="51"/>
      <c r="O15" s="52"/>
      <c r="P15" s="51"/>
      <c r="Q15" s="53"/>
      <c r="R15" s="54"/>
    </row>
    <row r="16" spans="1:92" ht="15" customHeight="1" x14ac:dyDescent="0.3">
      <c r="A16" s="55" t="s">
        <v>56</v>
      </c>
      <c r="B16" s="55" t="s">
        <v>65</v>
      </c>
      <c r="C16" s="56">
        <v>0.79166666666666663</v>
      </c>
      <c r="D16" s="55" t="s">
        <v>58</v>
      </c>
      <c r="E16" s="55" t="s">
        <v>40</v>
      </c>
      <c r="F16" s="55" t="s">
        <v>63</v>
      </c>
      <c r="G16" s="110"/>
      <c r="H16" s="50"/>
      <c r="I16" s="51"/>
      <c r="J16" s="51"/>
      <c r="K16" s="51"/>
      <c r="L16" s="51"/>
      <c r="M16" s="51"/>
      <c r="N16" s="51"/>
      <c r="O16" s="52"/>
      <c r="P16" s="51"/>
      <c r="Q16" s="53"/>
      <c r="R16" s="54"/>
    </row>
    <row r="17" spans="1:18" ht="15" customHeight="1" x14ac:dyDescent="0.3">
      <c r="A17" s="55" t="s">
        <v>56</v>
      </c>
      <c r="B17" s="55" t="s">
        <v>66</v>
      </c>
      <c r="C17" s="56">
        <v>0.22916666666666671</v>
      </c>
      <c r="D17" s="55" t="s">
        <v>58</v>
      </c>
      <c r="E17" s="55" t="s">
        <v>40</v>
      </c>
      <c r="F17" s="55" t="s">
        <v>67</v>
      </c>
      <c r="G17" s="110"/>
      <c r="H17" s="50"/>
      <c r="I17" s="51"/>
      <c r="J17" s="51"/>
      <c r="K17" s="51"/>
      <c r="L17" s="51"/>
      <c r="M17" s="51"/>
      <c r="N17" s="51"/>
      <c r="O17" s="52"/>
      <c r="P17" s="51"/>
      <c r="Q17" s="53"/>
      <c r="R17" s="54"/>
    </row>
    <row r="18" spans="1:18" ht="15" customHeight="1" x14ac:dyDescent="0.3">
      <c r="A18" s="55" t="s">
        <v>56</v>
      </c>
      <c r="B18" s="55" t="s">
        <v>68</v>
      </c>
      <c r="C18" s="56">
        <v>0.27777777777777779</v>
      </c>
      <c r="D18" s="55" t="s">
        <v>58</v>
      </c>
      <c r="E18" s="55" t="s">
        <v>40</v>
      </c>
      <c r="F18" s="55" t="s">
        <v>69</v>
      </c>
      <c r="G18" s="110"/>
      <c r="H18" s="50"/>
      <c r="I18" s="51"/>
      <c r="J18" s="51"/>
      <c r="K18" s="51"/>
      <c r="L18" s="51"/>
      <c r="M18" s="51"/>
      <c r="N18" s="51"/>
      <c r="O18" s="52"/>
      <c r="P18" s="51"/>
      <c r="Q18" s="53"/>
      <c r="R18" s="54"/>
    </row>
    <row r="19" spans="1:18" ht="15" customHeight="1" x14ac:dyDescent="0.3">
      <c r="A19" s="48" t="s">
        <v>70</v>
      </c>
      <c r="B19" s="48" t="s">
        <v>71</v>
      </c>
      <c r="C19" s="49">
        <v>0.78819444444444453</v>
      </c>
      <c r="D19" s="48" t="s">
        <v>72</v>
      </c>
      <c r="E19" s="48" t="s">
        <v>73</v>
      </c>
      <c r="F19" s="48" t="s">
        <v>74</v>
      </c>
      <c r="G19" s="110"/>
      <c r="H19" s="50"/>
      <c r="I19" s="51"/>
      <c r="J19" s="51"/>
      <c r="K19" s="51"/>
      <c r="L19" s="51"/>
      <c r="M19" s="51"/>
      <c r="N19" s="51"/>
      <c r="O19" s="52"/>
      <c r="P19" s="51"/>
      <c r="Q19" s="53"/>
      <c r="R19" s="54"/>
    </row>
    <row r="20" spans="1:18" ht="15" customHeight="1" x14ac:dyDescent="0.3">
      <c r="A20" s="57" t="s">
        <v>70</v>
      </c>
      <c r="B20" s="57" t="s">
        <v>71</v>
      </c>
      <c r="C20" s="58">
        <v>0.78819444444444453</v>
      </c>
      <c r="D20" s="57" t="s">
        <v>75</v>
      </c>
      <c r="E20" s="57" t="s">
        <v>76</v>
      </c>
      <c r="F20" s="57" t="s">
        <v>77</v>
      </c>
      <c r="G20" s="110"/>
      <c r="H20" s="50"/>
      <c r="I20" s="51"/>
      <c r="J20" s="51"/>
      <c r="K20" s="51"/>
      <c r="L20" s="51"/>
      <c r="M20" s="51"/>
      <c r="N20" s="51"/>
      <c r="O20" s="52"/>
      <c r="P20" s="51"/>
      <c r="Q20" s="53"/>
      <c r="R20" s="54"/>
    </row>
    <row r="21" spans="1:18" ht="15" customHeight="1" x14ac:dyDescent="0.3">
      <c r="A21" s="57" t="s">
        <v>70</v>
      </c>
      <c r="B21" s="57" t="s">
        <v>71</v>
      </c>
      <c r="C21" s="58">
        <v>0.78819444444444453</v>
      </c>
      <c r="D21" s="57" t="s">
        <v>78</v>
      </c>
      <c r="E21" s="57" t="s">
        <v>76</v>
      </c>
      <c r="F21" s="57" t="s">
        <v>79</v>
      </c>
      <c r="G21" s="110"/>
      <c r="H21" s="50"/>
      <c r="I21" s="51"/>
      <c r="J21" s="51"/>
      <c r="K21" s="51"/>
      <c r="L21" s="51"/>
      <c r="M21" s="51"/>
      <c r="N21" s="51"/>
      <c r="O21" s="52"/>
      <c r="P21" s="51"/>
      <c r="Q21" s="53"/>
      <c r="R21" s="54"/>
    </row>
    <row r="22" spans="1:18" ht="15" customHeight="1" x14ac:dyDescent="0.3">
      <c r="A22" s="55" t="s">
        <v>70</v>
      </c>
      <c r="B22" s="55" t="s">
        <v>80</v>
      </c>
      <c r="C22" s="56">
        <v>0.88888888888888884</v>
      </c>
      <c r="D22" s="55" t="s">
        <v>72</v>
      </c>
      <c r="E22" s="55" t="s">
        <v>81</v>
      </c>
      <c r="F22" s="55" t="s">
        <v>74</v>
      </c>
      <c r="G22" s="110"/>
      <c r="H22" s="50"/>
      <c r="I22" s="51"/>
      <c r="J22" s="51"/>
      <c r="K22" s="51"/>
      <c r="L22" s="51"/>
      <c r="M22" s="51"/>
      <c r="N22" s="51"/>
      <c r="O22" s="52"/>
      <c r="P22" s="51"/>
      <c r="Q22" s="53"/>
      <c r="R22" s="54"/>
    </row>
    <row r="23" spans="1:18" ht="15" customHeight="1" x14ac:dyDescent="0.3">
      <c r="A23" s="57" t="s">
        <v>70</v>
      </c>
      <c r="B23" s="57" t="s">
        <v>80</v>
      </c>
      <c r="C23" s="58">
        <v>0.88888888888888884</v>
      </c>
      <c r="D23" s="57" t="s">
        <v>75</v>
      </c>
      <c r="E23" s="57" t="s">
        <v>82</v>
      </c>
      <c r="F23" s="57" t="s">
        <v>77</v>
      </c>
      <c r="G23" s="110"/>
      <c r="H23" s="50"/>
      <c r="I23" s="51"/>
      <c r="J23" s="51"/>
      <c r="K23" s="51"/>
      <c r="L23" s="51"/>
      <c r="M23" s="51"/>
      <c r="N23" s="51"/>
      <c r="O23" s="52"/>
      <c r="P23" s="51"/>
      <c r="Q23" s="53"/>
      <c r="R23" s="54"/>
    </row>
    <row r="24" spans="1:18" ht="15" customHeight="1" x14ac:dyDescent="0.3">
      <c r="A24" s="57" t="s">
        <v>70</v>
      </c>
      <c r="B24" s="57" t="s">
        <v>80</v>
      </c>
      <c r="C24" s="58">
        <v>0.88888888888888884</v>
      </c>
      <c r="D24" s="57" t="s">
        <v>78</v>
      </c>
      <c r="E24" s="57" t="s">
        <v>82</v>
      </c>
      <c r="F24" s="57" t="s">
        <v>83</v>
      </c>
      <c r="G24" s="110"/>
      <c r="H24" s="50"/>
      <c r="I24" s="51"/>
      <c r="J24" s="51"/>
      <c r="K24" s="51"/>
      <c r="L24" s="51"/>
      <c r="M24" s="51"/>
      <c r="N24" s="51"/>
      <c r="O24" s="52"/>
      <c r="P24" s="51"/>
      <c r="Q24" s="53"/>
      <c r="R24" s="54"/>
    </row>
    <row r="25" spans="1:18" ht="15" customHeight="1" x14ac:dyDescent="0.3">
      <c r="A25" s="55" t="s">
        <v>70</v>
      </c>
      <c r="B25" s="55" t="s">
        <v>84</v>
      </c>
      <c r="C25" s="56">
        <v>0.30208333333333331</v>
      </c>
      <c r="D25" s="55" t="s">
        <v>72</v>
      </c>
      <c r="E25" s="55" t="s">
        <v>85</v>
      </c>
      <c r="F25" s="55" t="s">
        <v>86</v>
      </c>
      <c r="G25" s="110"/>
      <c r="H25" s="50"/>
      <c r="I25" s="51"/>
      <c r="J25" s="51"/>
      <c r="K25" s="51"/>
      <c r="L25" s="51"/>
      <c r="M25" s="51"/>
      <c r="N25" s="51"/>
      <c r="O25" s="52"/>
      <c r="P25" s="51"/>
      <c r="Q25" s="53"/>
      <c r="R25" s="54"/>
    </row>
    <row r="26" spans="1:18" ht="15" customHeight="1" x14ac:dyDescent="0.3">
      <c r="A26" s="57" t="s">
        <v>70</v>
      </c>
      <c r="B26" s="57" t="s">
        <v>84</v>
      </c>
      <c r="C26" s="58">
        <v>0.30208333333333331</v>
      </c>
      <c r="D26" s="57" t="s">
        <v>75</v>
      </c>
      <c r="E26" s="57" t="s">
        <v>87</v>
      </c>
      <c r="F26" s="57" t="s">
        <v>88</v>
      </c>
      <c r="G26" s="110"/>
      <c r="H26" s="50"/>
      <c r="I26" s="51"/>
      <c r="J26" s="51"/>
      <c r="K26" s="51"/>
      <c r="L26" s="51"/>
      <c r="M26" s="51"/>
      <c r="N26" s="51"/>
      <c r="O26" s="52"/>
      <c r="P26" s="51"/>
      <c r="Q26" s="53"/>
      <c r="R26" s="54"/>
    </row>
    <row r="27" spans="1:18" ht="15" customHeight="1" x14ac:dyDescent="0.3">
      <c r="A27" s="57" t="s">
        <v>70</v>
      </c>
      <c r="B27" s="57" t="s">
        <v>84</v>
      </c>
      <c r="C27" s="58">
        <v>0.30208333333333331</v>
      </c>
      <c r="D27" s="57" t="s">
        <v>78</v>
      </c>
      <c r="E27" s="57" t="s">
        <v>87</v>
      </c>
      <c r="F27" s="57" t="s">
        <v>83</v>
      </c>
      <c r="G27" s="110"/>
      <c r="H27" s="50"/>
      <c r="I27" s="51"/>
      <c r="J27" s="51"/>
      <c r="K27" s="51"/>
      <c r="L27" s="51"/>
      <c r="M27" s="51"/>
      <c r="N27" s="51"/>
      <c r="O27" s="52"/>
      <c r="P27" s="51"/>
      <c r="Q27" s="53"/>
      <c r="R27" s="54"/>
    </row>
    <row r="28" spans="1:18" ht="15" customHeight="1" x14ac:dyDescent="0.3">
      <c r="A28" s="55" t="s">
        <v>70</v>
      </c>
      <c r="B28" s="55" t="s">
        <v>89</v>
      </c>
      <c r="C28" s="56">
        <v>0.12847222222222221</v>
      </c>
      <c r="D28" s="55" t="s">
        <v>72</v>
      </c>
      <c r="E28" s="55" t="s">
        <v>85</v>
      </c>
      <c r="F28" s="55" t="s">
        <v>86</v>
      </c>
      <c r="G28" s="110"/>
      <c r="H28" s="50"/>
      <c r="I28" s="51"/>
      <c r="J28" s="51"/>
      <c r="K28" s="51"/>
      <c r="L28" s="51"/>
      <c r="M28" s="51"/>
      <c r="N28" s="51"/>
      <c r="O28" s="52"/>
      <c r="P28" s="51"/>
      <c r="Q28" s="53"/>
      <c r="R28" s="54"/>
    </row>
    <row r="29" spans="1:18" ht="15" customHeight="1" x14ac:dyDescent="0.3">
      <c r="A29" s="57" t="s">
        <v>70</v>
      </c>
      <c r="B29" s="57" t="s">
        <v>89</v>
      </c>
      <c r="C29" s="58">
        <v>0.12847222222222221</v>
      </c>
      <c r="D29" s="57" t="s">
        <v>75</v>
      </c>
      <c r="E29" s="57" t="s">
        <v>87</v>
      </c>
      <c r="F29" s="57" t="s">
        <v>88</v>
      </c>
      <c r="G29" s="110"/>
      <c r="H29" s="50"/>
      <c r="I29" s="51"/>
      <c r="J29" s="51"/>
      <c r="K29" s="51"/>
      <c r="L29" s="51"/>
      <c r="M29" s="51"/>
      <c r="N29" s="51"/>
      <c r="O29" s="52"/>
      <c r="P29" s="51"/>
      <c r="Q29" s="53"/>
      <c r="R29" s="54"/>
    </row>
    <row r="30" spans="1:18" ht="15" customHeight="1" x14ac:dyDescent="0.3">
      <c r="A30" s="57" t="s">
        <v>70</v>
      </c>
      <c r="B30" s="57" t="s">
        <v>89</v>
      </c>
      <c r="C30" s="58">
        <v>0.12847222222222221</v>
      </c>
      <c r="D30" s="57" t="s">
        <v>78</v>
      </c>
      <c r="E30" s="57" t="s">
        <v>87</v>
      </c>
      <c r="F30" s="57" t="s">
        <v>83</v>
      </c>
      <c r="G30" s="110"/>
      <c r="H30" s="50"/>
      <c r="I30" s="51"/>
      <c r="J30" s="51"/>
      <c r="K30" s="51"/>
      <c r="L30" s="51"/>
      <c r="M30" s="51"/>
      <c r="N30" s="51"/>
      <c r="O30" s="52"/>
      <c r="P30" s="51"/>
      <c r="Q30" s="53"/>
      <c r="R30" s="54"/>
    </row>
    <row r="31" spans="1:18" ht="15" customHeight="1" x14ac:dyDescent="0.3">
      <c r="A31" s="48" t="s">
        <v>90</v>
      </c>
      <c r="B31" s="48" t="s">
        <v>91</v>
      </c>
      <c r="C31" s="49">
        <v>0.97569444444444453</v>
      </c>
      <c r="D31" s="48" t="s">
        <v>92</v>
      </c>
      <c r="E31" s="48" t="s">
        <v>93</v>
      </c>
      <c r="F31" s="48" t="s">
        <v>94</v>
      </c>
      <c r="G31" s="110"/>
      <c r="H31" s="50"/>
      <c r="I31" s="51"/>
      <c r="J31" s="51"/>
      <c r="K31" s="51"/>
      <c r="L31" s="51"/>
      <c r="M31" s="51"/>
      <c r="N31" s="51"/>
      <c r="O31" s="52"/>
      <c r="P31" s="51"/>
      <c r="Q31" s="53"/>
      <c r="R31" s="54"/>
    </row>
    <row r="32" spans="1:18" ht="15" customHeight="1" x14ac:dyDescent="0.3">
      <c r="A32" s="57" t="s">
        <v>90</v>
      </c>
      <c r="B32" s="57" t="s">
        <v>91</v>
      </c>
      <c r="C32" s="58">
        <v>0.97569444444444453</v>
      </c>
      <c r="D32" s="57" t="s">
        <v>78</v>
      </c>
      <c r="E32" s="57" t="s">
        <v>87</v>
      </c>
      <c r="F32" s="57" t="s">
        <v>95</v>
      </c>
      <c r="G32" s="110"/>
      <c r="H32" s="50"/>
      <c r="I32" s="51"/>
      <c r="J32" s="51"/>
      <c r="K32" s="51"/>
      <c r="L32" s="51"/>
      <c r="M32" s="51"/>
      <c r="N32" s="51"/>
      <c r="O32" s="52"/>
      <c r="P32" s="51"/>
      <c r="Q32" s="53"/>
      <c r="R32" s="54"/>
    </row>
    <row r="33" spans="1:18" ht="15" customHeight="1" x14ac:dyDescent="0.3">
      <c r="A33" s="55" t="s">
        <v>90</v>
      </c>
      <c r="B33" s="55" t="s">
        <v>96</v>
      </c>
      <c r="C33" s="56">
        <v>0.3923611111111111</v>
      </c>
      <c r="D33" s="55" t="s">
        <v>92</v>
      </c>
      <c r="E33" s="55" t="s">
        <v>85</v>
      </c>
      <c r="F33" s="55" t="s">
        <v>97</v>
      </c>
      <c r="G33" s="110"/>
      <c r="H33" s="50"/>
      <c r="I33" s="51"/>
      <c r="J33" s="51"/>
      <c r="K33" s="51"/>
      <c r="L33" s="51"/>
      <c r="M33" s="51"/>
      <c r="N33" s="51"/>
      <c r="O33" s="52"/>
      <c r="P33" s="51"/>
      <c r="Q33" s="53"/>
      <c r="R33" s="54"/>
    </row>
    <row r="34" spans="1:18" ht="15" customHeight="1" x14ac:dyDescent="0.3">
      <c r="A34" s="57" t="s">
        <v>90</v>
      </c>
      <c r="B34" s="57" t="s">
        <v>96</v>
      </c>
      <c r="C34" s="58">
        <v>0.3923611111111111</v>
      </c>
      <c r="D34" s="57" t="s">
        <v>78</v>
      </c>
      <c r="E34" s="57" t="s">
        <v>87</v>
      </c>
      <c r="F34" s="57" t="s">
        <v>98</v>
      </c>
      <c r="G34" s="110"/>
      <c r="H34" s="50"/>
      <c r="I34" s="51"/>
      <c r="J34" s="51"/>
      <c r="K34" s="51"/>
      <c r="L34" s="51"/>
      <c r="M34" s="51"/>
      <c r="N34" s="51"/>
      <c r="O34" s="52"/>
      <c r="P34" s="51"/>
      <c r="Q34" s="53"/>
      <c r="R34" s="54"/>
    </row>
    <row r="35" spans="1:18" ht="15" customHeight="1" x14ac:dyDescent="0.3">
      <c r="A35" s="48" t="s">
        <v>99</v>
      </c>
      <c r="B35" s="48" t="s">
        <v>100</v>
      </c>
      <c r="C35" s="49">
        <v>0.25694444444444448</v>
      </c>
      <c r="D35" s="48" t="s">
        <v>101</v>
      </c>
      <c r="E35" s="48" t="s">
        <v>102</v>
      </c>
      <c r="F35" s="48" t="s">
        <v>103</v>
      </c>
      <c r="G35" s="110"/>
      <c r="H35" s="50"/>
      <c r="I35" s="51"/>
      <c r="J35" s="51"/>
      <c r="K35" s="51"/>
      <c r="L35" s="51"/>
      <c r="M35" s="51"/>
      <c r="N35" s="51"/>
      <c r="O35" s="52"/>
      <c r="P35" s="51"/>
      <c r="Q35" s="53"/>
      <c r="R35" s="54"/>
    </row>
    <row r="36" spans="1:18" ht="15" customHeight="1" x14ac:dyDescent="0.3">
      <c r="A36" s="57" t="s">
        <v>99</v>
      </c>
      <c r="B36" s="57" t="s">
        <v>100</v>
      </c>
      <c r="C36" s="58">
        <v>0.25694444444444448</v>
      </c>
      <c r="D36" s="57" t="s">
        <v>104</v>
      </c>
      <c r="E36" s="57" t="s">
        <v>105</v>
      </c>
      <c r="F36" s="57" t="s">
        <v>106</v>
      </c>
      <c r="G36" s="110"/>
      <c r="H36" s="50"/>
      <c r="I36" s="51"/>
      <c r="J36" s="51"/>
      <c r="K36" s="51"/>
      <c r="L36" s="51"/>
      <c r="M36" s="51"/>
      <c r="N36" s="51"/>
      <c r="O36" s="52"/>
      <c r="P36" s="51"/>
      <c r="Q36" s="53"/>
      <c r="R36" s="54"/>
    </row>
    <row r="37" spans="1:18" ht="15" customHeight="1" x14ac:dyDescent="0.3">
      <c r="A37" s="57" t="s">
        <v>99</v>
      </c>
      <c r="B37" s="57" t="s">
        <v>100</v>
      </c>
      <c r="C37" s="58">
        <v>0.25694444444444448</v>
      </c>
      <c r="D37" s="57" t="s">
        <v>107</v>
      </c>
      <c r="E37" s="57" t="s">
        <v>105</v>
      </c>
      <c r="F37" s="57" t="s">
        <v>108</v>
      </c>
      <c r="G37" s="110"/>
      <c r="H37" s="50"/>
      <c r="I37" s="51"/>
      <c r="J37" s="51"/>
      <c r="K37" s="51"/>
      <c r="L37" s="51"/>
      <c r="M37" s="51"/>
      <c r="N37" s="51"/>
      <c r="O37" s="52"/>
      <c r="P37" s="51"/>
      <c r="Q37" s="53"/>
      <c r="R37" s="54"/>
    </row>
    <row r="38" spans="1:18" ht="15" customHeight="1" x14ac:dyDescent="0.3">
      <c r="A38" s="55" t="s">
        <v>99</v>
      </c>
      <c r="B38" s="55" t="s">
        <v>109</v>
      </c>
      <c r="C38" s="56">
        <v>0.90277777777777779</v>
      </c>
      <c r="D38" s="55" t="s">
        <v>101</v>
      </c>
      <c r="E38" s="55" t="s">
        <v>85</v>
      </c>
      <c r="F38" s="55" t="s">
        <v>103</v>
      </c>
      <c r="G38" s="110"/>
      <c r="H38" s="50"/>
      <c r="I38" s="51"/>
      <c r="J38" s="51"/>
      <c r="K38" s="51"/>
      <c r="L38" s="51"/>
      <c r="M38" s="51"/>
      <c r="N38" s="51"/>
      <c r="O38" s="52"/>
      <c r="P38" s="51"/>
      <c r="Q38" s="53"/>
      <c r="R38" s="54"/>
    </row>
    <row r="39" spans="1:18" ht="15" customHeight="1" x14ac:dyDescent="0.3">
      <c r="A39" s="57" t="s">
        <v>99</v>
      </c>
      <c r="B39" s="57" t="s">
        <v>109</v>
      </c>
      <c r="C39" s="58">
        <v>0.90277777777777779</v>
      </c>
      <c r="D39" s="57" t="s">
        <v>104</v>
      </c>
      <c r="E39" s="57" t="s">
        <v>87</v>
      </c>
      <c r="F39" s="57" t="s">
        <v>106</v>
      </c>
      <c r="G39" s="110"/>
      <c r="H39" s="50"/>
      <c r="I39" s="51"/>
      <c r="J39" s="51"/>
      <c r="K39" s="51"/>
      <c r="L39" s="51"/>
      <c r="M39" s="51"/>
      <c r="N39" s="51"/>
      <c r="O39" s="52"/>
      <c r="P39" s="51"/>
      <c r="Q39" s="53"/>
      <c r="R39" s="54"/>
    </row>
    <row r="40" spans="1:18" ht="15" customHeight="1" x14ac:dyDescent="0.3">
      <c r="A40" s="57" t="s">
        <v>99</v>
      </c>
      <c r="B40" s="57" t="s">
        <v>109</v>
      </c>
      <c r="C40" s="58">
        <v>0.90277777777777779</v>
      </c>
      <c r="D40" s="57" t="s">
        <v>107</v>
      </c>
      <c r="E40" s="57" t="s">
        <v>87</v>
      </c>
      <c r="F40" s="57" t="s">
        <v>108</v>
      </c>
      <c r="G40" s="110"/>
      <c r="H40" s="50"/>
      <c r="I40" s="51"/>
      <c r="J40" s="51"/>
      <c r="K40" s="51"/>
      <c r="L40" s="51"/>
      <c r="M40" s="51"/>
      <c r="N40" s="51"/>
      <c r="O40" s="52"/>
      <c r="P40" s="51"/>
      <c r="Q40" s="53"/>
      <c r="R40" s="54"/>
    </row>
    <row r="41" spans="1:18" ht="15" customHeight="1" x14ac:dyDescent="0.3">
      <c r="A41" s="55" t="s">
        <v>99</v>
      </c>
      <c r="B41" s="55" t="s">
        <v>110</v>
      </c>
      <c r="C41" s="56">
        <v>0.64583333333333337</v>
      </c>
      <c r="D41" s="55" t="s">
        <v>101</v>
      </c>
      <c r="E41" s="55" t="s">
        <v>85</v>
      </c>
      <c r="F41" s="55" t="s">
        <v>103</v>
      </c>
      <c r="G41" s="110"/>
      <c r="H41" s="50"/>
      <c r="I41" s="51"/>
      <c r="J41" s="51"/>
      <c r="K41" s="51"/>
      <c r="L41" s="51"/>
      <c r="M41" s="51"/>
      <c r="N41" s="51"/>
      <c r="O41" s="52"/>
      <c r="P41" s="51"/>
      <c r="Q41" s="53"/>
      <c r="R41" s="54"/>
    </row>
    <row r="42" spans="1:18" ht="15" customHeight="1" x14ac:dyDescent="0.3">
      <c r="A42" s="57" t="s">
        <v>99</v>
      </c>
      <c r="B42" s="57" t="s">
        <v>110</v>
      </c>
      <c r="C42" s="58">
        <v>0.64583333333333337</v>
      </c>
      <c r="D42" s="57" t="s">
        <v>104</v>
      </c>
      <c r="E42" s="57" t="s">
        <v>87</v>
      </c>
      <c r="F42" s="57" t="s">
        <v>106</v>
      </c>
      <c r="G42" s="110"/>
      <c r="H42" s="50"/>
      <c r="I42" s="51"/>
      <c r="J42" s="51"/>
      <c r="K42" s="51"/>
      <c r="L42" s="51"/>
      <c r="M42" s="51"/>
      <c r="N42" s="51"/>
      <c r="O42" s="52"/>
      <c r="P42" s="51"/>
      <c r="Q42" s="53"/>
      <c r="R42" s="54"/>
    </row>
    <row r="43" spans="1:18" ht="15" customHeight="1" x14ac:dyDescent="0.3">
      <c r="A43" s="57" t="s">
        <v>99</v>
      </c>
      <c r="B43" s="57" t="s">
        <v>110</v>
      </c>
      <c r="C43" s="58">
        <v>0.64583333333333337</v>
      </c>
      <c r="D43" s="57" t="s">
        <v>107</v>
      </c>
      <c r="E43" s="57" t="s">
        <v>87</v>
      </c>
      <c r="F43" s="57" t="s">
        <v>108</v>
      </c>
      <c r="G43" s="110"/>
      <c r="H43" s="50"/>
      <c r="I43" s="51"/>
      <c r="J43" s="51"/>
      <c r="K43" s="51"/>
      <c r="L43" s="51"/>
      <c r="M43" s="51"/>
      <c r="N43" s="51"/>
      <c r="O43" s="52"/>
      <c r="P43" s="51"/>
      <c r="Q43" s="53"/>
      <c r="R43" s="54"/>
    </row>
    <row r="44" spans="1:18" ht="15" customHeight="1" x14ac:dyDescent="0.3">
      <c r="A44" s="55" t="s">
        <v>99</v>
      </c>
      <c r="B44" s="55" t="s">
        <v>111</v>
      </c>
      <c r="C44" s="56">
        <v>0.51736111111111105</v>
      </c>
      <c r="D44" s="55" t="s">
        <v>101</v>
      </c>
      <c r="E44" s="55" t="s">
        <v>35</v>
      </c>
      <c r="F44" s="55" t="s">
        <v>103</v>
      </c>
      <c r="G44" s="110"/>
      <c r="H44" s="50"/>
      <c r="I44" s="51"/>
      <c r="J44" s="51"/>
      <c r="K44" s="51"/>
      <c r="L44" s="51"/>
      <c r="M44" s="51"/>
      <c r="N44" s="51"/>
      <c r="O44" s="52"/>
      <c r="P44" s="51"/>
      <c r="Q44" s="53"/>
      <c r="R44" s="54"/>
    </row>
    <row r="45" spans="1:18" ht="15" customHeight="1" x14ac:dyDescent="0.3">
      <c r="A45" s="57" t="s">
        <v>99</v>
      </c>
      <c r="B45" s="57" t="s">
        <v>111</v>
      </c>
      <c r="C45" s="58">
        <v>0.51736111111111105</v>
      </c>
      <c r="D45" s="57" t="s">
        <v>104</v>
      </c>
      <c r="E45" s="57" t="s">
        <v>112</v>
      </c>
      <c r="F45" s="57" t="s">
        <v>106</v>
      </c>
      <c r="G45" s="110"/>
      <c r="H45" s="50"/>
      <c r="I45" s="51"/>
      <c r="J45" s="51"/>
      <c r="K45" s="51"/>
      <c r="L45" s="51"/>
      <c r="M45" s="51"/>
      <c r="N45" s="51"/>
      <c r="O45" s="52"/>
      <c r="P45" s="51"/>
      <c r="Q45" s="53"/>
      <c r="R45" s="54"/>
    </row>
    <row r="46" spans="1:18" ht="15" customHeight="1" x14ac:dyDescent="0.3">
      <c r="A46" s="57" t="s">
        <v>99</v>
      </c>
      <c r="B46" s="57" t="s">
        <v>111</v>
      </c>
      <c r="C46" s="58">
        <v>0.51736111111111105</v>
      </c>
      <c r="D46" s="57" t="s">
        <v>107</v>
      </c>
      <c r="E46" s="57" t="s">
        <v>112</v>
      </c>
      <c r="F46" s="57" t="s">
        <v>108</v>
      </c>
      <c r="G46" s="110"/>
      <c r="H46" s="50"/>
      <c r="I46" s="51"/>
      <c r="J46" s="51"/>
      <c r="K46" s="51"/>
      <c r="L46" s="51"/>
      <c r="M46" s="51"/>
      <c r="N46" s="51"/>
      <c r="O46" s="52"/>
      <c r="P46" s="51"/>
      <c r="Q46" s="53"/>
      <c r="R46" s="54"/>
    </row>
    <row r="47" spans="1:18" ht="15" customHeight="1" x14ac:dyDescent="0.3">
      <c r="A47" s="55" t="s">
        <v>99</v>
      </c>
      <c r="B47" s="55" t="s">
        <v>113</v>
      </c>
      <c r="C47" s="56">
        <v>0.85416666666666663</v>
      </c>
      <c r="D47" s="55" t="s">
        <v>101</v>
      </c>
      <c r="E47" s="55" t="s">
        <v>85</v>
      </c>
      <c r="F47" s="55" t="s">
        <v>103</v>
      </c>
      <c r="G47" s="110"/>
      <c r="H47" s="50"/>
      <c r="I47" s="51"/>
      <c r="J47" s="51"/>
      <c r="K47" s="51"/>
      <c r="L47" s="51"/>
      <c r="M47" s="51"/>
      <c r="N47" s="51"/>
      <c r="O47" s="52"/>
      <c r="P47" s="51"/>
      <c r="Q47" s="53"/>
      <c r="R47" s="54"/>
    </row>
    <row r="48" spans="1:18" ht="15" customHeight="1" x14ac:dyDescent="0.3">
      <c r="A48" s="57" t="s">
        <v>99</v>
      </c>
      <c r="B48" s="57" t="s">
        <v>113</v>
      </c>
      <c r="C48" s="58">
        <v>0.85416666666666663</v>
      </c>
      <c r="D48" s="57" t="s">
        <v>104</v>
      </c>
      <c r="E48" s="57" t="s">
        <v>87</v>
      </c>
      <c r="F48" s="57" t="s">
        <v>106</v>
      </c>
      <c r="G48" s="110"/>
      <c r="H48" s="50"/>
      <c r="I48" s="51"/>
      <c r="J48" s="51"/>
      <c r="K48" s="51"/>
      <c r="L48" s="51"/>
      <c r="M48" s="51"/>
      <c r="N48" s="51"/>
      <c r="O48" s="52"/>
      <c r="P48" s="51"/>
      <c r="Q48" s="53"/>
      <c r="R48" s="54"/>
    </row>
    <row r="49" spans="1:18" ht="15" customHeight="1" x14ac:dyDescent="0.3">
      <c r="A49" s="57" t="s">
        <v>99</v>
      </c>
      <c r="B49" s="57" t="s">
        <v>113</v>
      </c>
      <c r="C49" s="58">
        <v>0.85416666666666663</v>
      </c>
      <c r="D49" s="57" t="s">
        <v>107</v>
      </c>
      <c r="E49" s="57" t="s">
        <v>87</v>
      </c>
      <c r="F49" s="57" t="s">
        <v>108</v>
      </c>
      <c r="G49" s="110"/>
      <c r="H49" s="50"/>
      <c r="I49" s="51"/>
      <c r="J49" s="51"/>
      <c r="K49" s="51"/>
      <c r="L49" s="51"/>
      <c r="M49" s="51"/>
      <c r="N49" s="51"/>
      <c r="O49" s="52"/>
      <c r="P49" s="51"/>
      <c r="Q49" s="53"/>
      <c r="R49" s="54"/>
    </row>
    <row r="50" spans="1:18" ht="15" customHeight="1" x14ac:dyDescent="0.3">
      <c r="A50" s="55" t="s">
        <v>99</v>
      </c>
      <c r="B50" s="55" t="s">
        <v>114</v>
      </c>
      <c r="C50" s="56">
        <v>0.39583333333333331</v>
      </c>
      <c r="D50" s="55" t="s">
        <v>101</v>
      </c>
      <c r="E50" s="55" t="s">
        <v>85</v>
      </c>
      <c r="F50" s="55" t="s">
        <v>103</v>
      </c>
      <c r="G50" s="110"/>
      <c r="H50" s="50"/>
      <c r="I50" s="51"/>
      <c r="J50" s="51"/>
      <c r="K50" s="51"/>
      <c r="L50" s="51"/>
      <c r="M50" s="51"/>
      <c r="N50" s="51"/>
      <c r="O50" s="52"/>
      <c r="P50" s="51"/>
      <c r="Q50" s="53"/>
      <c r="R50" s="54"/>
    </row>
    <row r="51" spans="1:18" ht="15" customHeight="1" x14ac:dyDescent="0.3">
      <c r="A51" s="57" t="s">
        <v>99</v>
      </c>
      <c r="B51" s="57" t="s">
        <v>114</v>
      </c>
      <c r="C51" s="58">
        <v>0.39583333333333331</v>
      </c>
      <c r="D51" s="57" t="s">
        <v>104</v>
      </c>
      <c r="E51" s="57" t="s">
        <v>87</v>
      </c>
      <c r="F51" s="57" t="s">
        <v>106</v>
      </c>
      <c r="G51" s="110"/>
      <c r="H51" s="50"/>
      <c r="I51" s="51"/>
      <c r="J51" s="51"/>
      <c r="K51" s="51"/>
      <c r="L51" s="51"/>
      <c r="M51" s="51"/>
      <c r="N51" s="51"/>
      <c r="O51" s="52"/>
      <c r="P51" s="51"/>
      <c r="Q51" s="53"/>
      <c r="R51" s="54"/>
    </row>
    <row r="52" spans="1:18" ht="15" customHeight="1" x14ac:dyDescent="0.3">
      <c r="A52" s="57" t="s">
        <v>99</v>
      </c>
      <c r="B52" s="57" t="s">
        <v>114</v>
      </c>
      <c r="C52" s="58">
        <v>0.39583333333333331</v>
      </c>
      <c r="D52" s="57" t="s">
        <v>107</v>
      </c>
      <c r="E52" s="57" t="s">
        <v>87</v>
      </c>
      <c r="F52" s="57" t="s">
        <v>108</v>
      </c>
      <c r="G52" s="110"/>
      <c r="H52" s="50"/>
      <c r="I52" s="51"/>
      <c r="J52" s="51"/>
      <c r="K52" s="51"/>
      <c r="L52" s="51"/>
      <c r="M52" s="51"/>
      <c r="N52" s="51"/>
      <c r="O52" s="52"/>
      <c r="P52" s="51"/>
      <c r="Q52" s="53"/>
      <c r="R52" s="54"/>
    </row>
    <row r="53" spans="1:18" ht="15" customHeight="1" x14ac:dyDescent="0.3">
      <c r="A53" s="55" t="s">
        <v>99</v>
      </c>
      <c r="B53" s="55" t="s">
        <v>115</v>
      </c>
      <c r="C53" s="56">
        <v>0.79861111111111116</v>
      </c>
      <c r="D53" s="55" t="s">
        <v>101</v>
      </c>
      <c r="E53" s="55" t="s">
        <v>85</v>
      </c>
      <c r="F53" s="55" t="s">
        <v>103</v>
      </c>
      <c r="G53" s="110"/>
      <c r="H53" s="50"/>
      <c r="I53" s="51"/>
      <c r="J53" s="51"/>
      <c r="K53" s="51"/>
      <c r="L53" s="51"/>
      <c r="M53" s="51"/>
      <c r="N53" s="51"/>
      <c r="O53" s="52"/>
      <c r="P53" s="51"/>
      <c r="Q53" s="53"/>
      <c r="R53" s="54"/>
    </row>
    <row r="54" spans="1:18" ht="15" customHeight="1" x14ac:dyDescent="0.3">
      <c r="A54" s="57" t="s">
        <v>99</v>
      </c>
      <c r="B54" s="57" t="s">
        <v>115</v>
      </c>
      <c r="C54" s="58">
        <v>0.79861111111111116</v>
      </c>
      <c r="D54" s="57" t="s">
        <v>104</v>
      </c>
      <c r="E54" s="57" t="s">
        <v>87</v>
      </c>
      <c r="F54" s="57" t="s">
        <v>106</v>
      </c>
      <c r="G54" s="110"/>
      <c r="H54" s="50"/>
      <c r="I54" s="51"/>
      <c r="J54" s="51"/>
      <c r="K54" s="51"/>
      <c r="L54" s="51"/>
      <c r="M54" s="51"/>
      <c r="N54" s="51"/>
      <c r="O54" s="52"/>
      <c r="P54" s="51"/>
      <c r="Q54" s="53"/>
      <c r="R54" s="54"/>
    </row>
    <row r="55" spans="1:18" ht="15" customHeight="1" x14ac:dyDescent="0.3">
      <c r="A55" s="57" t="s">
        <v>99</v>
      </c>
      <c r="B55" s="57" t="s">
        <v>115</v>
      </c>
      <c r="C55" s="58">
        <v>0.79861111111111116</v>
      </c>
      <c r="D55" s="57" t="s">
        <v>107</v>
      </c>
      <c r="E55" s="57" t="s">
        <v>87</v>
      </c>
      <c r="F55" s="57" t="s">
        <v>108</v>
      </c>
      <c r="G55" s="110"/>
      <c r="H55" s="50"/>
      <c r="I55" s="51"/>
      <c r="J55" s="51"/>
      <c r="K55" s="51"/>
      <c r="L55" s="51"/>
      <c r="M55" s="51"/>
      <c r="N55" s="51"/>
      <c r="O55" s="52"/>
      <c r="P55" s="51"/>
      <c r="Q55" s="53"/>
      <c r="R55" s="54"/>
    </row>
    <row r="56" spans="1:18" ht="15" customHeight="1" x14ac:dyDescent="0.3">
      <c r="A56" s="48" t="s">
        <v>116</v>
      </c>
      <c r="B56" s="48" t="s">
        <v>117</v>
      </c>
      <c r="C56" s="49">
        <v>0.71527777777777779</v>
      </c>
      <c r="D56" s="48" t="s">
        <v>118</v>
      </c>
      <c r="E56" s="48" t="s">
        <v>29</v>
      </c>
      <c r="F56" s="48" t="s">
        <v>86</v>
      </c>
      <c r="G56" s="110"/>
      <c r="H56" s="50"/>
      <c r="I56" s="51"/>
      <c r="J56" s="51"/>
      <c r="K56" s="51"/>
      <c r="L56" s="51"/>
      <c r="M56" s="51"/>
      <c r="N56" s="51"/>
      <c r="O56" s="52"/>
      <c r="P56" s="51"/>
      <c r="Q56" s="53"/>
      <c r="R56" s="54"/>
    </row>
    <row r="57" spans="1:18" ht="15" customHeight="1" x14ac:dyDescent="0.3">
      <c r="A57" s="55" t="s">
        <v>116</v>
      </c>
      <c r="B57" s="55" t="s">
        <v>119</v>
      </c>
      <c r="C57" s="56">
        <v>0.41666666666666669</v>
      </c>
      <c r="D57" s="55" t="s">
        <v>118</v>
      </c>
      <c r="E57" s="55" t="s">
        <v>120</v>
      </c>
      <c r="F57" s="55" t="s">
        <v>86</v>
      </c>
      <c r="G57" s="110"/>
      <c r="H57" s="50"/>
      <c r="I57" s="51"/>
      <c r="J57" s="51"/>
      <c r="K57" s="51"/>
      <c r="L57" s="51"/>
      <c r="M57" s="51"/>
      <c r="N57" s="51"/>
      <c r="O57" s="52"/>
      <c r="P57" s="51"/>
      <c r="Q57" s="53"/>
      <c r="R57" s="54"/>
    </row>
    <row r="58" spans="1:18" ht="15" customHeight="1" x14ac:dyDescent="0.3">
      <c r="A58" s="48" t="s">
        <v>121</v>
      </c>
      <c r="B58" s="48" t="s">
        <v>122</v>
      </c>
      <c r="C58" s="49">
        <v>0.23958333333333329</v>
      </c>
      <c r="D58" s="48" t="s">
        <v>123</v>
      </c>
      <c r="E58" s="48" t="s">
        <v>29</v>
      </c>
      <c r="F58" s="48" t="s">
        <v>124</v>
      </c>
      <c r="G58" s="110"/>
      <c r="H58" s="50"/>
      <c r="I58" s="51"/>
      <c r="J58" s="51"/>
      <c r="K58" s="51"/>
      <c r="L58" s="51"/>
      <c r="M58" s="51"/>
      <c r="N58" s="51"/>
      <c r="O58" s="52"/>
      <c r="P58" s="51"/>
      <c r="Q58" s="53"/>
      <c r="R58" s="54"/>
    </row>
    <row r="59" spans="1:18" ht="15" customHeight="1" x14ac:dyDescent="0.3">
      <c r="A59" s="57" t="s">
        <v>121</v>
      </c>
      <c r="B59" s="57" t="s">
        <v>122</v>
      </c>
      <c r="C59" s="58">
        <v>0.23958333333333329</v>
      </c>
      <c r="D59" s="57" t="s">
        <v>125</v>
      </c>
      <c r="E59" s="57" t="s">
        <v>126</v>
      </c>
      <c r="F59" s="57" t="s">
        <v>127</v>
      </c>
      <c r="G59" s="110"/>
      <c r="H59" s="50"/>
      <c r="I59" s="51"/>
      <c r="J59" s="51"/>
      <c r="K59" s="51"/>
      <c r="L59" s="51"/>
      <c r="M59" s="51"/>
      <c r="N59" s="51"/>
      <c r="O59" s="52"/>
      <c r="P59" s="51"/>
      <c r="Q59" s="53"/>
      <c r="R59" s="54"/>
    </row>
    <row r="60" spans="1:18" ht="15" customHeight="1" x14ac:dyDescent="0.3">
      <c r="A60" s="55" t="s">
        <v>121</v>
      </c>
      <c r="B60" s="55" t="s">
        <v>128</v>
      </c>
      <c r="C60" s="56">
        <v>0.1423611111111111</v>
      </c>
      <c r="D60" s="55" t="s">
        <v>123</v>
      </c>
      <c r="E60" s="55" t="s">
        <v>40</v>
      </c>
      <c r="F60" s="55" t="s">
        <v>124</v>
      </c>
      <c r="G60" s="110"/>
      <c r="H60" s="50"/>
      <c r="I60" s="51"/>
      <c r="J60" s="51"/>
      <c r="K60" s="51"/>
      <c r="L60" s="51"/>
      <c r="M60" s="51"/>
      <c r="N60" s="51"/>
      <c r="O60" s="52"/>
      <c r="P60" s="51"/>
      <c r="Q60" s="53"/>
      <c r="R60" s="54"/>
    </row>
    <row r="61" spans="1:18" ht="15" customHeight="1" x14ac:dyDescent="0.3">
      <c r="A61" s="57" t="s">
        <v>121</v>
      </c>
      <c r="B61" s="57" t="s">
        <v>128</v>
      </c>
      <c r="C61" s="58">
        <v>0.1423611111111111</v>
      </c>
      <c r="D61" s="57" t="s">
        <v>125</v>
      </c>
      <c r="E61" s="57" t="s">
        <v>126</v>
      </c>
      <c r="F61" s="57" t="s">
        <v>127</v>
      </c>
      <c r="G61" s="110"/>
      <c r="H61" s="50"/>
      <c r="I61" s="51"/>
      <c r="J61" s="51"/>
      <c r="K61" s="51"/>
      <c r="L61" s="51"/>
      <c r="M61" s="51"/>
      <c r="N61" s="51"/>
      <c r="O61" s="52"/>
      <c r="P61" s="51"/>
      <c r="Q61" s="53"/>
      <c r="R61" s="54"/>
    </row>
    <row r="62" spans="1:18" ht="15" customHeight="1" x14ac:dyDescent="0.3">
      <c r="A62" s="55" t="s">
        <v>121</v>
      </c>
      <c r="B62" s="55" t="s">
        <v>129</v>
      </c>
      <c r="C62" s="56">
        <v>0.93055555555555547</v>
      </c>
      <c r="D62" s="55" t="s">
        <v>123</v>
      </c>
      <c r="E62" s="55" t="s">
        <v>40</v>
      </c>
      <c r="F62" s="55" t="s">
        <v>124</v>
      </c>
      <c r="G62" s="110"/>
      <c r="H62" s="50"/>
      <c r="I62" s="51"/>
      <c r="J62" s="51"/>
      <c r="K62" s="51"/>
      <c r="L62" s="51"/>
      <c r="M62" s="51"/>
      <c r="N62" s="51"/>
      <c r="O62" s="52"/>
      <c r="P62" s="51"/>
      <c r="Q62" s="53"/>
      <c r="R62" s="54"/>
    </row>
    <row r="63" spans="1:18" ht="15" customHeight="1" x14ac:dyDescent="0.3">
      <c r="A63" s="57" t="s">
        <v>121</v>
      </c>
      <c r="B63" s="57" t="s">
        <v>129</v>
      </c>
      <c r="C63" s="58">
        <v>0.93055555555555547</v>
      </c>
      <c r="D63" s="57" t="s">
        <v>125</v>
      </c>
      <c r="E63" s="57" t="s">
        <v>126</v>
      </c>
      <c r="F63" s="57" t="s">
        <v>127</v>
      </c>
      <c r="G63" s="110"/>
      <c r="H63" s="50"/>
      <c r="I63" s="51"/>
      <c r="J63" s="51"/>
      <c r="K63" s="51"/>
      <c r="L63" s="51"/>
      <c r="M63" s="51"/>
      <c r="N63" s="51"/>
      <c r="O63" s="52"/>
      <c r="P63" s="51"/>
      <c r="Q63" s="53"/>
      <c r="R63" s="54"/>
    </row>
    <row r="64" spans="1:18" ht="15" customHeight="1" x14ac:dyDescent="0.3">
      <c r="A64" s="55" t="s">
        <v>121</v>
      </c>
      <c r="B64" s="55" t="s">
        <v>130</v>
      </c>
      <c r="C64" s="56">
        <v>0.37847222222222232</v>
      </c>
      <c r="D64" s="55" t="s">
        <v>123</v>
      </c>
      <c r="E64" s="55" t="s">
        <v>40</v>
      </c>
      <c r="F64" s="55" t="s">
        <v>131</v>
      </c>
      <c r="G64" s="110"/>
      <c r="H64" s="50"/>
      <c r="I64" s="51"/>
      <c r="J64" s="51"/>
      <c r="K64" s="51"/>
      <c r="L64" s="51"/>
      <c r="M64" s="51"/>
      <c r="N64" s="51"/>
      <c r="O64" s="52"/>
      <c r="P64" s="51"/>
      <c r="Q64" s="53"/>
      <c r="R64" s="54"/>
    </row>
    <row r="65" spans="1:18" ht="15" customHeight="1" x14ac:dyDescent="0.3">
      <c r="A65" s="57" t="s">
        <v>121</v>
      </c>
      <c r="B65" s="57" t="s">
        <v>130</v>
      </c>
      <c r="C65" s="58">
        <v>0.37847222222222232</v>
      </c>
      <c r="D65" s="57" t="s">
        <v>125</v>
      </c>
      <c r="E65" s="57" t="s">
        <v>126</v>
      </c>
      <c r="F65" s="57" t="s">
        <v>132</v>
      </c>
      <c r="G65" s="110"/>
      <c r="H65" s="50"/>
      <c r="I65" s="51"/>
      <c r="J65" s="51"/>
      <c r="K65" s="51"/>
      <c r="L65" s="51"/>
      <c r="M65" s="51"/>
      <c r="N65" s="51"/>
      <c r="O65" s="52"/>
      <c r="P65" s="51"/>
      <c r="Q65" s="53"/>
      <c r="R65" s="54"/>
    </row>
    <row r="66" spans="1:18" ht="15" customHeight="1" x14ac:dyDescent="0.3">
      <c r="A66" s="55" t="s">
        <v>121</v>
      </c>
      <c r="B66" s="55" t="s">
        <v>133</v>
      </c>
      <c r="C66" s="56">
        <v>0.71875</v>
      </c>
      <c r="D66" s="55" t="s">
        <v>123</v>
      </c>
      <c r="E66" s="55" t="s">
        <v>40</v>
      </c>
      <c r="F66" s="55" t="s">
        <v>131</v>
      </c>
      <c r="G66" s="110"/>
      <c r="H66" s="50"/>
      <c r="I66" s="51"/>
      <c r="J66" s="51"/>
      <c r="K66" s="51"/>
      <c r="L66" s="51"/>
      <c r="M66" s="51"/>
      <c r="N66" s="51"/>
      <c r="O66" s="52"/>
      <c r="P66" s="51"/>
      <c r="Q66" s="53"/>
      <c r="R66" s="54"/>
    </row>
    <row r="67" spans="1:18" ht="15" customHeight="1" x14ac:dyDescent="0.3">
      <c r="A67" s="57" t="s">
        <v>121</v>
      </c>
      <c r="B67" s="57" t="s">
        <v>133</v>
      </c>
      <c r="C67" s="58">
        <v>0.71875</v>
      </c>
      <c r="D67" s="57" t="s">
        <v>125</v>
      </c>
      <c r="E67" s="57" t="s">
        <v>126</v>
      </c>
      <c r="F67" s="57" t="s">
        <v>132</v>
      </c>
      <c r="G67" s="110"/>
      <c r="H67" s="50"/>
      <c r="I67" s="51"/>
      <c r="J67" s="51"/>
      <c r="K67" s="51"/>
      <c r="L67" s="51"/>
      <c r="M67" s="51"/>
      <c r="N67" s="51"/>
      <c r="O67" s="52"/>
      <c r="P67" s="51"/>
      <c r="Q67" s="53"/>
      <c r="R67" s="54"/>
    </row>
    <row r="68" spans="1:18" ht="15" customHeight="1" x14ac:dyDescent="0.3">
      <c r="A68" s="55" t="s">
        <v>121</v>
      </c>
      <c r="B68" s="55" t="s">
        <v>134</v>
      </c>
      <c r="C68" s="56">
        <v>0.61111111111111105</v>
      </c>
      <c r="D68" s="55" t="s">
        <v>123</v>
      </c>
      <c r="E68" s="55" t="s">
        <v>40</v>
      </c>
      <c r="F68" s="55" t="s">
        <v>131</v>
      </c>
      <c r="G68" s="110"/>
      <c r="H68" s="50"/>
      <c r="I68" s="51"/>
      <c r="J68" s="51"/>
      <c r="K68" s="51"/>
      <c r="L68" s="51"/>
      <c r="M68" s="51"/>
      <c r="N68" s="51"/>
      <c r="O68" s="52"/>
      <c r="P68" s="51"/>
      <c r="Q68" s="53"/>
      <c r="R68" s="54"/>
    </row>
    <row r="69" spans="1:18" ht="15" customHeight="1" x14ac:dyDescent="0.3">
      <c r="A69" s="57" t="s">
        <v>121</v>
      </c>
      <c r="B69" s="57" t="s">
        <v>134</v>
      </c>
      <c r="C69" s="58">
        <v>0.61111111111111105</v>
      </c>
      <c r="D69" s="57" t="s">
        <v>125</v>
      </c>
      <c r="E69" s="57" t="s">
        <v>126</v>
      </c>
      <c r="F69" s="57" t="s">
        <v>132</v>
      </c>
      <c r="G69" s="110"/>
      <c r="H69" s="50"/>
      <c r="I69" s="51"/>
      <c r="J69" s="51"/>
      <c r="K69" s="51"/>
      <c r="L69" s="51"/>
      <c r="M69" s="51"/>
      <c r="N69" s="51"/>
      <c r="O69" s="52"/>
      <c r="P69" s="51"/>
      <c r="Q69" s="53"/>
      <c r="R69" s="54"/>
    </row>
    <row r="70" spans="1:18" ht="15" customHeight="1" x14ac:dyDescent="0.3">
      <c r="A70" s="55" t="s">
        <v>121</v>
      </c>
      <c r="B70" s="55" t="s">
        <v>135</v>
      </c>
      <c r="C70" s="56">
        <v>6.9444444444444441E-3</v>
      </c>
      <c r="D70" s="55" t="s">
        <v>123</v>
      </c>
      <c r="E70" s="55" t="s">
        <v>40</v>
      </c>
      <c r="F70" s="55" t="s">
        <v>131</v>
      </c>
      <c r="G70" s="110"/>
      <c r="H70" s="50"/>
      <c r="I70" s="51"/>
      <c r="J70" s="51"/>
      <c r="K70" s="51"/>
      <c r="L70" s="51"/>
      <c r="M70" s="51"/>
      <c r="N70" s="51"/>
      <c r="O70" s="52"/>
      <c r="P70" s="51"/>
      <c r="Q70" s="53"/>
      <c r="R70" s="54"/>
    </row>
    <row r="71" spans="1:18" ht="15" customHeight="1" x14ac:dyDescent="0.3">
      <c r="A71" s="57" t="s">
        <v>121</v>
      </c>
      <c r="B71" s="57" t="s">
        <v>135</v>
      </c>
      <c r="C71" s="58">
        <v>6.9444444444444441E-3</v>
      </c>
      <c r="D71" s="57" t="s">
        <v>125</v>
      </c>
      <c r="E71" s="57" t="s">
        <v>126</v>
      </c>
      <c r="F71" s="57" t="s">
        <v>132</v>
      </c>
      <c r="G71" s="110"/>
      <c r="H71" s="50"/>
      <c r="I71" s="51"/>
      <c r="J71" s="51"/>
      <c r="K71" s="51"/>
      <c r="L71" s="51"/>
      <c r="M71" s="51"/>
      <c r="N71" s="51"/>
      <c r="O71" s="52"/>
      <c r="P71" s="51"/>
      <c r="Q71" s="53"/>
      <c r="R71" s="54"/>
    </row>
    <row r="72" spans="1:18" ht="15" customHeight="1" x14ac:dyDescent="0.3">
      <c r="A72" s="55" t="s">
        <v>121</v>
      </c>
      <c r="B72" s="55" t="s">
        <v>136</v>
      </c>
      <c r="C72" s="56">
        <v>0.82986111111111116</v>
      </c>
      <c r="D72" s="55" t="s">
        <v>123</v>
      </c>
      <c r="E72" s="55" t="s">
        <v>40</v>
      </c>
      <c r="F72" s="55" t="s">
        <v>131</v>
      </c>
      <c r="G72" s="110"/>
      <c r="H72" s="50"/>
      <c r="I72" s="51"/>
      <c r="J72" s="51"/>
      <c r="K72" s="51"/>
      <c r="L72" s="51"/>
      <c r="M72" s="51"/>
      <c r="N72" s="51"/>
      <c r="O72" s="52"/>
      <c r="P72" s="51"/>
      <c r="Q72" s="53"/>
      <c r="R72" s="54"/>
    </row>
    <row r="73" spans="1:18" ht="15" customHeight="1" x14ac:dyDescent="0.3">
      <c r="A73" s="57" t="s">
        <v>121</v>
      </c>
      <c r="B73" s="57" t="s">
        <v>136</v>
      </c>
      <c r="C73" s="58">
        <v>0.82986111111111116</v>
      </c>
      <c r="D73" s="57" t="s">
        <v>125</v>
      </c>
      <c r="E73" s="57" t="s">
        <v>126</v>
      </c>
      <c r="F73" s="57" t="s">
        <v>132</v>
      </c>
      <c r="G73" s="110"/>
      <c r="H73" s="50"/>
      <c r="I73" s="51"/>
      <c r="J73" s="51"/>
      <c r="K73" s="51"/>
      <c r="L73" s="51"/>
      <c r="M73" s="51"/>
      <c r="N73" s="51"/>
      <c r="O73" s="52"/>
      <c r="P73" s="51"/>
      <c r="Q73" s="53"/>
      <c r="R73" s="54"/>
    </row>
    <row r="74" spans="1:18" ht="15" customHeight="1" x14ac:dyDescent="0.3">
      <c r="A74" s="55" t="s">
        <v>121</v>
      </c>
      <c r="B74" s="55" t="s">
        <v>137</v>
      </c>
      <c r="C74" s="56">
        <v>0.88888888888888884</v>
      </c>
      <c r="D74" s="55" t="s">
        <v>125</v>
      </c>
      <c r="E74" s="55" t="s">
        <v>138</v>
      </c>
      <c r="F74" s="55" t="s">
        <v>139</v>
      </c>
      <c r="G74" s="110"/>
      <c r="H74" s="50"/>
      <c r="I74" s="51"/>
      <c r="J74" s="51"/>
      <c r="K74" s="51"/>
      <c r="L74" s="51"/>
      <c r="M74" s="51"/>
      <c r="N74" s="51"/>
      <c r="O74" s="52"/>
      <c r="P74" s="51"/>
      <c r="Q74" s="53"/>
      <c r="R74" s="54"/>
    </row>
    <row r="75" spans="1:18" ht="15" customHeight="1" x14ac:dyDescent="0.3">
      <c r="A75" s="55" t="s">
        <v>121</v>
      </c>
      <c r="B75" s="55" t="s">
        <v>140</v>
      </c>
      <c r="C75" s="56">
        <v>0.30208333333333331</v>
      </c>
      <c r="D75" s="55" t="s">
        <v>125</v>
      </c>
      <c r="E75" s="55" t="s">
        <v>138</v>
      </c>
      <c r="F75" s="55" t="s">
        <v>139</v>
      </c>
      <c r="G75" s="110"/>
      <c r="H75" s="50"/>
      <c r="I75" s="51"/>
      <c r="J75" s="51"/>
      <c r="K75" s="51"/>
      <c r="L75" s="51"/>
      <c r="M75" s="51"/>
      <c r="N75" s="51"/>
      <c r="O75" s="52"/>
      <c r="P75" s="51"/>
      <c r="Q75" s="53"/>
      <c r="R75" s="54"/>
    </row>
    <row r="76" spans="1:18" ht="15" customHeight="1" x14ac:dyDescent="0.3">
      <c r="A76" s="55" t="s">
        <v>121</v>
      </c>
      <c r="B76" s="55" t="s">
        <v>141</v>
      </c>
      <c r="C76" s="56">
        <v>0.12847222222222221</v>
      </c>
      <c r="D76" s="55" t="s">
        <v>125</v>
      </c>
      <c r="E76" s="55" t="s">
        <v>138</v>
      </c>
      <c r="F76" s="55" t="s">
        <v>139</v>
      </c>
      <c r="G76" s="110"/>
      <c r="H76" s="50"/>
      <c r="I76" s="51"/>
      <c r="J76" s="51"/>
      <c r="K76" s="51"/>
      <c r="L76" s="51"/>
      <c r="M76" s="51"/>
      <c r="N76" s="51"/>
      <c r="O76" s="52"/>
      <c r="P76" s="51"/>
      <c r="Q76" s="53"/>
      <c r="R76" s="54"/>
    </row>
    <row r="77" spans="1:18" ht="15" customHeight="1" x14ac:dyDescent="0.3">
      <c r="A77" s="59" t="s">
        <v>121</v>
      </c>
      <c r="B77" s="59" t="s">
        <v>142</v>
      </c>
      <c r="C77" s="60">
        <v>0.78819444444444453</v>
      </c>
      <c r="D77" s="59" t="s">
        <v>125</v>
      </c>
      <c r="E77" s="59" t="s">
        <v>138</v>
      </c>
      <c r="F77" s="59" t="s">
        <v>139</v>
      </c>
      <c r="G77" s="111"/>
      <c r="H77" s="61"/>
      <c r="I77" s="62"/>
      <c r="J77" s="62"/>
      <c r="K77" s="62"/>
      <c r="L77" s="62"/>
      <c r="M77" s="62"/>
      <c r="N77" s="62"/>
      <c r="O77" s="63"/>
      <c r="P77" s="62"/>
      <c r="Q77" s="64"/>
      <c r="R77" s="65"/>
    </row>
  </sheetData>
  <mergeCells count="10">
    <mergeCell ref="A4:F4"/>
    <mergeCell ref="H4:R4"/>
    <mergeCell ref="G6:G77"/>
    <mergeCell ref="N1:R1"/>
    <mergeCell ref="A2:F2"/>
    <mergeCell ref="A3:R3"/>
    <mergeCell ref="H1:L1"/>
    <mergeCell ref="A1:E1"/>
    <mergeCell ref="G2:J2"/>
    <mergeCell ref="K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"/>
  <sheetViews>
    <sheetView workbookViewId="0"/>
  </sheetViews>
  <sheetFormatPr defaultRowHeight="15.6" outlineLevelCol="1" x14ac:dyDescent="0.3"/>
  <cols>
    <col min="1" max="1" width="6.88671875" style="114" bestFit="1" customWidth="1"/>
    <col min="2" max="2" width="10.44140625" style="114" bestFit="1" customWidth="1"/>
    <col min="3" max="3" width="6.77734375" style="114" bestFit="1" customWidth="1"/>
    <col min="4" max="4" width="5.5546875" style="114" bestFit="1" customWidth="1"/>
    <col min="5" max="5" width="7.5546875" style="114" bestFit="1" customWidth="1"/>
    <col min="6" max="6" width="4.21875" style="114" bestFit="1" customWidth="1"/>
    <col min="7" max="7" width="10" style="114" bestFit="1" customWidth="1"/>
    <col min="8" max="8" width="8.5546875" style="114" bestFit="1" customWidth="1"/>
    <col min="9" max="10" width="7" style="114" bestFit="1" customWidth="1"/>
    <col min="11" max="11" width="10.5546875" style="114" bestFit="1" customWidth="1"/>
    <col min="12" max="12" width="9.109375" style="114" bestFit="1" customWidth="1"/>
    <col min="13" max="13" width="7.6640625" style="114" bestFit="1" customWidth="1" outlineLevel="1"/>
    <col min="14" max="14" width="6.33203125" style="114" bestFit="1" customWidth="1" outlineLevel="1"/>
    <col min="15" max="15" width="8" style="114" bestFit="1" customWidth="1" outlineLevel="1"/>
    <col min="16" max="16" width="13.6640625" style="114" bestFit="1" customWidth="1"/>
    <col min="17" max="22" width="3.88671875" style="114" bestFit="1" customWidth="1"/>
    <col min="23" max="23" width="4.33203125" style="114" bestFit="1" customWidth="1"/>
    <col min="24" max="24" width="4.109375" style="114" bestFit="1" customWidth="1"/>
    <col min="25" max="25" width="4.44140625" style="114" bestFit="1" customWidth="1"/>
    <col min="26" max="26" width="4.109375" style="114" bestFit="1" customWidth="1"/>
    <col min="27" max="27" width="5" style="114" bestFit="1" customWidth="1"/>
    <col min="28" max="29" width="4.21875" style="114" bestFit="1" customWidth="1"/>
    <col min="30" max="31" width="4.5546875" style="114" bestFit="1" customWidth="1"/>
    <col min="32" max="34" width="3.88671875" style="114" bestFit="1" customWidth="1"/>
    <col min="35" max="35" width="4.21875" style="114" bestFit="1" customWidth="1"/>
    <col min="36" max="36" width="3.88671875" style="114" bestFit="1" customWidth="1"/>
    <col min="37" max="16384" width="8.88671875" style="114"/>
  </cols>
  <sheetData>
    <row r="1" spans="1:36" x14ac:dyDescent="0.3">
      <c r="A1" s="113" t="s">
        <v>143</v>
      </c>
      <c r="B1" s="113" t="s">
        <v>144</v>
      </c>
      <c r="C1" s="113" t="s">
        <v>145</v>
      </c>
      <c r="D1" s="113" t="s">
        <v>23</v>
      </c>
      <c r="E1" s="113" t="s">
        <v>146</v>
      </c>
      <c r="F1" s="113" t="s">
        <v>147</v>
      </c>
      <c r="G1" s="113" t="s">
        <v>16</v>
      </c>
      <c r="H1" s="113" t="s">
        <v>148</v>
      </c>
      <c r="I1" s="113" t="s">
        <v>149</v>
      </c>
      <c r="J1" s="113" t="s">
        <v>150</v>
      </c>
      <c r="K1" s="113" t="s">
        <v>151</v>
      </c>
      <c r="L1" s="113" t="s">
        <v>18</v>
      </c>
      <c r="M1" s="113" t="s">
        <v>20</v>
      </c>
      <c r="N1" s="113" t="s">
        <v>21</v>
      </c>
      <c r="O1" s="113" t="s">
        <v>19</v>
      </c>
      <c r="P1" s="113" t="s">
        <v>22</v>
      </c>
      <c r="Q1" s="113" t="s">
        <v>152</v>
      </c>
      <c r="R1" s="113" t="s">
        <v>153</v>
      </c>
      <c r="S1" s="113" t="s">
        <v>154</v>
      </c>
      <c r="T1" s="113" t="s">
        <v>155</v>
      </c>
      <c r="U1" s="113" t="s">
        <v>156</v>
      </c>
      <c r="V1" s="113" t="s">
        <v>157</v>
      </c>
      <c r="W1" s="113" t="s">
        <v>158</v>
      </c>
      <c r="X1" s="113" t="s">
        <v>159</v>
      </c>
      <c r="Y1" s="113" t="s">
        <v>160</v>
      </c>
      <c r="Z1" s="113" t="s">
        <v>161</v>
      </c>
      <c r="AA1" s="113" t="s">
        <v>162</v>
      </c>
      <c r="AB1" s="113" t="s">
        <v>163</v>
      </c>
      <c r="AC1" s="113" t="s">
        <v>164</v>
      </c>
      <c r="AD1" s="113" t="s">
        <v>165</v>
      </c>
      <c r="AE1" s="113" t="s">
        <v>166</v>
      </c>
      <c r="AF1" s="113" t="s">
        <v>167</v>
      </c>
      <c r="AG1" s="113" t="s">
        <v>168</v>
      </c>
      <c r="AH1" s="113" t="s">
        <v>169</v>
      </c>
      <c r="AI1" s="113" t="s">
        <v>170</v>
      </c>
      <c r="AJ1" s="113" t="s">
        <v>171</v>
      </c>
    </row>
    <row r="2" spans="1:36" x14ac:dyDescent="0.3">
      <c r="A2" s="115" t="s">
        <v>172</v>
      </c>
      <c r="B2" s="116">
        <v>45982</v>
      </c>
      <c r="C2" s="117" t="s">
        <v>42</v>
      </c>
      <c r="D2" s="118" t="s">
        <v>173</v>
      </c>
      <c r="E2" s="117" t="s">
        <v>1</v>
      </c>
      <c r="F2" s="117" t="s">
        <v>174</v>
      </c>
      <c r="G2" s="119">
        <v>0.65359999999999996</v>
      </c>
      <c r="H2" s="120">
        <v>179</v>
      </c>
      <c r="I2" s="120">
        <v>117</v>
      </c>
      <c r="J2" s="120">
        <v>0</v>
      </c>
      <c r="K2" s="117" t="s">
        <v>175</v>
      </c>
      <c r="L2" s="121">
        <v>45981</v>
      </c>
      <c r="M2" s="120">
        <v>25</v>
      </c>
      <c r="N2" s="120">
        <v>4</v>
      </c>
      <c r="O2" s="120">
        <v>48</v>
      </c>
      <c r="P2" s="117" t="s">
        <v>43</v>
      </c>
      <c r="Q2" s="113"/>
      <c r="R2" s="113"/>
      <c r="S2" s="113"/>
      <c r="T2" s="113"/>
      <c r="U2" s="113"/>
      <c r="V2" s="120" t="s">
        <v>176</v>
      </c>
      <c r="W2" s="120" t="s">
        <v>177</v>
      </c>
      <c r="X2" s="120" t="s">
        <v>178</v>
      </c>
      <c r="Y2" s="120" t="s">
        <v>179</v>
      </c>
      <c r="Z2" s="120" t="s">
        <v>180</v>
      </c>
      <c r="AA2" s="120" t="s">
        <v>181</v>
      </c>
      <c r="AB2" s="113"/>
      <c r="AC2" s="120" t="s">
        <v>182</v>
      </c>
      <c r="AD2" s="113"/>
      <c r="AE2" s="113"/>
      <c r="AF2" s="113"/>
      <c r="AG2" s="113"/>
      <c r="AH2" s="113"/>
      <c r="AI2" s="113"/>
      <c r="AJ2" s="113"/>
    </row>
    <row r="3" spans="1:36" x14ac:dyDescent="0.3">
      <c r="A3" s="115" t="s">
        <v>172</v>
      </c>
      <c r="B3" s="116">
        <v>45982</v>
      </c>
      <c r="C3" s="117" t="s">
        <v>31</v>
      </c>
      <c r="D3" s="118" t="s">
        <v>183</v>
      </c>
      <c r="E3" s="117" t="s">
        <v>1</v>
      </c>
      <c r="F3" s="117" t="s">
        <v>174</v>
      </c>
      <c r="G3" s="119">
        <v>0.66479999999999995</v>
      </c>
      <c r="H3" s="120">
        <v>179</v>
      </c>
      <c r="I3" s="120">
        <v>119</v>
      </c>
      <c r="J3" s="120">
        <v>1</v>
      </c>
      <c r="K3" s="117" t="s">
        <v>175</v>
      </c>
      <c r="L3" s="121">
        <v>45981</v>
      </c>
      <c r="M3" s="120">
        <v>6</v>
      </c>
      <c r="N3" s="120">
        <v>0</v>
      </c>
      <c r="O3" s="120">
        <v>18</v>
      </c>
      <c r="P3" s="117" t="s">
        <v>32</v>
      </c>
      <c r="Q3" s="113"/>
      <c r="R3" s="113"/>
      <c r="S3" s="113"/>
      <c r="T3" s="113"/>
      <c r="U3" s="113"/>
      <c r="V3" s="120" t="s">
        <v>184</v>
      </c>
      <c r="W3" s="120" t="s">
        <v>177</v>
      </c>
      <c r="X3" s="120" t="s">
        <v>185</v>
      </c>
      <c r="Y3" s="120" t="s">
        <v>186</v>
      </c>
      <c r="Z3" s="120" t="s">
        <v>187</v>
      </c>
      <c r="AA3" s="120" t="s">
        <v>188</v>
      </c>
      <c r="AB3" s="120" t="s">
        <v>189</v>
      </c>
      <c r="AC3" s="120" t="s">
        <v>190</v>
      </c>
      <c r="AD3" s="120" t="s">
        <v>191</v>
      </c>
      <c r="AE3" s="120" t="s">
        <v>192</v>
      </c>
      <c r="AF3" s="120" t="s">
        <v>193</v>
      </c>
      <c r="AG3" s="113"/>
      <c r="AH3" s="113"/>
      <c r="AI3" s="120" t="s">
        <v>194</v>
      </c>
      <c r="AJ3" s="113"/>
    </row>
    <row r="4" spans="1:36" x14ac:dyDescent="0.3">
      <c r="A4" s="115" t="s">
        <v>172</v>
      </c>
      <c r="B4" s="116">
        <v>45982</v>
      </c>
      <c r="C4" s="117" t="s">
        <v>49</v>
      </c>
      <c r="D4" s="118" t="s">
        <v>195</v>
      </c>
      <c r="E4" s="117" t="s">
        <v>1</v>
      </c>
      <c r="F4" s="117" t="s">
        <v>174</v>
      </c>
      <c r="G4" s="119">
        <v>0.69189999999999996</v>
      </c>
      <c r="H4" s="120">
        <v>185</v>
      </c>
      <c r="I4" s="120">
        <v>128</v>
      </c>
      <c r="J4" s="120">
        <v>0</v>
      </c>
      <c r="K4" s="117" t="s">
        <v>175</v>
      </c>
      <c r="L4" s="121">
        <v>45981</v>
      </c>
      <c r="M4" s="120">
        <v>24</v>
      </c>
      <c r="N4" s="120">
        <v>7</v>
      </c>
      <c r="O4" s="120">
        <v>36</v>
      </c>
      <c r="P4" s="117" t="s">
        <v>43</v>
      </c>
      <c r="Q4" s="113"/>
      <c r="R4" s="113"/>
      <c r="S4" s="113"/>
      <c r="T4" s="113"/>
      <c r="U4" s="113"/>
      <c r="V4" s="113"/>
      <c r="W4" s="120" t="s">
        <v>196</v>
      </c>
      <c r="X4" s="120" t="s">
        <v>197</v>
      </c>
      <c r="Y4" s="120" t="s">
        <v>198</v>
      </c>
      <c r="Z4" s="120" t="s">
        <v>199</v>
      </c>
      <c r="AA4" s="120" t="s">
        <v>200</v>
      </c>
      <c r="AB4" s="113"/>
      <c r="AC4" s="113"/>
      <c r="AD4" s="113"/>
      <c r="AE4" s="113"/>
      <c r="AF4" s="113"/>
      <c r="AG4" s="113"/>
      <c r="AH4" s="113"/>
      <c r="AI4" s="113"/>
      <c r="AJ4" s="113"/>
    </row>
    <row r="5" spans="1:36" x14ac:dyDescent="0.3">
      <c r="A5" s="115" t="s">
        <v>172</v>
      </c>
      <c r="B5" s="116">
        <v>45982</v>
      </c>
      <c r="C5" s="117" t="s">
        <v>36</v>
      </c>
      <c r="D5" s="118" t="s">
        <v>201</v>
      </c>
      <c r="E5" s="117" t="s">
        <v>1</v>
      </c>
      <c r="F5" s="117" t="s">
        <v>174</v>
      </c>
      <c r="G5" s="119">
        <v>0.60340000000000005</v>
      </c>
      <c r="H5" s="120">
        <v>179</v>
      </c>
      <c r="I5" s="120">
        <v>108</v>
      </c>
      <c r="J5" s="120">
        <v>0</v>
      </c>
      <c r="K5" s="117" t="s">
        <v>175</v>
      </c>
      <c r="L5" s="121">
        <v>45981</v>
      </c>
      <c r="M5" s="120">
        <v>6</v>
      </c>
      <c r="N5" s="120">
        <v>1</v>
      </c>
      <c r="O5" s="120">
        <v>26</v>
      </c>
      <c r="P5" s="117" t="s">
        <v>37</v>
      </c>
      <c r="Q5" s="113"/>
      <c r="R5" s="113"/>
      <c r="S5" s="113"/>
      <c r="T5" s="113"/>
      <c r="U5" s="113"/>
      <c r="V5" s="113"/>
      <c r="W5" s="120" t="s">
        <v>202</v>
      </c>
      <c r="X5" s="120" t="s">
        <v>203</v>
      </c>
      <c r="Y5" s="120" t="s">
        <v>204</v>
      </c>
      <c r="Z5" s="120" t="s">
        <v>205</v>
      </c>
      <c r="AA5" s="120" t="s">
        <v>206</v>
      </c>
      <c r="AB5" s="113"/>
      <c r="AC5" s="113"/>
      <c r="AD5" s="113"/>
      <c r="AE5" s="113"/>
      <c r="AF5" s="113"/>
      <c r="AG5" s="113"/>
      <c r="AH5" s="113"/>
      <c r="AI5" s="113"/>
      <c r="AJ5" s="113"/>
    </row>
    <row r="6" spans="1:36" x14ac:dyDescent="0.3">
      <c r="A6" s="115" t="s">
        <v>172</v>
      </c>
      <c r="B6" s="116">
        <v>45982</v>
      </c>
      <c r="C6" s="117" t="s">
        <v>46</v>
      </c>
      <c r="D6" s="118" t="s">
        <v>207</v>
      </c>
      <c r="E6" s="117" t="s">
        <v>1</v>
      </c>
      <c r="F6" s="117" t="s">
        <v>174</v>
      </c>
      <c r="G6" s="119">
        <v>0.56220000000000003</v>
      </c>
      <c r="H6" s="120">
        <v>185</v>
      </c>
      <c r="I6" s="120">
        <v>104</v>
      </c>
      <c r="J6" s="120">
        <v>0</v>
      </c>
      <c r="K6" s="117" t="s">
        <v>175</v>
      </c>
      <c r="L6" s="121">
        <v>45981</v>
      </c>
      <c r="M6" s="120">
        <v>8</v>
      </c>
      <c r="N6" s="120">
        <v>1</v>
      </c>
      <c r="O6" s="120">
        <v>22</v>
      </c>
      <c r="P6" s="117" t="s">
        <v>43</v>
      </c>
      <c r="Q6" s="113"/>
      <c r="R6" s="113"/>
      <c r="S6" s="113"/>
      <c r="T6" s="113"/>
      <c r="U6" s="113"/>
      <c r="V6" s="113"/>
      <c r="W6" s="120" t="s">
        <v>208</v>
      </c>
      <c r="X6" s="120" t="s">
        <v>209</v>
      </c>
      <c r="Y6" s="120" t="s">
        <v>179</v>
      </c>
      <c r="Z6" s="120" t="s">
        <v>210</v>
      </c>
      <c r="AA6" s="120" t="s">
        <v>181</v>
      </c>
      <c r="AB6" s="113"/>
      <c r="AC6" s="113"/>
      <c r="AD6" s="113"/>
      <c r="AE6" s="113"/>
      <c r="AF6" s="113"/>
      <c r="AG6" s="113"/>
      <c r="AH6" s="113"/>
      <c r="AI6" s="113"/>
      <c r="AJ6" s="113"/>
    </row>
    <row r="7" spans="1:36" x14ac:dyDescent="0.3">
      <c r="A7" s="115" t="s">
        <v>172</v>
      </c>
      <c r="B7" s="116">
        <v>45982</v>
      </c>
      <c r="C7" s="117" t="s">
        <v>51</v>
      </c>
      <c r="D7" s="118" t="s">
        <v>211</v>
      </c>
      <c r="E7" s="117" t="s">
        <v>1</v>
      </c>
      <c r="F7" s="117" t="s">
        <v>174</v>
      </c>
      <c r="G7" s="119">
        <v>1.0115000000000001</v>
      </c>
      <c r="H7" s="120">
        <v>174</v>
      </c>
      <c r="I7" s="120">
        <v>176</v>
      </c>
      <c r="J7" s="120">
        <v>92</v>
      </c>
      <c r="K7" s="117" t="s">
        <v>175</v>
      </c>
      <c r="L7" s="121">
        <v>45979</v>
      </c>
      <c r="M7" s="120">
        <v>0</v>
      </c>
      <c r="N7" s="120">
        <v>0</v>
      </c>
      <c r="O7" s="120">
        <v>6</v>
      </c>
      <c r="P7" s="117" t="s">
        <v>54</v>
      </c>
      <c r="Q7" s="113"/>
      <c r="R7" s="113"/>
      <c r="S7" s="113"/>
      <c r="T7" s="113"/>
      <c r="U7" s="113"/>
      <c r="V7" s="113"/>
      <c r="W7" s="120" t="s">
        <v>212</v>
      </c>
      <c r="X7" s="113"/>
      <c r="Y7" s="120" t="s">
        <v>213</v>
      </c>
      <c r="Z7" s="120" t="s">
        <v>214</v>
      </c>
      <c r="AA7" s="120" t="s">
        <v>215</v>
      </c>
      <c r="AB7" s="120" t="s">
        <v>216</v>
      </c>
      <c r="AC7" s="120" t="s">
        <v>217</v>
      </c>
      <c r="AD7" s="120" t="s">
        <v>218</v>
      </c>
      <c r="AE7" s="120" t="s">
        <v>219</v>
      </c>
      <c r="AF7" s="120" t="s">
        <v>220</v>
      </c>
      <c r="AG7" s="113"/>
      <c r="AH7" s="113"/>
      <c r="AI7" s="120" t="s">
        <v>221</v>
      </c>
      <c r="AJ7" s="113"/>
    </row>
    <row r="8" spans="1:36" ht="21" x14ac:dyDescent="0.3">
      <c r="A8" s="122" t="s">
        <v>225</v>
      </c>
      <c r="B8" s="123"/>
      <c r="C8" s="122">
        <f>SUBTOTAL(103,JED_CAI_LF_LEGACY[Flt])</f>
        <v>6</v>
      </c>
      <c r="D8" s="122"/>
      <c r="E8" s="122">
        <f>SUBTOTAL(103,JED_CAI_LF_LEGACY[Brd-Off])</f>
        <v>6</v>
      </c>
      <c r="F8" s="122"/>
      <c r="G8" s="124">
        <f>SUBTOTAL(101,JED_CAI_LF_LEGACY[LF%])</f>
        <v>0.69790000000000008</v>
      </c>
      <c r="H8" s="125">
        <f>SUBTOTAL(109,JED_CAI_LF_LEGACY[CAP])</f>
        <v>1081</v>
      </c>
      <c r="I8" s="125">
        <f>SUBTOTAL(109,JED_CAI_LF_LEGACY[BKG(Y)])</f>
        <v>752</v>
      </c>
      <c r="J8" s="125">
        <f>SUBTOTAL(109,JED_CAI_LF_LEGACY[GRP(Y)])</f>
        <v>93</v>
      </c>
      <c r="K8" s="122"/>
      <c r="L8" s="123"/>
      <c r="M8" s="125">
        <f>SUBTOTAL(109,JED_CAI_LF_LEGACY[TO-DAY])</f>
        <v>69</v>
      </c>
      <c r="N8" s="125">
        <f>SUBTOTAL(109,JED_CAI_LF_LEGACY[Y-DAY])</f>
        <v>13</v>
      </c>
      <c r="O8" s="125">
        <f>SUBTOTAL(109,JED_CAI_LF_LEGACY[WEEKLY])</f>
        <v>156</v>
      </c>
      <c r="P8" s="126"/>
      <c r="Q8" s="125">
        <f>SUBTOTAL(109,JED_CAI_LF_LEGACY[Y])</f>
        <v>0</v>
      </c>
      <c r="R8" s="125">
        <f>SUBTOTAL(109,JED_CAI_LF_LEGACY[B])</f>
        <v>0</v>
      </c>
      <c r="S8" s="125">
        <f>SUBTOTAL(109,JED_CAI_LF_LEGACY[M])</f>
        <v>0</v>
      </c>
      <c r="T8" s="125">
        <f>SUBTOTAL(109,JED_CAI_LF_LEGACY[H])</f>
        <v>0</v>
      </c>
      <c r="U8" s="125">
        <f>SUBTOTAL(109,JED_CAI_LF_LEGACY[Q])</f>
        <v>0</v>
      </c>
      <c r="V8" s="125">
        <f>SUBTOTAL(109,JED_CAI_LF_LEGACY[K])</f>
        <v>0</v>
      </c>
      <c r="W8" s="125">
        <f>SUBTOTAL(109,JED_CAI_LF_LEGACY[V])</f>
        <v>0</v>
      </c>
      <c r="X8" s="125">
        <f>SUBTOTAL(109,JED_CAI_LF_LEGACY[L])</f>
        <v>0</v>
      </c>
      <c r="Y8" s="125">
        <f>SUBTOTAL(109,JED_CAI_LF_LEGACY[G])</f>
        <v>0</v>
      </c>
      <c r="Z8" s="125">
        <f>SUBTOTAL(109,JED_CAI_LF_LEGACY[S])</f>
        <v>0</v>
      </c>
      <c r="AA8" s="125">
        <f>SUBTOTAL(109,JED_CAI_LF_LEGACY[W])</f>
        <v>0</v>
      </c>
      <c r="AB8" s="125">
        <f>SUBTOTAL(109,JED_CAI_LF_LEGACY[T])</f>
        <v>0</v>
      </c>
      <c r="AC8" s="125">
        <f>SUBTOTAL(109,JED_CAI_LF_LEGACY[X])</f>
        <v>0</v>
      </c>
      <c r="AD8" s="125">
        <f>SUBTOTAL(109,JED_CAI_LF_LEGACY[U])</f>
        <v>0</v>
      </c>
      <c r="AE8" s="125">
        <f>SUBTOTAL(109,JED_CAI_LF_LEGACY[O])</f>
        <v>0</v>
      </c>
      <c r="AF8" s="125">
        <f>SUBTOTAL(109,JED_CAI_LF_LEGACY[I])</f>
        <v>0</v>
      </c>
      <c r="AG8" s="125">
        <f>SUBTOTAL(109,JED_CAI_LF_LEGACY[E])</f>
        <v>0</v>
      </c>
      <c r="AH8" s="125">
        <f>SUBTOTAL(109,JED_CAI_LF_LEGACY[A])</f>
        <v>0</v>
      </c>
      <c r="AI8" s="125">
        <f>SUBTOTAL(109,JED_CAI_LF_LEGACY[P])</f>
        <v>0</v>
      </c>
      <c r="AJ8" s="125">
        <f>SUBTOTAL(103,JED_CAI_LF_LEGACY[N])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3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205.88671875" hidden="1" customWidth="1"/>
  </cols>
  <sheetData>
    <row r="1" spans="1:9" ht="18" x14ac:dyDescent="0.3">
      <c r="A1" s="73" t="s">
        <v>222</v>
      </c>
      <c r="B1" s="74" t="s">
        <v>8</v>
      </c>
      <c r="C1" s="74" t="s">
        <v>9</v>
      </c>
      <c r="D1" s="74" t="s">
        <v>223</v>
      </c>
      <c r="E1" s="74" t="s">
        <v>10</v>
      </c>
      <c r="F1" s="74" t="s">
        <v>11</v>
      </c>
      <c r="G1" s="74" t="s">
        <v>12</v>
      </c>
      <c r="H1" s="75" t="s">
        <v>13</v>
      </c>
      <c r="I1" s="2"/>
    </row>
    <row r="2" spans="1:9" ht="19.8" customHeight="1" x14ac:dyDescent="0.3">
      <c r="A2" s="76" t="s">
        <v>224</v>
      </c>
      <c r="B2" s="77" t="s">
        <v>26</v>
      </c>
      <c r="C2" s="78" t="s">
        <v>27</v>
      </c>
      <c r="D2" s="77" t="s">
        <v>1</v>
      </c>
      <c r="E2" s="77" t="s">
        <v>183</v>
      </c>
      <c r="F2" s="77" t="s">
        <v>28</v>
      </c>
      <c r="G2" s="79">
        <v>9</v>
      </c>
      <c r="H2" s="80">
        <v>646</v>
      </c>
      <c r="I2" s="2"/>
    </row>
    <row r="3" spans="1:9" ht="19.8" customHeight="1" x14ac:dyDescent="0.3">
      <c r="A3" s="81">
        <v>45982</v>
      </c>
      <c r="B3" s="77" t="s">
        <v>26</v>
      </c>
      <c r="C3" s="78" t="s">
        <v>34</v>
      </c>
      <c r="D3" s="77" t="s">
        <v>1</v>
      </c>
      <c r="E3" s="82">
        <v>1.614583333333333</v>
      </c>
      <c r="F3" s="77" t="s">
        <v>28</v>
      </c>
      <c r="G3" s="79">
        <v>8</v>
      </c>
      <c r="H3" s="80">
        <v>646</v>
      </c>
      <c r="I3" s="2"/>
    </row>
    <row r="4" spans="1:9" ht="19.8" customHeight="1" x14ac:dyDescent="0.3">
      <c r="A4" s="83">
        <v>45982</v>
      </c>
      <c r="B4" s="84" t="s">
        <v>56</v>
      </c>
      <c r="C4" s="85" t="s">
        <v>57</v>
      </c>
      <c r="D4" s="84" t="s">
        <v>1</v>
      </c>
      <c r="E4" s="86">
        <v>1.145833333333333</v>
      </c>
      <c r="F4" s="84" t="s">
        <v>58</v>
      </c>
      <c r="G4" s="87">
        <v>9</v>
      </c>
      <c r="H4" s="88">
        <v>673</v>
      </c>
      <c r="I4" s="2"/>
    </row>
    <row r="5" spans="1:9" ht="19.8" customHeight="1" x14ac:dyDescent="0.3">
      <c r="A5" s="83">
        <v>45982</v>
      </c>
      <c r="B5" s="84" t="s">
        <v>70</v>
      </c>
      <c r="C5" s="85" t="s">
        <v>71</v>
      </c>
      <c r="D5" s="84" t="s">
        <v>1</v>
      </c>
      <c r="E5" s="86">
        <v>1.788194444444444</v>
      </c>
      <c r="F5" s="84" t="s">
        <v>72</v>
      </c>
      <c r="G5" s="87">
        <v>11</v>
      </c>
      <c r="H5" s="88">
        <v>689</v>
      </c>
      <c r="I5" s="2"/>
    </row>
    <row r="6" spans="1:9" ht="19.8" customHeight="1" x14ac:dyDescent="0.3">
      <c r="A6" s="83">
        <v>45982</v>
      </c>
      <c r="B6" s="84" t="s">
        <v>70</v>
      </c>
      <c r="C6" s="85" t="s">
        <v>80</v>
      </c>
      <c r="D6" s="84" t="s">
        <v>1</v>
      </c>
      <c r="E6" s="86">
        <v>1.8888888888888891</v>
      </c>
      <c r="F6" s="84" t="s">
        <v>72</v>
      </c>
      <c r="G6" s="87">
        <v>12</v>
      </c>
      <c r="H6" s="88">
        <v>689</v>
      </c>
      <c r="I6" s="2"/>
    </row>
    <row r="7" spans="1:9" ht="19.8" customHeight="1" x14ac:dyDescent="0.3">
      <c r="A7" s="81">
        <v>45982</v>
      </c>
      <c r="B7" s="77" t="s">
        <v>26</v>
      </c>
      <c r="C7" s="78" t="s">
        <v>39</v>
      </c>
      <c r="D7" s="77" t="s">
        <v>1</v>
      </c>
      <c r="E7" s="82">
        <v>1.114583333333333</v>
      </c>
      <c r="F7" s="77" t="s">
        <v>28</v>
      </c>
      <c r="G7" s="79">
        <v>9</v>
      </c>
      <c r="H7" s="80">
        <v>706</v>
      </c>
      <c r="I7" s="2"/>
    </row>
    <row r="8" spans="1:9" ht="19.8" customHeight="1" x14ac:dyDescent="0.3">
      <c r="A8" s="81">
        <v>45982</v>
      </c>
      <c r="B8" s="77" t="s">
        <v>26</v>
      </c>
      <c r="C8" s="78" t="s">
        <v>45</v>
      </c>
      <c r="D8" s="77" t="s">
        <v>1</v>
      </c>
      <c r="E8" s="82">
        <v>1.7361111111111109</v>
      </c>
      <c r="F8" s="77" t="s">
        <v>28</v>
      </c>
      <c r="G8" s="79">
        <v>9</v>
      </c>
      <c r="H8" s="80">
        <v>706</v>
      </c>
      <c r="I8" s="2"/>
    </row>
    <row r="9" spans="1:9" ht="19.8" customHeight="1" x14ac:dyDescent="0.3">
      <c r="A9" s="81">
        <v>45982</v>
      </c>
      <c r="B9" s="77" t="s">
        <v>26</v>
      </c>
      <c r="C9" s="78" t="s">
        <v>48</v>
      </c>
      <c r="D9" s="77" t="s">
        <v>1</v>
      </c>
      <c r="E9" s="82">
        <v>1.458333333333333</v>
      </c>
      <c r="F9" s="77" t="s">
        <v>28</v>
      </c>
      <c r="G9" s="79">
        <v>9</v>
      </c>
      <c r="H9" s="80">
        <v>706</v>
      </c>
      <c r="I9" s="2"/>
    </row>
    <row r="10" spans="1:9" ht="19.8" customHeight="1" x14ac:dyDescent="0.3">
      <c r="A10" s="83">
        <v>45982</v>
      </c>
      <c r="B10" s="84" t="s">
        <v>90</v>
      </c>
      <c r="C10" s="85" t="s">
        <v>91</v>
      </c>
      <c r="D10" s="84" t="s">
        <v>1</v>
      </c>
      <c r="E10" s="86">
        <v>1.975694444444444</v>
      </c>
      <c r="F10" s="84" t="s">
        <v>92</v>
      </c>
      <c r="G10" s="87">
        <v>9</v>
      </c>
      <c r="H10" s="88">
        <v>714</v>
      </c>
      <c r="I10" s="2"/>
    </row>
    <row r="11" spans="1:9" ht="19.8" customHeight="1" x14ac:dyDescent="0.3">
      <c r="A11" s="83">
        <v>45982</v>
      </c>
      <c r="B11" s="84" t="s">
        <v>99</v>
      </c>
      <c r="C11" s="85" t="s">
        <v>100</v>
      </c>
      <c r="D11" s="84" t="s">
        <v>1</v>
      </c>
      <c r="E11" s="86">
        <v>1.256944444444444</v>
      </c>
      <c r="F11" s="84" t="s">
        <v>101</v>
      </c>
      <c r="G11" s="87">
        <v>7</v>
      </c>
      <c r="H11" s="88">
        <v>719</v>
      </c>
      <c r="I11" s="2"/>
    </row>
    <row r="12" spans="1:9" ht="19.8" customHeight="1" x14ac:dyDescent="0.3">
      <c r="A12" s="83">
        <v>45982</v>
      </c>
      <c r="B12" s="84" t="s">
        <v>99</v>
      </c>
      <c r="C12" s="85" t="s">
        <v>109</v>
      </c>
      <c r="D12" s="84" t="s">
        <v>1</v>
      </c>
      <c r="E12" s="86">
        <v>1.9027777777777779</v>
      </c>
      <c r="F12" s="84" t="s">
        <v>101</v>
      </c>
      <c r="G12" s="87">
        <v>9</v>
      </c>
      <c r="H12" s="88">
        <v>719</v>
      </c>
      <c r="I12" s="2"/>
    </row>
    <row r="13" spans="1:9" ht="19.8" customHeight="1" x14ac:dyDescent="0.3">
      <c r="A13" s="83">
        <v>45982</v>
      </c>
      <c r="B13" s="84" t="s">
        <v>99</v>
      </c>
      <c r="C13" s="85" t="s">
        <v>110</v>
      </c>
      <c r="D13" s="84" t="s">
        <v>1</v>
      </c>
      <c r="E13" s="86">
        <v>1.645833333333333</v>
      </c>
      <c r="F13" s="84" t="s">
        <v>101</v>
      </c>
      <c r="G13" s="87">
        <v>9</v>
      </c>
      <c r="H13" s="88">
        <v>719</v>
      </c>
      <c r="I13" s="2"/>
    </row>
    <row r="14" spans="1:9" ht="19.8" customHeight="1" x14ac:dyDescent="0.3">
      <c r="A14" s="83">
        <v>45982</v>
      </c>
      <c r="B14" s="84" t="s">
        <v>99</v>
      </c>
      <c r="C14" s="85" t="s">
        <v>111</v>
      </c>
      <c r="D14" s="84" t="s">
        <v>1</v>
      </c>
      <c r="E14" s="86">
        <v>1.5173611111111109</v>
      </c>
      <c r="F14" s="84" t="s">
        <v>101</v>
      </c>
      <c r="G14" s="87">
        <v>8</v>
      </c>
      <c r="H14" s="88">
        <v>719</v>
      </c>
      <c r="I14" s="2"/>
    </row>
    <row r="15" spans="1:9" ht="19.8" customHeight="1" x14ac:dyDescent="0.3">
      <c r="A15" s="83">
        <v>45982</v>
      </c>
      <c r="B15" s="84" t="s">
        <v>99</v>
      </c>
      <c r="C15" s="85" t="s">
        <v>113</v>
      </c>
      <c r="D15" s="84" t="s">
        <v>1</v>
      </c>
      <c r="E15" s="86">
        <v>1.854166666666667</v>
      </c>
      <c r="F15" s="84" t="s">
        <v>101</v>
      </c>
      <c r="G15" s="87">
        <v>9</v>
      </c>
      <c r="H15" s="88">
        <v>719</v>
      </c>
      <c r="I15" s="2"/>
    </row>
    <row r="16" spans="1:9" ht="19.8" customHeight="1" x14ac:dyDescent="0.3">
      <c r="A16" s="83">
        <v>45982</v>
      </c>
      <c r="B16" s="84" t="s">
        <v>99</v>
      </c>
      <c r="C16" s="85" t="s">
        <v>114</v>
      </c>
      <c r="D16" s="84" t="s">
        <v>1</v>
      </c>
      <c r="E16" s="86">
        <v>1.395833333333333</v>
      </c>
      <c r="F16" s="84" t="s">
        <v>101</v>
      </c>
      <c r="G16" s="87">
        <v>9</v>
      </c>
      <c r="H16" s="88">
        <v>719</v>
      </c>
      <c r="I16" s="2"/>
    </row>
    <row r="17" spans="1:9" ht="19.8" customHeight="1" x14ac:dyDescent="0.3">
      <c r="A17" s="83">
        <v>45982</v>
      </c>
      <c r="B17" s="84" t="s">
        <v>99</v>
      </c>
      <c r="C17" s="85" t="s">
        <v>115</v>
      </c>
      <c r="D17" s="84" t="s">
        <v>1</v>
      </c>
      <c r="E17" s="86">
        <v>1.7986111111111109</v>
      </c>
      <c r="F17" s="84" t="s">
        <v>101</v>
      </c>
      <c r="G17" s="87">
        <v>9</v>
      </c>
      <c r="H17" s="88">
        <v>719</v>
      </c>
      <c r="I17" s="2"/>
    </row>
    <row r="18" spans="1:9" ht="19.8" customHeight="1" x14ac:dyDescent="0.3">
      <c r="A18" s="83">
        <v>45982</v>
      </c>
      <c r="B18" s="84" t="s">
        <v>90</v>
      </c>
      <c r="C18" s="85" t="s">
        <v>96</v>
      </c>
      <c r="D18" s="84" t="s">
        <v>1</v>
      </c>
      <c r="E18" s="86">
        <v>1.3923611111111109</v>
      </c>
      <c r="F18" s="84" t="s">
        <v>92</v>
      </c>
      <c r="G18" s="87">
        <v>9</v>
      </c>
      <c r="H18" s="88">
        <v>725</v>
      </c>
      <c r="I18" s="2"/>
    </row>
    <row r="19" spans="1:9" ht="19.8" customHeight="1" x14ac:dyDescent="0.3">
      <c r="A19" s="83">
        <v>45982</v>
      </c>
      <c r="B19" s="84" t="s">
        <v>116</v>
      </c>
      <c r="C19" s="85" t="s">
        <v>117</v>
      </c>
      <c r="D19" s="84" t="s">
        <v>1</v>
      </c>
      <c r="E19" s="86">
        <v>1.7152777777777779</v>
      </c>
      <c r="F19" s="84" t="s">
        <v>118</v>
      </c>
      <c r="G19" s="87">
        <v>9</v>
      </c>
      <c r="H19" s="88">
        <v>749</v>
      </c>
      <c r="I19" s="2"/>
    </row>
    <row r="20" spans="1:9" ht="19.8" customHeight="1" x14ac:dyDescent="0.3">
      <c r="A20" s="83">
        <v>45982</v>
      </c>
      <c r="B20" s="84" t="s">
        <v>116</v>
      </c>
      <c r="C20" s="85" t="s">
        <v>119</v>
      </c>
      <c r="D20" s="84" t="s">
        <v>1</v>
      </c>
      <c r="E20" s="86">
        <v>1.416666666666667</v>
      </c>
      <c r="F20" s="84" t="s">
        <v>118</v>
      </c>
      <c r="G20" s="87">
        <v>1</v>
      </c>
      <c r="H20" s="88">
        <v>749</v>
      </c>
      <c r="I20" s="2"/>
    </row>
    <row r="21" spans="1:9" ht="19.8" customHeight="1" x14ac:dyDescent="0.3">
      <c r="A21" s="83">
        <v>45982</v>
      </c>
      <c r="B21" s="84" t="s">
        <v>70</v>
      </c>
      <c r="C21" s="85" t="s">
        <v>84</v>
      </c>
      <c r="D21" s="84" t="s">
        <v>1</v>
      </c>
      <c r="E21" s="86">
        <v>1.302083333333333</v>
      </c>
      <c r="F21" s="84" t="s">
        <v>72</v>
      </c>
      <c r="G21" s="87">
        <v>9</v>
      </c>
      <c r="H21" s="88">
        <v>749</v>
      </c>
      <c r="I21" s="2"/>
    </row>
    <row r="22" spans="1:9" ht="19.8" customHeight="1" x14ac:dyDescent="0.3">
      <c r="A22" s="83">
        <v>45982</v>
      </c>
      <c r="B22" s="84" t="s">
        <v>70</v>
      </c>
      <c r="C22" s="85" t="s">
        <v>89</v>
      </c>
      <c r="D22" s="84" t="s">
        <v>1</v>
      </c>
      <c r="E22" s="86">
        <v>1.1284722222222221</v>
      </c>
      <c r="F22" s="84" t="s">
        <v>72</v>
      </c>
      <c r="G22" s="87">
        <v>9</v>
      </c>
      <c r="H22" s="88">
        <v>749</v>
      </c>
      <c r="I22" s="2"/>
    </row>
    <row r="23" spans="1:9" ht="19.8" customHeight="1" x14ac:dyDescent="0.3">
      <c r="A23" s="83">
        <v>45982</v>
      </c>
      <c r="B23" s="84" t="s">
        <v>99</v>
      </c>
      <c r="C23" s="85" t="s">
        <v>100</v>
      </c>
      <c r="D23" s="84" t="s">
        <v>1</v>
      </c>
      <c r="E23" s="86">
        <v>1.256944444444444</v>
      </c>
      <c r="F23" s="84" t="s">
        <v>104</v>
      </c>
      <c r="G23" s="87">
        <v>7</v>
      </c>
      <c r="H23" s="88">
        <v>819</v>
      </c>
      <c r="I23" s="2"/>
    </row>
    <row r="24" spans="1:9" ht="19.8" customHeight="1" x14ac:dyDescent="0.3">
      <c r="A24" s="83">
        <v>45982</v>
      </c>
      <c r="B24" s="84" t="s">
        <v>99</v>
      </c>
      <c r="C24" s="85" t="s">
        <v>109</v>
      </c>
      <c r="D24" s="84" t="s">
        <v>1</v>
      </c>
      <c r="E24" s="86">
        <v>1.9027777777777779</v>
      </c>
      <c r="F24" s="84" t="s">
        <v>104</v>
      </c>
      <c r="G24" s="87">
        <v>9</v>
      </c>
      <c r="H24" s="88">
        <v>819</v>
      </c>
      <c r="I24" s="2"/>
    </row>
    <row r="25" spans="1:9" ht="19.8" customHeight="1" x14ac:dyDescent="0.3">
      <c r="A25" s="83">
        <v>45982</v>
      </c>
      <c r="B25" s="84" t="s">
        <v>99</v>
      </c>
      <c r="C25" s="85" t="s">
        <v>110</v>
      </c>
      <c r="D25" s="84" t="s">
        <v>1</v>
      </c>
      <c r="E25" s="86">
        <v>1.645833333333333</v>
      </c>
      <c r="F25" s="84" t="s">
        <v>104</v>
      </c>
      <c r="G25" s="87">
        <v>9</v>
      </c>
      <c r="H25" s="88">
        <v>819</v>
      </c>
      <c r="I25" s="2"/>
    </row>
    <row r="26" spans="1:9" ht="19.8" customHeight="1" x14ac:dyDescent="0.3">
      <c r="A26" s="83">
        <v>45982</v>
      </c>
      <c r="B26" s="84" t="s">
        <v>99</v>
      </c>
      <c r="C26" s="85" t="s">
        <v>111</v>
      </c>
      <c r="D26" s="84" t="s">
        <v>1</v>
      </c>
      <c r="E26" s="86">
        <v>1.5173611111111109</v>
      </c>
      <c r="F26" s="84" t="s">
        <v>104</v>
      </c>
      <c r="G26" s="87">
        <v>8</v>
      </c>
      <c r="H26" s="88">
        <v>819</v>
      </c>
      <c r="I26" s="2"/>
    </row>
    <row r="27" spans="1:9" ht="19.8" customHeight="1" x14ac:dyDescent="0.3">
      <c r="A27" s="83">
        <v>45982</v>
      </c>
      <c r="B27" s="84" t="s">
        <v>99</v>
      </c>
      <c r="C27" s="85" t="s">
        <v>113</v>
      </c>
      <c r="D27" s="84" t="s">
        <v>1</v>
      </c>
      <c r="E27" s="86">
        <v>1.854166666666667</v>
      </c>
      <c r="F27" s="84" t="s">
        <v>104</v>
      </c>
      <c r="G27" s="87">
        <v>9</v>
      </c>
      <c r="H27" s="88">
        <v>819</v>
      </c>
      <c r="I27" s="2"/>
    </row>
    <row r="28" spans="1:9" ht="19.8" customHeight="1" x14ac:dyDescent="0.3">
      <c r="A28" s="83">
        <v>45982</v>
      </c>
      <c r="B28" s="84" t="s">
        <v>99</v>
      </c>
      <c r="C28" s="85" t="s">
        <v>114</v>
      </c>
      <c r="D28" s="84" t="s">
        <v>1</v>
      </c>
      <c r="E28" s="86">
        <v>1.395833333333333</v>
      </c>
      <c r="F28" s="84" t="s">
        <v>104</v>
      </c>
      <c r="G28" s="87">
        <v>9</v>
      </c>
      <c r="H28" s="88">
        <v>819</v>
      </c>
      <c r="I28" s="2"/>
    </row>
    <row r="29" spans="1:9" ht="19.8" customHeight="1" x14ac:dyDescent="0.3">
      <c r="A29" s="83">
        <v>45982</v>
      </c>
      <c r="B29" s="84" t="s">
        <v>99</v>
      </c>
      <c r="C29" s="85" t="s">
        <v>115</v>
      </c>
      <c r="D29" s="84" t="s">
        <v>1</v>
      </c>
      <c r="E29" s="86">
        <v>1.7986111111111109</v>
      </c>
      <c r="F29" s="84" t="s">
        <v>104</v>
      </c>
      <c r="G29" s="87">
        <v>9</v>
      </c>
      <c r="H29" s="88">
        <v>819</v>
      </c>
      <c r="I29" s="2"/>
    </row>
    <row r="30" spans="1:9" ht="19.8" customHeight="1" x14ac:dyDescent="0.3">
      <c r="A30" s="83">
        <v>45982</v>
      </c>
      <c r="B30" s="84" t="s">
        <v>90</v>
      </c>
      <c r="C30" s="85" t="s">
        <v>91</v>
      </c>
      <c r="D30" s="84" t="s">
        <v>1</v>
      </c>
      <c r="E30" s="86">
        <v>1.975694444444444</v>
      </c>
      <c r="F30" s="84" t="s">
        <v>78</v>
      </c>
      <c r="G30" s="87">
        <v>9</v>
      </c>
      <c r="H30" s="88">
        <v>837</v>
      </c>
      <c r="I30" s="2"/>
    </row>
    <row r="31" spans="1:9" ht="19.8" customHeight="1" x14ac:dyDescent="0.3">
      <c r="A31" s="83">
        <v>45982</v>
      </c>
      <c r="B31" s="84" t="s">
        <v>70</v>
      </c>
      <c r="C31" s="85" t="s">
        <v>71</v>
      </c>
      <c r="D31" s="84" t="s">
        <v>1</v>
      </c>
      <c r="E31" s="86">
        <v>1.788194444444444</v>
      </c>
      <c r="F31" s="84" t="s">
        <v>75</v>
      </c>
      <c r="G31" s="87">
        <v>11</v>
      </c>
      <c r="H31" s="88">
        <v>839</v>
      </c>
      <c r="I31" s="2"/>
    </row>
    <row r="32" spans="1:9" ht="19.8" customHeight="1" x14ac:dyDescent="0.3">
      <c r="A32" s="83">
        <v>45982</v>
      </c>
      <c r="B32" s="84" t="s">
        <v>70</v>
      </c>
      <c r="C32" s="85" t="s">
        <v>80</v>
      </c>
      <c r="D32" s="84" t="s">
        <v>1</v>
      </c>
      <c r="E32" s="86">
        <v>1.8888888888888891</v>
      </c>
      <c r="F32" s="84" t="s">
        <v>75</v>
      </c>
      <c r="G32" s="87">
        <v>12</v>
      </c>
      <c r="H32" s="88">
        <v>839</v>
      </c>
      <c r="I32" s="2"/>
    </row>
    <row r="33" spans="1:9" ht="19.8" customHeight="1" x14ac:dyDescent="0.3">
      <c r="A33" s="83">
        <v>45982</v>
      </c>
      <c r="B33" s="84" t="s">
        <v>90</v>
      </c>
      <c r="C33" s="85" t="s">
        <v>96</v>
      </c>
      <c r="D33" s="84" t="s">
        <v>1</v>
      </c>
      <c r="E33" s="86">
        <v>1.3923611111111109</v>
      </c>
      <c r="F33" s="84" t="s">
        <v>78</v>
      </c>
      <c r="G33" s="87">
        <v>9</v>
      </c>
      <c r="H33" s="88">
        <v>849</v>
      </c>
      <c r="I33" s="2"/>
    </row>
    <row r="34" spans="1:9" ht="19.8" customHeight="1" x14ac:dyDescent="0.3">
      <c r="A34" s="83">
        <v>45982</v>
      </c>
      <c r="B34" s="84" t="s">
        <v>70</v>
      </c>
      <c r="C34" s="85" t="s">
        <v>84</v>
      </c>
      <c r="D34" s="84" t="s">
        <v>1</v>
      </c>
      <c r="E34" s="86">
        <v>1.302083333333333</v>
      </c>
      <c r="F34" s="84" t="s">
        <v>75</v>
      </c>
      <c r="G34" s="87">
        <v>9</v>
      </c>
      <c r="H34" s="88">
        <v>899</v>
      </c>
      <c r="I34" s="2"/>
    </row>
    <row r="35" spans="1:9" ht="19.8" customHeight="1" x14ac:dyDescent="0.3">
      <c r="A35" s="83">
        <v>45982</v>
      </c>
      <c r="B35" s="84" t="s">
        <v>70</v>
      </c>
      <c r="C35" s="85" t="s">
        <v>89</v>
      </c>
      <c r="D35" s="84" t="s">
        <v>1</v>
      </c>
      <c r="E35" s="86">
        <v>1.1284722222222221</v>
      </c>
      <c r="F35" s="84" t="s">
        <v>75</v>
      </c>
      <c r="G35" s="87">
        <v>9</v>
      </c>
      <c r="H35" s="88">
        <v>899</v>
      </c>
      <c r="I35" s="2"/>
    </row>
    <row r="36" spans="1:9" ht="19.8" customHeight="1" x14ac:dyDescent="0.3">
      <c r="A36" s="83">
        <v>45982</v>
      </c>
      <c r="B36" s="84" t="s">
        <v>99</v>
      </c>
      <c r="C36" s="85" t="s">
        <v>100</v>
      </c>
      <c r="D36" s="84" t="s">
        <v>1</v>
      </c>
      <c r="E36" s="86">
        <v>1.256944444444444</v>
      </c>
      <c r="F36" s="84" t="s">
        <v>107</v>
      </c>
      <c r="G36" s="87">
        <v>7</v>
      </c>
      <c r="H36" s="88">
        <v>909</v>
      </c>
      <c r="I36" s="2"/>
    </row>
    <row r="37" spans="1:9" ht="19.8" customHeight="1" x14ac:dyDescent="0.3">
      <c r="A37" s="83">
        <v>45982</v>
      </c>
      <c r="B37" s="84" t="s">
        <v>99</v>
      </c>
      <c r="C37" s="85" t="s">
        <v>109</v>
      </c>
      <c r="D37" s="84" t="s">
        <v>1</v>
      </c>
      <c r="E37" s="86">
        <v>1.9027777777777779</v>
      </c>
      <c r="F37" s="84" t="s">
        <v>107</v>
      </c>
      <c r="G37" s="87">
        <v>9</v>
      </c>
      <c r="H37" s="88">
        <v>909</v>
      </c>
      <c r="I37" s="2"/>
    </row>
    <row r="38" spans="1:9" ht="19.8" customHeight="1" x14ac:dyDescent="0.3">
      <c r="A38" s="83">
        <v>45982</v>
      </c>
      <c r="B38" s="84" t="s">
        <v>99</v>
      </c>
      <c r="C38" s="85" t="s">
        <v>110</v>
      </c>
      <c r="D38" s="84" t="s">
        <v>1</v>
      </c>
      <c r="E38" s="86">
        <v>1.645833333333333</v>
      </c>
      <c r="F38" s="84" t="s">
        <v>107</v>
      </c>
      <c r="G38" s="87">
        <v>9</v>
      </c>
      <c r="H38" s="88">
        <v>909</v>
      </c>
      <c r="I38" s="2"/>
    </row>
    <row r="39" spans="1:9" ht="19.8" customHeight="1" x14ac:dyDescent="0.3">
      <c r="A39" s="83">
        <v>45982</v>
      </c>
      <c r="B39" s="84" t="s">
        <v>99</v>
      </c>
      <c r="C39" s="85" t="s">
        <v>111</v>
      </c>
      <c r="D39" s="84" t="s">
        <v>1</v>
      </c>
      <c r="E39" s="86">
        <v>1.5173611111111109</v>
      </c>
      <c r="F39" s="84" t="s">
        <v>107</v>
      </c>
      <c r="G39" s="87">
        <v>8</v>
      </c>
      <c r="H39" s="88">
        <v>909</v>
      </c>
      <c r="I39" s="2"/>
    </row>
    <row r="40" spans="1:9" ht="19.8" customHeight="1" x14ac:dyDescent="0.3">
      <c r="A40" s="83">
        <v>45982</v>
      </c>
      <c r="B40" s="84" t="s">
        <v>99</v>
      </c>
      <c r="C40" s="85" t="s">
        <v>113</v>
      </c>
      <c r="D40" s="84" t="s">
        <v>1</v>
      </c>
      <c r="E40" s="86">
        <v>1.854166666666667</v>
      </c>
      <c r="F40" s="84" t="s">
        <v>107</v>
      </c>
      <c r="G40" s="87">
        <v>9</v>
      </c>
      <c r="H40" s="88">
        <v>909</v>
      </c>
      <c r="I40" s="2"/>
    </row>
    <row r="41" spans="1:9" ht="19.8" customHeight="1" x14ac:dyDescent="0.3">
      <c r="A41" s="83">
        <v>45982</v>
      </c>
      <c r="B41" s="84" t="s">
        <v>99</v>
      </c>
      <c r="C41" s="85" t="s">
        <v>114</v>
      </c>
      <c r="D41" s="84" t="s">
        <v>1</v>
      </c>
      <c r="E41" s="86">
        <v>1.395833333333333</v>
      </c>
      <c r="F41" s="84" t="s">
        <v>107</v>
      </c>
      <c r="G41" s="87">
        <v>9</v>
      </c>
      <c r="H41" s="88">
        <v>909</v>
      </c>
      <c r="I41" s="2"/>
    </row>
    <row r="42" spans="1:9" ht="19.8" customHeight="1" x14ac:dyDescent="0.3">
      <c r="A42" s="83">
        <v>45982</v>
      </c>
      <c r="B42" s="84" t="s">
        <v>99</v>
      </c>
      <c r="C42" s="85" t="s">
        <v>115</v>
      </c>
      <c r="D42" s="84" t="s">
        <v>1</v>
      </c>
      <c r="E42" s="86">
        <v>1.7986111111111109</v>
      </c>
      <c r="F42" s="84" t="s">
        <v>107</v>
      </c>
      <c r="G42" s="87">
        <v>9</v>
      </c>
      <c r="H42" s="88">
        <v>909</v>
      </c>
      <c r="I42" s="2"/>
    </row>
    <row r="43" spans="1:9" ht="19.8" customHeight="1" x14ac:dyDescent="0.3">
      <c r="A43" s="83">
        <v>45982</v>
      </c>
      <c r="B43" s="84" t="s">
        <v>56</v>
      </c>
      <c r="C43" s="85" t="s">
        <v>60</v>
      </c>
      <c r="D43" s="84" t="s">
        <v>1</v>
      </c>
      <c r="E43" s="86">
        <v>1.0138888888888891</v>
      </c>
      <c r="F43" s="84" t="s">
        <v>58</v>
      </c>
      <c r="G43" s="87">
        <v>9</v>
      </c>
      <c r="H43" s="88">
        <v>974</v>
      </c>
      <c r="I43" s="2"/>
    </row>
    <row r="44" spans="1:9" ht="19.8" customHeight="1" x14ac:dyDescent="0.3">
      <c r="A44" s="83">
        <v>45982</v>
      </c>
      <c r="B44" s="84" t="s">
        <v>70</v>
      </c>
      <c r="C44" s="85" t="s">
        <v>84</v>
      </c>
      <c r="D44" s="84" t="s">
        <v>1</v>
      </c>
      <c r="E44" s="86">
        <v>1.302083333333333</v>
      </c>
      <c r="F44" s="84" t="s">
        <v>78</v>
      </c>
      <c r="G44" s="87">
        <v>9</v>
      </c>
      <c r="H44" s="89" t="s">
        <v>83</v>
      </c>
      <c r="I44" s="2"/>
    </row>
    <row r="45" spans="1:9" ht="19.8" customHeight="1" x14ac:dyDescent="0.3">
      <c r="A45" s="83">
        <v>45982</v>
      </c>
      <c r="B45" s="84" t="s">
        <v>70</v>
      </c>
      <c r="C45" s="85" t="s">
        <v>89</v>
      </c>
      <c r="D45" s="84" t="s">
        <v>1</v>
      </c>
      <c r="E45" s="86">
        <v>1.1284722222222221</v>
      </c>
      <c r="F45" s="84" t="s">
        <v>78</v>
      </c>
      <c r="G45" s="87">
        <v>9</v>
      </c>
      <c r="H45" s="89" t="s">
        <v>83</v>
      </c>
      <c r="I45" s="2"/>
    </row>
    <row r="46" spans="1:9" ht="19.8" customHeight="1" x14ac:dyDescent="0.3">
      <c r="A46" s="83">
        <v>45982</v>
      </c>
      <c r="B46" s="84" t="s">
        <v>70</v>
      </c>
      <c r="C46" s="85" t="s">
        <v>80</v>
      </c>
      <c r="D46" s="84" t="s">
        <v>1</v>
      </c>
      <c r="E46" s="86">
        <v>1.8888888888888891</v>
      </c>
      <c r="F46" s="84" t="s">
        <v>78</v>
      </c>
      <c r="G46" s="87">
        <v>12</v>
      </c>
      <c r="H46" s="89" t="s">
        <v>83</v>
      </c>
      <c r="I46" s="2"/>
    </row>
    <row r="47" spans="1:9" ht="19.8" customHeight="1" x14ac:dyDescent="0.3">
      <c r="A47" s="83">
        <v>45982</v>
      </c>
      <c r="B47" s="84" t="s">
        <v>56</v>
      </c>
      <c r="C47" s="85" t="s">
        <v>62</v>
      </c>
      <c r="D47" s="84" t="s">
        <v>1</v>
      </c>
      <c r="E47" s="86">
        <v>1.506944444444444</v>
      </c>
      <c r="F47" s="84" t="s">
        <v>58</v>
      </c>
      <c r="G47" s="87">
        <v>9</v>
      </c>
      <c r="H47" s="89" t="s">
        <v>63</v>
      </c>
      <c r="I47" s="2"/>
    </row>
    <row r="48" spans="1:9" ht="19.8" customHeight="1" x14ac:dyDescent="0.3">
      <c r="A48" s="83">
        <v>45982</v>
      </c>
      <c r="B48" s="84" t="s">
        <v>56</v>
      </c>
      <c r="C48" s="85" t="s">
        <v>64</v>
      </c>
      <c r="D48" s="84" t="s">
        <v>1</v>
      </c>
      <c r="E48" s="86">
        <v>1.9652777777777779</v>
      </c>
      <c r="F48" s="84" t="s">
        <v>58</v>
      </c>
      <c r="G48" s="87">
        <v>9</v>
      </c>
      <c r="H48" s="89" t="s">
        <v>63</v>
      </c>
      <c r="I48" s="2"/>
    </row>
    <row r="49" spans="1:9" ht="19.8" customHeight="1" x14ac:dyDescent="0.3">
      <c r="A49" s="83">
        <v>45982</v>
      </c>
      <c r="B49" s="84" t="s">
        <v>56</v>
      </c>
      <c r="C49" s="85" t="s">
        <v>65</v>
      </c>
      <c r="D49" s="84" t="s">
        <v>1</v>
      </c>
      <c r="E49" s="86">
        <v>1.791666666666667</v>
      </c>
      <c r="F49" s="84" t="s">
        <v>58</v>
      </c>
      <c r="G49" s="87">
        <v>9</v>
      </c>
      <c r="H49" s="89" t="s">
        <v>63</v>
      </c>
      <c r="I49" s="2"/>
    </row>
    <row r="50" spans="1:9" ht="19.8" customHeight="1" x14ac:dyDescent="0.3">
      <c r="A50" s="83">
        <v>45982</v>
      </c>
      <c r="B50" s="84" t="s">
        <v>56</v>
      </c>
      <c r="C50" s="85" t="s">
        <v>66</v>
      </c>
      <c r="D50" s="84" t="s">
        <v>1</v>
      </c>
      <c r="E50" s="86">
        <v>1.229166666666667</v>
      </c>
      <c r="F50" s="84" t="s">
        <v>58</v>
      </c>
      <c r="G50" s="87">
        <v>9</v>
      </c>
      <c r="H50" s="89" t="s">
        <v>67</v>
      </c>
      <c r="I50" s="2"/>
    </row>
    <row r="51" spans="1:9" ht="19.8" customHeight="1" x14ac:dyDescent="0.3">
      <c r="A51" s="83">
        <v>45982</v>
      </c>
      <c r="B51" s="84" t="s">
        <v>56</v>
      </c>
      <c r="C51" s="85" t="s">
        <v>68</v>
      </c>
      <c r="D51" s="84" t="s">
        <v>1</v>
      </c>
      <c r="E51" s="86">
        <v>1.2777777777777779</v>
      </c>
      <c r="F51" s="84" t="s">
        <v>58</v>
      </c>
      <c r="G51" s="87">
        <v>9</v>
      </c>
      <c r="H51" s="89" t="s">
        <v>69</v>
      </c>
      <c r="I51" s="2"/>
    </row>
    <row r="52" spans="1:9" ht="19.8" customHeight="1" x14ac:dyDescent="0.3">
      <c r="A52" s="83">
        <v>45982</v>
      </c>
      <c r="B52" s="84" t="s">
        <v>70</v>
      </c>
      <c r="C52" s="85" t="s">
        <v>71</v>
      </c>
      <c r="D52" s="84" t="s">
        <v>1</v>
      </c>
      <c r="E52" s="86">
        <v>1.788194444444444</v>
      </c>
      <c r="F52" s="84" t="s">
        <v>78</v>
      </c>
      <c r="G52" s="87">
        <v>11</v>
      </c>
      <c r="H52" s="89" t="s">
        <v>79</v>
      </c>
      <c r="I52" s="2"/>
    </row>
    <row r="53" spans="1:9" ht="19.8" customHeight="1" x14ac:dyDescent="0.3">
      <c r="A53" s="83">
        <v>45982</v>
      </c>
      <c r="B53" s="84" t="s">
        <v>121</v>
      </c>
      <c r="C53" s="85" t="s">
        <v>122</v>
      </c>
      <c r="D53" s="84" t="s">
        <v>1</v>
      </c>
      <c r="E53" s="86">
        <v>1.239583333333333</v>
      </c>
      <c r="F53" s="84" t="s">
        <v>123</v>
      </c>
      <c r="G53" s="87">
        <v>9</v>
      </c>
      <c r="H53" s="89" t="s">
        <v>124</v>
      </c>
      <c r="I53" s="2"/>
    </row>
    <row r="54" spans="1:9" ht="19.8" customHeight="1" x14ac:dyDescent="0.3">
      <c r="A54" s="83">
        <v>45982</v>
      </c>
      <c r="B54" s="84" t="s">
        <v>121</v>
      </c>
      <c r="C54" s="85" t="s">
        <v>128</v>
      </c>
      <c r="D54" s="84" t="s">
        <v>1</v>
      </c>
      <c r="E54" s="86">
        <v>1.1423611111111109</v>
      </c>
      <c r="F54" s="84" t="s">
        <v>123</v>
      </c>
      <c r="G54" s="87">
        <v>9</v>
      </c>
      <c r="H54" s="89" t="s">
        <v>124</v>
      </c>
      <c r="I54" s="2"/>
    </row>
    <row r="55" spans="1:9" ht="19.8" customHeight="1" x14ac:dyDescent="0.3">
      <c r="A55" s="83">
        <v>45982</v>
      </c>
      <c r="B55" s="84" t="s">
        <v>121</v>
      </c>
      <c r="C55" s="85" t="s">
        <v>129</v>
      </c>
      <c r="D55" s="84" t="s">
        <v>1</v>
      </c>
      <c r="E55" s="86">
        <v>1.930555555555556</v>
      </c>
      <c r="F55" s="84" t="s">
        <v>123</v>
      </c>
      <c r="G55" s="87">
        <v>9</v>
      </c>
      <c r="H55" s="89" t="s">
        <v>124</v>
      </c>
      <c r="I55" s="2"/>
    </row>
    <row r="56" spans="1:9" ht="19.8" customHeight="1" x14ac:dyDescent="0.3">
      <c r="A56" s="83">
        <v>45982</v>
      </c>
      <c r="B56" s="84" t="s">
        <v>121</v>
      </c>
      <c r="C56" s="85" t="s">
        <v>122</v>
      </c>
      <c r="D56" s="84" t="s">
        <v>1</v>
      </c>
      <c r="E56" s="86">
        <v>1.239583333333333</v>
      </c>
      <c r="F56" s="84" t="s">
        <v>125</v>
      </c>
      <c r="G56" s="87">
        <v>9</v>
      </c>
      <c r="H56" s="89" t="s">
        <v>127</v>
      </c>
      <c r="I56" s="2"/>
    </row>
    <row r="57" spans="1:9" ht="19.8" customHeight="1" x14ac:dyDescent="0.3">
      <c r="A57" s="83">
        <v>45982</v>
      </c>
      <c r="B57" s="84" t="s">
        <v>121</v>
      </c>
      <c r="C57" s="85" t="s">
        <v>128</v>
      </c>
      <c r="D57" s="84" t="s">
        <v>1</v>
      </c>
      <c r="E57" s="86">
        <v>1.1423611111111109</v>
      </c>
      <c r="F57" s="84" t="s">
        <v>125</v>
      </c>
      <c r="G57" s="87">
        <v>9</v>
      </c>
      <c r="H57" s="89" t="s">
        <v>127</v>
      </c>
      <c r="I57" s="2"/>
    </row>
    <row r="58" spans="1:9" ht="19.8" customHeight="1" x14ac:dyDescent="0.3">
      <c r="A58" s="83">
        <v>45982</v>
      </c>
      <c r="B58" s="84" t="s">
        <v>121</v>
      </c>
      <c r="C58" s="85" t="s">
        <v>129</v>
      </c>
      <c r="D58" s="84" t="s">
        <v>1</v>
      </c>
      <c r="E58" s="86">
        <v>1.930555555555556</v>
      </c>
      <c r="F58" s="84" t="s">
        <v>125</v>
      </c>
      <c r="G58" s="87">
        <v>9</v>
      </c>
      <c r="H58" s="89" t="s">
        <v>127</v>
      </c>
      <c r="I58" s="2"/>
    </row>
    <row r="59" spans="1:9" ht="19.8" customHeight="1" x14ac:dyDescent="0.3">
      <c r="A59" s="83">
        <v>45982</v>
      </c>
      <c r="B59" s="84" t="s">
        <v>121</v>
      </c>
      <c r="C59" s="85" t="s">
        <v>130</v>
      </c>
      <c r="D59" s="84" t="s">
        <v>1</v>
      </c>
      <c r="E59" s="86">
        <v>1.3784722222222221</v>
      </c>
      <c r="F59" s="84" t="s">
        <v>123</v>
      </c>
      <c r="G59" s="87">
        <v>9</v>
      </c>
      <c r="H59" s="89" t="s">
        <v>131</v>
      </c>
      <c r="I59" s="2"/>
    </row>
    <row r="60" spans="1:9" ht="19.8" customHeight="1" x14ac:dyDescent="0.3">
      <c r="A60" s="83">
        <v>45982</v>
      </c>
      <c r="B60" s="84" t="s">
        <v>121</v>
      </c>
      <c r="C60" s="85" t="s">
        <v>133</v>
      </c>
      <c r="D60" s="84" t="s">
        <v>1</v>
      </c>
      <c r="E60" s="86">
        <v>1.71875</v>
      </c>
      <c r="F60" s="84" t="s">
        <v>123</v>
      </c>
      <c r="G60" s="87">
        <v>9</v>
      </c>
      <c r="H60" s="89" t="s">
        <v>131</v>
      </c>
      <c r="I60" s="2"/>
    </row>
    <row r="61" spans="1:9" ht="19.8" customHeight="1" x14ac:dyDescent="0.3">
      <c r="A61" s="83">
        <v>45982</v>
      </c>
      <c r="B61" s="84" t="s">
        <v>121</v>
      </c>
      <c r="C61" s="85" t="s">
        <v>134</v>
      </c>
      <c r="D61" s="84" t="s">
        <v>1</v>
      </c>
      <c r="E61" s="86">
        <v>1.6111111111111109</v>
      </c>
      <c r="F61" s="84" t="s">
        <v>123</v>
      </c>
      <c r="G61" s="87">
        <v>9</v>
      </c>
      <c r="H61" s="89" t="s">
        <v>131</v>
      </c>
      <c r="I61" s="2"/>
    </row>
    <row r="62" spans="1:9" ht="19.8" customHeight="1" x14ac:dyDescent="0.3">
      <c r="A62" s="83">
        <v>45982</v>
      </c>
      <c r="B62" s="84" t="s">
        <v>121</v>
      </c>
      <c r="C62" s="85" t="s">
        <v>135</v>
      </c>
      <c r="D62" s="84" t="s">
        <v>1</v>
      </c>
      <c r="E62" s="86">
        <v>1.006944444444444</v>
      </c>
      <c r="F62" s="84" t="s">
        <v>123</v>
      </c>
      <c r="G62" s="87">
        <v>9</v>
      </c>
      <c r="H62" s="89" t="s">
        <v>131</v>
      </c>
      <c r="I62" s="2"/>
    </row>
    <row r="63" spans="1:9" ht="19.8" customHeight="1" x14ac:dyDescent="0.3">
      <c r="A63" s="83">
        <v>45982</v>
      </c>
      <c r="B63" s="84" t="s">
        <v>121</v>
      </c>
      <c r="C63" s="85" t="s">
        <v>136</v>
      </c>
      <c r="D63" s="84" t="s">
        <v>1</v>
      </c>
      <c r="E63" s="86">
        <v>1.8298611111111109</v>
      </c>
      <c r="F63" s="84" t="s">
        <v>123</v>
      </c>
      <c r="G63" s="87">
        <v>9</v>
      </c>
      <c r="H63" s="89" t="s">
        <v>131</v>
      </c>
      <c r="I63" s="2"/>
    </row>
    <row r="64" spans="1:9" ht="19.8" customHeight="1" x14ac:dyDescent="0.3">
      <c r="A64" s="83">
        <v>45982</v>
      </c>
      <c r="B64" s="84" t="s">
        <v>121</v>
      </c>
      <c r="C64" s="85" t="s">
        <v>137</v>
      </c>
      <c r="D64" s="84" t="s">
        <v>1</v>
      </c>
      <c r="E64" s="86">
        <v>1.8888888888888891</v>
      </c>
      <c r="F64" s="84" t="s">
        <v>125</v>
      </c>
      <c r="G64" s="87">
        <v>4</v>
      </c>
      <c r="H64" s="89" t="s">
        <v>139</v>
      </c>
      <c r="I64" s="2"/>
    </row>
    <row r="65" spans="1:9" ht="19.8" customHeight="1" x14ac:dyDescent="0.3">
      <c r="A65" s="83">
        <v>45982</v>
      </c>
      <c r="B65" s="84" t="s">
        <v>121</v>
      </c>
      <c r="C65" s="85" t="s">
        <v>140</v>
      </c>
      <c r="D65" s="84" t="s">
        <v>1</v>
      </c>
      <c r="E65" s="86">
        <v>1.302083333333333</v>
      </c>
      <c r="F65" s="84" t="s">
        <v>125</v>
      </c>
      <c r="G65" s="87">
        <v>4</v>
      </c>
      <c r="H65" s="89" t="s">
        <v>139</v>
      </c>
      <c r="I65" s="2"/>
    </row>
    <row r="66" spans="1:9" ht="19.8" customHeight="1" x14ac:dyDescent="0.3">
      <c r="A66" s="83">
        <v>45982</v>
      </c>
      <c r="B66" s="84" t="s">
        <v>121</v>
      </c>
      <c r="C66" s="85" t="s">
        <v>141</v>
      </c>
      <c r="D66" s="84" t="s">
        <v>1</v>
      </c>
      <c r="E66" s="86">
        <v>1.1284722222222221</v>
      </c>
      <c r="F66" s="84" t="s">
        <v>125</v>
      </c>
      <c r="G66" s="87">
        <v>4</v>
      </c>
      <c r="H66" s="89" t="s">
        <v>139</v>
      </c>
      <c r="I66" s="2"/>
    </row>
    <row r="67" spans="1:9" ht="19.8" customHeight="1" x14ac:dyDescent="0.3">
      <c r="A67" s="83">
        <v>45982</v>
      </c>
      <c r="B67" s="84" t="s">
        <v>121</v>
      </c>
      <c r="C67" s="85" t="s">
        <v>142</v>
      </c>
      <c r="D67" s="84" t="s">
        <v>1</v>
      </c>
      <c r="E67" s="86">
        <v>1.788194444444444</v>
      </c>
      <c r="F67" s="84" t="s">
        <v>125</v>
      </c>
      <c r="G67" s="87">
        <v>4</v>
      </c>
      <c r="H67" s="89" t="s">
        <v>139</v>
      </c>
      <c r="I67" s="2"/>
    </row>
    <row r="68" spans="1:9" ht="19.8" customHeight="1" x14ac:dyDescent="0.3">
      <c r="A68" s="83">
        <v>45982</v>
      </c>
      <c r="B68" s="84" t="s">
        <v>121</v>
      </c>
      <c r="C68" s="85" t="s">
        <v>130</v>
      </c>
      <c r="D68" s="84" t="s">
        <v>1</v>
      </c>
      <c r="E68" s="86">
        <v>1.3784722222222221</v>
      </c>
      <c r="F68" s="84" t="s">
        <v>125</v>
      </c>
      <c r="G68" s="87">
        <v>9</v>
      </c>
      <c r="H68" s="89" t="s">
        <v>132</v>
      </c>
      <c r="I68" s="2"/>
    </row>
    <row r="69" spans="1:9" ht="19.8" customHeight="1" x14ac:dyDescent="0.3">
      <c r="A69" s="83">
        <v>45982</v>
      </c>
      <c r="B69" s="84" t="s">
        <v>121</v>
      </c>
      <c r="C69" s="85" t="s">
        <v>133</v>
      </c>
      <c r="D69" s="84" t="s">
        <v>1</v>
      </c>
      <c r="E69" s="86">
        <v>1.71875</v>
      </c>
      <c r="F69" s="84" t="s">
        <v>125</v>
      </c>
      <c r="G69" s="87">
        <v>9</v>
      </c>
      <c r="H69" s="89" t="s">
        <v>132</v>
      </c>
      <c r="I69" s="2"/>
    </row>
    <row r="70" spans="1:9" ht="19.8" customHeight="1" x14ac:dyDescent="0.3">
      <c r="A70" s="83">
        <v>45982</v>
      </c>
      <c r="B70" s="84" t="s">
        <v>121</v>
      </c>
      <c r="C70" s="85" t="s">
        <v>134</v>
      </c>
      <c r="D70" s="84" t="s">
        <v>1</v>
      </c>
      <c r="E70" s="86">
        <v>1.6111111111111109</v>
      </c>
      <c r="F70" s="84" t="s">
        <v>125</v>
      </c>
      <c r="G70" s="87">
        <v>9</v>
      </c>
      <c r="H70" s="89" t="s">
        <v>132</v>
      </c>
      <c r="I70" s="2"/>
    </row>
    <row r="71" spans="1:9" ht="19.8" customHeight="1" x14ac:dyDescent="0.3">
      <c r="A71" s="83">
        <v>45982</v>
      </c>
      <c r="B71" s="84" t="s">
        <v>121</v>
      </c>
      <c r="C71" s="85" t="s">
        <v>135</v>
      </c>
      <c r="D71" s="84" t="s">
        <v>1</v>
      </c>
      <c r="E71" s="86">
        <v>1.006944444444444</v>
      </c>
      <c r="F71" s="84" t="s">
        <v>125</v>
      </c>
      <c r="G71" s="87">
        <v>9</v>
      </c>
      <c r="H71" s="89" t="s">
        <v>132</v>
      </c>
      <c r="I71" s="2"/>
    </row>
    <row r="72" spans="1:9" ht="19.8" customHeight="1" x14ac:dyDescent="0.3">
      <c r="A72" s="83">
        <v>45982</v>
      </c>
      <c r="B72" s="84" t="s">
        <v>121</v>
      </c>
      <c r="C72" s="85" t="s">
        <v>136</v>
      </c>
      <c r="D72" s="84" t="s">
        <v>1</v>
      </c>
      <c r="E72" s="86">
        <v>1.8298611111111109</v>
      </c>
      <c r="F72" s="84" t="s">
        <v>125</v>
      </c>
      <c r="G72" s="87">
        <v>9</v>
      </c>
      <c r="H72" s="89" t="s">
        <v>132</v>
      </c>
      <c r="I72" s="2"/>
    </row>
    <row r="73" spans="1:9" ht="19.8" customHeight="1" x14ac:dyDescent="0.3">
      <c r="A73" s="90">
        <v>45982</v>
      </c>
      <c r="B73" s="91" t="s">
        <v>26</v>
      </c>
      <c r="C73" s="92" t="s">
        <v>51</v>
      </c>
      <c r="D73" s="91" t="s">
        <v>1</v>
      </c>
      <c r="E73" s="93">
        <v>1.9375</v>
      </c>
      <c r="F73" s="91" t="s">
        <v>52</v>
      </c>
      <c r="G73" s="91"/>
      <c r="H73" s="94" t="s">
        <v>53</v>
      </c>
      <c r="I73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0" bestFit="1" customWidth="1"/>
    <col min="7" max="7" width="20" bestFit="1" customWidth="1"/>
    <col min="8" max="8" width="23.6640625" bestFit="1" customWidth="1"/>
    <col min="9" max="9" width="205.88671875" hidden="1" customWidth="1"/>
  </cols>
  <sheetData>
    <row r="1" spans="1:9" ht="18" x14ac:dyDescent="0.3">
      <c r="A1" s="73" t="s">
        <v>222</v>
      </c>
      <c r="B1" s="74" t="s">
        <v>8</v>
      </c>
      <c r="C1" s="74" t="s">
        <v>9</v>
      </c>
      <c r="D1" s="74" t="s">
        <v>223</v>
      </c>
      <c r="E1" s="74" t="s">
        <v>10</v>
      </c>
      <c r="F1" s="74" t="s">
        <v>11</v>
      </c>
      <c r="G1" s="74" t="s">
        <v>12</v>
      </c>
      <c r="H1" s="75" t="s">
        <v>13</v>
      </c>
      <c r="I1" s="2"/>
    </row>
    <row r="2" spans="1:9" ht="19.8" customHeight="1" x14ac:dyDescent="0.3">
      <c r="A2" s="76" t="s">
        <v>224</v>
      </c>
      <c r="B2" s="77" t="s">
        <v>26</v>
      </c>
      <c r="C2" s="78" t="s">
        <v>27</v>
      </c>
      <c r="D2" s="77" t="s">
        <v>1</v>
      </c>
      <c r="E2" s="77" t="s">
        <v>183</v>
      </c>
      <c r="F2" s="77" t="s">
        <v>28</v>
      </c>
      <c r="G2" s="79">
        <v>9</v>
      </c>
      <c r="H2" s="80">
        <v>646</v>
      </c>
      <c r="I2" s="2"/>
    </row>
    <row r="3" spans="1:9" ht="19.8" customHeight="1" x14ac:dyDescent="0.3">
      <c r="A3" s="81">
        <v>45982</v>
      </c>
      <c r="B3" s="77" t="s">
        <v>26</v>
      </c>
      <c r="C3" s="78" t="s">
        <v>34</v>
      </c>
      <c r="D3" s="77" t="s">
        <v>1</v>
      </c>
      <c r="E3" s="82">
        <v>1.614583333333333</v>
      </c>
      <c r="F3" s="77" t="s">
        <v>28</v>
      </c>
      <c r="G3" s="79">
        <v>8</v>
      </c>
      <c r="H3" s="80">
        <v>646</v>
      </c>
      <c r="I3" s="2"/>
    </row>
    <row r="4" spans="1:9" ht="19.8" customHeight="1" x14ac:dyDescent="0.3">
      <c r="A4" s="83">
        <v>45982</v>
      </c>
      <c r="B4" s="84" t="s">
        <v>56</v>
      </c>
      <c r="C4" s="85" t="s">
        <v>57</v>
      </c>
      <c r="D4" s="84" t="s">
        <v>1</v>
      </c>
      <c r="E4" s="86">
        <v>1.145833333333333</v>
      </c>
      <c r="F4" s="84" t="s">
        <v>58</v>
      </c>
      <c r="G4" s="87">
        <v>9</v>
      </c>
      <c r="H4" s="88">
        <v>673</v>
      </c>
      <c r="I4" s="2"/>
    </row>
    <row r="5" spans="1:9" ht="19.8" customHeight="1" x14ac:dyDescent="0.3">
      <c r="A5" s="81">
        <v>45982</v>
      </c>
      <c r="B5" s="77" t="s">
        <v>26</v>
      </c>
      <c r="C5" s="78" t="s">
        <v>39</v>
      </c>
      <c r="D5" s="77" t="s">
        <v>1</v>
      </c>
      <c r="E5" s="82">
        <v>1.114583333333333</v>
      </c>
      <c r="F5" s="77" t="s">
        <v>28</v>
      </c>
      <c r="G5" s="79">
        <v>9</v>
      </c>
      <c r="H5" s="80">
        <v>706</v>
      </c>
      <c r="I5" s="2"/>
    </row>
    <row r="6" spans="1:9" ht="19.8" customHeight="1" x14ac:dyDescent="0.3">
      <c r="A6" s="81">
        <v>45982</v>
      </c>
      <c r="B6" s="77" t="s">
        <v>26</v>
      </c>
      <c r="C6" s="78" t="s">
        <v>45</v>
      </c>
      <c r="D6" s="77" t="s">
        <v>1</v>
      </c>
      <c r="E6" s="82">
        <v>1.7361111111111109</v>
      </c>
      <c r="F6" s="77" t="s">
        <v>28</v>
      </c>
      <c r="G6" s="79">
        <v>9</v>
      </c>
      <c r="H6" s="80">
        <v>706</v>
      </c>
      <c r="I6" s="2"/>
    </row>
    <row r="7" spans="1:9" ht="19.8" customHeight="1" x14ac:dyDescent="0.3">
      <c r="A7" s="81">
        <v>45982</v>
      </c>
      <c r="B7" s="77" t="s">
        <v>26</v>
      </c>
      <c r="C7" s="78" t="s">
        <v>48</v>
      </c>
      <c r="D7" s="77" t="s">
        <v>1</v>
      </c>
      <c r="E7" s="82">
        <v>1.458333333333333</v>
      </c>
      <c r="F7" s="77" t="s">
        <v>28</v>
      </c>
      <c r="G7" s="79">
        <v>9</v>
      </c>
      <c r="H7" s="80">
        <v>706</v>
      </c>
      <c r="I7" s="2"/>
    </row>
    <row r="8" spans="1:9" ht="19.8" customHeight="1" x14ac:dyDescent="0.3">
      <c r="A8" s="90">
        <v>45982</v>
      </c>
      <c r="B8" s="91" t="s">
        <v>26</v>
      </c>
      <c r="C8" s="92" t="s">
        <v>51</v>
      </c>
      <c r="D8" s="91" t="s">
        <v>1</v>
      </c>
      <c r="E8" s="93">
        <v>1.9375</v>
      </c>
      <c r="F8" s="91" t="s">
        <v>52</v>
      </c>
      <c r="G8" s="91"/>
      <c r="H8" s="94" t="s">
        <v>53</v>
      </c>
      <c r="I8" s="2"/>
    </row>
  </sheetData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8"/>
  <sheetViews>
    <sheetView workbookViewId="0"/>
  </sheetViews>
  <sheetFormatPr defaultRowHeight="14.4" outlineLevelCol="1" x14ac:dyDescent="0.3"/>
  <cols>
    <col min="1" max="1" width="6.88671875" bestFit="1" customWidth="1"/>
    <col min="2" max="2" width="9.6640625" bestFit="1" customWidth="1"/>
    <col min="3" max="3" width="6.6640625" bestFit="1" customWidth="1"/>
    <col min="4" max="4" width="5.5546875" bestFit="1" customWidth="1"/>
    <col min="5" max="5" width="7.44140625" bestFit="1" customWidth="1"/>
    <col min="6" max="6" width="4.21875" bestFit="1" customWidth="1"/>
    <col min="7" max="7" width="7.5546875" bestFit="1" customWidth="1"/>
    <col min="8" max="8" width="6.33203125" bestFit="1" customWidth="1"/>
    <col min="9" max="10" width="6.88671875" bestFit="1" customWidth="1"/>
    <col min="11" max="11" width="10.5546875" bestFit="1" customWidth="1"/>
    <col min="12" max="12" width="9" bestFit="1" customWidth="1"/>
    <col min="13" max="13" width="7.5546875" bestFit="1" customWidth="1" outlineLevel="1"/>
    <col min="14" max="14" width="6.21875" bestFit="1" customWidth="1" outlineLevel="1"/>
    <col min="15" max="15" width="7.88671875" bestFit="1" customWidth="1" outlineLevel="1"/>
    <col min="16" max="16" width="13.6640625" bestFit="1" customWidth="1"/>
    <col min="17" max="18" width="2.33203125" bestFit="1" customWidth="1"/>
    <col min="19" max="19" width="2.88671875" bestFit="1" customWidth="1"/>
    <col min="20" max="20" width="2.33203125" bestFit="1" customWidth="1"/>
    <col min="21" max="21" width="2.44140625" bestFit="1" customWidth="1"/>
    <col min="22" max="22" width="2.33203125" bestFit="1" customWidth="1"/>
    <col min="23" max="26" width="5" bestFit="1" customWidth="1"/>
    <col min="27" max="32" width="3.6640625" bestFit="1" customWidth="1"/>
    <col min="33" max="34" width="2.33203125" bestFit="1" customWidth="1"/>
    <col min="35" max="35" width="3.6640625" bestFit="1" customWidth="1"/>
    <col min="36" max="36" width="2.44140625" bestFit="1" customWidth="1"/>
  </cols>
  <sheetData>
    <row r="1" spans="1:36" x14ac:dyDescent="0.3">
      <c r="A1" s="2" t="s">
        <v>143</v>
      </c>
      <c r="B1" s="2" t="s">
        <v>144</v>
      </c>
      <c r="C1" s="2" t="s">
        <v>145</v>
      </c>
      <c r="D1" s="2" t="s">
        <v>23</v>
      </c>
      <c r="E1" s="2" t="s">
        <v>146</v>
      </c>
      <c r="F1" s="2" t="s">
        <v>147</v>
      </c>
      <c r="G1" s="2" t="s">
        <v>16</v>
      </c>
      <c r="H1" s="2" t="s">
        <v>148</v>
      </c>
      <c r="I1" s="2" t="s">
        <v>149</v>
      </c>
      <c r="J1" s="2" t="s">
        <v>150</v>
      </c>
      <c r="K1" s="2" t="s">
        <v>151</v>
      </c>
      <c r="L1" s="2" t="s">
        <v>18</v>
      </c>
      <c r="M1" s="2" t="s">
        <v>20</v>
      </c>
      <c r="N1" s="2" t="s">
        <v>21</v>
      </c>
      <c r="O1" s="2" t="s">
        <v>19</v>
      </c>
      <c r="P1" s="2" t="s">
        <v>22</v>
      </c>
      <c r="Q1" s="2" t="s">
        <v>152</v>
      </c>
      <c r="R1" s="2" t="s">
        <v>153</v>
      </c>
      <c r="S1" s="2" t="s">
        <v>154</v>
      </c>
      <c r="T1" s="2" t="s">
        <v>155</v>
      </c>
      <c r="U1" s="2" t="s">
        <v>156</v>
      </c>
      <c r="V1" s="2" t="s">
        <v>157</v>
      </c>
      <c r="W1" s="2" t="s">
        <v>158</v>
      </c>
      <c r="X1" s="2" t="s">
        <v>159</v>
      </c>
      <c r="Y1" s="2" t="s">
        <v>160</v>
      </c>
      <c r="Z1" s="2" t="s">
        <v>161</v>
      </c>
      <c r="AA1" s="2" t="s">
        <v>162</v>
      </c>
      <c r="AB1" s="2" t="s">
        <v>163</v>
      </c>
      <c r="AC1" s="2" t="s">
        <v>164</v>
      </c>
      <c r="AD1" s="2" t="s">
        <v>165</v>
      </c>
      <c r="AE1" s="2" t="s">
        <v>166</v>
      </c>
      <c r="AF1" s="2" t="s">
        <v>167</v>
      </c>
      <c r="AG1" s="2" t="s">
        <v>168</v>
      </c>
      <c r="AH1" s="2" t="s">
        <v>169</v>
      </c>
      <c r="AI1" s="2" t="s">
        <v>170</v>
      </c>
      <c r="AJ1" s="2" t="s">
        <v>171</v>
      </c>
    </row>
    <row r="2" spans="1:36" x14ac:dyDescent="0.3">
      <c r="A2" s="66" t="s">
        <v>172</v>
      </c>
      <c r="B2" s="67">
        <v>45982</v>
      </c>
      <c r="C2" s="68" t="s">
        <v>42</v>
      </c>
      <c r="D2" s="69" t="s">
        <v>173</v>
      </c>
      <c r="E2" s="68" t="s">
        <v>1</v>
      </c>
      <c r="F2" s="68" t="s">
        <v>174</v>
      </c>
      <c r="G2" s="70">
        <v>0.65359999999999996</v>
      </c>
      <c r="H2" s="71">
        <v>179</v>
      </c>
      <c r="I2" s="71">
        <v>117</v>
      </c>
      <c r="J2" s="71">
        <v>0</v>
      </c>
      <c r="K2" s="68" t="s">
        <v>175</v>
      </c>
      <c r="L2" s="72">
        <v>45981</v>
      </c>
      <c r="M2" s="71">
        <v>25</v>
      </c>
      <c r="N2" s="71">
        <v>4</v>
      </c>
      <c r="O2" s="71">
        <v>48</v>
      </c>
      <c r="P2" s="68" t="s">
        <v>43</v>
      </c>
      <c r="Q2" s="71">
        <v>0</v>
      </c>
      <c r="R2" s="71">
        <v>0</v>
      </c>
      <c r="S2" s="71">
        <v>0</v>
      </c>
      <c r="T2" s="71">
        <v>0</v>
      </c>
      <c r="U2" s="71">
        <v>0</v>
      </c>
      <c r="V2" s="71">
        <v>3</v>
      </c>
      <c r="W2" s="71">
        <v>30</v>
      </c>
      <c r="X2" s="71">
        <v>22</v>
      </c>
      <c r="Y2" s="71">
        <v>22</v>
      </c>
      <c r="Z2" s="71">
        <v>34</v>
      </c>
      <c r="AA2" s="71">
        <v>5</v>
      </c>
      <c r="AB2" s="71">
        <v>0</v>
      </c>
      <c r="AC2" s="71">
        <v>1</v>
      </c>
      <c r="AD2" s="71">
        <v>0</v>
      </c>
      <c r="AE2" s="71">
        <v>0</v>
      </c>
      <c r="AF2" s="71">
        <v>0</v>
      </c>
      <c r="AG2" s="71">
        <v>0</v>
      </c>
      <c r="AH2" s="71">
        <v>0</v>
      </c>
      <c r="AI2" s="71">
        <v>0</v>
      </c>
      <c r="AJ2" s="71">
        <v>0</v>
      </c>
    </row>
    <row r="3" spans="1:36" x14ac:dyDescent="0.3">
      <c r="A3" s="66" t="s">
        <v>172</v>
      </c>
      <c r="B3" s="67">
        <v>45982</v>
      </c>
      <c r="C3" s="68" t="s">
        <v>51</v>
      </c>
      <c r="D3" s="69" t="s">
        <v>211</v>
      </c>
      <c r="E3" s="68" t="s">
        <v>1</v>
      </c>
      <c r="F3" s="68" t="s">
        <v>174</v>
      </c>
      <c r="G3" s="70">
        <v>1.0115000000000001</v>
      </c>
      <c r="H3" s="71">
        <v>174</v>
      </c>
      <c r="I3" s="71">
        <v>176</v>
      </c>
      <c r="J3" s="71">
        <v>92</v>
      </c>
      <c r="K3" s="68" t="s">
        <v>175</v>
      </c>
      <c r="L3" s="72">
        <v>45979</v>
      </c>
      <c r="M3" s="71">
        <v>0</v>
      </c>
      <c r="N3" s="71">
        <v>0</v>
      </c>
      <c r="O3" s="71">
        <v>6</v>
      </c>
      <c r="P3" s="68" t="s">
        <v>54</v>
      </c>
      <c r="Q3" s="71">
        <v>0</v>
      </c>
      <c r="R3" s="71">
        <v>0</v>
      </c>
      <c r="S3" s="71">
        <v>0</v>
      </c>
      <c r="T3" s="71">
        <v>0</v>
      </c>
      <c r="U3" s="71">
        <v>0</v>
      </c>
      <c r="V3" s="71">
        <v>0</v>
      </c>
      <c r="W3" s="71">
        <v>7</v>
      </c>
      <c r="X3" s="71">
        <v>0</v>
      </c>
      <c r="Y3" s="71">
        <v>1</v>
      </c>
      <c r="Z3" s="71">
        <v>16</v>
      </c>
      <c r="AA3" s="71">
        <v>10</v>
      </c>
      <c r="AB3" s="71">
        <v>10</v>
      </c>
      <c r="AC3" s="71">
        <v>10</v>
      </c>
      <c r="AD3" s="71">
        <v>10</v>
      </c>
      <c r="AE3" s="71">
        <v>10</v>
      </c>
      <c r="AF3" s="71">
        <v>10</v>
      </c>
      <c r="AG3" s="71">
        <v>0</v>
      </c>
      <c r="AH3" s="71">
        <v>0</v>
      </c>
      <c r="AI3" s="71">
        <v>92</v>
      </c>
      <c r="AJ3" s="71">
        <v>0</v>
      </c>
    </row>
    <row r="4" spans="1:36" x14ac:dyDescent="0.3">
      <c r="A4" s="66" t="s">
        <v>172</v>
      </c>
      <c r="B4" s="67">
        <v>45982</v>
      </c>
      <c r="C4" s="68" t="s">
        <v>46</v>
      </c>
      <c r="D4" s="69" t="s">
        <v>207</v>
      </c>
      <c r="E4" s="68" t="s">
        <v>1</v>
      </c>
      <c r="F4" s="68" t="s">
        <v>174</v>
      </c>
      <c r="G4" s="70">
        <v>0.56220000000000003</v>
      </c>
      <c r="H4" s="71">
        <v>185</v>
      </c>
      <c r="I4" s="71">
        <v>104</v>
      </c>
      <c r="J4" s="71">
        <v>0</v>
      </c>
      <c r="K4" s="68" t="s">
        <v>175</v>
      </c>
      <c r="L4" s="72">
        <v>45981</v>
      </c>
      <c r="M4" s="71">
        <v>8</v>
      </c>
      <c r="N4" s="71">
        <v>1</v>
      </c>
      <c r="O4" s="71">
        <v>22</v>
      </c>
      <c r="P4" s="68" t="s">
        <v>43</v>
      </c>
      <c r="Q4" s="71">
        <v>0</v>
      </c>
      <c r="R4" s="71">
        <v>0</v>
      </c>
      <c r="S4" s="71">
        <v>0</v>
      </c>
      <c r="T4" s="71">
        <v>0</v>
      </c>
      <c r="U4" s="71">
        <v>0</v>
      </c>
      <c r="V4" s="71">
        <v>0</v>
      </c>
      <c r="W4" s="71">
        <v>21</v>
      </c>
      <c r="X4" s="71">
        <v>17</v>
      </c>
      <c r="Y4" s="71">
        <v>22</v>
      </c>
      <c r="Z4" s="71">
        <v>39</v>
      </c>
      <c r="AA4" s="71">
        <v>5</v>
      </c>
      <c r="AB4" s="71">
        <v>0</v>
      </c>
      <c r="AC4" s="71">
        <v>0</v>
      </c>
      <c r="AD4" s="71">
        <v>0</v>
      </c>
      <c r="AE4" s="71">
        <v>0</v>
      </c>
      <c r="AF4" s="71">
        <v>0</v>
      </c>
      <c r="AG4" s="71">
        <v>0</v>
      </c>
      <c r="AH4" s="71">
        <v>0</v>
      </c>
      <c r="AI4" s="71">
        <v>0</v>
      </c>
      <c r="AJ4" s="71">
        <v>0</v>
      </c>
    </row>
    <row r="5" spans="1:36" x14ac:dyDescent="0.3">
      <c r="A5" s="66" t="s">
        <v>172</v>
      </c>
      <c r="B5" s="67">
        <v>45982</v>
      </c>
      <c r="C5" s="68" t="s">
        <v>31</v>
      </c>
      <c r="D5" s="69" t="s">
        <v>183</v>
      </c>
      <c r="E5" s="68" t="s">
        <v>1</v>
      </c>
      <c r="F5" s="68" t="s">
        <v>174</v>
      </c>
      <c r="G5" s="70">
        <v>0.66479999999999995</v>
      </c>
      <c r="H5" s="71">
        <v>179</v>
      </c>
      <c r="I5" s="71">
        <v>119</v>
      </c>
      <c r="J5" s="71">
        <v>1</v>
      </c>
      <c r="K5" s="68" t="s">
        <v>175</v>
      </c>
      <c r="L5" s="72">
        <v>45981</v>
      </c>
      <c r="M5" s="71">
        <v>6</v>
      </c>
      <c r="N5" s="71">
        <v>0</v>
      </c>
      <c r="O5" s="71">
        <v>18</v>
      </c>
      <c r="P5" s="68" t="s">
        <v>32</v>
      </c>
      <c r="Q5" s="71">
        <v>0</v>
      </c>
      <c r="R5" s="71">
        <v>0</v>
      </c>
      <c r="S5" s="71">
        <v>0</v>
      </c>
      <c r="T5" s="71">
        <v>0</v>
      </c>
      <c r="U5" s="71">
        <v>0</v>
      </c>
      <c r="V5" s="71">
        <v>6</v>
      </c>
      <c r="W5" s="71">
        <v>30</v>
      </c>
      <c r="X5" s="71">
        <v>15</v>
      </c>
      <c r="Y5" s="71">
        <v>17</v>
      </c>
      <c r="Z5" s="71">
        <v>11</v>
      </c>
      <c r="AA5" s="71">
        <v>17</v>
      </c>
      <c r="AB5" s="71">
        <v>2</v>
      </c>
      <c r="AC5" s="71">
        <v>5</v>
      </c>
      <c r="AD5" s="71">
        <v>6</v>
      </c>
      <c r="AE5" s="71">
        <v>4</v>
      </c>
      <c r="AF5" s="71">
        <v>5</v>
      </c>
      <c r="AG5" s="71">
        <v>0</v>
      </c>
      <c r="AH5" s="71">
        <v>0</v>
      </c>
      <c r="AI5" s="71">
        <v>1</v>
      </c>
      <c r="AJ5" s="71">
        <v>0</v>
      </c>
    </row>
    <row r="6" spans="1:36" x14ac:dyDescent="0.3">
      <c r="A6" s="66" t="s">
        <v>172</v>
      </c>
      <c r="B6" s="67">
        <v>45982</v>
      </c>
      <c r="C6" s="68" t="s">
        <v>49</v>
      </c>
      <c r="D6" s="69" t="s">
        <v>195</v>
      </c>
      <c r="E6" s="68" t="s">
        <v>1</v>
      </c>
      <c r="F6" s="68" t="s">
        <v>174</v>
      </c>
      <c r="G6" s="70">
        <v>0.69189999999999996</v>
      </c>
      <c r="H6" s="71">
        <v>185</v>
      </c>
      <c r="I6" s="71">
        <v>128</v>
      </c>
      <c r="J6" s="71">
        <v>0</v>
      </c>
      <c r="K6" s="68" t="s">
        <v>175</v>
      </c>
      <c r="L6" s="72">
        <v>45981</v>
      </c>
      <c r="M6" s="71">
        <v>24</v>
      </c>
      <c r="N6" s="71">
        <v>7</v>
      </c>
      <c r="O6" s="71">
        <v>36</v>
      </c>
      <c r="P6" s="68" t="s">
        <v>43</v>
      </c>
      <c r="Q6" s="71">
        <v>0</v>
      </c>
      <c r="R6" s="71">
        <v>0</v>
      </c>
      <c r="S6" s="71">
        <v>0</v>
      </c>
      <c r="T6" s="71">
        <v>0</v>
      </c>
      <c r="U6" s="71">
        <v>0</v>
      </c>
      <c r="V6" s="71">
        <v>0</v>
      </c>
      <c r="W6" s="71">
        <v>20</v>
      </c>
      <c r="X6" s="71">
        <v>23</v>
      </c>
      <c r="Y6" s="71">
        <v>24</v>
      </c>
      <c r="Z6" s="71">
        <v>49</v>
      </c>
      <c r="AA6" s="71">
        <v>12</v>
      </c>
      <c r="AB6" s="71">
        <v>0</v>
      </c>
      <c r="AC6" s="71">
        <v>0</v>
      </c>
      <c r="AD6" s="71">
        <v>0</v>
      </c>
      <c r="AE6" s="71">
        <v>0</v>
      </c>
      <c r="AF6" s="71">
        <v>0</v>
      </c>
      <c r="AG6" s="71">
        <v>0</v>
      </c>
      <c r="AH6" s="71">
        <v>0</v>
      </c>
      <c r="AI6" s="71">
        <v>0</v>
      </c>
      <c r="AJ6" s="71">
        <v>0</v>
      </c>
    </row>
    <row r="7" spans="1:36" x14ac:dyDescent="0.3">
      <c r="A7" s="66" t="s">
        <v>172</v>
      </c>
      <c r="B7" s="67">
        <v>45982</v>
      </c>
      <c r="C7" s="68" t="s">
        <v>36</v>
      </c>
      <c r="D7" s="69" t="s">
        <v>201</v>
      </c>
      <c r="E7" s="68" t="s">
        <v>1</v>
      </c>
      <c r="F7" s="68" t="s">
        <v>174</v>
      </c>
      <c r="G7" s="70">
        <v>0.60340000000000005</v>
      </c>
      <c r="H7" s="71">
        <v>179</v>
      </c>
      <c r="I7" s="71">
        <v>108</v>
      </c>
      <c r="J7" s="71">
        <v>0</v>
      </c>
      <c r="K7" s="68" t="s">
        <v>175</v>
      </c>
      <c r="L7" s="72">
        <v>45981</v>
      </c>
      <c r="M7" s="71">
        <v>6</v>
      </c>
      <c r="N7" s="71">
        <v>1</v>
      </c>
      <c r="O7" s="71">
        <v>26</v>
      </c>
      <c r="P7" s="68" t="s">
        <v>37</v>
      </c>
      <c r="Q7" s="71">
        <v>0</v>
      </c>
      <c r="R7" s="71">
        <v>0</v>
      </c>
      <c r="S7" s="71">
        <v>0</v>
      </c>
      <c r="T7" s="71">
        <v>0</v>
      </c>
      <c r="U7" s="71">
        <v>0</v>
      </c>
      <c r="V7" s="71">
        <v>0</v>
      </c>
      <c r="W7" s="71">
        <v>16</v>
      </c>
      <c r="X7" s="71">
        <v>45</v>
      </c>
      <c r="Y7" s="71">
        <v>21</v>
      </c>
      <c r="Z7" s="71">
        <v>13</v>
      </c>
      <c r="AA7" s="71">
        <v>13</v>
      </c>
      <c r="AB7" s="71">
        <v>0</v>
      </c>
      <c r="AC7" s="71">
        <v>0</v>
      </c>
      <c r="AD7" s="71">
        <v>0</v>
      </c>
      <c r="AE7" s="71">
        <v>0</v>
      </c>
      <c r="AF7" s="71">
        <v>0</v>
      </c>
      <c r="AG7" s="71">
        <v>0</v>
      </c>
      <c r="AH7" s="71">
        <v>0</v>
      </c>
      <c r="AI7" s="71">
        <v>0</v>
      </c>
      <c r="AJ7" s="71">
        <v>0</v>
      </c>
    </row>
    <row r="8" spans="1:36" ht="18" x14ac:dyDescent="0.35">
      <c r="A8" s="127" t="s">
        <v>225</v>
      </c>
      <c r="B8" s="128"/>
      <c r="C8" s="127">
        <f>SUBTOTAL(103,LF_ALL_ROUTES[Flt])</f>
        <v>6</v>
      </c>
      <c r="D8" s="127"/>
      <c r="E8" s="127">
        <f>SUBTOTAL(103,LF_ALL_ROUTES[Brd-Off])</f>
        <v>6</v>
      </c>
      <c r="F8" s="127"/>
      <c r="G8" s="129">
        <f>SUBTOTAL(101,LF_ALL_ROUTES[LF%])</f>
        <v>0.69790000000000008</v>
      </c>
      <c r="H8" s="130">
        <f>SUBTOTAL(109,LF_ALL_ROUTES[CAP])</f>
        <v>1081</v>
      </c>
      <c r="I8" s="130">
        <f>SUBTOTAL(109,LF_ALL_ROUTES[BKG(Y)])</f>
        <v>752</v>
      </c>
      <c r="J8" s="130">
        <f>SUBTOTAL(109,LF_ALL_ROUTES[GRP(Y)])</f>
        <v>93</v>
      </c>
      <c r="K8" s="127"/>
      <c r="L8" s="128"/>
      <c r="M8" s="130">
        <f>SUBTOTAL(109,LF_ALL_ROUTES[TO-DAY])</f>
        <v>69</v>
      </c>
      <c r="N8" s="130">
        <f>SUBTOTAL(109,LF_ALL_ROUTES[Y-DAY])</f>
        <v>13</v>
      </c>
      <c r="O8" s="130">
        <f>SUBTOTAL(109,LF_ALL_ROUTES[WEEKLY])</f>
        <v>156</v>
      </c>
      <c r="P8" s="131"/>
      <c r="Q8" s="130">
        <f>SUBTOTAL(109,LF_ALL_ROUTES[Y])</f>
        <v>0</v>
      </c>
      <c r="R8" s="130">
        <f>SUBTOTAL(109,LF_ALL_ROUTES[B])</f>
        <v>0</v>
      </c>
      <c r="S8" s="130">
        <f>SUBTOTAL(109,LF_ALL_ROUTES[M])</f>
        <v>0</v>
      </c>
      <c r="T8" s="130">
        <f>SUBTOTAL(109,LF_ALL_ROUTES[H])</f>
        <v>0</v>
      </c>
      <c r="U8" s="130">
        <f>SUBTOTAL(109,LF_ALL_ROUTES[Q])</f>
        <v>0</v>
      </c>
      <c r="V8" s="130">
        <f>SUBTOTAL(109,LF_ALL_ROUTES[K])</f>
        <v>9</v>
      </c>
      <c r="W8" s="130">
        <f>SUBTOTAL(109,LF_ALL_ROUTES[V])</f>
        <v>124</v>
      </c>
      <c r="X8" s="130">
        <f>SUBTOTAL(109,LF_ALL_ROUTES[L])</f>
        <v>122</v>
      </c>
      <c r="Y8" s="130">
        <f>SUBTOTAL(109,LF_ALL_ROUTES[G])</f>
        <v>107</v>
      </c>
      <c r="Z8" s="130">
        <f>SUBTOTAL(109,LF_ALL_ROUTES[S])</f>
        <v>162</v>
      </c>
      <c r="AA8" s="130">
        <f>SUBTOTAL(109,LF_ALL_ROUTES[W])</f>
        <v>62</v>
      </c>
      <c r="AB8" s="130">
        <f>SUBTOTAL(109,LF_ALL_ROUTES[T])</f>
        <v>12</v>
      </c>
      <c r="AC8" s="130">
        <f>SUBTOTAL(109,LF_ALL_ROUTES[X])</f>
        <v>16</v>
      </c>
      <c r="AD8" s="130">
        <f>SUBTOTAL(109,LF_ALL_ROUTES[U])</f>
        <v>16</v>
      </c>
      <c r="AE8" s="130">
        <f>SUBTOTAL(109,LF_ALL_ROUTES[O])</f>
        <v>14</v>
      </c>
      <c r="AF8" s="130">
        <f>SUBTOTAL(109,LF_ALL_ROUTES[I])</f>
        <v>15</v>
      </c>
      <c r="AG8" s="130">
        <f>SUBTOTAL(109,LF_ALL_ROUTES[E])</f>
        <v>0</v>
      </c>
      <c r="AH8" s="130">
        <f>SUBTOTAL(109,LF_ALL_ROUTES[A])</f>
        <v>0</v>
      </c>
      <c r="AI8" s="130">
        <f>SUBTOTAL(109,LF_ALL_ROUTES[P])</f>
        <v>93</v>
      </c>
      <c r="AJ8" s="130">
        <f>SUBTOTAL(109,LF_ALL_ROUTES[N])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JED-CAI</vt:lpstr>
      <vt:lpstr>JED-CAI LF LEGACY</vt:lpstr>
      <vt:lpstr>JED-CAI - FOCUS MODE</vt:lpstr>
      <vt:lpstr>JED-CAI - OAL Threats Alert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2025-11-20T13:58:44Z</dcterms:created>
  <dcterms:modified xsi:type="dcterms:W3CDTF">2025-11-20T13:58:51Z</dcterms:modified>
</cp:coreProperties>
</file>