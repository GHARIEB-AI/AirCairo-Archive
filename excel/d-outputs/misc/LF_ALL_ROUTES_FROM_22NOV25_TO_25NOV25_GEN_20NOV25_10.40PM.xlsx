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08302C1-5591-47A1-8A0D-8325C99816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9" i="1" l="1"/>
  <c r="E29" i="1"/>
  <c r="C29" i="1"/>
  <c r="AJ29" i="1"/>
</calcChain>
</file>

<file path=xl/sharedStrings.xml><?xml version="1.0" encoding="utf-8"?>
<sst xmlns="http://schemas.openxmlformats.org/spreadsheetml/2006/main" count="226" uniqueCount="97">
  <si>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</si>
  <si>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</si>
  <si>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</si>
  <si>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</si>
  <si>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</si>
  <si>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</si>
  <si>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</si>
  <si>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</si>
  <si>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</si>
  <si>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</si>
  <si>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</si>
  <si>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</si>
  <si>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</si>
  <si>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</si>
  <si>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</si>
  <si>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</si>
  <si>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</si>
  <si>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</si>
  <si>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</si>
  <si>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</si>
  <si>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</si>
  <si>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</si>
  <si>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</si>
  <si>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</si>
  <si>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</si>
  <si>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</si>
  <si>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</si>
  <si>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</si>
  <si>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</si>
  <si>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</si>
  <si>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</si>
  <si>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</si>
  <si>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</si>
  <si>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</si>
  <si>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</si>
  <si>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</si>
  <si>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</si>
  <si>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SM450</t>
  </si>
  <si>
    <t>05:40</t>
  </si>
  <si>
    <t>JED-CAI</t>
  </si>
  <si>
    <t>320</t>
  </si>
  <si>
    <t>UPCOMING</t>
  </si>
  <si>
    <t>V1</t>
  </si>
  <si>
    <t>SM462</t>
  </si>
  <si>
    <t>14:40</t>
  </si>
  <si>
    <t>RUH-CAI</t>
  </si>
  <si>
    <t>S7</t>
  </si>
  <si>
    <t>SM476</t>
  </si>
  <si>
    <t>08:00</t>
  </si>
  <si>
    <t>CLOSED</t>
  </si>
  <si>
    <t>SM478</t>
  </si>
  <si>
    <t>16:20</t>
  </si>
  <si>
    <t>K1</t>
  </si>
  <si>
    <t>SM494</t>
  </si>
  <si>
    <t>09:30</t>
  </si>
  <si>
    <t>MED-CAI</t>
  </si>
  <si>
    <t>SUNDAY</t>
  </si>
  <si>
    <t>SM424</t>
  </si>
  <si>
    <t>02:00</t>
  </si>
  <si>
    <t>W9</t>
  </si>
  <si>
    <t>SM432</t>
  </si>
  <si>
    <t>SM460</t>
  </si>
  <si>
    <t>12:15</t>
  </si>
  <si>
    <t>G7</t>
  </si>
  <si>
    <t>15:00</t>
  </si>
  <si>
    <t>E90</t>
  </si>
  <si>
    <t>07:40</t>
  </si>
  <si>
    <t>15:10</t>
  </si>
  <si>
    <t>21:40</t>
  </si>
  <si>
    <t>MONDAY</t>
  </si>
  <si>
    <t>23:30</t>
  </si>
  <si>
    <t>T3</t>
  </si>
  <si>
    <t>SM470</t>
  </si>
  <si>
    <t>22:10</t>
  </si>
  <si>
    <t>X6</t>
  </si>
  <si>
    <t>10:10</t>
  </si>
  <si>
    <t>14:45</t>
  </si>
  <si>
    <t>SM480</t>
  </si>
  <si>
    <t>00:10</t>
  </si>
  <si>
    <t>X9</t>
  </si>
  <si>
    <t>TUESDAY</t>
  </si>
  <si>
    <t>22:25</t>
  </si>
  <si>
    <t>O9</t>
  </si>
  <si>
    <t>17:30</t>
  </si>
  <si>
    <t>U1</t>
  </si>
  <si>
    <t>21:55</t>
  </si>
  <si>
    <t>SM472</t>
  </si>
  <si>
    <t>05:30</t>
  </si>
  <si>
    <t>23:15</t>
  </si>
  <si>
    <t>13:25</t>
  </si>
  <si>
    <t>SM488</t>
  </si>
  <si>
    <t>06:40</t>
  </si>
  <si>
    <t>G9</t>
  </si>
  <si>
    <t>SM496</t>
  </si>
  <si>
    <t>01:10</t>
  </si>
  <si>
    <t>V8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</si>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</sst>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F8CE7-AC37-44D5-8EF0-76B30DF8893E}" name="LF_ALL_ROUTES" displayName="LF_ALL_ROUTES" ref="A1:AJ29" totalsRowCount="1" headerRowDxfId="37" totalsRowDxfId="0">
  <autoFilter ref="A1:AJ28" xr:uid="{EB0F8CE7-AC37-44D5-8EF0-76B30DF8893E}"/>
  <tableColumns count="36">
    <tableColumn id="1" xr3:uid="{DB1D626A-4E2C-4C12-98C1-7C74FDA184FD}" name="Day" totalsRowLabel="TOTAL" totalsRowDxfId="36"/>
    <tableColumn id="2" xr3:uid="{7A1C94DB-DD87-41F3-BB08-BFB7C7A4AAC6}" name="Flt Dt" dataDxfId="39" totalsRowDxfId="35"/>
    <tableColumn id="3" xr3:uid="{E08165E9-16D8-4668-AD51-51B663740EFC}" name="Flt" totalsRowFunction="count" totalsRowDxfId="34"/>
    <tableColumn id="4" xr3:uid="{2E6EF251-49D3-41B9-ABB9-90E1C2E08CDE}" name="DEP" totalsRowDxfId="33"/>
    <tableColumn id="5" xr3:uid="{DA187547-530D-45B1-A891-7D406D82CF38}" name="Brd-Off" totalsRowFunction="count" totalsRowDxfId="32"/>
    <tableColumn id="6" xr3:uid="{E284E5C8-4C98-4C48-90DF-F52917B34AC9}" name="Eqp" totalsRowDxfId="31"/>
    <tableColumn id="7" xr3:uid="{8BA1E156-A2A3-42D1-A0A9-C0874B2411CE}" name="LF%" totalsRowFunction="average" totalsRowDxfId="30"/>
    <tableColumn id="8" xr3:uid="{2908274B-A9FC-4012-9E6C-DE0954306835}" name="CAP" totalsRowDxfId="29"/>
    <tableColumn id="9" xr3:uid="{139E51C9-94ED-4DF7-9252-E8FF617DEE1E}" name="BKG(Y)" totalsRowDxfId="28"/>
    <tableColumn id="10" xr3:uid="{9791B81B-6B85-41DC-AB0E-5FDBCD71CCFB}" name="GRP(Y)" totalsRowDxfId="27"/>
    <tableColumn id="11" xr3:uid="{AE32FBE6-5605-45E3-AAE5-66BCEF8796FC}" name="FLT ST" totalsRowDxfId="26"/>
    <tableColumn id="12" xr3:uid="{01AC64C8-CC06-48DA-A4E6-2331AA904929}" name="LST-SOLD" dataDxfId="38" totalsRowDxfId="25"/>
    <tableColumn id="13" xr3:uid="{ACA10FF2-A0DC-4A00-87BF-DCA7875818D9}" name="TO-DAY" totalsRowDxfId="24"/>
    <tableColumn id="14" xr3:uid="{540E317B-5DA8-40E4-A77C-92BFFB3D8758}" name="Y-DAY" totalsRowDxfId="23"/>
    <tableColumn id="15" xr3:uid="{555914C1-00FA-4ED5-B00D-D74320E28C05}" name="WEEKLY" totalsRowDxfId="22"/>
    <tableColumn id="16" xr3:uid="{55BC0532-2C8C-4AF9-87AB-6C9995DD8826}" name="LOWEST AVAIL" totalsRowDxfId="21"/>
    <tableColumn id="17" xr3:uid="{75A33914-6942-45F0-AA96-2D686DDF3A3F}" name="Y" totalsRowDxfId="20"/>
    <tableColumn id="18" xr3:uid="{45E78FDA-3BD7-4CC6-919B-4987F7D1EC0A}" name="B" totalsRowDxfId="19"/>
    <tableColumn id="19" xr3:uid="{FAD2950E-2329-4649-A303-CDEF90B30494}" name="M" totalsRowDxfId="18"/>
    <tableColumn id="20" xr3:uid="{C55910A0-8C26-4523-BE08-838B5130DFE6}" name="H" totalsRowDxfId="17"/>
    <tableColumn id="21" xr3:uid="{8A7A0188-EBB9-4A69-8F44-AC7DE3CD7A95}" name="Q" totalsRowDxfId="16"/>
    <tableColumn id="22" xr3:uid="{7B656A17-0478-4A47-9BC3-F8586EC718BE}" name="K" totalsRowDxfId="15"/>
    <tableColumn id="23" xr3:uid="{9F17C345-8A87-4C3A-9146-009B5C326725}" name="V" totalsRowDxfId="14"/>
    <tableColumn id="24" xr3:uid="{B535A709-4510-47DA-ABAE-BA17A689C205}" name="L" totalsRowDxfId="13"/>
    <tableColumn id="25" xr3:uid="{A8C96AB7-3FC6-4E8F-81D7-AC6B632007D4}" name="G" totalsRowDxfId="12"/>
    <tableColumn id="26" xr3:uid="{AE3AA6B0-959B-4A9C-8D7B-337D2FD95BA9}" name="S" totalsRowDxfId="11"/>
    <tableColumn id="27" xr3:uid="{A2E75980-C5E2-4AE9-8E45-4009D87F8695}" name="W" totalsRowDxfId="10"/>
    <tableColumn id="28" xr3:uid="{57430A57-89AD-40CC-91A9-85D978D01EE1}" name="T" totalsRowDxfId="9"/>
    <tableColumn id="29" xr3:uid="{FE23DDE4-5B83-496B-BC2A-B66F318075DD}" name="X" totalsRowDxfId="8"/>
    <tableColumn id="30" xr3:uid="{B87AA873-C207-4982-BEF2-807D80FCB0A5}" name="U" totalsRowDxfId="7"/>
    <tableColumn id="31" xr3:uid="{35DF932C-0C93-4364-8C27-93C4AA3D35CF}" name="O" totalsRowDxfId="6"/>
    <tableColumn id="32" xr3:uid="{819CB7E9-BEB9-439A-84C3-7DE2CB20EAC2}" name="I" totalsRowDxfId="5"/>
    <tableColumn id="33" xr3:uid="{E52F7D1A-5ECA-4B6A-B5A1-49A88B52110B}" name="E" totalsRowDxfId="4"/>
    <tableColumn id="34" xr3:uid="{2BE1C537-EAAB-47DD-9B27-6BEDA92AC7DC}" name="A" totalsRowDxfId="3"/>
    <tableColumn id="35" xr3:uid="{0292FE75-8285-4CD3-B9D8-04D81DFF97C9}" name="P" totalsRowDxfId="2"/>
    <tableColumn id="36" xr3:uid="{78E5E700-453F-49FE-A05D-51EF74D7C31F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9"/>
  <sheetViews>
    <sheetView tabSelected="1" workbookViewId="0"/>
  </sheetViews>
  <sheetFormatPr defaultRowHeight="14.4" outlineLevelCol="1" x14ac:dyDescent="0.3"/>
  <cols>
    <col min="1" max="1" width="9.777343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45983</v>
      </c>
      <c r="C2" t="s">
        <v>37</v>
      </c>
      <c r="D2" t="s">
        <v>38</v>
      </c>
      <c r="E2" t="s">
        <v>39</v>
      </c>
      <c r="F2" t="s">
        <v>40</v>
      </c>
      <c r="G2">
        <v>0.99439999999999995</v>
      </c>
      <c r="H2">
        <v>179</v>
      </c>
      <c r="I2">
        <v>178</v>
      </c>
      <c r="J2">
        <v>50</v>
      </c>
      <c r="K2" t="s">
        <v>41</v>
      </c>
      <c r="L2" s="2">
        <v>45981</v>
      </c>
      <c r="M2">
        <v>6</v>
      </c>
      <c r="N2">
        <v>0</v>
      </c>
      <c r="O2">
        <v>6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</v>
      </c>
      <c r="X2">
        <v>0</v>
      </c>
      <c r="Y2">
        <v>16</v>
      </c>
      <c r="Z2">
        <v>17</v>
      </c>
      <c r="AA2">
        <v>21</v>
      </c>
      <c r="AB2">
        <v>10</v>
      </c>
      <c r="AC2">
        <v>9</v>
      </c>
      <c r="AD2">
        <v>17</v>
      </c>
      <c r="AE2">
        <v>16</v>
      </c>
      <c r="AF2">
        <v>16</v>
      </c>
      <c r="AG2">
        <v>0</v>
      </c>
      <c r="AH2">
        <v>0</v>
      </c>
      <c r="AI2">
        <v>50</v>
      </c>
      <c r="AJ2">
        <v>0</v>
      </c>
    </row>
    <row r="3" spans="1:36" x14ac:dyDescent="0.3">
      <c r="A3" t="s">
        <v>36</v>
      </c>
      <c r="B3" s="2">
        <v>45983</v>
      </c>
      <c r="C3" t="s">
        <v>43</v>
      </c>
      <c r="D3" t="s">
        <v>44</v>
      </c>
      <c r="E3" t="s">
        <v>45</v>
      </c>
      <c r="F3" t="s">
        <v>40</v>
      </c>
      <c r="G3">
        <v>0.83930000000000005</v>
      </c>
      <c r="H3">
        <v>168</v>
      </c>
      <c r="I3">
        <v>141</v>
      </c>
      <c r="J3">
        <v>0</v>
      </c>
      <c r="K3" t="s">
        <v>41</v>
      </c>
      <c r="L3" s="2">
        <v>45981</v>
      </c>
      <c r="M3">
        <v>24</v>
      </c>
      <c r="N3">
        <v>23</v>
      </c>
      <c r="O3">
        <v>52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2</v>
      </c>
      <c r="W3">
        <v>0</v>
      </c>
      <c r="X3">
        <v>0</v>
      </c>
      <c r="Y3">
        <v>0</v>
      </c>
      <c r="Z3">
        <v>1</v>
      </c>
      <c r="AA3">
        <v>2</v>
      </c>
      <c r="AB3">
        <v>15</v>
      </c>
      <c r="AC3">
        <v>70</v>
      </c>
      <c r="AD3">
        <v>12</v>
      </c>
      <c r="AE3">
        <v>26</v>
      </c>
      <c r="AF3">
        <v>13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45983</v>
      </c>
      <c r="C4" t="s">
        <v>47</v>
      </c>
      <c r="D4" t="s">
        <v>48</v>
      </c>
      <c r="E4" t="s">
        <v>39</v>
      </c>
      <c r="F4" t="s">
        <v>40</v>
      </c>
      <c r="G4">
        <v>1</v>
      </c>
      <c r="H4">
        <v>179</v>
      </c>
      <c r="I4">
        <v>179</v>
      </c>
      <c r="J4">
        <v>134</v>
      </c>
      <c r="K4" t="s">
        <v>41</v>
      </c>
      <c r="L4" s="2">
        <v>45979</v>
      </c>
      <c r="M4">
        <v>0</v>
      </c>
      <c r="N4">
        <v>0</v>
      </c>
      <c r="O4">
        <v>4</v>
      </c>
      <c r="P4" t="s">
        <v>49</v>
      </c>
      <c r="Q4">
        <v>0</v>
      </c>
      <c r="R4">
        <v>0</v>
      </c>
      <c r="S4">
        <v>0</v>
      </c>
      <c r="T4">
        <v>0</v>
      </c>
      <c r="U4">
        <v>0</v>
      </c>
      <c r="V4">
        <v>5</v>
      </c>
      <c r="W4">
        <v>0</v>
      </c>
      <c r="X4">
        <v>6</v>
      </c>
      <c r="Y4">
        <v>0</v>
      </c>
      <c r="Z4">
        <v>24</v>
      </c>
      <c r="AA4">
        <v>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135</v>
      </c>
      <c r="AJ4">
        <v>4</v>
      </c>
    </row>
    <row r="5" spans="1:36" x14ac:dyDescent="0.3">
      <c r="A5" t="s">
        <v>36</v>
      </c>
      <c r="B5" s="2">
        <v>45983</v>
      </c>
      <c r="C5" t="s">
        <v>50</v>
      </c>
      <c r="D5" t="s">
        <v>51</v>
      </c>
      <c r="E5" t="s">
        <v>39</v>
      </c>
      <c r="F5" t="s">
        <v>40</v>
      </c>
      <c r="G5">
        <v>0.99439999999999995</v>
      </c>
      <c r="H5">
        <v>179</v>
      </c>
      <c r="I5">
        <v>178</v>
      </c>
      <c r="J5">
        <v>127</v>
      </c>
      <c r="K5" t="s">
        <v>41</v>
      </c>
      <c r="L5" s="2">
        <v>45981</v>
      </c>
      <c r="M5">
        <v>3</v>
      </c>
      <c r="N5">
        <v>0</v>
      </c>
      <c r="O5">
        <v>6</v>
      </c>
      <c r="P5" t="s">
        <v>52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W5">
        <v>0</v>
      </c>
      <c r="X5">
        <v>0</v>
      </c>
      <c r="Y5">
        <v>3</v>
      </c>
      <c r="Z5">
        <v>3</v>
      </c>
      <c r="AA5">
        <v>4</v>
      </c>
      <c r="AB5">
        <v>10</v>
      </c>
      <c r="AC5">
        <v>12</v>
      </c>
      <c r="AD5">
        <v>5</v>
      </c>
      <c r="AE5">
        <v>6</v>
      </c>
      <c r="AF5">
        <v>4</v>
      </c>
      <c r="AG5">
        <v>45</v>
      </c>
      <c r="AH5">
        <v>0</v>
      </c>
      <c r="AI5">
        <v>82</v>
      </c>
      <c r="AJ5">
        <v>1</v>
      </c>
    </row>
    <row r="6" spans="1:36" x14ac:dyDescent="0.3">
      <c r="A6" t="s">
        <v>36</v>
      </c>
      <c r="B6" s="2">
        <v>45983</v>
      </c>
      <c r="C6" t="s">
        <v>53</v>
      </c>
      <c r="D6" t="s">
        <v>54</v>
      </c>
      <c r="E6" t="s">
        <v>55</v>
      </c>
      <c r="F6" t="s">
        <v>40</v>
      </c>
      <c r="G6">
        <v>1</v>
      </c>
      <c r="H6">
        <v>179</v>
      </c>
      <c r="I6">
        <v>179</v>
      </c>
      <c r="J6">
        <v>130</v>
      </c>
      <c r="K6" t="s">
        <v>41</v>
      </c>
      <c r="L6" s="2">
        <v>45974</v>
      </c>
      <c r="M6">
        <v>0</v>
      </c>
      <c r="N6">
        <v>0</v>
      </c>
      <c r="O6">
        <v>1</v>
      </c>
      <c r="P6" t="s">
        <v>49</v>
      </c>
      <c r="Q6">
        <v>0</v>
      </c>
      <c r="R6">
        <v>0</v>
      </c>
      <c r="S6">
        <v>0</v>
      </c>
      <c r="T6">
        <v>0</v>
      </c>
      <c r="U6">
        <v>4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5</v>
      </c>
      <c r="AD6">
        <v>9</v>
      </c>
      <c r="AE6">
        <v>7</v>
      </c>
      <c r="AF6">
        <v>17</v>
      </c>
      <c r="AG6">
        <v>0</v>
      </c>
      <c r="AH6">
        <v>0</v>
      </c>
      <c r="AI6">
        <v>130</v>
      </c>
      <c r="AJ6">
        <v>4</v>
      </c>
    </row>
    <row r="7" spans="1:36" x14ac:dyDescent="0.3">
      <c r="A7" t="s">
        <v>56</v>
      </c>
      <c r="B7" s="2">
        <v>45984</v>
      </c>
      <c r="C7" t="s">
        <v>57</v>
      </c>
      <c r="D7" t="s">
        <v>58</v>
      </c>
      <c r="E7" t="s">
        <v>39</v>
      </c>
      <c r="F7" t="s">
        <v>40</v>
      </c>
      <c r="G7">
        <v>0.64800000000000002</v>
      </c>
      <c r="H7">
        <v>179</v>
      </c>
      <c r="I7">
        <v>116</v>
      </c>
      <c r="J7">
        <v>28</v>
      </c>
      <c r="K7" t="s">
        <v>41</v>
      </c>
      <c r="L7" s="2">
        <v>45981</v>
      </c>
      <c r="M7">
        <v>5</v>
      </c>
      <c r="N7">
        <v>7</v>
      </c>
      <c r="O7">
        <v>55</v>
      </c>
      <c r="P7" t="s">
        <v>59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19</v>
      </c>
      <c r="AA7">
        <v>17</v>
      </c>
      <c r="AB7">
        <v>33</v>
      </c>
      <c r="AC7">
        <v>4</v>
      </c>
      <c r="AD7">
        <v>5</v>
      </c>
      <c r="AE7">
        <v>4</v>
      </c>
      <c r="AF7">
        <v>4</v>
      </c>
      <c r="AG7">
        <v>0</v>
      </c>
      <c r="AH7">
        <v>0</v>
      </c>
      <c r="AI7">
        <v>28</v>
      </c>
      <c r="AJ7">
        <v>2</v>
      </c>
    </row>
    <row r="8" spans="1:36" x14ac:dyDescent="0.3">
      <c r="A8" t="s">
        <v>56</v>
      </c>
      <c r="B8" s="2">
        <v>45984</v>
      </c>
      <c r="C8" t="s">
        <v>60</v>
      </c>
      <c r="D8" t="s">
        <v>48</v>
      </c>
      <c r="E8" t="s">
        <v>39</v>
      </c>
      <c r="F8" t="s">
        <v>40</v>
      </c>
      <c r="G8">
        <v>0.90480000000000005</v>
      </c>
      <c r="H8">
        <v>168</v>
      </c>
      <c r="I8">
        <v>152</v>
      </c>
      <c r="J8">
        <v>62</v>
      </c>
      <c r="K8" t="s">
        <v>41</v>
      </c>
      <c r="L8" s="2">
        <v>45981</v>
      </c>
      <c r="M8">
        <v>9</v>
      </c>
      <c r="N8">
        <v>4</v>
      </c>
      <c r="O8">
        <v>37</v>
      </c>
      <c r="P8" t="s">
        <v>59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10</v>
      </c>
      <c r="AA8">
        <v>23</v>
      </c>
      <c r="AB8">
        <v>18</v>
      </c>
      <c r="AC8">
        <v>9</v>
      </c>
      <c r="AD8">
        <v>20</v>
      </c>
      <c r="AE8">
        <v>4</v>
      </c>
      <c r="AF8">
        <v>5</v>
      </c>
      <c r="AG8">
        <v>0</v>
      </c>
      <c r="AH8">
        <v>0</v>
      </c>
      <c r="AI8">
        <v>62</v>
      </c>
      <c r="AJ8">
        <v>0</v>
      </c>
    </row>
    <row r="9" spans="1:36" x14ac:dyDescent="0.3">
      <c r="A9" t="s">
        <v>56</v>
      </c>
      <c r="B9" s="2">
        <v>45984</v>
      </c>
      <c r="C9" t="s">
        <v>61</v>
      </c>
      <c r="D9" t="s">
        <v>62</v>
      </c>
      <c r="E9" t="s">
        <v>39</v>
      </c>
      <c r="F9" t="s">
        <v>40</v>
      </c>
      <c r="G9">
        <v>0.9274</v>
      </c>
      <c r="H9">
        <v>179</v>
      </c>
      <c r="I9">
        <v>166</v>
      </c>
      <c r="J9">
        <v>128</v>
      </c>
      <c r="K9" t="s">
        <v>41</v>
      </c>
      <c r="L9" s="2">
        <v>45981</v>
      </c>
      <c r="M9">
        <v>3</v>
      </c>
      <c r="N9">
        <v>1</v>
      </c>
      <c r="O9">
        <v>9</v>
      </c>
      <c r="P9" t="s">
        <v>63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</v>
      </c>
      <c r="Y9">
        <v>1</v>
      </c>
      <c r="Z9">
        <v>13</v>
      </c>
      <c r="AA9">
        <v>0</v>
      </c>
      <c r="AB9">
        <v>0</v>
      </c>
      <c r="AC9">
        <v>0</v>
      </c>
      <c r="AD9">
        <v>3</v>
      </c>
      <c r="AE9">
        <v>5</v>
      </c>
      <c r="AF9">
        <v>7</v>
      </c>
      <c r="AG9">
        <v>0</v>
      </c>
      <c r="AH9">
        <v>0</v>
      </c>
      <c r="AI9">
        <v>129</v>
      </c>
      <c r="AJ9">
        <v>0</v>
      </c>
    </row>
    <row r="10" spans="1:36" x14ac:dyDescent="0.3">
      <c r="A10" t="s">
        <v>56</v>
      </c>
      <c r="B10" s="2">
        <v>45984</v>
      </c>
      <c r="C10" t="s">
        <v>43</v>
      </c>
      <c r="D10" t="s">
        <v>64</v>
      </c>
      <c r="E10" t="s">
        <v>45</v>
      </c>
      <c r="F10" t="s">
        <v>65</v>
      </c>
      <c r="G10">
        <v>1.0825</v>
      </c>
      <c r="H10">
        <v>97</v>
      </c>
      <c r="I10">
        <v>105</v>
      </c>
      <c r="J10">
        <v>0</v>
      </c>
      <c r="K10" t="s">
        <v>41</v>
      </c>
      <c r="L10" s="2">
        <v>45980</v>
      </c>
      <c r="M10">
        <v>0</v>
      </c>
      <c r="N10">
        <v>5</v>
      </c>
      <c r="O10">
        <v>40</v>
      </c>
      <c r="P10" t="s">
        <v>49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5</v>
      </c>
      <c r="AC10">
        <v>8</v>
      </c>
      <c r="AD10">
        <v>33</v>
      </c>
      <c r="AE10">
        <v>18</v>
      </c>
      <c r="AF10">
        <v>39</v>
      </c>
      <c r="AG10">
        <v>0</v>
      </c>
      <c r="AH10">
        <v>0</v>
      </c>
      <c r="AI10">
        <v>0</v>
      </c>
      <c r="AJ10">
        <v>1</v>
      </c>
    </row>
    <row r="11" spans="1:36" x14ac:dyDescent="0.3">
      <c r="A11" t="s">
        <v>56</v>
      </c>
      <c r="B11" s="2">
        <v>45984</v>
      </c>
      <c r="C11" t="s">
        <v>47</v>
      </c>
      <c r="D11" t="s">
        <v>66</v>
      </c>
      <c r="E11" t="s">
        <v>39</v>
      </c>
      <c r="F11" t="s">
        <v>40</v>
      </c>
      <c r="G11">
        <v>0.55869999999999997</v>
      </c>
      <c r="H11">
        <v>179</v>
      </c>
      <c r="I11">
        <v>100</v>
      </c>
      <c r="J11">
        <v>0</v>
      </c>
      <c r="K11" t="s">
        <v>41</v>
      </c>
      <c r="L11" s="2">
        <v>45981</v>
      </c>
      <c r="M11">
        <v>3</v>
      </c>
      <c r="N11">
        <v>0</v>
      </c>
      <c r="O11">
        <v>37</v>
      </c>
      <c r="P11" t="s">
        <v>59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</v>
      </c>
      <c r="Z11">
        <v>32</v>
      </c>
      <c r="AA11">
        <v>23</v>
      </c>
      <c r="AB11">
        <v>16</v>
      </c>
      <c r="AC11">
        <v>9</v>
      </c>
      <c r="AD11">
        <v>5</v>
      </c>
      <c r="AE11">
        <v>5</v>
      </c>
      <c r="AF11">
        <v>5</v>
      </c>
      <c r="AG11">
        <v>0</v>
      </c>
      <c r="AH11">
        <v>0</v>
      </c>
      <c r="AI11">
        <v>0</v>
      </c>
      <c r="AJ11">
        <v>0</v>
      </c>
    </row>
    <row r="12" spans="1:36" x14ac:dyDescent="0.3">
      <c r="A12" t="s">
        <v>56</v>
      </c>
      <c r="B12" s="2">
        <v>45984</v>
      </c>
      <c r="C12" t="s">
        <v>50</v>
      </c>
      <c r="D12" t="s">
        <v>67</v>
      </c>
      <c r="E12" t="s">
        <v>39</v>
      </c>
      <c r="F12" t="s">
        <v>40</v>
      </c>
      <c r="G12">
        <v>1.0112000000000001</v>
      </c>
      <c r="H12">
        <v>179</v>
      </c>
      <c r="I12">
        <v>181</v>
      </c>
      <c r="J12">
        <v>128</v>
      </c>
      <c r="K12" t="s">
        <v>41</v>
      </c>
      <c r="L12" s="2">
        <v>45980</v>
      </c>
      <c r="M12">
        <v>0</v>
      </c>
      <c r="N12">
        <v>3</v>
      </c>
      <c r="O12">
        <v>12</v>
      </c>
      <c r="P12" t="s">
        <v>49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4</v>
      </c>
      <c r="Z12">
        <v>11</v>
      </c>
      <c r="AA12">
        <v>0</v>
      </c>
      <c r="AB12">
        <v>7</v>
      </c>
      <c r="AC12">
        <v>12</v>
      </c>
      <c r="AD12">
        <v>5</v>
      </c>
      <c r="AE12">
        <v>5</v>
      </c>
      <c r="AF12">
        <v>7</v>
      </c>
      <c r="AG12">
        <v>0</v>
      </c>
      <c r="AH12">
        <v>0</v>
      </c>
      <c r="AI12">
        <v>129</v>
      </c>
      <c r="AJ12">
        <v>0</v>
      </c>
    </row>
    <row r="13" spans="1:36" x14ac:dyDescent="0.3">
      <c r="A13" t="s">
        <v>56</v>
      </c>
      <c r="B13" s="2">
        <v>45984</v>
      </c>
      <c r="C13" t="s">
        <v>53</v>
      </c>
      <c r="D13" t="s">
        <v>68</v>
      </c>
      <c r="E13" t="s">
        <v>55</v>
      </c>
      <c r="F13" t="s">
        <v>40</v>
      </c>
      <c r="G13">
        <v>1</v>
      </c>
      <c r="H13">
        <v>179</v>
      </c>
      <c r="I13">
        <v>179</v>
      </c>
      <c r="J13">
        <v>86</v>
      </c>
      <c r="K13" t="s">
        <v>41</v>
      </c>
      <c r="L13" s="2">
        <v>45977</v>
      </c>
      <c r="M13">
        <v>0</v>
      </c>
      <c r="N13">
        <v>0</v>
      </c>
      <c r="O13">
        <v>2</v>
      </c>
      <c r="P13" t="s">
        <v>49</v>
      </c>
      <c r="Q13">
        <v>0</v>
      </c>
      <c r="R13">
        <v>0</v>
      </c>
      <c r="S13">
        <v>0</v>
      </c>
      <c r="T13">
        <v>0</v>
      </c>
      <c r="U13">
        <v>0</v>
      </c>
      <c r="V13">
        <v>6</v>
      </c>
      <c r="W13">
        <v>0</v>
      </c>
      <c r="X13">
        <v>0</v>
      </c>
      <c r="Y13">
        <v>10</v>
      </c>
      <c r="Z13">
        <v>21</v>
      </c>
      <c r="AA13">
        <v>0</v>
      </c>
      <c r="AB13">
        <v>5</v>
      </c>
      <c r="AC13">
        <v>11</v>
      </c>
      <c r="AD13">
        <v>8</v>
      </c>
      <c r="AE13">
        <v>9</v>
      </c>
      <c r="AF13">
        <v>17</v>
      </c>
      <c r="AG13">
        <v>0</v>
      </c>
      <c r="AH13">
        <v>0</v>
      </c>
      <c r="AI13">
        <v>86</v>
      </c>
      <c r="AJ13">
        <v>6</v>
      </c>
    </row>
    <row r="14" spans="1:36" x14ac:dyDescent="0.3">
      <c r="A14" t="s">
        <v>69</v>
      </c>
      <c r="B14" s="2">
        <v>45985</v>
      </c>
      <c r="C14" t="s">
        <v>61</v>
      </c>
      <c r="D14" t="s">
        <v>70</v>
      </c>
      <c r="E14" t="s">
        <v>39</v>
      </c>
      <c r="F14" t="s">
        <v>40</v>
      </c>
      <c r="G14">
        <v>0.92179999999999995</v>
      </c>
      <c r="H14">
        <v>179</v>
      </c>
      <c r="I14">
        <v>165</v>
      </c>
      <c r="J14">
        <v>108</v>
      </c>
      <c r="K14" t="s">
        <v>41</v>
      </c>
      <c r="L14" s="2">
        <v>45981</v>
      </c>
      <c r="M14">
        <v>1</v>
      </c>
      <c r="N14">
        <v>8</v>
      </c>
      <c r="O14">
        <v>24</v>
      </c>
      <c r="P14" t="s">
        <v>71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4</v>
      </c>
      <c r="AC14">
        <v>17</v>
      </c>
      <c r="AD14">
        <v>10</v>
      </c>
      <c r="AE14">
        <v>10</v>
      </c>
      <c r="AF14">
        <v>15</v>
      </c>
      <c r="AG14">
        <v>0</v>
      </c>
      <c r="AH14">
        <v>0</v>
      </c>
      <c r="AI14">
        <v>108</v>
      </c>
      <c r="AJ14">
        <v>0</v>
      </c>
    </row>
    <row r="15" spans="1:36" x14ac:dyDescent="0.3">
      <c r="A15" t="s">
        <v>69</v>
      </c>
      <c r="B15" s="2">
        <v>45985</v>
      </c>
      <c r="C15" t="s">
        <v>72</v>
      </c>
      <c r="D15" t="s">
        <v>73</v>
      </c>
      <c r="E15" t="s">
        <v>45</v>
      </c>
      <c r="F15" t="s">
        <v>40</v>
      </c>
      <c r="G15">
        <v>0.73209999999999997</v>
      </c>
      <c r="H15">
        <v>168</v>
      </c>
      <c r="I15">
        <v>123</v>
      </c>
      <c r="J15">
        <v>0</v>
      </c>
      <c r="K15" t="s">
        <v>41</v>
      </c>
      <c r="L15" s="2">
        <v>45981</v>
      </c>
      <c r="M15">
        <v>33</v>
      </c>
      <c r="N15">
        <v>6</v>
      </c>
      <c r="O15">
        <v>83</v>
      </c>
      <c r="P15" t="s">
        <v>74</v>
      </c>
      <c r="Q15">
        <v>0</v>
      </c>
      <c r="R15">
        <v>0</v>
      </c>
      <c r="S15">
        <v>0</v>
      </c>
      <c r="T15">
        <v>0</v>
      </c>
      <c r="U15">
        <v>0</v>
      </c>
      <c r="V15">
        <v>5</v>
      </c>
      <c r="W15">
        <v>0</v>
      </c>
      <c r="X15">
        <v>0</v>
      </c>
      <c r="Y15">
        <v>0</v>
      </c>
      <c r="Z15">
        <v>3</v>
      </c>
      <c r="AA15">
        <v>0</v>
      </c>
      <c r="AB15">
        <v>0</v>
      </c>
      <c r="AC15">
        <v>4</v>
      </c>
      <c r="AD15">
        <v>10</v>
      </c>
      <c r="AE15">
        <v>47</v>
      </c>
      <c r="AF15">
        <v>53</v>
      </c>
      <c r="AG15">
        <v>0</v>
      </c>
      <c r="AH15">
        <v>0</v>
      </c>
      <c r="AI15">
        <v>0</v>
      </c>
      <c r="AJ15">
        <v>1</v>
      </c>
    </row>
    <row r="16" spans="1:36" x14ac:dyDescent="0.3">
      <c r="A16" t="s">
        <v>69</v>
      </c>
      <c r="B16" s="2">
        <v>45985</v>
      </c>
      <c r="C16" t="s">
        <v>47</v>
      </c>
      <c r="D16" t="s">
        <v>75</v>
      </c>
      <c r="E16" t="s">
        <v>39</v>
      </c>
      <c r="F16" t="s">
        <v>40</v>
      </c>
      <c r="G16">
        <v>0.9385</v>
      </c>
      <c r="H16">
        <v>179</v>
      </c>
      <c r="I16">
        <v>168</v>
      </c>
      <c r="J16">
        <v>84</v>
      </c>
      <c r="K16" t="s">
        <v>41</v>
      </c>
      <c r="L16" s="2">
        <v>45981</v>
      </c>
      <c r="M16">
        <v>18</v>
      </c>
      <c r="N16">
        <v>6</v>
      </c>
      <c r="O16">
        <v>47</v>
      </c>
      <c r="P16" t="s">
        <v>49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</v>
      </c>
      <c r="AA16">
        <v>0</v>
      </c>
      <c r="AB16">
        <v>9</v>
      </c>
      <c r="AC16">
        <v>10</v>
      </c>
      <c r="AD16">
        <v>17</v>
      </c>
      <c r="AE16">
        <v>30</v>
      </c>
      <c r="AF16">
        <v>11</v>
      </c>
      <c r="AG16">
        <v>0</v>
      </c>
      <c r="AH16">
        <v>0</v>
      </c>
      <c r="AI16">
        <v>84</v>
      </c>
      <c r="AJ16">
        <v>4</v>
      </c>
    </row>
    <row r="17" spans="1:36" x14ac:dyDescent="0.3">
      <c r="A17" t="s">
        <v>69</v>
      </c>
      <c r="B17" s="2">
        <v>45985</v>
      </c>
      <c r="C17" t="s">
        <v>50</v>
      </c>
      <c r="D17" t="s">
        <v>76</v>
      </c>
      <c r="E17" t="s">
        <v>39</v>
      </c>
      <c r="F17" t="s">
        <v>40</v>
      </c>
      <c r="G17">
        <v>0.90500000000000003</v>
      </c>
      <c r="H17">
        <v>179</v>
      </c>
      <c r="I17">
        <v>162</v>
      </c>
      <c r="J17">
        <v>93</v>
      </c>
      <c r="K17" t="s">
        <v>41</v>
      </c>
      <c r="L17" s="2">
        <v>45981</v>
      </c>
      <c r="M17">
        <v>14</v>
      </c>
      <c r="N17">
        <v>7</v>
      </c>
      <c r="O17">
        <v>44</v>
      </c>
      <c r="P17" t="s">
        <v>74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5</v>
      </c>
      <c r="AA17">
        <v>1</v>
      </c>
      <c r="AB17">
        <v>3</v>
      </c>
      <c r="AC17">
        <v>34</v>
      </c>
      <c r="AD17">
        <v>10</v>
      </c>
      <c r="AE17">
        <v>10</v>
      </c>
      <c r="AF17">
        <v>5</v>
      </c>
      <c r="AG17">
        <v>0</v>
      </c>
      <c r="AH17">
        <v>0</v>
      </c>
      <c r="AI17">
        <v>93</v>
      </c>
      <c r="AJ17">
        <v>0</v>
      </c>
    </row>
    <row r="18" spans="1:36" x14ac:dyDescent="0.3">
      <c r="A18" t="s">
        <v>69</v>
      </c>
      <c r="B18" s="2">
        <v>45985</v>
      </c>
      <c r="C18" t="s">
        <v>77</v>
      </c>
      <c r="D18" t="s">
        <v>78</v>
      </c>
      <c r="E18" t="s">
        <v>39</v>
      </c>
      <c r="F18" t="s">
        <v>40</v>
      </c>
      <c r="G18">
        <v>0.43020000000000003</v>
      </c>
      <c r="H18">
        <v>179</v>
      </c>
      <c r="I18">
        <v>77</v>
      </c>
      <c r="J18">
        <v>0</v>
      </c>
      <c r="K18" t="s">
        <v>41</v>
      </c>
      <c r="L18" s="2">
        <v>45981</v>
      </c>
      <c r="M18">
        <v>8</v>
      </c>
      <c r="N18">
        <v>6</v>
      </c>
      <c r="O18">
        <v>50</v>
      </c>
      <c r="P18" t="s">
        <v>79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3</v>
      </c>
      <c r="AA18">
        <v>0</v>
      </c>
      <c r="AB18">
        <v>5</v>
      </c>
      <c r="AC18">
        <v>24</v>
      </c>
      <c r="AD18">
        <v>25</v>
      </c>
      <c r="AE18">
        <v>10</v>
      </c>
      <c r="AF18">
        <v>10</v>
      </c>
      <c r="AG18">
        <v>0</v>
      </c>
      <c r="AH18">
        <v>0</v>
      </c>
      <c r="AI18">
        <v>0</v>
      </c>
      <c r="AJ18">
        <v>0</v>
      </c>
    </row>
    <row r="19" spans="1:36" x14ac:dyDescent="0.3">
      <c r="A19" t="s">
        <v>80</v>
      </c>
      <c r="B19" s="2">
        <v>45986</v>
      </c>
      <c r="C19" t="s">
        <v>57</v>
      </c>
      <c r="D19" t="s">
        <v>81</v>
      </c>
      <c r="E19" t="s">
        <v>39</v>
      </c>
      <c r="F19" t="s">
        <v>40</v>
      </c>
      <c r="G19">
        <v>0.68159999999999998</v>
      </c>
      <c r="H19">
        <v>179</v>
      </c>
      <c r="I19">
        <v>122</v>
      </c>
      <c r="J19">
        <v>86</v>
      </c>
      <c r="K19" t="s">
        <v>41</v>
      </c>
      <c r="L19" s="2">
        <v>45981</v>
      </c>
      <c r="M19">
        <v>2</v>
      </c>
      <c r="N19">
        <v>2</v>
      </c>
      <c r="O19">
        <v>26</v>
      </c>
      <c r="P19" t="s">
        <v>82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0</v>
      </c>
      <c r="AC19">
        <v>4</v>
      </c>
      <c r="AD19">
        <v>5</v>
      </c>
      <c r="AE19">
        <v>10</v>
      </c>
      <c r="AF19">
        <v>15</v>
      </c>
      <c r="AG19">
        <v>0</v>
      </c>
      <c r="AH19">
        <v>0</v>
      </c>
      <c r="AI19">
        <v>86</v>
      </c>
      <c r="AJ19">
        <v>0</v>
      </c>
    </row>
    <row r="20" spans="1:36" x14ac:dyDescent="0.3">
      <c r="A20" t="s">
        <v>80</v>
      </c>
      <c r="B20" s="2">
        <v>45986</v>
      </c>
      <c r="C20" t="s">
        <v>61</v>
      </c>
      <c r="D20" t="s">
        <v>83</v>
      </c>
      <c r="E20" t="s">
        <v>39</v>
      </c>
      <c r="F20" t="s">
        <v>40</v>
      </c>
      <c r="G20">
        <v>0.91059999999999997</v>
      </c>
      <c r="H20">
        <v>179</v>
      </c>
      <c r="I20">
        <v>163</v>
      </c>
      <c r="J20">
        <v>116</v>
      </c>
      <c r="K20" t="s">
        <v>41</v>
      </c>
      <c r="L20" s="2">
        <v>45980</v>
      </c>
      <c r="M20">
        <v>0</v>
      </c>
      <c r="N20">
        <v>3</v>
      </c>
      <c r="O20">
        <v>23</v>
      </c>
      <c r="P20" t="s">
        <v>84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2</v>
      </c>
      <c r="AB20">
        <v>0</v>
      </c>
      <c r="AC20">
        <v>4</v>
      </c>
      <c r="AD20">
        <v>16</v>
      </c>
      <c r="AE20">
        <v>15</v>
      </c>
      <c r="AF20">
        <v>9</v>
      </c>
      <c r="AG20">
        <v>0</v>
      </c>
      <c r="AH20">
        <v>0</v>
      </c>
      <c r="AI20">
        <v>116</v>
      </c>
      <c r="AJ20">
        <v>0</v>
      </c>
    </row>
    <row r="21" spans="1:36" x14ac:dyDescent="0.3">
      <c r="A21" t="s">
        <v>80</v>
      </c>
      <c r="B21" s="2">
        <v>45986</v>
      </c>
      <c r="C21" t="s">
        <v>72</v>
      </c>
      <c r="D21" t="s">
        <v>85</v>
      </c>
      <c r="E21" t="s">
        <v>45</v>
      </c>
      <c r="F21" t="s">
        <v>40</v>
      </c>
      <c r="G21">
        <v>0.59519999999999995</v>
      </c>
      <c r="H21">
        <v>168</v>
      </c>
      <c r="I21">
        <v>100</v>
      </c>
      <c r="J21">
        <v>0</v>
      </c>
      <c r="K21" t="s">
        <v>41</v>
      </c>
      <c r="L21" s="2">
        <v>45981</v>
      </c>
      <c r="M21">
        <v>11</v>
      </c>
      <c r="N21">
        <v>4</v>
      </c>
      <c r="O21">
        <v>40</v>
      </c>
      <c r="P21" t="s">
        <v>82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</v>
      </c>
      <c r="AE21">
        <v>17</v>
      </c>
      <c r="AF21">
        <v>80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80</v>
      </c>
      <c r="B22" s="2">
        <v>45986</v>
      </c>
      <c r="C22" t="s">
        <v>86</v>
      </c>
      <c r="D22" t="s">
        <v>87</v>
      </c>
      <c r="E22" t="s">
        <v>39</v>
      </c>
      <c r="F22" t="s">
        <v>40</v>
      </c>
      <c r="G22">
        <v>0.35749999999999998</v>
      </c>
      <c r="H22">
        <v>179</v>
      </c>
      <c r="I22">
        <v>64</v>
      </c>
      <c r="J22">
        <v>0</v>
      </c>
      <c r="K22" t="s">
        <v>41</v>
      </c>
      <c r="L22" s="2">
        <v>45981</v>
      </c>
      <c r="M22">
        <v>9</v>
      </c>
      <c r="N22">
        <v>1</v>
      </c>
      <c r="O22">
        <v>47</v>
      </c>
      <c r="P22" t="s">
        <v>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8</v>
      </c>
      <c r="AA22">
        <v>0</v>
      </c>
      <c r="AB22">
        <v>0</v>
      </c>
      <c r="AC22">
        <v>3</v>
      </c>
      <c r="AD22">
        <v>10</v>
      </c>
      <c r="AE22">
        <v>13</v>
      </c>
      <c r="AF22">
        <v>30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80</v>
      </c>
      <c r="B23" s="2">
        <v>45986</v>
      </c>
      <c r="C23" t="s">
        <v>47</v>
      </c>
      <c r="D23" t="s">
        <v>88</v>
      </c>
      <c r="E23" t="s">
        <v>39</v>
      </c>
      <c r="F23" t="s">
        <v>40</v>
      </c>
      <c r="G23">
        <v>0.58660000000000001</v>
      </c>
      <c r="H23">
        <v>179</v>
      </c>
      <c r="I23">
        <v>105</v>
      </c>
      <c r="J23">
        <v>46</v>
      </c>
      <c r="K23" t="s">
        <v>41</v>
      </c>
      <c r="L23" s="2">
        <v>45981</v>
      </c>
      <c r="M23">
        <v>5</v>
      </c>
      <c r="N23">
        <v>7</v>
      </c>
      <c r="O23">
        <v>36</v>
      </c>
      <c r="P23" t="s">
        <v>82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18</v>
      </c>
      <c r="AF23">
        <v>30</v>
      </c>
      <c r="AG23">
        <v>0</v>
      </c>
      <c r="AH23">
        <v>0</v>
      </c>
      <c r="AI23">
        <v>46</v>
      </c>
      <c r="AJ23">
        <v>0</v>
      </c>
    </row>
    <row r="24" spans="1:36" x14ac:dyDescent="0.3">
      <c r="A24" t="s">
        <v>80</v>
      </c>
      <c r="B24" s="2">
        <v>45986</v>
      </c>
      <c r="C24" t="s">
        <v>50</v>
      </c>
      <c r="D24" t="s">
        <v>76</v>
      </c>
      <c r="E24" t="s">
        <v>39</v>
      </c>
      <c r="F24" t="s">
        <v>40</v>
      </c>
      <c r="G24">
        <v>0.82679999999999998</v>
      </c>
      <c r="H24">
        <v>179</v>
      </c>
      <c r="I24">
        <v>148</v>
      </c>
      <c r="J24">
        <v>82</v>
      </c>
      <c r="K24" t="s">
        <v>41</v>
      </c>
      <c r="L24" s="2">
        <v>45981</v>
      </c>
      <c r="M24">
        <v>12</v>
      </c>
      <c r="N24">
        <v>3</v>
      </c>
      <c r="O24">
        <v>37</v>
      </c>
      <c r="P24" t="s">
        <v>82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5</v>
      </c>
      <c r="AA24">
        <v>0</v>
      </c>
      <c r="AB24">
        <v>0</v>
      </c>
      <c r="AC24">
        <v>7</v>
      </c>
      <c r="AD24">
        <v>13</v>
      </c>
      <c r="AE24">
        <v>26</v>
      </c>
      <c r="AF24">
        <v>15</v>
      </c>
      <c r="AG24">
        <v>0</v>
      </c>
      <c r="AH24">
        <v>0</v>
      </c>
      <c r="AI24">
        <v>82</v>
      </c>
      <c r="AJ24">
        <v>0</v>
      </c>
    </row>
    <row r="25" spans="1:36" x14ac:dyDescent="0.3">
      <c r="A25" t="s">
        <v>80</v>
      </c>
      <c r="B25" s="2">
        <v>45986</v>
      </c>
      <c r="C25" t="s">
        <v>77</v>
      </c>
      <c r="D25" t="s">
        <v>89</v>
      </c>
      <c r="E25" t="s">
        <v>39</v>
      </c>
      <c r="F25" t="s">
        <v>40</v>
      </c>
      <c r="G25">
        <v>0.9385</v>
      </c>
      <c r="H25">
        <v>179</v>
      </c>
      <c r="I25">
        <v>168</v>
      </c>
      <c r="J25">
        <v>117</v>
      </c>
      <c r="K25" t="s">
        <v>41</v>
      </c>
      <c r="L25" s="2">
        <v>45979</v>
      </c>
      <c r="M25">
        <v>0</v>
      </c>
      <c r="N25">
        <v>0</v>
      </c>
      <c r="O25">
        <v>27</v>
      </c>
      <c r="P25" t="s">
        <v>49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</v>
      </c>
      <c r="AA25">
        <v>0</v>
      </c>
      <c r="AB25">
        <v>0</v>
      </c>
      <c r="AC25">
        <v>1</v>
      </c>
      <c r="AD25">
        <v>15</v>
      </c>
      <c r="AE25">
        <v>15</v>
      </c>
      <c r="AF25">
        <v>15</v>
      </c>
      <c r="AG25">
        <v>0</v>
      </c>
      <c r="AH25">
        <v>0</v>
      </c>
      <c r="AI25">
        <v>117</v>
      </c>
      <c r="AJ25">
        <v>3</v>
      </c>
    </row>
    <row r="26" spans="1:36" x14ac:dyDescent="0.3">
      <c r="A26" t="s">
        <v>80</v>
      </c>
      <c r="B26" s="2">
        <v>45986</v>
      </c>
      <c r="C26" t="s">
        <v>90</v>
      </c>
      <c r="D26" t="s">
        <v>91</v>
      </c>
      <c r="E26" t="s">
        <v>55</v>
      </c>
      <c r="F26" t="s">
        <v>40</v>
      </c>
      <c r="G26">
        <v>0.51190000000000002</v>
      </c>
      <c r="H26">
        <v>168</v>
      </c>
      <c r="I26">
        <v>86</v>
      </c>
      <c r="J26">
        <v>0</v>
      </c>
      <c r="K26" t="s">
        <v>41</v>
      </c>
      <c r="L26" s="2">
        <v>45981</v>
      </c>
      <c r="M26">
        <v>1</v>
      </c>
      <c r="N26">
        <v>0</v>
      </c>
      <c r="O26">
        <v>25</v>
      </c>
      <c r="P26" t="s">
        <v>92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5</v>
      </c>
      <c r="Y26">
        <v>11</v>
      </c>
      <c r="Z26">
        <v>10</v>
      </c>
      <c r="AA26">
        <v>10</v>
      </c>
      <c r="AB26">
        <v>10</v>
      </c>
      <c r="AC26">
        <v>10</v>
      </c>
      <c r="AD26">
        <v>10</v>
      </c>
      <c r="AE26">
        <v>10</v>
      </c>
      <c r="AF26">
        <v>10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80</v>
      </c>
      <c r="B27" s="2">
        <v>45986</v>
      </c>
      <c r="C27" t="s">
        <v>53</v>
      </c>
      <c r="D27" t="s">
        <v>70</v>
      </c>
      <c r="E27" t="s">
        <v>55</v>
      </c>
      <c r="F27" t="s">
        <v>40</v>
      </c>
      <c r="G27">
        <v>1</v>
      </c>
      <c r="H27">
        <v>179</v>
      </c>
      <c r="I27">
        <v>179</v>
      </c>
      <c r="J27">
        <v>123</v>
      </c>
      <c r="K27" t="s">
        <v>41</v>
      </c>
      <c r="L27" s="2">
        <v>45980</v>
      </c>
      <c r="M27">
        <v>0</v>
      </c>
      <c r="N27">
        <v>1</v>
      </c>
      <c r="O27">
        <v>9</v>
      </c>
      <c r="P27" t="s">
        <v>49</v>
      </c>
      <c r="Q27">
        <v>0</v>
      </c>
      <c r="R27">
        <v>0</v>
      </c>
      <c r="S27">
        <v>0</v>
      </c>
      <c r="T27">
        <v>0</v>
      </c>
      <c r="U27">
        <v>2</v>
      </c>
      <c r="V27">
        <v>5</v>
      </c>
      <c r="W27">
        <v>4</v>
      </c>
      <c r="X27">
        <v>0</v>
      </c>
      <c r="Y27">
        <v>0</v>
      </c>
      <c r="Z27">
        <v>11</v>
      </c>
      <c r="AA27">
        <v>0</v>
      </c>
      <c r="AB27">
        <v>0</v>
      </c>
      <c r="AC27">
        <v>3</v>
      </c>
      <c r="AD27">
        <v>5</v>
      </c>
      <c r="AE27">
        <v>9</v>
      </c>
      <c r="AF27">
        <v>17</v>
      </c>
      <c r="AG27">
        <v>0</v>
      </c>
      <c r="AH27">
        <v>0</v>
      </c>
      <c r="AI27">
        <v>123</v>
      </c>
      <c r="AJ27">
        <v>0</v>
      </c>
    </row>
    <row r="28" spans="1:36" x14ac:dyDescent="0.3">
      <c r="A28" t="s">
        <v>80</v>
      </c>
      <c r="B28" s="2">
        <v>45986</v>
      </c>
      <c r="C28" t="s">
        <v>93</v>
      </c>
      <c r="D28" t="s">
        <v>94</v>
      </c>
      <c r="E28" t="s">
        <v>55</v>
      </c>
      <c r="F28" t="s">
        <v>40</v>
      </c>
      <c r="G28">
        <v>0.91059999999999997</v>
      </c>
      <c r="H28">
        <v>179</v>
      </c>
      <c r="I28">
        <v>163</v>
      </c>
      <c r="J28">
        <v>158</v>
      </c>
      <c r="K28" t="s">
        <v>41</v>
      </c>
      <c r="L28" s="2">
        <v>45965</v>
      </c>
      <c r="M28">
        <v>0</v>
      </c>
      <c r="N28">
        <v>0</v>
      </c>
      <c r="O28">
        <v>0</v>
      </c>
      <c r="P28" t="s">
        <v>95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4</v>
      </c>
      <c r="AG28">
        <v>44</v>
      </c>
      <c r="AH28">
        <v>0</v>
      </c>
      <c r="AI28">
        <v>114</v>
      </c>
      <c r="AJ28">
        <v>0</v>
      </c>
    </row>
    <row r="29" spans="1:36" ht="18" x14ac:dyDescent="0.35">
      <c r="A29" s="3" t="s">
        <v>96</v>
      </c>
      <c r="B29" s="4"/>
      <c r="C29" s="3">
        <f>SUBTOTAL(103,LF_ALL_ROUTES[Flt])</f>
        <v>27</v>
      </c>
      <c r="D29" s="3"/>
      <c r="E29" s="3">
        <f>SUBTOTAL(103,LF_ALL_ROUTES[Brd-Off])</f>
        <v>27</v>
      </c>
      <c r="F29" s="3"/>
      <c r="G29" s="5">
        <f>SUBTOTAL(101,LF_ALL_ROUTES[LF%])</f>
        <v>0.82250370370370351</v>
      </c>
      <c r="H29" s="3"/>
      <c r="I29" s="3"/>
      <c r="J29" s="3"/>
      <c r="K29" s="3"/>
      <c r="L29" s="4"/>
      <c r="M29" s="3"/>
      <c r="N29" s="3"/>
      <c r="O29" s="3"/>
      <c r="P29" s="3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>
        <f>SUBTOTAL(109,LF_ALL_ROUTES[N])</f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2025-11-20T19:40:21Z</dcterms:created>
  <dcterms:modified xsi:type="dcterms:W3CDTF">2025-11-20T19:40:22Z</dcterms:modified>
</cp:coreProperties>
</file>